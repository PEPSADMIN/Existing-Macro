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Namachivayam\1. Low Stock\Sep-2025\"/>
    </mc:Choice>
  </mc:AlternateContent>
  <bookViews>
    <workbookView xWindow="0" yWindow="0" windowWidth="20490" windowHeight="7620" activeTab="1"/>
  </bookViews>
  <sheets>
    <sheet name="Master Sheet" sheetId="4" r:id="rId1"/>
    <sheet name="CBERM ERP Download" sheetId="7" r:id="rId2"/>
    <sheet name="QUARANTINED &amp;REJECTED ERP Downl" sheetId="6" r:id="rId3"/>
    <sheet name="Final Out Put" sheetId="2" r:id="rId4"/>
    <sheet name="Sheet1" sheetId="18" r:id="rId5"/>
    <sheet name="Sheet2" sheetId="19" r:id="rId6"/>
    <sheet name="Sheet3" sheetId="20" r:id="rId7"/>
    <sheet name="Sheet4" sheetId="21" r:id="rId8"/>
  </sheets>
  <externalReferences>
    <externalReference r:id="rId9"/>
  </externalReferences>
  <definedNames>
    <definedName name="_xlnm._FilterDatabase" localSheetId="1" hidden="1">'CBERM ERP Download'!$A$1:$T$1229</definedName>
    <definedName name="_xlnm._FilterDatabase" localSheetId="3" hidden="1">'Final Out Put'!$A$1:$X$1687</definedName>
    <definedName name="_xlnm._FilterDatabase" localSheetId="0" hidden="1">'Master Sheet'!$A$1:$O$1690</definedName>
    <definedName name="_xlnm._FilterDatabase" localSheetId="2" hidden="1">'QUARANTINED &amp;REJECTED ERP Downl'!$A$1:$K$1198</definedName>
    <definedName name="_xlnm._FilterDatabase" localSheetId="4" hidden="1">Sheet1!$A$1:$X$1690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0" i="4" l="1"/>
  <c r="I739" i="4" l="1"/>
  <c r="I664" i="4"/>
  <c r="I663" i="4"/>
  <c r="I35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2" i="4"/>
</calcChain>
</file>

<file path=xl/sharedStrings.xml><?xml version="1.0" encoding="utf-8"?>
<sst xmlns="http://schemas.openxmlformats.org/spreadsheetml/2006/main" count="50427" uniqueCount="3677">
  <si>
    <t>SI.No</t>
  </si>
  <si>
    <t>Item Code</t>
  </si>
  <si>
    <t>Item Desc</t>
  </si>
  <si>
    <t>UOM</t>
  </si>
  <si>
    <t>Warehouse</t>
  </si>
  <si>
    <t>FBR-ZEN-BA-REXIN</t>
  </si>
  <si>
    <t>ZENIMO BASE REXIN FABRIC</t>
  </si>
  <si>
    <t>MTR</t>
  </si>
  <si>
    <t>CBERM</t>
  </si>
  <si>
    <t>FBR-ZEN-BR-DN-BLUE</t>
  </si>
  <si>
    <t>ZENIMO DENIM BLUE BORDER FABRIC</t>
  </si>
  <si>
    <t>FBR-ZEN-BR-DN-BLUE-WASHED</t>
  </si>
  <si>
    <t>FBR-ZEN-HB-REXIN</t>
  </si>
  <si>
    <t>ZENIMO HEAD BOARD REXIN FABRIC</t>
  </si>
  <si>
    <t>FBR-ZEN-TP-PNL-BLUE</t>
  </si>
  <si>
    <t>ZENIMO BLUE TOP PANEL FABRIC</t>
  </si>
  <si>
    <t>LGRST</t>
  </si>
  <si>
    <t>NOS</t>
  </si>
  <si>
    <t>RMI-HCTNF-77X74.</t>
  </si>
  <si>
    <t>COTTON FELT 196CM X 188CM X 6MM ( 77" x 74" )</t>
  </si>
  <si>
    <t>KGS</t>
  </si>
  <si>
    <t>RMI-HCTNF-80X38.</t>
  </si>
  <si>
    <t>COTTON FELT 203CM X 97CM X 6MM ( 80" x 38" )</t>
  </si>
  <si>
    <t>RMI-HCTNF-80X51.</t>
  </si>
  <si>
    <t>COTTON FELT 203CM X 129CM X 6MM ( 80"x51" )</t>
  </si>
  <si>
    <t>RMI-HCTNF-80X63.</t>
  </si>
  <si>
    <t>COTTON FELT 203CM X 160CM X 6MM ( 80" x 63" )</t>
  </si>
  <si>
    <t>RMI-HCTNF-80X74.</t>
  </si>
  <si>
    <t>COTTON FELT 203CM X 188CM X 6MM ( 80"x74")</t>
  </si>
  <si>
    <t>RMI-HCZ-SDE-LBL</t>
  </si>
  <si>
    <t>HOTEL COMFORT ZERO DISTURBANCE CARE SIDE LABEL (IMPORT)</t>
  </si>
  <si>
    <t>RMI-HGLUE</t>
  </si>
  <si>
    <t>HOT MELT ADHESIVE (GLUE)</t>
  </si>
  <si>
    <t>RMI-LTX-152X196X5CM</t>
  </si>
  <si>
    <t>PERFO LATEX SHEETS S2 152X196X5CM</t>
  </si>
  <si>
    <t>RMI-LTX-180X196X5CM</t>
  </si>
  <si>
    <t>PERFO LATEX SHEETS S2 180X196X5CM</t>
  </si>
  <si>
    <t>RMI-MTL-COR-GRD-SIL</t>
  </si>
  <si>
    <t>METAL CORNER GUARD - SILVER (WITH LOGO)</t>
  </si>
  <si>
    <t>RMI-NOT-LBL</t>
  </si>
  <si>
    <t>NO TURN LABEL</t>
  </si>
  <si>
    <t>RM-INS-MIN-SDE-LBL</t>
  </si>
  <si>
    <t>INSPREE MINI SAMPLE SIDE LABEL</t>
  </si>
  <si>
    <t>RMI-OPE-SDE-LBL</t>
  </si>
  <si>
    <t>OPULANCE SIDE LABEL</t>
  </si>
  <si>
    <t>RMI-PL-WHL</t>
  </si>
  <si>
    <t>CR 100 PLASTIC WHEEL</t>
  </si>
  <si>
    <t>RMI-PVC-130</t>
  </si>
  <si>
    <t>PVC ROLL 227.CMX130.MICRON</t>
  </si>
  <si>
    <t>RMI-PVC-250</t>
  </si>
  <si>
    <t>PVC ROLL 227.CMX250.MICRON</t>
  </si>
  <si>
    <t>RMI-PVC-50</t>
  </si>
  <si>
    <t>PVC ROLL 227.CMX50.MICRON</t>
  </si>
  <si>
    <t>RMI-PVC-90</t>
  </si>
  <si>
    <t>PVC ROLL 227.CMX90.MICRON</t>
  </si>
  <si>
    <t>RMI-REXINE-WHITE0.6MM</t>
  </si>
  <si>
    <t>REXINE-WIDTH:1.37 METERS;THICKNESS:0.6MM;COLOR:WHITE</t>
  </si>
  <si>
    <t>RMI-ROP-TUFFLO</t>
  </si>
  <si>
    <t>TUFTING FLOWER WITH ROPE</t>
  </si>
  <si>
    <t>RMI-SBL-SDE-LBL</t>
  </si>
  <si>
    <t>SANIBEL SIDE LABEL (IMPORT)</t>
  </si>
  <si>
    <t>RMI-SPG-EDTAPE-BLACK</t>
  </si>
  <si>
    <t>EDGE TAPE.SPG BLACK</t>
  </si>
  <si>
    <t>RMI-SPK-EDTAPE-DGRY</t>
  </si>
  <si>
    <t>EDGE TAPE. DARK GREY-IMPORT</t>
  </si>
  <si>
    <t>RMI-SPK-NEW-SDE-LBL</t>
  </si>
  <si>
    <t>SPRINGKOIL SIDE LABEL (NEW &amp; IMPROVED)</t>
  </si>
  <si>
    <t>RMI-SPK-SDE-LBL</t>
  </si>
  <si>
    <t>RMI-TUFTING-FLOWER</t>
  </si>
  <si>
    <t>TUFTING FLOWER 100% POLYESTER</t>
  </si>
  <si>
    <t>RMI-VH-SDE-LBL</t>
  </si>
  <si>
    <t>VIVAH MINI SAMPLE SIDE LABEL</t>
  </si>
  <si>
    <t>RM-JUMBO-GUST-PILLOW</t>
  </si>
  <si>
    <t>JUMBO PLUSH PILLOW- GUSSETTED</t>
  </si>
  <si>
    <t>RM-JUMBO-PIL-CVR</t>
  </si>
  <si>
    <t>JUMBO PILLOW COVER(PRINTED/LAMINATED POUCH)</t>
  </si>
  <si>
    <t>RM-JUMBO-PLW-CVR-BOX</t>
  </si>
  <si>
    <t>PEPS PILLOW COVER BOX JUMBO</t>
  </si>
  <si>
    <t>RM-KOM-MRP-STK-CNTR-PLW</t>
  </si>
  <si>
    <t>KOMFFY MEMORY CONTOUR PILLOW MRPLABEL</t>
  </si>
  <si>
    <t>RM-KOM-MRP-STK-HYP-POL-FIB</t>
  </si>
  <si>
    <t>KOMFFY PREMIUM PLUS FIBER PILLOW MRP STICKER</t>
  </si>
  <si>
    <t>RM-KOM-MRP-STK-HYP-USOFT</t>
  </si>
  <si>
    <t>KOMFFY PU FOAM PILLOW PILLOW MRP STICKER</t>
  </si>
  <si>
    <t>RM-KOM-MRP-STK-NCK-TUF</t>
  </si>
  <si>
    <t>KOMFFY TUFTED PILLOW MRP STICKER</t>
  </si>
  <si>
    <t>RM-KOM-MRP-STK-POL-FIB</t>
  </si>
  <si>
    <t>KOMFFY POLYESTER FIBER PILLOW MRP STICKER - SINGLE</t>
  </si>
  <si>
    <t>RM-KOM-MRP-STK-POL-FIB-DOB</t>
  </si>
  <si>
    <t>KOMFFY POLYESTER FIBER PILLOW MRP STICKER DOUBLE</t>
  </si>
  <si>
    <t>RM-KOM-PIL-CVR-HYP-POL-FIB</t>
  </si>
  <si>
    <t>KOMFFY PREMIUM PLUS FIBRE PILLOW COVER</t>
  </si>
  <si>
    <t>RM-KOM-PIL-CVR-HYP-USOFT</t>
  </si>
  <si>
    <t>KOMFFY PU FOAM PILLOW COVER</t>
  </si>
  <si>
    <t>RM-KOM-PIL-CVR-NCK-100%</t>
  </si>
  <si>
    <t>KOMFFY 100% MEMORY FOAM PILLOW COVER</t>
  </si>
  <si>
    <t>RM-KOM-PIL-CVR-NCK-TUF</t>
  </si>
  <si>
    <t>KOMFFY TUFTED PILLOW COVER</t>
  </si>
  <si>
    <t>RM-KOM-PIL-CVR-POL-FIB</t>
  </si>
  <si>
    <t>KOMFFY POLYESTER FIBER PILLOW COVER - SINGLE</t>
  </si>
  <si>
    <t>RM-KOM-PIL-CVR-POL-FIB-DOB</t>
  </si>
  <si>
    <t>KOMFFY POLYESTER FIBER PILLOW COVER-DOUBLE</t>
  </si>
  <si>
    <t>RM-KOM-WSCR-LBL-HYP-USOFT</t>
  </si>
  <si>
    <t>KOMFFY PU FOAM PILLOW WASH CARE LABEL</t>
  </si>
  <si>
    <t>RM-KOM-WSCR-LBL-NCK-100%</t>
  </si>
  <si>
    <t>KOMFFY 100% MEMORY FOAM PILLOW WASH CARE LABLE</t>
  </si>
  <si>
    <t>RM-KOM-WSCR-LBL-NCK-TUF</t>
  </si>
  <si>
    <t>KOMFFY TUFTED PILLOW WASH CARE LABLE</t>
  </si>
  <si>
    <t>RM-KOM-WSCR-LBL-POL-FIB</t>
  </si>
  <si>
    <t>KOMFFY POLYESTER FIBER PILLOW WASH CARE LABLE</t>
  </si>
  <si>
    <t>RML-04MM-ELASTIC-WH</t>
  </si>
  <si>
    <t>ELASTIC FOR WHITE 04MM</t>
  </si>
  <si>
    <t>RML-10MM-ELASTIC</t>
  </si>
  <si>
    <t>PROTECTOR ELASTIC FOR 10MM</t>
  </si>
  <si>
    <t>RML-1222J</t>
  </si>
  <si>
    <t>STAPLER PIN 1222J ((54000 PCS/CTN)</t>
  </si>
  <si>
    <t>BOX</t>
  </si>
  <si>
    <t>RML-20MM-ELASTIC</t>
  </si>
  <si>
    <t>PROTECTOR ELASTIC FOR 20MM</t>
  </si>
  <si>
    <t>RML-3PLY-WHT-PLW-BOX</t>
  </si>
  <si>
    <t>3 PLY TOP WHITE BOX-10.75X8.25X6.75</t>
  </si>
  <si>
    <t>RML-A4-STICKER</t>
  </si>
  <si>
    <t>A4 SIZE PLAIN STICKER</t>
  </si>
  <si>
    <t>RML-ADHESIVE</t>
  </si>
  <si>
    <t>WATER BASED ADHESIVE</t>
  </si>
  <si>
    <t>RML-ALLURA-PLW-WSCR-LBL</t>
  </si>
  <si>
    <t>PEPS ALLURA PU MOULDED PILLOW WASH CARE LABEL</t>
  </si>
  <si>
    <t>RML-ALU-PU-MOL-PLW-CVR</t>
  </si>
  <si>
    <t>Peps Allura PU Moulded Pillow Cover 560MMx740MM ( 12.MIC PET + 50.MIC LDPE)</t>
  </si>
  <si>
    <t>RML-ARM-GUD-PLW-BOX</t>
  </si>
  <si>
    <t>ARM GUARD PILLOW BOX 3.PLY (49CMX12CMX68.4CM)</t>
  </si>
  <si>
    <t>RML-ARM-GURD-PLW-WSCR-LBL</t>
  </si>
  <si>
    <t>PEPS ARM GUARD PILLOW WASH CARE LABEL</t>
  </si>
  <si>
    <t>RML-AUTO-CLOSE-HINGES</t>
  </si>
  <si>
    <t>AUTO CLOSE HINGES - ZERO CRANK</t>
  </si>
  <si>
    <t>SET</t>
  </si>
  <si>
    <t>RML-BAG-12.25X13.5X4</t>
  </si>
  <si>
    <t>CAR CUSHION PVC BAG 12.25WX13.5HX4G</t>
  </si>
  <si>
    <t>RML-BAG-12.75X12X3</t>
  </si>
  <si>
    <t>KOMFFY BED SHEET PVC BAG 12.75X12"X3"</t>
  </si>
  <si>
    <t>RML-BAG-16X15X3</t>
  </si>
  <si>
    <t>NORMAL PROTECTOR PACKING COVER H24"x W15" x G7"</t>
  </si>
  <si>
    <t>RML-CUSH-INSERTER</t>
  </si>
  <si>
    <t>CUSHION INSERTER L34XW5.5</t>
  </si>
  <si>
    <t>RML-CUSPOLFIL16X16</t>
  </si>
  <si>
    <t>PEPS Cushion Poly fiber Pillow 16x16</t>
  </si>
  <si>
    <t>RML-CUT-RES-GLS</t>
  </si>
  <si>
    <t>CUTTING RESISTANCE GLOVES</t>
  </si>
  <si>
    <t>PRS</t>
  </si>
  <si>
    <t>RML-DDR-SDE-LBL</t>
  </si>
  <si>
    <t>DOUBLE DECKER SIDE LABEL (RUBBER PATCH)</t>
  </si>
  <si>
    <t>RML-DD-WCRD</t>
  </si>
  <si>
    <t>PEPS DOUBLE DECKER WARRANTY CARD</t>
  </si>
  <si>
    <t>RM-LDPE-50"TUBE-PLAIN</t>
  </si>
  <si>
    <t>LDPE TUBE 58"X50.MIC</t>
  </si>
  <si>
    <t>RML-DRAWER-SLIDE</t>
  </si>
  <si>
    <t>DRAWER SLIDE-18"</t>
  </si>
  <si>
    <t>RML-DRN-LBL</t>
  </si>
  <si>
    <t>DIRECTION LABEL</t>
  </si>
  <si>
    <t>RML-DRN-LBL-TNDR</t>
  </si>
  <si>
    <t>TNDR - DIRECTION &amp; MRP LABEL</t>
  </si>
  <si>
    <t>RML-EDTAPE-BLAK-KNIT</t>
  </si>
  <si>
    <t>EDGE TAPE- BLACK (42MM ,12.5GRM/PER MTR KNITTED)</t>
  </si>
  <si>
    <t>RML-EDTAPE-BLUE</t>
  </si>
  <si>
    <t>EDGE TAPE.D BLUE(42MM ,12.5GRM/PER MTR KNITTED)</t>
  </si>
  <si>
    <t>RML-EDTAPE-BLUE-30MM</t>
  </si>
  <si>
    <t>EDGE TAPE.D BLUE - 30MM (KNITTED)</t>
  </si>
  <si>
    <t>RML-EDTAPE-BRN</t>
  </si>
  <si>
    <t>EDGE TAPE.BROWN (42MM ,12.5GRM/PER MTR KNITTED)</t>
  </si>
  <si>
    <t>RML-EDTAPE-BRN-30MM</t>
  </si>
  <si>
    <t>EDGE TAPE BROWN - 30MM (KNITTED)</t>
  </si>
  <si>
    <t>RML-EDTAPE-MER-30MM</t>
  </si>
  <si>
    <t>EDGE TAPE MAROON - 30MM (KNITTED)</t>
  </si>
  <si>
    <t>RML-EDTAPE-MER-KNIT</t>
  </si>
  <si>
    <t>EDGE TAPE.MAROON(42MM ,12.5GRM/PER MTR KNITTED)</t>
  </si>
  <si>
    <t>RML-EDTAPE-SANI-GREY</t>
  </si>
  <si>
    <t>EDGE TAPE SANIBEL GREY (43MM, 14.5GRAM/METER FDY)</t>
  </si>
  <si>
    <t>RML-EDTAPE-WHT-KNIT</t>
  </si>
  <si>
    <t>EDGE TAPE. WHITE (42MM ,12.5GRM/PER MTR KNITTED)</t>
  </si>
  <si>
    <t>RML-EDTAPE-YEL-FDY</t>
  </si>
  <si>
    <t>EDGE TAPE. YELLOW (43MM ,14.5GRM/PER MTR FDY )</t>
  </si>
  <si>
    <t>RML-ELIT-BED-SHT-108X120</t>
  </si>
  <si>
    <t>ELITZA BED SHEET - SUPER KING 108X120 ( 1 + 2 )</t>
  </si>
  <si>
    <t>RML-ELITZA-BED-SHT-110X120</t>
  </si>
  <si>
    <t>PEPS ELITZA BEDSHEET DOUBLE 110x120</t>
  </si>
  <si>
    <t>RML-EPE-ROLL</t>
  </si>
  <si>
    <t>EXPANDED POLYETHYLENE ROLL 59" WIDTH X 5MM THICKNESS</t>
  </si>
  <si>
    <t>RML-FBR-200TC-SATIN</t>
  </si>
  <si>
    <t>COTTON FABRIC -110"WIDTH PLAIN SATIN 200TC</t>
  </si>
  <si>
    <t>RML-FBR-200TC-STRIPE</t>
  </si>
  <si>
    <t>COTTON FABRIC -110"WIDTH 1CM STRIPE 200TC</t>
  </si>
  <si>
    <t>RML-FBR-BT-BEIGE</t>
  </si>
  <si>
    <t>BOTTLE FABRIC-BEIGE</t>
  </si>
  <si>
    <t>RML-FBR-BT-BLUE</t>
  </si>
  <si>
    <t>BOTTLE FABRIC BLUE</t>
  </si>
  <si>
    <t>RML-FBR-BT-GREY</t>
  </si>
  <si>
    <t>BOTTLE FABRIC GREY</t>
  </si>
  <si>
    <t>RML-FBR-BT-MER</t>
  </si>
  <si>
    <t>BOTTLE FABRIC-MAROON</t>
  </si>
  <si>
    <t>RML-FBR-BT-WHT</t>
  </si>
  <si>
    <t>BOTTLE FABRIC-WHITE</t>
  </si>
  <si>
    <t>RML-FBR-JRY-PC</t>
  </si>
  <si>
    <t>JERCY FABRIC PILLOW COVER</t>
  </si>
  <si>
    <t>RML-FBR-LAM</t>
  </si>
  <si>
    <t>LAMINATED FABRIC 82" WHITE</t>
  </si>
  <si>
    <t>RML-FBR-LAM-BEIGE</t>
  </si>
  <si>
    <t>LAMINATED FABRIC 82" BEIGE</t>
  </si>
  <si>
    <t>RML-FBR-LAM-BLUE</t>
  </si>
  <si>
    <t>LAMINATED FABRIC 82" BLUE</t>
  </si>
  <si>
    <t>RML-FBR-LAM-GREY</t>
  </si>
  <si>
    <t>LAMINATED FABRIC 82" GREY</t>
  </si>
  <si>
    <t>RML-FBR-LAM-MAROON</t>
  </si>
  <si>
    <t>LAMINATED FABRIC 82" MAROON</t>
  </si>
  <si>
    <t>RML-FBR-MS2000-BL</t>
  </si>
  <si>
    <t>REXINE MS 2000 BLACK</t>
  </si>
  <si>
    <t>RML-FBR-PLW-TNDR</t>
  </si>
  <si>
    <t>TNDR - PILLOW FABRIC</t>
  </si>
  <si>
    <t>RML-FBR-POLY-STRI-58INC</t>
  </si>
  <si>
    <t>POLYESTER FABRIC STRIPE 90GSMX58"WIDTH (WHITE)</t>
  </si>
  <si>
    <t>RML-FBR-POLY-STRI-58INC-PLUS</t>
  </si>
  <si>
    <t>PLUS - POLYESTER FABRIC STRIPE 90GSMX58"WIDTH (WHITE)</t>
  </si>
  <si>
    <t>RML-FBR-PRINC-WHT</t>
  </si>
  <si>
    <t>PRINCESS D24288-W000004 WHITE WITH SILVER  FABRIC</t>
  </si>
  <si>
    <t>RML-FBR-SWSCTN-58-INCH</t>
  </si>
  <si>
    <t>SWISS COTTON  FABRIC - 58"x100.GSM (WHITE)</t>
  </si>
  <si>
    <t>RML-FBR-WHT-MICPE</t>
  </si>
  <si>
    <t>WHITE MICRO TWILL PEACHED FABRIC (SORT NO:165)</t>
  </si>
  <si>
    <t>RML-FBR-WHT-PATTI</t>
  </si>
  <si>
    <t>COTTON FABRIC -112"WIDTH 1CM STRIPE 300TC</t>
  </si>
  <si>
    <t>RML-FBR-WHT-PATTI-2CM</t>
  </si>
  <si>
    <t>COTTON FABRIC -112"WIDTH 2CM STRIPE 300TC</t>
  </si>
  <si>
    <t>RML-FBR-WHT-SATIN</t>
  </si>
  <si>
    <t>COTTON FABRIC -112"WIDTH PLAIN SATIN 300TC</t>
  </si>
  <si>
    <t>RML-FIRE-RET-ADHE</t>
  </si>
  <si>
    <t>CHEMICAL FIRE RETARDANT ADHESIVE</t>
  </si>
  <si>
    <t>RML-FIT-SHT-INS-DOUBLE</t>
  </si>
  <si>
    <t>PEPS POLAR FLEECE BLANKET INSERTER- DOUBLE</t>
  </si>
  <si>
    <t>RML-FIT-SHT-INS-SINGLE</t>
  </si>
  <si>
    <t>PEPS POLAR FLEECE BLANKET INSERTER- SINGLE</t>
  </si>
  <si>
    <t>RML-FIX-BRACKET</t>
  </si>
  <si>
    <t>BASE AND HB FIXING BRACKET</t>
  </si>
  <si>
    <t>RML-FLN-BLNK-60X85</t>
  </si>
  <si>
    <t>PEPS Flano Printed blanket Single- Size:60x85 Inch</t>
  </si>
  <si>
    <t>RML-FLXI-NECK-PLW-CTN-ROPE</t>
  </si>
  <si>
    <t>FLEXI NECK PILLOW COTTON ROPE - 2.5MM</t>
  </si>
  <si>
    <t>RML-FLXI-NECK-PLW-MRP-LBL</t>
  </si>
  <si>
    <t>FLEXI NECK PILLOW MRP LABEL</t>
  </si>
  <si>
    <t>RML-FLXI-NECK-PLW-PVC-BAG</t>
  </si>
  <si>
    <t>FLEXI NECK PILLOW PVC BAG 11.25" Wx11.5" Hx4" G</t>
  </si>
  <si>
    <t>RML-FLXI-NECK-PLW-WSCR-LBL</t>
  </si>
  <si>
    <t>FLEXI NECK PILLOW WASH CARE LABEL</t>
  </si>
  <si>
    <t>RML-FLXI-SPN-LDPE-7X30+4FX75MIC</t>
  </si>
  <si>
    <t>FLEXI SPINE LDPE PLAIN SEAL KING BAG 7"X 30"+ 4"F X 75MIC</t>
  </si>
  <si>
    <t>RML-PAN-POLY-BAG-73XW22</t>
  </si>
  <si>
    <t>Panorama Mattress Roll Packing Polyester Bag D13.5" X W22" X L73" (Blue)</t>
  </si>
  <si>
    <t>RML-PAN-WCRD</t>
  </si>
  <si>
    <t>PANORAMA 10 YEARS WARRANTY CARD</t>
  </si>
  <si>
    <t>RML-PART-WOOD-8X4X11MM</t>
  </si>
  <si>
    <t>Laminated Plain Particle Board 8x4x11MM</t>
  </si>
  <si>
    <t>RML-PEPS-GRIP-WASH-LBL</t>
  </si>
  <si>
    <t>PEPS GRIPSTER WASH CARE LABEL</t>
  </si>
  <si>
    <t>RML-PEPS-PTR-INS</t>
  </si>
  <si>
    <t>PEPS PROTECTOR INSERTER</t>
  </si>
  <si>
    <t>RML-PF-BLNK-BG-60X90</t>
  </si>
  <si>
    <t>PEPS POLAR FLEECE BLANKET BEIGE 60X90 INCH</t>
  </si>
  <si>
    <t>RML-PF-BLNK-BG-90X100</t>
  </si>
  <si>
    <t>PEPS POLAR FLEECE BLANKET BEIGE 90X100 INCH</t>
  </si>
  <si>
    <t>RML-PF-BLNK-BL-60X90</t>
  </si>
  <si>
    <t>PEPS POLAR FLEECE BLANKET BLUE 60X90 INCH</t>
  </si>
  <si>
    <t>RML-PF-BLNK-BL-90X100</t>
  </si>
  <si>
    <t>PEPS POLAR FLEECE BLANKET BLUE 90X100 INCH</t>
  </si>
  <si>
    <t>RML-PF-BLNK-MR-60X90</t>
  </si>
  <si>
    <t>PEPS POLAR FLEECE BLANKET MAROON 60X90 INCH</t>
  </si>
  <si>
    <t>RML-PF-BLNK-MR-90X100</t>
  </si>
  <si>
    <t>PEPS POLAR FLEECE BLANKET MAROON 90X100 INCH</t>
  </si>
  <si>
    <t>RML-PILW-WARR-STICK</t>
  </si>
  <si>
    <t>PILLOW WARRANTY STICKER</t>
  </si>
  <si>
    <t>RML-PL-DST-COV-FOL-COT</t>
  </si>
  <si>
    <t>PLASTIC DUST COVER FOR FOLDABLE COT</t>
  </si>
  <si>
    <t>RML-PLS-HANDLE</t>
  </si>
  <si>
    <t>PLASTIC HANDLE FOR COUNTER/PU/100% MEMORY PILLOW BOX</t>
  </si>
  <si>
    <t>RML-PLWCVR-NCKGRD</t>
  </si>
  <si>
    <t>PEPS TUFTED PILLOW COVER</t>
  </si>
  <si>
    <t>RML-PLY-BOX-31X21.25X13</t>
  </si>
  <si>
    <t>31"X21.25"X13"- 5 PLY BOX</t>
  </si>
  <si>
    <t>RML-PLY-PAD</t>
  </si>
  <si>
    <t>5PLY WHITE PAD 11.75X10.25</t>
  </si>
  <si>
    <t>RML-POLY-GUM</t>
  </si>
  <si>
    <t>SOLVENT BASED RUBBER ADHESIVE (SPRAY GLUE)</t>
  </si>
  <si>
    <t>LTR</t>
  </si>
  <si>
    <t>RML-POOL-TOWEL</t>
  </si>
  <si>
    <t>POOL TOWEL 72" X 36"</t>
  </si>
  <si>
    <t>RML-POSTER-NO-SKID</t>
  </si>
  <si>
    <t>POSTER - NO SKID ( SPINE GUARD)</t>
  </si>
  <si>
    <t>RML-PTR-BOX</t>
  </si>
  <si>
    <t>WATER PROOF PROTECTOR BOX</t>
  </si>
  <si>
    <t>RML-PTR-QUILT</t>
  </si>
  <si>
    <t>PROTECTOR QUILT</t>
  </si>
  <si>
    <t>RML-PTR-QUILT-77</t>
  </si>
  <si>
    <t>PROTECTOR QUILT - WIDTH - 77"</t>
  </si>
  <si>
    <t>RM-PT3-M-LTXPLW</t>
  </si>
  <si>
    <t>LATEX PILLOW/CONTOUR MASSAGE 9.5/11.3X39X58.5CM</t>
  </si>
  <si>
    <t>RM-REX-BED-RUNNER-BL</t>
  </si>
  <si>
    <t>REXIN BED RUNNER BLACK</t>
  </si>
  <si>
    <t>RM-SATIN-GR-LBL</t>
  </si>
  <si>
    <t>SATIN LABEL GREY 1"</t>
  </si>
  <si>
    <t>RM-SPG-FM-MIN-SDE-LBL</t>
  </si>
  <si>
    <t>SPINE GUARD FOAM MINI SAMPLE SIDE LABEL (7 YEARS)</t>
  </si>
  <si>
    <t>RM-SPG-SR-MIN-SDE-LBL</t>
  </si>
  <si>
    <t>SPINE GUARD SPRING MINI SAMPLE SIDE LABEL (10 YEARS)</t>
  </si>
  <si>
    <t>RM-SPS-MIN-SDE-LBL</t>
  </si>
  <si>
    <t>SPINE SAFE MINI SAMPLE SIDE LABEL</t>
  </si>
  <si>
    <t>RM-STEEL-LEG-SET</t>
  </si>
  <si>
    <t>STEEL LEG WITH SET</t>
  </si>
  <si>
    <t>RM-TEND-PL-PLW-CVR</t>
  </si>
  <si>
    <t>TENDER PLUSH PILLOW COVER(PRINTED/LAMINATED POUCH)</t>
  </si>
  <si>
    <t>RM-THRD-QS-TKT40</t>
  </si>
  <si>
    <t>RM-THRD-QS-TKT40-GOLD</t>
  </si>
  <si>
    <t>TKT40  GOLD THREAD 3 PLY 7000 MTS</t>
  </si>
  <si>
    <t>RM-THRD-QS-TKT90</t>
  </si>
  <si>
    <t>THREAD TKT90 300D/1 PLY 16700MTS</t>
  </si>
  <si>
    <t>RM-THRD-TKT40-BLACK</t>
  </si>
  <si>
    <t>3 PLY POLYESTER THREAD 702/ TKT 40 BLACK 10000 MTR</t>
  </si>
  <si>
    <t>RM-TRT-SDE-LBL</t>
  </si>
  <si>
    <t>TARTANIA SIDE LABEL</t>
  </si>
  <si>
    <t>RM-WPP-LDPE-15.5X16X75MIC</t>
  </si>
  <si>
    <t>W.P PROTECTOR LDPE PLAIN SEAL KING BAG 15.5X16X2.5X75MIC</t>
  </si>
  <si>
    <t>RM-ZENIMO-SDE-LBL</t>
  </si>
  <si>
    <t>ZENIMO SIDE LABELS</t>
  </si>
  <si>
    <t>RM-ZENIMO-SDE-LBL-SMALL</t>
  </si>
  <si>
    <t>ZENIMO SMALL SIDE LABEL</t>
  </si>
  <si>
    <t>RM-ZENIMO-WCRD</t>
  </si>
  <si>
    <t>ZENIMO WARRANTY CARD</t>
  </si>
  <si>
    <t>RM-ZEN-MIN-SDE-LBL</t>
  </si>
  <si>
    <t>ZENIMO MINI SAMPLE SIDE LABEL</t>
  </si>
  <si>
    <t>RM-ZEN-NOT-LBL</t>
  </si>
  <si>
    <t>ZENIMO NO-TURN LABEL</t>
  </si>
  <si>
    <t>CMALPSILCSPY</t>
  </si>
  <si>
    <t>SILICON SPRAY-MAAXSIL 414</t>
  </si>
  <si>
    <t>HNDL-ROPE</t>
  </si>
  <si>
    <t>Mattresses Handle Rope</t>
  </si>
  <si>
    <t>HW-CTON-THREAD</t>
  </si>
  <si>
    <t>COTTON THREAD WHITE 3PLY</t>
  </si>
  <si>
    <t>HW-LP-CIRCLIP</t>
  </si>
  <si>
    <t>BREATHER WASHER</t>
  </si>
  <si>
    <t>HW-POWDER</t>
  </si>
  <si>
    <t>Powder</t>
  </si>
  <si>
    <t>HW-POWDER-BAG</t>
  </si>
  <si>
    <t>POWDER BAG</t>
  </si>
  <si>
    <t>PEPS-MAT-CVR-78X36X07</t>
  </si>
  <si>
    <t>PEPS MATRESS COVER 78X36X07</t>
  </si>
  <si>
    <t>PEPS-MAT-CVR-78X36X09</t>
  </si>
  <si>
    <t>PEPS MATRESS COVER 78X36X09</t>
  </si>
  <si>
    <t>PEPS-MAT-CVR-78X48X07</t>
  </si>
  <si>
    <t>PEPS MATRESS COVER 78X48X07</t>
  </si>
  <si>
    <t>PEPS-MAT-CVR-78X48X09</t>
  </si>
  <si>
    <t>PEPS MATRESS COVER 78X48X09</t>
  </si>
  <si>
    <t>PEPS-MAT-CVR-78X60X07</t>
  </si>
  <si>
    <t>PEPS MATRESS COVER 78X60X07</t>
  </si>
  <si>
    <t>PEPS-MAT-CVR-78X60X09</t>
  </si>
  <si>
    <t>PEPS MATRESS COVER 78X60X09</t>
  </si>
  <si>
    <t>PEPS-MAT-CVR-78X72X07</t>
  </si>
  <si>
    <t>PEPS MATRESS COVER 78X72X07</t>
  </si>
  <si>
    <t>PEPS-MAT-CVR-78X72X09</t>
  </si>
  <si>
    <t>PEPS MATRESS COVER 78X72X09</t>
  </si>
  <si>
    <t>PEPS-PILW-PTRJBOX</t>
  </si>
  <si>
    <t>PEPS PILLOW PROTECTOR BOX JUMBO</t>
  </si>
  <si>
    <t>PEPS-PILW-PTRRBOX</t>
  </si>
  <si>
    <t>PEPS PILLOW PROTECTOR REGULAR JUMBO</t>
  </si>
  <si>
    <t>RML-BAG-75.5X36.5X08</t>
  </si>
  <si>
    <t>PVC BAG 75.5WX36.5HX8G</t>
  </si>
  <si>
    <t>RML-BAG-75.5X36.5X10</t>
  </si>
  <si>
    <t>PVC BAG 75.5X36.5X10</t>
  </si>
  <si>
    <t>RML-BAG-75.5X36.5X10.5</t>
  </si>
  <si>
    <t>PVC BAG 75.5X36.5X10.5</t>
  </si>
  <si>
    <t>RML-BAG-75.5X36.5X8.5</t>
  </si>
  <si>
    <t>PVC BAG 75.5WX36.5HX8.5G</t>
  </si>
  <si>
    <t>RML-FLXI-SPN-PLW-BOX</t>
  </si>
  <si>
    <t>FLEXI SPINE PILLOW BOX 27"x5"x4" - 3 Ply</t>
  </si>
  <si>
    <t>RML-FLXI-SPN-PLW-WSCR-LBL</t>
  </si>
  <si>
    <t>FLEXI SPINE PILLOW WASH CARE LABEL</t>
  </si>
  <si>
    <t>RML-FLXI-SPN-PVC-HOSE</t>
  </si>
  <si>
    <t>FLEXI SPINE PVC HOSE 1/2" X 26"</t>
  </si>
  <si>
    <t>RML-FLX-STRAP-GRY</t>
  </si>
  <si>
    <t>FLEXI SPINE PILLOW STRAP GREY-12MM</t>
  </si>
  <si>
    <t>RML-FLX-STRAP-NVBL</t>
  </si>
  <si>
    <t>FLEXI SPINE PILLOW STRAP NAVY BLUE-12MM</t>
  </si>
  <si>
    <t>RML-FM-WHT-HANDLE</t>
  </si>
  <si>
    <t>FOAM MATTRESS WHITE WITH CREAM HANDLE</t>
  </si>
  <si>
    <t>RML-FOAMERA-WCRD</t>
  </si>
  <si>
    <t>FOAMERA 7 YEARS WARRANTY CARD</t>
  </si>
  <si>
    <t>RML-FOL-ROLWAY-COT</t>
  </si>
  <si>
    <t>FOLDING ROLLWAY COT 72"X36"</t>
  </si>
  <si>
    <t>RML-FTD-SHT-75X60</t>
  </si>
  <si>
    <t>PEPS FITTED SHEET 75X60</t>
  </si>
  <si>
    <t>RML-FTD-SHT-75X72</t>
  </si>
  <si>
    <t>PEPS FITTED SHEET 75X72</t>
  </si>
  <si>
    <t>RML-FTD-SHT-78X60</t>
  </si>
  <si>
    <t>PEPS FITTED SHEET 78X60</t>
  </si>
  <si>
    <t>RML-FTD-SHT-78X72</t>
  </si>
  <si>
    <t>PEPS FITTED SHEET 78X72</t>
  </si>
  <si>
    <t>RML-FUR-SDE-LBL</t>
  </si>
  <si>
    <t>FURNO  SIDE LABEL</t>
  </si>
  <si>
    <t>RML-FUR-WCRD</t>
  </si>
  <si>
    <t>FURNO 2 YEARS WARRANTY CARD</t>
  </si>
  <si>
    <t>RML-FUSI-LBL</t>
  </si>
  <si>
    <t>RML-GP-CRY-SDE-LBL</t>
  </si>
  <si>
    <t>CRYSTAL WHITE EMBROIDERY SIDE LABEL</t>
  </si>
  <si>
    <t>RML-GP-CRY-WCRD</t>
  </si>
  <si>
    <t>PEPS GP CRYSTAL WARRANTY CARD</t>
  </si>
  <si>
    <t>RML-GPS-WCRD</t>
  </si>
  <si>
    <t>PEPS GRAND PLAIS WARRANTY CARD</t>
  </si>
  <si>
    <t>RML-GRIPSTER-INS</t>
  </si>
  <si>
    <t>PEPS GRIPSTER INSERTER</t>
  </si>
  <si>
    <t>RML-GSS-TAG</t>
  </si>
  <si>
    <t>GSS PRICE TAG (COMMON)</t>
  </si>
  <si>
    <t>RML-GUM-TAPE</t>
  </si>
  <si>
    <t>Packing tape - Transparent - 2" (48MM Trnas Tape 55mtr)</t>
  </si>
  <si>
    <t>RML-GUM-TAPE-1INCH</t>
  </si>
  <si>
    <t>PACKING TAPE - TRANSPARENT - 1”</t>
  </si>
  <si>
    <t>RML-GUM-TAPE-3INCH</t>
  </si>
  <si>
    <t>Packing tape - Transparent - 3" (75MM Trnas Tape 55mtr)</t>
  </si>
  <si>
    <t>RML-HAG-SIDE-LBL</t>
  </si>
  <si>
    <t>HAGNIL SIDE LABEL</t>
  </si>
  <si>
    <t>RML-HAND-GLOVES</t>
  </si>
  <si>
    <t>HAND GLOVES ( NITRILE- COATED )</t>
  </si>
  <si>
    <t>RML-HAND-GLOVES-LIQ-RESI</t>
  </si>
  <si>
    <t>HAND GLOVES ( LIQUID RESISTANT )</t>
  </si>
  <si>
    <t>RML-HARM-BED-SHT-108X120</t>
  </si>
  <si>
    <t>HARMONIZE BED SHEET - SUPER KING 108X120 ( 1 + 2 )</t>
  </si>
  <si>
    <t>RML-HB-PLS-BUSH-BLK</t>
  </si>
  <si>
    <t>HEAD BORD PLASTIC BUSH-BLACK</t>
  </si>
  <si>
    <t>RML-HDPE-3"X3"</t>
  </si>
  <si>
    <t>HDPE BAGS. 3 Feet X 3 Feet</t>
  </si>
  <si>
    <t>RML-HDPE-5"X3"</t>
  </si>
  <si>
    <t>HDPE BAGS. 5 Feet X 3 Feet</t>
  </si>
  <si>
    <t>RML-HDPE-79X61X450</t>
  </si>
  <si>
    <t>HDPE BAGS 79X61X450MM</t>
  </si>
  <si>
    <t>RML-HDPE-79X61X750</t>
  </si>
  <si>
    <t>HDPE BAGS 79X61X750MM</t>
  </si>
  <si>
    <t>RML-HDPE-79X73X450</t>
  </si>
  <si>
    <t>HDPE BAGS 79X73X450MM</t>
  </si>
  <si>
    <t>RML-HDPE-79X73X750</t>
  </si>
  <si>
    <t>HDPE BAGS 79X73X750MM</t>
  </si>
  <si>
    <t>RML-HNDL-ALLURA-BLUE</t>
  </si>
  <si>
    <t>PEPS ALLURA BLUE HANDLE</t>
  </si>
  <si>
    <t>RML-HNDL-ALLURA-OR</t>
  </si>
  <si>
    <t>PEPS ALLURA ORANGE HANDLE</t>
  </si>
  <si>
    <t>RML-HNDL-ARD-BRN</t>
  </si>
  <si>
    <t>RESTONIC ARDENE BROWN HANDLE</t>
  </si>
  <si>
    <t>RML-HNDL-ARD-GREY</t>
  </si>
  <si>
    <t>RESTONIC ARDENE GREY HANDLE</t>
  </si>
  <si>
    <t>RML-HNDL-CAR-BLUE</t>
  </si>
  <si>
    <t>RESTONIC CAROUSEL BLUE HANDLE</t>
  </si>
  <si>
    <t>RML-HNDL-CAR-CRM</t>
  </si>
  <si>
    <t>RESTONIC CAROUSEL CREAM HANDLE</t>
  </si>
  <si>
    <t>RML-HNDL-CAR-PL-CRM</t>
  </si>
  <si>
    <t>RESTONIC CAROUSEL PLUSH CREAM HANDLE</t>
  </si>
  <si>
    <t>RML-HNDL-FTN-BLUE</t>
  </si>
  <si>
    <t>RESTONIC FONTAINE BLUE HANDLE</t>
  </si>
  <si>
    <t>RML-HNDL-FTN-BRN</t>
  </si>
  <si>
    <t>RESTONIC FONTAINE BROWN HANDLE</t>
  </si>
  <si>
    <t>RML-HNDL-GEN-OPU-BLUE</t>
  </si>
  <si>
    <t>RESTONIC GENEVA OPULENCE BLUE HANDLE</t>
  </si>
  <si>
    <t>RML-HNDL-GEN-OPU-CRM</t>
  </si>
  <si>
    <t>RESTONIC GENEVA OPULENCE CREAM HANDLE</t>
  </si>
  <si>
    <t>RML-HNDL-SAN-BG</t>
  </si>
  <si>
    <t>RESTONIC SANIBEL BEIGE HANDLE</t>
  </si>
  <si>
    <t>RML-HNDL-SAN-GREY</t>
  </si>
  <si>
    <t>RESTONIC SANIBEL GREY HANDLE</t>
  </si>
  <si>
    <t>RML-HNDL-SAN-MRN</t>
  </si>
  <si>
    <t>RESTONIC SANIBEL MAROON HANDLE</t>
  </si>
  <si>
    <t>RML-HR24</t>
  </si>
  <si>
    <t>C-RINGS HR24 (10000 PCS/CTN)</t>
  </si>
  <si>
    <t>RML-HSCF-15DX64MM</t>
  </si>
  <si>
    <t>15D X 64MM Hollow Siliconised Conjugate Fiber</t>
  </si>
  <si>
    <t>RML-HSCF-7DX64MM</t>
  </si>
  <si>
    <t>7D X 64MM HOLLOW SILICONISED CONJUGATE FIBER</t>
  </si>
  <si>
    <t>RML-HSRF-15DX64MM-TNDR</t>
  </si>
  <si>
    <t>TNDR - 15D X 64MM HOLLOW SILICONSED RECYCLE FIBER</t>
  </si>
  <si>
    <t>RML-HYP-ALU-MF-BAG-38</t>
  </si>
  <si>
    <t>HYPNOS ALLURE-MF MATTRESS ROLL PACKING BAG L38"XW21.5XD13"</t>
  </si>
  <si>
    <t>RML-HYP-ALU-MF-BAG-50</t>
  </si>
  <si>
    <t>HYPNOS ALLURE-MF MATTRESS ROLL PACKING BAG L50"XW21.5XD13"</t>
  </si>
  <si>
    <t>RML-HYP-ALU-MF-BAG-62</t>
  </si>
  <si>
    <t>HYPNOS ALLURE-MF MATTRESS ROLL PACKING BAG L62"XW21.5XD13"</t>
  </si>
  <si>
    <t>RML-HYP-ALU-MF-BAG-74</t>
  </si>
  <si>
    <t>HYPNOS ALLURE-MF MATTRESS ROLL PACKING BAG L74"XW21.5XD13"</t>
  </si>
  <si>
    <t>RML-HYP-FOM-SDE-LBL</t>
  </si>
  <si>
    <t>HYPNOS Foamera SIDE LABEL</t>
  </si>
  <si>
    <t>RML-HYP-HEASPC-WCRD</t>
  </si>
  <si>
    <t>HYPNOS HEAVENSPACE WARRANTY CARD</t>
  </si>
  <si>
    <t>RML-HYP-MAT-BROUCHER</t>
  </si>
  <si>
    <t>HYPNOS MATTRESS  BROCHURE</t>
  </si>
  <si>
    <t>RML-HYP-MEM-SDE-LBL</t>
  </si>
  <si>
    <t>HYPNOS MEMORIO SIDE LABEL</t>
  </si>
  <si>
    <t>RML-HYPNOS-MRP-LBL</t>
  </si>
  <si>
    <t>PEPS HYPNOS MRP LABEL</t>
  </si>
  <si>
    <t>RML-HYPNOS-MRP-LBL-RED</t>
  </si>
  <si>
    <t>HYPNOS MRP LABEL - (RED)</t>
  </si>
  <si>
    <t>RML-HYPNOS-MRP-LBL-YEL</t>
  </si>
  <si>
    <t>HYPNOS MRP LABEL - (YELLOW)</t>
  </si>
  <si>
    <t>RML-HYP-SPS-SDE-LBL</t>
  </si>
  <si>
    <t>HYPNOS SPINE SAFE SIDE LABEL</t>
  </si>
  <si>
    <t>RML-HYP-UNBOX-LBL</t>
  </si>
  <si>
    <t>HYPNOS MATTRESS UNBOXING GUIDE LABLE</t>
  </si>
  <si>
    <t>RML-HYP-WARR-TERM-LBL</t>
  </si>
  <si>
    <t>HYPNOS WARRANTY TERM LABEL</t>
  </si>
  <si>
    <t>RML-INS-SDE-LBL</t>
  </si>
  <si>
    <t>INSPREE SIDE LABEL</t>
  </si>
  <si>
    <t>RML-INSTI-JUMBO-GUST-PILLOW</t>
  </si>
  <si>
    <t>PEPS INSTITUTIONAL JUMBO PLUSH PILLOW- GUSSETTED</t>
  </si>
  <si>
    <t>RML-INSTI-STRGZ-PILLOW</t>
  </si>
  <si>
    <t>PEPS INSTITUTIONAL STARGAZE PILLOW</t>
  </si>
  <si>
    <t>RML-INSTI-STRGZ-PL-PILLOW</t>
  </si>
  <si>
    <t>PEPS INSTITUTIONAL STARGAZE PLUS PILLOW</t>
  </si>
  <si>
    <t>RML-INS-WCRD</t>
  </si>
  <si>
    <t>INSPREE 3 YEARS WARRANTY CARD</t>
  </si>
  <si>
    <t>RML-INV-ZIP-BLK</t>
  </si>
  <si>
    <t>INVISIBLE ZIPPER BLACK</t>
  </si>
  <si>
    <t>RML-INV-ZIP-CR-BLUE</t>
  </si>
  <si>
    <t>INVISIBLE ZIPPER CORAL BLUE</t>
  </si>
  <si>
    <t>RML-INV-ZIP-GRY</t>
  </si>
  <si>
    <t>INVISIBLE ZIPPER GREY</t>
  </si>
  <si>
    <t>RML-INV-ZIP-NV-BLUE</t>
  </si>
  <si>
    <t>INVISIBLE ZIPPER NAVY BLUE</t>
  </si>
  <si>
    <t>RML-INV-ZIP-RUN-BL</t>
  </si>
  <si>
    <t>INVISIBLE ZIPPER RUNNER - BLACK</t>
  </si>
  <si>
    <t>RML-PTR-WSCR-LBL</t>
  </si>
  <si>
    <t>PEPS WASH CARE LABLE</t>
  </si>
  <si>
    <t>RML-REWORK-STICKER</t>
  </si>
  <si>
    <t>REWORK STICKER YELLOW</t>
  </si>
  <si>
    <t>RML-REX-BEIGE</t>
  </si>
  <si>
    <t>REXINE FABRIC BEIGE</t>
  </si>
  <si>
    <t>RML-REX-DBLACK</t>
  </si>
  <si>
    <t>RML-REX-FBR-SPK-MR</t>
  </si>
  <si>
    <t>REXINE FABRIC MAROON</t>
  </si>
  <si>
    <t>RML-REX-GREY</t>
  </si>
  <si>
    <t>REXINE FABRIC GREY</t>
  </si>
  <si>
    <t>RML-REX-WHITE</t>
  </si>
  <si>
    <t>MS 2000(STD) REXINE FABRIC WHITE</t>
  </si>
  <si>
    <t>RML-RIB-YEL</t>
  </si>
  <si>
    <t>RIBBON YELLOW</t>
  </si>
  <si>
    <t>RML-ROUND-STK-CLR</t>
  </si>
  <si>
    <t>45MM ROUND COLOR STICKER ( 9 ASSORTED COLORS)</t>
  </si>
  <si>
    <t>RML-RTC-ETAPE-LBLUE</t>
  </si>
  <si>
    <t>EDGE TAPE. L BLUE</t>
  </si>
  <si>
    <t>RML-RTC-PLUSH-WCRD</t>
  </si>
  <si>
    <t>PEPS RESTONIC PLUSH WARRANTY CARD</t>
  </si>
  <si>
    <t>RML-RTC-POC-WCRD</t>
  </si>
  <si>
    <t>PEPS RESTONIC POC WARRANTY CARD</t>
  </si>
  <si>
    <t>RML-RTC-WCRD</t>
  </si>
  <si>
    <t>PEPS RESTONIC WARRANTY CARD</t>
  </si>
  <si>
    <t>RML-RUNNER</t>
  </si>
  <si>
    <t>Zipper Runner</t>
  </si>
  <si>
    <t>RML-RUNNER-SLVR</t>
  </si>
  <si>
    <t>Zipper Runner Silver No-8</t>
  </si>
  <si>
    <t>RML-SAMP-FIBER</t>
  </si>
  <si>
    <t>SAMPLE - POLYESTER FIBER</t>
  </si>
  <si>
    <t>RML-SAMP-LBL</t>
  </si>
  <si>
    <t>SAMPLE</t>
  </si>
  <si>
    <t>RML-SCRW-0.75INCH</t>
  </si>
  <si>
    <t>STAR SCREW BLACK -0.75"</t>
  </si>
  <si>
    <t>RML-SCRW-1.25INCH</t>
  </si>
  <si>
    <t>STAR SCREW BLACK -1.25"</t>
  </si>
  <si>
    <t>RML-SCRW-1.5INCH</t>
  </si>
  <si>
    <t>STAR SCREW BLACK - 1.5"</t>
  </si>
  <si>
    <t>RML-SCRW-1INCH</t>
  </si>
  <si>
    <t>STAR SCREW BLACK -1"</t>
  </si>
  <si>
    <t>RML-SCRW-2INCH</t>
  </si>
  <si>
    <t>STAR SCREW BLACK - 2"</t>
  </si>
  <si>
    <t>RML-SPGF-CNR-LBL</t>
  </si>
  <si>
    <t>PEPS SPINE GUARD FOAM CORNER LABEL 7 YEARS</t>
  </si>
  <si>
    <t>RML-SPGF-SDE-LBL</t>
  </si>
  <si>
    <t>SPINE GUARD  SIDE LABEL -SIZE:21CMX9CM (PU FOAM MATTRESS) 7YRS BLACK</t>
  </si>
  <si>
    <t>RML-SPGF-WCRD</t>
  </si>
  <si>
    <t>PEPS SPINE GUARD FOAM WARRANTY CARD (7YERAS)</t>
  </si>
  <si>
    <t>RML-SPG-HNDL</t>
  </si>
  <si>
    <t>SPINE GUARD GREY HANDLE</t>
  </si>
  <si>
    <t>RML-SPG-MRP-LBL</t>
  </si>
  <si>
    <t>PEPS SPINE GUARD MRP LABEL</t>
  </si>
  <si>
    <t>RML-SPGS-SDE-LBL</t>
  </si>
  <si>
    <t>SPINE GUARD  SIDE LABEL-SIZE:21CMX9CM  (INNER SPRING) 10YRS BLACK</t>
  </si>
  <si>
    <t>RML-SPGS-WCRD</t>
  </si>
  <si>
    <t>PEPS SPINE GUARD SPRING WARRANTY CARD(10YEARS)</t>
  </si>
  <si>
    <t>RML-SPINESAFE-WCRD</t>
  </si>
  <si>
    <t>SPINE SAFE 7 Years WARRANTY CARD</t>
  </si>
  <si>
    <t>RML-SPK-CNR-LBL</t>
  </si>
  <si>
    <t>PEPS SPRINGKOIL CORNER LABEL (LOCAL)</t>
  </si>
  <si>
    <t>RML-SPK-CT-SDE-LBL</t>
  </si>
  <si>
    <t>PEPS SPRINGKOIL CROWN TOP SIDE LABEL</t>
  </si>
  <si>
    <t>RML-SPK-CT-WCRD</t>
  </si>
  <si>
    <t>PEPS SPRINGKOIL CROWN TOP WARRANTY CARD</t>
  </si>
  <si>
    <t>RML-SPK-ETAPE-FRGRY</t>
  </si>
  <si>
    <t>EDGE TAPE. FR GREY</t>
  </si>
  <si>
    <t>RML-SPK-WCRD</t>
  </si>
  <si>
    <t>PEPS SPRINGKOIL WARRANTY CARD</t>
  </si>
  <si>
    <t>RML-SS-CNR-LBL</t>
  </si>
  <si>
    <t>PEPS SPRING SOFT CORNER LABEL</t>
  </si>
  <si>
    <t>RML-SSF-DB-FBR</t>
  </si>
  <si>
    <t>SPRING SOFT DARK BLUE PANEL &amp; BORDER FABRIC</t>
  </si>
  <si>
    <t>RML-SSF-EDTAPE</t>
  </si>
  <si>
    <t>EDGE TAPE. SPRING SOFT</t>
  </si>
  <si>
    <t>RML-SS-MRP-LBL</t>
  </si>
  <si>
    <t>PEPS SPRING SOFT MRP LABEL</t>
  </si>
  <si>
    <t>RML-STPLR-PIN8012</t>
  </si>
  <si>
    <t>STAPLER PIN 8012 (100000 PCS/CTN)</t>
  </si>
  <si>
    <t>RML-STPLR-PIN9025</t>
  </si>
  <si>
    <t>STAPLER PIN 9025 (50000 PCS/CTN)</t>
  </si>
  <si>
    <t>RML-STPLR-PIN9030</t>
  </si>
  <si>
    <t>STAPLER PIN 9030 (30,000 PCS/CTN)</t>
  </si>
  <si>
    <t>RML-STPLR-PIN-N-50</t>
  </si>
  <si>
    <t>STAPLER PIN N-50 (10500 PCS/CTN)</t>
  </si>
  <si>
    <t>RML-STRAP-ROLL</t>
  </si>
  <si>
    <t>12MM PACKING STRAP ROLL</t>
  </si>
  <si>
    <t>RML-STR-FILM-68INCH</t>
  </si>
  <si>
    <t>STRETCH FILM - 68"</t>
  </si>
  <si>
    <t>RML-STR-FILM-80INCH</t>
  </si>
  <si>
    <t>STRETCH FILM - 80"</t>
  </si>
  <si>
    <t>RML-STRGZ-PILLOW</t>
  </si>
  <si>
    <t>PEPS STARGAZE PILLOW</t>
  </si>
  <si>
    <t>RML-STRGZ-PL-PILLOW</t>
  </si>
  <si>
    <t>PEPS STARGAZE PLUS PILLOW</t>
  </si>
  <si>
    <t>RML-STRGZ-PL-PLW-CVR</t>
  </si>
  <si>
    <t>PEPS STARGAZE PLUSH PILLOW COVER</t>
  </si>
  <si>
    <t>RML-STRGZ-PL-PLW-WSCR-LBL</t>
  </si>
  <si>
    <t>PEPS STARGAZE PLUSH PILLOW WASH CARE LABEL</t>
  </si>
  <si>
    <t>RML-STRGZ-PLW-CVR</t>
  </si>
  <si>
    <t>PEPS STARGAZE PILLOW COVER</t>
  </si>
  <si>
    <t>RML-STRGZ-PLW-WSCR-LBL</t>
  </si>
  <si>
    <t>PEPS STARGAZE PILLOW WASH CARE LABEL</t>
  </si>
  <si>
    <t>RML-STW-1.4MM</t>
  </si>
  <si>
    <t>1.4 MM UPHOLSTRY STEEL WIRE</t>
  </si>
  <si>
    <t>RML-STW-1.7MM</t>
  </si>
  <si>
    <t>STEEL WIRE 1.7 MMDIA.</t>
  </si>
  <si>
    <t>RML-STW-1.8MM</t>
  </si>
  <si>
    <t>STEEL WIRE 1.8 MMDIA.</t>
  </si>
  <si>
    <t>SAMPLE-STAND</t>
  </si>
  <si>
    <t>PEPS MINI SAMPLE STAND- 3 RACK</t>
  </si>
  <si>
    <t>SAMPLE-STAND-5RACK</t>
  </si>
  <si>
    <t>PEPS MINI SAMPLE STAND- 5 RACK ( 84"X18")</t>
  </si>
  <si>
    <t>SBLGPS</t>
  </si>
  <si>
    <t>SFG-ORG-PNL-86X74</t>
  </si>
  <si>
    <t>Peps Organica quilt panel - 78"X60" ( 85x67)</t>
  </si>
  <si>
    <t>SFG-ORG-PNL-99X86</t>
  </si>
  <si>
    <t>Peps Organica quilt panel - 99"X86"</t>
  </si>
  <si>
    <t>FB-MATT-BACK-PANL</t>
  </si>
  <si>
    <t>MATTRESS BACK PANEL FABRIC</t>
  </si>
  <si>
    <t>FBR-ALLURA-BR-OR</t>
  </si>
  <si>
    <t>ALLURA BLUE ORANGE BORDER FABRIC</t>
  </si>
  <si>
    <t>FBR-ALLURA-BR-ST-GREY</t>
  </si>
  <si>
    <t>ALLURA STEEL GREY BORDER FABRIC</t>
  </si>
  <si>
    <t>FBR-ALLURA-PNL-OR</t>
  </si>
  <si>
    <t>ALLURA BLUE ORANGE PANEL FABRIC</t>
  </si>
  <si>
    <t>FBR-ALLURA-PNL-ST-GREY</t>
  </si>
  <si>
    <t>ALLURA STEEL GREY PANEL FABRIC</t>
  </si>
  <si>
    <t>FBR-ARD-BAHB-REXIN-BRN</t>
  </si>
  <si>
    <t>ARDENE BASE &amp; HEAD BOARD BROWN REXIN</t>
  </si>
  <si>
    <t>FBR-ARD-BAHB-REXIN-GREY</t>
  </si>
  <si>
    <t>ARDENE BASE &amp; HEAD BOARD GREY REXIN</t>
  </si>
  <si>
    <t>FBR-ARD-BR-DBRN</t>
  </si>
  <si>
    <t>RESTONIC ARDENE DARK BROWN BORDER FABRIC</t>
  </si>
  <si>
    <t>FBR-ARD-BR-DGRY</t>
  </si>
  <si>
    <t>RESTONIC ARDENE DARK GREY BORDER FABRIC</t>
  </si>
  <si>
    <t>FBR-ARD-BR-LBRN</t>
  </si>
  <si>
    <t>RESTONIC ARDENE LIGHT BROWN BORDER FABRIC</t>
  </si>
  <si>
    <t>FBR-ARD-BR-LGRY</t>
  </si>
  <si>
    <t>RESTONIC ARDENE LIGHT GREY BORDER FABRIC</t>
  </si>
  <si>
    <t>FBR-ARD-PLUSH-BR-BLUE</t>
  </si>
  <si>
    <t>RESTONIC ARDENE PLUSH BLUE BORDER FABRIC</t>
  </si>
  <si>
    <t>FBR-ARD-PLUSH-PNL-BLUE</t>
  </si>
  <si>
    <t>RESTONIC ARDENE PLUSH BLUE PANEL FABRIC</t>
  </si>
  <si>
    <t>FBR-ARD-PNL-BRN</t>
  </si>
  <si>
    <t>RESTONIC ARDENE BROWN PANEL FABRIC</t>
  </si>
  <si>
    <t>FBR-ARD-PNL-GRY</t>
  </si>
  <si>
    <t>RESTONIC ARDENE GREY PANEL FABRIC</t>
  </si>
  <si>
    <t>FBR-ARM-GD-PLW-WHT</t>
  </si>
  <si>
    <t>ARM GUARD PILLOW FABRIC WHITE</t>
  </si>
  <si>
    <t>FBR-BOL-BLUE</t>
  </si>
  <si>
    <t>Bolster Fabric Blue 48" Width ( Audi # Design.No:101, Colour Code:10)</t>
  </si>
  <si>
    <t>FBR-BOL-CRM</t>
  </si>
  <si>
    <t>Bolster Fabric Cream 48" Width ( Audi # Design.No:101, Colour Code:02)</t>
  </si>
  <si>
    <t>FBR-BOL-GLBG</t>
  </si>
  <si>
    <t>Bolster Fabric Golden Beige 48" Width ( Audi # Design.No:101, Colour Code:05)</t>
  </si>
  <si>
    <t>FBR-BOL-GRN</t>
  </si>
  <si>
    <t>Bolster Fabric Green 48" Width ( Audi # Design.No:101, Colour Code:09)</t>
  </si>
  <si>
    <t>FBR-BOL-MRN</t>
  </si>
  <si>
    <t>Bolster Fabric Maroon 48" Width ( Audi # Design.No:101, Colour Code:08)</t>
  </si>
  <si>
    <t>FBR-BOL-WHT</t>
  </si>
  <si>
    <t>Bolster Fabric White 48" Width ( Audi # Design.No:101, Colour Code:01)</t>
  </si>
  <si>
    <t>FBR-CAM-BAHB-REX-BLUE</t>
  </si>
  <si>
    <t>CAMEO BASE &amp; HEAD BOARD REXIN - BLUE</t>
  </si>
  <si>
    <t>FBR-CAMEO-BR-BL</t>
  </si>
  <si>
    <t>CAMEO BLACK BORDER FABRIC</t>
  </si>
  <si>
    <t>FBR-CAMEO-BR-NB</t>
  </si>
  <si>
    <t>CAMEO NAVY BLUE BORDER FABRIC</t>
  </si>
  <si>
    <t>FBR-CAMEO-PEBBLY-MILD-PNL</t>
  </si>
  <si>
    <t>CAMEO PEBBLY - MILD PANEL FABRIC</t>
  </si>
  <si>
    <t>FBR-CAMEO-PEBBLY-VIBR-PNL</t>
  </si>
  <si>
    <t>CAMEO PEBBLY - VIBRANT PANEL FABRIC</t>
  </si>
  <si>
    <t>FBR-CAMEO-STONY-MILD-PNL</t>
  </si>
  <si>
    <t>CAMEO STONY - MILD PANEL FABRIC</t>
  </si>
  <si>
    <t>FBR-CAMEO-STONY-VIBR-PNL</t>
  </si>
  <si>
    <t>CAMEO STONY - VIBRANT PANEL FABRIC</t>
  </si>
  <si>
    <t>FBR-CAMEO-ULT-COSMIC-PNL</t>
  </si>
  <si>
    <t>CAMEO ULTRA - COSMIC PANEL FABRIC</t>
  </si>
  <si>
    <t>FBR-CAMEO-ULT-HALOS-PNL</t>
  </si>
  <si>
    <t>CAMEO ULTRA - HALOS PANEL FABRIC</t>
  </si>
  <si>
    <t>FBR-CAR-BR-BLUE</t>
  </si>
  <si>
    <t>RESTONIC CAROUSEL BLUE BORDER FABRIC</t>
  </si>
  <si>
    <t>FBR-CAR-BR-CREAM</t>
  </si>
  <si>
    <t>RESTONIC CAROUSEL CREAM BORDER FABRIC</t>
  </si>
  <si>
    <t>FBR-CAR-CUS-BLK</t>
  </si>
  <si>
    <t>HI STYLE MEMORY MOULDED CAR CUSHION FABRIC BLACK</t>
  </si>
  <si>
    <t>FBR-CAR-PLUSH-BR-CRM</t>
  </si>
  <si>
    <t>RESTONIC CAROUSEL  PLUSH CREAM BORDER FABRIC</t>
  </si>
  <si>
    <t>FBR-CAR-PLUSH-PNL-CRM</t>
  </si>
  <si>
    <t>Restonic Carousel Plush Cream Panel Fabric</t>
  </si>
  <si>
    <t>FBR-CAR-PNL-BLUE</t>
  </si>
  <si>
    <t>RESTONIC CAROUSEL BLUE PANEL FABRIC</t>
  </si>
  <si>
    <t>FBR-CAR-PNL-CREAM</t>
  </si>
  <si>
    <t>RESTONIC CAROUSEL CREAM PANEL FABRIC</t>
  </si>
  <si>
    <t>FBR-CASPIA-BR-MRN</t>
  </si>
  <si>
    <t>CASPIA MAROON BORDER FABRIC</t>
  </si>
  <si>
    <t>FBR-CASPIA-BR-NB</t>
  </si>
  <si>
    <t>CASPIA NAVY BLUE BORDER FABRIC</t>
  </si>
  <si>
    <t>FBR-CASPIA-PNL-MRN</t>
  </si>
  <si>
    <t>CASPIA MAROON PANEL FABRIC</t>
  </si>
  <si>
    <t>FBR-CASPIA-PNL-NB</t>
  </si>
  <si>
    <t>CASPIA NAVY BLUE PANEL FABRIC</t>
  </si>
  <si>
    <t>FBR-CRW-GUSSET-LBW</t>
  </si>
  <si>
    <t>CROWN TOP GUSSET FABRIC LIGHT BROWN</t>
  </si>
  <si>
    <t>FBR-CRY-BAHB-REXIN-BLK</t>
  </si>
  <si>
    <t>CRYSTAL BASE &amp; HEAD BOARD BLACK REXIN</t>
  </si>
  <si>
    <t>FBR-CRY-BR-CRM</t>
  </si>
  <si>
    <t>CRYSTAL GP CREAM BORDER FABRIC</t>
  </si>
  <si>
    <t>FBR-CRY-BR-WHT</t>
  </si>
  <si>
    <t>CRYSTAL GP WHITE BORDER FABRIC</t>
  </si>
  <si>
    <t>FBR-CRY-PNL-CRM</t>
  </si>
  <si>
    <t>CRYSTAL GP CREAM PANEL FABRIC</t>
  </si>
  <si>
    <t>FBR-CRY-PNL-WHT</t>
  </si>
  <si>
    <t>CRYSTAL GP WHITE PANEL FABRIC</t>
  </si>
  <si>
    <t>FBR-CRY-REX-CRM</t>
  </si>
  <si>
    <t>CRYSTAL MATTRESS CREAM REXIN FABRIC</t>
  </si>
  <si>
    <t>FBR-DD-BAHB-REXIN-CRM</t>
  </si>
  <si>
    <t>DOUBLE DECKER BASE &amp; HEAD BOARD CREAM REXIN FABRIC</t>
  </si>
  <si>
    <t>FBR-DD-PNL-CREAM</t>
  </si>
  <si>
    <t>DOUBLEDECKER CREAM PANEL FABRIC</t>
  </si>
  <si>
    <t>FBR-DMC-DN21D657-FN297976</t>
  </si>
  <si>
    <t>DAMA COLLECTION DESIGN NAME - 21D657 FABRIC NO: 297976</t>
  </si>
  <si>
    <t>FBR-DMC-DN21D657-FN297978</t>
  </si>
  <si>
    <t>DAMA COLLECTION DESIGN NAME - 21D657 FABRIC NO: 297978</t>
  </si>
  <si>
    <t>FBR-EMB-PNL-MRN</t>
  </si>
  <si>
    <t>CROWN TOP PANEL FABRIC - MAROON (100% POLY X 170GSM)</t>
  </si>
  <si>
    <t>FBR-EMB-PNL-NBLU</t>
  </si>
  <si>
    <t>CROWN TOP PANEL FABRIC - NAVY BLUE (100% POLY X 170GSM)</t>
  </si>
  <si>
    <t>FBR-EMB-PNL-SIL-GRE</t>
  </si>
  <si>
    <t>CROWN TOP PANEL FABRIC- SILVER GREY (100% POLY X 170GSM)</t>
  </si>
  <si>
    <t>FBR-F-3403/1</t>
  </si>
  <si>
    <t>CUSHION FABRIC LIGHT BLUE-F-3403/1</t>
  </si>
  <si>
    <t>FBR-F-3403/22</t>
  </si>
  <si>
    <t>BOLSTER FABRIC D.BLUE F-3403/22</t>
  </si>
  <si>
    <t>FBR-F-3403/3</t>
  </si>
  <si>
    <t>CUSHION FABRIC D.BLUE F-3403/3</t>
  </si>
  <si>
    <t>FBR-F-3403/6</t>
  </si>
  <si>
    <t>CUSHION FABRIC BEIGE F-3403/6</t>
  </si>
  <si>
    <t>FBR-F-3460/17</t>
  </si>
  <si>
    <t>BOLSTER FABRIC RED F-3460/17</t>
  </si>
  <si>
    <t>FBR-F-3460/20</t>
  </si>
  <si>
    <t>BOLSTER FABRIC L.BLUE F-3460/20</t>
  </si>
  <si>
    <t>FBR-F-3460/25</t>
  </si>
  <si>
    <t>BOLSTER FABRIC ORANGE F-3460/25</t>
  </si>
  <si>
    <t>FBR-F-3465/28</t>
  </si>
  <si>
    <t>CUSHION FABRIC GOLDEN BEIGE F-3465/28</t>
  </si>
  <si>
    <t>FBR-FOM-PNLBR-BLUE</t>
  </si>
  <si>
    <t>Foamera BLUE PANEL &amp; BORDER FABRIC</t>
  </si>
  <si>
    <t>FBR-FOM-PNLBR-BRN</t>
  </si>
  <si>
    <t>Foamera BROWN PANEL&amp;BORDER  FABRIC</t>
  </si>
  <si>
    <t>FBR-FOM-PNLBR-MRN</t>
  </si>
  <si>
    <t>Foamera MAROON PANEL&amp;BORDER  FABRIC</t>
  </si>
  <si>
    <t>FBR-FON-BR-BLUE</t>
  </si>
  <si>
    <t>RESTONIC FONTAINE LIGHT BLUE BORDER FABRIC</t>
  </si>
  <si>
    <t>FBR-FON-BR-BRN</t>
  </si>
  <si>
    <t>RESTONIC FONTAINE BROWN BORDER FABRIC</t>
  </si>
  <si>
    <t>FBR-FON-ET-BLUE-REXI</t>
  </si>
  <si>
    <t>RESTONIC FONTAINE ET BLUE REXIN FABRIC</t>
  </si>
  <si>
    <t>FBR-FON-PNL-BLUE</t>
  </si>
  <si>
    <t>RESTONIC FONTAINE LIGHT BLUE PANEL FABRIC</t>
  </si>
  <si>
    <t>FBR-FON-PNL-BRN</t>
  </si>
  <si>
    <t>RESTONIC FONTAINE BROWN PANEL FABRIC</t>
  </si>
  <si>
    <t>FBR-FR</t>
  </si>
  <si>
    <t>HOTEL MOTEL FR WOVEN FABRIC</t>
  </si>
  <si>
    <t>FBR-FR-BR</t>
  </si>
  <si>
    <t>HOTEL MOTEL FR BORDER FABRIC</t>
  </si>
  <si>
    <t>FBR-FR-KNIT-CREAM</t>
  </si>
  <si>
    <t>HOTEL MOTEL FR KNITTED CREAM FABRIC</t>
  </si>
  <si>
    <t>FBR-FR-KNIT-GREY</t>
  </si>
  <si>
    <t>HOTEL MOTEL FR KNITTED GREY FABRIC</t>
  </si>
  <si>
    <t>FBR-FR-KNIT-STRIPE</t>
  </si>
  <si>
    <t>HOTEL MOTEL FR KNITTED STRIPE FABRIC</t>
  </si>
  <si>
    <t>FBR-FUR-PNLBR-DB</t>
  </si>
  <si>
    <t>FURNO DARK BLUE PANEL BORDER FABRIC</t>
  </si>
  <si>
    <t>FBR-FUR-PNLBR-MRN</t>
  </si>
  <si>
    <t>FURNO MAROON PANEL BORDER FABRIC</t>
  </si>
  <si>
    <t>FBR-GEN-OPU-BR-BG</t>
  </si>
  <si>
    <t>GENEVA OPULENCE BEIGE BORDER FABRIC</t>
  </si>
  <si>
    <t>FBR-GEN-OPU-BR-BLUE</t>
  </si>
  <si>
    <t>GENEVA OPULENCE LIGHT BLUE BORDER FABRIC</t>
  </si>
  <si>
    <t>FBR-GEN-PNL-BG</t>
  </si>
  <si>
    <t>GENEVA BEIGE PANEL FABRIC</t>
  </si>
  <si>
    <t>FBR-GEN-PNL-BLUE</t>
  </si>
  <si>
    <t>GENEVA LIGHT BLUE PANEL FABRIC</t>
  </si>
  <si>
    <t>FBR-GP-BAHB-REXIN-BG</t>
  </si>
  <si>
    <t>GRAND PALAIS BASE &amp; HEAD BOARD BEIGE REXIN FABRIC</t>
  </si>
  <si>
    <t>FBR-GP-BR-BRN</t>
  </si>
  <si>
    <t>GRANDPALAIS BROWN REXINE BORDER FABRIC</t>
  </si>
  <si>
    <t>FBR-GP-BR-LT-BRN</t>
  </si>
  <si>
    <t>GRANDPALAIS LIGHT BROWN REXINE BORDER FABRIC</t>
  </si>
  <si>
    <t>FBR-GP-BR-LT-GRY</t>
  </si>
  <si>
    <t>GRANDPALAIS LIGHT GREY REXINE BORDER FABRIC</t>
  </si>
  <si>
    <t>FBR-GP-GR-BRN</t>
  </si>
  <si>
    <t>GRANDPALAIS GREY REXINE BORDER FABRIC</t>
  </si>
  <si>
    <t>FBR-GP-PNL-BRN</t>
  </si>
  <si>
    <t>GRANDPALAIS BROWN PANEL FABRIC</t>
  </si>
  <si>
    <t>FBR-GP-PNL-GREY</t>
  </si>
  <si>
    <t>GRANDPALAIS GREY PANEL FABRIC</t>
  </si>
  <si>
    <t>FBR-GRIP-BLACK</t>
  </si>
  <si>
    <t>PEPS GRIPSTER BLACK FABRIC</t>
  </si>
  <si>
    <t>FBR-GRIP-BTM-BL</t>
  </si>
  <si>
    <t>Gripster Blue Bottom Fabric</t>
  </si>
  <si>
    <t>FBR-GRIP-NVBLUE</t>
  </si>
  <si>
    <t>PEPS GRIPSTER NAVY BLUE FABRIC</t>
  </si>
  <si>
    <t>FBR-HEADBORD-BCK-FABRIC</t>
  </si>
  <si>
    <t>HEADBORD BACK FABRIC</t>
  </si>
  <si>
    <t>FBR-HYP-HEVSPC-BR</t>
  </si>
  <si>
    <t>HYPNOS HEAVENSPACE BORDER FABRIC</t>
  </si>
  <si>
    <t>FBR-HYP-HEVSPC-PNL-BLU</t>
  </si>
  <si>
    <t>HYPNOS HEAVENSPACE PANEL FABRIC</t>
  </si>
  <si>
    <t>REVIT-NECK-PILLOW</t>
  </si>
  <si>
    <t>NECK PILLOW REVIT BUTTON</t>
  </si>
  <si>
    <t>REVIT-ZENIMO</t>
  </si>
  <si>
    <t>Revit for Zenimo Mattress</t>
  </si>
  <si>
    <t>RM-ACS-PLN-MRP-LBL</t>
  </si>
  <si>
    <t>ACCESSORIES PLAIN MRP LABEL</t>
  </si>
  <si>
    <t>RM-ALLURA-SDE-LBL</t>
  </si>
  <si>
    <t>PEPS ALLURA SIDE LABEL</t>
  </si>
  <si>
    <t>RM-ALLURA-WCRD</t>
  </si>
  <si>
    <t>PEPS ALLURA WARRANTY CARD</t>
  </si>
  <si>
    <t>RM-ARD-PLUSH-SDE-LBL</t>
  </si>
  <si>
    <t>ARDENE PLUSH SIDE LABEL</t>
  </si>
  <si>
    <t>RM-BATH-MAT-20X30</t>
  </si>
  <si>
    <t>PEPS BATH MAT 20X30"</t>
  </si>
  <si>
    <t>RM-BATH-TOWEL-60X30</t>
  </si>
  <si>
    <t>PEPS BATH TOWEL 60X30"</t>
  </si>
  <si>
    <t>RM-BED-SHT-PLN-108X108-WOPC</t>
  </si>
  <si>
    <t>PEPS 108X108 PLAIN BED SHEET</t>
  </si>
  <si>
    <t>RM-BLK-ZIP-68INCH</t>
  </si>
  <si>
    <t>Mattress Black Zip 68inch</t>
  </si>
  <si>
    <t>RM-BREATHER-GOLD-FR</t>
  </si>
  <si>
    <t>FR MATTRESS BREATHER SET GOLD</t>
  </si>
  <si>
    <t>RM-BREATHER-TNDR</t>
  </si>
  <si>
    <t>TNDR - MATTRESS BREATHER</t>
  </si>
  <si>
    <t>RM-CAMEO-NOT-LBL</t>
  </si>
  <si>
    <t>CAMEO NO-TURN LABEL</t>
  </si>
  <si>
    <t>RML-BAL-STRA-CLIP</t>
  </si>
  <si>
    <t>BALE STRAPING CLIP - 1.5"</t>
  </si>
  <si>
    <t>RML-BAR-LBL-150X100MM</t>
  </si>
  <si>
    <t>BAR CODE LABEL PLAIN 150X100MM</t>
  </si>
  <si>
    <t>RML-BASE-CON-BARS</t>
  </si>
  <si>
    <t>BASE CONNECTING BARS</t>
  </si>
  <si>
    <t>RML-BASHB-ALLN-KEY</t>
  </si>
  <si>
    <t>BASE &amp; HEAD BOARD ALLEN KEY - 5.5MM</t>
  </si>
  <si>
    <t>RML-BASHB-CLAMP-BLK</t>
  </si>
  <si>
    <t>BASE AND H/BOARD CLAMP-BLACK</t>
  </si>
  <si>
    <t>RML-BC-LBL-80X25</t>
  </si>
  <si>
    <t>80MMX25MM PLAIN PAPER LABELS</t>
  </si>
  <si>
    <t>RML-BC-RIB-90X300</t>
  </si>
  <si>
    <t>90MMX300MTRS - THERMAL TRANSFER RIBBON</t>
  </si>
  <si>
    <t>RML-BDLN90X100</t>
  </si>
  <si>
    <t>PEPS KOMFFY 100% SUPER COOL COTTON BED LINEN 90" X 100"</t>
  </si>
  <si>
    <t>RML-BEDSHEET-INS</t>
  </si>
  <si>
    <t>BED SHEET INSERTER</t>
  </si>
  <si>
    <t>RML-BED-SHT-100X110-4PC</t>
  </si>
  <si>
    <t>PEPS 100 X 110 BED SHEET WITH 4 PILLOW COVERS</t>
  </si>
  <si>
    <t>RML-BLK-BUSH</t>
  </si>
  <si>
    <t>BLACK RUBBER  BUSH FOR WOODEN CUSHION</t>
  </si>
  <si>
    <t>RML-BLK-TAPE</t>
  </si>
  <si>
    <t>12MM BLACK LOPPY TAPE</t>
  </si>
  <si>
    <t>RML-BLK-ZIP-NO-5</t>
  </si>
  <si>
    <t>BLACK ZIPPER NO-5</t>
  </si>
  <si>
    <t>RML-BLNK-BAG-DOUBLE</t>
  </si>
  <si>
    <t>PEPS POLAR FLEECE BLANKET PVC BAG DOUBLE 18WX9G</t>
  </si>
  <si>
    <t>RML-BLNK-BAG-SINGLE</t>
  </si>
  <si>
    <t>PEPS POLAR FLEECE BLANKET PVC BAG SINGLE 15WX8G</t>
  </si>
  <si>
    <t>RML-BOL-BUTTON</t>
  </si>
  <si>
    <t>BOLSTER ROPE TIGHT BUTTON</t>
  </si>
  <si>
    <t>RML-BOL-PVC-BAG</t>
  </si>
  <si>
    <t>BOLSTER PVC BLUE BAG 33"WX14.5"H</t>
  </si>
  <si>
    <t>RML-BOL-PVC-BAG-36.5X15.5</t>
  </si>
  <si>
    <t>PEPS BOLSTER PVC BAG 36.5X15.5</t>
  </si>
  <si>
    <t>RML-BOL-ROPE</t>
  </si>
  <si>
    <t>BOLSTER ROPE</t>
  </si>
  <si>
    <t>RML-BOLSTER-INS</t>
  </si>
  <si>
    <t>Histyle Bolster Inserter L30.5XW8</t>
  </si>
  <si>
    <t>RML-BUT-RUBBER</t>
  </si>
  <si>
    <t>RUBBER BUTTON</t>
  </si>
  <si>
    <t>RML-CAM-HB-COR-GURD-SIL</t>
  </si>
  <si>
    <t>CAMEO HEADBOARD METAL CORNER GUARD - SILVER (PLAIN)</t>
  </si>
  <si>
    <t>RML-CAR-CUS-INS</t>
  </si>
  <si>
    <t>HISTYLE MEMORY MOULDED CAR CUSHION INSERTER</t>
  </si>
  <si>
    <t>RML-CAR-NK-PLW-BOX</t>
  </si>
  <si>
    <t>PEPS CAR NECK MOULDED PILLOW BOX</t>
  </si>
  <si>
    <t>RML-CB-DD</t>
  </si>
  <si>
    <t>PEPS DOUBLE DECKER CENTRE BAND</t>
  </si>
  <si>
    <t>RML-CB-DRM-GOLD</t>
  </si>
  <si>
    <t>PEPS DREAM MAKERS CENTRE BAND-GOLD</t>
  </si>
  <si>
    <t>RML-CB-DRM-MAK</t>
  </si>
  <si>
    <t>PEPS DREAM MAKERS CENTRE BAND</t>
  </si>
  <si>
    <t>RML-CB-DRM-SLVR</t>
  </si>
  <si>
    <t>PEPS DREAM MAKERS CENTRE BAND-SILVER</t>
  </si>
  <si>
    <t>RML-CB-HYP</t>
  </si>
  <si>
    <t>PEPS HYPNOS CENTRE BAND</t>
  </si>
  <si>
    <t>RML-CB-ITALIANO</t>
  </si>
  <si>
    <t>ITALIANO CENTRE BAND</t>
  </si>
  <si>
    <t>RML-CB-ORG</t>
  </si>
  <si>
    <t>PEPS ORGANIC CENTRE BAND</t>
  </si>
  <si>
    <t>RML-CB-RTC</t>
  </si>
  <si>
    <t>PEPS RESTONIC CENTRE BAND</t>
  </si>
  <si>
    <t>RML-CB-SPG</t>
  </si>
  <si>
    <t>PEPS SPINE GUARD CENTRE BAND</t>
  </si>
  <si>
    <t>RML-CB-SPK</t>
  </si>
  <si>
    <t>PEPS SPRINGKOIL CENTRE BAND</t>
  </si>
  <si>
    <t>RML-CB-SPK-CT</t>
  </si>
  <si>
    <t>PEPS SPRINGKOIL CROWN TOP CENTRE BAND</t>
  </si>
  <si>
    <t>RML-CB-SPS</t>
  </si>
  <si>
    <t>PEPS SPRINGSOFT CENTRE BAND</t>
  </si>
  <si>
    <t>RML-CB-ZENIMO</t>
  </si>
  <si>
    <t>ZENIMO CENTRE BAND</t>
  </si>
  <si>
    <t>RML-CFRP-60X90-MICPOY</t>
  </si>
  <si>
    <t>PEPS 60X90 QUILT-MICRO POLYESTER COMFORTER</t>
  </si>
  <si>
    <t>RML-CFRP-90X100MICPOY</t>
  </si>
  <si>
    <t>PEPS 90X100 QUILT-MICRO POLYESTER COMFORTER</t>
  </si>
  <si>
    <t>RML-CFRP-WH-60X90MICPOY</t>
  </si>
  <si>
    <t>PEPS 60X90 QUILT-MICRO POLYESTER WHITE COMFORTER</t>
  </si>
  <si>
    <t>RML-CFRP-WH-90X100MICPOY</t>
  </si>
  <si>
    <t>PEPS 90X100 QUILT-MICRO POLYESTER WHITE COMFORTER</t>
  </si>
  <si>
    <t>RML-CFRP-WH-92X110MICPOY</t>
  </si>
  <si>
    <t>PEPS 92X110 QUILT-MICRO POLYESTER WHITE COMFORTER</t>
  </si>
  <si>
    <t>RML-CHE-RES-GLS</t>
  </si>
  <si>
    <t>Chemical Resistant Gloves</t>
  </si>
  <si>
    <t>RML-CIR-MRN-FBR</t>
  </si>
  <si>
    <t>SPRING SOFT MAROON PANEL &amp; BORDER FABRIC</t>
  </si>
  <si>
    <t>RML-INV-ZIP-RUN-CB</t>
  </si>
  <si>
    <t>INVISIBLE ZIPPER RUNNER - CORAL BLUE</t>
  </si>
  <si>
    <t>RML-INV-ZIP-RUN-DB</t>
  </si>
  <si>
    <t>INVISIBLE ZIPPER RUNNER - DARK BLUE</t>
  </si>
  <si>
    <t>RML-INV-ZIP-RUN-GRY</t>
  </si>
  <si>
    <t>INVISIBLE ZIPPER RUNNER - GREY</t>
  </si>
  <si>
    <t>RML-INV-ZIP-RUN-WH</t>
  </si>
  <si>
    <t>INVISIBLE ZIPPER RUNNER - WHITE</t>
  </si>
  <si>
    <t>RML-INV-ZIP-WHT</t>
  </si>
  <si>
    <t>INVISIBLE ZIPPER WHITE</t>
  </si>
  <si>
    <t>RML-INV-ZIP-WHT-30INCH</t>
  </si>
  <si>
    <t>INVISIBLE ZIPPER WHITE 30" WITH RUNNER</t>
  </si>
  <si>
    <t>RML-JUMBO-PLW-WSCR-LBL</t>
  </si>
  <si>
    <t>PEPS JUMBO PILLOW WASH CARE LABEL</t>
  </si>
  <si>
    <t>RML-KOM-CFRP-MICPO-60X90</t>
  </si>
  <si>
    <t>KOMFFY QUILT-MICRO POLYESTER SINGLE COMFORTER 60X90</t>
  </si>
  <si>
    <t>RML-KOM-CFRP-MICPO-90X100</t>
  </si>
  <si>
    <t>KOMFFY QUILT-MICRO POLYESTER DOUBLE COMFORTER 90X100</t>
  </si>
  <si>
    <t>RML-KOM-COM-MRP-LBL</t>
  </si>
  <si>
    <t>KOMFFY FEATHER SOFT COMFORTER MRP LABEL</t>
  </si>
  <si>
    <t>RML-KOM-COM-PVC-CVR</t>
  </si>
  <si>
    <t>KOMFFY COMFORTER PVC COVER (12MIC PET+75MIC LDPE N ,750MMX490MM)</t>
  </si>
  <si>
    <t>RML-KOM-GRIP-INS</t>
  </si>
  <si>
    <t>KOMFFY GRIPSTER INSERTER</t>
  </si>
  <si>
    <t>RML-KOM-GRIP-SDE-LBL</t>
  </si>
  <si>
    <t>KOMFFY GRIPSTER SIDE LABEL</t>
  </si>
  <si>
    <t>RML-KOM-GRIP-WASH-LBL</t>
  </si>
  <si>
    <t>KOMFFY GRIPSTER WASH CARE LABEL</t>
  </si>
  <si>
    <t>RML-KOM-HYP-FIB-PILLOW-28X18</t>
  </si>
  <si>
    <t>KOMFFY PREMIUM PLUS FIBER PILLOW 28"X18" (RTC)</t>
  </si>
  <si>
    <t>RML-KOM-MEM-CONT-PIL-CVR</t>
  </si>
  <si>
    <t>KOMFFY MEMORY CONTOUR  PILLOW COVER</t>
  </si>
  <si>
    <t>RML-KOM-PL-BED-SHT-105X120</t>
  </si>
  <si>
    <t>KOMFFY PLUS BED SHEET SUPER KING- 105"X120" (RTC)</t>
  </si>
  <si>
    <t>RML-KOM-PTR-72X30</t>
  </si>
  <si>
    <t>KOMFFY MATTRESSES PROTECTOR 72X30</t>
  </si>
  <si>
    <t>RML-KOM-PTR-72X36</t>
  </si>
  <si>
    <t>KOMFFY MATTRESSES PROTECTOR 72X36</t>
  </si>
  <si>
    <t>RML-KOM-PTR-72X48</t>
  </si>
  <si>
    <t>KOMFFY MATTRESSES PROTECTOR 72X48</t>
  </si>
  <si>
    <t>RML-KOM-PTR-72X60</t>
  </si>
  <si>
    <t>KOMFFY MATTRESSES PROTECTOR 72X60</t>
  </si>
  <si>
    <t>RML-KOM-PTR-72X66</t>
  </si>
  <si>
    <t>KOMFFY MATTRESSES PROTECTOR 72X66</t>
  </si>
  <si>
    <t>RML-KOM-PTR-72X72</t>
  </si>
  <si>
    <t>KOMFFY MATTRESSES PROTECTOR 72X72</t>
  </si>
  <si>
    <t>RML-KOM-PTR-75X36</t>
  </si>
  <si>
    <t>KOMFFY MATTRESSES PROTECTOR 75X36</t>
  </si>
  <si>
    <t>RML-KOM-PTR-75X48</t>
  </si>
  <si>
    <t>KOMFFY MATTRESSES PROTECTOR 75X48</t>
  </si>
  <si>
    <t>RML-KOM-PTR-75X60</t>
  </si>
  <si>
    <t>KOMFFY MATTRESSES PROTECTOR 75X60</t>
  </si>
  <si>
    <t>RML-KOM-PTR-75X72</t>
  </si>
  <si>
    <t>KOMFFY MATTRESSES PROTECTOR 75X72</t>
  </si>
  <si>
    <t>RML-KOM-PTR-78X30</t>
  </si>
  <si>
    <t>KOMFFY MATTRESSES PROTECTOR 78X30</t>
  </si>
  <si>
    <t>RML-KOM-PTR-78X36</t>
  </si>
  <si>
    <t>KOMFFY MATTRESSES PROTECTOR 78X36</t>
  </si>
  <si>
    <t>RML-KOM-PTR-78X48</t>
  </si>
  <si>
    <t>KOMFFY MATTRESSES PROTECTOR 78X48</t>
  </si>
  <si>
    <t>RML-KOM-PTR-78X60</t>
  </si>
  <si>
    <t>KOMFFY MATTRESSES PROTECTOR 78X60</t>
  </si>
  <si>
    <t>RML-KOM-PTR-78X72</t>
  </si>
  <si>
    <t>KOMFFY MATTRESSES PROTECTOR 78X72</t>
  </si>
  <si>
    <t>RML-KOM-PTR-80X36</t>
  </si>
  <si>
    <t>KOMFFY MATTRESSES PROTECTOR 80X36</t>
  </si>
  <si>
    <t>RML-KOM-PTR-80X48</t>
  </si>
  <si>
    <t>KOMFFY MATTRESSES PROTECTOR 80X48</t>
  </si>
  <si>
    <t>RML-KOM-PTR-84X72</t>
  </si>
  <si>
    <t>KOMFFY MATTRESSES PROTECTOR 84X72</t>
  </si>
  <si>
    <t>RML-KOM-PTR-INS</t>
  </si>
  <si>
    <t>KOMFFY PROTECTOR INSERTER</t>
  </si>
  <si>
    <t>RML-STW-1.9MM</t>
  </si>
  <si>
    <t>STEEL WIRE 1.9 MMDIA.</t>
  </si>
  <si>
    <t>RML-STW-2.2MM</t>
  </si>
  <si>
    <t>STEEL WIRE 2.2 MM DIA.</t>
  </si>
  <si>
    <t>RML-STW-2.3MM</t>
  </si>
  <si>
    <t>2.3 MM SPRING STEEL WIRE-GRADE II</t>
  </si>
  <si>
    <t>RML-STW-3.6MM</t>
  </si>
  <si>
    <t>STEEL WIRE 3.6 MM DIA</t>
  </si>
  <si>
    <t>RML-SUP-GLUE</t>
  </si>
  <si>
    <t>SUPER GLUE 20.GRM</t>
  </si>
  <si>
    <t>RML-SURGI-GLOVES</t>
  </si>
  <si>
    <t>SURGICAL GLOVES</t>
  </si>
  <si>
    <t>RML-TAG-GRN</t>
  </si>
  <si>
    <t>GREEN COLOUR TAG</t>
  </si>
  <si>
    <t>RML-TAG-PINK</t>
  </si>
  <si>
    <t>PINK COLOUR TAG</t>
  </si>
  <si>
    <t>RML-TAG-WHIT</t>
  </si>
  <si>
    <t>WHITE COLOUR TAG</t>
  </si>
  <si>
    <t>RML-TAG-YELLOW</t>
  </si>
  <si>
    <t>YELLOW COLOUR TAG</t>
  </si>
  <si>
    <t>RML-TEND-PILLOW</t>
  </si>
  <si>
    <t>PEPS TENDER PILLOW 17"x27"</t>
  </si>
  <si>
    <t>RML-TEND-PL-PILLOW</t>
  </si>
  <si>
    <t>PEPS TENDER PLUSH PILLOW</t>
  </si>
  <si>
    <t>RML-TEND-PL-PLW-WSCR-LBL</t>
  </si>
  <si>
    <t>PEPS TENDER PLUSH PILLOW WASH CARE LABEL</t>
  </si>
  <si>
    <t>RML-TEX-CLEANER</t>
  </si>
  <si>
    <t>TEXTILE CLEANER -MC</t>
  </si>
  <si>
    <t>RML-THRD-SPUN-BG</t>
  </si>
  <si>
    <t>SPUN THREAD BEIGE 3PLY</t>
  </si>
  <si>
    <t>RML-THRD-SPUN-BL</t>
  </si>
  <si>
    <t>SPUN THREAD BLUE 3PLY</t>
  </si>
  <si>
    <t>RML-THRD-SPUN-CRM</t>
  </si>
  <si>
    <t>SPUN THREAD CREAM - 3PLY</t>
  </si>
  <si>
    <t>RML-THRD-SPUN-GR</t>
  </si>
  <si>
    <t>SPUN THREAD GREY 3PLY</t>
  </si>
  <si>
    <t>RML-THRD-SPUN-MR</t>
  </si>
  <si>
    <t>SPUN THREAD MAROON 3PLY</t>
  </si>
  <si>
    <t>RML-THRD-TKT-40COF</t>
  </si>
  <si>
    <t>3 PLY POLYESTER THREAD . 702/ TKT 40 COFFEE</t>
  </si>
  <si>
    <t>RML-THRD-TKT-40GREY</t>
  </si>
  <si>
    <t>3 PLY POLYESTER THREAD . 702/ TKT 40 GREY,7000MTR'S</t>
  </si>
  <si>
    <t>RML-THRD-TKT-40MER</t>
  </si>
  <si>
    <t>3 PLY POLYESTER THREAD . 702/ TKT 40 MARRON,7000 MTRS</t>
  </si>
  <si>
    <t>RML-TRA-NK-PI-BCKL</t>
  </si>
  <si>
    <t>Travel Neck Pillow Buckles</t>
  </si>
  <si>
    <t>RML-TRT-WCRD-ZERO</t>
  </si>
  <si>
    <t>PEPS TARTANIA WARRANTY CARD</t>
  </si>
  <si>
    <t>RML-TRVNK-PLW-BUT-BLK</t>
  </si>
  <si>
    <t>TRAVEL NECK PILLOW BUTTON BLACK</t>
  </si>
  <si>
    <t>RML-TRVNK-PLW-BUT-WHT</t>
  </si>
  <si>
    <t>TRAVEL NECK PILLOW BUTTON WHITE</t>
  </si>
  <si>
    <t>RML-TRVNK-PLW-PVC-BAG</t>
  </si>
  <si>
    <t>TRAVEL NECK PVC WELDING BAG 11WX9HX4G</t>
  </si>
  <si>
    <t>RML-TVL-NK-PLW-MRP</t>
  </si>
  <si>
    <t>PEPS TRAVEL NECK MOULDED PILLOW MRP LABLE</t>
  </si>
  <si>
    <t>RM-LTX-216X170X2.5CM</t>
  </si>
  <si>
    <t>PERFO LATEX SHEETS 216CM X 170CM X 2.5CM ( 85"x67")</t>
  </si>
  <si>
    <t>RM-LTX-216X198X2.5CM</t>
  </si>
  <si>
    <t>PERFO LATEX SHEETS 216CM X 198CM X 2.5CM ( 85"x78")</t>
  </si>
  <si>
    <t>RML-US-PLW-BOX</t>
  </si>
  <si>
    <t>PEPS MOULDED PU FOAM PILLOW BOX</t>
  </si>
  <si>
    <t>RML-VELCRO-BLACK</t>
  </si>
  <si>
    <t>VELCRO TAPE 1" - BLACK</t>
  </si>
  <si>
    <t>RML-VELCRO-WHITE</t>
  </si>
  <si>
    <t>VELCRO TAPE 1" - WHITE</t>
  </si>
  <si>
    <t>RML-VH-WCRD</t>
  </si>
  <si>
    <t>PEPS VIVAH WARRANTY CARD</t>
  </si>
  <si>
    <t>RML-VIR-HDPE-100X100</t>
  </si>
  <si>
    <t>HDPE VIRGIN BAGS. 100 X 100</t>
  </si>
  <si>
    <t>RML-VIR-HDPE-84X43</t>
  </si>
  <si>
    <t>HDPE VIRGIN BAGS. 84 X 43</t>
  </si>
  <si>
    <t>RML-VIR-HDPE-84X56</t>
  </si>
  <si>
    <t>HDPE VIRGIN BAGS. 84 X 56</t>
  </si>
  <si>
    <t>RML-VIR-HDPE-92X46</t>
  </si>
  <si>
    <t>HDPE VIRGIN BAGS. 92 X 46</t>
  </si>
  <si>
    <t>RML-VIR-HDPE-92X56</t>
  </si>
  <si>
    <t>HDPE VIRGIN BAGS. 92 X 56</t>
  </si>
  <si>
    <t>RML-VIR-HDPE-92X70</t>
  </si>
  <si>
    <t>HDPE VIRGIN BAGS. 92 X 70</t>
  </si>
  <si>
    <t>RML-VIR-HDPE-92X82</t>
  </si>
  <si>
    <t>HDPE VIRGIN BAGS. 92 X 82</t>
  </si>
  <si>
    <t>RML-VISCOSE-WAD-8INCH</t>
  </si>
  <si>
    <t>VISCOSE WADDING 220GSMX8" WIDTH</t>
  </si>
  <si>
    <t>RML-VIVAH-RUB-SDE-LBL</t>
  </si>
  <si>
    <t>VIVAH SIDE LABEL- (RUBBER PATCH)</t>
  </si>
  <si>
    <t>RML-WARR-TERM-LBL</t>
  </si>
  <si>
    <t>WARRANTY TERM LABEL</t>
  </si>
  <si>
    <t>RML-WASHER-25X10MM</t>
  </si>
  <si>
    <t>WASHER 25MMX10MM</t>
  </si>
  <si>
    <t>RML-WHT-NET</t>
  </si>
  <si>
    <t>WHITE COLOUR PLASTIC NET 350GSM/SQMTR</t>
  </si>
  <si>
    <t>SQM</t>
  </si>
  <si>
    <t>RML-WSCR-LBL-CAR-NK-PLW</t>
  </si>
  <si>
    <t>PEPS CAR NECK MOULDED PILLOW WASH CARE LABLE</t>
  </si>
  <si>
    <t>RML-WSCR-LBL-CNTR</t>
  </si>
  <si>
    <t>PEPS CONTOUR MEMORY FOAM PILLOW WASH CARE LABEL</t>
  </si>
  <si>
    <t>RML-WSCR-LBL-MF</t>
  </si>
  <si>
    <t>PEPS MOULDED 100% MEMORY FOAM PILLOW WASH CARE LABLE</t>
  </si>
  <si>
    <t>RML-WSCR-LBL-MT</t>
  </si>
  <si>
    <t>MATTRESS TOPPER WASH CARE LABLE</t>
  </si>
  <si>
    <t>RML-WSCR-LBL-PU</t>
  </si>
  <si>
    <t>PEPS MOULDED PU FOAM PILLOW WASH CARE LABLE</t>
  </si>
  <si>
    <t>RML-WSCR-LBL-TF</t>
  </si>
  <si>
    <t>TUFTED PILLOW WASH CARE LABLE</t>
  </si>
  <si>
    <t>RML-WSCR-LBL-TVL-NK-PLW</t>
  </si>
  <si>
    <t>PEPS TRAVEL NECK MOULDED PILLOW WASH CARE LABLE</t>
  </si>
  <si>
    <t>RML-YEL-MASK</t>
  </si>
  <si>
    <t>YELLOW MASK</t>
  </si>
  <si>
    <t>RML-ZERO-DIS</t>
  </si>
  <si>
    <t>ZERO DISTURBANCE STICKER</t>
  </si>
  <si>
    <t>RM-MEM-MIN-SDE-LBL</t>
  </si>
  <si>
    <t>MEMORIO MINI SAMPLE SIDE LABEL</t>
  </si>
  <si>
    <t>RM-MINI-SAMPLE-HYP-MRP-LBL</t>
  </si>
  <si>
    <t>HYPNOS MATTRESS MINI SAMPLE MRP LABEL</t>
  </si>
  <si>
    <t>RM-MINI-SAMPLE-MRP-LBL</t>
  </si>
  <si>
    <t>PEPS MATTRESS MINI SAMPLE MRP LABEL</t>
  </si>
  <si>
    <t>RM-MRP-POUCH</t>
  </si>
  <si>
    <t>TAG MRP POUCH W 3.5” X H 8.5”</t>
  </si>
  <si>
    <t>RM-MULT-MIN-SDE-LBL</t>
  </si>
  <si>
    <t>MEMORIO-ULTRA MINI SAMPLE SIDE LABEL</t>
  </si>
  <si>
    <t>RM-NECK-PLW-STD-SML</t>
  </si>
  <si>
    <t>TRAVEL NECK PILLOW DISPLAY STAND -SMALL</t>
  </si>
  <si>
    <t>RM-NOR-PLW-CVR-BOX</t>
  </si>
  <si>
    <t>PEPS PILLOW COVER BOX NORMAL</t>
  </si>
  <si>
    <t>RM-NWN-70GSMX6INCH</t>
  </si>
  <si>
    <t>NON WOVEN FABRIC 70 GSM x 6 INCH - WHITE</t>
  </si>
  <si>
    <t>RM-NWN-90GSMX8.5CM</t>
  </si>
  <si>
    <t>NON WOVEN FABRIC 90 GSM x 8.5 CM - WHITE</t>
  </si>
  <si>
    <t>RM-NWN-BS-11.50"X30GSM</t>
  </si>
  <si>
    <t>NON WOVEN FABRIC 30 GSM x 11.5 INCH - WHITE</t>
  </si>
  <si>
    <t>SPL-GEN-SFT-GOGLS</t>
  </si>
  <si>
    <t>SAFETY GOGGLESS</t>
  </si>
  <si>
    <t>STY-A3-SHT</t>
  </si>
  <si>
    <t>A3 SHEET (500 NOS/BOX)</t>
  </si>
  <si>
    <t>BUN</t>
  </si>
  <si>
    <t>STY-A4-BOX-FL</t>
  </si>
  <si>
    <t>A4 BOX FILE</t>
  </si>
  <si>
    <t>STY-A4-L-FOL-WH</t>
  </si>
  <si>
    <t>A4 L FOLDER WHITE</t>
  </si>
  <si>
    <t>STY-A4-SHT</t>
  </si>
  <si>
    <t>A4 SHEET (500 NOS/BUNDLE)</t>
  </si>
  <si>
    <t>STY-ATN-NOTE</t>
  </si>
  <si>
    <t>ATTANTANCE NOTE</t>
  </si>
  <si>
    <t>STY-BIN-CLIP-BIG</t>
  </si>
  <si>
    <t>BINDER CLIP BIG</t>
  </si>
  <si>
    <t>DOZ</t>
  </si>
  <si>
    <t>STY-BIN-CLIP-SML</t>
  </si>
  <si>
    <t>BINDER CLIP SMALL</t>
  </si>
  <si>
    <t>STY-BLK-PEN-RS3</t>
  </si>
  <si>
    <t>BLACK PEN RS3</t>
  </si>
  <si>
    <t>STY-BLK-PEN-RS5</t>
  </si>
  <si>
    <t>BLACK PEN RS5</t>
  </si>
  <si>
    <t>STY-BL-PEN-RS3</t>
  </si>
  <si>
    <t>BLUE PEN RS3</t>
  </si>
  <si>
    <t>STY-BL-PEN-RS5</t>
  </si>
  <si>
    <t>BLUE PEN RS5</t>
  </si>
  <si>
    <t>STY-BORD-PIN-BOX</t>
  </si>
  <si>
    <t>BOARD PIN BOX</t>
  </si>
  <si>
    <t>STY-CAS-CALC</t>
  </si>
  <si>
    <t>CASIO CALCULATOR</t>
  </si>
  <si>
    <t>STY-CD-MARK-BL</t>
  </si>
  <si>
    <t>CD MARKER BLUE</t>
  </si>
  <si>
    <t>STY-CD-MARK-BLK</t>
  </si>
  <si>
    <t>CD MARKER BLACK</t>
  </si>
  <si>
    <t>STY-CD-MARK-GR</t>
  </si>
  <si>
    <t>CD MARKER GREEN</t>
  </si>
  <si>
    <t>STY-CD-MARK-RD</t>
  </si>
  <si>
    <t>CD MARKER RED</t>
  </si>
  <si>
    <t>STY-CLOTH-ENV-A3</t>
  </si>
  <si>
    <t>GREEN CLOTH ENVELOPE - A3</t>
  </si>
  <si>
    <t>STY-CLOTH-ENV-A4</t>
  </si>
  <si>
    <t>GREEN CLOTH ENVELOPE - A4</t>
  </si>
  <si>
    <t>STY-CLR-RUB-BND</t>
  </si>
  <si>
    <t>Colour Rubber Band</t>
  </si>
  <si>
    <t>PAC</t>
  </si>
  <si>
    <t>STY-CRBN-SHT</t>
  </si>
  <si>
    <t>CARBON SHEET (100 PER POCKET)</t>
  </si>
  <si>
    <t>BDL</t>
  </si>
  <si>
    <t>STY-DISPO-CAP</t>
  </si>
  <si>
    <t>DISPOSABLE CAP ( SURGICAL)</t>
  </si>
  <si>
    <t>STY-EAR-PLUGGS</t>
  </si>
  <si>
    <t>SAFETY EAR PLUGS</t>
  </si>
  <si>
    <t>STY-ERASER</t>
  </si>
  <si>
    <t>ERASER</t>
  </si>
  <si>
    <t>STY-EX-PAD</t>
  </si>
  <si>
    <t>EXAM PAD</t>
  </si>
  <si>
    <t>STY-FEVSTK</t>
  </si>
  <si>
    <t>FEVISTICK</t>
  </si>
  <si>
    <t>STY-GLASS-CLEAN</t>
  </si>
  <si>
    <t>GLASS CLEANER</t>
  </si>
  <si>
    <t>STY-GREDOC-FILE</t>
  </si>
  <si>
    <t>GREEN DOCUMENT FILE</t>
  </si>
  <si>
    <t>STY-GREE-DOCU</t>
  </si>
  <si>
    <t>GREEN DOUCMENT SHEET</t>
  </si>
  <si>
    <t>STY-HIG-LHTR</t>
  </si>
  <si>
    <t>HIGHLIGHTER</t>
  </si>
  <si>
    <t>STY-INK-BTL-BL</t>
  </si>
  <si>
    <t>INK BOTTLE BLUE (500ML)</t>
  </si>
  <si>
    <t>STY-INK-BTL-BLK</t>
  </si>
  <si>
    <t>INK BOTTLE BLACK (500ML)</t>
  </si>
  <si>
    <t>STY-INK-BTL-GR</t>
  </si>
  <si>
    <t>INK BOTTLE GREEN (500ML)</t>
  </si>
  <si>
    <t>STY-INK-BTL-RD</t>
  </si>
  <si>
    <t>INK BOTTLE RED (500ML)</t>
  </si>
  <si>
    <t>STY-INK-PLR</t>
  </si>
  <si>
    <t>INK PILLAR</t>
  </si>
  <si>
    <t>STY-LET-PAD-CBE</t>
  </si>
  <si>
    <t>PEPS LETTER PAD COIMBATORE (100 NOS)</t>
  </si>
  <si>
    <t>STY-L-FLE</t>
  </si>
  <si>
    <t>LEAF FILE (20 LEAF)</t>
  </si>
  <si>
    <t>STY-L-FLE-60</t>
  </si>
  <si>
    <t>LEAF FILE ( 60 LEAF)</t>
  </si>
  <si>
    <t>STY-NOTE-PAD</t>
  </si>
  <si>
    <t>NOTE PAD</t>
  </si>
  <si>
    <t>STY-ONDUTY-BOK</t>
  </si>
  <si>
    <t>ON DUTY / OUT PASS BOOK</t>
  </si>
  <si>
    <t>STY-PAPE-ENV-SMAL</t>
  </si>
  <si>
    <t>PEPS WHITE PAPER ENVELOPE - SMALL</t>
  </si>
  <si>
    <t>STY-PAPER-CLIP</t>
  </si>
  <si>
    <t>PAPER CLIP</t>
  </si>
  <si>
    <t>STY-PAPER-PIN</t>
  </si>
  <si>
    <t>PAPER PIN</t>
  </si>
  <si>
    <t>STY-PENCIL</t>
  </si>
  <si>
    <t>PENCIL</t>
  </si>
  <si>
    <t>STY-PER-MARK-BL</t>
  </si>
  <si>
    <t>PERMANENT MARKER BLUE</t>
  </si>
  <si>
    <t>STY-PER-MARK-BLK</t>
  </si>
  <si>
    <t>PERMANENT MARKER BLACK</t>
  </si>
  <si>
    <t>STY-PER-MARK-RD</t>
  </si>
  <si>
    <t>PERMANENT MARKER RED</t>
  </si>
  <si>
    <t>STY-PUNCH-MC-BIG</t>
  </si>
  <si>
    <t>PUNCHING MACHINE BIG</t>
  </si>
  <si>
    <t>STY-PUNCH-MC-SING-HOLE</t>
  </si>
  <si>
    <t>SINEGLE HOLE PUNCHINE MACHINE</t>
  </si>
  <si>
    <t>STY-RD-PEN-RS3</t>
  </si>
  <si>
    <t>RED PEN RS3</t>
  </si>
  <si>
    <t>STY-REG-BOK</t>
  </si>
  <si>
    <t>REGISTER BOOK (COMMON)</t>
  </si>
  <si>
    <t>STY-RULD-NOT-BOK</t>
  </si>
  <si>
    <t>RULED NOTE BOOK</t>
  </si>
  <si>
    <t>STY-SALES-INV-BLR</t>
  </si>
  <si>
    <t>BANGLORE SALES INVOICE A4 (2500.NOS/BOX)</t>
  </si>
  <si>
    <t>STY-SALES-INV-CBE</t>
  </si>
  <si>
    <t>COIMBATORE SALES INVOICE - A4 (2500.NOS/BOX)</t>
  </si>
  <si>
    <t>STY-SALES-INV-GOA</t>
  </si>
  <si>
    <t>GOA SALES INVOICE A4 (2500.NOS/BOX)</t>
  </si>
  <si>
    <t>STY-SALES-INV-KOL</t>
  </si>
  <si>
    <t>KOLKATA SALES INVOICE - A4 (2500. NOS/BOX)</t>
  </si>
  <si>
    <t>STY-SALES-INV-PUNE</t>
  </si>
  <si>
    <t>PUNE SALES INVOICE - A4 (2500. NOS/BOX)</t>
  </si>
  <si>
    <t>STY-SCISSOR-10</t>
  </si>
  <si>
    <t>SCISSOR - 10"</t>
  </si>
  <si>
    <t>STY-SCISSOR-12</t>
  </si>
  <si>
    <t>SCISSOR - 12"</t>
  </si>
  <si>
    <t>STY-SHRPNER</t>
  </si>
  <si>
    <t>SHARPNER</t>
  </si>
  <si>
    <t>STY-STEEL-KNIFE</t>
  </si>
  <si>
    <t>STEEL KNIFE</t>
  </si>
  <si>
    <t>STY-STK-NOTE</t>
  </si>
  <si>
    <t>SELF -STICKY NOTES 3X3</t>
  </si>
  <si>
    <t>FBR-INS-PNL-BG</t>
  </si>
  <si>
    <t>HYPNOS INSPREE BEIGE PANEL FABRIC</t>
  </si>
  <si>
    <t>FBR-INS-PNLBR-BLUE</t>
  </si>
  <si>
    <t>Inspree Blue Panel &amp; Border Fabric</t>
  </si>
  <si>
    <t>FBR-INS-PNLBR-MRN</t>
  </si>
  <si>
    <t>FBR-INS-PNL-BRN</t>
  </si>
  <si>
    <t>INSPREE REBONDED BORDER &amp; PANEL FABRIC</t>
  </si>
  <si>
    <t>FBR-ITALIANO-BELLISIMO-BR</t>
  </si>
  <si>
    <t>ITALIANO - BELLISIMO PURPLE BORDER FABRIC - ( ULT - PRE )</t>
  </si>
  <si>
    <t>FBR-ITALIANO-BELLISIMO-PNL</t>
  </si>
  <si>
    <t>ITALIANO - BELLISIMO PANEL FABRIC - ( ULT - PRE )</t>
  </si>
  <si>
    <t>FBR-ITALIANO-ICONA-BR</t>
  </si>
  <si>
    <t>FBR-ITALIANO-ICONA-PNL</t>
  </si>
  <si>
    <t>FBR-ITALIANO-MAGNIFICO-BR</t>
  </si>
  <si>
    <t>ITALIANO - MAGNIFICO COPPER BORDER FABRIC - ( ULT - PRE )</t>
  </si>
  <si>
    <t>FBR-ITALIANO-MAGNIFICO-PNL</t>
  </si>
  <si>
    <t>ITALIANO - MAGNIFICO CREAM PANEL FABRIC - (ULT - PRE)</t>
  </si>
  <si>
    <t>FBR-LTX-MSG-PLW</t>
  </si>
  <si>
    <t>LATEX MASSAGE PILLOW FABRIC</t>
  </si>
  <si>
    <t>FBR-MAT-TOP-KNT</t>
  </si>
  <si>
    <t>MATTRESS TOPPER FABRIC KNITTED FABRIC</t>
  </si>
  <si>
    <t>FBR-MAT-TOP-WHT</t>
  </si>
  <si>
    <t>MATTRESS TOPPER FABRIC - WHITE</t>
  </si>
  <si>
    <t>FBR-MEMCON-PLW-FABRIC</t>
  </si>
  <si>
    <t>PEPS MEMORY&amp;CONTOUR PILLOW FABRIC</t>
  </si>
  <si>
    <t>FBR-MEM-PNLBR-BG</t>
  </si>
  <si>
    <t>Memorio BEIGE PANEL &amp;BORDER FABRIC</t>
  </si>
  <si>
    <t>FBR-MEM-PNLBR-OR</t>
  </si>
  <si>
    <t>Memorio ORANGE PANEL&amp;BORDER  FABRIC</t>
  </si>
  <si>
    <t>FBR-MEM-UL-BR-BLUE</t>
  </si>
  <si>
    <t>HYPNOS MEMORIO ULTRA BLUE BORDER FABRIC</t>
  </si>
  <si>
    <t>FBR-MEM-UL-BR-GREY</t>
  </si>
  <si>
    <t>HYPNOS MEMORIO ULTRA GREY BORDER FABRIC</t>
  </si>
  <si>
    <t>FBR-MIR-BACK-PNL-MRN</t>
  </si>
  <si>
    <t>MIRAGE MAROON BACK PANEL FABRIC</t>
  </si>
  <si>
    <t>FBR-MIR-PNLBR-BLUE</t>
  </si>
  <si>
    <t>Mirage Blue Panel &amp; Border Fabric</t>
  </si>
  <si>
    <t>FBR-MIR-PNLBR-MRN</t>
  </si>
  <si>
    <t>Mirage Maroon Panel &amp; Border Fabric</t>
  </si>
  <si>
    <t>FBR-MIR-PNL-WH</t>
  </si>
  <si>
    <t>MIRAGE WHITE PANEL FABRIC</t>
  </si>
  <si>
    <t>FBR-NON-SKID-GRY</t>
  </si>
  <si>
    <t>NO SKID FABRIC - GREY</t>
  </si>
  <si>
    <t>FBR-NON-SKID-MRN</t>
  </si>
  <si>
    <t>NO SKID FABRIC - MAROON</t>
  </si>
  <si>
    <t>FBR-NON-SKID-NVBL</t>
  </si>
  <si>
    <t>NO SKID FABRIC - NAVY BLUE</t>
  </si>
  <si>
    <t>FBR-OPU-PNL-BG</t>
  </si>
  <si>
    <t>OPULENCE BEIGE PANEL FABRIC</t>
  </si>
  <si>
    <t>FBR-OPU-PNL-BLUE</t>
  </si>
  <si>
    <t>OPULENCE LIGHT BLUE PANEL FABRIC</t>
  </si>
  <si>
    <t>FBR-ORG-BA-REXIN</t>
  </si>
  <si>
    <t>ORGANICA BASE REXIN FABRIC</t>
  </si>
  <si>
    <t>FBR-ORG-BR-GREEN</t>
  </si>
  <si>
    <t>ORGANICA GREEN BORDER REXIN FABRIC</t>
  </si>
  <si>
    <t>FBR-ORG-HB-REXIN</t>
  </si>
  <si>
    <t>ORGANICA HEAD BOARD REXIN FABRIC</t>
  </si>
  <si>
    <t>FBR-ORG-PNL-BRN</t>
  </si>
  <si>
    <t>ORGANICA BROWN PANEL FABRIC</t>
  </si>
  <si>
    <t>FBR-PAN-MIR-BR-LBLUE</t>
  </si>
  <si>
    <t>Panorama &amp; Mirage Light Blue Border Fabric</t>
  </si>
  <si>
    <t>FBR-PANO-PNL-LBLUE</t>
  </si>
  <si>
    <t>PANORAMA L.BLUE PANEL FABRIC</t>
  </si>
  <si>
    <t>FBR-PNLBR-DBLUE-TNDR</t>
  </si>
  <si>
    <t>TNDR - BLUE PANEL FABRIC</t>
  </si>
  <si>
    <t>FBR-POLY-VEL-CBLUE</t>
  </si>
  <si>
    <t>POLYSTER VELLOUR FABRIC CORAL BLUE</t>
  </si>
  <si>
    <t>FBR-POLY-VEL-DBLUE</t>
  </si>
  <si>
    <t>POLYSTER VELLOUR FABRIC DARK BLUE</t>
  </si>
  <si>
    <t>FBR-POLY-VEL-GRY</t>
  </si>
  <si>
    <t>POLYSTER VELLOUR FABRIC GREY</t>
  </si>
  <si>
    <t>FBR-REX-BRN</t>
  </si>
  <si>
    <t>BROWN REXINE</t>
  </si>
  <si>
    <t>FBR-SANI-BR-BG</t>
  </si>
  <si>
    <t>SANIBEL BEIGE BORDER FABRIC</t>
  </si>
  <si>
    <t>FBR-SANI-BR-GRY</t>
  </si>
  <si>
    <t>SANIBEL GREY BORDER FABRIC</t>
  </si>
  <si>
    <t>FBR-SANI-BR-MRN</t>
  </si>
  <si>
    <t>SANIBEL MAROON BORDER FABRIC</t>
  </si>
  <si>
    <t>FBR-SANI-PNL-BG</t>
  </si>
  <si>
    <t>SANIBEL BEIGE PANEL FABRIC</t>
  </si>
  <si>
    <t>FBR-SANI-PNL-GREY</t>
  </si>
  <si>
    <t>SANIBEL GREY PANEL FABRIC</t>
  </si>
  <si>
    <t>FBR-SANI-PNL-MRN</t>
  </si>
  <si>
    <t>SANIBEL MAROON PANEL FABRIC</t>
  </si>
  <si>
    <t>FBR-SPACER-GREY</t>
  </si>
  <si>
    <t>SPACER GREY FABRIC</t>
  </si>
  <si>
    <t>FBR-SPACER-WHITE</t>
  </si>
  <si>
    <t>SPACER WHITE FABRIC</t>
  </si>
  <si>
    <t>FBR-SPG6-BR-GREY</t>
  </si>
  <si>
    <t>SPINEGUARD GREY 6" BORDER FABRIC</t>
  </si>
  <si>
    <t>FBR-SPG8-BR-GREY</t>
  </si>
  <si>
    <t>SPINEGUARD GREY 8" BORDER FABRIC</t>
  </si>
  <si>
    <t>FBR-SPG-BAHB-REXIN</t>
  </si>
  <si>
    <t>SPINE GUARD BASE &amp; HEAD BOARD REXIN FABRIC</t>
  </si>
  <si>
    <t>FBR-SPGFM-BR-WHT</t>
  </si>
  <si>
    <t>SPINEGUARD WHITE BORDER FABRIC</t>
  </si>
  <si>
    <t>FBR-SPGFM-PNL-WHT</t>
  </si>
  <si>
    <t>SPINEGUARD FOAM PANEL WHITE FABRIC</t>
  </si>
  <si>
    <t>FBR-SPG-PNL-GREY</t>
  </si>
  <si>
    <t>SPINEGUARD GREY PANEL FABRIC</t>
  </si>
  <si>
    <t>FBR-SPK-BR-BG-KF</t>
  </si>
  <si>
    <t>SPRINGKOIL KNITTED BEIGE BORDER FABRIC</t>
  </si>
  <si>
    <t>FBR-SPK-BR-BLUE</t>
  </si>
  <si>
    <t>SPRINGKOIL DARKBLUE BORDER FABRIC</t>
  </si>
  <si>
    <t>FBR-SPK-BR-BLUE-KF</t>
  </si>
  <si>
    <t>SPRINGKOIL KNITTED DARK BLUE BORDER FABRIC</t>
  </si>
  <si>
    <t>FBR-SPK-BR-BRN</t>
  </si>
  <si>
    <t>SPRINGKOIL BROWN BORDER FABRIC</t>
  </si>
  <si>
    <t>FBR-SPK-BR-BRN-KF</t>
  </si>
  <si>
    <t>SPRINGKOIL KNITTED BROWN BORDER FABRIC</t>
  </si>
  <si>
    <t>FBR-SPK-BR-CRM</t>
  </si>
  <si>
    <t>SPRINGKOIL CREAM BORDER FABRIC</t>
  </si>
  <si>
    <t>FBR-SPK-BR-CRM-KF</t>
  </si>
  <si>
    <t>SPRINGKOIL KNITTED BLACK BORDER FABRIC</t>
  </si>
  <si>
    <t>FBR-SPK-BR-LGRY-KF</t>
  </si>
  <si>
    <t>SPRINGKOIL KNITTED LIGHT GREY BORDER FABRIC</t>
  </si>
  <si>
    <t>FBR-SPK-BR-MRN</t>
  </si>
  <si>
    <t>SPRINGKOIL MAROON BORDER FABRIC</t>
  </si>
  <si>
    <t>FBR-SPK-BR-MRN-KF</t>
  </si>
  <si>
    <t>SPRINGKOIL KNITTED MAROON BORDER FABRIC</t>
  </si>
  <si>
    <t>FBR-SPK-PNL-BG-KF</t>
  </si>
  <si>
    <t>SPRINGKOIL KNITTED BEIGE PANEL FABRIC</t>
  </si>
  <si>
    <t>FBR-SPK-PNL-BLUE</t>
  </si>
  <si>
    <t>SPRINGKOIL DARKBLUE PANEL FABRIC</t>
  </si>
  <si>
    <t>FBR-SPK-PNL-BLUE-KF</t>
  </si>
  <si>
    <t>SPRINGKOIL KNITTED DARKBLUE PANEL FABRIC</t>
  </si>
  <si>
    <t>FBR-SPK-PNL-BW</t>
  </si>
  <si>
    <t>SPRINGKOIL BROWN PANEL FABRIC</t>
  </si>
  <si>
    <t>FBR-SPK-PNL-BW-KF</t>
  </si>
  <si>
    <t>SPRINGKOIL KNITTED BROWN PANEL FABRIC</t>
  </si>
  <si>
    <t>FBR-SPK-PNL-CRM</t>
  </si>
  <si>
    <t>SPRINGKOIL CREAM PANEL FABRIC</t>
  </si>
  <si>
    <t>FBR-SPK-PNL-CRM-KF</t>
  </si>
  <si>
    <t>SPRINGKOIL KNITTED CREAM PANEL FABRIC</t>
  </si>
  <si>
    <t>FBR-SPK-PNL-LGRY-KF</t>
  </si>
  <si>
    <t>SPRINGKOIL KNITTED LIGHT GREY PANEL FABRIC</t>
  </si>
  <si>
    <t>FBR-SPK-PNL-MRN</t>
  </si>
  <si>
    <t>SPRINGKOIL MAROON PANEL FABRIC</t>
  </si>
  <si>
    <t>FBR-SPK-PNL-MRN-KF</t>
  </si>
  <si>
    <t>SPRINGKOIL KNITTED MAROON PANEL FABRIC</t>
  </si>
  <si>
    <t>FBR-SPK-POC-BR-DB</t>
  </si>
  <si>
    <t>TARTANIA POCKETED DARK BLUE BORDER FABRIC</t>
  </si>
  <si>
    <t>FBR-SPK-POC-BR-GREY</t>
  </si>
  <si>
    <t>TARTANIA POCKETED GREY BORDER FABRIC</t>
  </si>
  <si>
    <t>FBR-SPK-POC-BR-MRN</t>
  </si>
  <si>
    <t>TARTANIA POCKETED MAROON BORDER FABRIC</t>
  </si>
  <si>
    <t>FBR-SPK-POC-PNL-DB</t>
  </si>
  <si>
    <t>TARTANIA POCKETED DARK BLUE PANEL FABRIC</t>
  </si>
  <si>
    <t>FBR-SPK-POC-PNL-GREY</t>
  </si>
  <si>
    <t>TARTANIA POCKETED GREY PANEL FABRIC</t>
  </si>
  <si>
    <t>FBR-SPK-POC-PNL-MRN</t>
  </si>
  <si>
    <t>TARTANIA POCKETED MAROON PANEL FABRIC</t>
  </si>
  <si>
    <t>FBR-SPS-PNLBR-GREY</t>
  </si>
  <si>
    <t>SPINE SAFE GREY PANEL BORDER FABRIC</t>
  </si>
  <si>
    <t>FBR-SPS-PNLBR-NVB</t>
  </si>
  <si>
    <t>SPINE SAFE NAVY BLUE PANEL BORDER FABRIC</t>
  </si>
  <si>
    <t>FBR-TEND-PNLBR-MRN</t>
  </si>
  <si>
    <t>TENDER MAROON PANEL BORDER FABRIC</t>
  </si>
  <si>
    <t>FBR-VIVAH-BR-CREAM</t>
  </si>
  <si>
    <t>VIVAH CREAM BORDER FABRIC</t>
  </si>
  <si>
    <t>FBR-VIVAH-PNL-WHT</t>
  </si>
  <si>
    <t>VIVAH WHITE BACK PANEL ET PT BORDER FABRIC</t>
  </si>
  <si>
    <t>FBR-VIVAH-TOP-PNL-WHT</t>
  </si>
  <si>
    <t>VIVAH WHITE TOP PANEL FABRIC</t>
  </si>
  <si>
    <t>RM-CAMEO-SDE-LBL</t>
  </si>
  <si>
    <t>CAMEO SIDE LABEL</t>
  </si>
  <si>
    <t>RM-CAMEO-WCRD</t>
  </si>
  <si>
    <t>PEPS CAMEO WARRANTY CARD</t>
  </si>
  <si>
    <t>RM-CARE-STK</t>
  </si>
  <si>
    <t>HANDLE WITH CARE STICKER</t>
  </si>
  <si>
    <t>RM-CAR-PLUSH-SDE-LBL</t>
  </si>
  <si>
    <t>CAROUSEL PLUSH SIDE LABEL</t>
  </si>
  <si>
    <t>RM-CASPIA-SDE-LBL</t>
  </si>
  <si>
    <t>PEPS CASPIA SIDE LABEL</t>
  </si>
  <si>
    <t>RM-CASPIA-WCRD</t>
  </si>
  <si>
    <t>PEPS CASPIA WARRANTY CARD</t>
  </si>
  <si>
    <t>RM-CB-RTC-PLUSH</t>
  </si>
  <si>
    <t>PEPS RESTONIC PLUSH CENTER BAND</t>
  </si>
  <si>
    <t>RM-CB-SPG-FOAM</t>
  </si>
  <si>
    <t>PEPS SPINE GUARD FOAM CENTER BAND</t>
  </si>
  <si>
    <t>RM-CRY-MIN-SDE-LBL</t>
  </si>
  <si>
    <t>CRYSTAL MINI SAMPLE SIDE LABEL</t>
  </si>
  <si>
    <t>RM-CUSPOLFIL16X16-BL</t>
  </si>
  <si>
    <t>PEPS BLUE CUSHION 16X16</t>
  </si>
  <si>
    <t>RM-CUSPOLFIL16X16-CR</t>
  </si>
  <si>
    <t>PEPS CREAM CUSHION 16X16</t>
  </si>
  <si>
    <t>RM-CUSPOLFIL16X16-GLBG</t>
  </si>
  <si>
    <t>PEPS GOLDEN BEIGE CUSHION 16X16</t>
  </si>
  <si>
    <t>RM-CUSPOLFIL16X16-MR</t>
  </si>
  <si>
    <t>PEPS MAROON CUSHION 16X16</t>
  </si>
  <si>
    <t>RM-DISPLAY-PILLOW</t>
  </si>
  <si>
    <t>PEPS GSS LONG PILLOW 20x60</t>
  </si>
  <si>
    <t>RM-DISPLAY-PILLOW-20X36</t>
  </si>
  <si>
    <t>PEPS GSS LONG PILLOW 20X36</t>
  </si>
  <si>
    <t>RM-DISPLAY-PILLOW-20X48</t>
  </si>
  <si>
    <t>PEPS GSS LONG PILLOW 20X48</t>
  </si>
  <si>
    <t>RM-DISPLAY-PILLOW-20X72</t>
  </si>
  <si>
    <t>PEPS GSS LONG PILLOW 20X72</t>
  </si>
  <si>
    <t>RM-DIV-SDE-LBL</t>
  </si>
  <si>
    <t>DIVAN SIDE LABEL</t>
  </si>
  <si>
    <t>RMD-PLYWOOD7X4X18</t>
  </si>
  <si>
    <t>PLY WOOD 7X4X18MM</t>
  </si>
  <si>
    <t>RM-FACE-TOWEL-12X12</t>
  </si>
  <si>
    <t>PEPS FACE TOWEL 12X12"</t>
  </si>
  <si>
    <t>RM-FBR-PLWCVR-BEIGE</t>
  </si>
  <si>
    <t>BEIGE PILLOW COVER FABRIC</t>
  </si>
  <si>
    <t>RM-FBR-PLWCVR-LBLUE</t>
  </si>
  <si>
    <t>LIGHT BLUE PILLOW COVER FABRIC</t>
  </si>
  <si>
    <t>RM-FBR-PLWCVR-LPINK</t>
  </si>
  <si>
    <t>LIGHT PINK PILLOW COVER FABRIC</t>
  </si>
  <si>
    <t>RM-FBR-SAMPLE</t>
  </si>
  <si>
    <t>SAMPLE FABRIC</t>
  </si>
  <si>
    <t>RM-FIT-FELT-4INCH</t>
  </si>
  <si>
    <t>COTTON FELT 4" WIDTH</t>
  </si>
  <si>
    <t>RM-FOM-MIN-SDE-LBL</t>
  </si>
  <si>
    <t>FOAMERA MINI SAMPLE SIDE LABEL</t>
  </si>
  <si>
    <t>RM-FUR-MIN-SDE-LBL</t>
  </si>
  <si>
    <t>FURNO MINI SAMPLE SIDE LABEL</t>
  </si>
  <si>
    <t>RM-GREY-ZIP</t>
  </si>
  <si>
    <t>GREY ZIPPER NO -8</t>
  </si>
  <si>
    <t>RM-GRIP-PVC-BAG-30X11X9</t>
  </si>
  <si>
    <t>PEPS GRIPSTER PVC BAG 30"X11"X09</t>
  </si>
  <si>
    <t>RM-GRIP-SDE-LBL</t>
  </si>
  <si>
    <t>PEPS GRIPSTER SIDE LABEL</t>
  </si>
  <si>
    <t>RM-HAND-TOWEL-16X27</t>
  </si>
  <si>
    <t>PEPS HAND TOWEL 16X27"</t>
  </si>
  <si>
    <t>RM-HB-ALN-BOLT</t>
  </si>
  <si>
    <t>HEAD BOARD ALLEN BOLT</t>
  </si>
  <si>
    <t>RM-HB-TUF-BUTTON</t>
  </si>
  <si>
    <t>HEAD BOARD TUFTING BUTTON  MALE/FEMALE</t>
  </si>
  <si>
    <t>RM-HYP-ALU-MAT-MRP-LBL</t>
  </si>
  <si>
    <t>Hypnos Allure Mattresses Plain MRP Label</t>
  </si>
  <si>
    <t>RM-HYP-ALU-MF-WCRD</t>
  </si>
  <si>
    <t>HYPNOS ALLURE-MF WARRANTY CARD</t>
  </si>
  <si>
    <t>RM-HYP-ALU-WCRD</t>
  </si>
  <si>
    <t>Hypnos Allure Warranty Card</t>
  </si>
  <si>
    <t>RM-HYP-BREATHER</t>
  </si>
  <si>
    <t>HYPNOS BREATHER</t>
  </si>
  <si>
    <t>RM-HYP-CAS-MAT-MRP-LBL</t>
  </si>
  <si>
    <t>Hypnos Caspio Mattresses Plain MRP Label</t>
  </si>
  <si>
    <t>RM-HYP-CAS-WCRD</t>
  </si>
  <si>
    <t>Hypnos Caspio Warranty Card</t>
  </si>
  <si>
    <t>RMI-ADE-SDE-LBL</t>
  </si>
  <si>
    <t>ARDENE SIDE LABEL</t>
  </si>
  <si>
    <t>RMI-BREATHER-GOLD</t>
  </si>
  <si>
    <t>BREATHER SET GOLD ROUND</t>
  </si>
  <si>
    <t>RMI-BREATHER-HE</t>
  </si>
  <si>
    <t>HE MATTRESSES(VH-DD-CRY-GP-ZEN) BREATHER SET</t>
  </si>
  <si>
    <t>RMI-BREATHER-ORG</t>
  </si>
  <si>
    <t>ORGANICA BREATHER SET</t>
  </si>
  <si>
    <t>RMI-BREATHER-SPG</t>
  </si>
  <si>
    <t>SPINE GUARD BREATHER SET ROUND</t>
  </si>
  <si>
    <t>RMI-BUTTON</t>
  </si>
  <si>
    <t>TUFTING BUTTON- 34.6MMX5MM</t>
  </si>
  <si>
    <t>RMI-CSL-SDE-LBL</t>
  </si>
  <si>
    <t>CAROUSEL SIDE LABEL (IMPORT)</t>
  </si>
  <si>
    <t>RMI-CTNF-75X39</t>
  </si>
  <si>
    <t>COTTON FELT 190CM X 99CM X 6MM (75"x39")</t>
  </si>
  <si>
    <t>RMI-CTNF-75X51</t>
  </si>
  <si>
    <t>COTTON FELT 190CM X 129CM X 6MM ( 75" x 51" )</t>
  </si>
  <si>
    <t>RMI-CTNF-75X63</t>
  </si>
  <si>
    <t>COTTON FELT 190CM X 160CM X 6MM ( 75" x 63" )</t>
  </si>
  <si>
    <t>RMI-DD-SDE-LBL</t>
  </si>
  <si>
    <t>DOUBLE DECKER MINI SAMPLE SIDE LABEL</t>
  </si>
  <si>
    <t>RMI-EDTAPE-A1217-W:42MM</t>
  </si>
  <si>
    <t>GRAND PALAIS EDGE TAPE WHITE</t>
  </si>
  <si>
    <t>RMI-FTN-SDE-LBL</t>
  </si>
  <si>
    <t>FONTAINE SIDE LABEL</t>
  </si>
  <si>
    <t>RMI-GNA-SDE-LBL</t>
  </si>
  <si>
    <t>GENEVA SIDE LABEL (IMPORT)</t>
  </si>
  <si>
    <t>RMI-GP-OPTION3-LBL</t>
  </si>
  <si>
    <t>GRAND PALASIS SIDE LABLE NEW</t>
  </si>
  <si>
    <t>RMI-GPS-SDE-LBL</t>
  </si>
  <si>
    <t>GRANDPALAIS MINI SAMPLE SIDE LABEL</t>
  </si>
  <si>
    <t>RMI-HB-COR-PR-BR</t>
  </si>
  <si>
    <t>HEADBOARD METAL CORNER GUARD - GOLD PLAIN</t>
  </si>
  <si>
    <t>RMI-HB-COR-PR-GD</t>
  </si>
  <si>
    <t>HEADBOARD METAL CORNER GUARD – SILVER PLAIN</t>
  </si>
  <si>
    <t>RMI-HCC-SDE-LBL</t>
  </si>
  <si>
    <t>HOTEL COMFORT CARE SIDE LABEL (IMPORT)</t>
  </si>
  <si>
    <t>RMI-HCTNF-77X38.</t>
  </si>
  <si>
    <t>COTTON FELT 196CM X 97CM X 6MM ( 77" x 38" )</t>
  </si>
  <si>
    <t>RMI-HCTNF-77X51.</t>
  </si>
  <si>
    <t>COTTON FELT 196CM X 129CM X 6MM ( 77" x 51" )</t>
  </si>
  <si>
    <t>RMI-HCTNF-77X63.</t>
  </si>
  <si>
    <t>COTTON FELT 196CM X 160CM X 6MM ( 77"x63" )</t>
  </si>
  <si>
    <t>RML-CL12B</t>
  </si>
  <si>
    <t>CLIPS CL-12B (13025 PCS/BOX)</t>
  </si>
  <si>
    <t>RML-CL85</t>
  </si>
  <si>
    <t>CLIPS CL-85 (8000 PCS/BOX)</t>
  </si>
  <si>
    <t>RML-CLAR-BED-SHT-100X108</t>
  </si>
  <si>
    <t>CLARABELLA BED SHEET - DOUBLE 100X108 ( 1 + 2 )</t>
  </si>
  <si>
    <t>RML-CLAR-BED-SHT-70X108</t>
  </si>
  <si>
    <t>CLARABELLA BED SHEET - SINGLE 70X108 ( 1 + 2 )</t>
  </si>
  <si>
    <t>RML-COM-BAG-DOUBLE</t>
  </si>
  <si>
    <t>COMFORTER PVC BLUE BAG DOUBLE 18.5WX12G</t>
  </si>
  <si>
    <t>RML-COM-INS-DOUBLE</t>
  </si>
  <si>
    <t>PEPS COMFORTER INSERTER DOUBLE L37XW6</t>
  </si>
  <si>
    <t>RML-COM-INS-SINGLE</t>
  </si>
  <si>
    <t>PEPS COMFORTER INSERTER SINGLE L25XW6</t>
  </si>
  <si>
    <t>RML-CON-PLW-BOX</t>
  </si>
  <si>
    <t>PEPS CONTOUR MEMORY FOAM PILLOW BOX</t>
  </si>
  <si>
    <t>RML-CORAL-BLNK-160X240CM</t>
  </si>
  <si>
    <t>CORAL BLANKET 160X240CM (1.2KG/PCS)</t>
  </si>
  <si>
    <t>RML-CORNERPAD8X48"</t>
  </si>
  <si>
    <t>8 X 48"-7 PLY CORNER PAD</t>
  </si>
  <si>
    <t>RML-COR-ROLL</t>
  </si>
  <si>
    <t>Corrugated Sheet. 52" 2 Ply.41kg/r</t>
  </si>
  <si>
    <t>RML-CORU-BOX</t>
  </si>
  <si>
    <t>30.50"X24"X24"-5 PLY BOX WITH PRINT</t>
  </si>
  <si>
    <t>RML-CRI-YELLOW-STK</t>
  </si>
  <si>
    <t>CARE INTRUCTION YELLOW STICKER</t>
  </si>
  <si>
    <t>RML-CS-CST-9.5"</t>
  </si>
  <si>
    <t>CORNER SHOES.  CRYSAL - 9.5"</t>
  </si>
  <si>
    <t>RML-CS-DD-16"</t>
  </si>
  <si>
    <t>CORNER SHOES. DOUBLE DECKER - 16"</t>
  </si>
  <si>
    <t>RML-CS-DIVAN-5.25</t>
  </si>
  <si>
    <t>DIVAN MATTRESS CORNER SHOE 5.25"</t>
  </si>
  <si>
    <t>RML-CS-DRM-SILV-10.5</t>
  </si>
  <si>
    <t>PEPS DREAM MAKERS CORNER SHOES-SILVER - 10.5"</t>
  </si>
  <si>
    <t>RML-CS-DRM-SILV-6</t>
  </si>
  <si>
    <t>PEPS DREAM MAKERS CORNER SHOES-SILVER - 6"</t>
  </si>
  <si>
    <t>RML-CS-DRM-SILV-7</t>
  </si>
  <si>
    <t>PEPS DREAM MAKERS CORNER SHOES-SILVER - 7"</t>
  </si>
  <si>
    <t>RML-CS-DRM-SILV-7.5</t>
  </si>
  <si>
    <t>PEPS DREAM MAKERS CORNER SHOES-SILVER - 7.5"</t>
  </si>
  <si>
    <t>RML-CS-DRM-SILV-8.5</t>
  </si>
  <si>
    <t>PEPS DREAM MAKERS CORNER SHOES-SILVER - 8.5"</t>
  </si>
  <si>
    <t>RML-CS-GPS-11.5"</t>
  </si>
  <si>
    <t>CORNER SHOES.  GRANDPLAIS - 11.5"</t>
  </si>
  <si>
    <t>RML-CS-GPS-9.5"</t>
  </si>
  <si>
    <t>CORNER SHOES.  GRANDPLAIS - 9.5"</t>
  </si>
  <si>
    <t>RML-CS-HYP-4.25"</t>
  </si>
  <si>
    <t>CORNER SHOES HYPNOS 4.25"</t>
  </si>
  <si>
    <t>RML-CS-HYP-5.25"</t>
  </si>
  <si>
    <t>CORNER SHOES HYPNOS 5.25"</t>
  </si>
  <si>
    <t>RML-CS-HYP-6.25</t>
  </si>
  <si>
    <t>HYPNOS CORNER SHOES 6.25"</t>
  </si>
  <si>
    <t>RML-CS-HYP-8.25</t>
  </si>
  <si>
    <t>HYPNOS CORNER SHOES 8.25"</t>
  </si>
  <si>
    <t>RML-CS-HYP-FURNO-4.5</t>
  </si>
  <si>
    <t>HYPNOS FURNO CORNER SHOES 4.5"</t>
  </si>
  <si>
    <t>RML-CS-ORG-8.5</t>
  </si>
  <si>
    <t>CORNER SHOES. ORGANICA 8.5"</t>
  </si>
  <si>
    <t>RML-CS-PL-10.5</t>
  </si>
  <si>
    <t>PLAIN CORNER SHOES.  - 10.5"</t>
  </si>
  <si>
    <t>RML-CS-PL-12.25</t>
  </si>
  <si>
    <t>PLAIN CORNER SHOES - 12.25"</t>
  </si>
  <si>
    <t>RML-CS-PL-6.5"</t>
  </si>
  <si>
    <t>PLAIN CORNER SHOES.  - 6.5"</t>
  </si>
  <si>
    <t>RML-CS-PL-8.5</t>
  </si>
  <si>
    <t>PLAIN CORNER SHOES.   - 8.5"</t>
  </si>
  <si>
    <t>RML-CS-RTC-10.5"</t>
  </si>
  <si>
    <t>CORNER SHOES.  RESTONIC - 10.5"</t>
  </si>
  <si>
    <t>RML-CS-RTC-5.5"</t>
  </si>
  <si>
    <t>CORNER SHOES.  RESTONIC - 6"</t>
  </si>
  <si>
    <t>RML-CS-RTC-7"</t>
  </si>
  <si>
    <t>CORNER SHOES.  RESTONIC - 7"</t>
  </si>
  <si>
    <t>RML-CS-RTC-7.5"</t>
  </si>
  <si>
    <t>CORNER SHOES.  RESTONIC - 7.5"</t>
  </si>
  <si>
    <t>RML-CS-RTC-8.5"</t>
  </si>
  <si>
    <t>CORNER SHOES.  RESTONIC - 8.5"</t>
  </si>
  <si>
    <t>RML-CS-RTC-9.5"</t>
  </si>
  <si>
    <t>CORNER SHOES.  RESTONIC - 9.5"</t>
  </si>
  <si>
    <t>RML-CS-RTC-PLUSH-7.5</t>
  </si>
  <si>
    <t>CORNER SHOES RESTONIC PLUSH - 7.5"</t>
  </si>
  <si>
    <t>RML-CS-RTC-PLUSH-9.5</t>
  </si>
  <si>
    <t>CORNER SHOES RESTONIC PLUSH - 9.5"</t>
  </si>
  <si>
    <t>RML-CS-SPG-6.5"</t>
  </si>
  <si>
    <t>CORNER SHOES.  SPINE GUARD - 6.5"</t>
  </si>
  <si>
    <t>RML-CS-SPG-7.5"</t>
  </si>
  <si>
    <t>CORNER SHOES.  SPINE GUARD - 7.5"</t>
  </si>
  <si>
    <t>RML-CS-SPG-9.5"</t>
  </si>
  <si>
    <t>CORNER SHOES.  SPINE GUARD - 9.5"</t>
  </si>
  <si>
    <t>RML-CS-SPK-8.5"</t>
  </si>
  <si>
    <t>CORNER SHOES.  SPK - 8.5"</t>
  </si>
  <si>
    <t>RML-CS-SPK-BG-10.5</t>
  </si>
  <si>
    <t>CORNER SHOES SPRINGKOIL BEIGE -10.5"</t>
  </si>
  <si>
    <t>RML-CS-SPK-BG-7</t>
  </si>
  <si>
    <t>CORNER SHOES SPRINGKOIL BEIGE -7"</t>
  </si>
  <si>
    <t>RML-CS-SPK-BG-8.5</t>
  </si>
  <si>
    <t>CORNER SHOES SPRINGKOIL BEIGE -8.5"</t>
  </si>
  <si>
    <t>RML-CS-SPK-BL-10.5</t>
  </si>
  <si>
    <t>CORNER SHOES SPRINGKOIL BLUE -10.5"</t>
  </si>
  <si>
    <t>RML-CS-SPK-BL-6</t>
  </si>
  <si>
    <t>CORNER SHOES SPRINGKOIL BLUE -6"</t>
  </si>
  <si>
    <t>RML-CS-SPK-BL-7</t>
  </si>
  <si>
    <t>CORNER SHOES SPRINGKOIL BLUE -7"</t>
  </si>
  <si>
    <t>RML-CS-SPK-BL-8.5</t>
  </si>
  <si>
    <t>CORNER SHOES SPRINGKOIL BLUE -8.5"</t>
  </si>
  <si>
    <t>RML-CS-SPK-BW-10.5</t>
  </si>
  <si>
    <t>CORNER SHOES SPRINGKOIL BROWN -10.5"</t>
  </si>
  <si>
    <t>RML-CS-SPK-BW-6</t>
  </si>
  <si>
    <t>CORNER SHOES SPRINGKOIL BROWN -6"</t>
  </si>
  <si>
    <t>RML-CS-SPK-BW-7</t>
  </si>
  <si>
    <t>CORNER SHOES SPRINGKOIL BROWN -7"</t>
  </si>
  <si>
    <t>RML-CS-SPK-BW-8.5</t>
  </si>
  <si>
    <t>CORNER SHOES SPRINGKOIL BROWN -8.5"</t>
  </si>
  <si>
    <t>RML-CS-SPK-CR-10.5</t>
  </si>
  <si>
    <t>CORNER SHOES SPRINGKOIL CREAM -10.5"</t>
  </si>
  <si>
    <t>RML-CS-SPK-CR-6</t>
  </si>
  <si>
    <t>CORNER SHOES SPRINGKOIL CREAM -6"</t>
  </si>
  <si>
    <t>RML-CS-SPK-CR-7</t>
  </si>
  <si>
    <t>CORNER SHOES SPRINGKOIL CREAM -7"</t>
  </si>
  <si>
    <t>RML-CS-SPK-CR-8.5</t>
  </si>
  <si>
    <t>CORNER SHOES SPRINGKOIL CREAM -8.5"</t>
  </si>
  <si>
    <t>RML-CS-SPK-CT-6</t>
  </si>
  <si>
    <t>PEPS SPRINGKOIL CROWN TOP CORNER SHOES 6"</t>
  </si>
  <si>
    <t>RML-CS-SPK-CT-7.5</t>
  </si>
  <si>
    <t>PEPS SPRINGKOIL CROWN TOP CORNER SHOES 7.5"</t>
  </si>
  <si>
    <t>RML-CS-SPK-CT-9.25</t>
  </si>
  <si>
    <t>PEPS SPRINGKOIL CROWN TOP CORNER SHOES 9.25"</t>
  </si>
  <si>
    <t>RML-CS-SPK-GR-10.5</t>
  </si>
  <si>
    <t>CORNER SHOES SPRINGKOIL GREY -10.5"</t>
  </si>
  <si>
    <t>RML-CS-SPK-GR-7</t>
  </si>
  <si>
    <t>CORNER SHOES SPRINGKOIL GREY -7"</t>
  </si>
  <si>
    <t>RML-CS-SPK-GR-8.5</t>
  </si>
  <si>
    <t>CORNER SHOES SPRINGKOIL GREY -8.5"</t>
  </si>
  <si>
    <t>RML-CS-SPK-MR-10.5</t>
  </si>
  <si>
    <t>CORNER SHOES SPRINGKOIL MAROON -10.5"</t>
  </si>
  <si>
    <t>RML-CS-SPK-MR-6</t>
  </si>
  <si>
    <t>CORNER SHOES SPRINGKOIL MAROON -6"</t>
  </si>
  <si>
    <t>RML-CS-SPK-MR-7</t>
  </si>
  <si>
    <t>CORNER SHOES SPRINGKOIL MAROON -7"</t>
  </si>
  <si>
    <t>RML-CS-SPK-MR-8.5</t>
  </si>
  <si>
    <t>CORNER SHOES SPRINGKOIL MAROON -8.5"</t>
  </si>
  <si>
    <t>RML-CS-VH-12"</t>
  </si>
  <si>
    <t>CORNER SHOES. VIVAH - 12"</t>
  </si>
  <si>
    <t>RML-CS-ZENIMO-6.5</t>
  </si>
  <si>
    <t>ZENIMO CORNER SHOES 6.5"</t>
  </si>
  <si>
    <t>RML-CS-ZENIMO-9.5"</t>
  </si>
  <si>
    <t>ZENIMO CORNER SHOES 9.5"</t>
  </si>
  <si>
    <t>RML-CUS-BAG</t>
  </si>
  <si>
    <t>Cushion Pillow PVC BAG 19LX18W</t>
  </si>
  <si>
    <t>RML-KOM-PTR-MRP-LBL</t>
  </si>
  <si>
    <t>KOMFFY PROTECTOR MRP LABEL</t>
  </si>
  <si>
    <t>RML-KOM-RTC-BED-SHT-60X90</t>
  </si>
  <si>
    <t>KOMFFY PLUS BED SHEET SINGLE- 60"X90" (RTC)</t>
  </si>
  <si>
    <t>RML-KOM-RTC-BED-SHT-90X100</t>
  </si>
  <si>
    <t>KOMFFY PLUS BED SHEET DOUBLE- 90"X100" (RTC)</t>
  </si>
  <si>
    <t>RML-KOM-SPK-BED-SHT-60X100</t>
  </si>
  <si>
    <t>KOMFFY BED SHEET SINGLE- 60"X90" (SPK)</t>
  </si>
  <si>
    <t>RML-KOM-SPK-BED-SHT-90X100</t>
  </si>
  <si>
    <t>KOMFFY BED SHEET DOUBLE-90"X100" (SPK)</t>
  </si>
  <si>
    <t>RML-KOM-SPK-PILLOW</t>
  </si>
  <si>
    <t>KOMFFY POLYESTER FIBER PILLOW 24"X16"-SINGLE (SPK)</t>
  </si>
  <si>
    <t>RML-KOM-SPK-PILLOW-DOB</t>
  </si>
  <si>
    <t>KOMFFY POLYESTER FIBER PILLOW 24"x16"-DOUBLE (SPK)</t>
  </si>
  <si>
    <t>RML-KOM-WSCR-LBL-CNTR-PLW</t>
  </si>
  <si>
    <t>KOMFFY MEMORY CONTOUR PILLOW WASH CARE LABEL</t>
  </si>
  <si>
    <t>RML-KOZBRE-SDE-LBL</t>
  </si>
  <si>
    <t>KOZYBREEZ SIDE LABEL</t>
  </si>
  <si>
    <t>RML-KOZBRE-WCRD</t>
  </si>
  <si>
    <t>KOZYBREEZ WARRANTY CARD</t>
  </si>
  <si>
    <t>RML-LAT-MAS-PIL-BOX</t>
  </si>
  <si>
    <t>LATEX MASSAGE PILLOW BOX</t>
  </si>
  <si>
    <t>RML-LD-BAG-67X96</t>
  </si>
  <si>
    <t>LDPE BAG 67"X96"X150.MIC</t>
  </si>
  <si>
    <t>RML-LD-CVR-17X30.5</t>
  </si>
  <si>
    <t>LDPE BAG 17"X29"X50.MIC</t>
  </si>
  <si>
    <t>RML-LD-CVR-20X20</t>
  </si>
  <si>
    <t>LDPE BAG 20"x20" With Handle(70micron)</t>
  </si>
  <si>
    <t>RML-LD-CVR-32X25</t>
  </si>
  <si>
    <t>LDPE BAG 32"x25" With Handle(70micron)</t>
  </si>
  <si>
    <t>RML-LD-CVR-35X27</t>
  </si>
  <si>
    <t>LDPE BAG 35"x27" With Handle (70micron)</t>
  </si>
  <si>
    <t>RML-LD-CVR84X90</t>
  </si>
  <si>
    <t>LDPE BAG 84"X90"X50.MIC</t>
  </si>
  <si>
    <t>RML-LD-CVR-85X34-TNDR</t>
  </si>
  <si>
    <t>TNDR - LDPE BAG 84"X34"X80.MIC</t>
  </si>
  <si>
    <t>RML-LDPE-61X38</t>
  </si>
  <si>
    <t>LDPE BAG 61" X 38"X 50.MIC</t>
  </si>
  <si>
    <t>RML-LDPE-ROLL-62</t>
  </si>
  <si>
    <t>LDPE ROLL 62" X 50.MIC</t>
  </si>
  <si>
    <t>RML-LDPE-TUBE-21X50MIC</t>
  </si>
  <si>
    <t>LDPE TUBE 21"X50.MIC  ( LONG PILLOW)</t>
  </si>
  <si>
    <t>RML-LTX-1200*200*2.5CM</t>
  </si>
  <si>
    <t>PERFO LATEX SHEETS  1200X200X2.5CM</t>
  </si>
  <si>
    <t>RML-LTX-30X2.15X1</t>
  </si>
  <si>
    <t>SOLID LATEX L :30 X W: 2.15 MTR THICKNESS  1CM - 65 DENSITY</t>
  </si>
  <si>
    <t>RML-LUB-OIL</t>
  </si>
  <si>
    <t>lubricant Oil</t>
  </si>
  <si>
    <t>RML-MATP-EDTAPE-WHT</t>
  </si>
  <si>
    <t>MATTRESS TOPPER EDGE TAPE - WHITE (1400GSM)</t>
  </si>
  <si>
    <t>RML-MEAS-TAPE-3MTR</t>
  </si>
  <si>
    <t>MEASURING TAPE - 3MTR</t>
  </si>
  <si>
    <t>RML-MEMORIA-WCRD</t>
  </si>
  <si>
    <t>Memorio 7 Years WARRANTY CARD</t>
  </si>
  <si>
    <t>RML-MEM-PLW-BOX</t>
  </si>
  <si>
    <t>PEPS MOULDED 100% MEMORY FOAM PILLOW BOX</t>
  </si>
  <si>
    <t>RML-MEM-ULT-SDE-LBL</t>
  </si>
  <si>
    <t>MEMORIO ULTRA SIDE LABEL</t>
  </si>
  <si>
    <t>RML-MEM-ULT-WCRD</t>
  </si>
  <si>
    <t>MEMORIO ULTRA 10 YEARS WARRANTY CARD</t>
  </si>
  <si>
    <t>RML-MIRA-POLY-BAG-37</t>
  </si>
  <si>
    <t>Mirage Mattress Roll Packing Polyester Bag D13.25" X W21" X L37" (Grey)</t>
  </si>
  <si>
    <t>RML-MIRA-POLY-BAG-49</t>
  </si>
  <si>
    <t>Mirage Mattress Roll Packing Polyester Bag D13.25" X W21" X L49" (Grey)</t>
  </si>
  <si>
    <t>RML-MIRA-POLY-BAG-61</t>
  </si>
  <si>
    <t>Mirage Mattress Roll Packing Polyester Bag D13.25" X W21" X L61" (Grey)</t>
  </si>
  <si>
    <t>RML-MIRA-POLY-BAG-73</t>
  </si>
  <si>
    <t>Mirage Mattress Roll Packing Polyester Bag D13.25" X W21" X L73" (Grey)</t>
  </si>
  <si>
    <t>RML-MIR-SDE-LBL</t>
  </si>
  <si>
    <t>MIRAGE SIDE LABEL</t>
  </si>
  <si>
    <t>RML-MIR-WCRD</t>
  </si>
  <si>
    <t>MIRAGE 5 YEARS WARRANTY CARD</t>
  </si>
  <si>
    <t>RML-MRP-BACK-LBL</t>
  </si>
  <si>
    <t>MRP BACK LABEL(PLAIN)</t>
  </si>
  <si>
    <t>RML-MRP-BACK-LBL-SFT</t>
  </si>
  <si>
    <t>SPRING SOFT MATT MRP BACK LABEL (PLAIN) 8.5"X3.75"</t>
  </si>
  <si>
    <t>RML-NET-PADDING</t>
  </si>
  <si>
    <t>HDPE KNITTED FABRIC ( MOSQUITO NET)</t>
  </si>
  <si>
    <t>RML-NET-PADDING-WHT</t>
  </si>
  <si>
    <t>HDPE KNITTED FABRIC - WHITE (MOSQUITO NET)</t>
  </si>
  <si>
    <t>RML-NONSTANDARD-SKR</t>
  </si>
  <si>
    <t>NON STANDARD STICKER</t>
  </si>
  <si>
    <t>RML-NWN-70GSMX76"</t>
  </si>
  <si>
    <t>NON WOVEN FABRIC 70 GSM x 76 INCH - WHITE</t>
  </si>
  <si>
    <t>RML-NWN-70GSMX79"</t>
  </si>
  <si>
    <t>NON WOVEN FABRIC 70 GSM x 79 INCH - WHITE</t>
  </si>
  <si>
    <t>RML-NWN-80GSMX8"</t>
  </si>
  <si>
    <t>NON WOVEN FABRIC 80 GSM x 8 INCH - WHITE</t>
  </si>
  <si>
    <t>RML-NWN-80GSMX82BLK</t>
  </si>
  <si>
    <t>NON WOVEN FABRIC 80 GSM x 82 INCH - BLACK</t>
  </si>
  <si>
    <t>RML-NYLONBUSH-50X100</t>
  </si>
  <si>
    <t>NYLON BUSH WHITE COLOR</t>
  </si>
  <si>
    <t>RML-OGA-WCRD</t>
  </si>
  <si>
    <t>PEPS ORGANICA WARRANTY CARD</t>
  </si>
  <si>
    <t>RML-OK-STICKER</t>
  </si>
  <si>
    <t>QC/OK  STICKER</t>
  </si>
  <si>
    <t>RML-OK-STICKER-BIG</t>
  </si>
  <si>
    <t>QC/OK  STICKER - BIG</t>
  </si>
  <si>
    <t>RML-OK-STICKER-SML</t>
  </si>
  <si>
    <t>QC/OK  STICKER SMALL</t>
  </si>
  <si>
    <t>RML-ORG-EDTAPE-BR</t>
  </si>
  <si>
    <t>ORGANICA EDGE TAPE GREEN</t>
  </si>
  <si>
    <t>RML-ORG-MINI-SDE-LBL</t>
  </si>
  <si>
    <t>ORGANICA MINI SAMPLE SIDE LABEL</t>
  </si>
  <si>
    <t>RML-ORG-SDE-LBL</t>
  </si>
  <si>
    <t>ORGANICA SIDE LABEL</t>
  </si>
  <si>
    <t>RML-PAK-THRD</t>
  </si>
  <si>
    <t>Bag Stitching Thread</t>
  </si>
  <si>
    <t>RML-PAN-EDTAPE-WHT</t>
  </si>
  <si>
    <t>PANORAMA EDGE TAPE-WHITE</t>
  </si>
  <si>
    <t>RML-PAN-POLY-BAG-37XW21</t>
  </si>
  <si>
    <t>Panorama Mattress Roll Packing Polyester Bag D13.25" X W21" X L37" (Blue)</t>
  </si>
  <si>
    <t>RML-PAN-POLY-BAG-37XW22</t>
  </si>
  <si>
    <t>Panorama Mattress Roll Packing Polyester Bag D13.5" X W22" X L37" (Blue)</t>
  </si>
  <si>
    <t>RML-PAN-POLY-BAG-49XW21</t>
  </si>
  <si>
    <t>Panorama Mattress Roll Packing Polyester Bag D13.25" X W21" X L49" (Blue)</t>
  </si>
  <si>
    <t>RML-PAN-POLY-BAG-49XW22</t>
  </si>
  <si>
    <t>Panorama Mattress Roll Packing Polyester Bag D13.5" X W22" X L49" (Blue)</t>
  </si>
  <si>
    <t>RML-PAN-POLY-BAG-61XW21</t>
  </si>
  <si>
    <t>Panorama Mattress Roll Packing Polyester Bag D13.25" X W21" X L61" (Blue)</t>
  </si>
  <si>
    <t>RML-PAN-POLY-BAG-61XW22</t>
  </si>
  <si>
    <t>Panorama Mattress Roll Packing Polyester Bag D13.5" X W22" X L61" (Blue)</t>
  </si>
  <si>
    <t>RML-PAN-POLY-BAG-73XW21</t>
  </si>
  <si>
    <t>Panorama Mattress Roll Packing Polyester Bag D13.25" X W21" X L73" (Blue)</t>
  </si>
  <si>
    <t>RM-NWN-BS-12.50X30GSM</t>
  </si>
  <si>
    <t>NON WOVEN FABRIC 30 GSM x 12.5 INCH - WHITE</t>
  </si>
  <si>
    <t>RM-NWN-BS-8.5"X30GSM</t>
  </si>
  <si>
    <t>NON WOVEN FABRIC 30 GSM x 8.5 INCH - WHITE</t>
  </si>
  <si>
    <t>RM-NWN-POS-34CMX70GSM</t>
  </si>
  <si>
    <t>NON WOVEN FABRIC 70 GSM x 34 CM - WHITE</t>
  </si>
  <si>
    <t>RM-NWN-POS-37CMX70GSM</t>
  </si>
  <si>
    <t>NON WOVEN FABRIC 70 GSM x 37 CM - WHITE</t>
  </si>
  <si>
    <t>RM-NWN-POS-37CMX70GSM-GRN</t>
  </si>
  <si>
    <t>NON WOVEN FABRIC 70 GSM x 37 CM - GREEN</t>
  </si>
  <si>
    <t>RM-NWN-POS-45CMX70GSM</t>
  </si>
  <si>
    <t>NON WOVEN FABRIC 70 GSM x 45 CM - WHITE</t>
  </si>
  <si>
    <t>RM-NWN-POS-46CMX70GSM</t>
  </si>
  <si>
    <t>NON WOVEN FABRIC 70 GSM x 46 CM - WHITE</t>
  </si>
  <si>
    <t>RM-NWN-POS-50CMX70GSM</t>
  </si>
  <si>
    <t>NON WOVEN FABRIC 70 GSM x 50 CM - WHITE</t>
  </si>
  <si>
    <t>RM-NWN-POS-50CMX70GSM-GRN</t>
  </si>
  <si>
    <t>NON WOVEN FABRIC 70 GSM x 50 CM - GREEN</t>
  </si>
  <si>
    <t>RM-NWN-POS-58CMX70GSM</t>
  </si>
  <si>
    <t>NON WOVEN FABRIC 70 GSM x 58 CM - GREEN</t>
  </si>
  <si>
    <t>RM-NWN-POS-64CMX70GSM</t>
  </si>
  <si>
    <t>NON WOVEN FABRIC 70 GSM x 64 CM - WHITE</t>
  </si>
  <si>
    <t>RM-NWN-QL-86"X20GSM</t>
  </si>
  <si>
    <t>NON WOVEN FABRIC 20 GSM x 86 INCH - WHITE</t>
  </si>
  <si>
    <t>RM-NWN-QL-POS-90"X40GSM</t>
  </si>
  <si>
    <t>NON WOVEN FABRIC 40 GSM x 90 INCH - WHITE</t>
  </si>
  <si>
    <t>RM-PEPSFBSKMI1002-SH04-78X72</t>
  </si>
  <si>
    <t>MIO - PEPSFBSKMI1002-SH04 FITTED SHEET-78 x 72</t>
  </si>
  <si>
    <t>RM-PEPSFBSKMI1002-SH05-78X72</t>
  </si>
  <si>
    <t>MIO - PEPSFBSKMI1002-SH05 FITTED SHEET-78 x 72</t>
  </si>
  <si>
    <t>RM-PEPSFBSKMI1002-SH06-78X72</t>
  </si>
  <si>
    <t>MIO - PEPSFBSKMI1002-SH06 FITTED SHEET-78 x 72</t>
  </si>
  <si>
    <t>RM-PEPSFBSKMI1006-SH14-78X72</t>
  </si>
  <si>
    <t>MIO - PEPSFBSKMI1006-SH14 FITTED SHEET-78 x 72</t>
  </si>
  <si>
    <t>RM-PEPSFBSKMI1006-SH15-78X72</t>
  </si>
  <si>
    <t>MIO - PEPSFBSKMI1006-SH15 FITTED SHEET-78 x 72</t>
  </si>
  <si>
    <t>RM-PEPSFBSKMI1006-SH16-78X72</t>
  </si>
  <si>
    <t>MIO - PEPSFBSKMI1006-SH16 FITTED SHEET-78 x 72</t>
  </si>
  <si>
    <t>RM-PEPSFBSKMI1008-SH08-78X72</t>
  </si>
  <si>
    <t>MIO - PEPSFBSKMI1008-SH08 FITTED SHEET-78 x 72</t>
  </si>
  <si>
    <t>RM-PEPSFBSKMI1008-SH09-78X72</t>
  </si>
  <si>
    <t>MIO - PEPSFBSKMI1008-SH09 FITTED SHEET-78 x 72</t>
  </si>
  <si>
    <t>RM-PEPSFBSKMI1008-SH10-78X72</t>
  </si>
  <si>
    <t>MIO - PEPSFBSKMI1008-SH10 FITTED SHEET-78 x 72</t>
  </si>
  <si>
    <t>RM-PEPSFBSQMI1002-SH04-78X60</t>
  </si>
  <si>
    <t>MIO - PEPSFBSQMI1002-SH04 FITTED SHEET-78 X 60</t>
  </si>
  <si>
    <t>RM-PEPSFBSQMI1002-SH05-78X60</t>
  </si>
  <si>
    <t>MIO - PEPSFBSQMI1002-SH05 FITTED SHEET-78 X 60</t>
  </si>
  <si>
    <t>RM-PEPSFBSQMI1002-SH06-78X60</t>
  </si>
  <si>
    <t>MIO - PEPSFBSQMI1002-SH06 FITTED SHEET-78 X 60</t>
  </si>
  <si>
    <t>RM-PEPSFBSQMI1006-SH14-78X60</t>
  </si>
  <si>
    <t>MIO - PEPSFBSQMI1006-SH14 FITTED SHEET-78 X 60</t>
  </si>
  <si>
    <t>RM-PEPSFBSQMI1006-SH15-78X60</t>
  </si>
  <si>
    <t>MIO - PEPSFBSQMI1006-SH15 FITTED SHEET-78 X 60</t>
  </si>
  <si>
    <t>RM-PEPSFBSQMI1006-SH16-78X60</t>
  </si>
  <si>
    <t>MIO - PEPSFBSQMI1006-SH16 FITTED SHEET-78 X 60</t>
  </si>
  <si>
    <t>RM-PEPSFBSQMI1008-SH08-78X60</t>
  </si>
  <si>
    <t>MIO - PEPSFBSQMI1008-SH08 FITTED SHEET-78 X 60</t>
  </si>
  <si>
    <t>RM-PEPSFBSQMI1008-SH09-78X60</t>
  </si>
  <si>
    <t>MIO - PEPSFBSQMI1008-SH09 FITTED SHEET-78 X 60</t>
  </si>
  <si>
    <t>RM-PEPSFBSQMI1008-SH10-78X60</t>
  </si>
  <si>
    <t>MIO - PEPSFBSQMI1008-SH10 FITTED SHEET-78 X 60</t>
  </si>
  <si>
    <t>RM-PEPS-FIT-SHT-75X60</t>
  </si>
  <si>
    <t>MIO FITTED SHEET 75 X 60</t>
  </si>
  <si>
    <t>RM-PEPS-FIT-SHT-75X72</t>
  </si>
  <si>
    <t>MIO FITTED SHEET 75 X 72</t>
  </si>
  <si>
    <t>RM-PEPS-FIT-SHT-78X60</t>
  </si>
  <si>
    <t>MIO FITTED SHEET 78 X 60</t>
  </si>
  <si>
    <t>RM-PEPS-FIT-SHT-78X72</t>
  </si>
  <si>
    <t>MIO FITTED SHEET 78 X 72</t>
  </si>
  <si>
    <t>RM-PEPS-MAT-MRP-LBL</t>
  </si>
  <si>
    <t>PEPS MATTRESSES PLAIN MRP LABEL</t>
  </si>
  <si>
    <t>RM-PEPS-MAT-MRP-LBL-DEL</t>
  </si>
  <si>
    <t>PEPS MATTRESSES PLAIN MRP LABEL - (DELHI ADDRESS)</t>
  </si>
  <si>
    <t>RM-PEPS-MAT-MRP-LBL-KOL</t>
  </si>
  <si>
    <t>PEPS MATTRESSES PLAIN MRP LABEL - (KOLKATA ADDRESS)</t>
  </si>
  <si>
    <t>RM-PEPS-MAT-MRP-LBL-PUNE</t>
  </si>
  <si>
    <t>PEPS MATTRESSES PLAIN MRP LABEL - (PUNE ADDRESS)</t>
  </si>
  <si>
    <t>RM-PEPS-MAT-MRP-LBL-RED</t>
  </si>
  <si>
    <t>PEPS MATTRESSES PLAIN MRP LABEL - (RED)</t>
  </si>
  <si>
    <t>RM-PEPS-MAT-MRP-LBL-YEL</t>
  </si>
  <si>
    <t>PEPS MATTRESSES PLAIN MRP LABEL - (YELLOW)</t>
  </si>
  <si>
    <t>RM-PLS-KNIF</t>
  </si>
  <si>
    <t>PLASTIC KNIFE</t>
  </si>
  <si>
    <t>RM-PLW-DIS-STAND</t>
  </si>
  <si>
    <t>PILLOW'S DISPLAY STAND</t>
  </si>
  <si>
    <t>STY-STL-SCAL</t>
  </si>
  <si>
    <t>STEEL SCALE</t>
  </si>
  <si>
    <t>STY-STMP-PAD-BIG-BL</t>
  </si>
  <si>
    <t>STAMP PAD BIG (BLUE)</t>
  </si>
  <si>
    <t>STY-STMP-PAD-BIG-GR</t>
  </si>
  <si>
    <t>STAMP PAD BIG (GREEN)</t>
  </si>
  <si>
    <t>STY-STMP-PAD-INK-BL</t>
  </si>
  <si>
    <t>STAMP PAD INK BLUE</t>
  </si>
  <si>
    <t>STY-STMP-PAD-INK-RD</t>
  </si>
  <si>
    <t>STAMP PAD INK RED</t>
  </si>
  <si>
    <t>STY-STMP-PAD-MED-BL</t>
  </si>
  <si>
    <t>STAMP PAD MEDIUM (BLUE)</t>
  </si>
  <si>
    <t>STY-STMP-PAD-SML</t>
  </si>
  <si>
    <t>STAMP PAD SMALL</t>
  </si>
  <si>
    <t>STY-STN-INV-CBE</t>
  </si>
  <si>
    <t>COIMBATORE STOCK TRANSFER INVOICE (500 NOS/BOX)</t>
  </si>
  <si>
    <t>STY-STPLR-BIG</t>
  </si>
  <si>
    <t>STAPLER BIG</t>
  </si>
  <si>
    <t>STY-STPLR-PIN-BIG</t>
  </si>
  <si>
    <t>STAPLER PIN BIG</t>
  </si>
  <si>
    <t>STY-STPLR-PIN-SML</t>
  </si>
  <si>
    <t>STAPLER PIN SMALL</t>
  </si>
  <si>
    <t>STY-STPLR-SML</t>
  </si>
  <si>
    <t>STAPLER SMALL</t>
  </si>
  <si>
    <t>STY-TAG-FLE</t>
  </si>
  <si>
    <t>TAG FILE</t>
  </si>
  <si>
    <t>STY-THREAD-TRIMMER</t>
  </si>
  <si>
    <t>THREAD TRIMMER</t>
  </si>
  <si>
    <t>STY-UNRULD-NOT-BOK</t>
  </si>
  <si>
    <t>UN RULED NOTE BOOK</t>
  </si>
  <si>
    <t>STY-VCR-BOX-FL</t>
  </si>
  <si>
    <t>VOUCHER BOX FILE</t>
  </si>
  <si>
    <t>STY-WHT-BRD-MARK-BL</t>
  </si>
  <si>
    <t>WHITE BOARD MARKER BLUE</t>
  </si>
  <si>
    <t>STY-WHT-BRD-MARK-BLK</t>
  </si>
  <si>
    <t>WHITE BOARD MARKER BLACK</t>
  </si>
  <si>
    <t>STY-WHT-BRD-MARK-GR</t>
  </si>
  <si>
    <t>WHITE BOARD MARKER GREEN</t>
  </si>
  <si>
    <t>STY-WHT-BRD-MARK-RD</t>
  </si>
  <si>
    <t>WHITE BOARD MARKER RED</t>
  </si>
  <si>
    <t>STY-WHTNR</t>
  </si>
  <si>
    <t>WHITNER</t>
  </si>
  <si>
    <t>STY-WIRE-CUT</t>
  </si>
  <si>
    <t>STEEL WIRE CUTTER</t>
  </si>
  <si>
    <t>FBR-HYP-REB-LATE-PNL</t>
  </si>
  <si>
    <t>HYPNOS REBONDED &amp; LATEX MATTRESS PANEL FABRIC</t>
  </si>
  <si>
    <t>FBR-HYP-REB-MEM-BR</t>
  </si>
  <si>
    <t>HYPNOS REBONDED &amp; MEMORY MATTRESS BORDER FABRIC</t>
  </si>
  <si>
    <t>FBR-HYP-REB-MEM-PNL</t>
  </si>
  <si>
    <t>HYPNOS REBONDED &amp; MEMORY MATTRESS PANEL FABRIC</t>
  </si>
  <si>
    <t>FBR-ITALIANO-BAHB-REXIN-BRN</t>
  </si>
  <si>
    <t>ITALIANO BASE &amp; HEADBORAD BROWN REXIN FABRIC</t>
  </si>
  <si>
    <t>FBR-ITALIANO-BAHB-REXIN-MRN</t>
  </si>
  <si>
    <t>ITALIANO BASE &amp; HEADBORAD MAROON REXIN FABRIC</t>
  </si>
  <si>
    <t>FBR-ITALIANO-CALMRE-PLW</t>
  </si>
  <si>
    <t>ITALIANO CALMARE PILLOW FABRIC</t>
  </si>
  <si>
    <t>FBR-LEG-FAB</t>
  </si>
  <si>
    <t>BED RUNNER FABRIC  ( LEG REST )</t>
  </si>
  <si>
    <t>FBR-SANI-ET-PL-BR</t>
  </si>
  <si>
    <t>SANIBEL EURO TOP PLUSH BORDER FABRIC</t>
  </si>
  <si>
    <t>FBR-SANI-ET-PL-PNL</t>
  </si>
  <si>
    <t>SANIBEL EURO TOP PLUSH PANEL FABRIC</t>
  </si>
  <si>
    <t>RM-BED-SHT-PLN-70X108-WOPC</t>
  </si>
  <si>
    <t>PEPS 70 X 108 PLAIN BED SHEET</t>
  </si>
  <si>
    <t>RM-BED-SHT-PLN-90X108-WOPC</t>
  </si>
  <si>
    <t>PEPS 90 X 108 PLAIN BED SHEET</t>
  </si>
  <si>
    <t>RML-5PLY-PAD-37X12</t>
  </si>
  <si>
    <t>5PLY PAD 37"X12"</t>
  </si>
  <si>
    <t>RML-BAG-72.5X36.5X10.5</t>
  </si>
  <si>
    <t>PVC BAG 72.5WX36.5HX10.5G</t>
  </si>
  <si>
    <t>RML-BAG-72.5X36.5X13.5</t>
  </si>
  <si>
    <t>PVC BAG 72.5X36.5X13.5</t>
  </si>
  <si>
    <t>RML-BAG-72.5X36.5X8.5</t>
  </si>
  <si>
    <t>PVC BAG 72.5WX36.5HX8.5G</t>
  </si>
  <si>
    <t>RML-BAG-72.5X48.5X14.5</t>
  </si>
  <si>
    <t>PVC BAG 72.5WX48.5HX14.5G</t>
  </si>
  <si>
    <t>RML-BAG-75.5X48.5X10.5</t>
  </si>
  <si>
    <t>PVC BAG 75.5X48.5X10.5</t>
  </si>
  <si>
    <t>RML-BAG-75.5X48.5X11.5</t>
  </si>
  <si>
    <t>PVC BAG 75.5X48.5X11.5</t>
  </si>
  <si>
    <t>RML-BAG-75.5X48.5X13.5</t>
  </si>
  <si>
    <t>PVC BAG 75.5X48.5X13.5</t>
  </si>
  <si>
    <t>RML-BAG-75.5X60.5X10.5</t>
  </si>
  <si>
    <t>PVC BAG 75.5X60.5X10.5</t>
  </si>
  <si>
    <t>RML-BAG-75.5X60.5X11.5</t>
  </si>
  <si>
    <t>PVC BAG 75.5X60.5X11.5</t>
  </si>
  <si>
    <t>RML-BAG-75.5X60.5X13.5</t>
  </si>
  <si>
    <t>PVC BAG 75.5X60.5X13.5</t>
  </si>
  <si>
    <t>RML-BAG-78.5X60.5X8.5</t>
  </si>
  <si>
    <t>PVC BAG 78.5WX60.5HX8.5G</t>
  </si>
  <si>
    <t>RML-BAG-9X18</t>
  </si>
  <si>
    <t>PVC BAG 9 X 18</t>
  </si>
  <si>
    <t>RML-BED-SHT-100X110</t>
  </si>
  <si>
    <t>PEPS 100 X 110 BED SHEET WITH 2 PILLOW COVERS</t>
  </si>
  <si>
    <t>RML-BED-SHT-100X70</t>
  </si>
  <si>
    <t>PEPS 70 X 100 BED SHEET WITH 2 PILLOW COVERS</t>
  </si>
  <si>
    <t>RML-BED-SHT-100X70-4PC</t>
  </si>
  <si>
    <t>PEPS 70 X 100 BED SHEET WITH 4 PILLOW COVERS</t>
  </si>
  <si>
    <t>RML-CFRP-90X100X200TC</t>
  </si>
  <si>
    <t>PEPS 90X100 QUILTED- 200TC 1.CM STRIPE COMFORTER</t>
  </si>
  <si>
    <t>RML-CLRBELLA-DOB-100X108</t>
  </si>
  <si>
    <t>PEPS CLARABELLA BEDSHEET DOUBLE 100X108</t>
  </si>
  <si>
    <t>RML-CLRBELLA-SIN-70X108</t>
  </si>
  <si>
    <t>PEPS CLARABELLA BEDSHEET SINGLE 70X108</t>
  </si>
  <si>
    <t>RML-CS-ITALIANO-BELLISIMO-10</t>
  </si>
  <si>
    <t>ITALIANO BELLISIMO CORNER SHOES - 10"</t>
  </si>
  <si>
    <t>RML-CS-ITALIANO-BELLISIMO-12</t>
  </si>
  <si>
    <t>ITALIANO BELLISIMO CORNER SHOES - 12"</t>
  </si>
  <si>
    <t>RML-CS-ITALIANO-ENCHANTO-11</t>
  </si>
  <si>
    <t>ITALIANO ENCHANTO CORNER SHOES - 11"</t>
  </si>
  <si>
    <t>RML-CS-ITALIANO-ENCHANTO-CT-10</t>
  </si>
  <si>
    <t>ITALIANO ENCHANTO CROWN TOP CORNER SHOES - 10"</t>
  </si>
  <si>
    <t>RML-CS-ITALIANO-ENCHANTO-NRML-10</t>
  </si>
  <si>
    <t>ITALIANO ENCHANTO NORMAL CORNER SHOES - 10"</t>
  </si>
  <si>
    <t>RML-CS-ITALIANO-ICONA-10</t>
  </si>
  <si>
    <t>ITALIANO ICONA CORNER SHOES - 10"</t>
  </si>
  <si>
    <t>RML-CS-ITALIANO-ICONA-8</t>
  </si>
  <si>
    <t>ITALIANO ICONA CORNER SHOES - 8"</t>
  </si>
  <si>
    <t>RML-CS-ITALIANO-MAGNIFICO-12</t>
  </si>
  <si>
    <t>ITALIANO MAGNIFICO CORNER SHOES - 12"</t>
  </si>
  <si>
    <t>RML-CS-ITALIANO-MAGNIFICO-14</t>
  </si>
  <si>
    <t>ITALIANO MAGNIFICO CORNER SHOES - 14"</t>
  </si>
  <si>
    <t>RML-CS-ITALIANO-SERENITA-9</t>
  </si>
  <si>
    <t>ITALIANO SERENITA CORNER SHOES - 9"</t>
  </si>
  <si>
    <t>RML-CS-ITALIANO-SERENITA-CT-8</t>
  </si>
  <si>
    <t>ITALIANO SERENITA CROWN TOP CORNER SHOES - 8"</t>
  </si>
  <si>
    <t>RML-CS-ITALIANO-SERENITA-NRML-8</t>
  </si>
  <si>
    <t>ITALIANO SERENITA NORMAL CORNER SHOES - 8"</t>
  </si>
  <si>
    <t>RML-HSCF-2DX64MM</t>
  </si>
  <si>
    <t>2D X 64MM HOLLOW SILICONIZED FIBER - ( AIRLITE )</t>
  </si>
  <si>
    <t>RML-ITALIANO-BELI-MIN-SDE-LBL</t>
  </si>
  <si>
    <t>ITALIANO BELLISMO MINI SAMPLE SIDE LABEL</t>
  </si>
  <si>
    <t>RML-ITALIANO-CALMRE-PLW-BOX</t>
  </si>
  <si>
    <t>PEPS ITALIANO CALMARE NECK GUARD 100% MEMORY PILLOW BOX</t>
  </si>
  <si>
    <t>RML-ITALIANO-CALMRE-PLW-MRP-LBL</t>
  </si>
  <si>
    <t>ITALIANO CALMARE NECK GUARD 100% MEMORY PILLOW MRP LABLE</t>
  </si>
  <si>
    <t>RML-ITALIANO-CALMRE-PLW-WSCR-LBL</t>
  </si>
  <si>
    <t>ITALIANO CALMARE 100% MEMORY FOAM PILLOW WASH CARE LABEL</t>
  </si>
  <si>
    <t>RML-ITALIANO-CFRP-MP-MRP-LBL</t>
  </si>
  <si>
    <t>ITALIANO MICRO POLYESTER DOUBLE COMFORTER MRP LABEL</t>
  </si>
  <si>
    <t>RML-ITALIANO-COMF-WSCR-LBL</t>
  </si>
  <si>
    <t>ITALIANO COMFORTER WASH CARE LABEL</t>
  </si>
  <si>
    <t>RML-ITALIANO-EDTAPE-BEIGE</t>
  </si>
  <si>
    <t>ITALIANO EDGE TAPE BEIGE - 42MM</t>
  </si>
  <si>
    <t>RML-ITALIANO-EDTAPE-LBLUE</t>
  </si>
  <si>
    <t>ITALIANO EDGE TAPE L-BLUE - 42MM</t>
  </si>
  <si>
    <t>RML-ITALIANO-EDTAPE-MRN</t>
  </si>
  <si>
    <t>ITALIANO EDGE TAPE MAROON - 42MM</t>
  </si>
  <si>
    <t>RML-ITALIANO-ENCH-MIN-SDE-LBL</t>
  </si>
  <si>
    <t>ITALIANO ENCHANTO MINI SAMPLE SIDE LABEL</t>
  </si>
  <si>
    <t>RML-ITALIANO-KOM-COM-PVC-BAG</t>
  </si>
  <si>
    <t>ITALIANO COMFORTER PVC BAG ( W 22" x H 16.5" x G 6.5" )</t>
  </si>
  <si>
    <t>RML-ITALIANO-KOM-PIL-PVC-BAG</t>
  </si>
  <si>
    <t>ITALIANO SLUMBERLAND PILLOW PVC BAG ( W 32" x H 23" )</t>
  </si>
  <si>
    <t>RML-ITALIANO-PRE-WCRD</t>
  </si>
  <si>
    <t>ITALIANO PREMIUM WARRANTY CARD</t>
  </si>
  <si>
    <t>RML-ITALIANO-SL-FIB-PLW-MRP-LBL</t>
  </si>
  <si>
    <t>ITALIANO SLUMBERLAND MIC.FIBER PILLOW MRP LABEL</t>
  </si>
  <si>
    <t>RML-ITALIANO-SL-FIB-PLW-WSCR-LBL</t>
  </si>
  <si>
    <t>ITALIANO SLUMBERLAND MIC.FIBER PILLOW WASH CARE LABEL</t>
  </si>
  <si>
    <t>RML-ITALIANO-STEEL-LEG</t>
  </si>
  <si>
    <t>ITALIANO BASE STEEL LEG</t>
  </si>
  <si>
    <t>RML-ITALIANO-ULT-PRE-WCRD</t>
  </si>
  <si>
    <t>ITALIANO ULTRA PREMIUM WARRANTY CARD</t>
  </si>
  <si>
    <t>RML-KOM-ITALIANO-BED-SHT-118X118</t>
  </si>
  <si>
    <t>ITALIANO BED SHEET SUPER KING 118"X118" ( 1+2 )</t>
  </si>
  <si>
    <t>RML-KOM-ITALIANO-CFRP-MP-90X100</t>
  </si>
  <si>
    <t>ITALIANO MICRO POLYESTER DOUBLE COMFORTER 90X100</t>
  </si>
  <si>
    <t>RML-KOM-ITALIANO-SL-FB-PLW-30X20</t>
  </si>
  <si>
    <t>ITALIANO - SLUMBERLAND MIC.FIBER PILLOW 30X20</t>
  </si>
  <si>
    <t>RML-MAT-DIR-LBL-MARI</t>
  </si>
  <si>
    <t>Mattress Direction Label (Marigold)</t>
  </si>
  <si>
    <t>RML-MAT-USE-CARE-INS-LBL-MARI</t>
  </si>
  <si>
    <t>Mattress Use &amp; Care Instruction Label  (Marigold)</t>
  </si>
  <si>
    <t>RML-MINI-BAG-21X19X11.5</t>
  </si>
  <si>
    <t>MINI SAMPLE PVC BAG 21X19X11.5</t>
  </si>
  <si>
    <t>RML-PART-WOOD-8X4X17</t>
  </si>
  <si>
    <t>Plain Particle Board 8x4x17mm</t>
  </si>
  <si>
    <t>RML-PART-WOOD-8X4X17MM</t>
  </si>
  <si>
    <t>Laminated Plain Particle Board 8x4x17MM</t>
  </si>
  <si>
    <t>RML-PEPS-FTD-SHT-INS</t>
  </si>
  <si>
    <t>PEPS FITTED SHEET INSERTER</t>
  </si>
  <si>
    <t>RML-PF-BLNK-CB-60X90</t>
  </si>
  <si>
    <t>PEPS POLAR FLEECE BLANKET CORAL BLUE 60X90 INCH</t>
  </si>
  <si>
    <t>RML-PF-BLNK-CB-90X100</t>
  </si>
  <si>
    <t>PEPS POLAR FLEECE BLANKET CORAL BLUE 90X100 INCH</t>
  </si>
  <si>
    <t>RML-PLYWOOD8X4X18MM</t>
  </si>
  <si>
    <t>PLY WOOD 8X4X18MM</t>
  </si>
  <si>
    <t>RML-STW-2.0MM</t>
  </si>
  <si>
    <t>2.0MM Spring Steel Wire-Grade II</t>
  </si>
  <si>
    <t>RML-STW-4.0MM</t>
  </si>
  <si>
    <t>STEEL WIRE 4.0 MM DIA</t>
  </si>
  <si>
    <t>RML-STW-4.6MM</t>
  </si>
  <si>
    <t>STEEL WIRE 4.6 MM DIA</t>
  </si>
  <si>
    <t>RM-LTX-200X180X2.5CM</t>
  </si>
  <si>
    <t>LATEX SHEET 65D- 200CM X 180CM X 2.5CM</t>
  </si>
  <si>
    <t>RM-PLW-CVR-WH-PLN</t>
  </si>
  <si>
    <t>PEPS NORMAL WHITE PLAIN PILLOW COVER 28"X18"</t>
  </si>
  <si>
    <t>RM-WOOD-3.25X3.25X48</t>
  </si>
  <si>
    <t>WOOD 3.25X3.25X48 INCH</t>
  </si>
  <si>
    <t>CFL</t>
  </si>
  <si>
    <t>RM-WOOD-3X1X39</t>
  </si>
  <si>
    <t>WOOD 3X1X39 INCH</t>
  </si>
  <si>
    <t>RM-WOOD-3X1X63</t>
  </si>
  <si>
    <t>WOOD 3X1X63 INCH</t>
  </si>
  <si>
    <t>RM-WOOD-3X1X75</t>
  </si>
  <si>
    <t>WOOD 3X1X75 INCH</t>
  </si>
  <si>
    <t>RM-WOOD-3X1X84</t>
  </si>
  <si>
    <t>WOOD 3X1X84 INCH</t>
  </si>
  <si>
    <t>FBR-ITALIANO-SERENITA-BR</t>
  </si>
  <si>
    <t>ITALIANO - SERENITA L-BLUE BORDER FABRIC - ( PRE )</t>
  </si>
  <si>
    <t>FBR-KOZBRE-PNL-BLUE</t>
  </si>
  <si>
    <t>KOZYBREEZ PANEL FABRIC DARK BLUE</t>
  </si>
  <si>
    <t>FBR-MAT-ZIP-CVR-FAB-MLT-CLR</t>
  </si>
  <si>
    <t>Mattress Zipper Cover Fabric (Multi Colour)</t>
  </si>
  <si>
    <t>PEPS-CUSPOLFIL16X16-DB</t>
  </si>
  <si>
    <t>PEPS DARK BLUE CUSHION 16X16</t>
  </si>
  <si>
    <t>RMI-CTNF-78X43</t>
  </si>
  <si>
    <t>COTTON FELT 78" X 43" X 6MM - 700GSM</t>
  </si>
  <si>
    <t>RMI-CTNF-78X70</t>
  </si>
  <si>
    <t>COTTON FELT 78" X 70" X 6MM - 700GSM</t>
  </si>
  <si>
    <t>RMI-CTNF-79.5X35.5</t>
  </si>
  <si>
    <t>COTTON FELT 79.5" X 35.5" X 6MM - 700GSM</t>
  </si>
  <si>
    <t>RMI-CTNF-79.5X71.5</t>
  </si>
  <si>
    <t>COTTON FELT 79.5" X 71.5" X 6MM - 700GSM</t>
  </si>
  <si>
    <t>RML-BAG-72.5X30.5X6.5</t>
  </si>
  <si>
    <t>PVC BAG 72.5WX30.5HX6.5G</t>
  </si>
  <si>
    <t>RML-BAG-75.5X50.5X10</t>
  </si>
  <si>
    <t>PVC BAG 75.5X50.5X10</t>
  </si>
  <si>
    <t>RML-BAG-75.5X50.5X9.5</t>
  </si>
  <si>
    <t>PVC BAG 75.5X50.5X9.5</t>
  </si>
  <si>
    <t>RML-BAG-75.5X55.5X10.5</t>
  </si>
  <si>
    <t>PVC BAG 75.5X55.5X10.5G</t>
  </si>
  <si>
    <t>RML-BAG-75.5X72.5X13.5</t>
  </si>
  <si>
    <t>PVC BAG 75.5X72.5X13.5</t>
  </si>
  <si>
    <t>RML-BAG-78.5X60.5X10.5</t>
  </si>
  <si>
    <t>PVC BAG 78.5WX60.5HX10.5G</t>
  </si>
  <si>
    <t>RML-CUSPOLFIL16X16-WH</t>
  </si>
  <si>
    <t>PEPS WHITE CUSHION POLY FIBER PILLOW 16X16</t>
  </si>
  <si>
    <t>RM-LDPE-ROLL-116X50MIC</t>
  </si>
  <si>
    <t>LDPE Plain Roll 116 Width</t>
  </si>
  <si>
    <t>RML-E-WARN-STK</t>
  </si>
  <si>
    <t>E WARRANTY STICKER</t>
  </si>
  <si>
    <t>RML-INSTI-FIB-PILLOW-20X30-850G</t>
  </si>
  <si>
    <t>INSTITUTIONAL MICRO FIBER PILLOW 20X30 - 850.GRM</t>
  </si>
  <si>
    <t>RML-ITALIANO-CFRP-MP-INS</t>
  </si>
  <si>
    <t>ITALIANO MICRO POLYESTER DOUBLE COMFORTER INSERTER</t>
  </si>
  <si>
    <t>RML-ITALIANO-ICO-MIN-SDE-LBL</t>
  </si>
  <si>
    <t>ITALIANO ICONA MINI SAMPLE SIDE LABEL</t>
  </si>
  <si>
    <t>RML-ITALIANO-MAG-MIN-SDE-LBL</t>
  </si>
  <si>
    <t>ITALIANO MAGNIFICO MINI SAMPLE SIDE LABEL</t>
  </si>
  <si>
    <t>RML-ITALIANO-SER-MIN-SDE-LBL</t>
  </si>
  <si>
    <t>ITALIANO SERENITA MINI SAMPLE SIDE LABEL</t>
  </si>
  <si>
    <t>RML-ITALIANO-SL-FIB-PLW-INS</t>
  </si>
  <si>
    <t>ITALIANO SLUMBERLAND MIC.FIBER PILLOW INSERTER</t>
  </si>
  <si>
    <t>RML-KOM-ITALIANO-BEDSHT-WSCR-LBL</t>
  </si>
  <si>
    <t>ITALIANO BED SHEET SUPER KING WASH CARE LABEL 118X118</t>
  </si>
  <si>
    <t>RML-KOM-PTR-72X42</t>
  </si>
  <si>
    <t>KOMFFY MATTRESSES PROTECTOR 72X42</t>
  </si>
  <si>
    <t>RML-KOM-PTR-75X30</t>
  </si>
  <si>
    <t>KOMFFY MATTRESSES PROTECTOR 75X30</t>
  </si>
  <si>
    <t>RML-KOM-PTR-75X42</t>
  </si>
  <si>
    <t>KOMFFY MATTRESSES PROTECTOR 75X42</t>
  </si>
  <si>
    <t>RML-KOM-PTR-75X66</t>
  </si>
  <si>
    <t>KOMFFY MATTRESSES PROTECTOR 75X66</t>
  </si>
  <si>
    <t>RML-KOM-PTR-78X42</t>
  </si>
  <si>
    <t>KOMFFY MATTRESSES PROTECTOR 78X42</t>
  </si>
  <si>
    <t>RML-KOM-PTR-78X62</t>
  </si>
  <si>
    <t>KOMFFY MATTRESSES PROTECTOR 78X62</t>
  </si>
  <si>
    <t>RML-KOM-PTR-78X66</t>
  </si>
  <si>
    <t>KOMFFY MATTRESSES PROTECTOR 78X66</t>
  </si>
  <si>
    <t>RML-KOM-PTR-80X30</t>
  </si>
  <si>
    <t>KOMFFY MATTRESSES PROTECTOR 80X30</t>
  </si>
  <si>
    <t>RML-KOM-PTR-80X42</t>
  </si>
  <si>
    <t>KOMFFY MATTRESSES PROTECTOR 80X42</t>
  </si>
  <si>
    <t>RML-KOM-PTR-80X60</t>
  </si>
  <si>
    <t>KOMFFY MATTRESSES PROTECTOR 80X60</t>
  </si>
  <si>
    <t>RML-KOM-PTR-80X61.50</t>
  </si>
  <si>
    <t>KOMFFY MATTRESSES PROTECTOR 80X61.50</t>
  </si>
  <si>
    <t>RML-KOM-PTR-80X66</t>
  </si>
  <si>
    <t>KOMFFY MATTRESSES PROTECTOR 80X66</t>
  </si>
  <si>
    <t>RML-KOM-PTR-80X72</t>
  </si>
  <si>
    <t>KOMFFY MATTRESSES PROTECTOR 80X72</t>
  </si>
  <si>
    <t>RML-KOM-PTR-84X30</t>
  </si>
  <si>
    <t>KOMFFY MATTRESSES PROTECTOR 84X30</t>
  </si>
  <si>
    <t>RML-KOM-PTR-84X36</t>
  </si>
  <si>
    <t>KOMFFY MATTRESSES PROTECTOR 84X36</t>
  </si>
  <si>
    <t>RML-KOM-PTR-84X42</t>
  </si>
  <si>
    <t>KOMFFY MATTRESSES PROTECTOR 84X42</t>
  </si>
  <si>
    <t>RML-KOM-PTR-84X60</t>
  </si>
  <si>
    <t>KOMFFY MATTRESSES PROTECTOR 84X60</t>
  </si>
  <si>
    <t>RML-KOM-PTR-84X66</t>
  </si>
  <si>
    <t>KOMFFY MATTRESSES PROTECTOR 84X66</t>
  </si>
  <si>
    <t>RML-LCORNER-PAD-50X50X1575MM</t>
  </si>
  <si>
    <t>L - CORNER PAD 50X50X1575MM</t>
  </si>
  <si>
    <t>RML-LCORNER-PAD-50X50X2032MM</t>
  </si>
  <si>
    <t>L - CORNER PAD 50X50X2032MM</t>
  </si>
  <si>
    <t>RML-LTX-1100X208X2.5CM</t>
  </si>
  <si>
    <t>PERFO LATEX SHEETS  1100X208X2.5CM (82" WIDTH)</t>
  </si>
  <si>
    <t>RML-POLY-WAD-120GSMX82</t>
  </si>
  <si>
    <t>POLYESTER WADDING 120 GSM X 82" WIDTH</t>
  </si>
  <si>
    <t>RML-POLY-WAD-180GSMX86</t>
  </si>
  <si>
    <t>POLYESTER WADDING 180 GSM X 86" WIDTH</t>
  </si>
  <si>
    <t>RML-PTR-WP-GRY-75X60</t>
  </si>
  <si>
    <t>PEPS WATER PROOF PROTECTOR GREY 75X60</t>
  </si>
  <si>
    <t>RML-STW-2.1MM</t>
  </si>
  <si>
    <t>2.1MM Spring Steel Wire-Grade II</t>
  </si>
  <si>
    <t>STY-LET-PAD-HYP</t>
  </si>
  <si>
    <t>HYPNOS LETTER PAD (100 NOS)</t>
  </si>
  <si>
    <t>STY-L-FLE-100</t>
  </si>
  <si>
    <t>LEAF FILE ( 100 LEAF)</t>
  </si>
  <si>
    <t>FBR-INS-REB-LTX-BR-GRN</t>
  </si>
  <si>
    <t>INSPREE REBONDED LATEX GREEN BORDER FABRIC</t>
  </si>
  <si>
    <t>FBR-INS-REB-LTX-BR-PINK</t>
  </si>
  <si>
    <t>INSPREE REBONDED LATEX PINK BORDER FABRIC</t>
  </si>
  <si>
    <t>FBR-INS-REB-LTX-PNL-GRN</t>
  </si>
  <si>
    <t>INSPREE REBONDED LATEX GREEN PANEL FABRIC</t>
  </si>
  <si>
    <t>FBR-INS-REB-MEM-BR-GRY</t>
  </si>
  <si>
    <t>INSPREE REBONDED MEMORY GREY BORDER FABRIC</t>
  </si>
  <si>
    <t>FBR-INS-REB-MEM-PNL-BLUE</t>
  </si>
  <si>
    <t>INSPREE REBONDED MEMORY BLUE PANEL FABRIC</t>
  </si>
  <si>
    <t>FBR-INS-REB-MEM-PNL-GRY</t>
  </si>
  <si>
    <t>INSPREE REBONDED MEMORY GREY PANEL FABRIC</t>
  </si>
  <si>
    <t>RMD-PLYWOOD8X4X12</t>
  </si>
  <si>
    <t>PLY WOOD 8X4X12MM</t>
  </si>
  <si>
    <t>RMD-PLYWOOD8X4X8</t>
  </si>
  <si>
    <t>PLY WOOD 8X4X8MM</t>
  </si>
  <si>
    <t>RMI-HCTNF-80X74</t>
  </si>
  <si>
    <t>COTTON FELT 203 X 189 X 10MM   (80 X 74)</t>
  </si>
  <si>
    <t>RM-JUM-PLW-CVR-BG</t>
  </si>
  <si>
    <t>PEPS JUMBO BEIGE PILLOW COVER (30X20)</t>
  </si>
  <si>
    <t>RM-JUM-PLW-CVR-LB</t>
  </si>
  <si>
    <t>PEPS JUMBO  LIGHT BLUE  PILLOW COVER (30X20)</t>
  </si>
  <si>
    <t>RM-JUM-PLW-CVR-LP</t>
  </si>
  <si>
    <t>PEPS JUMBO LIGHT PINK  PILLOW COVER (30X20)</t>
  </si>
  <si>
    <t>RM-JUM-PLW-CVR-WH-PLN</t>
  </si>
  <si>
    <t>PEPS JUMBO WHITE PLAIN PILLOW COVER(30X20)</t>
  </si>
  <si>
    <t>RM-JUM-PLW-CVR-WH-STRP</t>
  </si>
  <si>
    <t>PEPS JUMBO WHITE STRIPE PILLOW COVER(30X20)</t>
  </si>
  <si>
    <t>RML-7YAR-WARR-STKR</t>
  </si>
  <si>
    <t>7 YEAR WARRANTY STICKER</t>
  </si>
  <si>
    <t>RML-BAG-72.5X48.5X10.5</t>
  </si>
  <si>
    <t>PVC BAG 72.5WX48.5HX10.5G</t>
  </si>
  <si>
    <t>RML-BAG-72.5X48.5X11.5</t>
  </si>
  <si>
    <t>PVC BAG 72.5WX48.5HX11.5G</t>
  </si>
  <si>
    <t>RML-BAG-72.5X48.5X9.5</t>
  </si>
  <si>
    <t>PVC BAG 72.5WX48.5HX9.5G</t>
  </si>
  <si>
    <t>RML-BAG-75.5X60.5X14.5</t>
  </si>
  <si>
    <t>PVC BAG 75.5X60.5X14.5</t>
  </si>
  <si>
    <t>RML-BAG-75.5X60.5X9.5</t>
  </si>
  <si>
    <t>PVC BAG 75.5X60.5X9.5</t>
  </si>
  <si>
    <t>RML-BAG-78.5X60.5X11.5</t>
  </si>
  <si>
    <t>PVC BAG 78.5WX60.5HX11.5G</t>
  </si>
  <si>
    <t>RML-BAG-78.5X60.5X14.5</t>
  </si>
  <si>
    <t>PVC BAG 78.5X60.5X14.5</t>
  </si>
  <si>
    <t>RML-BAG-78.5X60.5X9.5</t>
  </si>
  <si>
    <t>PVC BAG 78.5WX60.5HX9.5G</t>
  </si>
  <si>
    <t>RML-CUSH-CVR-16X16</t>
  </si>
  <si>
    <t>PEPS PRINTED CUSHION COVER 16X16</t>
  </si>
  <si>
    <t>RML-HDPE-ROLL</t>
  </si>
  <si>
    <t>HDPE ROLL</t>
  </si>
  <si>
    <t>RML-INS-MEM-SDE-LBL</t>
  </si>
  <si>
    <t>INSPREE MEMORY SIDE LABEL</t>
  </si>
  <si>
    <t>RML-INSTI-FIB-PILLOW-27X17-850G</t>
  </si>
  <si>
    <t>INSTITUTIONAL FIBER PILLOW 27X17 - 850.GRM</t>
  </si>
  <si>
    <t>RML-ITALIANO-BELI-MIN-TAG</t>
  </si>
  <si>
    <t>ITALINO MINI SAMPLE TAG (BELLISMO) CARD SIZE 10.5" X 4.7"</t>
  </si>
  <si>
    <t>RML-ITALIANO-EDTAPE-GRY</t>
  </si>
  <si>
    <t>ITALIANO EDGE TAPE GREY - 42MM</t>
  </si>
  <si>
    <t>RML-ITALIANO-EDTAPE-WHT</t>
  </si>
  <si>
    <t>ITALIANO EDGE TAPE WHITE - 42MM</t>
  </si>
  <si>
    <t>RML-ITALIANO-ENCH-MIN-TAG</t>
  </si>
  <si>
    <t>ITALINO MINI SAMPLE TAG (ENCHANTO) CARD SIZE 10.5" x 4.7"</t>
  </si>
  <si>
    <t>RML-ITALIANO-ICO-MIN-TAG</t>
  </si>
  <si>
    <t>ITALINO MINI SAMPLE TAG (ICONA)   CARD SIZE 8.5" X 4.7"</t>
  </si>
  <si>
    <t>RML-ITALIANO-MAG-MIN-TAG</t>
  </si>
  <si>
    <t>ITALINO MINI SAMPLE TAG (MAGNIFICO) CARD SIZE 12" X 4.7"</t>
  </si>
  <si>
    <t>RML-ITALIANO-SER-MIN-TAG</t>
  </si>
  <si>
    <t>ITALINO MINI SAMPLE TAG (SERENITA) CARD SIZE 8.5" X 4.7"</t>
  </si>
  <si>
    <t>RML-PLW-5.33X4.0X18</t>
  </si>
  <si>
    <t>PLY WOOD 5.33X4.0X18MM</t>
  </si>
  <si>
    <t>RML-PLW-6.16X4.0X18</t>
  </si>
  <si>
    <t>PLY WOOD 6.16X4.0X18MM</t>
  </si>
  <si>
    <t>RML-PLYWOOD8X4X4MM</t>
  </si>
  <si>
    <t>PLY WOOD 8X4X4MM</t>
  </si>
  <si>
    <t>RML-SPG-NON-SKID-LBL</t>
  </si>
  <si>
    <t>SPINE GUARD NO-SKID CARE INSTRUCTION LABEL</t>
  </si>
  <si>
    <t>RML-TRAN-ZIP</t>
  </si>
  <si>
    <t>MINI SAMPLE PVC BAG ZIPPER NO - 8</t>
  </si>
  <si>
    <t>RM-MIC-POC-78INCX25MMX15M</t>
  </si>
  <si>
    <t>MICRO POCKETED SPRING UNIT 78INCHE X 25MM X 15MTR</t>
  </si>
  <si>
    <t>RM-WOOD-3X1X51</t>
  </si>
  <si>
    <t>WOOD 3X1X51 INCH</t>
  </si>
  <si>
    <t>RM-WP-PLW-CVR-BG-26X16</t>
  </si>
  <si>
    <t>PEPS WATERPROOF PILLOW COVER BEIGE 26X16</t>
  </si>
  <si>
    <t>RM-WP-PLW-CVR-BG-27X17</t>
  </si>
  <si>
    <t>PEPS WATERPROOF PILLOW COVER BEIGE 27X17</t>
  </si>
  <si>
    <t>STY-OUT-PAS-LUN-DIN</t>
  </si>
  <si>
    <t>OUT PASS BOOK FOR LUNCH/DINNER</t>
  </si>
  <si>
    <t>STY-OUT-PAS-ON-DTY-OFF</t>
  </si>
  <si>
    <t>OUT PASS-ON DUTY FOR OFFICIAL</t>
  </si>
  <si>
    <t>STY-OUT-PAS-PER-WORK</t>
  </si>
  <si>
    <t>OUT PASS BOOK FOR PERSONAL WORK</t>
  </si>
  <si>
    <t>STY-TAILR-MRKR</t>
  </si>
  <si>
    <t>TAILORING CHALK MARKER (MULTI COLOUR)</t>
  </si>
  <si>
    <t>FBR-INS-REB-LTX-PNL-PINK</t>
  </si>
  <si>
    <t>INSPREE REBONDED LATEX PINK PANEL FABRIC</t>
  </si>
  <si>
    <t>FBR-INS-REB-MEM-BR-BLUE</t>
  </si>
  <si>
    <t>INSPREE REBONDED MEMORY BLUE BORDER FABRIC</t>
  </si>
  <si>
    <t>FBR-ITALIANO-BLUE-BR</t>
  </si>
  <si>
    <t>ITALIANO -BLUE BORDER FABRIC</t>
  </si>
  <si>
    <t>FBR-ITALIANO-ENCHANTO-BR</t>
  </si>
  <si>
    <t>ITALIANO - ENCHANTO D.BLUE BORDER FABRIC</t>
  </si>
  <si>
    <t>FBR-ITALIANO-ENCHANTO-PNL</t>
  </si>
  <si>
    <t>ITALIANO - ENCHANTO BLUE PANEL FABRIC</t>
  </si>
  <si>
    <t>FBR-ITALIANO-GREY-BR</t>
  </si>
  <si>
    <t>ITALIANO -GREY BORDER FABRIC</t>
  </si>
  <si>
    <t>FBR-ITALIANO-ORANGE-BLUE-PNL</t>
  </si>
  <si>
    <t>ITALIANO -ORANGE &amp; BLUE PANEL FABRIC</t>
  </si>
  <si>
    <t>FBR-ITALIANO-SERENITA-PNL</t>
  </si>
  <si>
    <t>ITALIANO - SERENITA GREEN &amp; BLUE PANEL FABRIC</t>
  </si>
  <si>
    <t>FBR-SANI-BR-BG-NW</t>
  </si>
  <si>
    <t>SANIBEL BEIGE BORDER FABRIC (NEW)</t>
  </si>
  <si>
    <t>FBR-SANI-BR-BLUE-NW</t>
  </si>
  <si>
    <t>SANIBEL BLUE BORDER FABRIC (NEW)</t>
  </si>
  <si>
    <t>FBR-SANI-BR-BRW-NW</t>
  </si>
  <si>
    <t>SANIBEL BROWN BORDER FABRIC (NEW)</t>
  </si>
  <si>
    <t>FBR-SANI-BR-GRY-NW</t>
  </si>
  <si>
    <t>SANIBEL GREY BORDER FABRIC (NEW)</t>
  </si>
  <si>
    <t>FBR-SANI-PNL-BG-NW</t>
  </si>
  <si>
    <t>SANIBEL BEIGE PANEL FABRIC (NEW)</t>
  </si>
  <si>
    <t>FBR-SANI-PNL-BLUE-NW</t>
  </si>
  <si>
    <t>SANIBEL BLUE PANEL FABRIC  (NEW)</t>
  </si>
  <si>
    <t>FBR-SANI-PNL-BW-NW</t>
  </si>
  <si>
    <t>SANIBEL BROWN PANEL FABRIC (NEW)</t>
  </si>
  <si>
    <t>FBR-SANI-PNL-GREY-NW</t>
  </si>
  <si>
    <t>SANIBEL GREY PANEL FABRIC  (NEW)</t>
  </si>
  <si>
    <t>RMI-SBL-SDE-LBL-NW</t>
  </si>
  <si>
    <t>SANIBEL SIDE LABEL (NEW &amp; IMPROVED)</t>
  </si>
  <si>
    <t>RML-INS-LAT-MINI-SDE-LBL</t>
  </si>
  <si>
    <t>INSPREE LATEX MINI SAMPLE SIDE LABEL</t>
  </si>
  <si>
    <t>RML-INS-MEM-MINI-SDE-LBL</t>
  </si>
  <si>
    <t>INSPREE MEMORY MINI SAMPLE SIDE LABEL</t>
  </si>
  <si>
    <t>RML-INS-SDE-LBL-4INC</t>
  </si>
  <si>
    <t>INSPREE SIDE LABEL 4 INCH MATTRESS</t>
  </si>
  <si>
    <t>RML-INSTI-FIB-PILLOW-30X20</t>
  </si>
  <si>
    <t>PEPS INSTITUTIONAL FIBER PILLOW 30X20</t>
  </si>
  <si>
    <t>RML-ITALIANO-BELI-MATT-TAG</t>
  </si>
  <si>
    <t>ITALINO MATTRESS TAG (BELLISMO) CARD SIZE (83MM X44MM)</t>
  </si>
  <si>
    <t>RML-ITALIANO-ENCH-MATT-TAG</t>
  </si>
  <si>
    <t>ITALINO MATTRESS TAG (ENCHANTO) CARD SIZE (83MM X44MM)</t>
  </si>
  <si>
    <t>RML-ITALIANO-ICO-MATT-TAG</t>
  </si>
  <si>
    <t>ITALINO MATTRESS TAG (ICONA)   CARD SIZE (83MM X44MM)</t>
  </si>
  <si>
    <t>RML-ITALIANO-MAG-MATT-TAG</t>
  </si>
  <si>
    <t>ITALINO MATTRESS TAG (MAGNIFICO) CARD (83MM X44MM)</t>
  </si>
  <si>
    <t>RML-ITALIANO-SDE-LBL</t>
  </si>
  <si>
    <t>ITALIANO SIDE LABEL (RUBBAR)</t>
  </si>
  <si>
    <t>RML-ITALIANO-SDE-LBL-EMB</t>
  </si>
  <si>
    <t>ITALIANO SIDE LABEL (EMBROIDERY LABEL)</t>
  </si>
  <si>
    <t>RML-ITALIANO-SER-HANG-TAG</t>
  </si>
  <si>
    <t>ITALINO MATTRESS TAG (SERENITA) CARD (83MM X44MM)</t>
  </si>
  <si>
    <t>RML-LD-CVR-90MIC-92X56</t>
  </si>
  <si>
    <t>LDPE cover - 90mic  – 92x56  (56 Side Open)</t>
  </si>
  <si>
    <t>RML-LD-CVR-90MIC-92X70</t>
  </si>
  <si>
    <t>LDPE cover - 90mic  – 92x70  (70 Side Open)</t>
  </si>
  <si>
    <t>RML-LD-CVR-90MIC-92X82</t>
  </si>
  <si>
    <t>LDPE cover - 90mic  – 92x82  (82 Side Open)</t>
  </si>
  <si>
    <t>RML-PLW-CVR-TNDR</t>
  </si>
  <si>
    <t>TNDR - PILLOW COVER 27.5" X 17.5"</t>
  </si>
  <si>
    <t>RM-PEPSDBSHZ1006-SH05-110X120</t>
  </si>
  <si>
    <t>HARMONIZE - PEPSDBSHZ1006-SH05 BED SHEET-110 X 120</t>
  </si>
  <si>
    <t>RM-PEPSDBSHZ1006-SH17-110X120</t>
  </si>
  <si>
    <t>HARMONIZE - PEPSDBSHZ1006-SH17 BED SHEET-110 X 120</t>
  </si>
  <si>
    <t>RM-PEPSDBSHZ1006-SH19-110X120</t>
  </si>
  <si>
    <t>HARMONIZE - PEPSDBSHZ1006-SH19 BED SHEET-110 X 120</t>
  </si>
  <si>
    <t>RM-PEPSDBSHZ1006-SH20-110X120</t>
  </si>
  <si>
    <t>HARMONIZE - PEPSDBSHZ1006-SH20 BED SHEET-110 X 120</t>
  </si>
  <si>
    <t>RM-PEPSDBSHZ1008-SH11-110X120</t>
  </si>
  <si>
    <t>HARMONIZE - PEPSDBSHZ1008-SH11 BED SHEET-110 X 120</t>
  </si>
  <si>
    <t>RM-PEPSDBSHZ1008-SH12-110X120</t>
  </si>
  <si>
    <t>HARMONIZE - PEPSDBSHZ1008-SH12 BED SHEET-110 X 120</t>
  </si>
  <si>
    <t>RM-PEPSDBSHZ1008-SH13-110X120</t>
  </si>
  <si>
    <t>HARMONIZE - PEPSDBSHZ1008-SH13 BED SHEET-110 X 120</t>
  </si>
  <si>
    <t>RM-PEPSDBSHZ1009-SH01-110X120</t>
  </si>
  <si>
    <t>HARMONIZE - PEPSDBSHZ1009-SH01 BED SHEET-110 X 120</t>
  </si>
  <si>
    <t>RM-PEPSDBSHZ1009-SH03-110X120</t>
  </si>
  <si>
    <t>HARMONIZE - PEPSDBSHZ1009-SH03 BED SHEET-110 X 120</t>
  </si>
  <si>
    <t>RM-PEPSDBSHZ1009-SH04-110X120</t>
  </si>
  <si>
    <t>HARMONIZE - PEPSDBSHZ1009-SH04 BED SHEET-110 X 120</t>
  </si>
  <si>
    <t>RM-WOOD-3X1X78</t>
  </si>
  <si>
    <t>WOOD 3X1X78 INCH</t>
  </si>
  <si>
    <t>RM-ALI-SAMPLE</t>
  </si>
  <si>
    <t>ALLIED PRODUCTS SAMPLES</t>
  </si>
  <si>
    <t>RM-HAND-TOWEL-16X25</t>
  </si>
  <si>
    <t>PEPS HAND TOWEL 16 X 25"</t>
  </si>
  <si>
    <t>RM-HYP-CAS-MAT-MRP-LBL-KOL</t>
  </si>
  <si>
    <t>Hypnos Caspio Mattresses Plain MRP Label ( Kolkata - Address)</t>
  </si>
  <si>
    <t>RM-HYP-SDE-LBL</t>
  </si>
  <si>
    <t>Hypnos Side Label (FUSING LABEL)</t>
  </si>
  <si>
    <t>RM-JUM-PLW-CVR-WH-PLN-32X22</t>
  </si>
  <si>
    <t>PEPS JUMBO WHITE PLAIN PILLOW COVER(32"X22")</t>
  </si>
  <si>
    <t>RML-BAT-ROB</t>
  </si>
  <si>
    <t>BATH ROBE</t>
  </si>
  <si>
    <t>RML-BED-RUN-66X18</t>
  </si>
  <si>
    <t>BED RUNNER 66" X 18"</t>
  </si>
  <si>
    <t>RML-BED-RUN-96X18</t>
  </si>
  <si>
    <t>BED RUNNER 96" X 18"</t>
  </si>
  <si>
    <t>RML-BED-SHT-108X112</t>
  </si>
  <si>
    <t>Bed Sheet 108" x 112"</t>
  </si>
  <si>
    <t>RML-BED-SHT-72X112</t>
  </si>
  <si>
    <t>Bed Sheet 72" x 112"</t>
  </si>
  <si>
    <t>RML-CS-ITALIANO-13</t>
  </si>
  <si>
    <t>ITALIANO MAGNIFICO CORNER SHOES - 13"</t>
  </si>
  <si>
    <t>RML-CUSPOLFIL20X20-400GMS</t>
  </si>
  <si>
    <t>Cushion Poly fiber Pillow 20X20 (400 Gsm)</t>
  </si>
  <si>
    <t>RML-DUVE-100X100</t>
  </si>
  <si>
    <t>DUVET 100" X 100"</t>
  </si>
  <si>
    <t>RML-DUVE-60X90</t>
  </si>
  <si>
    <t>DUVET 60" X 90"</t>
  </si>
  <si>
    <t>RML-DUVE-CVR-102X102</t>
  </si>
  <si>
    <t>DUVET COVER 102" X 102"</t>
  </si>
  <si>
    <t>RML-DUVE-CVR-62X92</t>
  </si>
  <si>
    <t>DUVET COVER 62" X 92"</t>
  </si>
  <si>
    <t>RML-HOT-MOT-COM-SID-LBL-FM</t>
  </si>
  <si>
    <t>HOTEL COMFORT CARE SIDE LABEL-PU FOAM</t>
  </si>
  <si>
    <t>RML-HYP-FOLD-INS</t>
  </si>
  <si>
    <t>HYPNOS FOLDABLE MATTRESS INSERTER</t>
  </si>
  <si>
    <t>RML-INS-LAT-SDE-LBL</t>
  </si>
  <si>
    <t>RML-INSTI-FIB-PILLOW-27X17-800G</t>
  </si>
  <si>
    <t>INSTITUTIONAL FIBER PILLOW 27X17 -800.GRM(AGA)</t>
  </si>
  <si>
    <t>RML-INSTI-FIB-PILLOW-30X20-1300G</t>
  </si>
  <si>
    <t>INSTITUTIONAL FIBER PILLOW 30X20 - 1300.GRM(AGA)</t>
  </si>
  <si>
    <t>RML-ITA-FLG-TAP</t>
  </si>
  <si>
    <t>ITALIANO FLAG TAPE (FOR CARD HANGING PURPOSE)</t>
  </si>
  <si>
    <t>RML-NW-IMP-STK</t>
  </si>
  <si>
    <t>NEW &amp; IMPROVED STICKER</t>
  </si>
  <si>
    <t>RML-PLAIN-PILLOW-24X16</t>
  </si>
  <si>
    <t>PEPS POLYESTER FIBER PILLOW 24"X16"</t>
  </si>
  <si>
    <t>RML-PLAIN-PILLOW-28X18</t>
  </si>
  <si>
    <t>PEPS PLAIN PILLOW 28'X18"</t>
  </si>
  <si>
    <t>RML-PTR-78X36</t>
  </si>
  <si>
    <t>PEPS PROTECTOR 78X36</t>
  </si>
  <si>
    <t>RML-PTR-78X72</t>
  </si>
  <si>
    <t>PEPS PROTECTOR 78X72</t>
  </si>
  <si>
    <t>RM-PLW-CVR-WH-STRP</t>
  </si>
  <si>
    <t>PEPS NORMAL WHITE STRIPE PILLOW COVER 28X18</t>
  </si>
  <si>
    <t>FB-MATT-BACK-PANL-BLU</t>
  </si>
  <si>
    <t>MATTRESS BACK PANEL FABRIC - BLUE</t>
  </si>
  <si>
    <t>FBR-KOZBOND-PNL-BLUE</t>
  </si>
  <si>
    <t>KOZYBOND PANEL FABRIC DARK BLUE</t>
  </si>
  <si>
    <t>FBR-KOZBOND-PNL-MRN</t>
  </si>
  <si>
    <t>KOZYBOND PANEL FABRIC MAROON</t>
  </si>
  <si>
    <t>RM-BED-SHT-110X110-WOPC</t>
  </si>
  <si>
    <t>PEPS 110X110 BED SHEET</t>
  </si>
  <si>
    <t>RM-HYP-ALU-MAT-CINS-LBL</t>
  </si>
  <si>
    <t>HYPNOS ALLURE MF WARRANTY  CARE  INSTRUCTION LABEL</t>
  </si>
  <si>
    <t>RML-BED-SHT-119X110</t>
  </si>
  <si>
    <t>Bed Sheet 119" x 110"</t>
  </si>
  <si>
    <t>RML-BED-SHT-119X79</t>
  </si>
  <si>
    <t>Bed Sheet 119" x 79"</t>
  </si>
  <si>
    <t>RML-BOLSTER-24X09</t>
  </si>
  <si>
    <t>PEPS Bolsters 24X09"</t>
  </si>
  <si>
    <t>RML-CHIL-GEL-TECH-STK</t>
  </si>
  <si>
    <t>CHILL GEL TECHNOLOGY STICKER</t>
  </si>
  <si>
    <t>RML-DUVE-104X104</t>
  </si>
  <si>
    <t>DUVET COVER 104" X 104"</t>
  </si>
  <si>
    <t>RML-DUVE-90X100</t>
  </si>
  <si>
    <t>DUVET 90" X 100"</t>
  </si>
  <si>
    <t>RML-DUVE-94X104</t>
  </si>
  <si>
    <t>DUVET COVER 94" X 104"</t>
  </si>
  <si>
    <t>RML-DUVE-94X72</t>
  </si>
  <si>
    <t>DUVET 94" X 72"</t>
  </si>
  <si>
    <t>RML-DUVE-96X102</t>
  </si>
  <si>
    <t>DUVET 96" X 102"</t>
  </si>
  <si>
    <t>RML-DUVE-CVR-100X76</t>
  </si>
  <si>
    <t>DUVET COVER 100" X 76"</t>
  </si>
  <si>
    <t>RML-DUVE-CVR-102X107</t>
  </si>
  <si>
    <t>DUVET COVER 102" X 107"</t>
  </si>
  <si>
    <t>RML-HARD-PILLOW-30X20</t>
  </si>
  <si>
    <t>HARD PILLOW 30"X20"</t>
  </si>
  <si>
    <t>RML-HDPE-84X84X33.5</t>
  </si>
  <si>
    <t>HDPE BAG 84X84X33.5"</t>
  </si>
  <si>
    <t>RML-HOU-PEPS-STKR</t>
  </si>
  <si>
    <t>HOUSE OF PEPS - STICKER</t>
  </si>
  <si>
    <t>RML-INSTI-FIB-PILLOW-27X17</t>
  </si>
  <si>
    <t>INSTITUTIONAL FIBER PILLOW 27X17</t>
  </si>
  <si>
    <t>RML-ITALIANO-BED-RUN</t>
  </si>
  <si>
    <t>ITALIANO BED RUNNER 90"X20"</t>
  </si>
  <si>
    <t>RML-ITALIANO-BED-RUN-70X20</t>
  </si>
  <si>
    <t>ITALIANO BED RUNNER 70"X20"</t>
  </si>
  <si>
    <t>RML-KOM-LTX-PLW-50X28X8/7</t>
  </si>
  <si>
    <t>Komffy Latex Pillow # Contour 50CMX28CMX8/7CM (100% Natural)</t>
  </si>
  <si>
    <t>RML-KOM-PTR-72X63</t>
  </si>
  <si>
    <t>KOMFFY MATTRESSES PROTECTOR 72X63</t>
  </si>
  <si>
    <t>RML-KOM-PTR-74X59.50</t>
  </si>
  <si>
    <t>KOMFFY MATTRESSES PROTECTOR 74X59.50</t>
  </si>
  <si>
    <t>RML-KOM-PTR-75X68</t>
  </si>
  <si>
    <t>KOMFFY MATTRESSES PROTECTOR 75X68</t>
  </si>
  <si>
    <t>RML-KOM-PTR-76.50X59.50</t>
  </si>
  <si>
    <t>KOMFFY MATTRESSES PROTECTOR 76.50X59.50</t>
  </si>
  <si>
    <t>RML-KOM-PTR-77.50X69</t>
  </si>
  <si>
    <t>KOMFFY MATTRESSES PROTECTOR 77.50X69</t>
  </si>
  <si>
    <t>RML-KOM-PTR-77.50X71.50</t>
  </si>
  <si>
    <t>KOMFFY MATTRESSES PROTECTOR 77.50X71.50</t>
  </si>
  <si>
    <t>RML-KOM-PTR-78X78</t>
  </si>
  <si>
    <t>KOMFFY MATTRESSES PROTECTOR 78X78</t>
  </si>
  <si>
    <t>RML-KOM-PTR-78X84</t>
  </si>
  <si>
    <t>KOMFFY MATTRESSES PROTECTOR 78X84</t>
  </si>
  <si>
    <t>RML-KOM-PTR-79X60</t>
  </si>
  <si>
    <t>KOMFFY MATTRESSES PROTECTOR 79X60</t>
  </si>
  <si>
    <t>RML-KOM-PTR-83.50X68.50</t>
  </si>
  <si>
    <t>KOMFFY MATTRESSES PROTECTOR 83.50X68.50</t>
  </si>
  <si>
    <t>RML-KOM-PTR-83X60</t>
  </si>
  <si>
    <t>KOMFFY MATTRESSES PROTECTOR 83X60</t>
  </si>
  <si>
    <t>RML-KOZBON-SDE-LBL</t>
  </si>
  <si>
    <t>KOZYBOND SIDE LABEL</t>
  </si>
  <si>
    <t>RML-KOZBON-WCRD</t>
  </si>
  <si>
    <t>KOZYBOND WARRANTY CARD</t>
  </si>
  <si>
    <t>RML-LD-CVR-PLN-6X7.5+2-300G</t>
  </si>
  <si>
    <t>PILLOW COVER LDPE PLAIN SEAL KING BAG 6X7.5+2 - 300G</t>
  </si>
  <si>
    <t>RML-LDPE-31X90MIC</t>
  </si>
  <si>
    <t>LDPE TUBE ROLL PLAIN 31"X 90MIC</t>
  </si>
  <si>
    <t>RML-LDPE-CVR-PLN-6X7.5+2-300G</t>
  </si>
  <si>
    <t>RML-LDPE-PLN-17X25+4-200G</t>
  </si>
  <si>
    <t>PILLOW LDPE PLAIN SEAL KING BAG 17X25+4 - 200G</t>
  </si>
  <si>
    <t>RML-PEPS-PTR-78.75X36.03</t>
  </si>
  <si>
    <t>Mattress Protector 78.75" x 36.03"</t>
  </si>
  <si>
    <t>RML-PEPS-PTR-78.75X70.87</t>
  </si>
  <si>
    <t>Mattress Protector 78.75" X 70.87"</t>
  </si>
  <si>
    <t>RML-PILW-CAS-22X33</t>
  </si>
  <si>
    <t>Pillow Case 22" X 33"</t>
  </si>
  <si>
    <t>RML-PILW-PTR-21X33</t>
  </si>
  <si>
    <t>Pillow Protector 21" X 32"</t>
  </si>
  <si>
    <t>RML-PLWCVR-32X22</t>
  </si>
  <si>
    <t>PILLOW COVER 32"X22"</t>
  </si>
  <si>
    <t>RML-SOFT-PILLOW-30X20</t>
  </si>
  <si>
    <t>SOFT PILLOW 30"X20"</t>
  </si>
  <si>
    <t>RML-SPES-1ST-PILW-20X31</t>
  </si>
  <si>
    <t>Pillows Specs (1st Pillow) 20" X 31"</t>
  </si>
  <si>
    <t>RML-SPES-2ST-PIL-20X31</t>
  </si>
  <si>
    <t>Pillows Specs (2nd Pillow) 20" X 31"</t>
  </si>
  <si>
    <t>RML-WSCR-LBL-HYP-FOLD-MAT</t>
  </si>
  <si>
    <t>HYPNOS FOLDABLE MATTRESS WASH CARE LABEL</t>
  </si>
  <si>
    <t>FBR-VIS-BON-PNL-FAB</t>
  </si>
  <si>
    <t>VISTA BOND PANEL FABRIC</t>
  </si>
  <si>
    <t>RM-HYP-CAS-WCRD-PUNE</t>
  </si>
  <si>
    <t>Hypnos Caspio Warranty Card ( Pune - Address )</t>
  </si>
  <si>
    <t>RMI-HCTNF-74.50X59.50.</t>
  </si>
  <si>
    <t>COTTON FELT 189.23CM X 151.13CM X 6MM - 700gsm ( 74.50" x 59.50" )</t>
  </si>
  <si>
    <t>RMI-HCTNF-74.50X71.50.</t>
  </si>
  <si>
    <t>COTTON FELT 189.23CM X 181.61CM X 6MM - 700gsm ( 74.50" x 71.50" )</t>
  </si>
  <si>
    <t>RMI-HCTNF-77.50X59.50.</t>
  </si>
  <si>
    <t>COTTON FELT 196.85CM X 151.13CM X 6MM - 700gsm ( 77.50" x 59.50" )</t>
  </si>
  <si>
    <t>RMI-HCTNF-77.50X71.50.</t>
  </si>
  <si>
    <t>COTTON FELT 196.85CM X 181.61CM X 6MM - 700gsm ( 77.50" x 71.50" )</t>
  </si>
  <si>
    <t>RM-LDPE-ROLL-116X50MIC-BLK</t>
  </si>
  <si>
    <t>LDPE Plain Roll 116 Width 50 Mic ( Black Colour)</t>
  </si>
  <si>
    <t>RML-FLN-BLNK-85X95</t>
  </si>
  <si>
    <t>PEPS FLANO PRINTED BLANKET DOUBLE- SIZE:85X95 INCH</t>
  </si>
  <si>
    <t>RML-INSTI-FIB-PILLOW-24X12</t>
  </si>
  <si>
    <t>INSTITUTIONAL FIBER PILLOW 24X12</t>
  </si>
  <si>
    <t>RML-KOM-MRP-STK-LOG-STOOL</t>
  </si>
  <si>
    <t>KOMFFY  LOG STOOL MRP STICKER</t>
  </si>
  <si>
    <t>RML-KOM-PTR-70X66</t>
  </si>
  <si>
    <t>KOMFFY MATTRESSES PROTECTOR 70X66</t>
  </si>
  <si>
    <t>RML-KOM-PTR-75X54</t>
  </si>
  <si>
    <t>KOMFFY MATTRESSES PROTECTOR 75X54</t>
  </si>
  <si>
    <t>RML-KOM-PTR-75X63.50</t>
  </si>
  <si>
    <t>KOMFFY MATTRESSES PROTECTOR 75X63.50</t>
  </si>
  <si>
    <t>RML-KOM-PTR-76.50X53.50</t>
  </si>
  <si>
    <t>KOMFFY MATTRESSES PROTECTOR 76.50X53.50</t>
  </si>
  <si>
    <t>RML-KOM-PTR-76.50X70</t>
  </si>
  <si>
    <t>KOMFFY MATTRESSES PROTECTOR 76.50X70</t>
  </si>
  <si>
    <t>RML-KOM-PTR-76X58.50</t>
  </si>
  <si>
    <t>KOMFFY MATTRESSES PROTECTOR 76X58.50</t>
  </si>
  <si>
    <t>RML-KOM-PTR-77X73</t>
  </si>
  <si>
    <t>KOMFFY MATTRESSES PROTECTOR 77X73</t>
  </si>
  <si>
    <t>RML-KOM-PTR-77X76</t>
  </si>
  <si>
    <t>KOMFFY MATTRESSES PROTECTOR 77X76</t>
  </si>
  <si>
    <t>RML-KOM-PTR-80X68</t>
  </si>
  <si>
    <t>KOMFFY MATTRESSES PROTECTOR 80X68</t>
  </si>
  <si>
    <t>RML-KOM-PTR-82X75.50</t>
  </si>
  <si>
    <t>KOMFFY MATTRESSES PROTECTOR 82X75.50</t>
  </si>
  <si>
    <t>RML-KOM-PTR-84X78</t>
  </si>
  <si>
    <t>KOMFFY MATTRESSES PROTECTOR 84X78</t>
  </si>
  <si>
    <t>RML-KOM-PTR-84X90</t>
  </si>
  <si>
    <t>KOMFFY MATTRESSES PROTECTOR 84X90</t>
  </si>
  <si>
    <t>RML-LTX-3000X208X2CM</t>
  </si>
  <si>
    <t>PERFO LATEX SHEETS  3000X208X2CM (82" WIDTH)</t>
  </si>
  <si>
    <t>RML-RECY-FIB-1.4DX38MM</t>
  </si>
  <si>
    <t>1.4D MICRO X 38MM RECYCLED FIBRE</t>
  </si>
  <si>
    <t>RM-NWN-POS-54CMX70GSM</t>
  </si>
  <si>
    <t>NON WOVEN FABRIC 70 GSM x 54 CM - WHITE</t>
  </si>
  <si>
    <t>RM-VIS-BON-MIN-SDE-LBL</t>
  </si>
  <si>
    <t>VISTA BOND MINI SAMPLE SIDE LABEL</t>
  </si>
  <si>
    <t>STY-BIN-CRD</t>
  </si>
  <si>
    <t>BIN CARD</t>
  </si>
  <si>
    <t>RM-HYP-RET-WCRD</t>
  </si>
  <si>
    <t>HYPNOS MATT RETAIL WARRANTY CARD</t>
  </si>
  <si>
    <t>RMI-PVC-80</t>
  </si>
  <si>
    <t>PVC ROLL 227.CMX80.MICRON</t>
  </si>
  <si>
    <t>RML-CS-PL-4.25</t>
  </si>
  <si>
    <t>PLAIN CORNER SHOES.  - 4.25"</t>
  </si>
  <si>
    <t>RML-CS-PL-5.25</t>
  </si>
  <si>
    <t>PLAIN CORNER SHOES.  - 5.25"</t>
  </si>
  <si>
    <t>RML-CS-PL-6.25</t>
  </si>
  <si>
    <t>PLAIN CORNER SHOES.  - 6.25"</t>
  </si>
  <si>
    <t>RML-KOM-PTR-70X65</t>
  </si>
  <si>
    <t>KOMFFY MATTRESSES PROTECTOR 70X65</t>
  </si>
  <si>
    <t>RML-KOM-PTR-72X47</t>
  </si>
  <si>
    <t>KOMFFY MATTRESSES PROTECTOR 72X47</t>
  </si>
  <si>
    <t>RML-KOM-PTR-72X59</t>
  </si>
  <si>
    <t>KOMFFY MATTRESSES PROTECTOR 72X59</t>
  </si>
  <si>
    <t>RML-KOM-PTR-74.50X59.50</t>
  </si>
  <si>
    <t>KOMFFY MATTRESSES PROTECTOR 74.50X59.50</t>
  </si>
  <si>
    <t>RML-KOM-PTR-74X35</t>
  </si>
  <si>
    <t>KOMFFY MATTRESSES PROTECTOR 74X35</t>
  </si>
  <si>
    <t>RML-KOM-PTR-74X70</t>
  </si>
  <si>
    <t>KOMFFY MATTRESSES PROTECTOR 74X70</t>
  </si>
  <si>
    <t>RML-KOM-PTR-75X63</t>
  </si>
  <si>
    <t>KOMFFY MATTRESSES PROTECTOR 75X63</t>
  </si>
  <si>
    <t>RML-KOM-PTR-76X69</t>
  </si>
  <si>
    <t>KOMFFY MATTRESSES PROTECTOR 76X69</t>
  </si>
  <si>
    <t>RML-KOM-PTR-76X70</t>
  </si>
  <si>
    <t>KOMFFY MATTRESSES PROTECTOR 76X70</t>
  </si>
  <si>
    <t>RML-KOM-PTR-77.50X44</t>
  </si>
  <si>
    <t>KOMFFY MATTRESSES PROTECTOR 77.50X44</t>
  </si>
  <si>
    <t>RML-KOM-PTR-77X60</t>
  </si>
  <si>
    <t>KOMFFY MATTRESSES PROTECTOR 77X60</t>
  </si>
  <si>
    <t>RML-KOM-PTR-78.50X37</t>
  </si>
  <si>
    <t>KOMFFY MATTRESSES PROTECTOR 78.50X37</t>
  </si>
  <si>
    <t>RML-KOM-PTR-78X54</t>
  </si>
  <si>
    <t>KOMFFY MATTRESSES PROTECTOR 78X54</t>
  </si>
  <si>
    <t>RML-KOM-PTR-78X59</t>
  </si>
  <si>
    <t>KOMFFY MATTRESSES PROTECTOR 78X59</t>
  </si>
  <si>
    <t>RML-KOM-PTR-78X63</t>
  </si>
  <si>
    <t>KOMFFY MATTRESSES PROTECTOR 78X63</t>
  </si>
  <si>
    <t>RML-KOM-PTR-78X71</t>
  </si>
  <si>
    <t>KOMFFY MATTRESSES PROTECTOR 78X71</t>
  </si>
  <si>
    <t>RML-KOM-PTR-79.50X79</t>
  </si>
  <si>
    <t>KOMFFY MATTRESSES PROTECTOR 79.50X79</t>
  </si>
  <si>
    <t>RML-KOM-PTR-79X62</t>
  </si>
  <si>
    <t>KOMFFY MATTRESSES PROTECTOR 79X62</t>
  </si>
  <si>
    <t>RML-KOM-PTR-79X72</t>
  </si>
  <si>
    <t>KOMFFY MATTRESSES PROTECTOR 79X72</t>
  </si>
  <si>
    <t>RML-KOM-PTR-79X73</t>
  </si>
  <si>
    <t>KOMFFY MATTRESSES PROTECTOR 79X73</t>
  </si>
  <si>
    <t>RML-KOM-PTR-79X78</t>
  </si>
  <si>
    <t>KOMFFY MATTRESSES PROTECTOR 79X78</t>
  </si>
  <si>
    <t>RML-KOM-PTR-81X72</t>
  </si>
  <si>
    <t>KOMFFY MATTRESSES PROTECTOR 81X72</t>
  </si>
  <si>
    <t>RML-KOM-PTR-83X73</t>
  </si>
  <si>
    <t>KOMFFY MATTRESSES PROTECTOR 83X73</t>
  </si>
  <si>
    <t>RML-KOM-PTR-83X76</t>
  </si>
  <si>
    <t>KOMFFY MATTRESSES PROTECTOR 83X76</t>
  </si>
  <si>
    <t>RML-KOM-PTR-84X84</t>
  </si>
  <si>
    <t>KOMFFY MATTRESSES PROTECTOR 84X84</t>
  </si>
  <si>
    <t>RML-KOM-PTR-85X32</t>
  </si>
  <si>
    <t>KOMFFY MATTRESSES PROTECTOR 85X32</t>
  </si>
  <si>
    <t>RML-VIS-BON-SDE-LBL</t>
  </si>
  <si>
    <t>VISTA BOND SIDE LABEL</t>
  </si>
  <si>
    <t>FBR-ORTH-LTX-BNL-BR</t>
  </si>
  <si>
    <t>PEPS ORTHO LATEX BORDER FABRIC - BONNEL</t>
  </si>
  <si>
    <t>FBR-ORTH-LTX-BNL-PNL</t>
  </si>
  <si>
    <t>PEPS ORTHO LATEX PANEL FABRIC - BONNEL</t>
  </si>
  <si>
    <t>FBR-ORTH-LTX-HR-PNLBR</t>
  </si>
  <si>
    <t>PEPS ORTHO LATEX PANEL &amp; BORDER FABRIC - HR FOAM</t>
  </si>
  <si>
    <t>FBR-ORTH-LTX-PK-BR</t>
  </si>
  <si>
    <t>PEPS ORTHO LATEX BORDER FABRIC - POCKETED</t>
  </si>
  <si>
    <t>FBR-ORTH-LTX-PK-PNL</t>
  </si>
  <si>
    <t>PEPS ORTHO LATEX PANEL FABRIC - POCKETED</t>
  </si>
  <si>
    <t>RM-BED-SHT-110X100-WOPC</t>
  </si>
  <si>
    <t>PEPS 110X100 BED SHEET</t>
  </si>
  <si>
    <t>RM-BED-SHT-60X90-WOPC</t>
  </si>
  <si>
    <t>PEPS 60 X 90 BED SHEET</t>
  </si>
  <si>
    <t>RM-BED-SHT-90X110-WOPC</t>
  </si>
  <si>
    <t>PEPS 90 X 110 BED SHEET</t>
  </si>
  <si>
    <t>RM-BED-SHT-BW-STRP-60X90</t>
  </si>
  <si>
    <t>PEPS BED SHEET STRIPE 60X90 WITH 1 PILLOW COVER BROWN</t>
  </si>
  <si>
    <t>RM-BED-SHT-MR-STRP-60X90</t>
  </si>
  <si>
    <t>PEPS BED SHEET STRIPE 60X90 WITH 1 PILLOW COVER MAROON</t>
  </si>
  <si>
    <t>RML-FIB-PILLOW-26X16</t>
  </si>
  <si>
    <t>PEPS FIBER PILLOW 26"X16"</t>
  </si>
  <si>
    <t>RML-KOM-PTR-73.50X72</t>
  </si>
  <si>
    <t>KOMFFY MATTRESSES PROTECTOR 73.50X72</t>
  </si>
  <si>
    <t>RML-KOM-PTR-76X60</t>
  </si>
  <si>
    <t>KOMFFY MATTRESSES PROTECTOR 76X60</t>
  </si>
  <si>
    <t>RML-KOM-PTR-77X65</t>
  </si>
  <si>
    <t>KOMFFY MATTRESSES PROTECTOR 77X65</t>
  </si>
  <si>
    <t>RML-KOM-PTR-87X82</t>
  </si>
  <si>
    <t>KOMFFY MATTRESSES PROTECTOR 87X82</t>
  </si>
  <si>
    <t>RML-KOM-PTR-88X84</t>
  </si>
  <si>
    <t>KOMFFY MATTRESSES PROTECTOR 88X84</t>
  </si>
  <si>
    <t>RML-KOM-PTR-93X74</t>
  </si>
  <si>
    <t>KOMFFY MATTRESSES PROTECTOR 93X74</t>
  </si>
  <si>
    <t>RML-PF-BLNK-60X90</t>
  </si>
  <si>
    <t>PEPS POLAR FLEECE BLANKET SINGLE 60X90 INCH</t>
  </si>
  <si>
    <t>RML-PF-BLNK-90X100</t>
  </si>
  <si>
    <t>PEPS POLAR FLEECE BLANKET DOUBLE 90X100 INCH</t>
  </si>
  <si>
    <t>RM-PEPSDBSHZ1006-SH07-110X120</t>
  </si>
  <si>
    <t>HARMONIZE - PEPSDBSHZ1006-SH07 BED SHEET-110 X 120</t>
  </si>
  <si>
    <t>FBR-ARD-MF-BR-BLU-06</t>
  </si>
  <si>
    <t>ARDENE MEMORY BLUE 6" BORDER FABRIC</t>
  </si>
  <si>
    <t>FBR-ARD-MF-BR-BLU-08</t>
  </si>
  <si>
    <t>ARDENE MEMORY BLUE 8" BORDER FABRIC</t>
  </si>
  <si>
    <t>FBR-ARD-MF-BR-BLU-10</t>
  </si>
  <si>
    <t>ARDENE MEMORY BLUE 10" BORDER FABRIC</t>
  </si>
  <si>
    <t>FBR-ARD-MF-BR-GRY-06</t>
  </si>
  <si>
    <t>ARDENE MEMORY GREY 6" BORDER FABRIC</t>
  </si>
  <si>
    <t>FBR-ARD-MF-BR-GRY-08</t>
  </si>
  <si>
    <t>ARDENE MEMORY GREY 8" BORDER FABRIC</t>
  </si>
  <si>
    <t>FBR-ARD-MF-BR-GRY-10</t>
  </si>
  <si>
    <t>ARDENE MEMORY GREY 10" BORDER FABRIC</t>
  </si>
  <si>
    <t>FBR-COMF-BR-BG</t>
  </si>
  <si>
    <t>PEPS COMFORT KNITTED BEIGE BORDER FABRIC</t>
  </si>
  <si>
    <t>FBR-COMF-BR-PINK</t>
  </si>
  <si>
    <t>PEPS COMFORT KNITTED PINK BORDER FABRIC</t>
  </si>
  <si>
    <t>FBR-COMF-PNL-BG</t>
  </si>
  <si>
    <t>PEPS COMFORT KNITTED BEIGE PANEL FABRIC</t>
  </si>
  <si>
    <t>FBR-COMF-PNL-PINK</t>
  </si>
  <si>
    <t>PEPS COMFORT KNITTED PINK PANEL FABRIC</t>
  </si>
  <si>
    <t>FBR-SANI-MF-BR-GRY-06</t>
  </si>
  <si>
    <t>SANIBEL MEMORY GREY 6" BORDER FABRIC</t>
  </si>
  <si>
    <t>FBR-SANI-MF-BR-GRY-08</t>
  </si>
  <si>
    <t>SANIBEL MEMORY GREY 8" BORDER FABRIC</t>
  </si>
  <si>
    <t>FBR-SANI-MF-BR-GRY-10</t>
  </si>
  <si>
    <t>SANIBEL MEMORY GREY 10" BORDER FABRIC</t>
  </si>
  <si>
    <t>FBR-SANI-MF-BR-MR-06</t>
  </si>
  <si>
    <t>SANIBEL MEMORY MAROON 6" BORDER FABRIC</t>
  </si>
  <si>
    <t>FBR-SANI-MF-BR-MR-08</t>
  </si>
  <si>
    <t>SANIBEL MEMORY MAROON 8" BORDER FABRIC</t>
  </si>
  <si>
    <t>FBR-SANI-MF-BR-MR-10</t>
  </si>
  <si>
    <t>SANIBEL MEMORY MAROON 10" BORDER FABRIC</t>
  </si>
  <si>
    <t>FBR-SANI-MF-BR-PUR-06</t>
  </si>
  <si>
    <t>SANIBEL MEMORY PURPLE 6" BORDER FABRIC</t>
  </si>
  <si>
    <t>FBR-SANI-MF-BR-PUR-08</t>
  </si>
  <si>
    <t>SANIBEL MEMORY PURPLE 8" BORDER FABRIC</t>
  </si>
  <si>
    <t>FBR-SANI-MF-BR-PUR-10</t>
  </si>
  <si>
    <t>SANIBEL MEMORY PURPLE 10" BORDER FABRIC</t>
  </si>
  <si>
    <t>FBR-SANI-MF-PNL-GRY</t>
  </si>
  <si>
    <t>SANIBEL MEMORY GREY PANEL FABRIC</t>
  </si>
  <si>
    <t>FBR-SANI-MF-PNL-MR</t>
  </si>
  <si>
    <t>SANIBEL MEMORY MAROON PANEL FABRIC</t>
  </si>
  <si>
    <t>FBR-SANI-MF-PNL-PUR</t>
  </si>
  <si>
    <t>SANIBEL MEMORY PURPLE PANEL FABRIC</t>
  </si>
  <si>
    <t>FBR-SUPR-BR-BG</t>
  </si>
  <si>
    <t>PEPS SUPREME KNITTED BEIGE BORDER FABRIC</t>
  </si>
  <si>
    <t>FBR-SUPR-BR-GRY</t>
  </si>
  <si>
    <t>PEPS SUPREME KNITTED GREY BORDER FABRIC</t>
  </si>
  <si>
    <t>FBR-SUPR-PNL-BG</t>
  </si>
  <si>
    <t>PEPS SUPREME KNITTED BEIGE PANEL FABRIC</t>
  </si>
  <si>
    <t>FBR-SUPR-PNL-GRY</t>
  </si>
  <si>
    <t>PEPS SUPREME KNITTED GREY PANEL FABRIC</t>
  </si>
  <si>
    <t>RML-ARD-MF-EDTAPE-BLU</t>
  </si>
  <si>
    <t>ARDENE MEMORY EDGE TAPE LIGHT BLUE - 42MM KNITTED ( 1200)</t>
  </si>
  <si>
    <t>RML-ARD-SDE-LBL</t>
  </si>
  <si>
    <t>ARDENE MEMORY SIDE LABEL</t>
  </si>
  <si>
    <t>RML-COMF-EDTAPE-PINK</t>
  </si>
  <si>
    <t>COMFORT EDGE TAPE PINK - 42MM KNITTED ( 1200.GSM )</t>
  </si>
  <si>
    <t>RML-COMF-SDE-LBL</t>
  </si>
  <si>
    <t>PEPS COMFORT SIDE LABEL</t>
  </si>
  <si>
    <t>RML-COMF-SUP-EDTAPE-BG</t>
  </si>
  <si>
    <t>COMFORT &amp; SUPREME EDGE TAPE BEIGE - 42MM KNITTED ( 1200.GSM )</t>
  </si>
  <si>
    <t>RML-FBR-CURT</t>
  </si>
  <si>
    <t>CURTAINS FABRIC</t>
  </si>
  <si>
    <t>RML-KOM-PTR-80X80</t>
  </si>
  <si>
    <t>KOMFFY MATTRESSES PROTECTOR 80X80</t>
  </si>
  <si>
    <t>RML-OK-ROUND-STK</t>
  </si>
  <si>
    <t>INSPECTED QC PASS ROUND STICKER ( HOLOGRAM )</t>
  </si>
  <si>
    <t>RML-PLY-FBR-150GSMX84</t>
  </si>
  <si>
    <t>Poly Cotton Fabric Maroon 80 Inch 150 GSM DM-29427</t>
  </si>
  <si>
    <t>RML-SANI-SDE-LBL</t>
  </si>
  <si>
    <t>SANIBEL MEMORY SIDE LABEL</t>
  </si>
  <si>
    <t>RML-SUPR-ARD-EDTAPE-GRY</t>
  </si>
  <si>
    <t>SUPREME &amp; ARDENE EDGE TAPE GREY - 42MM KNITTED ( 1200.GSM )</t>
  </si>
  <si>
    <t>RML-SUPR-SDE-LBL</t>
  </si>
  <si>
    <t>PEPS SUPREME SIDE LABEL</t>
  </si>
  <si>
    <t>RM-PRICE-LIST</t>
  </si>
  <si>
    <t>PRICE LIST</t>
  </si>
  <si>
    <t>STY-PR-LIST-SOUTH-10-2020</t>
  </si>
  <si>
    <t>PEPS PRICE LIST- SOUTH</t>
  </si>
  <si>
    <t>RML-EPE1150MMX125MM</t>
  </si>
  <si>
    <t>EXPANDED POLYTHYLENE SHEETS 1150MMX125MMX25MM</t>
  </si>
  <si>
    <t>RML-EPE1150MMX95MM</t>
  </si>
  <si>
    <t>EXPANDED POLYTHYLENE SHEETS 1150MMX95MMX25MM</t>
  </si>
  <si>
    <t>RML-EPE1436MMX155MM</t>
  </si>
  <si>
    <t>EXPANDED POLYTHYLENE SHEETS 1436MMX155MMX40MM</t>
  </si>
  <si>
    <t>RML-EPE1450MMX125MM</t>
  </si>
  <si>
    <t>EXPANDED POLYTHYLENE SHEETS 1450MMX125MMX25MM</t>
  </si>
  <si>
    <t>RML-EPE1450MMX140MM</t>
  </si>
  <si>
    <t>EXPANDED POLYTHYLENE SHEETS 1450MMX140MMX25MM</t>
  </si>
  <si>
    <t>RML-EPE1450MMX95MM</t>
  </si>
  <si>
    <t>EXPANDED POLYTHYLENE SHEETS 1450MMX95MMX25MM</t>
  </si>
  <si>
    <t>RML-EPE1740MMX155MM</t>
  </si>
  <si>
    <t>EXPANDED POLYTHYLENE SHEETS 1740MMX155MMX40MM</t>
  </si>
  <si>
    <t>RML-EPE1750MMX125MM</t>
  </si>
  <si>
    <t>EXPANDED POLYTHYLENE SHEETS 1750MMX125MMX25MM</t>
  </si>
  <si>
    <t>RML-EPE1750MMX140MM</t>
  </si>
  <si>
    <t>EXPANDED POLYTHYLENE SHEETS 1750MMX140MMX25MM</t>
  </si>
  <si>
    <t>RML-EPE1750MMX95MM</t>
  </si>
  <si>
    <t>EXPANDED POLYTHYLENE SHEETS 1750MMX95MMX25MM</t>
  </si>
  <si>
    <t>RML-EPE-1830X1220X50MM</t>
  </si>
  <si>
    <t>EXPANDED POLYTHYLENE SHEETS 1830X1220X50MM</t>
  </si>
  <si>
    <t>RML-EPE-1880X1750X40MM</t>
  </si>
  <si>
    <t>EXPANDED POLYTHYLENE SHEETS 1880X1750X40MM</t>
  </si>
  <si>
    <t>RML-EPE1893MMX155MM</t>
  </si>
  <si>
    <t>EXPANDED POLYTHYLENE SHEETS 1893MMX155MMX40MM</t>
  </si>
  <si>
    <t>RML-EPE1969MMX155MM</t>
  </si>
  <si>
    <t>EXPANDED POLYTHYLENE SHEETS 1969MMX155MMX40MM</t>
  </si>
  <si>
    <t>RML-EPE-2100X1450X25MM</t>
  </si>
  <si>
    <t>EXPANDED POLYTHYLENE SHEETS 2100X1450X25MM</t>
  </si>
  <si>
    <t>RML-EPE-SAMPLE</t>
  </si>
  <si>
    <t>EXPANDED POLYTHYLENE SHEET - SAMPLE</t>
  </si>
  <si>
    <t>RML-COIR-71.5X29.5X30MM</t>
  </si>
  <si>
    <t>COIR BLOCK 70D - 71.5X29.5X30 MM</t>
  </si>
  <si>
    <t>RML-EPE-71.5X29.5X50MM</t>
  </si>
  <si>
    <t>EXPANDED POLYTHYLENE SHEETS 71.5X29.5X50MM</t>
  </si>
  <si>
    <t>RML-EPE-ROLL-2.5</t>
  </si>
  <si>
    <t>EXPANDED POLYETHYLENE ROLL 2.5" WIDTH X 20MM THICKNESS</t>
  </si>
  <si>
    <t>RML-EPE-1118MMX140MMX25MM</t>
  </si>
  <si>
    <t>EXPANDED POLYTHYLENE SHEETS 1118MMX140MMX25MM</t>
  </si>
  <si>
    <t>RML-EPE1422MMX140MMX25MM</t>
  </si>
  <si>
    <t>EXPANDED POLYTHYLENE SHEETS 1422MMX140MMX25MM</t>
  </si>
  <si>
    <t>RML-EPE1650MMX140MMX25MM</t>
  </si>
  <si>
    <t>EXPANDED POLYTHYLENE SHEETS 1650MMX140MMX25MM</t>
  </si>
  <si>
    <t>RML-EPE-762MMX140MMX25MM</t>
  </si>
  <si>
    <t>EXPANDED POLYTHYLENE SHEETS 762MMX140MMX25MM</t>
  </si>
  <si>
    <t>FBR-ARD-MF-PNL-BLU</t>
  </si>
  <si>
    <t>ARDENE MEMORY BLUE PANEL FABRIC</t>
  </si>
  <si>
    <t>RML-SANI-MF-EDTAPE-BLU</t>
  </si>
  <si>
    <t>SANIBEL MEMORY EDGE TAPE BLUE - 42MM KNITTED ( 1200.GSM )</t>
  </si>
  <si>
    <t>FBR-ARD-MF-PNL-GRY</t>
  </si>
  <si>
    <t>ARDENE MEMORY GREY PANEL FABRIC</t>
  </si>
  <si>
    <t>FBR-SANI-MF-BR-GRY-06-READY</t>
  </si>
  <si>
    <t>SANIBEL MEMORY GREY 6" READY MADE BORDER BORDER FABRIC</t>
  </si>
  <si>
    <t>FBR-SANI-MF-BR-GRY-10-READY</t>
  </si>
  <si>
    <t>SANIBEL MEMORY GREY 10"  READY MADE BORDER FABRIC</t>
  </si>
  <si>
    <t>FBR-SANI-MF-BR-GRY-08-READY</t>
  </si>
  <si>
    <t>SANIBEL MEMORY GREY 8"  READY MADE BORDER FABRIC</t>
  </si>
  <si>
    <t>FBR-SANI-MF-BR-PUR-06-READY</t>
  </si>
  <si>
    <t>SANIBEL MEMORY PURPLE 6"  READY MADE BORDER FABRIC</t>
  </si>
  <si>
    <t>FBR-SANI-MF-BR-PUR-08-READY</t>
  </si>
  <si>
    <t>SANIBEL MEMORY PURPLE 8"  READY MADE BORDER FABRIC</t>
  </si>
  <si>
    <t>FBR-SANI-MF-BR-PUR-10-READY</t>
  </si>
  <si>
    <t>SANIBEL MEMORY PURPLE 10"  READY MADE BORDER FABRIC</t>
  </si>
  <si>
    <t>FBR-COMF-BR-GRY</t>
  </si>
  <si>
    <t>PEPS COMFORT KNITTED GREY BORDER FABRIC</t>
  </si>
  <si>
    <t>FR MATTRESS ZERO DISTURBANCE SIDE LABEL FUSING TYPE</t>
  </si>
  <si>
    <t>RML-NO-TURN-LBL-FUS</t>
  </si>
  <si>
    <t>NORMAL NO TURN LABEL FUSING TYPE</t>
  </si>
  <si>
    <t>RML-SDE-LBL-ZEN-FUS</t>
  </si>
  <si>
    <t>ZENIMO SIDE LABELS FUSING TYPE</t>
  </si>
  <si>
    <t>RML-ZEN-NO-TURN-LBL-FUS</t>
  </si>
  <si>
    <t>ZENIMO NO TURN LABEL FUSING TYPE</t>
  </si>
  <si>
    <t>RML-SDE-LBL-SPG-SPR-FUS</t>
  </si>
  <si>
    <t>SPINE GUARD  SIDE LABEL 10 YEARS SPRING FUSING TYPE</t>
  </si>
  <si>
    <t>RML-SDE-LBL-FR-MAT-BON-FUS</t>
  </si>
  <si>
    <t>FR MATTRESS BONAL SIDE LABEL FUSING TYPE</t>
  </si>
  <si>
    <t>RML-MRP-BAK-LBL-FUS</t>
  </si>
  <si>
    <t>MRP BACK PLAIN LABEL FUSING TYPE</t>
  </si>
  <si>
    <t>RML-SDE-LBL-ORG-FUS</t>
  </si>
  <si>
    <t>ORGANICA SIDE LABEL FUSING TYPE</t>
  </si>
  <si>
    <t>RML-SDE-LBL-ARD-MEM-FUS</t>
  </si>
  <si>
    <t>ARDENE MEMORY SIDE LABEL FUSING TYPE</t>
  </si>
  <si>
    <t>RML-SDE-LBL-COM-FUS</t>
  </si>
  <si>
    <t>PEPS COMFORT SIDE LABEL FUSING TYPE</t>
  </si>
  <si>
    <t>RML-SDE-LBL-SAN-MEM-FUS</t>
  </si>
  <si>
    <t>SANIBEL MEMORY SIDE LABEL FUSING TYPE</t>
  </si>
  <si>
    <t>RML-SDE-LBL-SUP-FUS</t>
  </si>
  <si>
    <t>PEPS SUPREME SIDE LABEL FUSING TYPE</t>
  </si>
  <si>
    <t>RML-PEPS-HAN-LOG-FUS</t>
  </si>
  <si>
    <t>PEPS HANDLE LOGO LABEL</t>
  </si>
  <si>
    <t>RML-DRN-LBL-FUS</t>
  </si>
  <si>
    <t>RML-LTX-1100X208X2.CM</t>
  </si>
  <si>
    <t>PERFO LATEX SHEETS 1100X208X2.CM (82" WIDTH)</t>
  </si>
  <si>
    <t>FBR-COMF-PNL-GRY</t>
  </si>
  <si>
    <t>PEPS COMFORT KNITTED GREY PANEL FABRIC</t>
  </si>
  <si>
    <t>FBR-SANI-MF-ET-GRY</t>
  </si>
  <si>
    <t>SANIBEL MEMORY GREY EURO TOP FABRIC</t>
  </si>
  <si>
    <t>FBR-SANI-MF-ET-PUR</t>
  </si>
  <si>
    <t>SANIBEL MEMORY PURPLE EURO TOP FABRIC</t>
  </si>
  <si>
    <t>FBR-SANI-MF-GUS-REX-BEG</t>
  </si>
  <si>
    <t>SANIBEL MEMORY GUSSET REXINE BEIGE COLOUR</t>
  </si>
  <si>
    <t>RMI-HCTNF-74.50X47.50</t>
  </si>
  <si>
    <t>COTTON FELT 189.23CM X 120.63CM X 6MM - 700gsm ( 74.50" x 47.50" )</t>
  </si>
  <si>
    <t>RML-LAT-PIL-INS</t>
  </si>
  <si>
    <t>LATEX PILLOW INSERTER</t>
  </si>
  <si>
    <t>RML-LCORNER-PAD-15</t>
  </si>
  <si>
    <t>15X15 INCH L CORNER PAD</t>
  </si>
  <si>
    <t>RML-LTX-1500X208X2CM</t>
  </si>
  <si>
    <t>PERFO LATEX SHEETS 1500X208X2CM (82" WIDTH)</t>
  </si>
  <si>
    <t>RML-MEM-FOM-PIL-STK</t>
  </si>
  <si>
    <t>100% MEMORY FOAM PILLOW MOULDED STICKER (Allura Pillow)</t>
  </si>
  <si>
    <t>RML-PIL-BAG</t>
  </si>
  <si>
    <t>PILLOW PVC BAG 19.5"X11.25"X3.5"G -10 MM THICKNESS</t>
  </si>
  <si>
    <t>RML-PRE-STK</t>
  </si>
  <si>
    <t>PREMIUM STICKER (Allura Pillow)</t>
  </si>
  <si>
    <t>RML-WDG-PLW-INS</t>
  </si>
  <si>
    <t>RML-WDG-PLW-WSCR-LBL</t>
  </si>
  <si>
    <t>WEDGE PILLOW WASH CARE LABEL</t>
  </si>
  <si>
    <t>RM-NWN-82X70GSM</t>
  </si>
  <si>
    <t>NON WOVEN FABRIC 70 GSM x 82 INCH - WHITE</t>
  </si>
  <si>
    <t>RML-CFRP-WH-110X110MICPOY</t>
  </si>
  <si>
    <t>PEPS 110X110 QUILT-MICRO POLYESTER WHITE COMFORTER</t>
  </si>
  <si>
    <t>Opening Stock Qty</t>
  </si>
  <si>
    <t>Stock In Qty</t>
  </si>
  <si>
    <t>Stock Out Qty</t>
  </si>
  <si>
    <t>Closing Stock Qty</t>
  </si>
  <si>
    <t>ACCEPTED</t>
  </si>
  <si>
    <t>QUARANTINED</t>
  </si>
  <si>
    <t>REJECTED</t>
  </si>
  <si>
    <t>MR Pending</t>
  </si>
  <si>
    <t>Final Closing Stock Qty</t>
  </si>
  <si>
    <t>Purchase Plan</t>
  </si>
  <si>
    <t>Additional Purchase Plan</t>
  </si>
  <si>
    <t>Store Person</t>
  </si>
  <si>
    <t>Purchase Person</t>
  </si>
  <si>
    <t>Item Account Group</t>
  </si>
  <si>
    <t>Opening Stock Rate</t>
  </si>
  <si>
    <t>Opening Stock Value</t>
  </si>
  <si>
    <t>Stock In Rate</t>
  </si>
  <si>
    <t>Stock In Value</t>
  </si>
  <si>
    <t>Stock Out Rate</t>
  </si>
  <si>
    <t>Stock Out Value</t>
  </si>
  <si>
    <t>Closing Stock Rate</t>
  </si>
  <si>
    <t>Closing Stock Value</t>
  </si>
  <si>
    <t>Item Account Group Desc</t>
  </si>
  <si>
    <t>Item Category</t>
  </si>
  <si>
    <t>80D-REBONDED-SAMPLE-FOAM</t>
  </si>
  <si>
    <t>80D-Rebonded Foam Sample</t>
  </si>
  <si>
    <t>FOAM REBONDED  -10181</t>
  </si>
  <si>
    <t>FOAM</t>
  </si>
  <si>
    <t>SPARE</t>
  </si>
  <si>
    <t>SPARES Inventory - 10698</t>
  </si>
  <si>
    <t>FB</t>
  </si>
  <si>
    <t>Fabric-10195</t>
  </si>
  <si>
    <t>MATRESS</t>
  </si>
  <si>
    <t>ITALIANO - ICONA  GREY BORDER FABRIC</t>
  </si>
  <si>
    <t>ITALIANO - ICONA GREY PANEL FABRIC</t>
  </si>
  <si>
    <t>ITALIANO - SERENITA BROWN BORDER FABRIC</t>
  </si>
  <si>
    <t>ZENIMO DENIM BLUE BORDER FABRIC - NEW</t>
  </si>
  <si>
    <t>LCE</t>
  </si>
  <si>
    <t>Label,CnrShoe,CentreBand,EdgeTape-10195</t>
  </si>
  <si>
    <t>CPG</t>
  </si>
  <si>
    <t>Clips, Polygel &amp; Glue-10195</t>
  </si>
  <si>
    <t>IMP-MATSTD6P</t>
  </si>
  <si>
    <t>FUNCTIONAL MATTRESS DISPLAY SYSTEM FOR 6 PCS MATTRESS</t>
  </si>
  <si>
    <t>IMP-MATSTD8P</t>
  </si>
  <si>
    <t>FUNCTIONAL MATTRESS DISPLAY SYSTEM FOR 8 PCS MATTRESS</t>
  </si>
  <si>
    <t>PEPS BED RUNNER ( LEG REST )</t>
  </si>
  <si>
    <t>PEPS MATTRESS COVER 78X36X07</t>
  </si>
  <si>
    <t>ALIPROD</t>
  </si>
  <si>
    <t>Allied Products-13015</t>
  </si>
  <si>
    <t>PEPS MATTRESS COVER 78X36X09</t>
  </si>
  <si>
    <t>PEPS MATTRESS COVER 78X48X07</t>
  </si>
  <si>
    <t>PEPS MATTRESS COVER 78X48X09</t>
  </si>
  <si>
    <t>PEPS MATTRESS COVER 78X60X07</t>
  </si>
  <si>
    <t>PEPS MATTRESS COVER 78X60X09</t>
  </si>
  <si>
    <t>PEPS MATTRESS COVER 78X72X07</t>
  </si>
  <si>
    <t>PEPS MATTRESS COVER 78X72X09</t>
  </si>
  <si>
    <t>PML</t>
  </si>
  <si>
    <t>Packing Material-10195</t>
  </si>
  <si>
    <t>PEPSZENPKPTDB78X66X08</t>
  </si>
  <si>
    <t>Peps Zenimo Pocketed PillowTop DenimBlue 78X66X08</t>
  </si>
  <si>
    <t>ZENIMO</t>
  </si>
  <si>
    <t>Zenimo-10181</t>
  </si>
  <si>
    <t>CAROUSEL PLUSH SIDE LABEL (FUSING LABEL)</t>
  </si>
  <si>
    <t>WOOD</t>
  </si>
  <si>
    <t>PlyWood &amp; Normal Wood -10195</t>
  </si>
  <si>
    <t>CF</t>
  </si>
  <si>
    <t>Cotton Felt-10195</t>
  </si>
  <si>
    <t>LF</t>
  </si>
  <si>
    <t>Latex Foam-10195</t>
  </si>
  <si>
    <t>SANIBEL SIDE LABEL - NEW &amp; IMPROVED (FUSING LABEL)</t>
  </si>
  <si>
    <t>SPRINGKOIL SIDE LABEL</t>
  </si>
  <si>
    <t>SCHEME</t>
  </si>
  <si>
    <t>Scheme Materials-13015</t>
  </si>
  <si>
    <t>BASHB</t>
  </si>
  <si>
    <t>Base and Head Board -10181</t>
  </si>
  <si>
    <t>RML-COIR-78X36X3INCH</t>
  </si>
  <si>
    <t>COIR BLOCK 78X36X3 INCH 80D BARE BLOCK</t>
  </si>
  <si>
    <t>CB</t>
  </si>
  <si>
    <t>Coir Block-10195</t>
  </si>
  <si>
    <t>EXPANDED POLYTHYLENE SHEETS 1118MMX140MMX25MM (SPG)</t>
  </si>
  <si>
    <t>EXPANDED POLYTHYLENE SHEETS 1150MMX125MMX25MM (GENI)</t>
  </si>
  <si>
    <t>EXPANDED POLYTHYLENE SHEETS 1150MMX95MMX25MM (SANI)</t>
  </si>
  <si>
    <t>EXPANDED POLYTHYLENE SHEETS 1422MMX140MMX25MM (SPG)</t>
  </si>
  <si>
    <t>EXPANDED POLYTHYLENE SHEETS 1436MMX155MMX40MM (DD)</t>
  </si>
  <si>
    <t>EXPANDED POLYTHYLENE SHEETS 1450MMX95MMX25MM (SANI)</t>
  </si>
  <si>
    <t>EXPANDED POLYTHYLENE SHEETS 1740MMX155MMX40MM (DD)</t>
  </si>
  <si>
    <t>EXPANDED POLYTHYLENE SHEETS 1750MMX125MMX25MM (GENI)</t>
  </si>
  <si>
    <t>EXPANDED POLYTHYLENE SHEETS 1893MMX155MMX40MM (DD)</t>
  </si>
  <si>
    <t>EXPANDED POLYTHYLENE SHEETS 1969MMX155MMX40MM (DD)</t>
  </si>
  <si>
    <t>EXPANDED POLYTHYLENE SHEETS 762MMX140MMX25MM (SPG)</t>
  </si>
  <si>
    <t>SPRINGKOIL SIDE LABEL - NEW &amp; IMPROVED (FUSING LABEL)</t>
  </si>
  <si>
    <t>KOMFFY PREMIUM PLUS FIBER PILLOW (RTC)</t>
  </si>
  <si>
    <t>KOZYBREEZ SIDE LABEL (FUSING LABEL)</t>
  </si>
  <si>
    <t>MEMORIO ULTRA SIDE LABEL (FUSING LABEL)</t>
  </si>
  <si>
    <t>NET</t>
  </si>
  <si>
    <t>Net-10195</t>
  </si>
  <si>
    <t>NW</t>
  </si>
  <si>
    <t>Non Woven Fabric-10195</t>
  </si>
  <si>
    <t>ITALIANO BASE &amp; HEADBORAD BLACK REXIN FABRIC</t>
  </si>
  <si>
    <t>SW</t>
  </si>
  <si>
    <t>Steel Wire-10195</t>
  </si>
  <si>
    <t>CHEMICAL</t>
  </si>
  <si>
    <t>Chemicals-10195</t>
  </si>
  <si>
    <t>WEDGE PILLOW INSERTER</t>
  </si>
  <si>
    <t>THREAD TKT40 210D/3 PLY 10000MTS ( WHITE )</t>
  </si>
  <si>
    <t>RM-THRD-QS-TKT60</t>
  </si>
  <si>
    <t>THREAD TKT60 210D/2 PLY 13950MTS</t>
  </si>
  <si>
    <t>RTBNGVBG76X72X08</t>
  </si>
  <si>
    <t>Peps Restonic Bonnel Geneva Normal Beige 76X72X08</t>
  </si>
  <si>
    <t>RTC</t>
  </si>
  <si>
    <t>RESTONIC-10181</t>
  </si>
  <si>
    <t>RTBNSNBG78X72X06</t>
  </si>
  <si>
    <t>Peps Restonic Bonnell Sanibel Normal Beige 78x72x06</t>
  </si>
  <si>
    <t>RTPKARETPLLB78X72X08</t>
  </si>
  <si>
    <t>Peps Restonic Pocketed Ardene Euro Top Plush Light Blue 78X72X08</t>
  </si>
  <si>
    <t>SEMIQUILT</t>
  </si>
  <si>
    <t>SEMI FINISHED QUILT SECTION -10198</t>
  </si>
  <si>
    <t>STATIONERY</t>
  </si>
  <si>
    <t>Stationery Materials - 10662</t>
  </si>
  <si>
    <t>Re Order Leavel</t>
  </si>
  <si>
    <t>Import (Or) Local</t>
  </si>
  <si>
    <t>Fabric</t>
  </si>
  <si>
    <t>Jeevan sir</t>
  </si>
  <si>
    <t>PRODUCTION</t>
  </si>
  <si>
    <t>Raja sir</t>
  </si>
  <si>
    <t>Cotton Felt Steel Wire</t>
  </si>
  <si>
    <t>ALLIED</t>
  </si>
  <si>
    <t>Deepu</t>
  </si>
  <si>
    <t>STATIONARY</t>
  </si>
  <si>
    <t>Production</t>
  </si>
  <si>
    <t>deepu</t>
  </si>
  <si>
    <t>Pocketed Unit - 10195</t>
  </si>
  <si>
    <t>Re Order Leval</t>
  </si>
  <si>
    <t>Low Stock Item</t>
  </si>
  <si>
    <t>GRN Pending Qty</t>
  </si>
  <si>
    <t>MR Pending Qty</t>
  </si>
  <si>
    <t>CIR-SFG-QUILT-BACK</t>
  </si>
  <si>
    <t>Quilted Fabric Back Panel</t>
  </si>
  <si>
    <t>CIR-SFG-QUILT-TOP</t>
  </si>
  <si>
    <t>Quilted Fabric Top Panel</t>
  </si>
  <si>
    <t>HYPINSFMMR71X29X04-90D</t>
  </si>
  <si>
    <t>Hypnos Inspree Soft Top PU Foam Maroon 71X29X04-90D</t>
  </si>
  <si>
    <t>Hypnos Mattresses-10181</t>
  </si>
  <si>
    <t>RMI-MOLDCHRG</t>
  </si>
  <si>
    <t>MOULD CHARGE</t>
  </si>
  <si>
    <t>RML-BED-SHT-600TC-PLN-250X300</t>
  </si>
  <si>
    <t>BED SHEET 600TC PLAIN SATIN 250CMX300CM</t>
  </si>
  <si>
    <t>RML-BED-SHT-600TC-PLN-280X300</t>
  </si>
  <si>
    <t>BED SHEET 600TC PLAIN SATIN 280CMX300CM</t>
  </si>
  <si>
    <t>RML-CNR-LBL-CIR</t>
  </si>
  <si>
    <t>Cirrus Corner Lables</t>
  </si>
  <si>
    <t>RML-COIR-78X72X3INCH</t>
  </si>
  <si>
    <t>COIR BLOCK 78X72X3 INCH 80D BARE BLOCK</t>
  </si>
  <si>
    <t>RML-DUV-BAB-COT-100X120</t>
  </si>
  <si>
    <t>DUVET BABY COT 100CMX120CM</t>
  </si>
  <si>
    <t>RML-DUV-BAB-COT-CVR-110X130</t>
  </si>
  <si>
    <t>DUVET BABY COT COVER 600TC PLAIN SATIN 110CMX130CM</t>
  </si>
  <si>
    <t>RML-DUV-BED-CVR-260X130</t>
  </si>
  <si>
    <t>DUVET BED COVER - 400GSM 260CMX130CM</t>
  </si>
  <si>
    <t>RML-DUV-CVR-600TC-PLN-240X240X5</t>
  </si>
  <si>
    <t>DUVET COVER 600TC PLAIN SATIN 240CMX240CMX5CM</t>
  </si>
  <si>
    <t>RML-DUV-CVR-600TC-PLN-270X140X5</t>
  </si>
  <si>
    <t>DUVET BED COVER 600TC PLAIN SATIN 270CMX140CMX5CM</t>
  </si>
  <si>
    <t>RML-DUV-CVR-600TC-PLN-270X240X5</t>
  </si>
  <si>
    <t>DUVET COVER 600TC PLAIN SATIN 270CMX240CMX5CM</t>
  </si>
  <si>
    <t>EXPANDED POLYTHYLENE SHEETS 1650MMX140MMX25MM (SPG)</t>
  </si>
  <si>
    <t>RML-FIB-PILLOW-27X17X2</t>
  </si>
  <si>
    <t>MICRO FIBER PILLOW 27X17X2</t>
  </si>
  <si>
    <t>RML-HDPE-RE-USE-BG</t>
  </si>
  <si>
    <t>HDPE RE USABLE BAG</t>
  </si>
  <si>
    <t>RML-KOM-PTR-72X70.50</t>
  </si>
  <si>
    <t>KOMFFY MATTRESSES PROTECTOR 72X70.50</t>
  </si>
  <si>
    <t>RML-MAT-TOP-100X200</t>
  </si>
  <si>
    <t>MATTRESS TOPPER 100CMX200CM</t>
  </si>
  <si>
    <t>RML-PIL-CVR-600TC-PLN-50X66</t>
  </si>
  <si>
    <t>PILLOW COVER 600TC PLAIN SATIN 50CMX66CM</t>
  </si>
  <si>
    <t>RML-PU-TRIM-FOAM</t>
  </si>
  <si>
    <t>Polyurethane Trim Foam In Primary Foams (Purpose to Make Foam Mattress)</t>
  </si>
  <si>
    <t>RML-TOP-BEB-COT-100X66</t>
  </si>
  <si>
    <t>TOPPER BABY COT 100CMX66CM</t>
  </si>
  <si>
    <t>PUI</t>
  </si>
  <si>
    <t>#</t>
  </si>
  <si>
    <t>Row+Rack+Level</t>
  </si>
  <si>
    <t>Bin</t>
  </si>
  <si>
    <t>Storage Status</t>
  </si>
  <si>
    <t>Variant Code</t>
  </si>
  <si>
    <t>UOM / Alt.UOM</t>
  </si>
  <si>
    <t>Qty</t>
  </si>
  <si>
    <t>Alt.Qty</t>
  </si>
  <si>
    <t>Stock Status</t>
  </si>
  <si>
    <t>Desc.</t>
  </si>
  <si>
    <t>Occupied</t>
  </si>
  <si>
    <t>CORNER SHOES.Â  CRYSAL - 9.5"</t>
  </si>
  <si>
    <t>CORNER SHOES.Â  GRANDPLAIS - 11.5"</t>
  </si>
  <si>
    <t>CORNER SHOES.Â  RESTONIC - 10.5"</t>
  </si>
  <si>
    <t>CORNER SHOES.Â  RESTONIC - 6"</t>
  </si>
  <si>
    <t>CORNER SHOES.Â  RESTONIC - 7"</t>
  </si>
  <si>
    <t>CORNER SHOES.Â  RESTONIC - 8.5"</t>
  </si>
  <si>
    <t>CORNER SHOES.Â  RESTONIC - 9.5"</t>
  </si>
  <si>
    <t>CORNER SHOES.Â  SPINE GUARD - 7.5"</t>
  </si>
  <si>
    <t>CORNER SHOES.Â  SPINE GUARD - 9.5"</t>
  </si>
  <si>
    <t>CORNER SHOES.Â  SPK - 8.5"</t>
  </si>
  <si>
    <t>COTTON FELT 190CM X 129CMÂ X 6MM ( 75" x 51" )</t>
  </si>
  <si>
    <t>DAMA COLLECTION DESIGN NAME - 21D657Â FABRIC NO: 297976</t>
  </si>
  <si>
    <t>DAMA COLLECTION DESIGN NAME - 21D657Â FABRIC NO: 297978</t>
  </si>
  <si>
    <t>Foamera BLUE PANEL &amp; BORDERÂ FABRIC</t>
  </si>
  <si>
    <t>Foamera BROWN PANEL&amp;BORDERÂ  FABRIC</t>
  </si>
  <si>
    <t>Foamera MAROON PANEL&amp;BORDERÂ  FABRIC</t>
  </si>
  <si>
    <t>HEADBOARD METAL CORNER GUARD â€“ SILVER PLAIN</t>
  </si>
  <si>
    <t>ITALIANO - BELLISIMO PANELÂ FABRIC - ( ULT - PRE )</t>
  </si>
  <si>
    <t>ITALIANO - MAGNIFICO CREAMÂ PANEL FABRIC - (ULT - PRE)</t>
  </si>
  <si>
    <t>LDPE cover - 90mic Â â€“ 92x56Â  (56 Side Open)</t>
  </si>
  <si>
    <t>LDPE cover - 90mic Â â€“ 92x70Â  (70 Side Open)</t>
  </si>
  <si>
    <t>LDPE cover - 90mic Â â€“ 92x82Â  (82 Side Open)</t>
  </si>
  <si>
    <t>LDPE TUBE 21"X50.MICÂ  ( LONG PILLOW)</t>
  </si>
  <si>
    <t>Memorio ORANGE PANEL&amp;BORDERÂ  FABRIC</t>
  </si>
  <si>
    <t>PACKING TAPE - TRANSPARENT - 1â€</t>
  </si>
  <si>
    <t>RESTONIC CAROUSELÂ  PLUSH CREAM BORDER FABRIC</t>
  </si>
  <si>
    <t>SPINE GUARDÂ  SIDE LABEL 10 YEARS SPRING FUSING TYPE</t>
  </si>
  <si>
    <t>SWISS COTTONÂ  FABRIC - 58"x100.GSM (WHITE)</t>
  </si>
  <si>
    <t>Regular (Or) Non Moving</t>
  </si>
  <si>
    <t>GRN Pending</t>
  </si>
  <si>
    <t>RML-ASH-ZIP-NO-5</t>
  </si>
  <si>
    <t>Ash Colour ZIPPER NO-5</t>
  </si>
  <si>
    <t>RML-YEL-ZIP-NO-5</t>
  </si>
  <si>
    <t>Light Yellow Colour ZIPPER NO-5</t>
  </si>
  <si>
    <t>RML-ASH-THRD</t>
  </si>
  <si>
    <t>Ash Colour THREAD</t>
  </si>
  <si>
    <t>RML-LIG-YEL-THRD</t>
  </si>
  <si>
    <t>Light Yellow Colour THREAD</t>
  </si>
  <si>
    <t>ITALIANO - SERENITA ORANGE &amp; BLUE PANEL FABRIC - ( PRE )</t>
  </si>
  <si>
    <t>LEG REST FABRIC</t>
  </si>
  <si>
    <t>Hypnos Side Label</t>
  </si>
  <si>
    <t>RML-CB-DRM-BRNZ</t>
  </si>
  <si>
    <t>PEPS DREAM MAKERS CENTRE BAND-BRONZE</t>
  </si>
  <si>
    <t>INSPREE LATEX SIDE LABEL</t>
  </si>
  <si>
    <t>FBR-ARD-MF-ET-GRY</t>
  </si>
  <si>
    <t>ARDENE MEMORY GREY EURO TOP FABRIC</t>
  </si>
  <si>
    <t>FBR-ARD-MF-ET-L-BLUE</t>
  </si>
  <si>
    <t>ARDENE MEMORY LIGHT BLUE EURO TOP FABRIC</t>
  </si>
  <si>
    <t>RML-ARD-BRN-ED-TAPE</t>
  </si>
  <si>
    <t>ARDENE EDGE TAPE BROWN</t>
  </si>
  <si>
    <t>RML-PTR-WP-NVBL-78X72</t>
  </si>
  <si>
    <t>PEPS WATER PROOF PROTECTOR NAVY BLUE 78X72</t>
  </si>
  <si>
    <t>SFG-LEG-REST</t>
  </si>
  <si>
    <t>SEMI FINISHED BED RUNNER  90" X 20" ( LEG REST )</t>
  </si>
  <si>
    <t>RML-RADIO-PILLOW</t>
  </si>
  <si>
    <t>KOMFFY FIBER PILLOW 24"X16"(RADIO)</t>
  </si>
  <si>
    <t>RML-CIR-FOM-MIN-SDE-LBL</t>
  </si>
  <si>
    <t>CIRRUS FOAMERA MINI SAMPLE SIDE LABEL</t>
  </si>
  <si>
    <t>RML-CIR-FUR-MIN-SDE-LBL</t>
  </si>
  <si>
    <t>CIRRUS FURNO MINI SAMPLE SIDE LABEL</t>
  </si>
  <si>
    <t>RML-CIR-SDE-LBL</t>
  </si>
  <si>
    <t>CIRRUS Side Label</t>
  </si>
  <si>
    <t>RML-CIR-INS-MIN-SDE-LBL</t>
  </si>
  <si>
    <t>CIRRUS INSPREE MINI SAMPLE SIDE LABEL</t>
  </si>
  <si>
    <t>RML-FUR-CIR-SDE-LBL</t>
  </si>
  <si>
    <t>CIRRUS FURNO SIDE LABEL</t>
  </si>
  <si>
    <t>RML-CIR-MEM-SDE-LBL</t>
  </si>
  <si>
    <t>CIRRUS MEMORIO SIDE LABEL</t>
  </si>
  <si>
    <t>RML-CIR-SPS-SDE-LBL</t>
  </si>
  <si>
    <t>CIRRUS SPINE SAFE SIDE LABEL</t>
  </si>
  <si>
    <t>RML-CIR-LAT-MINI-SDE-LBL</t>
  </si>
  <si>
    <t>CIRRUS INSPREE LATEX MINI SAMPLE SIDE LABEL</t>
  </si>
  <si>
    <t>RML-CIR-INS-LAT-SDE-LBL</t>
  </si>
  <si>
    <t>CIRRUS INSPREE LATEX SIDE LABEL</t>
  </si>
  <si>
    <t>RML-CIR-INS-MEM-MINI-SDE-LBL</t>
  </si>
  <si>
    <t>CIRRUS INSPREE MEMORY MINI SAMPLE SIDE LABEL</t>
  </si>
  <si>
    <t>RML-CIR-INS-MEM-SDE-LBL</t>
  </si>
  <si>
    <t>CIRRUS INSPREE MEMORY SIDE LABEL</t>
  </si>
  <si>
    <t>RML-CIR-INS-SDE-LBL</t>
  </si>
  <si>
    <t>CIRRUS INSPREE SIDE LABEL</t>
  </si>
  <si>
    <t>RML-CIR-INS-SDE-LBL-4INC</t>
  </si>
  <si>
    <t>CIRRUS INSPREE SIDE LABEL 4 INCH MATTRESS</t>
  </si>
  <si>
    <t>RML-CIR-KOZBON-SDE-LBL</t>
  </si>
  <si>
    <t>CIRRUS KOZYBOND SIDE LABEL</t>
  </si>
  <si>
    <t>RML-CIR-KOZBRE-SDE-LBL</t>
  </si>
  <si>
    <t>CIRRUS KOZYBREEZ SIDE LABEL</t>
  </si>
  <si>
    <t>RML-CIR-MEM-ULT-SDE-LBL</t>
  </si>
  <si>
    <t>CIRRUS MEMORIO ULTRA SIDE LABEL</t>
  </si>
  <si>
    <t>RML-CIR-MIR-SDE-LBL</t>
  </si>
  <si>
    <t>CIRRUS MIRAGE SIDE LABEL</t>
  </si>
  <si>
    <t>RML-CS-CIR-5.25</t>
  </si>
  <si>
    <t>CIRRUS CORNER SHOES 5.25"</t>
  </si>
  <si>
    <t>RML-CS-CIR-6.25</t>
  </si>
  <si>
    <t>CIRRUS CORNER SHOES 6.25"</t>
  </si>
  <si>
    <t>RML-CS-CIR-8.25</t>
  </si>
  <si>
    <t>CIRRUS CORNER SHOES 8.25"</t>
  </si>
  <si>
    <t>RML-CS-CIR-FURNO-4.5</t>
  </si>
  <si>
    <t>CIRRUS FURNO CORNER SHOES 4.5"</t>
  </si>
  <si>
    <t>RML-CIR-WARR-TERM-LBL</t>
  </si>
  <si>
    <t>CIRRUS WARRANTY TERM LABEL</t>
  </si>
  <si>
    <t>RM-CIR-ALU-MAT-MRP-LBL</t>
  </si>
  <si>
    <t>CIRRUS Allure Mattresses Plain MRP Label</t>
  </si>
  <si>
    <t>RM-CIR-CAS-MAT-MRP-LBL</t>
  </si>
  <si>
    <t>CIRRUS Caspio Mattresses Plain MRP Label</t>
  </si>
  <si>
    <t>RML-CIR-MRP-LBL-RED</t>
  </si>
  <si>
    <t>CIRRUS MRP LABEL - (RED)</t>
  </si>
  <si>
    <t>RM-CIR-RET-WCRD</t>
  </si>
  <si>
    <t>CIRRUS MATT RETAIL WARRANTY CARD</t>
  </si>
  <si>
    <t>RML-CIR-MIR-WCRD</t>
  </si>
  <si>
    <t>CIRRUS MIRAGE 5 YEARS WARRANTY CARD</t>
  </si>
  <si>
    <t>RML-CIR-PAN-WCRD</t>
  </si>
  <si>
    <t>CIRRUS PANORAMA 10 YEARS WARRANTY CARD</t>
  </si>
  <si>
    <t>RML-CIR-MEM-MIN-SDE-LBL</t>
  </si>
  <si>
    <t>CIRRUS MEMORIO MINI SAMPLE SIDE LABEL</t>
  </si>
  <si>
    <t>RML-CIR-SPS-MIN-SDE-LBL</t>
  </si>
  <si>
    <t>CIRRUS SPINE SAFE MINI SAMPLE SIDE LABEL</t>
  </si>
  <si>
    <t>RML-CIR-VIS-BON-MIN-SDE-LBL</t>
  </si>
  <si>
    <t>CIRRUS VISTA BOND MINI SAMPLE SIDE LABEL</t>
  </si>
  <si>
    <t>RML-CIR-VIS-BON-SDE-LBL</t>
  </si>
  <si>
    <t>CIRRUS VISTA BOND SIDE LABEL</t>
  </si>
  <si>
    <t>RM-KOM-MRP-STK-HOL-SIL</t>
  </si>
  <si>
    <t>KOMFFY HOLLOW SILICONIZED PILLOW MRP STICKER</t>
  </si>
  <si>
    <t>RML-CFRP-WH-100X110MICPOY</t>
  </si>
  <si>
    <t>PEPS 100X110 QUILT-MICRO POLYESTER WHITE COMFORTER</t>
  </si>
  <si>
    <t>RML-CIR-SOF-BED-LBL</t>
  </si>
  <si>
    <t>Cirrus Sofa Cum Bed Label</t>
  </si>
  <si>
    <t>RML-DR-LAN-PLW-INS</t>
  </si>
  <si>
    <t>Dream Land Ultra Soft Pillow Inserter</t>
  </si>
  <si>
    <t>RML-HYP-SOF-BED-LBL</t>
  </si>
  <si>
    <t>Hypnos Sofa Cum Bed Label</t>
  </si>
  <si>
    <t>RML-INSTI-FIB-PILLOW-26X16</t>
  </si>
  <si>
    <t>INSTITUTIONAL FIBER PILLOW 26X16</t>
  </si>
  <si>
    <t>RML-SDE-LBL-FR-MAT-ZER-DIS-POC-F</t>
  </si>
  <si>
    <t>RML-SDE-LBL-SPG-FOM-FUS</t>
  </si>
  <si>
    <t>SPINE GUARD  SIDE LABEL 7 YEARS FOAM FUSING TYPE</t>
  </si>
  <si>
    <t>RML-STR-FILM-18INCH</t>
  </si>
  <si>
    <t>STRETCH FILM - 18"</t>
  </si>
  <si>
    <t>RM-NWN-POS-45CMX70GSM-GRN</t>
  </si>
  <si>
    <t>NON WOVEN FABRIC 70 GSM x 45 CM - GREEN</t>
  </si>
  <si>
    <t>RM-NWN-POS-54CMX70GSM-GRN</t>
  </si>
  <si>
    <t>NON WOVEN FABRIC 70 GSM x 54 CM - GREEN</t>
  </si>
  <si>
    <t>SPL-HALF-FAC-MSK</t>
  </si>
  <si>
    <t>HALF FACE MASK</t>
  </si>
  <si>
    <t>RML-DOB-SDE-GUM-TAP</t>
  </si>
  <si>
    <t>Double Side Gum Tape 1 inch Width &amp; 2.5 MTR Length</t>
  </si>
  <si>
    <t>RML-ZIP-LOK-CVR</t>
  </si>
  <si>
    <t>Zip Lock Cover 7 X 5</t>
  </si>
  <si>
    <t>Washer T-Nut 3/8 inch thread 3 hole</t>
  </si>
  <si>
    <t>Inspree Maroon Panel Fabric</t>
  </si>
  <si>
    <t>MRP BACK PLAIN-DIRECTION-E-WARRANTY LABEL FUSING TYPE</t>
  </si>
  <si>
    <t>FBR-SOF-BED-ASH-FAB</t>
  </si>
  <si>
    <t>Sofa Cum Bed Ash Colour Fabric</t>
  </si>
  <si>
    <t>FBR-SOF-BED-LI-YEL-FAB</t>
  </si>
  <si>
    <t>Sofa Cum Bed Light Yellow Colour Fabric</t>
  </si>
  <si>
    <t>RML-CIR-MRP-LBL</t>
  </si>
  <si>
    <t>CIRRUS MATTRESS MRP LABEL</t>
  </si>
  <si>
    <t>RML-INSP-ED-TAPE-ORN</t>
  </si>
  <si>
    <t>INSPREE EDGE TAPE ORANGE</t>
  </si>
  <si>
    <t>RML-INSP-ED-TAPE-GREN</t>
  </si>
  <si>
    <t>INSPREE EDGE TAPE GREEN</t>
  </si>
  <si>
    <t>RML-INSP-ED-TAPE-MRN</t>
  </si>
  <si>
    <t>INSPREE EDGE TAPE MEROON</t>
  </si>
  <si>
    <t>RML-INSP-ED-TAPE-BLUE</t>
  </si>
  <si>
    <t>INSPREE EDGE TAPE BLUE</t>
  </si>
  <si>
    <t>RML-NOV-FR-ED-TAPE</t>
  </si>
  <si>
    <t>NOVOTEL FR EDGE TAPE</t>
  </si>
  <si>
    <t>RML-CB-CIR</t>
  </si>
  <si>
    <t>PEPS CIRRUS CENTRE BAND (Pink Colour)</t>
  </si>
  <si>
    <t>RML-BAK-NO-TURN-FUS</t>
  </si>
  <si>
    <t>MRP BACK PLAIN+NO TURN+E-WARRANTY LABEL FUSING TYPE</t>
  </si>
  <si>
    <t>RML-CIR-FOM-SDE-LBL</t>
  </si>
  <si>
    <t>CIRRUS Foamera SIDE LABEL</t>
  </si>
  <si>
    <t>RML-CS-CIR-4.25</t>
  </si>
  <si>
    <t>CIRRUS CORNER SHOES 4.25"</t>
  </si>
  <si>
    <t>RML-PEPS-SOF-BED-LBL</t>
  </si>
  <si>
    <t>Peps Sofa Cum Bed Label</t>
  </si>
  <si>
    <t>RML-BUB-SHT</t>
  </si>
  <si>
    <t>Bubble Sheet Width 60 Inch</t>
  </si>
  <si>
    <t>RML-MRP-BACK-LBL-260-100-FUS</t>
  </si>
  <si>
    <t>MRP BACK LABEL 260MMX100MM FUSING TYPE</t>
  </si>
  <si>
    <t>RML-MRP-BACK-LBL-260-92-FUS</t>
  </si>
  <si>
    <t>MRP BACK LABEL 260MMX92MM FUSING TYPE</t>
  </si>
  <si>
    <t>RML-CIR-INS-MEM-SDE-LBL-FUS</t>
  </si>
  <si>
    <t>CIRRUS INSPREE MEMORY SIDE LABEL (FUSING TYPE)</t>
  </si>
  <si>
    <t>RML-CIR-INS-SDE-LBL-FUS</t>
  </si>
  <si>
    <t>CIRRUS INSPREE SIDE LABEL (FUSING TYPE)</t>
  </si>
  <si>
    <t>RML-CIR-MEM-SDE-LBL-FUS</t>
  </si>
  <si>
    <t>CIRRUS MEMORIO SIDE LABEL (FUSING TYPE)</t>
  </si>
  <si>
    <t>RML-CIR-MEM-ULT-SDE-LBL-FUS</t>
  </si>
  <si>
    <t>CIRRUS MEMORIO ULTRA SIDE LABEL (FUSING TYPE)</t>
  </si>
  <si>
    <t>RML-CIR-FOM-SDE-LBL-FUS</t>
  </si>
  <si>
    <t>CIRRUS FOAMERA SIDE LABEL (FUSING TYPE)</t>
  </si>
  <si>
    <t>RML-CIR-INS-LAT-SDE-LBL-FUS</t>
  </si>
  <si>
    <t>CIRRUS INSPREE LATEX SIDE LABEL (FUSING TYPE)</t>
  </si>
  <si>
    <t>RML-CIR-INS-SDE-LBL-4INC-FUS</t>
  </si>
  <si>
    <t>CIRRUS INSPREE SIDE LABEL 4 INCH MATTRESS (FUSING TYPE)</t>
  </si>
  <si>
    <t>RML-CIR-KOZBRE-SDE-LBL-FUS</t>
  </si>
  <si>
    <t>CIRRUS KOZYBREEZ SIDE LABEL (FUSING TYPE)</t>
  </si>
  <si>
    <t>RML-CIR-SPS-SDE-LBL-FUS</t>
  </si>
  <si>
    <t>CIRRUS SPINE SAFE SIDE LABEL (FUSING TYPE)</t>
  </si>
  <si>
    <t>RML-CIR-VIS-BON-SDE-LBL-FUS</t>
  </si>
  <si>
    <t>CIRRUS VISTA BOND SIDE LABEL (FUSING TYPE)</t>
  </si>
  <si>
    <t>RML-CIR-INS-LAT-SDE-LBL-4INC-FUS</t>
  </si>
  <si>
    <t>CIRRUS INSPREE LATEX SIDE LABELÂ  4 INCH MATTRESS (FUSING TYPE)</t>
  </si>
  <si>
    <t>RML-CIR-INS-MEM-SDE-LBL-4INC-FUS</t>
  </si>
  <si>
    <t>CIRRUS INSPREE MEMORY SIDE LABEL 4 INCH MATTRESS (FUSING TYPE)</t>
  </si>
  <si>
    <t>STY-PAPER-WHT</t>
  </si>
  <si>
    <t>PAPER WEIGHT</t>
  </si>
  <si>
    <t>RMD-PLYWOOD6X4X18</t>
  </si>
  <si>
    <t>PLY WOOD 6X4X18MM</t>
  </si>
  <si>
    <t>RML-CIR-MINI-SAMPLE-MRP-LBL</t>
  </si>
  <si>
    <t>CIRRUS MATTRESS MINI SAMPLE MRP LABEL</t>
  </si>
  <si>
    <t>RML-CIR-WARR-CRD-DEL</t>
  </si>
  <si>
    <t>CIRRUS MATT RETAIL WARRANTY CARD (DELHI ADDRESS)</t>
  </si>
  <si>
    <t>RML-CIR-WARR-CRD-KOL</t>
  </si>
  <si>
    <t>CIRRUS MATT RETAIL WARRANTY CARD (KOLKATA ADDRESS)</t>
  </si>
  <si>
    <t>RML-CIR-WARR-CRD-PUNE</t>
  </si>
  <si>
    <t>CIRRUS MATT RETAIL WARRANTY CARD (PUNE ADDRESS)</t>
  </si>
  <si>
    <t>RML-PEP-WARR-CRD-DEL</t>
  </si>
  <si>
    <t>PEPS MATT RETAIL WARRANTY CARD (DELHI ADDRESS)</t>
  </si>
  <si>
    <t>RML-PEP-WARR-CRD-KOL</t>
  </si>
  <si>
    <t>PEPS MATT RETAIL WARRANTY CARD (KOLKATA ADDRESS)</t>
  </si>
  <si>
    <t>RML-PEP-WARR-CRD-PUNE</t>
  </si>
  <si>
    <t>PEPS MATT RETAIL WARRANTY CARD (PUNE ADDRESS)</t>
  </si>
  <si>
    <t>RML-PILLOW-TNDR</t>
  </si>
  <si>
    <t>TNDR - POLYESTER FIBER PILLOW 17"x27"</t>
  </si>
  <si>
    <t>RM-LTX-78X60X15CM</t>
  </si>
  <si>
    <t>PERFO LATEX SHEETS 78 X 60 X 15CM</t>
  </si>
  <si>
    <t>HW-CTON-TRD-ASH</t>
  </si>
  <si>
    <t>COTTON THREAD ASH 3PLY</t>
  </si>
  <si>
    <t>HW-CTON-TRD-YEL</t>
  </si>
  <si>
    <t>COTTON THREAD YELLOW 3PLY</t>
  </si>
  <si>
    <t>RMI-HCTNF-71.50X35.50.</t>
  </si>
  <si>
    <t>COTTON FELT 181.61CM X 90.17CM X 6MM - 700gsm ( 71.50" x 35.50" )</t>
  </si>
  <si>
    <t>RMI-HCTNF-71.50X47.50.</t>
  </si>
  <si>
    <t>COTTON FELT 181.61CM X 120.65CM X 6MM - 700gsm ( 71.50" x 47.50" )</t>
  </si>
  <si>
    <t>RMI-HCTNF-71.50X59.50.</t>
  </si>
  <si>
    <t>COTTON FELT 181.61CM X 151.13CM X 6MM - 700gsm ( 71.50" x 59.50" )</t>
  </si>
  <si>
    <t>RMI-HCTNF-74.50X29.50.</t>
  </si>
  <si>
    <t>COTTON FELT 189.23CM X 74.93CM X 6MM - 700gsm ( 74.50" x 29.50" )</t>
  </si>
  <si>
    <t>RMI-HCTNF-74.50X35.50.</t>
  </si>
  <si>
    <t>COTTON FELT 189.23CM X 90.17CM X 6MM - 700gsm ( 74.50" x 35.50" )</t>
  </si>
  <si>
    <t>RMI-HCTNF-77.50X35.50.</t>
  </si>
  <si>
    <t>COTTON FELT 196.85CM X 90.17CM X 6MM - 700gsm ( 77.50" x 35.50" )</t>
  </si>
  <si>
    <t>RMI-HCTNF-77.50X47.50.</t>
  </si>
  <si>
    <t>COTTON FELT 196.85CM X 120.65CM X 6MM - 700gsm ( 77.50" x 47.50" )</t>
  </si>
  <si>
    <t>RMI-HCTNF-77.50X65.50.</t>
  </si>
  <si>
    <t>COTTON FELT 196.85CM X 166.37CM X 6MM - 700gsm ( 77.50" x 65.50" )</t>
  </si>
  <si>
    <t>RML-CIR-LOG-SDE-LBL-FUS</t>
  </si>
  <si>
    <t>CIRRUS LOGO SIDE LABEL (FUSING TYPE)</t>
  </si>
  <si>
    <t>RML-CIR-SOF-BED-LBL-FUS</t>
  </si>
  <si>
    <t>Cirrus Sofa Cum Bed Label (FUSING TYPE)</t>
  </si>
  <si>
    <t>RML-CIR-TRI-FOL-BD-WSCR-LBL</t>
  </si>
  <si>
    <t>CIRRUS TRI FOLD BED WASH CARE LABEL</t>
  </si>
  <si>
    <t>RML-CON-MEM-FOM-PIL-WSCR-LBL</t>
  </si>
  <si>
    <t>HYPNOS CONTOUR MEMORY FOAM PILLOW WASH CARE LABEL</t>
  </si>
  <si>
    <t>RML-FLXI-TRVL-MATT-WACR-LBL</t>
  </si>
  <si>
    <t>HYPNOS FLEXI TRAVEL MATRESS WASH CARE LABEL</t>
  </si>
  <si>
    <t>RML-HARD-PILLOW-27X17</t>
  </si>
  <si>
    <t>HARD PILLOW 27"X17"</t>
  </si>
  <si>
    <t>RML-HYP-100-MEM-FOM-PIL-WSCR-LBL</t>
  </si>
  <si>
    <t>HYPNOS 100% MEMORY FOAM PILLOW WASH CARE LABLE</t>
  </si>
  <si>
    <t>RML-HYP-CON-PLW-STK</t>
  </si>
  <si>
    <t>HYPNOS CONTOUR MEMORY FOAM PILLOW ROUND STICKER</t>
  </si>
  <si>
    <t>RML-HYP-FIB-PLW-STK</t>
  </si>
  <si>
    <t>HYPNOS FIBER PILLOW ROUND STICKER</t>
  </si>
  <si>
    <t>RML-HYP-FLXI-NEK-PIL-WSCR-LBL</t>
  </si>
  <si>
    <t>HYPNOS FLEXI NECK PILLOW WASH CARE LABEL</t>
  </si>
  <si>
    <t>RML-HYP-FLX-PLW-STK</t>
  </si>
  <si>
    <t>HYPNOS FLEXI SPINE NECK PILLOW ROUND STICKER</t>
  </si>
  <si>
    <t>RML-HYP-LAT-PLW-STK</t>
  </si>
  <si>
    <t>HYPNOS LATEX PILLOW ROUND STICKER</t>
  </si>
  <si>
    <t>RML-HYP-MEM-PLW-STK</t>
  </si>
  <si>
    <t>HYPNOS 100% MEMORY PILLOW ROUND STICKER</t>
  </si>
  <si>
    <t>RML-HYP-MRP-LBL-ONL</t>
  </si>
  <si>
    <t>HYPNOS MATTRESS MRP LABEL (ONLINE)</t>
  </si>
  <si>
    <t>RML-HYP-PLW-INS</t>
  </si>
  <si>
    <t>HYPNOS INSERTER</t>
  </si>
  <si>
    <t>RML-HYP-PU-PLW-STK</t>
  </si>
  <si>
    <t>HYPNOS PU MOULED PILLOW ROUND STICKER</t>
  </si>
  <si>
    <t>RML-HYP-SOF-BED-LBL-FUS</t>
  </si>
  <si>
    <t>Hypnos Sofa Cum Bed Label (FUSING TYPE)</t>
  </si>
  <si>
    <t>RML-HYP-TRI-FOL-BD-WSCR-LBL</t>
  </si>
  <si>
    <t>HYPNOS TRI FOLD BED WASH CARE LABEL</t>
  </si>
  <si>
    <t>RML-HYP-TRV-NEK-PIL-WSCR-LBL</t>
  </si>
  <si>
    <t>HYPNOS TRAVEL NECK PILLOW WASH CARE LABEL</t>
  </si>
  <si>
    <t>RML-HYP-WED-PIL-WSCR-LBL</t>
  </si>
  <si>
    <t>HYPNOS WEDGE PILLOW WASH CARE LABEL</t>
  </si>
  <si>
    <t>RML-KOM-100-MEM-FOM-PIL-WSCR-LBL</t>
  </si>
  <si>
    <t>PEPS KOMFFY 100% MEMORY FOAM PILLOW WASH CARE LABLE</t>
  </si>
  <si>
    <t>RML-KOM-MEM-FOM-PIL-WSCR-LBL</t>
  </si>
  <si>
    <t>PEPS KOMFFY CONTOUR MEMORY FOAM PILLOW WASH CARE LABEL</t>
  </si>
  <si>
    <t>RML-KOM-PLW-INS</t>
  </si>
  <si>
    <t>PEPS KOMFFY INSERTER</t>
  </si>
  <si>
    <t>RML-KOM-POL-FIB-PIL-WSCR-LBL</t>
  </si>
  <si>
    <t>PEPS KOMFFY POLYESTER FIBER PILLOW WASH CARE LABLE</t>
  </si>
  <si>
    <t>RML-KOM-WED-PIL-WSCR-LBL</t>
  </si>
  <si>
    <t>PEPS KOMFFY WEDGE PILLOW WASH CARE LABEL</t>
  </si>
  <si>
    <t>RML-LD-CVR53X80</t>
  </si>
  <si>
    <t>LDPE PLAIN COVER 53X80</t>
  </si>
  <si>
    <t>RML-LD-CVR575X150</t>
  </si>
  <si>
    <t>ROLL PACKING MATTRESS LDPE COVER 575MM X 150 MIC</t>
  </si>
  <si>
    <t>RML-LD-CVR65X80</t>
  </si>
  <si>
    <t>LDPE PLAIN COVER 65X80</t>
  </si>
  <si>
    <t>RML-MOL-PU-FOM-PIL-WSCR-LBL</t>
  </si>
  <si>
    <t>HYPNOS MOULDED PU FOAM PILLOW WASH CARE LABLE (BLUE)</t>
  </si>
  <si>
    <t>RML-PEP-CON-PLW-STK</t>
  </si>
  <si>
    <t>PEPS CONTOUR MEMORY FOAM PILLOW ROUND STICKER</t>
  </si>
  <si>
    <t>RML-PEP-FIB-PLW-STK</t>
  </si>
  <si>
    <t>PEPS FIBER PILLOW ROUND STICKER</t>
  </si>
  <si>
    <t>RML-PEP-FLXI-NEK-PIL-WSCR-LBL</t>
  </si>
  <si>
    <t>PEPS FLEXI NECK PILLOW WASH CARE LABEL</t>
  </si>
  <si>
    <t>RML-PEP-FLX-PLW-STK</t>
  </si>
  <si>
    <t>PEPS FLEXI SPINE NECK PILLOW ROUND STICKER</t>
  </si>
  <si>
    <t>RML-PEP-LAT-PLW-STK</t>
  </si>
  <si>
    <t>PEPS LATEX PILLOW ROUND STICKER</t>
  </si>
  <si>
    <t>RML-PEP-LOG-SDE-LBL-FUS</t>
  </si>
  <si>
    <t>PEPS LOGO SIDE LABEL (FUSING TYPE)</t>
  </si>
  <si>
    <t>RML-PEP-MEM-PLW-STK</t>
  </si>
  <si>
    <t>PEPS 100% MEMORY PILLOW ROUND STICKER</t>
  </si>
  <si>
    <t>RML-PEP-MOL-PU-FOM-PIL-WSCR-LBL</t>
  </si>
  <si>
    <t>PEPS MOULDED PU FOAM PILLOW WASH CARE LABLE (BLUE)</t>
  </si>
  <si>
    <t>RML-PEP-PU-PLW-STK</t>
  </si>
  <si>
    <t>PEPS PU MOULED PILLOW ROUND STICKER</t>
  </si>
  <si>
    <t>RML-PEPS-SOF-BED-LBL-FUS</t>
  </si>
  <si>
    <t>Peps Sofa Cum Bed Label (FUSING TYPE)</t>
  </si>
  <si>
    <t>RML-PEP-TRV-NEK-PIL-WSCR-LBL</t>
  </si>
  <si>
    <t>PEPS TRAVEL NECK PILLOW WASH CARE LABEL</t>
  </si>
  <si>
    <t>RML-POL-FIB-PIL-WSCR-LBL</t>
  </si>
  <si>
    <t>HYPNOS POLYESTER FIBER PILLOW WASH CARE LABLE</t>
  </si>
  <si>
    <t>RML-SOFT-PILLOW-27X17</t>
  </si>
  <si>
    <t>SOFT PILLOW 27"X17"</t>
  </si>
  <si>
    <t>RML-SPK-SDE-LBL-FUS</t>
  </si>
  <si>
    <t>SPRINGKOIL SIDE LABEL (FUSING TYPE)</t>
  </si>
  <si>
    <t>RML-VIR-HDPE-53X21.5</t>
  </si>
  <si>
    <t>HDPE VIRGIN BAGS. 53 X 21.5 INCH</t>
  </si>
  <si>
    <t>RML-VIR-HDPE-53X22.5</t>
  </si>
  <si>
    <t>HDPE VIRGIN BAGS. 53 X 22.5 INCH</t>
  </si>
  <si>
    <t>RML-VIR-HDPE-65X21.5</t>
  </si>
  <si>
    <t>HDPE VIRGIN BAGS. 65 X 21.5 INCH</t>
  </si>
  <si>
    <t>RML-VIR-HDPE-65X22.5</t>
  </si>
  <si>
    <t>HDPE VIRGIN BAGS. 65 X 22.5 INCH</t>
  </si>
  <si>
    <t>RML-VIR-HDPE-77X21.5</t>
  </si>
  <si>
    <t>HDPE VIRGIN BAGS. 77 X 21.5 INCH</t>
  </si>
  <si>
    <t>RML-VIR-HDPE-77X22.5</t>
  </si>
  <si>
    <t>HDPE VIRGIN BAGS. 77 X 22.5 INCH</t>
  </si>
  <si>
    <t>RML-VIR-HDPE-89X21.5</t>
  </si>
  <si>
    <t>HDPE VIRGIN BAGS. 89 X 21.5 INCH</t>
  </si>
  <si>
    <t>RML-VIR-HDPE-89X22.5</t>
  </si>
  <si>
    <t>HDPE VIRGIN BAGS. 89 X 22.5 INCH</t>
  </si>
  <si>
    <t>RM-NWN-QL-60X20GSM</t>
  </si>
  <si>
    <t>VIRGIN NON WOVEN FABRIC 60" 20GSM</t>
  </si>
  <si>
    <t>STY-LET-PAD-TRIN</t>
  </si>
  <si>
    <t>TRINITY SUPERMARKETA LETTER PAD (100 NOS)</t>
  </si>
  <si>
    <t>RMI-HCTNF-71.50X71.50.</t>
  </si>
  <si>
    <t>COTTON FELT 181.61CM X 181.61CM X 6MM - 700gsm ( 71.50" x 71.50" )</t>
  </si>
  <si>
    <t>RMI-HCTNF-77.50X41.50.</t>
  </si>
  <si>
    <t>COTTON FELT 196.85CM X 105.41CM X 6MM - 700gsm ( 77.50" x 41.50" )</t>
  </si>
  <si>
    <t>RMI-HCTNF-83.50X71.50.</t>
  </si>
  <si>
    <t>COTTON FELT 212.10CM X 181.61CM X 6MM - 700gsm ( 83.50" x 71.50" )</t>
  </si>
  <si>
    <t>FBR-TRIF-MATT</t>
  </si>
  <si>
    <t>TRIFOLD MATTRESS FABRIC</t>
  </si>
  <si>
    <t>RML-EPE-1092X105X25</t>
  </si>
  <si>
    <t>EXPANDED POLYTHYLENE SHEETS 1092MMX105MMX25MM</t>
  </si>
  <si>
    <t>RML-EPE-1397X105X25</t>
  </si>
  <si>
    <t>EXPANDED POLYTHYLENE SHEETS 1397MMX105MMX25MM</t>
  </si>
  <si>
    <t>RML-EPE-1702X105X25</t>
  </si>
  <si>
    <t>EXPANDED POLYTHYLENE SHEETS 1702MMX105MMX25MM</t>
  </si>
  <si>
    <t>RML-EPE-1092X125X25</t>
  </si>
  <si>
    <t>EXPANDED POLYTHYLENE SHEETS 1092MMX125MMX25MM</t>
  </si>
  <si>
    <t>RML-EPE-1092X145X25</t>
  </si>
  <si>
    <t>EXPANDED POLYTHYLENE SHEETS 1092MMX145MMX25MM</t>
  </si>
  <si>
    <t>RML-EPE-1397X145X25</t>
  </si>
  <si>
    <t>EXPANDED POLYTHYLENE SHEETS 1397MMX145MMX25MM</t>
  </si>
  <si>
    <t>RML-EPE-1702X145X25</t>
  </si>
  <si>
    <t>EXPANDED POLYTHYLENE SHEETS 1702MMX145MMX25MM</t>
  </si>
  <si>
    <t>RML-EPE-1092X165X25</t>
  </si>
  <si>
    <t>EXPANDED POLYTHYLENE SHEETS 1092MMX165MMX25MM</t>
  </si>
  <si>
    <t>RML-EPE-1397X165X25</t>
  </si>
  <si>
    <t>EXPANDED POLYTHYLENE SHEETS 1397MMX165MMX25MM</t>
  </si>
  <si>
    <t>RML-EPE-1702X165X25</t>
  </si>
  <si>
    <t>EXPANDED POLYTHYLENE SHEETS 1702MMX165MMX25MM</t>
  </si>
  <si>
    <t>RML-EPE-1436X135X40</t>
  </si>
  <si>
    <t>EXPANDED POLYTHYLENE SHEETS 1436MMX135MMX40MM</t>
  </si>
  <si>
    <t>RML-EPE-1740X135X40</t>
  </si>
  <si>
    <t>EXPANDED POLYTHYLENE SHEETS 1740MMX135MMX40MM</t>
  </si>
  <si>
    <t>RML-EPE-1893X135X40</t>
  </si>
  <si>
    <t>EXPANDED POLYTHYLENE SHEETS 1893MMX135MMX40MM</t>
  </si>
  <si>
    <t>RML-EPE-1969X135X40</t>
  </si>
  <si>
    <t>EXPANDED POLYTHYLENE SHEETS 1969MMX135MMX40MM</t>
  </si>
  <si>
    <t>RML-CS-CIR-4.5</t>
  </si>
  <si>
    <t>CIRRUS CORNER SHOES 4.5"</t>
  </si>
  <si>
    <t>RM-CIR-MAT-MRP-LBL-PUNE</t>
  </si>
  <si>
    <t>CIRRUS MATTRESSES PLAIN MRP LABEL - (PUNE ADDRESS)</t>
  </si>
  <si>
    <t>RML-FBR-44"SWSCTN</t>
  </si>
  <si>
    <t>44" SWISS COTTON  FABRIC</t>
  </si>
  <si>
    <t>RM-BROUCHER</t>
  </si>
  <si>
    <t>BROUCHERS</t>
  </si>
  <si>
    <t>RML-CS-CIR-5.5</t>
  </si>
  <si>
    <t>CIRRUS CORNER SHOES 5.5"</t>
  </si>
  <si>
    <t>RML-FBR-WHT-PATTI-400TC</t>
  </si>
  <si>
    <t>COTTON FABRIC -114"WIDTH 1CM STRIPE 400TC</t>
  </si>
  <si>
    <t>RML-EPE-1397X125X25</t>
  </si>
  <si>
    <t>EXPANDED POLYTHYLENE SHEETS 1397MMX125MMX25MM</t>
  </si>
  <si>
    <t>RML-EPE-1436X115X40</t>
  </si>
  <si>
    <t>EXPANDED POLYTHYLENE SHEETS 1436MMX115MMX40MM</t>
  </si>
  <si>
    <t>RML-EPE-1436X155X40</t>
  </si>
  <si>
    <t>RML-EPE-1702X125X25</t>
  </si>
  <si>
    <t>EXPANDED POLYTHYLENE SHEETS 1702MMX125MMX25MM</t>
  </si>
  <si>
    <t>RML-EPE-1740X115X40</t>
  </si>
  <si>
    <t>EXPANDED POLYTHYLENE SHEETS 1740MMX115MMX40MM</t>
  </si>
  <si>
    <t>RML-EPE-1740X155X40</t>
  </si>
  <si>
    <t>RML-EPE-1893X115X40</t>
  </si>
  <si>
    <t>EXPANDED POLYTHYLENE SHEETS 1893MMX115MMX40MM</t>
  </si>
  <si>
    <t>RML-EPE-1893X155X40</t>
  </si>
  <si>
    <t>RML-EPE-1969X115X40</t>
  </si>
  <si>
    <t>EXPANDED POLYTHYLENE SHEETS 1969MMX115MMX40MM</t>
  </si>
  <si>
    <t>RML-EPE-1969X155X40</t>
  </si>
  <si>
    <t>RML-MEM-FOM-PLW-INS</t>
  </si>
  <si>
    <t>NECK GUARD 100% MEMORY FOAM PILLOW INSERTER</t>
  </si>
  <si>
    <t>RML-MEM-FOM-PLW-BG</t>
  </si>
  <si>
    <t>NECK GUARD 100% MEMORY FOAM PILLOW PVC BAG</t>
  </si>
  <si>
    <t>RML-CS-CIR-6.5</t>
  </si>
  <si>
    <t>CIRRUS CORNER SHOES 6.5"</t>
  </si>
  <si>
    <t>13D-PRE-PEELED-FOAM-82X08MM</t>
  </si>
  <si>
    <t>13D-Premium Peeled Foam-82X08mm</t>
  </si>
  <si>
    <t>18D-PEELED-FOAM-82X10MM</t>
  </si>
  <si>
    <t>18D-Peeled Foam-82X10mm</t>
  </si>
  <si>
    <t>40D-MDI-MEM-PEELED-FOAM-82X20MM</t>
  </si>
  <si>
    <t>40D-MDI Memory Peeled Foam-82X20mm</t>
  </si>
  <si>
    <t>Ash Colour Thread</t>
  </si>
  <si>
    <t>SFG-CASMR-BOR-QUILT</t>
  </si>
  <si>
    <t>Capia maroon border quilt 1x08mm 16D premium peeled foam (job work border quilt)</t>
  </si>
  <si>
    <t>SFG-CASMR-BP</t>
  </si>
  <si>
    <t>Caspia Maroon Back Panel Quilt 1X10mm 10D Pure peeled Foam</t>
  </si>
  <si>
    <t>SFG-CASMR-QUILT</t>
  </si>
  <si>
    <t>Caspia Maroon Quilt 3X10MM 18D PU Foam</t>
  </si>
  <si>
    <t>SFG-CASNB-BP</t>
  </si>
  <si>
    <t>Caspia Navy Blue Back Panel Quilt 1X10mm 10D Pure peeled Foam</t>
  </si>
  <si>
    <t>RML-CIR-LOG-SDE-LBL</t>
  </si>
  <si>
    <t>CIRRUS LOGO SODE LABEL</t>
  </si>
  <si>
    <t>RML-PRICE-CIR</t>
  </si>
  <si>
    <t>CIRRUS PRICE LIST BOOK</t>
  </si>
  <si>
    <t>CIRRUS Side Label (FUSING LABEL)</t>
  </si>
  <si>
    <t>SFG-COMBG-BOR-QULT</t>
  </si>
  <si>
    <t>Comfort Beige Boder Quilt 1X08MM 16D premim peeled foam (Job Work Border Quilt)</t>
  </si>
  <si>
    <t>SFG-COMPNK-QUILT</t>
  </si>
  <si>
    <t>Comfort Pink Quilt 3X10MM 18D PU Foam</t>
  </si>
  <si>
    <t>Light Yellow Colour Thread</t>
  </si>
  <si>
    <t>Mattress Use &amp; Care Instruction LabelÂ  (Marigold)</t>
  </si>
  <si>
    <t>MRP BACK PLAIN-NO TURN-E-WARRANTY LABEL FUSING TYPE</t>
  </si>
  <si>
    <t>RML-PEP-LOG-SDE-LBL</t>
  </si>
  <si>
    <t>PEPS LOGO SODE LABEL</t>
  </si>
  <si>
    <t>RMI-LTX-78X60X1.5CM</t>
  </si>
  <si>
    <t>PERFO LATEX SHEETS  78X60X1.5CM (65D)</t>
  </si>
  <si>
    <t>RMI-LTX-78X72X1.5CM</t>
  </si>
  <si>
    <t>PERFO LATEX SHEETS 78X72X1.5CM (65D)</t>
  </si>
  <si>
    <t>SFG-RTHTMT-BOR-QUILT</t>
  </si>
  <si>
    <t>Restonic Hotel Motel Border Quilt 8MM/16D Pre Foam</t>
  </si>
  <si>
    <t>SFG-SPKDB-BP</t>
  </si>
  <si>
    <t>SPK DarkBlue Back panel Quilt 1X10MM 10D PU Foam</t>
  </si>
  <si>
    <t>SFG-SPKDB-QUILT</t>
  </si>
  <si>
    <t>SPK DarkBlue Quilt 3X10MM 18D PU Foam</t>
  </si>
  <si>
    <t>SFG-SPKMR-BP</t>
  </si>
  <si>
    <t>SPK Maroon Back panel Quilt 1X10MM 10D PU Foam</t>
  </si>
  <si>
    <t>SFG-SPKMR-QUILT</t>
  </si>
  <si>
    <t>SPK Maroon Quilt 3X10MM 18D PU Foam</t>
  </si>
  <si>
    <t>SFG-SUPBG-QUILT</t>
  </si>
  <si>
    <t>Supeme Beige Quilt 3X10MM 18D PU Foam</t>
  </si>
  <si>
    <t>TAG MRP POUCH W 3.5â€ X H 8.5â€</t>
  </si>
  <si>
    <t>SFG-VISBONBW-BOR-NL-QUILT</t>
  </si>
  <si>
    <t>Vista Bond Brown Border Quilt 1X8mm 16D premim peeled foam (Job Work Border Quilt)</t>
  </si>
  <si>
    <t>SFG-VISBONBW-QUILT</t>
  </si>
  <si>
    <t>Vista Bond Brown Quilt 1X16mm 13D Premium Foam</t>
  </si>
  <si>
    <t>10D-PEELED-FOAM-82X08MM</t>
  </si>
  <si>
    <t>10D-Peeled Foam-82X08mm</t>
  </si>
  <si>
    <t>FMPURE</t>
  </si>
  <si>
    <t>FOAM PURE -10181</t>
  </si>
  <si>
    <t>FMPREMIUM</t>
  </si>
  <si>
    <t>FOAM PREMIUM -10181</t>
  </si>
  <si>
    <t>16D-PRE-PEELED-FOAM-82X08MM</t>
  </si>
  <si>
    <t>16D-Premium Peeled Foam-82X08mm</t>
  </si>
  <si>
    <t>FMMEMORY</t>
  </si>
  <si>
    <t>FOAM MEMORY -10181</t>
  </si>
  <si>
    <t>RML-CAB-TIE-200MM</t>
  </si>
  <si>
    <t>CABLE TIE 200MM</t>
  </si>
  <si>
    <t>CIRRUS INSPREE LATEX SIDE LABEL  4 INCH MATTRESS (FUSING TYPE)</t>
  </si>
  <si>
    <t>RML-HDPE-CYL-82LX46DIA</t>
  </si>
  <si>
    <t>HDPE CYLINDER BAG 82LENGTH X 46DIA</t>
  </si>
  <si>
    <t>RML-THRD-SPUN</t>
  </si>
  <si>
    <t>SPUN THREAD. 3501-60-5</t>
  </si>
  <si>
    <t>SFG-ALUGRY-BOR-QUILT</t>
  </si>
  <si>
    <t>Allure steel grey border quilt 1x08mm 16D premium peeled foam (job work border quilt)</t>
  </si>
  <si>
    <t>SFG-CASNB-BOR-QUILT</t>
  </si>
  <si>
    <t>Capia navy blue border quilt 1x08mm 16D premium peeled foam (job work border quilt)</t>
  </si>
  <si>
    <t>SFG-INSRBGRN-LTX-QUILT-90D</t>
  </si>
  <si>
    <t>Inspree Rebonded Green Latex Quilt 25MM Latex &amp; 08MM 13D Premium Foam</t>
  </si>
  <si>
    <t>SFG-INSRBMR-ST-QUILT-90D</t>
  </si>
  <si>
    <t>Inspree Maroon Rebonded Soft Quilt 25mm 32 Soft &amp; 08MM 13D Premium Foam</t>
  </si>
  <si>
    <t>SFG-MIRMR-BP</t>
  </si>
  <si>
    <t>Mirage Maroon Back Panel Quilt 1X08MM 13D Premium Peeled Foam</t>
  </si>
  <si>
    <t>SFG-MIRMR-QUILT</t>
  </si>
  <si>
    <t>Mirage Maroon Quilt 3x8MM 13D Premium Foam</t>
  </si>
  <si>
    <t>SFG-RTC-ARPLMFBL-QUILT</t>
  </si>
  <si>
    <t>Ardene Plush Memory Foam Blue Quilt 25D Helixa Foam + 25mm 40D MDI Memory Foam NL,PT,ET</t>
  </si>
  <si>
    <t>SFG-RTC-BNPK-BP</t>
  </si>
  <si>
    <t>Bonnel &amp; Pocketed Common Back Panel 08mm 13D Premium Peeled Foam</t>
  </si>
  <si>
    <t>SFG-RTHTMTRG-BONPOC-QUILT</t>
  </si>
  <si>
    <t>Hotel Motel Bon Poc Quilt 3X08MM 16D Premium Peeled Foam Normal, PT &amp; ET</t>
  </si>
  <si>
    <t>SFG-SPG-SRCORBF-BP</t>
  </si>
  <si>
    <t>Spineguard Grey Spring,Coir RBF Backpanel 8MM 13D Premium Foam Quilt</t>
  </si>
  <si>
    <t>SFG-SPG-SR-QUILT</t>
  </si>
  <si>
    <t>SpineGuard Spring 5,6&amp;8" Quilt 35mm/65D Memory Foam+15mm/ 28D PU Foam Quilt</t>
  </si>
  <si>
    <t>SFG-SUPBG-BOR-QUILT</t>
  </si>
  <si>
    <t>Supeme Beige Boder Quilt 1X08MM 16D premim peeled foam  (Job Work Border Quilt)</t>
  </si>
  <si>
    <t>SFG-SUPGR-BOR-QUILT</t>
  </si>
  <si>
    <t>Supeme Grey Boder Quilt 1X08MM 16D premim peeled foam  (Job Work Border Quilt)</t>
  </si>
  <si>
    <t>RML-LD-CVR-23X3.25X11.25</t>
  </si>
  <si>
    <t>LDPE BAG 23"X11.25" With Handle(3.25'')</t>
  </si>
  <si>
    <t>SFG-CASNB-QUILT</t>
  </si>
  <si>
    <t>Caspia Navy Blue Quilt 3X10MM 18D PU Foam</t>
  </si>
  <si>
    <t>SFG-SPGGRY-BOR-QUILT</t>
  </si>
  <si>
    <t>Spine guard grey border quilt 1x08mm 16D premium peeled foam (job work border quilt)</t>
  </si>
  <si>
    <t>FBR-MOL-SOF-CUS-FAB</t>
  </si>
  <si>
    <t>MOULDED SOFA CUSHION FABRIC</t>
  </si>
  <si>
    <t>RML-INSTI-TEND-PL-PILLOW</t>
  </si>
  <si>
    <t>PEPS INSTITUTIONAL TENDER PLUSH PILLOW</t>
  </si>
  <si>
    <t>RML-HYP-CON-MEM-PLW-INS</t>
  </si>
  <si>
    <t>HYPNOS CONTOUR MEMORY FOAM PILLOW INSERTER</t>
  </si>
  <si>
    <t>RML-HYP-MEM-PLW-INS</t>
  </si>
  <si>
    <t>HYPNOS 100% MEMORY FOAM PILLOW INSERTER</t>
  </si>
  <si>
    <t>RML-HYP-WDG-PLW-INS</t>
  </si>
  <si>
    <t>HYPNOS WEDGE PILLOW INSERTER</t>
  </si>
  <si>
    <t>RML-ONL-PILLOW</t>
  </si>
  <si>
    <t>POLYESTER FIBER PILLOW 24"X16" ONLINE</t>
  </si>
  <si>
    <t>RML-PLW-6.25X4X18</t>
  </si>
  <si>
    <t>PLY WOOD 6.25X4X18MM</t>
  </si>
  <si>
    <t>RML-PLW-6.25X5X18</t>
  </si>
  <si>
    <t>PLY WOOD 6.25X5X18</t>
  </si>
  <si>
    <t>SCRAP-COIR-BLOCK</t>
  </si>
  <si>
    <t>Coir Block Waste Scrop</t>
  </si>
  <si>
    <t>SCRAP-HDPE</t>
  </si>
  <si>
    <t>HDPE BAG SCRAP</t>
  </si>
  <si>
    <t>SCRAP-TUBE</t>
  </si>
  <si>
    <t>PAPER TUBE SCRAP</t>
  </si>
  <si>
    <t>WTFM</t>
  </si>
  <si>
    <t>Waste Foam Scrap</t>
  </si>
  <si>
    <t>FOAM PRODUCTS-10198</t>
  </si>
  <si>
    <t>Arunan Sir</t>
  </si>
  <si>
    <t>RMI-LTX-78X48X1.5CM</t>
  </si>
  <si>
    <t>PERFO LATEX SHEETS 78X48X1.5CM (65D)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</si>
</sst>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#,##0;\(#,##0\)"/>
    <numFmt numFmtId="165" formatCode="#,##0.000;\(#,##0.000\)"/>
    <numFmt numFmtId="166" formatCode="#,##0.0000;\(#,##0.0000\)"/>
    <numFmt numFmtId="167" formatCode="#,##0.00;\(#,##0.00\)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Helvetica"/>
      <family val="2"/>
    </font>
    <font>
      <b/>
      <sz val="10"/>
      <color indexed="9"/>
      <name val="Helvetica-Bold"/>
    </font>
    <font>
      <b/>
      <sz val="10"/>
      <color indexed="9"/>
      <name val="Courier-Bold"/>
    </font>
    <font>
      <b/>
      <sz val="36"/>
      <color rgb="FF80008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" fillId="4" borderId="3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164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left" vertical="center" wrapText="1"/>
      <protection locked="0"/>
    </xf>
    <xf numFmtId="165" fontId="3" fillId="3" borderId="5" xfId="0" applyNumberFormat="1" applyFont="1" applyFill="1" applyBorder="1" applyAlignment="1" applyProtection="1">
      <alignment horizontal="right" vertical="center" wrapText="1"/>
      <protection locked="0"/>
    </xf>
    <xf numFmtId="166" fontId="3" fillId="3" borderId="5" xfId="0" applyNumberFormat="1" applyFont="1" applyFill="1" applyBorder="1" applyAlignment="1" applyProtection="1">
      <alignment horizontal="right" vertical="center" wrapText="1"/>
      <protection locked="0"/>
    </xf>
    <xf numFmtId="167" fontId="3" fillId="3" borderId="5" xfId="0" applyNumberFormat="1" applyFont="1" applyFill="1" applyBorder="1" applyAlignment="1" applyProtection="1">
      <alignment horizontal="right" vertical="center" wrapText="1"/>
      <protection locked="0"/>
    </xf>
    <xf numFmtId="0" fontId="3" fillId="3" borderId="5" xfId="0" applyFont="1" applyFill="1" applyBorder="1" applyAlignment="1" applyProtection="1">
      <alignment horizontal="right" vertical="center" wrapText="1"/>
      <protection locked="0"/>
    </xf>
    <xf numFmtId="2" fontId="0" fillId="0" borderId="1" xfId="0" applyNumberFormat="1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2" fontId="0" fillId="0" borderId="1" xfId="0" applyNumberFormat="1" applyFill="1" applyBorder="1" applyAlignment="1"/>
    <xf numFmtId="2" fontId="0" fillId="0" borderId="1" xfId="0" applyNumberFormat="1" applyBorder="1" applyAlignment="1">
      <alignment vertical="center"/>
    </xf>
    <xf numFmtId="2" fontId="0" fillId="0" borderId="1" xfId="0" applyNumberFormat="1" applyBorder="1" applyAlignment="1"/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7" borderId="0" xfId="0" applyFill="1"/>
    <xf numFmtId="43" fontId="0" fillId="0" borderId="1" xfId="1" applyFont="1" applyFill="1" applyBorder="1"/>
  </cellXfs>
  <cellStyles count="2">
    <cellStyle name="Comma" xfId="1" builtinId="3"/>
    <cellStyle name="Normal" xfId="0" builtinId="0"/>
  </cellStyles>
  <dxfs count="1">
    <dxf>
      <fill>
        <patternFill patternType="solid">
          <fgColor rgb="FFED7D31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2476500</xdr:colOff>
          <xdr:row>2</xdr:row>
          <xdr:rowOff>85725</xdr:rowOff>
        </xdr:from>
        <xdr:to>
          <xdr:col>3</xdr:col>
          <xdr:colOff>295275</xdr:colOff>
          <xdr:row>5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w%20Stock%20-%2020.09.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heet"/>
      <sheetName val="CBERM ERP Download"/>
      <sheetName val="QUARANTINED &amp;REJECTED ERP Downl"/>
      <sheetName val="Final Out Put"/>
      <sheetName val="Sheet1"/>
      <sheetName val="Sheet2"/>
      <sheetName val="Sheet3"/>
      <sheetName val="Sheet4"/>
    </sheetNames>
    <sheetDataSet>
      <sheetData sheetId="0">
        <row r="1">
          <cell r="B1" t="str">
            <v>Item Code</v>
          </cell>
          <cell r="C1" t="str">
            <v>Item Desc</v>
          </cell>
          <cell r="D1" t="str">
            <v>UOM</v>
          </cell>
          <cell r="E1" t="str">
            <v>Warehouse</v>
          </cell>
          <cell r="F1" t="str">
            <v>GRN Pending Qty</v>
          </cell>
          <cell r="G1" t="str">
            <v>MR Pending Qty</v>
          </cell>
          <cell r="H1" t="str">
            <v>Re Order Leavel</v>
          </cell>
          <cell r="I1" t="str">
            <v>Purchase Plan</v>
          </cell>
        </row>
        <row r="2">
          <cell r="B2" t="str">
            <v>FBR-ZEN-BA-REXIN</v>
          </cell>
          <cell r="C2" t="str">
            <v>ZENIMO BASE REXIN FABRIC</v>
          </cell>
          <cell r="D2" t="str">
            <v>MTR</v>
          </cell>
          <cell r="E2" t="str">
            <v>CBERM</v>
          </cell>
          <cell r="F2">
            <v>0</v>
          </cell>
          <cell r="G2">
            <v>0</v>
          </cell>
          <cell r="H2">
            <v>100</v>
          </cell>
          <cell r="I2">
            <v>0</v>
          </cell>
        </row>
        <row r="3">
          <cell r="B3" t="str">
            <v>FBR-ZEN-BR-DN-BLUE</v>
          </cell>
          <cell r="C3" t="str">
            <v>ZENIMO DENIM BLUE BORDER FABRIC</v>
          </cell>
          <cell r="D3" t="str">
            <v>MTR</v>
          </cell>
          <cell r="E3" t="str">
            <v>CBERM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</row>
        <row r="4">
          <cell r="B4" t="str">
            <v>FBR-ZEN-TP-PNL-BLUE</v>
          </cell>
          <cell r="C4" t="str">
            <v>ZENIMO BLUE TOP PANEL FABRIC</v>
          </cell>
          <cell r="D4" t="str">
            <v>MTR</v>
          </cell>
          <cell r="E4" t="str">
            <v>CBERM</v>
          </cell>
          <cell r="F4">
            <v>0</v>
          </cell>
          <cell r="G4">
            <v>0</v>
          </cell>
          <cell r="H4">
            <v>300</v>
          </cell>
          <cell r="I4">
            <v>0</v>
          </cell>
        </row>
        <row r="5">
          <cell r="B5" t="str">
            <v>RMI-PVC-50</v>
          </cell>
          <cell r="C5" t="str">
            <v>PVC ROLL 227.CMX50.MICRON</v>
          </cell>
          <cell r="D5" t="str">
            <v>KGS</v>
          </cell>
          <cell r="E5" t="str">
            <v>CBERM</v>
          </cell>
          <cell r="F5">
            <v>0</v>
          </cell>
          <cell r="G5">
            <v>0</v>
          </cell>
          <cell r="H5">
            <v>4000</v>
          </cell>
          <cell r="I5">
            <v>0</v>
          </cell>
        </row>
        <row r="6">
          <cell r="B6" t="str">
            <v>RMI-HCTNF-77X74.</v>
          </cell>
          <cell r="C6" t="str">
            <v>COTTON FELT 196CM X 188CM X 6MM ( 77" x 74" )</v>
          </cell>
          <cell r="D6" t="str">
            <v>KGS</v>
          </cell>
          <cell r="E6" t="str">
            <v>CBERM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</row>
        <row r="7">
          <cell r="B7" t="str">
            <v>RMI-HCTNF-80X38.</v>
          </cell>
          <cell r="C7" t="str">
            <v>COTTON FELT 203CM X 97CM X 6MM ( 80" x 38" )</v>
          </cell>
          <cell r="D7" t="str">
            <v>KGS</v>
          </cell>
          <cell r="E7" t="str">
            <v>CBERM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</row>
        <row r="8">
          <cell r="B8" t="str">
            <v>RMI-HCTNF-80X74.</v>
          </cell>
          <cell r="C8" t="str">
            <v>COTTON FELT 203CM X 188CM X 6MM ( 80"x74")</v>
          </cell>
          <cell r="D8" t="str">
            <v>KGS</v>
          </cell>
          <cell r="E8" t="str">
            <v>CBERM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</row>
        <row r="9">
          <cell r="B9" t="str">
            <v>RMI-HCZ-SDE-LBL</v>
          </cell>
          <cell r="C9" t="str">
            <v>HOTEL COMFORT ZERO DISTURBANCE CARE SIDE LABEL (IMPORT)</v>
          </cell>
          <cell r="D9" t="str">
            <v>NOS</v>
          </cell>
          <cell r="E9" t="str">
            <v>CBERM</v>
          </cell>
          <cell r="F9">
            <v>0</v>
          </cell>
          <cell r="G9">
            <v>0</v>
          </cell>
          <cell r="H9">
            <v>1000</v>
          </cell>
          <cell r="I9">
            <v>0</v>
          </cell>
        </row>
        <row r="10">
          <cell r="B10" t="str">
            <v>RMI-ROP-TUFFLO</v>
          </cell>
          <cell r="C10" t="str">
            <v>TUFTING FLOWER WITH ROPE</v>
          </cell>
          <cell r="D10" t="str">
            <v>NOS</v>
          </cell>
          <cell r="E10" t="str">
            <v>CBERM</v>
          </cell>
          <cell r="F10">
            <v>0</v>
          </cell>
          <cell r="G10">
            <v>0</v>
          </cell>
          <cell r="H10">
            <v>10000</v>
          </cell>
          <cell r="I10">
            <v>0</v>
          </cell>
        </row>
        <row r="11">
          <cell r="B11" t="str">
            <v>RMI-TUFTING-FLOWER</v>
          </cell>
          <cell r="C11" t="str">
            <v>TUFTING FLOWER 100% POLYESTER</v>
          </cell>
          <cell r="D11" t="str">
            <v>NOS</v>
          </cell>
          <cell r="E11" t="str">
            <v>CBERM</v>
          </cell>
          <cell r="F11">
            <v>0</v>
          </cell>
          <cell r="G11">
            <v>0</v>
          </cell>
          <cell r="H11">
            <v>8000</v>
          </cell>
          <cell r="I11">
            <v>0</v>
          </cell>
        </row>
        <row r="12">
          <cell r="B12" t="str">
            <v>RM-KOM-PIL-CVR-NCK-TUF</v>
          </cell>
          <cell r="C12" t="str">
            <v>KOMFFY TUFTED PILLOW COVER</v>
          </cell>
          <cell r="D12" t="str">
            <v>NOS</v>
          </cell>
          <cell r="E12" t="str">
            <v>CBERM</v>
          </cell>
          <cell r="F12">
            <v>0</v>
          </cell>
          <cell r="G12">
            <v>0</v>
          </cell>
          <cell r="H12">
            <v>7000</v>
          </cell>
          <cell r="I12">
            <v>0</v>
          </cell>
        </row>
        <row r="13">
          <cell r="B13" t="str">
            <v>RML-ALLURA-PLW-WSCR-LBL</v>
          </cell>
          <cell r="C13" t="str">
            <v>PEPS ALLURA PU MOULDED PILLOW WASH CARE LABEL</v>
          </cell>
          <cell r="D13" t="str">
            <v>NOS</v>
          </cell>
          <cell r="E13" t="str">
            <v>CBERM</v>
          </cell>
          <cell r="F13">
            <v>0</v>
          </cell>
          <cell r="G13">
            <v>0</v>
          </cell>
          <cell r="H13">
            <v>1100</v>
          </cell>
          <cell r="I13">
            <v>0</v>
          </cell>
        </row>
        <row r="14">
          <cell r="B14" t="str">
            <v>RMI-NOT-LBL</v>
          </cell>
          <cell r="C14" t="str">
            <v>NO TURN LABEL</v>
          </cell>
          <cell r="D14" t="str">
            <v>NOS</v>
          </cell>
          <cell r="E14" t="str">
            <v>CBERM</v>
          </cell>
          <cell r="F14">
            <v>0</v>
          </cell>
          <cell r="G14">
            <v>0</v>
          </cell>
          <cell r="H14">
            <v>1000</v>
          </cell>
          <cell r="I14">
            <v>0</v>
          </cell>
        </row>
        <row r="15">
          <cell r="B15" t="str">
            <v>RM-INS-MIN-SDE-LBL</v>
          </cell>
          <cell r="C15" t="str">
            <v>INSPREE MINI SAMPLE SIDE LABEL</v>
          </cell>
          <cell r="D15" t="str">
            <v>NOS</v>
          </cell>
          <cell r="E15" t="str">
            <v>CBERM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B16" t="str">
            <v>RMI-OPE-SDE-LBL</v>
          </cell>
          <cell r="C16" t="str">
            <v>OPULANCE SIDE LABEL</v>
          </cell>
          <cell r="D16" t="str">
            <v>NOS</v>
          </cell>
          <cell r="E16" t="str">
            <v>CBERM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B17" t="str">
            <v>RML-FLXI-NECK-PLW-CTN-ROPE</v>
          </cell>
          <cell r="C17" t="str">
            <v>FLEXI NECK PILLOW COTTON ROPE - 2.5MM</v>
          </cell>
          <cell r="D17" t="str">
            <v>KGS</v>
          </cell>
          <cell r="E17" t="str">
            <v>CBERM</v>
          </cell>
          <cell r="F17">
            <v>0</v>
          </cell>
          <cell r="G17">
            <v>0</v>
          </cell>
          <cell r="H17">
            <v>5</v>
          </cell>
          <cell r="I17">
            <v>0</v>
          </cell>
        </row>
        <row r="18">
          <cell r="B18" t="str">
            <v>RML-FLXI-NECK-PLW-PVC-BAG</v>
          </cell>
          <cell r="C18" t="str">
            <v>FLEXI NECK PILLOW PVC BAG 11.25" Wx11.5" Hx4" G</v>
          </cell>
          <cell r="D18" t="str">
            <v>NOS</v>
          </cell>
          <cell r="E18" t="str">
            <v>CBERM</v>
          </cell>
          <cell r="F18">
            <v>0</v>
          </cell>
          <cell r="G18">
            <v>0</v>
          </cell>
          <cell r="H18">
            <v>400</v>
          </cell>
          <cell r="I18">
            <v>0</v>
          </cell>
        </row>
        <row r="19">
          <cell r="B19" t="str">
            <v>RML-POLY-GUM</v>
          </cell>
          <cell r="C19" t="str">
            <v>SOLVENT BASED RUBBER ADHESIVE (SPRAY GLUE)</v>
          </cell>
          <cell r="D19" t="str">
            <v>LTR</v>
          </cell>
          <cell r="E19" t="str">
            <v>CBERM</v>
          </cell>
          <cell r="F19">
            <v>0</v>
          </cell>
          <cell r="G19">
            <v>0</v>
          </cell>
          <cell r="H19">
            <v>5000</v>
          </cell>
          <cell r="I19">
            <v>22000</v>
          </cell>
        </row>
        <row r="20">
          <cell r="B20" t="str">
            <v>RMI-REXINE-WHITE0.6MM</v>
          </cell>
          <cell r="C20" t="str">
            <v>REXINE-WIDTH:1.37 METERS;THICKNESS:0.6MM;COLOR:WHITE</v>
          </cell>
          <cell r="D20" t="str">
            <v>MTR</v>
          </cell>
          <cell r="E20" t="str">
            <v>CBERM</v>
          </cell>
          <cell r="F20">
            <v>22000</v>
          </cell>
          <cell r="G20">
            <v>22000</v>
          </cell>
          <cell r="H20">
            <v>60</v>
          </cell>
          <cell r="I20">
            <v>0</v>
          </cell>
        </row>
        <row r="21">
          <cell r="B21" t="str">
            <v>RML-POSTER-NO-SKID</v>
          </cell>
          <cell r="C21" t="str">
            <v>POSTER - NO SKID ( SPINE GUARD)</v>
          </cell>
          <cell r="D21" t="str">
            <v>NOS</v>
          </cell>
          <cell r="E21" t="str">
            <v>CBERM</v>
          </cell>
          <cell r="F21">
            <v>0</v>
          </cell>
          <cell r="G21">
            <v>0</v>
          </cell>
          <cell r="H21">
            <v>500</v>
          </cell>
          <cell r="I21">
            <v>0</v>
          </cell>
        </row>
        <row r="22">
          <cell r="B22" t="str">
            <v>RML-FLXI-SPN-PLW-BOX</v>
          </cell>
          <cell r="C22" t="str">
            <v>FLEXI SPINE PILLOW BOX 27"x5"x4" - 3 Ply</v>
          </cell>
          <cell r="D22" t="str">
            <v>NOS</v>
          </cell>
          <cell r="E22" t="str">
            <v>CBERM</v>
          </cell>
          <cell r="F22">
            <v>0</v>
          </cell>
          <cell r="G22">
            <v>0</v>
          </cell>
          <cell r="H22">
            <v>500</v>
          </cell>
          <cell r="I22">
            <v>0</v>
          </cell>
        </row>
        <row r="23">
          <cell r="B23" t="str">
            <v>RML-FLXI-SPN-PLW-WSCR-LBL</v>
          </cell>
          <cell r="C23" t="str">
            <v>FLEXI SPINE PILLOW WASH CARE LABEL</v>
          </cell>
          <cell r="D23" t="str">
            <v>NOS</v>
          </cell>
          <cell r="E23" t="str">
            <v>CBERM</v>
          </cell>
          <cell r="F23">
            <v>0</v>
          </cell>
          <cell r="G23">
            <v>0</v>
          </cell>
          <cell r="H23">
            <v>500</v>
          </cell>
          <cell r="I23">
            <v>0</v>
          </cell>
        </row>
        <row r="24">
          <cell r="B24" t="str">
            <v>RMI-SPK-NEW-SDE-LBL</v>
          </cell>
          <cell r="C24" t="str">
            <v>SPRINGKOIL SIDE LABEL (NEW &amp; IMPROVED)</v>
          </cell>
          <cell r="D24" t="str">
            <v>NOS</v>
          </cell>
          <cell r="E24" t="str">
            <v>CBERM</v>
          </cell>
          <cell r="F24">
            <v>0</v>
          </cell>
          <cell r="G24">
            <v>0</v>
          </cell>
          <cell r="H24">
            <v>2000</v>
          </cell>
          <cell r="I24">
            <v>10000</v>
          </cell>
        </row>
        <row r="25">
          <cell r="B25" t="str">
            <v>RML-HYP-WARR-TERM-LBL</v>
          </cell>
          <cell r="C25" t="str">
            <v>HYPNOS WARRANTY TERM LABEL</v>
          </cell>
          <cell r="D25" t="str">
            <v>NOS</v>
          </cell>
          <cell r="E25" t="str">
            <v>CBERM</v>
          </cell>
          <cell r="F25">
            <v>10000</v>
          </cell>
          <cell r="G25">
            <v>10000</v>
          </cell>
          <cell r="H25">
            <v>1500</v>
          </cell>
          <cell r="I25">
            <v>0</v>
          </cell>
        </row>
        <row r="26">
          <cell r="B26" t="str">
            <v>RMI-VH-SDE-LBL</v>
          </cell>
          <cell r="C26" t="str">
            <v>VIVAH MINI SAMPLE SIDE LABEL</v>
          </cell>
          <cell r="D26" t="str">
            <v>NOS</v>
          </cell>
          <cell r="E26" t="str">
            <v>CBERM</v>
          </cell>
          <cell r="F26">
            <v>0</v>
          </cell>
          <cell r="G26">
            <v>0</v>
          </cell>
          <cell r="H26">
            <v>50</v>
          </cell>
          <cell r="I26">
            <v>0</v>
          </cell>
        </row>
        <row r="27">
          <cell r="B27" t="str">
            <v>RM-JUMBO-GUST-PILLOW</v>
          </cell>
          <cell r="C27" t="str">
            <v>JUMBO PLUSH PILLOW- GUSSETTED</v>
          </cell>
          <cell r="D27" t="str">
            <v>NOS</v>
          </cell>
          <cell r="E27" t="str">
            <v>CBERM</v>
          </cell>
          <cell r="F27">
            <v>0</v>
          </cell>
          <cell r="G27">
            <v>0</v>
          </cell>
          <cell r="H27">
            <v>110</v>
          </cell>
          <cell r="I27">
            <v>0</v>
          </cell>
        </row>
        <row r="28">
          <cell r="B28" t="str">
            <v>RM-JUMBO-PLW-CVR-BOX</v>
          </cell>
          <cell r="C28" t="str">
            <v>PEPS PILLOW COVER BOX JUMBO</v>
          </cell>
          <cell r="D28" t="str">
            <v>NOS</v>
          </cell>
          <cell r="E28" t="str">
            <v>CBERM</v>
          </cell>
          <cell r="F28">
            <v>0</v>
          </cell>
          <cell r="G28">
            <v>0</v>
          </cell>
          <cell r="H28">
            <v>150</v>
          </cell>
          <cell r="I28">
            <v>0</v>
          </cell>
        </row>
        <row r="29">
          <cell r="B29" t="str">
            <v>RML-SCRW-2INCH</v>
          </cell>
          <cell r="C29" t="str">
            <v>STAR SCREW BLACK - 2"</v>
          </cell>
          <cell r="D29" t="str">
            <v>NOS</v>
          </cell>
          <cell r="E29" t="str">
            <v>CBERM</v>
          </cell>
          <cell r="F29">
            <v>0</v>
          </cell>
          <cell r="G29">
            <v>0</v>
          </cell>
          <cell r="H29">
            <v>1000</v>
          </cell>
          <cell r="I29">
            <v>0</v>
          </cell>
        </row>
        <row r="30">
          <cell r="B30" t="str">
            <v>RM-KOM-MRP-STK-HYP-POL-FIB</v>
          </cell>
          <cell r="C30" t="str">
            <v>KOMFFY PREMIUM PLUS FIBER PILLOW MRP STICKER</v>
          </cell>
          <cell r="D30" t="str">
            <v>NOS</v>
          </cell>
          <cell r="E30" t="str">
            <v>CBERM</v>
          </cell>
          <cell r="F30">
            <v>0</v>
          </cell>
          <cell r="G30">
            <v>0</v>
          </cell>
          <cell r="H30">
            <v>5000</v>
          </cell>
          <cell r="I30">
            <v>0</v>
          </cell>
        </row>
        <row r="31">
          <cell r="B31" t="str">
            <v>RML-VIR-HDPE-100X100</v>
          </cell>
          <cell r="C31" t="str">
            <v>HDPE VIRGIN BAGS. 100 X 100</v>
          </cell>
          <cell r="D31" t="str">
            <v>KGS</v>
          </cell>
          <cell r="E31" t="str">
            <v>CBERM</v>
          </cell>
          <cell r="F31">
            <v>0</v>
          </cell>
          <cell r="G31">
            <v>0</v>
          </cell>
          <cell r="H31">
            <v>300</v>
          </cell>
          <cell r="I31">
            <v>250</v>
          </cell>
        </row>
        <row r="32">
          <cell r="B32" t="str">
            <v>RM-KOM-MRP-STK-POL-FIB</v>
          </cell>
          <cell r="C32" t="str">
            <v>KOMFFY POLYESTER FIBER PILLOW MRP STICKER - SINGLE</v>
          </cell>
          <cell r="D32" t="str">
            <v>NOS</v>
          </cell>
          <cell r="E32" t="str">
            <v>CBERM</v>
          </cell>
          <cell r="F32">
            <v>250</v>
          </cell>
          <cell r="G32">
            <v>250</v>
          </cell>
          <cell r="H32">
            <v>2500</v>
          </cell>
          <cell r="I32">
            <v>0</v>
          </cell>
        </row>
        <row r="33">
          <cell r="B33" t="str">
            <v>RM-KOM-MRP-STK-POL-FIB-DOB</v>
          </cell>
          <cell r="C33" t="str">
            <v>KOMFFY POLYESTER FIBER PILLOW MRP STICKER DOUBLE</v>
          </cell>
          <cell r="D33" t="str">
            <v>NOS</v>
          </cell>
          <cell r="E33" t="str">
            <v>CBERM</v>
          </cell>
          <cell r="F33">
            <v>0</v>
          </cell>
          <cell r="G33">
            <v>0</v>
          </cell>
          <cell r="H33">
            <v>7000</v>
          </cell>
          <cell r="I33">
            <v>10000</v>
          </cell>
        </row>
        <row r="34">
          <cell r="B34" t="str">
            <v>RM-KOM-PIL-CVR-HYP-POL-FIB</v>
          </cell>
          <cell r="C34" t="str">
            <v>KOMFFY PREMIUM PLUS FIBRE PILLOW COVER</v>
          </cell>
          <cell r="D34" t="str">
            <v>NOS</v>
          </cell>
          <cell r="E34" t="str">
            <v>CBERM</v>
          </cell>
          <cell r="F34">
            <v>10000</v>
          </cell>
          <cell r="G34">
            <v>10000</v>
          </cell>
          <cell r="H34">
            <v>5000</v>
          </cell>
          <cell r="I34">
            <v>0</v>
          </cell>
        </row>
        <row r="35">
          <cell r="B35" t="str">
            <v>RML-VIR-HDPE-92X82</v>
          </cell>
          <cell r="C35" t="str">
            <v>HDPE VIRGIN BAGS. 92 X 82</v>
          </cell>
          <cell r="D35" t="str">
            <v>KGS</v>
          </cell>
          <cell r="E35" t="str">
            <v>CBERM</v>
          </cell>
          <cell r="F35">
            <v>0</v>
          </cell>
          <cell r="G35">
            <v>0</v>
          </cell>
          <cell r="H35">
            <v>600</v>
          </cell>
          <cell r="I35">
            <v>1300</v>
          </cell>
        </row>
        <row r="36">
          <cell r="B36" t="str">
            <v>RML-WSCR-LBL-CNTR</v>
          </cell>
          <cell r="C36" t="str">
            <v>PEPS CONTOUR MEMORY FOAM PILLOW WASH CARE LABEL</v>
          </cell>
          <cell r="D36" t="str">
            <v>NOS</v>
          </cell>
          <cell r="E36" t="str">
            <v>CBERM</v>
          </cell>
          <cell r="F36">
            <v>1300</v>
          </cell>
          <cell r="G36">
            <v>1300</v>
          </cell>
          <cell r="H36">
            <v>2000</v>
          </cell>
          <cell r="I36">
            <v>0</v>
          </cell>
        </row>
        <row r="37">
          <cell r="B37" t="str">
            <v>RML-WSCR-LBL-PU</v>
          </cell>
          <cell r="C37" t="str">
            <v>PEPS MOULDED PU FOAM PILLOW WASH CARE LABLE</v>
          </cell>
          <cell r="D37" t="str">
            <v>NOS</v>
          </cell>
          <cell r="E37" t="str">
            <v>CBERM</v>
          </cell>
          <cell r="F37">
            <v>0</v>
          </cell>
          <cell r="G37">
            <v>0</v>
          </cell>
          <cell r="H37">
            <v>2000</v>
          </cell>
          <cell r="I37">
            <v>0</v>
          </cell>
        </row>
        <row r="38">
          <cell r="B38" t="str">
            <v>RM-KOM-PIL-CVR-POL-FIB</v>
          </cell>
          <cell r="C38" t="str">
            <v>KOMFFY POLYESTER FIBER PILLOW COVER - SINGLE</v>
          </cell>
          <cell r="D38" t="str">
            <v>KGS</v>
          </cell>
          <cell r="E38" t="str">
            <v>CBERM</v>
          </cell>
          <cell r="F38">
            <v>0</v>
          </cell>
          <cell r="G38">
            <v>0</v>
          </cell>
          <cell r="H38">
            <v>250</v>
          </cell>
          <cell r="I38">
            <v>0</v>
          </cell>
        </row>
        <row r="39">
          <cell r="B39" t="str">
            <v>RM-KOM-PIL-CVR-POL-FIB-DOB</v>
          </cell>
          <cell r="C39" t="str">
            <v>KOMFFY POLYESTER FIBER PILLOW COVER-DOUBLE</v>
          </cell>
          <cell r="D39" t="str">
            <v>KGS</v>
          </cell>
          <cell r="E39" t="str">
            <v>CBERM</v>
          </cell>
          <cell r="F39">
            <v>0</v>
          </cell>
          <cell r="G39">
            <v>0</v>
          </cell>
          <cell r="H39">
            <v>500</v>
          </cell>
          <cell r="I39">
            <v>0</v>
          </cell>
        </row>
        <row r="40">
          <cell r="B40" t="str">
            <v>RM-MRP-POUCH</v>
          </cell>
          <cell r="C40" t="str">
            <v>TAG MRP POUCH W 3.5” X H 8.5”</v>
          </cell>
          <cell r="D40" t="str">
            <v>NOS</v>
          </cell>
          <cell r="E40" t="str">
            <v>CBERM</v>
          </cell>
          <cell r="F40">
            <v>0</v>
          </cell>
          <cell r="G40">
            <v>0</v>
          </cell>
          <cell r="H40">
            <v>500</v>
          </cell>
          <cell r="I40">
            <v>1000</v>
          </cell>
        </row>
        <row r="41">
          <cell r="B41" t="str">
            <v>RM-GRIP-PVC-BAG-30X11X9</v>
          </cell>
          <cell r="C41" t="str">
            <v>PEPS GRIPSTER PVC BAG 30"X11"X09</v>
          </cell>
          <cell r="D41" t="str">
            <v>NOS</v>
          </cell>
          <cell r="E41" t="str">
            <v>CBERM</v>
          </cell>
          <cell r="F41">
            <v>1000</v>
          </cell>
          <cell r="G41">
            <v>1000</v>
          </cell>
          <cell r="H41">
            <v>200</v>
          </cell>
          <cell r="I41">
            <v>0</v>
          </cell>
        </row>
        <row r="42">
          <cell r="B42" t="str">
            <v>RML-04MM-ELASTIC-WH</v>
          </cell>
          <cell r="C42" t="str">
            <v>ELASTIC FOR WHITE 04MM</v>
          </cell>
          <cell r="D42" t="str">
            <v>MTR</v>
          </cell>
          <cell r="E42" t="str">
            <v>CBERM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</row>
        <row r="43">
          <cell r="B43" t="str">
            <v>RML-10MM-ELASTIC</v>
          </cell>
          <cell r="C43" t="str">
            <v>PROTECTOR ELASTIC FOR 10MM</v>
          </cell>
          <cell r="D43" t="str">
            <v>MTR</v>
          </cell>
          <cell r="E43" t="str">
            <v>CBERM</v>
          </cell>
          <cell r="F43">
            <v>0</v>
          </cell>
          <cell r="G43">
            <v>0</v>
          </cell>
          <cell r="H43">
            <v>3000</v>
          </cell>
          <cell r="I43">
            <v>5000</v>
          </cell>
        </row>
        <row r="44">
          <cell r="B44" t="str">
            <v>RML-CON-PLW-BOX</v>
          </cell>
          <cell r="C44" t="str">
            <v>PEPS CONTOUR MEMORY FOAM PILLOW BOX</v>
          </cell>
          <cell r="D44" t="str">
            <v>NOS</v>
          </cell>
          <cell r="E44" t="str">
            <v>CBERM</v>
          </cell>
          <cell r="F44">
            <v>5000</v>
          </cell>
          <cell r="G44">
            <v>5000</v>
          </cell>
          <cell r="H44">
            <v>450</v>
          </cell>
          <cell r="I44">
            <v>400</v>
          </cell>
        </row>
        <row r="45">
          <cell r="B45" t="str">
            <v>RML-20MM-ELASTIC</v>
          </cell>
          <cell r="C45" t="str">
            <v>PROTECTOR ELASTIC FOR 20MM</v>
          </cell>
          <cell r="D45" t="str">
            <v>MTR</v>
          </cell>
          <cell r="E45" t="str">
            <v>CBERM</v>
          </cell>
          <cell r="F45">
            <v>400</v>
          </cell>
          <cell r="G45">
            <v>400</v>
          </cell>
          <cell r="H45">
            <v>1000</v>
          </cell>
          <cell r="I45">
            <v>2500</v>
          </cell>
        </row>
        <row r="46">
          <cell r="B46" t="str">
            <v>RML-3PLY-WHT-PLW-BOX</v>
          </cell>
          <cell r="C46" t="str">
            <v>3 PLY TOP WHITE BOX-10.75X8.25X6.75</v>
          </cell>
          <cell r="D46" t="str">
            <v>NOS</v>
          </cell>
          <cell r="E46" t="str">
            <v>CBERM</v>
          </cell>
          <cell r="F46">
            <v>2500</v>
          </cell>
          <cell r="G46">
            <v>2500</v>
          </cell>
          <cell r="H46">
            <v>25</v>
          </cell>
          <cell r="I46">
            <v>0</v>
          </cell>
        </row>
        <row r="47">
          <cell r="B47" t="str">
            <v>RML-A4-STICKER</v>
          </cell>
          <cell r="C47" t="str">
            <v>A4 SIZE PLAIN STICKER</v>
          </cell>
          <cell r="D47" t="str">
            <v>NOS</v>
          </cell>
          <cell r="E47" t="str">
            <v>CBERM</v>
          </cell>
          <cell r="F47">
            <v>0</v>
          </cell>
          <cell r="G47">
            <v>0</v>
          </cell>
          <cell r="H47">
            <v>100</v>
          </cell>
          <cell r="I47">
            <v>0</v>
          </cell>
        </row>
        <row r="48">
          <cell r="B48" t="str">
            <v>RML-CS-CST-9.5"</v>
          </cell>
          <cell r="C48" t="str">
            <v>CORNER SHOES.  CRYSAL - 9.5"</v>
          </cell>
          <cell r="D48" t="str">
            <v>NOS</v>
          </cell>
          <cell r="E48" t="str">
            <v>CBERM</v>
          </cell>
          <cell r="F48">
            <v>0</v>
          </cell>
          <cell r="G48">
            <v>0</v>
          </cell>
          <cell r="H48">
            <v>500</v>
          </cell>
          <cell r="I48">
            <v>300</v>
          </cell>
        </row>
        <row r="49">
          <cell r="B49" t="str">
            <v>RML-CS-DRM-SILV-6</v>
          </cell>
          <cell r="C49" t="str">
            <v>PEPS DREAM MAKERS CORNER SHOES-SILVER - 6"</v>
          </cell>
          <cell r="D49" t="str">
            <v>NOS</v>
          </cell>
          <cell r="E49" t="str">
            <v>CBERM</v>
          </cell>
          <cell r="F49">
            <v>300</v>
          </cell>
          <cell r="G49">
            <v>300</v>
          </cell>
          <cell r="H49">
            <v>2000</v>
          </cell>
          <cell r="I49">
            <v>0</v>
          </cell>
        </row>
        <row r="50">
          <cell r="B50" t="str">
            <v>RML-CS-HYP-4.25"</v>
          </cell>
          <cell r="C50" t="str">
            <v>CORNER SHOES HYPNOS 4.25"</v>
          </cell>
          <cell r="D50" t="str">
            <v>NOS</v>
          </cell>
          <cell r="E50" t="str">
            <v>CBERM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B51" t="str">
            <v>RML-CS-HYP-5.25"</v>
          </cell>
          <cell r="C51" t="str">
            <v>CORNER SHOES HYPNOS 5.25"</v>
          </cell>
          <cell r="D51" t="str">
            <v>NOS</v>
          </cell>
          <cell r="E51" t="str">
            <v>CBERM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B52" t="str">
            <v>RML-CS-HYP-6.25</v>
          </cell>
          <cell r="C52" t="str">
            <v>HYPNOS CORNER SHOES 6.25"</v>
          </cell>
          <cell r="D52" t="str">
            <v>NOS</v>
          </cell>
          <cell r="E52" t="str">
            <v>CBERM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B53" t="str">
            <v>RML-BAG-12.25X13.5X4</v>
          </cell>
          <cell r="C53" t="str">
            <v>CAR CUSHION PVC BAG 12.25WX13.5HX4G</v>
          </cell>
          <cell r="D53" t="str">
            <v>NOS</v>
          </cell>
          <cell r="E53" t="str">
            <v>CBERM</v>
          </cell>
          <cell r="F53">
            <v>0</v>
          </cell>
          <cell r="G53">
            <v>0</v>
          </cell>
          <cell r="H53">
            <v>20</v>
          </cell>
          <cell r="I53">
            <v>0</v>
          </cell>
        </row>
        <row r="54">
          <cell r="B54" t="str">
            <v>RML-BAG-12.75X12X3</v>
          </cell>
          <cell r="C54" t="str">
            <v>KOMFFY BED SHEET PVC BAG 12.75X12"X3"</v>
          </cell>
          <cell r="D54" t="str">
            <v>NOS</v>
          </cell>
          <cell r="E54" t="str">
            <v>CBERM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B55" t="str">
            <v>RML-BAG-16X15X3</v>
          </cell>
          <cell r="C55" t="str">
            <v>NORMAL PROTECTOR PACKING COVER H24"x W15" x G7"</v>
          </cell>
          <cell r="D55" t="str">
            <v>NOS</v>
          </cell>
          <cell r="E55" t="str">
            <v>CBERM</v>
          </cell>
          <cell r="F55">
            <v>0</v>
          </cell>
          <cell r="G55">
            <v>0</v>
          </cell>
          <cell r="H55">
            <v>1000</v>
          </cell>
          <cell r="I55">
            <v>0</v>
          </cell>
        </row>
        <row r="56">
          <cell r="B56" t="str">
            <v>RML-CUSH-INSERTER</v>
          </cell>
          <cell r="C56" t="str">
            <v>CUSHION INSERTER L34XW5.5</v>
          </cell>
          <cell r="D56" t="str">
            <v>NOS</v>
          </cell>
          <cell r="E56" t="str">
            <v>CBERM</v>
          </cell>
          <cell r="F56">
            <v>0</v>
          </cell>
          <cell r="G56">
            <v>0</v>
          </cell>
          <cell r="H56">
            <v>100</v>
          </cell>
          <cell r="I56">
            <v>0</v>
          </cell>
        </row>
        <row r="57">
          <cell r="B57" t="str">
            <v>RML-CUSPOLFIL16X16</v>
          </cell>
          <cell r="C57" t="str">
            <v>PEPS Cushion Poly fiber Pillow 16x16</v>
          </cell>
          <cell r="D57" t="str">
            <v>NOS</v>
          </cell>
          <cell r="E57" t="str">
            <v>CBERM</v>
          </cell>
          <cell r="F57">
            <v>0</v>
          </cell>
          <cell r="G57">
            <v>0</v>
          </cell>
          <cell r="H57">
            <v>125</v>
          </cell>
          <cell r="I57">
            <v>0</v>
          </cell>
        </row>
        <row r="58">
          <cell r="B58" t="str">
            <v>RML-DDR-SDE-LBL</v>
          </cell>
          <cell r="C58" t="str">
            <v>DOUBLE DECKER SIDE LABEL (RUBBER PATCH)</v>
          </cell>
          <cell r="D58" t="str">
            <v>NOS</v>
          </cell>
          <cell r="E58" t="str">
            <v>CBERM</v>
          </cell>
          <cell r="F58">
            <v>0</v>
          </cell>
          <cell r="G58">
            <v>0</v>
          </cell>
          <cell r="H58">
            <v>100</v>
          </cell>
          <cell r="I58">
            <v>0</v>
          </cell>
        </row>
        <row r="59">
          <cell r="B59" t="str">
            <v>RML-CS-PL-8.5</v>
          </cell>
          <cell r="C59" t="str">
            <v>PLAIN CORNER SHOES.   - 8.5"</v>
          </cell>
          <cell r="D59" t="str">
            <v>NOS</v>
          </cell>
          <cell r="E59" t="str">
            <v>CBERM</v>
          </cell>
          <cell r="F59">
            <v>0</v>
          </cell>
          <cell r="G59">
            <v>0</v>
          </cell>
          <cell r="H59">
            <v>5000</v>
          </cell>
          <cell r="I59">
            <v>5000</v>
          </cell>
        </row>
        <row r="60">
          <cell r="B60" t="str">
            <v>RM-LDPE-50"TUBE-PLAIN</v>
          </cell>
          <cell r="C60" t="str">
            <v>LDPE TUBE 58"X50.MIC</v>
          </cell>
          <cell r="D60" t="str">
            <v>KGS</v>
          </cell>
          <cell r="E60" t="str">
            <v>CBERM</v>
          </cell>
          <cell r="F60">
            <v>5000</v>
          </cell>
          <cell r="G60">
            <v>5000</v>
          </cell>
          <cell r="H60">
            <v>300</v>
          </cell>
          <cell r="I60">
            <v>250</v>
          </cell>
        </row>
        <row r="61">
          <cell r="B61" t="str">
            <v>RML-CS-RTC-10.5"</v>
          </cell>
          <cell r="C61" t="str">
            <v>CORNER SHOES.  RESTONIC - 10.5"</v>
          </cell>
          <cell r="D61" t="str">
            <v>NOS</v>
          </cell>
          <cell r="E61" t="str">
            <v>CBERM</v>
          </cell>
          <cell r="F61">
            <v>250</v>
          </cell>
          <cell r="G61">
            <v>250</v>
          </cell>
          <cell r="H61">
            <v>300</v>
          </cell>
          <cell r="I61">
            <v>0</v>
          </cell>
        </row>
        <row r="62">
          <cell r="B62" t="str">
            <v>RML-DRN-LBL</v>
          </cell>
          <cell r="C62" t="str">
            <v>DIRECTION LABEL</v>
          </cell>
          <cell r="D62" t="str">
            <v>NOS</v>
          </cell>
          <cell r="E62" t="str">
            <v>CBERM</v>
          </cell>
          <cell r="F62">
            <v>0</v>
          </cell>
          <cell r="G62">
            <v>0</v>
          </cell>
          <cell r="H62">
            <v>5000</v>
          </cell>
          <cell r="I62">
            <v>0</v>
          </cell>
        </row>
        <row r="63">
          <cell r="B63" t="str">
            <v>RML-CS-RTC-9.5"</v>
          </cell>
          <cell r="C63" t="str">
            <v>CORNER SHOES.  RESTONIC - 9.5"</v>
          </cell>
          <cell r="D63" t="str">
            <v>NOS</v>
          </cell>
          <cell r="E63" t="str">
            <v>CBERM</v>
          </cell>
          <cell r="F63">
            <v>0</v>
          </cell>
          <cell r="G63">
            <v>0</v>
          </cell>
          <cell r="H63">
            <v>1000</v>
          </cell>
          <cell r="I63">
            <v>0</v>
          </cell>
        </row>
        <row r="64">
          <cell r="B64" t="str">
            <v>RML-CS-SPG-9.5"</v>
          </cell>
          <cell r="C64" t="str">
            <v>CORNER SHOES.  SPINE GUARD - 9.5"</v>
          </cell>
          <cell r="D64" t="str">
            <v>NOS</v>
          </cell>
          <cell r="E64" t="str">
            <v>CBERM</v>
          </cell>
          <cell r="F64">
            <v>0</v>
          </cell>
          <cell r="G64">
            <v>0</v>
          </cell>
          <cell r="H64">
            <v>1000</v>
          </cell>
          <cell r="I64">
            <v>1000</v>
          </cell>
        </row>
        <row r="65">
          <cell r="B65" t="str">
            <v>RML-CS-SPK-CT-9.25</v>
          </cell>
          <cell r="C65" t="str">
            <v>PEPS SPRINGKOIL CROWN TOP CORNER SHOES 9.25"</v>
          </cell>
          <cell r="D65" t="str">
            <v>NOS</v>
          </cell>
          <cell r="E65" t="str">
            <v>CBERM</v>
          </cell>
          <cell r="F65">
            <v>1000</v>
          </cell>
          <cell r="G65">
            <v>1000</v>
          </cell>
          <cell r="H65">
            <v>300</v>
          </cell>
          <cell r="I65">
            <v>0</v>
          </cell>
        </row>
        <row r="66">
          <cell r="B66" t="str">
            <v>RML-CS-ZENIMO-6.5</v>
          </cell>
          <cell r="C66" t="str">
            <v>ZENIMO CORNER SHOES 6.5"</v>
          </cell>
          <cell r="D66" t="str">
            <v>NOS</v>
          </cell>
          <cell r="E66" t="str">
            <v>CBERM</v>
          </cell>
          <cell r="F66">
            <v>0</v>
          </cell>
          <cell r="G66">
            <v>0</v>
          </cell>
          <cell r="H66">
            <v>400</v>
          </cell>
          <cell r="I66">
            <v>0</v>
          </cell>
        </row>
        <row r="67">
          <cell r="B67" t="str">
            <v>RML-MEM-PLW-BOX</v>
          </cell>
          <cell r="C67" t="str">
            <v>PEPS MOULDED 100% MEMORY FOAM PILLOW BOX</v>
          </cell>
          <cell r="D67" t="str">
            <v>NOS</v>
          </cell>
          <cell r="E67" t="str">
            <v>CBERM</v>
          </cell>
          <cell r="F67">
            <v>375</v>
          </cell>
          <cell r="G67">
            <v>375</v>
          </cell>
          <cell r="H67">
            <v>450</v>
          </cell>
          <cell r="I67">
            <v>400</v>
          </cell>
        </row>
        <row r="68">
          <cell r="B68" t="str">
            <v>RML-NYLONBUSH-50X100</v>
          </cell>
          <cell r="C68" t="str">
            <v>NYLON BUSH WHITE COLOR</v>
          </cell>
          <cell r="D68" t="str">
            <v>NOS</v>
          </cell>
          <cell r="E68" t="str">
            <v>CBERM</v>
          </cell>
          <cell r="F68">
            <v>400</v>
          </cell>
          <cell r="G68">
            <v>400</v>
          </cell>
          <cell r="H68">
            <v>1000</v>
          </cell>
          <cell r="I68">
            <v>0</v>
          </cell>
        </row>
        <row r="69">
          <cell r="B69" t="str">
            <v>RM-NWN-BS-8.5"X30GSM</v>
          </cell>
          <cell r="C69" t="str">
            <v>NON WOVEN FABRIC 30 GSM x 8.5 INCH - WHITE</v>
          </cell>
          <cell r="D69" t="str">
            <v>KGS</v>
          </cell>
          <cell r="E69" t="str">
            <v>CBERM</v>
          </cell>
          <cell r="F69">
            <v>0</v>
          </cell>
          <cell r="G69">
            <v>0</v>
          </cell>
          <cell r="H69">
            <v>350</v>
          </cell>
          <cell r="I69">
            <v>300</v>
          </cell>
        </row>
        <row r="70">
          <cell r="B70" t="str">
            <v>RM-NWN-POS-37CMX70GSM</v>
          </cell>
          <cell r="C70" t="str">
            <v>NON WOVEN FABRIC 70 GSM x 37 CM - WHITE</v>
          </cell>
          <cell r="D70" t="str">
            <v>KGS</v>
          </cell>
          <cell r="E70" t="str">
            <v>CBERM</v>
          </cell>
          <cell r="F70">
            <v>300</v>
          </cell>
          <cell r="G70">
            <v>300</v>
          </cell>
          <cell r="H70">
            <v>1800</v>
          </cell>
          <cell r="I70">
            <v>500</v>
          </cell>
        </row>
        <row r="71">
          <cell r="B71" t="str">
            <v>RM-NWN-POS-45CMX70GSM</v>
          </cell>
          <cell r="C71" t="str">
            <v>NON WOVEN FABRIC 70 GSM x 45 CM - WHITE</v>
          </cell>
          <cell r="D71" t="str">
            <v>KGS</v>
          </cell>
          <cell r="E71" t="str">
            <v>CBERM</v>
          </cell>
          <cell r="F71">
            <v>500</v>
          </cell>
          <cell r="G71">
            <v>500</v>
          </cell>
          <cell r="H71">
            <v>2500</v>
          </cell>
          <cell r="I71">
            <v>8000</v>
          </cell>
        </row>
        <row r="72">
          <cell r="B72" t="str">
            <v>RML-ELIT-BED-SHT-108X120</v>
          </cell>
          <cell r="C72" t="str">
            <v>ELITZA BED SHEET - SUPER KING 108X120 ( 1 + 2 )</v>
          </cell>
          <cell r="D72" t="str">
            <v>NOS</v>
          </cell>
          <cell r="E72" t="str">
            <v>CBERM</v>
          </cell>
          <cell r="F72">
            <v>8000</v>
          </cell>
          <cell r="G72">
            <v>8000</v>
          </cell>
          <cell r="H72">
            <v>200</v>
          </cell>
          <cell r="I72">
            <v>0</v>
          </cell>
        </row>
        <row r="73">
          <cell r="B73" t="str">
            <v>RML-ELITZA-BED-SHT-110X120</v>
          </cell>
          <cell r="C73" t="str">
            <v>PEPS ELITZA BEDSHEET DOUBLE 110x120</v>
          </cell>
          <cell r="D73" t="str">
            <v>NOS</v>
          </cell>
          <cell r="E73" t="str">
            <v>CBERM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B74" t="str">
            <v>RML-LCORNER-PAD-50X50X1575MM</v>
          </cell>
          <cell r="C74" t="str">
            <v>L - CORNER PAD 50X50X1575MM</v>
          </cell>
          <cell r="D74" t="str">
            <v>NOS</v>
          </cell>
          <cell r="E74" t="str">
            <v>CBERM</v>
          </cell>
          <cell r="F74">
            <v>0</v>
          </cell>
          <cell r="G74">
            <v>0</v>
          </cell>
          <cell r="H74">
            <v>500</v>
          </cell>
          <cell r="I74">
            <v>750</v>
          </cell>
        </row>
        <row r="75">
          <cell r="B75" t="str">
            <v>RML-FBR-200TC-SATIN</v>
          </cell>
          <cell r="C75" t="str">
            <v>COTTON FABRIC -110"WIDTH PLAIN SATIN 200TC</v>
          </cell>
          <cell r="D75" t="str">
            <v>MTR</v>
          </cell>
          <cell r="E75" t="str">
            <v>CBERM</v>
          </cell>
          <cell r="F75">
            <v>750</v>
          </cell>
          <cell r="G75">
            <v>750</v>
          </cell>
          <cell r="H75">
            <v>0</v>
          </cell>
          <cell r="I75">
            <v>0</v>
          </cell>
        </row>
        <row r="76">
          <cell r="B76" t="str">
            <v>RML-FBR-200TC-STRIPE</v>
          </cell>
          <cell r="C76" t="str">
            <v>COTTON FABRIC -110"WIDTH 1CM STRIPE 200TC</v>
          </cell>
          <cell r="D76" t="str">
            <v>MTR</v>
          </cell>
          <cell r="E76" t="str">
            <v>CBERM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B77" t="str">
            <v>RML-FBR-BT-BEIGE</v>
          </cell>
          <cell r="C77" t="str">
            <v>BOTTLE FABRIC-BEIGE</v>
          </cell>
          <cell r="D77" t="str">
            <v>KGS</v>
          </cell>
          <cell r="E77" t="str">
            <v>CBERM</v>
          </cell>
          <cell r="F77">
            <v>0</v>
          </cell>
          <cell r="G77">
            <v>0</v>
          </cell>
          <cell r="H77">
            <v>200</v>
          </cell>
          <cell r="I77">
            <v>100</v>
          </cell>
        </row>
        <row r="78">
          <cell r="B78" t="str">
            <v>RML-FBR-BT-BLUE</v>
          </cell>
          <cell r="C78" t="str">
            <v>BOTTLE FABRIC BLUE</v>
          </cell>
          <cell r="D78" t="str">
            <v>KGS</v>
          </cell>
          <cell r="E78" t="str">
            <v>CBERM</v>
          </cell>
          <cell r="F78">
            <v>100</v>
          </cell>
          <cell r="G78">
            <v>100</v>
          </cell>
          <cell r="H78">
            <v>200</v>
          </cell>
          <cell r="I78">
            <v>100</v>
          </cell>
        </row>
        <row r="79">
          <cell r="B79" t="str">
            <v>RML-FBR-BT-MER</v>
          </cell>
          <cell r="C79" t="str">
            <v>BOTTLE FABRIC-MAROON</v>
          </cell>
          <cell r="D79" t="str">
            <v>KGS</v>
          </cell>
          <cell r="E79" t="str">
            <v>CBERM</v>
          </cell>
          <cell r="F79">
            <v>100</v>
          </cell>
          <cell r="G79">
            <v>100</v>
          </cell>
          <cell r="H79">
            <v>200</v>
          </cell>
          <cell r="I79">
            <v>100</v>
          </cell>
        </row>
        <row r="80">
          <cell r="B80" t="str">
            <v>RML-FBR-JRY-PC</v>
          </cell>
          <cell r="C80" t="str">
            <v>JERCY FABRIC PILLOW COVER</v>
          </cell>
          <cell r="D80" t="str">
            <v>KGS</v>
          </cell>
          <cell r="E80" t="str">
            <v>CBERM</v>
          </cell>
          <cell r="F80">
            <v>100</v>
          </cell>
          <cell r="G80">
            <v>100</v>
          </cell>
          <cell r="H80">
            <v>150</v>
          </cell>
          <cell r="I80">
            <v>0</v>
          </cell>
        </row>
        <row r="81">
          <cell r="B81" t="str">
            <v>RML-FBR-LAM-BEIGE</v>
          </cell>
          <cell r="C81" t="str">
            <v>LAMINATED FABRIC 82" BEIGE</v>
          </cell>
          <cell r="D81" t="str">
            <v>MTR</v>
          </cell>
          <cell r="E81" t="str">
            <v>CBERM</v>
          </cell>
          <cell r="F81">
            <v>0</v>
          </cell>
          <cell r="G81">
            <v>0</v>
          </cell>
          <cell r="H81">
            <v>300</v>
          </cell>
          <cell r="I81">
            <v>500</v>
          </cell>
        </row>
        <row r="82">
          <cell r="B82" t="str">
            <v>RML-FBR-LAM-BLUE</v>
          </cell>
          <cell r="C82" t="str">
            <v>LAMINATED FABRIC 82" BLUE</v>
          </cell>
          <cell r="D82" t="str">
            <v>MTR</v>
          </cell>
          <cell r="E82" t="str">
            <v>CBERM</v>
          </cell>
          <cell r="F82">
            <v>500</v>
          </cell>
          <cell r="G82">
            <v>500</v>
          </cell>
          <cell r="H82">
            <v>300</v>
          </cell>
          <cell r="I82">
            <v>200</v>
          </cell>
        </row>
        <row r="83">
          <cell r="B83" t="str">
            <v>RML-FBR-LAM-MAROON</v>
          </cell>
          <cell r="C83" t="str">
            <v>LAMINATED FABRIC 82" MAROON</v>
          </cell>
          <cell r="D83" t="str">
            <v>MTR</v>
          </cell>
          <cell r="E83" t="str">
            <v>CBERM</v>
          </cell>
          <cell r="F83">
            <v>200</v>
          </cell>
          <cell r="G83">
            <v>200</v>
          </cell>
          <cell r="H83">
            <v>300</v>
          </cell>
          <cell r="I83">
            <v>200</v>
          </cell>
        </row>
        <row r="84">
          <cell r="B84" t="str">
            <v>RML-FBR-PLW-TNDR</v>
          </cell>
          <cell r="C84" t="str">
            <v>TNDR - PILLOW FABRIC</v>
          </cell>
          <cell r="D84" t="str">
            <v>MTR</v>
          </cell>
          <cell r="E84" t="str">
            <v>CBERM</v>
          </cell>
          <cell r="F84">
            <v>200</v>
          </cell>
          <cell r="G84">
            <v>200</v>
          </cell>
          <cell r="H84">
            <v>0</v>
          </cell>
          <cell r="I84">
            <v>0</v>
          </cell>
        </row>
        <row r="85">
          <cell r="B85" t="str">
            <v>RML-FBR-POLY-STRI-58INC</v>
          </cell>
          <cell r="C85" t="str">
            <v>POLYESTER FABRIC STRIPE 90GSMX58"WIDTH (WHITE)</v>
          </cell>
          <cell r="D85" t="str">
            <v>MTR</v>
          </cell>
          <cell r="E85" t="str">
            <v>CBERM</v>
          </cell>
          <cell r="F85">
            <v>0</v>
          </cell>
          <cell r="G85">
            <v>0</v>
          </cell>
          <cell r="H85">
            <v>8000</v>
          </cell>
          <cell r="I85">
            <v>15000</v>
          </cell>
        </row>
        <row r="86">
          <cell r="B86" t="str">
            <v>RML-FBR-POLY-STRI-58INC-PLUS</v>
          </cell>
          <cell r="C86" t="str">
            <v>PLUS - POLYESTER FABRIC STRIPE 90GSMX58"WIDTH (WHITE)</v>
          </cell>
          <cell r="D86" t="str">
            <v>MTR</v>
          </cell>
          <cell r="E86" t="str">
            <v>CBERM</v>
          </cell>
          <cell r="F86">
            <v>15000</v>
          </cell>
          <cell r="G86">
            <v>15000</v>
          </cell>
          <cell r="H86">
            <v>0</v>
          </cell>
          <cell r="I86">
            <v>0</v>
          </cell>
        </row>
        <row r="87">
          <cell r="B87" t="str">
            <v>RML-FBR-PRINC-WHT</v>
          </cell>
          <cell r="C87" t="str">
            <v>PRINCESS D24288-W000004 WHITE WITH SILVER  FABRIC</v>
          </cell>
          <cell r="D87" t="str">
            <v>MTR</v>
          </cell>
          <cell r="E87" t="str">
            <v>CBERM</v>
          </cell>
          <cell r="F87">
            <v>0</v>
          </cell>
          <cell r="G87">
            <v>0</v>
          </cell>
          <cell r="H87">
            <v>50</v>
          </cell>
          <cell r="I87">
            <v>0</v>
          </cell>
        </row>
        <row r="88">
          <cell r="B88" t="str">
            <v>RML-FBR-SWSCTN-58-INCH</v>
          </cell>
          <cell r="C88" t="str">
            <v>SWISS COTTON  FABRIC - 58"x100.GSM (WHITE)</v>
          </cell>
          <cell r="D88" t="str">
            <v>MTR</v>
          </cell>
          <cell r="E88" t="str">
            <v>CBERM</v>
          </cell>
          <cell r="F88">
            <v>0</v>
          </cell>
          <cell r="G88">
            <v>0</v>
          </cell>
          <cell r="H88">
            <v>3500</v>
          </cell>
          <cell r="I88">
            <v>0</v>
          </cell>
        </row>
        <row r="89">
          <cell r="B89" t="str">
            <v>RML-FBR-WHT-MICPE</v>
          </cell>
          <cell r="C89" t="str">
            <v>WHITE MICRO TWILL PEACHED FABRIC (SORT NO:165)</v>
          </cell>
          <cell r="D89" t="str">
            <v>MTR</v>
          </cell>
          <cell r="E89" t="str">
            <v>CBERM</v>
          </cell>
          <cell r="F89">
            <v>0</v>
          </cell>
          <cell r="G89">
            <v>0</v>
          </cell>
          <cell r="H89">
            <v>3500</v>
          </cell>
          <cell r="I89">
            <v>0</v>
          </cell>
        </row>
        <row r="90">
          <cell r="B90" t="str">
            <v>RML-FBR-WHT-PATTI</v>
          </cell>
          <cell r="C90" t="str">
            <v>COTTON FABRIC -112"WIDTH 1CM STRIPE 300TC</v>
          </cell>
          <cell r="D90" t="str">
            <v>MTR</v>
          </cell>
          <cell r="E90" t="str">
            <v>CBERM</v>
          </cell>
          <cell r="F90">
            <v>0</v>
          </cell>
          <cell r="G90">
            <v>0</v>
          </cell>
          <cell r="H90">
            <v>1000</v>
          </cell>
          <cell r="I90">
            <v>3000</v>
          </cell>
        </row>
        <row r="91">
          <cell r="B91" t="str">
            <v>RML-FBR-WHT-PATTI-2CM</v>
          </cell>
          <cell r="C91" t="str">
            <v>COTTON FABRIC -112"WIDTH 2CM STRIPE 300TC</v>
          </cell>
          <cell r="D91" t="str">
            <v>MTR</v>
          </cell>
          <cell r="E91" t="str">
            <v>CBERM</v>
          </cell>
          <cell r="F91">
            <v>3000</v>
          </cell>
          <cell r="G91">
            <v>3000</v>
          </cell>
          <cell r="H91">
            <v>0</v>
          </cell>
          <cell r="I91">
            <v>0</v>
          </cell>
        </row>
        <row r="92">
          <cell r="B92" t="str">
            <v>RML-FBR-WHT-SATIN</v>
          </cell>
          <cell r="C92" t="str">
            <v>COTTON FABRIC -112"WIDTH PLAIN SATIN 300TC</v>
          </cell>
          <cell r="D92" t="str">
            <v>MTR</v>
          </cell>
          <cell r="E92" t="str">
            <v>CBERM</v>
          </cell>
          <cell r="F92">
            <v>0</v>
          </cell>
          <cell r="G92">
            <v>0</v>
          </cell>
          <cell r="H92">
            <v>500</v>
          </cell>
          <cell r="I92">
            <v>0</v>
          </cell>
        </row>
        <row r="93">
          <cell r="B93" t="str">
            <v>RML-LCORNER-PAD-50X50X2032MM</v>
          </cell>
          <cell r="C93" t="str">
            <v>L - CORNER PAD 50X50X2032MM</v>
          </cell>
          <cell r="D93" t="str">
            <v>NOS</v>
          </cell>
          <cell r="E93" t="str">
            <v>CBERM</v>
          </cell>
          <cell r="F93">
            <v>0</v>
          </cell>
          <cell r="G93">
            <v>0</v>
          </cell>
          <cell r="H93">
            <v>500</v>
          </cell>
          <cell r="I93">
            <v>1000</v>
          </cell>
        </row>
        <row r="94">
          <cell r="B94" t="str">
            <v>RML-FIT-SHT-INS-DOUBLE</v>
          </cell>
          <cell r="C94" t="str">
            <v>PEPS POLAR FLEECE BLANKET INSERTER- DOUBLE</v>
          </cell>
          <cell r="D94" t="str">
            <v>NOS</v>
          </cell>
          <cell r="E94" t="str">
            <v>CBERM</v>
          </cell>
          <cell r="F94">
            <v>1000</v>
          </cell>
          <cell r="G94">
            <v>1000</v>
          </cell>
          <cell r="H94">
            <v>100</v>
          </cell>
          <cell r="I94">
            <v>0</v>
          </cell>
        </row>
        <row r="95">
          <cell r="B95" t="str">
            <v>RML-FLN-BLNK-60X85</v>
          </cell>
          <cell r="C95" t="str">
            <v>PEPS Flano Printed blanket Single- Size:60x85 Inch</v>
          </cell>
          <cell r="D95" t="str">
            <v>NOS</v>
          </cell>
          <cell r="E95" t="str">
            <v>CBERM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B96" t="str">
            <v>RML-ARD-MF-EDTAPE-BLU</v>
          </cell>
          <cell r="C96" t="str">
            <v>ARDENE MEMORY EDGE TAPE LIGHT BLUE - 42MM KNITTED ( 1200)</v>
          </cell>
          <cell r="D96" t="str">
            <v>MTR</v>
          </cell>
          <cell r="E96" t="str">
            <v>CBERM</v>
          </cell>
          <cell r="F96">
            <v>0</v>
          </cell>
          <cell r="G96">
            <v>0</v>
          </cell>
          <cell r="H96">
            <v>10000</v>
          </cell>
          <cell r="I96">
            <v>0</v>
          </cell>
        </row>
        <row r="97">
          <cell r="B97" t="str">
            <v>RML-COMF-EDTAPE-PINK</v>
          </cell>
          <cell r="C97" t="str">
            <v>COMFORT EDGE TAPE PINK - 42MM KNITTED ( 1200.GSM )</v>
          </cell>
          <cell r="D97" t="str">
            <v>MTR</v>
          </cell>
          <cell r="E97" t="str">
            <v>CBERM</v>
          </cell>
          <cell r="F97">
            <v>15000</v>
          </cell>
          <cell r="G97">
            <v>15000</v>
          </cell>
          <cell r="H97">
            <v>20000</v>
          </cell>
          <cell r="I97">
            <v>25000</v>
          </cell>
        </row>
        <row r="98">
          <cell r="B98" t="str">
            <v>RML-ASH-ZIP-NO-5</v>
          </cell>
          <cell r="C98" t="str">
            <v>Ash Colour ZIPPER NO-5</v>
          </cell>
          <cell r="D98" t="str">
            <v>MTR</v>
          </cell>
          <cell r="E98" t="str">
            <v>CBERM</v>
          </cell>
          <cell r="F98">
            <v>25000</v>
          </cell>
          <cell r="G98">
            <v>25000</v>
          </cell>
          <cell r="H98">
            <v>540</v>
          </cell>
          <cell r="I98">
            <v>0</v>
          </cell>
        </row>
        <row r="99">
          <cell r="B99" t="str">
            <v>RML-YEL-ZIP-NO-5</v>
          </cell>
          <cell r="C99" t="str">
            <v>Light Yellow Colour ZIPPER NO-5</v>
          </cell>
          <cell r="D99" t="str">
            <v>MTR</v>
          </cell>
          <cell r="E99" t="str">
            <v>CBERM</v>
          </cell>
          <cell r="F99">
            <v>0</v>
          </cell>
          <cell r="G99">
            <v>0</v>
          </cell>
          <cell r="H99">
            <v>540</v>
          </cell>
          <cell r="I99">
            <v>2160</v>
          </cell>
        </row>
        <row r="100">
          <cell r="B100" t="str">
            <v>RML-WDG-PLW-INS</v>
          </cell>
          <cell r="C100" t="str">
            <v>WEDGE PILLOW INSERTER</v>
          </cell>
          <cell r="D100" t="str">
            <v>NOS</v>
          </cell>
          <cell r="E100" t="str">
            <v>CBERM</v>
          </cell>
          <cell r="F100">
            <v>2160</v>
          </cell>
          <cell r="G100">
            <v>2160</v>
          </cell>
          <cell r="H100">
            <v>200</v>
          </cell>
          <cell r="I100">
            <v>0</v>
          </cell>
        </row>
        <row r="101">
          <cell r="B101" t="str">
            <v>RML-ASH-THRD</v>
          </cell>
          <cell r="C101" t="str">
            <v>Ash Colour THREAD</v>
          </cell>
          <cell r="D101" t="str">
            <v>NOS</v>
          </cell>
          <cell r="E101" t="str">
            <v>CBERM</v>
          </cell>
          <cell r="F101">
            <v>0</v>
          </cell>
          <cell r="G101">
            <v>0</v>
          </cell>
          <cell r="H101">
            <v>20</v>
          </cell>
          <cell r="I101">
            <v>0</v>
          </cell>
        </row>
        <row r="102">
          <cell r="B102" t="str">
            <v>RML-PEPS-PTR-INS</v>
          </cell>
          <cell r="C102" t="str">
            <v>PEPS PROTECTOR INSERTER</v>
          </cell>
          <cell r="D102" t="str">
            <v>NOS</v>
          </cell>
          <cell r="E102" t="str">
            <v>CBERM</v>
          </cell>
          <cell r="F102">
            <v>0</v>
          </cell>
          <cell r="G102">
            <v>0</v>
          </cell>
          <cell r="H102">
            <v>100</v>
          </cell>
          <cell r="I102">
            <v>0</v>
          </cell>
        </row>
        <row r="103">
          <cell r="B103" t="str">
            <v>RML-PF-BLNK-BG-90X100</v>
          </cell>
          <cell r="C103" t="str">
            <v>PEPS POLAR FLEECE BLANKET BEIGE 90X100 INCH</v>
          </cell>
          <cell r="D103" t="str">
            <v>NOS</v>
          </cell>
          <cell r="E103" t="str">
            <v>CBERM</v>
          </cell>
          <cell r="F103">
            <v>0</v>
          </cell>
          <cell r="G103">
            <v>0</v>
          </cell>
          <cell r="H103">
            <v>100</v>
          </cell>
          <cell r="I103">
            <v>0</v>
          </cell>
        </row>
        <row r="104">
          <cell r="B104" t="str">
            <v>RML-PF-BLNK-BL-90X100</v>
          </cell>
          <cell r="C104" t="str">
            <v>PEPS POLAR FLEECE BLANKET BLUE 90X100 INCH</v>
          </cell>
          <cell r="D104" t="str">
            <v>NOS</v>
          </cell>
          <cell r="E104" t="str">
            <v>CBERM</v>
          </cell>
          <cell r="F104">
            <v>0</v>
          </cell>
          <cell r="G104">
            <v>0</v>
          </cell>
          <cell r="H104">
            <v>100</v>
          </cell>
          <cell r="I104">
            <v>0</v>
          </cell>
        </row>
        <row r="105">
          <cell r="B105" t="str">
            <v>RML-PF-BLNK-MR-60X90</v>
          </cell>
          <cell r="C105" t="str">
            <v>PEPS POLAR FLEECE BLANKET MAROON 60X90 INCH</v>
          </cell>
          <cell r="D105" t="str">
            <v>NOS</v>
          </cell>
          <cell r="E105" t="str">
            <v>CBERM</v>
          </cell>
          <cell r="F105">
            <v>0</v>
          </cell>
          <cell r="G105">
            <v>0</v>
          </cell>
          <cell r="H105">
            <v>100</v>
          </cell>
          <cell r="I105">
            <v>0</v>
          </cell>
        </row>
        <row r="106">
          <cell r="B106" t="str">
            <v>RML-PF-BLNK-MR-90X100</v>
          </cell>
          <cell r="C106" t="str">
            <v>PEPS POLAR FLEECE BLANKET MAROON 90X100 INCH</v>
          </cell>
          <cell r="D106" t="str">
            <v>NOS</v>
          </cell>
          <cell r="E106" t="str">
            <v>CBERM</v>
          </cell>
          <cell r="F106">
            <v>0</v>
          </cell>
          <cell r="G106">
            <v>0</v>
          </cell>
          <cell r="H106">
            <v>100</v>
          </cell>
          <cell r="I106">
            <v>0</v>
          </cell>
        </row>
        <row r="107">
          <cell r="B107" t="str">
            <v>RML-LIG-YEL-THRD</v>
          </cell>
          <cell r="C107" t="str">
            <v>Light Yellow Colour THREAD</v>
          </cell>
          <cell r="D107" t="str">
            <v>NOS</v>
          </cell>
          <cell r="E107" t="str">
            <v>CBERM</v>
          </cell>
          <cell r="F107">
            <v>0</v>
          </cell>
          <cell r="G107">
            <v>0</v>
          </cell>
          <cell r="H107">
            <v>20</v>
          </cell>
          <cell r="I107">
            <v>0</v>
          </cell>
        </row>
        <row r="108">
          <cell r="B108" t="str">
            <v>RMI-HGLUE</v>
          </cell>
          <cell r="C108" t="str">
            <v>HOT MELT ADHESIVE (GLUE)</v>
          </cell>
          <cell r="D108" t="str">
            <v>KGS</v>
          </cell>
          <cell r="E108" t="str">
            <v>CBERM</v>
          </cell>
          <cell r="F108">
            <v>0</v>
          </cell>
          <cell r="G108">
            <v>0</v>
          </cell>
          <cell r="H108">
            <v>1500</v>
          </cell>
          <cell r="I108">
            <v>1250</v>
          </cell>
        </row>
        <row r="109">
          <cell r="B109" t="str">
            <v>RML-PLY-BOX-31X21.25X13</v>
          </cell>
          <cell r="C109" t="str">
            <v>31"X21.25"X13"- 5 PLY BOX</v>
          </cell>
          <cell r="D109" t="str">
            <v>NOS</v>
          </cell>
          <cell r="E109" t="str">
            <v>CBERM</v>
          </cell>
          <cell r="F109">
            <v>1250</v>
          </cell>
          <cell r="G109">
            <v>1250</v>
          </cell>
          <cell r="H109">
            <v>100</v>
          </cell>
          <cell r="I109">
            <v>0</v>
          </cell>
        </row>
        <row r="110">
          <cell r="B110" t="str">
            <v>RML-PLY-PAD</v>
          </cell>
          <cell r="C110" t="str">
            <v>5PLY WHITE PAD 11.75X10.25</v>
          </cell>
          <cell r="D110" t="str">
            <v>NOS</v>
          </cell>
          <cell r="E110" t="str">
            <v>CBERM</v>
          </cell>
          <cell r="F110">
            <v>0</v>
          </cell>
          <cell r="G110">
            <v>0</v>
          </cell>
          <cell r="H110">
            <v>750</v>
          </cell>
          <cell r="I110">
            <v>500</v>
          </cell>
        </row>
        <row r="111">
          <cell r="B111" t="str">
            <v>RML-POOL-TOWEL</v>
          </cell>
          <cell r="C111" t="str">
            <v>POOL TOWEL 72" X 36"</v>
          </cell>
          <cell r="D111" t="str">
            <v>NOS</v>
          </cell>
          <cell r="E111" t="str">
            <v>CBERM</v>
          </cell>
          <cell r="F111">
            <v>500</v>
          </cell>
          <cell r="G111">
            <v>500</v>
          </cell>
          <cell r="H111">
            <v>30</v>
          </cell>
          <cell r="I111">
            <v>150</v>
          </cell>
        </row>
        <row r="112">
          <cell r="B112" t="str">
            <v>RML-PTR-QUILT</v>
          </cell>
          <cell r="C112" t="str">
            <v>PROTECTOR QUILT</v>
          </cell>
          <cell r="D112" t="str">
            <v>MTR</v>
          </cell>
          <cell r="E112" t="str">
            <v>CBERM</v>
          </cell>
          <cell r="F112">
            <v>150</v>
          </cell>
          <cell r="G112">
            <v>150</v>
          </cell>
          <cell r="H112">
            <v>100</v>
          </cell>
          <cell r="I112">
            <v>0</v>
          </cell>
        </row>
        <row r="113">
          <cell r="B113" t="str">
            <v>RML-PTR-QUILT-77</v>
          </cell>
          <cell r="C113" t="str">
            <v>PROTECTOR QUILT - WIDTH - 77"</v>
          </cell>
          <cell r="D113" t="str">
            <v>MTR</v>
          </cell>
          <cell r="E113" t="str">
            <v>CBERM</v>
          </cell>
          <cell r="F113">
            <v>0</v>
          </cell>
          <cell r="G113">
            <v>0</v>
          </cell>
          <cell r="H113">
            <v>100</v>
          </cell>
          <cell r="I113">
            <v>0</v>
          </cell>
        </row>
        <row r="114">
          <cell r="B114" t="str">
            <v>RM-PT3-M-LTXPLW</v>
          </cell>
          <cell r="C114" t="str">
            <v>LATEX PILLOW/CONTOUR MASSAGE 9.5/11.3X39X58.5CM</v>
          </cell>
          <cell r="D114" t="str">
            <v>NOS</v>
          </cell>
          <cell r="E114" t="str">
            <v>CBERM</v>
          </cell>
          <cell r="F114">
            <v>0</v>
          </cell>
          <cell r="G114">
            <v>0</v>
          </cell>
          <cell r="H114">
            <v>50</v>
          </cell>
          <cell r="I114">
            <v>0</v>
          </cell>
        </row>
        <row r="115">
          <cell r="B115" t="str">
            <v>RMI-PL-WHL</v>
          </cell>
          <cell r="C115" t="str">
            <v>CR 100 PLASTIC WHEEL</v>
          </cell>
          <cell r="D115" t="str">
            <v>NOS</v>
          </cell>
          <cell r="E115" t="str">
            <v>CBERM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B116" t="str">
            <v>RM-SATIN-GR-LBL</v>
          </cell>
          <cell r="C116" t="str">
            <v>SATIN LABEL GREY 1"</v>
          </cell>
          <cell r="D116" t="str">
            <v>MTR</v>
          </cell>
          <cell r="E116" t="str">
            <v>CBERM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B117" t="str">
            <v>RM-SPG-FM-MIN-SDE-LBL</v>
          </cell>
          <cell r="C117" t="str">
            <v>SPINE GUARD FOAM MINI SAMPLE SIDE LABEL (7 YEARS)</v>
          </cell>
          <cell r="D117" t="str">
            <v>NOS</v>
          </cell>
          <cell r="E117" t="str">
            <v>CBERM</v>
          </cell>
          <cell r="F117">
            <v>0</v>
          </cell>
          <cell r="G117">
            <v>0</v>
          </cell>
          <cell r="H117">
            <v>100</v>
          </cell>
          <cell r="I117">
            <v>0</v>
          </cell>
        </row>
        <row r="118">
          <cell r="B118" t="str">
            <v>RM-SPG-SR-MIN-SDE-LBL</v>
          </cell>
          <cell r="C118" t="str">
            <v>SPINE GUARD SPRING MINI SAMPLE SIDE LABEL (10 YEARS)</v>
          </cell>
          <cell r="D118" t="str">
            <v>NOS</v>
          </cell>
          <cell r="E118" t="str">
            <v>CBERM</v>
          </cell>
          <cell r="F118">
            <v>0</v>
          </cell>
          <cell r="G118">
            <v>0</v>
          </cell>
          <cell r="H118">
            <v>100</v>
          </cell>
          <cell r="I118">
            <v>0</v>
          </cell>
        </row>
        <row r="119">
          <cell r="B119" t="str">
            <v>RM-SPS-MIN-SDE-LBL</v>
          </cell>
          <cell r="C119" t="str">
            <v>SPINE SAFE MINI SAMPLE SIDE LABEL</v>
          </cell>
          <cell r="D119" t="str">
            <v>NOS</v>
          </cell>
          <cell r="E119" t="str">
            <v>CBERM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B120" t="str">
            <v>RMI-PVC-130</v>
          </cell>
          <cell r="C120" t="str">
            <v>PVC ROLL 227.CMX130.MICRON</v>
          </cell>
          <cell r="D120" t="str">
            <v>KGS</v>
          </cell>
          <cell r="E120" t="str">
            <v>CBERM</v>
          </cell>
          <cell r="F120">
            <v>0</v>
          </cell>
          <cell r="G120">
            <v>0</v>
          </cell>
          <cell r="H120">
            <v>1500</v>
          </cell>
          <cell r="I120">
            <v>0</v>
          </cell>
        </row>
        <row r="121">
          <cell r="B121" t="str">
            <v>RM-TEND-PL-PLW-CVR</v>
          </cell>
          <cell r="C121" t="str">
            <v>TENDER PLUSH PILLOW COVER(PRINTED/LAMINATED POUCH)</v>
          </cell>
          <cell r="D121" t="str">
            <v>NOS</v>
          </cell>
          <cell r="E121" t="str">
            <v>CBERM</v>
          </cell>
          <cell r="F121">
            <v>0</v>
          </cell>
          <cell r="G121">
            <v>0</v>
          </cell>
          <cell r="H121">
            <v>1000</v>
          </cell>
          <cell r="I121">
            <v>0</v>
          </cell>
        </row>
        <row r="122">
          <cell r="B122" t="str">
            <v>RMI-PVC-250</v>
          </cell>
          <cell r="C122" t="str">
            <v>PVC ROLL 227.CMX250.MICRON</v>
          </cell>
          <cell r="D122" t="str">
            <v>KGS</v>
          </cell>
          <cell r="E122" t="str">
            <v>CBERM</v>
          </cell>
          <cell r="F122">
            <v>0</v>
          </cell>
          <cell r="G122">
            <v>0</v>
          </cell>
          <cell r="H122">
            <v>1000</v>
          </cell>
          <cell r="I122">
            <v>0</v>
          </cell>
        </row>
        <row r="123">
          <cell r="B123" t="str">
            <v>RMI-PVC-90</v>
          </cell>
          <cell r="C123" t="str">
            <v>PVC ROLL 227.CMX90.MICRON</v>
          </cell>
          <cell r="D123" t="str">
            <v>KGS</v>
          </cell>
          <cell r="E123" t="str">
            <v>CBERM</v>
          </cell>
          <cell r="F123">
            <v>0</v>
          </cell>
          <cell r="G123">
            <v>0</v>
          </cell>
          <cell r="H123">
            <v>15000</v>
          </cell>
          <cell r="I123">
            <v>4000</v>
          </cell>
        </row>
        <row r="124">
          <cell r="B124" t="str">
            <v>RMI-SPG-EDTAPE-BLACK</v>
          </cell>
          <cell r="C124" t="str">
            <v>EDGE TAPE.SPG BLACK</v>
          </cell>
          <cell r="D124" t="str">
            <v>MTR</v>
          </cell>
          <cell r="E124" t="str">
            <v>CBERM</v>
          </cell>
          <cell r="F124">
            <v>4000</v>
          </cell>
          <cell r="G124">
            <v>4000</v>
          </cell>
          <cell r="H124">
            <v>0</v>
          </cell>
          <cell r="I124">
            <v>0</v>
          </cell>
        </row>
        <row r="125">
          <cell r="B125" t="str">
            <v>RM-TRT-SDE-LBL</v>
          </cell>
          <cell r="C125" t="str">
            <v>TARTANIA SIDE LABEL</v>
          </cell>
          <cell r="D125" t="str">
            <v>NOS</v>
          </cell>
          <cell r="E125" t="str">
            <v>CBERM</v>
          </cell>
          <cell r="F125">
            <v>0</v>
          </cell>
          <cell r="G125">
            <v>0</v>
          </cell>
          <cell r="H125">
            <v>250</v>
          </cell>
          <cell r="I125">
            <v>0</v>
          </cell>
        </row>
        <row r="126">
          <cell r="B126" t="str">
            <v>RM-ZENIMO-SDE-LBL</v>
          </cell>
          <cell r="C126" t="str">
            <v>ZENIMO SIDE LABELS</v>
          </cell>
          <cell r="D126" t="str">
            <v>NOS</v>
          </cell>
          <cell r="E126" t="str">
            <v>CBERM</v>
          </cell>
          <cell r="F126">
            <v>0</v>
          </cell>
          <cell r="G126">
            <v>0</v>
          </cell>
          <cell r="H126">
            <v>200</v>
          </cell>
          <cell r="I126">
            <v>0</v>
          </cell>
        </row>
        <row r="127">
          <cell r="B127" t="str">
            <v>RMI-SPK-EDTAPE-DGRY</v>
          </cell>
          <cell r="C127" t="str">
            <v>EDGE TAPE. DARK GREY-IMPORT</v>
          </cell>
          <cell r="D127" t="str">
            <v>MTR</v>
          </cell>
          <cell r="E127" t="str">
            <v>CBERM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B128" t="str">
            <v>RM-KOM-MRP-STK-CNTR-PLW</v>
          </cell>
          <cell r="C128" t="str">
            <v>KOMFFY MEMORY CONTOUR PILLOW MRPLABEL</v>
          </cell>
          <cell r="D128" t="str">
            <v>NOS</v>
          </cell>
          <cell r="E128" t="str">
            <v>CBERM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B129" t="str">
            <v>RM-ZEN-MIN-SDE-LBL</v>
          </cell>
          <cell r="C129" t="str">
            <v>ZENIMO MINI SAMPLE SIDE LABEL</v>
          </cell>
          <cell r="D129" t="str">
            <v>NOS</v>
          </cell>
          <cell r="E129" t="str">
            <v>CBERM</v>
          </cell>
          <cell r="F129">
            <v>0</v>
          </cell>
          <cell r="G129">
            <v>0</v>
          </cell>
          <cell r="H129">
            <v>100</v>
          </cell>
          <cell r="I129">
            <v>0</v>
          </cell>
        </row>
        <row r="130">
          <cell r="B130" t="str">
            <v>RM-ZEN-NOT-LBL</v>
          </cell>
          <cell r="C130" t="str">
            <v>ZENIMO NO-TURN LABEL</v>
          </cell>
          <cell r="D130" t="str">
            <v>NOS</v>
          </cell>
          <cell r="E130" t="str">
            <v>CBERM</v>
          </cell>
          <cell r="F130">
            <v>0</v>
          </cell>
          <cell r="G130">
            <v>0</v>
          </cell>
          <cell r="H130">
            <v>2500</v>
          </cell>
          <cell r="I130">
            <v>0</v>
          </cell>
        </row>
        <row r="131">
          <cell r="B131" t="str">
            <v>RM-KOM-MRP-STK-HYP-USOFT</v>
          </cell>
          <cell r="C131" t="str">
            <v>KOMFFY PU FOAM PILLOW PILLOW MRP STICKER</v>
          </cell>
          <cell r="D131" t="str">
            <v>NOS</v>
          </cell>
          <cell r="E131" t="str">
            <v>CBERM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</row>
        <row r="132">
          <cell r="B132" t="str">
            <v>RM-KOM-MRP-STK-NCK-TUF</v>
          </cell>
          <cell r="C132" t="str">
            <v>KOMFFY TUFTED PILLOW MRP STICKER</v>
          </cell>
          <cell r="D132" t="str">
            <v>NOS</v>
          </cell>
          <cell r="E132" t="str">
            <v>CBERM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</row>
        <row r="133">
          <cell r="B133" t="str">
            <v>HW-LP-CIRCLIP</v>
          </cell>
          <cell r="C133" t="str">
            <v>BREATHER WASHER</v>
          </cell>
          <cell r="D133" t="str">
            <v>NOS</v>
          </cell>
          <cell r="E133" t="str">
            <v>CBERM</v>
          </cell>
          <cell r="F133">
            <v>0</v>
          </cell>
          <cell r="G133">
            <v>0</v>
          </cell>
          <cell r="H133">
            <v>10000</v>
          </cell>
          <cell r="I133">
            <v>25000</v>
          </cell>
        </row>
        <row r="134">
          <cell r="B134" t="str">
            <v>RM-KOM-PIL-CVR-HYP-USOFT</v>
          </cell>
          <cell r="C134" t="str">
            <v>KOMFFY PU FOAM PILLOW COVER</v>
          </cell>
          <cell r="D134" t="str">
            <v>NOS</v>
          </cell>
          <cell r="E134" t="str">
            <v>CBERM</v>
          </cell>
          <cell r="F134">
            <v>25000</v>
          </cell>
          <cell r="G134">
            <v>25000</v>
          </cell>
          <cell r="H134">
            <v>5000</v>
          </cell>
          <cell r="I134">
            <v>0</v>
          </cell>
        </row>
        <row r="135">
          <cell r="B135" t="str">
            <v>PEPS-MAT-CVR-78X36X07</v>
          </cell>
          <cell r="C135" t="str">
            <v>PEPS MATRESS COVER 78X36X07</v>
          </cell>
          <cell r="D135" t="str">
            <v>NOS</v>
          </cell>
          <cell r="E135" t="str">
            <v>CBERM</v>
          </cell>
          <cell r="F135">
            <v>0</v>
          </cell>
          <cell r="G135">
            <v>0</v>
          </cell>
          <cell r="H135">
            <v>70</v>
          </cell>
          <cell r="I135">
            <v>0</v>
          </cell>
        </row>
        <row r="136">
          <cell r="B136" t="str">
            <v>PEPS-MAT-CVR-78X36X09</v>
          </cell>
          <cell r="C136" t="str">
            <v>PEPS MATRESS COVER 78X36X09</v>
          </cell>
          <cell r="D136" t="str">
            <v>NOS</v>
          </cell>
          <cell r="E136" t="str">
            <v>CBERM</v>
          </cell>
          <cell r="F136">
            <v>0</v>
          </cell>
          <cell r="G136">
            <v>0</v>
          </cell>
          <cell r="H136">
            <v>70</v>
          </cell>
          <cell r="I136">
            <v>0</v>
          </cell>
        </row>
        <row r="137">
          <cell r="B137" t="str">
            <v>PEPS-MAT-CVR-78X48X09</v>
          </cell>
          <cell r="C137" t="str">
            <v>PEPS MATRESS COVER 78X48X09</v>
          </cell>
          <cell r="D137" t="str">
            <v>NOS</v>
          </cell>
          <cell r="E137" t="str">
            <v>CBERM</v>
          </cell>
          <cell r="F137">
            <v>0</v>
          </cell>
          <cell r="G137">
            <v>0</v>
          </cell>
          <cell r="H137">
            <v>70</v>
          </cell>
          <cell r="I137">
            <v>0</v>
          </cell>
        </row>
        <row r="138">
          <cell r="B138" t="str">
            <v>PEPS-MAT-CVR-78X60X09</v>
          </cell>
          <cell r="C138" t="str">
            <v>PEPS MATRESS COVER 78X60X09</v>
          </cell>
          <cell r="D138" t="str">
            <v>NOS</v>
          </cell>
          <cell r="E138" t="str">
            <v>CBERM</v>
          </cell>
          <cell r="F138">
            <v>0</v>
          </cell>
          <cell r="G138">
            <v>0</v>
          </cell>
          <cell r="H138">
            <v>70</v>
          </cell>
          <cell r="I138">
            <v>0</v>
          </cell>
        </row>
        <row r="139">
          <cell r="B139" t="str">
            <v>PEPS-PILW-PTRJBOX</v>
          </cell>
          <cell r="C139" t="str">
            <v>PEPS PILLOW PROTECTOR BOX JUMBO</v>
          </cell>
          <cell r="D139" t="str">
            <v>NOS</v>
          </cell>
          <cell r="E139" t="str">
            <v>CBERM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</row>
        <row r="140">
          <cell r="B140" t="str">
            <v>PEPS-PILW-PTRRBOX</v>
          </cell>
          <cell r="C140" t="str">
            <v>PEPS PILLOW PROTECTOR REGULAR JUMBO</v>
          </cell>
          <cell r="D140" t="str">
            <v>NOS</v>
          </cell>
          <cell r="E140" t="str">
            <v>CBERM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</row>
        <row r="141">
          <cell r="B141" t="str">
            <v>RM-KOM-WSCR-LBL-NCK-TUF</v>
          </cell>
          <cell r="C141" t="str">
            <v>KOMFFY TUFTED PILLOW WASH CARE LABLE</v>
          </cell>
          <cell r="D141" t="str">
            <v>NOS</v>
          </cell>
          <cell r="E141" t="str">
            <v>CBERM</v>
          </cell>
          <cell r="F141">
            <v>0</v>
          </cell>
          <cell r="G141">
            <v>0</v>
          </cell>
          <cell r="H141">
            <v>5000</v>
          </cell>
          <cell r="I141">
            <v>0</v>
          </cell>
        </row>
        <row r="142">
          <cell r="B142" t="str">
            <v>RML-1222J</v>
          </cell>
          <cell r="C142" t="str">
            <v>STAPLER PIN 1222J ((54000 PCS/CTN)</v>
          </cell>
          <cell r="D142" t="str">
            <v>BOX</v>
          </cell>
          <cell r="E142" t="str">
            <v>CBERM</v>
          </cell>
          <cell r="F142">
            <v>0</v>
          </cell>
          <cell r="G142">
            <v>0</v>
          </cell>
          <cell r="H142">
            <v>50</v>
          </cell>
          <cell r="I142">
            <v>0</v>
          </cell>
        </row>
        <row r="143">
          <cell r="B143" t="str">
            <v>RML-ADHESIVE</v>
          </cell>
          <cell r="C143" t="str">
            <v>WATER BASED ADHESIVE</v>
          </cell>
          <cell r="D143" t="str">
            <v>KGS</v>
          </cell>
          <cell r="E143" t="str">
            <v>CBERM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B144" t="str">
            <v>RML-ALU-PU-MOL-PLW-CVR</v>
          </cell>
          <cell r="C144" t="str">
            <v>Peps Allura PU Moulded Pillow Cover 560MMx740MM ( 12.MIC PET + 50.MIC LDPE)</v>
          </cell>
          <cell r="D144" t="str">
            <v>NOS</v>
          </cell>
          <cell r="E144" t="str">
            <v>CBERM</v>
          </cell>
          <cell r="F144">
            <v>0</v>
          </cell>
          <cell r="G144">
            <v>0</v>
          </cell>
          <cell r="H144">
            <v>1500</v>
          </cell>
          <cell r="I144">
            <v>0</v>
          </cell>
        </row>
        <row r="145">
          <cell r="B145" t="str">
            <v>RML-ARM-GUD-PLW-BOX</v>
          </cell>
          <cell r="C145" t="str">
            <v>ARM GUARD PILLOW BOX 3.PLY (49CMX12CMX68.4CM)</v>
          </cell>
          <cell r="D145" t="str">
            <v>NOS</v>
          </cell>
          <cell r="E145" t="str">
            <v>CBERM</v>
          </cell>
          <cell r="F145">
            <v>0</v>
          </cell>
          <cell r="G145">
            <v>0</v>
          </cell>
          <cell r="H145">
            <v>100</v>
          </cell>
          <cell r="I145">
            <v>0</v>
          </cell>
        </row>
        <row r="146">
          <cell r="B146" t="str">
            <v>RML-ARM-GURD-PLW-WSCR-LBL</v>
          </cell>
          <cell r="C146" t="str">
            <v>PEPS ARM GUARD PILLOW WASH CARE LABEL</v>
          </cell>
          <cell r="D146" t="str">
            <v>NOS</v>
          </cell>
          <cell r="E146" t="str">
            <v>CBERM</v>
          </cell>
          <cell r="F146">
            <v>0</v>
          </cell>
          <cell r="G146">
            <v>0</v>
          </cell>
          <cell r="H146">
            <v>1000</v>
          </cell>
          <cell r="I146">
            <v>0</v>
          </cell>
        </row>
        <row r="147">
          <cell r="B147" t="str">
            <v>RML-AUTO-CLOSE-HINGES</v>
          </cell>
          <cell r="C147" t="str">
            <v>AUTO CLOSE HINGES - ZERO CRANK</v>
          </cell>
          <cell r="D147" t="str">
            <v>SET</v>
          </cell>
          <cell r="E147" t="str">
            <v>CBERM</v>
          </cell>
          <cell r="F147">
            <v>0</v>
          </cell>
          <cell r="G147">
            <v>0</v>
          </cell>
          <cell r="H147">
            <v>25</v>
          </cell>
          <cell r="I147">
            <v>0</v>
          </cell>
        </row>
        <row r="148">
          <cell r="B148" t="str">
            <v>RML-FM-WHT-HANDLE</v>
          </cell>
          <cell r="C148" t="str">
            <v>FOAM MATTRESS WHITE WITH CREAM HANDLE</v>
          </cell>
          <cell r="D148" t="str">
            <v>NOS</v>
          </cell>
          <cell r="E148" t="str">
            <v>CBERM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B149" t="str">
            <v>RML-CUT-RES-GLS</v>
          </cell>
          <cell r="C149" t="str">
            <v>CUTTING RESISTANCE GLOVES</v>
          </cell>
          <cell r="D149" t="str">
            <v>PRS</v>
          </cell>
          <cell r="E149" t="str">
            <v>CBERM</v>
          </cell>
          <cell r="F149">
            <v>0</v>
          </cell>
          <cell r="G149">
            <v>0</v>
          </cell>
          <cell r="H149">
            <v>25</v>
          </cell>
          <cell r="I149">
            <v>24</v>
          </cell>
        </row>
        <row r="150">
          <cell r="B150" t="str">
            <v>RML-DD-WCRD</v>
          </cell>
          <cell r="C150" t="str">
            <v>PEPS DOUBLE DECKER WARRANTY CARD</v>
          </cell>
          <cell r="D150" t="str">
            <v>NOS</v>
          </cell>
          <cell r="E150" t="str">
            <v>CBERM</v>
          </cell>
          <cell r="F150">
            <v>24</v>
          </cell>
          <cell r="G150">
            <v>24</v>
          </cell>
          <cell r="H150">
            <v>0</v>
          </cell>
          <cell r="I150">
            <v>0</v>
          </cell>
        </row>
        <row r="151">
          <cell r="B151" t="str">
            <v>RML-FTD-SHT-75X60</v>
          </cell>
          <cell r="C151" t="str">
            <v>PEPS FITTED SHEET 75X60</v>
          </cell>
          <cell r="D151" t="str">
            <v>NOS</v>
          </cell>
          <cell r="E151" t="str">
            <v>CBERM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B152" t="str">
            <v>RML-FTD-SHT-75X72</v>
          </cell>
          <cell r="C152" t="str">
            <v>PEPS FITTED SHEET 75X72</v>
          </cell>
          <cell r="D152" t="str">
            <v>NOS</v>
          </cell>
          <cell r="E152" t="str">
            <v>CBERM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B153" t="str">
            <v>RML-FTD-SHT-78X60</v>
          </cell>
          <cell r="C153" t="str">
            <v>PEPS FITTED SHEET 78X60</v>
          </cell>
          <cell r="D153" t="str">
            <v>NOS</v>
          </cell>
          <cell r="E153" t="str">
            <v>CBERM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B154" t="str">
            <v>RML-FTD-SHT-78X72</v>
          </cell>
          <cell r="C154" t="str">
            <v>PEPS FITTED SHEET 78X72</v>
          </cell>
          <cell r="D154" t="str">
            <v>NOS</v>
          </cell>
          <cell r="E154" t="str">
            <v>CBERM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B155" t="str">
            <v>RML-FUR-SDE-LBL</v>
          </cell>
          <cell r="C155" t="str">
            <v>FURNO  SIDE LABEL</v>
          </cell>
          <cell r="D155" t="str">
            <v>NOS</v>
          </cell>
          <cell r="E155" t="str">
            <v>CBERM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</row>
        <row r="156">
          <cell r="B156" t="str">
            <v>RML-DRAWER-SLIDE</v>
          </cell>
          <cell r="C156" t="str">
            <v>DRAWER SLIDE-18"</v>
          </cell>
          <cell r="D156" t="str">
            <v>SET</v>
          </cell>
          <cell r="E156" t="str">
            <v>CBERM</v>
          </cell>
          <cell r="F156">
            <v>0</v>
          </cell>
          <cell r="G156">
            <v>0</v>
          </cell>
          <cell r="H156">
            <v>16</v>
          </cell>
          <cell r="I156">
            <v>0</v>
          </cell>
        </row>
        <row r="157">
          <cell r="B157" t="str">
            <v>RML-FUSI-LBL</v>
          </cell>
          <cell r="C157" t="str">
            <v>SPRINGKOIL SIDE LABEL - NEW &amp; IMPROVED (FUSING LABEL)</v>
          </cell>
          <cell r="D157" t="str">
            <v>NOS</v>
          </cell>
          <cell r="E157" t="str">
            <v>CBERM</v>
          </cell>
          <cell r="F157">
            <v>0</v>
          </cell>
          <cell r="G157">
            <v>0</v>
          </cell>
          <cell r="H157">
            <v>2000</v>
          </cell>
          <cell r="I157">
            <v>0</v>
          </cell>
        </row>
        <row r="158">
          <cell r="B158" t="str">
            <v>RML-GP-CRY-SDE-LBL</v>
          </cell>
          <cell r="C158" t="str">
            <v>CRYSTAL WHITE EMBROIDERY SIDE LABEL</v>
          </cell>
          <cell r="D158" t="str">
            <v>NOS</v>
          </cell>
          <cell r="E158" t="str">
            <v>CBERM</v>
          </cell>
          <cell r="F158">
            <v>0</v>
          </cell>
          <cell r="G158">
            <v>0</v>
          </cell>
          <cell r="H158">
            <v>200</v>
          </cell>
          <cell r="I158">
            <v>500</v>
          </cell>
        </row>
        <row r="159">
          <cell r="B159" t="str">
            <v>RML-DRN-LBL-TNDR</v>
          </cell>
          <cell r="C159" t="str">
            <v>TNDR - DIRECTION &amp; MRP LABEL</v>
          </cell>
          <cell r="D159" t="str">
            <v>NOS</v>
          </cell>
          <cell r="E159" t="str">
            <v>CBERM</v>
          </cell>
          <cell r="F159">
            <v>500</v>
          </cell>
          <cell r="G159">
            <v>500</v>
          </cell>
          <cell r="H159">
            <v>0</v>
          </cell>
          <cell r="I159">
            <v>0</v>
          </cell>
        </row>
        <row r="160">
          <cell r="B160" t="str">
            <v>RML-EDTAPE-BLAK-KNIT</v>
          </cell>
          <cell r="C160" t="str">
            <v>EDGE TAPE- BLACK (42MM ,12.5GRM/PER MTR KNITTED)</v>
          </cell>
          <cell r="D160" t="str">
            <v>MTR</v>
          </cell>
          <cell r="E160" t="str">
            <v>CBERM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</row>
        <row r="161">
          <cell r="B161" t="str">
            <v>RML-EDTAPE-BLUE</v>
          </cell>
          <cell r="C161" t="str">
            <v>EDGE TAPE.D BLUE(42MM ,12.5GRM/PER MTR KNITTED)</v>
          </cell>
          <cell r="D161" t="str">
            <v>MTR</v>
          </cell>
          <cell r="E161" t="str">
            <v>CBERM</v>
          </cell>
          <cell r="F161">
            <v>0</v>
          </cell>
          <cell r="G161">
            <v>0</v>
          </cell>
          <cell r="H161">
            <v>36000</v>
          </cell>
          <cell r="I161">
            <v>14400</v>
          </cell>
        </row>
        <row r="162">
          <cell r="B162" t="str">
            <v>RML-EDTAPE-BLUE-30MM</v>
          </cell>
          <cell r="C162" t="str">
            <v>EDGE TAPE.D BLUE - 30MM (KNITTED)</v>
          </cell>
          <cell r="D162" t="str">
            <v>MTR</v>
          </cell>
          <cell r="E162" t="str">
            <v>CBERM</v>
          </cell>
          <cell r="F162">
            <v>14400</v>
          </cell>
          <cell r="G162">
            <v>14400</v>
          </cell>
          <cell r="H162">
            <v>0</v>
          </cell>
          <cell r="I162">
            <v>0</v>
          </cell>
        </row>
        <row r="163">
          <cell r="B163" t="str">
            <v>RML-EDTAPE-BRN-30MM</v>
          </cell>
          <cell r="C163" t="str">
            <v>EDGE TAPE BROWN - 30MM (KNITTED)</v>
          </cell>
          <cell r="D163" t="str">
            <v>MTR</v>
          </cell>
          <cell r="E163" t="str">
            <v>CBERM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</row>
        <row r="164">
          <cell r="B164" t="str">
            <v>RML-EDTAPE-MER-30MM</v>
          </cell>
          <cell r="C164" t="str">
            <v>EDGE TAPE MAROON - 30MM (KNITTED)</v>
          </cell>
          <cell r="D164" t="str">
            <v>MTR</v>
          </cell>
          <cell r="E164" t="str">
            <v>CBERM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</row>
        <row r="165">
          <cell r="B165" t="str">
            <v>RML-EDTAPE-SANI-GREY</v>
          </cell>
          <cell r="C165" t="str">
            <v>EDGE TAPE SANIBEL GREY (43MM, 14.5GRAM/METER FDY)</v>
          </cell>
          <cell r="D165" t="str">
            <v>MTR</v>
          </cell>
          <cell r="E165" t="str">
            <v>CBERM</v>
          </cell>
          <cell r="F165">
            <v>0</v>
          </cell>
          <cell r="G165">
            <v>0</v>
          </cell>
          <cell r="H165">
            <v>9600</v>
          </cell>
          <cell r="I165">
            <v>12000</v>
          </cell>
        </row>
        <row r="166">
          <cell r="B166" t="str">
            <v>RML-EDTAPE-YEL-FDY</v>
          </cell>
          <cell r="C166" t="str">
            <v>EDGE TAPE. YELLOW (43MM ,14.5GRM/PER MTR FDY )</v>
          </cell>
          <cell r="D166" t="str">
            <v>MTR</v>
          </cell>
          <cell r="E166" t="str">
            <v>CBERM</v>
          </cell>
          <cell r="F166">
            <v>12000</v>
          </cell>
          <cell r="G166">
            <v>12000</v>
          </cell>
          <cell r="H166">
            <v>4800</v>
          </cell>
          <cell r="I166">
            <v>0</v>
          </cell>
        </row>
        <row r="167">
          <cell r="B167" t="str">
            <v>RML-EPE-ROLL</v>
          </cell>
          <cell r="C167" t="str">
            <v>EXPANDED POLYETHYLENE ROLL 59" WIDTH X 5MM THICKNESS</v>
          </cell>
          <cell r="D167" t="str">
            <v>MTR</v>
          </cell>
          <cell r="E167" t="str">
            <v>CBERM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B168" t="str">
            <v>RML-HARM-BED-SHT-108X120</v>
          </cell>
          <cell r="C168" t="str">
            <v>HARMONIZE BED SHEET - SUPER KING 108X120 ( 1 + 2 )</v>
          </cell>
          <cell r="D168" t="str">
            <v>NOS</v>
          </cell>
          <cell r="E168" t="str">
            <v>CBERM</v>
          </cell>
          <cell r="F168">
            <v>0</v>
          </cell>
          <cell r="G168">
            <v>0</v>
          </cell>
          <cell r="H168">
            <v>250</v>
          </cell>
          <cell r="I168">
            <v>0</v>
          </cell>
        </row>
        <row r="169">
          <cell r="B169" t="str">
            <v>RML-FIRE-RET-ADHE</v>
          </cell>
          <cell r="C169" t="str">
            <v>CHEMICAL FIRE RETARDANT ADHESIVE</v>
          </cell>
          <cell r="D169" t="str">
            <v>KGS</v>
          </cell>
          <cell r="E169" t="str">
            <v>CBERM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</row>
        <row r="170">
          <cell r="B170" t="str">
            <v>RML-FIX-BRACKET</v>
          </cell>
          <cell r="C170" t="str">
            <v>BASE AND HB FIXING BRACKET</v>
          </cell>
          <cell r="D170" t="str">
            <v>SET</v>
          </cell>
          <cell r="E170" t="str">
            <v>CBERM</v>
          </cell>
          <cell r="F170">
            <v>0</v>
          </cell>
          <cell r="G170">
            <v>0</v>
          </cell>
          <cell r="H170">
            <v>200</v>
          </cell>
          <cell r="I170">
            <v>0</v>
          </cell>
        </row>
        <row r="171">
          <cell r="B171" t="str">
            <v>RML-FLXI-NECK-PLW-WSCR-LBL</v>
          </cell>
          <cell r="C171" t="str">
            <v>FLEXI NECK PILLOW WASH CARE LABEL</v>
          </cell>
          <cell r="D171" t="str">
            <v>NOS</v>
          </cell>
          <cell r="E171" t="str">
            <v>CBERM</v>
          </cell>
          <cell r="F171">
            <v>0</v>
          </cell>
          <cell r="G171">
            <v>0</v>
          </cell>
          <cell r="H171">
            <v>500</v>
          </cell>
          <cell r="I171">
            <v>0</v>
          </cell>
        </row>
        <row r="172">
          <cell r="B172" t="str">
            <v>RML-FLXI-SPN-LDPE-7X30+4FX75MIC</v>
          </cell>
          <cell r="C172" t="str">
            <v>FLEXI SPINE LDPE PLAIN SEAL KING BAG 7"X 30"+ 4"F X 75MIC</v>
          </cell>
          <cell r="D172" t="str">
            <v>NOS</v>
          </cell>
          <cell r="E172" t="str">
            <v>CBERM</v>
          </cell>
          <cell r="F172">
            <v>0</v>
          </cell>
          <cell r="G172">
            <v>0</v>
          </cell>
          <cell r="H172">
            <v>300</v>
          </cell>
          <cell r="I172">
            <v>0</v>
          </cell>
        </row>
        <row r="173">
          <cell r="B173" t="str">
            <v>RML-PAN-POLY-BAG-73XW22</v>
          </cell>
          <cell r="C173" t="str">
            <v>Panorama Mattress Roll Packing Polyester Bag D13.5" X W22" X L73" (Blue)</v>
          </cell>
          <cell r="D173" t="str">
            <v>NOS</v>
          </cell>
          <cell r="E173" t="str">
            <v>CBERM</v>
          </cell>
          <cell r="F173">
            <v>0</v>
          </cell>
          <cell r="G173">
            <v>0</v>
          </cell>
          <cell r="H173">
            <v>150</v>
          </cell>
          <cell r="I173">
            <v>0</v>
          </cell>
        </row>
        <row r="174">
          <cell r="B174" t="str">
            <v>RML-PAN-WCRD</v>
          </cell>
          <cell r="C174" t="str">
            <v>PANORAMA 10 YEARS WARRANTY CARD</v>
          </cell>
          <cell r="D174" t="str">
            <v>NOS</v>
          </cell>
          <cell r="E174" t="str">
            <v>CBERM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B175" t="str">
            <v>RML-HNDL-ALLURA-BLUE</v>
          </cell>
          <cell r="C175" t="str">
            <v>PEPS ALLURA BLUE HANDLE</v>
          </cell>
          <cell r="D175" t="str">
            <v>NOS</v>
          </cell>
          <cell r="E175" t="str">
            <v>CBERM</v>
          </cell>
          <cell r="F175">
            <v>0</v>
          </cell>
          <cell r="G175">
            <v>0</v>
          </cell>
          <cell r="H175">
            <v>500</v>
          </cell>
          <cell r="I175">
            <v>0</v>
          </cell>
        </row>
        <row r="176">
          <cell r="B176" t="str">
            <v>RML-HNDL-ALLURA-OR</v>
          </cell>
          <cell r="C176" t="str">
            <v>PEPS ALLURA ORANGE HANDLE</v>
          </cell>
          <cell r="D176" t="str">
            <v>NOS</v>
          </cell>
          <cell r="E176" t="str">
            <v>CBERM</v>
          </cell>
          <cell r="F176">
            <v>0</v>
          </cell>
          <cell r="G176">
            <v>0</v>
          </cell>
          <cell r="H176">
            <v>1000</v>
          </cell>
          <cell r="I176">
            <v>0</v>
          </cell>
        </row>
        <row r="177">
          <cell r="B177" t="str">
            <v>RML-HNDL-ARD-BRN</v>
          </cell>
          <cell r="C177" t="str">
            <v>RESTONIC ARDENE BROWN HANDLE</v>
          </cell>
          <cell r="D177" t="str">
            <v>NOS</v>
          </cell>
          <cell r="E177" t="str">
            <v>CBERM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</row>
        <row r="178">
          <cell r="B178" t="str">
            <v>RML-HNDL-ARD-GREY</v>
          </cell>
          <cell r="C178" t="str">
            <v>RESTONIC ARDENE GREY HANDLE</v>
          </cell>
          <cell r="D178" t="str">
            <v>NOS</v>
          </cell>
          <cell r="E178" t="str">
            <v>CBERM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B179" t="str">
            <v>RML-HNDL-CAR-BLUE</v>
          </cell>
          <cell r="C179" t="str">
            <v>RESTONIC CAROUSEL BLUE HANDLE</v>
          </cell>
          <cell r="D179" t="str">
            <v>NOS</v>
          </cell>
          <cell r="E179" t="str">
            <v>CBERM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B180" t="str">
            <v>RML-HNDL-CAR-CRM</v>
          </cell>
          <cell r="C180" t="str">
            <v>RESTONIC CAROUSEL CREAM HANDLE</v>
          </cell>
          <cell r="D180" t="str">
            <v>NOS</v>
          </cell>
          <cell r="E180" t="str">
            <v>CBERM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B181" t="str">
            <v>RML-HNDL-CAR-PL-CRM</v>
          </cell>
          <cell r="C181" t="str">
            <v>RESTONIC CAROUSEL PLUSH CREAM HANDLE</v>
          </cell>
          <cell r="D181" t="str">
            <v>NOS</v>
          </cell>
          <cell r="E181" t="str">
            <v>CBERM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B182" t="str">
            <v>RML-HNDL-FTN-BLUE</v>
          </cell>
          <cell r="C182" t="str">
            <v>RESTONIC FONTAINE BLUE HANDLE</v>
          </cell>
          <cell r="D182" t="str">
            <v>NOS</v>
          </cell>
          <cell r="E182" t="str">
            <v>CBERM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</row>
        <row r="183">
          <cell r="B183" t="str">
            <v>RML-HNDL-FTN-BRN</v>
          </cell>
          <cell r="C183" t="str">
            <v>RESTONIC FONTAINE BROWN HANDLE</v>
          </cell>
          <cell r="D183" t="str">
            <v>NOS</v>
          </cell>
          <cell r="E183" t="str">
            <v>CBERM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</row>
        <row r="184">
          <cell r="B184" t="str">
            <v>RML-HNDL-GEN-OPU-BLUE</v>
          </cell>
          <cell r="C184" t="str">
            <v>RESTONIC GENEVA OPULENCE BLUE HANDLE</v>
          </cell>
          <cell r="D184" t="str">
            <v>NOS</v>
          </cell>
          <cell r="E184" t="str">
            <v>CBERM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</row>
        <row r="185">
          <cell r="B185" t="str">
            <v>RML-HNDL-GEN-OPU-CRM</v>
          </cell>
          <cell r="C185" t="str">
            <v>RESTONIC GENEVA OPULENCE CREAM HANDLE</v>
          </cell>
          <cell r="D185" t="str">
            <v>NOS</v>
          </cell>
          <cell r="E185" t="str">
            <v>CBERM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</row>
        <row r="186">
          <cell r="B186" t="str">
            <v>RML-HNDL-SAN-BG</v>
          </cell>
          <cell r="C186" t="str">
            <v>RESTONIC SANIBEL BEIGE HANDLE</v>
          </cell>
          <cell r="D186" t="str">
            <v>NOS</v>
          </cell>
          <cell r="E186" t="str">
            <v>CBERM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</row>
        <row r="187">
          <cell r="B187" t="str">
            <v>RML-HNDL-SAN-GREY</v>
          </cell>
          <cell r="C187" t="str">
            <v>RESTONIC SANIBEL GREY HANDLE</v>
          </cell>
          <cell r="D187" t="str">
            <v>NOS</v>
          </cell>
          <cell r="E187" t="str">
            <v>CBERM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</row>
        <row r="188">
          <cell r="B188" t="str">
            <v>RML-HNDL-SAN-MRN</v>
          </cell>
          <cell r="C188" t="str">
            <v>RESTONIC SANIBEL MAROON HANDLE</v>
          </cell>
          <cell r="D188" t="str">
            <v>NOS</v>
          </cell>
          <cell r="E188" t="str">
            <v>CBERM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</row>
        <row r="189">
          <cell r="B189" t="str">
            <v>RML-PART-WOOD-8X4X11MM</v>
          </cell>
          <cell r="C189" t="str">
            <v>Laminated Plain Particle Board 8x4x11MM</v>
          </cell>
          <cell r="D189" t="str">
            <v>NOS</v>
          </cell>
          <cell r="E189" t="str">
            <v>CBERM</v>
          </cell>
          <cell r="F189">
            <v>250</v>
          </cell>
          <cell r="G189">
            <v>250</v>
          </cell>
          <cell r="H189">
            <v>0</v>
          </cell>
          <cell r="I189">
            <v>0</v>
          </cell>
        </row>
        <row r="190">
          <cell r="B190" t="str">
            <v>RML-HSCF-15DX64MM</v>
          </cell>
          <cell r="C190" t="str">
            <v>15D X 64MM Hollow Siliconised Conjugate Fiber</v>
          </cell>
          <cell r="D190" t="str">
            <v>KGS</v>
          </cell>
          <cell r="E190" t="str">
            <v>CBERM</v>
          </cell>
          <cell r="F190">
            <v>0</v>
          </cell>
          <cell r="G190">
            <v>0</v>
          </cell>
          <cell r="H190">
            <v>6000</v>
          </cell>
          <cell r="I190">
            <v>15000</v>
          </cell>
        </row>
        <row r="191">
          <cell r="B191" t="str">
            <v>RML-HSRF-15DX64MM-TNDR</v>
          </cell>
          <cell r="C191" t="str">
            <v>TNDR - 15D X 64MM HOLLOW SILICONSED RECYCLE FIBER</v>
          </cell>
          <cell r="D191" t="str">
            <v>KGS</v>
          </cell>
          <cell r="E191" t="str">
            <v>CBERM</v>
          </cell>
          <cell r="F191">
            <v>15000</v>
          </cell>
          <cell r="G191">
            <v>15000</v>
          </cell>
          <cell r="H191">
            <v>0</v>
          </cell>
          <cell r="I191">
            <v>0</v>
          </cell>
        </row>
        <row r="192">
          <cell r="B192" t="str">
            <v>RML-PEPS-GRIP-WASH-LBL</v>
          </cell>
          <cell r="C192" t="str">
            <v>PEPS GRIPSTER WASH CARE LABEL</v>
          </cell>
          <cell r="D192" t="str">
            <v>NOS</v>
          </cell>
          <cell r="E192" t="str">
            <v>CBERM</v>
          </cell>
          <cell r="F192">
            <v>0</v>
          </cell>
          <cell r="G192">
            <v>0</v>
          </cell>
          <cell r="H192">
            <v>100</v>
          </cell>
          <cell r="I192">
            <v>0</v>
          </cell>
        </row>
        <row r="193">
          <cell r="B193" t="str">
            <v>RML-PILW-WARR-STICK</v>
          </cell>
          <cell r="C193" t="str">
            <v>PILLOW WARRANTY STICKER</v>
          </cell>
          <cell r="D193" t="str">
            <v>NOS</v>
          </cell>
          <cell r="E193" t="str">
            <v>CBERM</v>
          </cell>
          <cell r="F193">
            <v>0</v>
          </cell>
          <cell r="G193">
            <v>0</v>
          </cell>
          <cell r="H193">
            <v>1500</v>
          </cell>
          <cell r="I193">
            <v>0</v>
          </cell>
        </row>
        <row r="194">
          <cell r="B194" t="str">
            <v>RML-PL-DST-COV-FOL-COT</v>
          </cell>
          <cell r="C194" t="str">
            <v>PLASTIC DUST COVER FOR FOLDABLE COT</v>
          </cell>
          <cell r="D194" t="str">
            <v>NOS</v>
          </cell>
          <cell r="E194" t="str">
            <v>CBERM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</row>
        <row r="195">
          <cell r="B195" t="str">
            <v>RML-HYP-FOM-SDE-LBL</v>
          </cell>
          <cell r="C195" t="str">
            <v>HYPNOS Foamera SIDE LABEL</v>
          </cell>
          <cell r="D195" t="str">
            <v>NOS</v>
          </cell>
          <cell r="E195" t="str">
            <v>CBERM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</row>
        <row r="196">
          <cell r="B196" t="str">
            <v>RML-PLWCVR-NCKGRD</v>
          </cell>
          <cell r="C196" t="str">
            <v>PEPS TUFTED PILLOW COVER</v>
          </cell>
          <cell r="D196" t="str">
            <v>NOS</v>
          </cell>
          <cell r="E196" t="str">
            <v>CBERM</v>
          </cell>
          <cell r="F196">
            <v>0</v>
          </cell>
          <cell r="G196">
            <v>0</v>
          </cell>
          <cell r="H196">
            <v>1000</v>
          </cell>
          <cell r="I196">
            <v>0</v>
          </cell>
        </row>
        <row r="197">
          <cell r="B197" t="str">
            <v>RM-REX-BED-RUNNER-BL</v>
          </cell>
          <cell r="C197" t="str">
            <v>REXIN BED RUNNER BLACK</v>
          </cell>
          <cell r="D197" t="str">
            <v>NOS</v>
          </cell>
          <cell r="E197" t="str">
            <v>CBERM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</row>
        <row r="198">
          <cell r="B198" t="str">
            <v>RML-HYP-MEM-SDE-LBL</v>
          </cell>
          <cell r="C198" t="str">
            <v>HYPNOS MEMORIO SIDE LABEL</v>
          </cell>
          <cell r="D198" t="str">
            <v>NOS</v>
          </cell>
          <cell r="E198" t="str">
            <v>CBERM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B199" t="str">
            <v>RM-THRD-QS-TKT40-GOLD</v>
          </cell>
          <cell r="C199" t="str">
            <v>TKT40  GOLD THREAD 3 PLY 7000 MTS</v>
          </cell>
          <cell r="D199" t="str">
            <v>NOS</v>
          </cell>
          <cell r="E199" t="str">
            <v>CBERM</v>
          </cell>
          <cell r="F199">
            <v>0</v>
          </cell>
          <cell r="G199">
            <v>0</v>
          </cell>
          <cell r="H199">
            <v>24</v>
          </cell>
          <cell r="I199">
            <v>0</v>
          </cell>
        </row>
        <row r="200">
          <cell r="B200" t="str">
            <v>RM-THRD-QS-TKT90</v>
          </cell>
          <cell r="C200" t="str">
            <v>THREAD TKT90 300D/1 PLY 16700MTS</v>
          </cell>
          <cell r="D200" t="str">
            <v>NOS</v>
          </cell>
          <cell r="E200" t="str">
            <v>CBERM</v>
          </cell>
          <cell r="F200">
            <v>0</v>
          </cell>
          <cell r="G200">
            <v>0</v>
          </cell>
          <cell r="H200">
            <v>350</v>
          </cell>
          <cell r="I200">
            <v>320</v>
          </cell>
        </row>
        <row r="201">
          <cell r="B201" t="str">
            <v>RML-HYP-SPS-SDE-LBL</v>
          </cell>
          <cell r="C201" t="str">
            <v>HYPNOS SPINE SAFE SIDE LABEL</v>
          </cell>
          <cell r="D201" t="str">
            <v>NOS</v>
          </cell>
          <cell r="E201" t="str">
            <v>CBERM</v>
          </cell>
          <cell r="F201">
            <v>320</v>
          </cell>
          <cell r="G201">
            <v>320</v>
          </cell>
          <cell r="H201">
            <v>0</v>
          </cell>
          <cell r="I201">
            <v>0</v>
          </cell>
        </row>
        <row r="202">
          <cell r="B202" t="str">
            <v>RM-THRD-TKT40-BLACK</v>
          </cell>
          <cell r="C202" t="str">
            <v>3 PLY POLYESTER THREAD 702/ TKT 40 BLACK 10000 MTR</v>
          </cell>
          <cell r="D202" t="str">
            <v>NOS</v>
          </cell>
          <cell r="E202" t="str">
            <v>CBERM</v>
          </cell>
          <cell r="F202">
            <v>0</v>
          </cell>
          <cell r="G202">
            <v>0</v>
          </cell>
          <cell r="H202">
            <v>80</v>
          </cell>
          <cell r="I202">
            <v>80</v>
          </cell>
        </row>
        <row r="203">
          <cell r="B203" t="str">
            <v>RM-ZENIMO-SDE-LBL-SMALL</v>
          </cell>
          <cell r="C203" t="str">
            <v>ZENIMO SMALL SIDE LABEL</v>
          </cell>
          <cell r="D203" t="str">
            <v>NOS</v>
          </cell>
          <cell r="E203" t="str">
            <v>CBERM</v>
          </cell>
          <cell r="F203">
            <v>80</v>
          </cell>
          <cell r="G203">
            <v>80</v>
          </cell>
          <cell r="H203">
            <v>0</v>
          </cell>
          <cell r="I203">
            <v>0</v>
          </cell>
        </row>
        <row r="204">
          <cell r="B204" t="str">
            <v>RML-INS-SDE-LBL</v>
          </cell>
          <cell r="C204" t="str">
            <v>INSPREE SIDE LABEL</v>
          </cell>
          <cell r="D204" t="str">
            <v>NOS</v>
          </cell>
          <cell r="E204" t="str">
            <v>CBERM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B205" t="str">
            <v>RML-INSTI-JUMBO-GUST-PILLOW</v>
          </cell>
          <cell r="C205" t="str">
            <v>PEPS INSTITUTIONAL JUMBO PLUSH PILLOW- GUSSETTED</v>
          </cell>
          <cell r="D205" t="str">
            <v>NOS</v>
          </cell>
          <cell r="E205" t="str">
            <v>CBERM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</row>
        <row r="206">
          <cell r="B206" t="str">
            <v>RML-INSTI-STRGZ-PILLOW</v>
          </cell>
          <cell r="C206" t="str">
            <v>PEPS INSTITUTIONAL STARGAZE PILLOW</v>
          </cell>
          <cell r="D206" t="str">
            <v>NOS</v>
          </cell>
          <cell r="E206" t="str">
            <v>CBERM</v>
          </cell>
          <cell r="F206">
            <v>0</v>
          </cell>
          <cell r="G206">
            <v>0</v>
          </cell>
          <cell r="H206">
            <v>300</v>
          </cell>
          <cell r="I206">
            <v>0</v>
          </cell>
        </row>
        <row r="207">
          <cell r="B207" t="str">
            <v>RML-INSTI-STRGZ-PL-PILLOW</v>
          </cell>
          <cell r="C207" t="str">
            <v>PEPS INSTITUTIONAL STARGAZE PLUS PILLOW</v>
          </cell>
          <cell r="D207" t="str">
            <v>NOS</v>
          </cell>
          <cell r="E207" t="str">
            <v>CBERM</v>
          </cell>
          <cell r="F207">
            <v>0</v>
          </cell>
          <cell r="G207">
            <v>0</v>
          </cell>
          <cell r="H207">
            <v>300</v>
          </cell>
          <cell r="I207">
            <v>1000</v>
          </cell>
        </row>
        <row r="208">
          <cell r="B208" t="str">
            <v>RM-ZENIMO-WCRD</v>
          </cell>
          <cell r="C208" t="str">
            <v>ZENIMO WARRANTY CARD</v>
          </cell>
          <cell r="D208" t="str">
            <v>NOS</v>
          </cell>
          <cell r="E208" t="str">
            <v>CBERM</v>
          </cell>
          <cell r="F208">
            <v>1000</v>
          </cell>
          <cell r="G208">
            <v>1000</v>
          </cell>
          <cell r="H208">
            <v>0</v>
          </cell>
          <cell r="I208">
            <v>0</v>
          </cell>
        </row>
        <row r="209">
          <cell r="B209" t="str">
            <v>HW-CTON-THREAD</v>
          </cell>
          <cell r="C209" t="str">
            <v>COTTON THREAD WHITE 3PLY</v>
          </cell>
          <cell r="D209" t="str">
            <v>NOS</v>
          </cell>
          <cell r="E209" t="str">
            <v>CBERM</v>
          </cell>
          <cell r="F209">
            <v>0</v>
          </cell>
          <cell r="G209">
            <v>0</v>
          </cell>
          <cell r="H209">
            <v>150</v>
          </cell>
          <cell r="I209">
            <v>400</v>
          </cell>
        </row>
        <row r="210">
          <cell r="B210" t="str">
            <v>HW-POWDER</v>
          </cell>
          <cell r="C210" t="str">
            <v>Powder</v>
          </cell>
          <cell r="D210" t="str">
            <v>NOS</v>
          </cell>
          <cell r="E210" t="str">
            <v>CBERM</v>
          </cell>
          <cell r="F210">
            <v>400</v>
          </cell>
          <cell r="G210">
            <v>400</v>
          </cell>
          <cell r="H210">
            <v>100</v>
          </cell>
          <cell r="I210">
            <v>400</v>
          </cell>
        </row>
        <row r="211">
          <cell r="B211" t="str">
            <v>HW-POWDER-BAG</v>
          </cell>
          <cell r="C211" t="str">
            <v>POWDER BAG</v>
          </cell>
          <cell r="D211" t="str">
            <v>KGS</v>
          </cell>
          <cell r="E211" t="str">
            <v>CBERM</v>
          </cell>
          <cell r="F211">
            <v>400</v>
          </cell>
          <cell r="G211">
            <v>400</v>
          </cell>
          <cell r="H211">
            <v>0</v>
          </cell>
          <cell r="I211">
            <v>0</v>
          </cell>
        </row>
        <row r="212">
          <cell r="B212" t="str">
            <v>RML-BAG-75.5X36.5X08</v>
          </cell>
          <cell r="C212" t="str">
            <v>PVC BAG 75.5WX36.5HX8G</v>
          </cell>
          <cell r="D212" t="str">
            <v>NOS</v>
          </cell>
          <cell r="E212" t="str">
            <v>CBERM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</row>
        <row r="213">
          <cell r="B213" t="str">
            <v>RML-BAG-75.5X36.5X10</v>
          </cell>
          <cell r="C213" t="str">
            <v>PVC BAG 75.5X36.5X10</v>
          </cell>
          <cell r="D213" t="str">
            <v>NOS</v>
          </cell>
          <cell r="E213" t="str">
            <v>CBERM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</row>
        <row r="214">
          <cell r="B214" t="str">
            <v>RML-REX-BEIGE</v>
          </cell>
          <cell r="C214" t="str">
            <v>REXINE FABRIC BEIGE</v>
          </cell>
          <cell r="D214" t="str">
            <v>MTR</v>
          </cell>
          <cell r="E214" t="str">
            <v>CBERM</v>
          </cell>
          <cell r="F214">
            <v>0</v>
          </cell>
          <cell r="G214">
            <v>0</v>
          </cell>
          <cell r="H214">
            <v>150</v>
          </cell>
          <cell r="I214">
            <v>300</v>
          </cell>
        </row>
        <row r="215">
          <cell r="B215" t="str">
            <v>RML-REX-DBLACK</v>
          </cell>
          <cell r="C215" t="str">
            <v>ITALIANO BASE &amp; HEADBORAD BLACK REXIN FABRIC</v>
          </cell>
          <cell r="D215" t="str">
            <v>MTR</v>
          </cell>
          <cell r="E215" t="str">
            <v>CBERM</v>
          </cell>
          <cell r="F215">
            <v>300</v>
          </cell>
          <cell r="G215">
            <v>300</v>
          </cell>
          <cell r="H215">
            <v>150</v>
          </cell>
          <cell r="I215">
            <v>0</v>
          </cell>
        </row>
        <row r="216">
          <cell r="B216" t="str">
            <v>RML-REX-FBR-SPK-MR</v>
          </cell>
          <cell r="C216" t="str">
            <v>REXINE FABRIC MAROON</v>
          </cell>
          <cell r="D216" t="str">
            <v>MTR</v>
          </cell>
          <cell r="E216" t="str">
            <v>CBERM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B217" t="str">
            <v>RML-REX-GREY</v>
          </cell>
          <cell r="C217" t="str">
            <v>REXINE FABRIC GREY</v>
          </cell>
          <cell r="D217" t="str">
            <v>MTR</v>
          </cell>
          <cell r="E217" t="str">
            <v>CBERM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B218" t="str">
            <v>RML-REX-WHITE</v>
          </cell>
          <cell r="C218" t="str">
            <v>MS 2000(STD) REXINE FABRIC WHITE</v>
          </cell>
          <cell r="D218" t="str">
            <v>MTR</v>
          </cell>
          <cell r="E218" t="str">
            <v>CBERM</v>
          </cell>
          <cell r="F218">
            <v>0</v>
          </cell>
          <cell r="G218">
            <v>0</v>
          </cell>
          <cell r="H218">
            <v>150</v>
          </cell>
          <cell r="I218">
            <v>0</v>
          </cell>
        </row>
        <row r="219">
          <cell r="B219" t="str">
            <v>RML-BAG-75.5X36.5X10.5</v>
          </cell>
          <cell r="C219" t="str">
            <v>PVC BAG 75.5X36.5X10.5</v>
          </cell>
          <cell r="D219" t="str">
            <v>NOS</v>
          </cell>
          <cell r="E219" t="str">
            <v>CBERM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</row>
        <row r="220">
          <cell r="B220" t="str">
            <v>RML-BAG-75.5X36.5X8.5</v>
          </cell>
          <cell r="C220" t="str">
            <v>PVC BAG 75.5WX36.5HX8.5G</v>
          </cell>
          <cell r="D220" t="str">
            <v>NOS</v>
          </cell>
          <cell r="E220" t="str">
            <v>CBERM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</row>
        <row r="221">
          <cell r="B221" t="str">
            <v>RML-FLXI-SPN-PVC-HOSE</v>
          </cell>
          <cell r="C221" t="str">
            <v>FLEXI SPINE PVC HOSE 1/2" X 26"</v>
          </cell>
          <cell r="D221" t="str">
            <v>NOS</v>
          </cell>
          <cell r="E221" t="str">
            <v>CBERM</v>
          </cell>
          <cell r="F221">
            <v>0</v>
          </cell>
          <cell r="G221">
            <v>0</v>
          </cell>
          <cell r="H221">
            <v>500</v>
          </cell>
          <cell r="I221">
            <v>0</v>
          </cell>
        </row>
        <row r="222">
          <cell r="B222" t="str">
            <v>RML-FLX-STRAP-GRY</v>
          </cell>
          <cell r="C222" t="str">
            <v>FLEXI SPINE PILLOW STRAP GREY-12MM</v>
          </cell>
          <cell r="D222" t="str">
            <v>MTR</v>
          </cell>
          <cell r="E222" t="str">
            <v>CBERM</v>
          </cell>
          <cell r="F222">
            <v>0</v>
          </cell>
          <cell r="G222">
            <v>0</v>
          </cell>
          <cell r="H222">
            <v>100</v>
          </cell>
          <cell r="I222">
            <v>0</v>
          </cell>
        </row>
        <row r="223">
          <cell r="B223" t="str">
            <v>RML-FLX-STRAP-NVBL</v>
          </cell>
          <cell r="C223" t="str">
            <v>FLEXI SPINE PILLOW STRAP NAVY BLUE-12MM</v>
          </cell>
          <cell r="D223" t="str">
            <v>MTR</v>
          </cell>
          <cell r="E223" t="str">
            <v>CBERM</v>
          </cell>
          <cell r="F223">
            <v>0</v>
          </cell>
          <cell r="G223">
            <v>0</v>
          </cell>
          <cell r="H223">
            <v>100</v>
          </cell>
          <cell r="I223">
            <v>0</v>
          </cell>
        </row>
        <row r="224">
          <cell r="B224" t="str">
            <v>RML-FOAMERA-WCRD</v>
          </cell>
          <cell r="C224" t="str">
            <v>FOAMERA 7 YEARS WARRANTY CARD</v>
          </cell>
          <cell r="D224" t="str">
            <v>NOS</v>
          </cell>
          <cell r="E224" t="str">
            <v>CBERM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B225" t="str">
            <v>RML-FUR-WCRD</v>
          </cell>
          <cell r="C225" t="str">
            <v>FURNO 2 YEARS WARRANTY CARD</v>
          </cell>
          <cell r="D225" t="str">
            <v>NOS</v>
          </cell>
          <cell r="E225" t="str">
            <v>CBERM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B226" t="str">
            <v>RML-SAMP-FIBER</v>
          </cell>
          <cell r="C226" t="str">
            <v>SAMPLE - POLYESTER FIBER</v>
          </cell>
          <cell r="D226" t="str">
            <v>KGS</v>
          </cell>
          <cell r="E226" t="str">
            <v>CBERM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B227" t="str">
            <v>RML-GP-CRY-WCRD</v>
          </cell>
          <cell r="C227" t="str">
            <v>PEPS GP CRYSTAL WARRANTY CARD</v>
          </cell>
          <cell r="D227" t="str">
            <v>NOS</v>
          </cell>
          <cell r="E227" t="str">
            <v>CBERM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B228" t="str">
            <v>RML-GPS-WCRD</v>
          </cell>
          <cell r="C228" t="str">
            <v>PEPS GRAND PLAIS WARRANTY CARD</v>
          </cell>
          <cell r="D228" t="str">
            <v>NOS</v>
          </cell>
          <cell r="E228" t="str">
            <v>CBERM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B229" t="str">
            <v>RML-GRIPSTER-INS</v>
          </cell>
          <cell r="C229" t="str">
            <v>PEPS GRIPSTER INSERTER</v>
          </cell>
          <cell r="D229" t="str">
            <v>NOS</v>
          </cell>
          <cell r="E229" t="str">
            <v>CBERM</v>
          </cell>
          <cell r="F229">
            <v>0</v>
          </cell>
          <cell r="G229">
            <v>0</v>
          </cell>
          <cell r="H229">
            <v>100</v>
          </cell>
          <cell r="I229">
            <v>0</v>
          </cell>
        </row>
        <row r="230">
          <cell r="B230" t="str">
            <v>RML-GSS-TAG</v>
          </cell>
          <cell r="C230" t="str">
            <v>GSS PRICE TAG (COMMON)</v>
          </cell>
          <cell r="D230" t="str">
            <v>NOS</v>
          </cell>
          <cell r="E230" t="str">
            <v>CBERM</v>
          </cell>
          <cell r="F230">
            <v>0</v>
          </cell>
          <cell r="G230">
            <v>0</v>
          </cell>
          <cell r="H230">
            <v>500</v>
          </cell>
          <cell r="I230">
            <v>1000</v>
          </cell>
        </row>
        <row r="231">
          <cell r="B231" t="str">
            <v>RML-GUM-TAPE</v>
          </cell>
          <cell r="C231" t="str">
            <v>Packing tape - Transparent - 2" (48MM Trnas Tape 55mtr)</v>
          </cell>
          <cell r="D231" t="str">
            <v>NOS</v>
          </cell>
          <cell r="E231" t="str">
            <v>CBERM</v>
          </cell>
          <cell r="F231">
            <v>1000</v>
          </cell>
          <cell r="G231">
            <v>1000</v>
          </cell>
          <cell r="H231">
            <v>1008</v>
          </cell>
          <cell r="I231">
            <v>1008</v>
          </cell>
        </row>
        <row r="232">
          <cell r="B232" t="str">
            <v>RML-GUM-TAPE-1INCH</v>
          </cell>
          <cell r="C232" t="str">
            <v>PACKING TAPE - TRANSPARENT - 1”</v>
          </cell>
          <cell r="D232" t="str">
            <v>NOS</v>
          </cell>
          <cell r="E232" t="str">
            <v>CBERM</v>
          </cell>
          <cell r="F232">
            <v>1008</v>
          </cell>
          <cell r="G232">
            <v>1008</v>
          </cell>
          <cell r="H232">
            <v>144</v>
          </cell>
          <cell r="I232">
            <v>0</v>
          </cell>
        </row>
        <row r="233">
          <cell r="B233" t="str">
            <v>RML-GUM-TAPE-3INCH</v>
          </cell>
          <cell r="C233" t="str">
            <v>Packing tape - Transparent - 3" (75MM Trnas Tape 55mtr)</v>
          </cell>
          <cell r="D233" t="str">
            <v>NOS</v>
          </cell>
          <cell r="E233" t="str">
            <v>CBERM</v>
          </cell>
          <cell r="F233">
            <v>0</v>
          </cell>
          <cell r="G233">
            <v>0</v>
          </cell>
          <cell r="H233">
            <v>144</v>
          </cell>
          <cell r="I233">
            <v>0</v>
          </cell>
        </row>
        <row r="234">
          <cell r="B234" t="str">
            <v>RML-SPGF-SDE-LBL</v>
          </cell>
          <cell r="C234" t="str">
            <v>SPINE GUARD  SIDE LABEL -SIZE:21CMX9CM (PU FOAM MATTRESS) 7YRS BLACK</v>
          </cell>
          <cell r="D234" t="str">
            <v>NOS</v>
          </cell>
          <cell r="E234" t="str">
            <v>CBERM</v>
          </cell>
          <cell r="F234">
            <v>0</v>
          </cell>
          <cell r="G234">
            <v>0</v>
          </cell>
          <cell r="H234">
            <v>250</v>
          </cell>
          <cell r="I234">
            <v>0</v>
          </cell>
        </row>
        <row r="235">
          <cell r="B235" t="str">
            <v>RML-HAG-SIDE-LBL</v>
          </cell>
          <cell r="C235" t="str">
            <v>HAGNIL SIDE LABEL</v>
          </cell>
          <cell r="D235" t="str">
            <v>NOS</v>
          </cell>
          <cell r="E235" t="str">
            <v>CBERM</v>
          </cell>
          <cell r="F235">
            <v>0</v>
          </cell>
          <cell r="G235">
            <v>0</v>
          </cell>
          <cell r="H235">
            <v>50</v>
          </cell>
          <cell r="I235">
            <v>0</v>
          </cell>
        </row>
        <row r="236">
          <cell r="B236" t="str">
            <v>RML-SPG-HNDL</v>
          </cell>
          <cell r="C236" t="str">
            <v>SPINE GUARD GREY HANDLE</v>
          </cell>
          <cell r="D236" t="str">
            <v>NOS</v>
          </cell>
          <cell r="E236" t="str">
            <v>CBERM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</row>
        <row r="237">
          <cell r="B237" t="str">
            <v>RML-HAND-GLOVES</v>
          </cell>
          <cell r="C237" t="str">
            <v>HAND GLOVES ( NITRILE- COATED )</v>
          </cell>
          <cell r="D237" t="str">
            <v>PRS</v>
          </cell>
          <cell r="E237" t="str">
            <v>CBERM</v>
          </cell>
          <cell r="F237">
            <v>0</v>
          </cell>
          <cell r="G237">
            <v>0</v>
          </cell>
          <cell r="H237">
            <v>500</v>
          </cell>
          <cell r="I237">
            <v>408</v>
          </cell>
        </row>
        <row r="238">
          <cell r="B238" t="str">
            <v>RML-SPGS-SDE-LBL</v>
          </cell>
          <cell r="C238" t="str">
            <v>SPINE GUARD  SIDE LABEL-SIZE:21CMX9CM  (INNER SPRING) 10YRS BLACK</v>
          </cell>
          <cell r="D238" t="str">
            <v>NOS</v>
          </cell>
          <cell r="E238" t="str">
            <v>CBERM</v>
          </cell>
          <cell r="F238">
            <v>408</v>
          </cell>
          <cell r="G238">
            <v>408</v>
          </cell>
          <cell r="H238">
            <v>300</v>
          </cell>
          <cell r="I238">
            <v>0</v>
          </cell>
        </row>
        <row r="239">
          <cell r="B239" t="str">
            <v>RML-HAND-GLOVES-LIQ-RESI</v>
          </cell>
          <cell r="C239" t="str">
            <v>HAND GLOVES ( LIQUID RESISTANT )</v>
          </cell>
          <cell r="D239" t="str">
            <v>PRS</v>
          </cell>
          <cell r="E239" t="str">
            <v>CBERM</v>
          </cell>
          <cell r="F239">
            <v>0</v>
          </cell>
          <cell r="G239">
            <v>0</v>
          </cell>
          <cell r="H239">
            <v>10</v>
          </cell>
          <cell r="I239">
            <v>0</v>
          </cell>
        </row>
        <row r="240">
          <cell r="B240" t="str">
            <v>RML-HB-PLS-BUSH-BLK</v>
          </cell>
          <cell r="C240" t="str">
            <v>HEAD BORD PLASTIC BUSH-BLACK</v>
          </cell>
          <cell r="D240" t="str">
            <v>NOS</v>
          </cell>
          <cell r="E240" t="str">
            <v>CBERM</v>
          </cell>
          <cell r="F240">
            <v>0</v>
          </cell>
          <cell r="G240">
            <v>0</v>
          </cell>
          <cell r="H240">
            <v>500</v>
          </cell>
          <cell r="I240">
            <v>0</v>
          </cell>
        </row>
        <row r="241">
          <cell r="B241" t="str">
            <v>RML-SPK-CT-SDE-LBL</v>
          </cell>
          <cell r="C241" t="str">
            <v>PEPS SPRINGKOIL CROWN TOP SIDE LABEL</v>
          </cell>
          <cell r="D241" t="str">
            <v>NOS</v>
          </cell>
          <cell r="E241" t="str">
            <v>CBERM</v>
          </cell>
          <cell r="F241">
            <v>0</v>
          </cell>
          <cell r="G241">
            <v>0</v>
          </cell>
          <cell r="H241">
            <v>1000</v>
          </cell>
          <cell r="I241">
            <v>0</v>
          </cell>
        </row>
        <row r="242">
          <cell r="B242" t="str">
            <v>RML-HDPE-5"X3"</v>
          </cell>
          <cell r="C242" t="str">
            <v>HDPE BAGS. 5 Feet X 3 Feet</v>
          </cell>
          <cell r="D242" t="str">
            <v>KGS</v>
          </cell>
          <cell r="E242" t="str">
            <v>CBERM</v>
          </cell>
          <cell r="F242">
            <v>0</v>
          </cell>
          <cell r="G242">
            <v>0</v>
          </cell>
          <cell r="H242">
            <v>25</v>
          </cell>
          <cell r="I242">
            <v>50</v>
          </cell>
        </row>
        <row r="243">
          <cell r="B243" t="str">
            <v>RML-HDPE-79X61X450</v>
          </cell>
          <cell r="C243" t="str">
            <v>HDPE BAGS 79X61X450MM</v>
          </cell>
          <cell r="D243" t="str">
            <v>KGS</v>
          </cell>
          <cell r="E243" t="str">
            <v>CBERM</v>
          </cell>
          <cell r="F243">
            <v>50</v>
          </cell>
          <cell r="G243">
            <v>50</v>
          </cell>
          <cell r="H243">
            <v>50</v>
          </cell>
          <cell r="I243">
            <v>0</v>
          </cell>
        </row>
        <row r="244">
          <cell r="B244" t="str">
            <v>RML-HDPE-79X61X750</v>
          </cell>
          <cell r="C244" t="str">
            <v>HDPE BAGS 79X61X750MM</v>
          </cell>
          <cell r="D244" t="str">
            <v>KGS</v>
          </cell>
          <cell r="E244" t="str">
            <v>CBERM</v>
          </cell>
          <cell r="F244">
            <v>0</v>
          </cell>
          <cell r="G244">
            <v>0</v>
          </cell>
          <cell r="H244">
            <v>50</v>
          </cell>
          <cell r="I244">
            <v>0</v>
          </cell>
        </row>
        <row r="245">
          <cell r="B245" t="str">
            <v>RML-HDPE-79X73X450</v>
          </cell>
          <cell r="C245" t="str">
            <v>HDPE BAGS 79X73X450MM</v>
          </cell>
          <cell r="D245" t="str">
            <v>KGS</v>
          </cell>
          <cell r="E245" t="str">
            <v>CBERM</v>
          </cell>
          <cell r="F245">
            <v>0</v>
          </cell>
          <cell r="G245">
            <v>0</v>
          </cell>
          <cell r="H245">
            <v>50</v>
          </cell>
          <cell r="I245">
            <v>0</v>
          </cell>
        </row>
        <row r="246">
          <cell r="B246" t="str">
            <v>RML-SSF-DB-FBR</v>
          </cell>
          <cell r="C246" t="str">
            <v>SPRING SOFT DARK BLUE PANEL &amp; BORDER FABRIC</v>
          </cell>
          <cell r="D246" t="str">
            <v>MTR</v>
          </cell>
          <cell r="E246" t="str">
            <v>CBERM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</row>
        <row r="247">
          <cell r="B247" t="str">
            <v>RML-HDPE-79X73X750</v>
          </cell>
          <cell r="C247" t="str">
            <v>HDPE BAGS 79X73X750MM</v>
          </cell>
          <cell r="D247" t="str">
            <v>KGS</v>
          </cell>
          <cell r="E247" t="str">
            <v>CBERM</v>
          </cell>
          <cell r="F247">
            <v>0</v>
          </cell>
          <cell r="G247">
            <v>0</v>
          </cell>
          <cell r="H247">
            <v>50</v>
          </cell>
          <cell r="I247">
            <v>100</v>
          </cell>
        </row>
        <row r="248">
          <cell r="B248" t="str">
            <v>RML-HYP-ALU-MF-BAG-38</v>
          </cell>
          <cell r="C248" t="str">
            <v>HYPNOS ALLURE-MF MATTRESS ROLL PACKING BAG L38"XW21.5XD13"</v>
          </cell>
          <cell r="D248" t="str">
            <v>NOS</v>
          </cell>
          <cell r="E248" t="str">
            <v>CBERM</v>
          </cell>
          <cell r="F248">
            <v>100</v>
          </cell>
          <cell r="G248">
            <v>100</v>
          </cell>
          <cell r="H248">
            <v>150</v>
          </cell>
          <cell r="I248">
            <v>0</v>
          </cell>
        </row>
        <row r="249">
          <cell r="B249" t="str">
            <v>RML-HYP-ALU-MF-BAG-50</v>
          </cell>
          <cell r="C249" t="str">
            <v>HYPNOS ALLURE-MF MATTRESS ROLL PACKING BAG L50"XW21.5XD13"</v>
          </cell>
          <cell r="D249" t="str">
            <v>NOS</v>
          </cell>
          <cell r="E249" t="str">
            <v>CBERM</v>
          </cell>
          <cell r="F249">
            <v>0</v>
          </cell>
          <cell r="G249">
            <v>0</v>
          </cell>
          <cell r="H249">
            <v>150</v>
          </cell>
          <cell r="I249">
            <v>0</v>
          </cell>
        </row>
        <row r="250">
          <cell r="B250" t="str">
            <v>RML-HYP-ALU-MF-BAG-62</v>
          </cell>
          <cell r="C250" t="str">
            <v>HYPNOS ALLURE-MF MATTRESS ROLL PACKING BAG L62"XW21.5XD13"</v>
          </cell>
          <cell r="D250" t="str">
            <v>NOS</v>
          </cell>
          <cell r="E250" t="str">
            <v>CBERM</v>
          </cell>
          <cell r="F250">
            <v>0</v>
          </cell>
          <cell r="G250">
            <v>0</v>
          </cell>
          <cell r="H250">
            <v>150</v>
          </cell>
          <cell r="I250">
            <v>0</v>
          </cell>
        </row>
        <row r="251">
          <cell r="B251" t="str">
            <v>RML-HYP-ALU-MF-BAG-74</v>
          </cell>
          <cell r="C251" t="str">
            <v>HYPNOS ALLURE-MF MATTRESS ROLL PACKING BAG L74"XW21.5XD13"</v>
          </cell>
          <cell r="D251" t="str">
            <v>NOS</v>
          </cell>
          <cell r="E251" t="str">
            <v>CBERM</v>
          </cell>
          <cell r="F251">
            <v>0</v>
          </cell>
          <cell r="G251">
            <v>0</v>
          </cell>
          <cell r="H251">
            <v>150</v>
          </cell>
          <cell r="I251">
            <v>0</v>
          </cell>
        </row>
        <row r="252">
          <cell r="B252" t="str">
            <v>RML-HYP-HEASPC-WCRD</v>
          </cell>
          <cell r="C252" t="str">
            <v>HYPNOS HEAVENSPACE WARRANTY CARD</v>
          </cell>
          <cell r="D252" t="str">
            <v>NOS</v>
          </cell>
          <cell r="E252" t="str">
            <v>CBERM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</row>
        <row r="253">
          <cell r="B253" t="str">
            <v>RML-HYP-MAT-BROUCHER</v>
          </cell>
          <cell r="C253" t="str">
            <v>HYPNOS MATTRESS  BROCHURE</v>
          </cell>
          <cell r="D253" t="str">
            <v>NOS</v>
          </cell>
          <cell r="E253" t="str">
            <v>CBERM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B254" t="str">
            <v>RML-HYPNOS-MRP-LBL</v>
          </cell>
          <cell r="C254" t="str">
            <v>PEPS HYPNOS MRP LABEL</v>
          </cell>
          <cell r="D254" t="str">
            <v>NOS</v>
          </cell>
          <cell r="E254" t="str">
            <v>CBERM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B255" t="str">
            <v>RML-STRGZ-PL-PLW-CVR</v>
          </cell>
          <cell r="C255" t="str">
            <v>PEPS STARGAZE PLUSH PILLOW COVER</v>
          </cell>
          <cell r="D255" t="str">
            <v>NOS</v>
          </cell>
          <cell r="E255" t="str">
            <v>CBERM</v>
          </cell>
          <cell r="F255">
            <v>0</v>
          </cell>
          <cell r="G255">
            <v>0</v>
          </cell>
          <cell r="H255">
            <v>2000</v>
          </cell>
          <cell r="I255">
            <v>0</v>
          </cell>
        </row>
        <row r="256">
          <cell r="B256" t="str">
            <v>RML-STRGZ-PL-PLW-WSCR-LBL</v>
          </cell>
          <cell r="C256" t="str">
            <v>PEPS STARGAZE PLUSH PILLOW WASH CARE LABEL</v>
          </cell>
          <cell r="D256" t="str">
            <v>NOS</v>
          </cell>
          <cell r="E256" t="str">
            <v>CBERM</v>
          </cell>
          <cell r="F256">
            <v>0</v>
          </cell>
          <cell r="G256">
            <v>0</v>
          </cell>
          <cell r="H256">
            <v>2000</v>
          </cell>
          <cell r="I256">
            <v>5000</v>
          </cell>
        </row>
        <row r="257">
          <cell r="B257" t="str">
            <v>RML-STRGZ-PLW-CVR</v>
          </cell>
          <cell r="C257" t="str">
            <v>PEPS STARGAZE PILLOW COVER</v>
          </cell>
          <cell r="D257" t="str">
            <v>NOS</v>
          </cell>
          <cell r="E257" t="str">
            <v>CBERM</v>
          </cell>
          <cell r="F257">
            <v>5000</v>
          </cell>
          <cell r="G257">
            <v>5000</v>
          </cell>
          <cell r="H257">
            <v>3000</v>
          </cell>
          <cell r="I257">
            <v>0</v>
          </cell>
        </row>
        <row r="258">
          <cell r="B258" t="str">
            <v>RML-STRGZ-PLW-WSCR-LBL</v>
          </cell>
          <cell r="C258" t="str">
            <v>PEPS STARGAZE PILLOW WASH CARE LABEL</v>
          </cell>
          <cell r="D258" t="str">
            <v>NOS</v>
          </cell>
          <cell r="E258" t="str">
            <v>CBERM</v>
          </cell>
          <cell r="F258">
            <v>0</v>
          </cell>
          <cell r="G258">
            <v>0</v>
          </cell>
          <cell r="H258">
            <v>3500</v>
          </cell>
          <cell r="I258">
            <v>0</v>
          </cell>
        </row>
        <row r="259">
          <cell r="B259" t="str">
            <v>RML-STW-1.7MM</v>
          </cell>
          <cell r="C259" t="str">
            <v>STEEL WIRE 1.7 MMDIA.</v>
          </cell>
          <cell r="D259" t="str">
            <v>KGS</v>
          </cell>
          <cell r="E259" t="str">
            <v>CBERM</v>
          </cell>
          <cell r="F259">
            <v>0</v>
          </cell>
          <cell r="G259">
            <v>0</v>
          </cell>
          <cell r="H259">
            <v>200</v>
          </cell>
          <cell r="I259">
            <v>0</v>
          </cell>
        </row>
        <row r="260">
          <cell r="B260" t="str">
            <v>RML-STW-1.8MM</v>
          </cell>
          <cell r="C260" t="str">
            <v>STEEL WIRE 1.8 MMDIA.</v>
          </cell>
          <cell r="D260" t="str">
            <v>KGS</v>
          </cell>
          <cell r="E260" t="str">
            <v>CBERM</v>
          </cell>
          <cell r="F260">
            <v>0</v>
          </cell>
          <cell r="G260">
            <v>0</v>
          </cell>
          <cell r="H260">
            <v>50000</v>
          </cell>
          <cell r="I260">
            <v>110000</v>
          </cell>
        </row>
        <row r="261">
          <cell r="B261" t="str">
            <v>RML-HYPNOS-MRP-LBL-RED</v>
          </cell>
          <cell r="C261" t="str">
            <v>HYPNOS MRP LABEL - (RED)</v>
          </cell>
          <cell r="D261" t="str">
            <v>NOS</v>
          </cell>
          <cell r="E261" t="str">
            <v>CBERM</v>
          </cell>
          <cell r="F261">
            <v>110000</v>
          </cell>
          <cell r="G261">
            <v>110000</v>
          </cell>
          <cell r="H261">
            <v>0</v>
          </cell>
          <cell r="I261">
            <v>0</v>
          </cell>
        </row>
        <row r="262">
          <cell r="B262" t="str">
            <v>RML-HYPNOS-MRP-LBL-YEL</v>
          </cell>
          <cell r="C262" t="str">
            <v>HYPNOS MRP LABEL - (YELLOW)</v>
          </cell>
          <cell r="D262" t="str">
            <v>NOS</v>
          </cell>
          <cell r="E262" t="str">
            <v>CBERM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</row>
        <row r="263">
          <cell r="B263" t="str">
            <v>RML-HYP-UNBOX-LBL</v>
          </cell>
          <cell r="C263" t="str">
            <v>HYPNOS MATTRESS UNBOXING GUIDE LABLE</v>
          </cell>
          <cell r="D263" t="str">
            <v>NOS</v>
          </cell>
          <cell r="E263" t="str">
            <v>CBERM</v>
          </cell>
          <cell r="F263">
            <v>0</v>
          </cell>
          <cell r="G263">
            <v>0</v>
          </cell>
          <cell r="H263">
            <v>150</v>
          </cell>
          <cell r="I263">
            <v>0</v>
          </cell>
        </row>
        <row r="264">
          <cell r="B264" t="str">
            <v>SFG-ORG-PNL-86X74</v>
          </cell>
          <cell r="C264" t="str">
            <v>Peps Organica quilt panel - 78"X60" ( 85x67)</v>
          </cell>
          <cell r="D264" t="str">
            <v>NOS</v>
          </cell>
          <cell r="E264" t="str">
            <v>CBERM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</row>
        <row r="265">
          <cell r="B265" t="str">
            <v>SFG-ORG-PNL-99X86</v>
          </cell>
          <cell r="C265" t="str">
            <v>Peps Organica quilt panel - 99"X86"</v>
          </cell>
          <cell r="D265" t="str">
            <v>NOS</v>
          </cell>
          <cell r="E265" t="str">
            <v>CBERM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</row>
        <row r="266">
          <cell r="B266" t="str">
            <v>FB-MATT-BACK-PANL</v>
          </cell>
          <cell r="C266" t="str">
            <v>MATTRESS BACK PANEL FABRIC</v>
          </cell>
          <cell r="D266" t="str">
            <v>MTR</v>
          </cell>
          <cell r="E266" t="str">
            <v>CBERM</v>
          </cell>
          <cell r="F266">
            <v>0</v>
          </cell>
          <cell r="G266">
            <v>0</v>
          </cell>
          <cell r="H266">
            <v>8000</v>
          </cell>
          <cell r="I266">
            <v>0</v>
          </cell>
        </row>
        <row r="267">
          <cell r="B267" t="str">
            <v>FBR-ALLURA-BR-OR</v>
          </cell>
          <cell r="C267" t="str">
            <v>ALLURA BLUE ORANGE BORDER FABRIC</v>
          </cell>
          <cell r="D267" t="str">
            <v>MTR</v>
          </cell>
          <cell r="E267" t="str">
            <v>CBERM</v>
          </cell>
          <cell r="F267">
            <v>0</v>
          </cell>
          <cell r="G267">
            <v>0</v>
          </cell>
          <cell r="H267">
            <v>500</v>
          </cell>
          <cell r="I267">
            <v>0</v>
          </cell>
        </row>
        <row r="268">
          <cell r="B268" t="str">
            <v>FBR-ALLURA-BR-ST-GREY</v>
          </cell>
          <cell r="C268" t="str">
            <v>ALLURA STEEL GREY BORDER FABRIC</v>
          </cell>
          <cell r="D268" t="str">
            <v>MTR</v>
          </cell>
          <cell r="E268" t="str">
            <v>CBERM</v>
          </cell>
          <cell r="F268">
            <v>0</v>
          </cell>
          <cell r="G268">
            <v>0</v>
          </cell>
          <cell r="H268">
            <v>500</v>
          </cell>
          <cell r="I268">
            <v>0</v>
          </cell>
        </row>
        <row r="269">
          <cell r="B269" t="str">
            <v>FBR-ALLURA-PNL-OR</v>
          </cell>
          <cell r="C269" t="str">
            <v>ALLURA BLUE ORANGE PANEL FABRIC</v>
          </cell>
          <cell r="D269" t="str">
            <v>MTR</v>
          </cell>
          <cell r="E269" t="str">
            <v>CBERM</v>
          </cell>
          <cell r="F269">
            <v>0</v>
          </cell>
          <cell r="G269">
            <v>0</v>
          </cell>
          <cell r="H269">
            <v>500</v>
          </cell>
          <cell r="I269">
            <v>0</v>
          </cell>
        </row>
        <row r="270">
          <cell r="B270" t="str">
            <v>FBR-ALLURA-PNL-ST-GREY</v>
          </cell>
          <cell r="C270" t="str">
            <v>ALLURA STEEL GREY PANEL FABRIC</v>
          </cell>
          <cell r="D270" t="str">
            <v>MTR</v>
          </cell>
          <cell r="E270" t="str">
            <v>CBERM</v>
          </cell>
          <cell r="F270">
            <v>0</v>
          </cell>
          <cell r="G270">
            <v>0</v>
          </cell>
          <cell r="H270">
            <v>500</v>
          </cell>
          <cell r="I270">
            <v>1000</v>
          </cell>
        </row>
        <row r="271">
          <cell r="B271" t="str">
            <v>FBR-ARD-BAHB-REXIN-BRN</v>
          </cell>
          <cell r="C271" t="str">
            <v>ARDENE BASE &amp; HEAD BOARD BROWN REXIN</v>
          </cell>
          <cell r="D271" t="str">
            <v>MTR</v>
          </cell>
          <cell r="E271" t="str">
            <v>CBERM</v>
          </cell>
          <cell r="F271">
            <v>1000</v>
          </cell>
          <cell r="G271">
            <v>1000</v>
          </cell>
          <cell r="H271">
            <v>100</v>
          </cell>
          <cell r="I271">
            <v>300</v>
          </cell>
        </row>
        <row r="272">
          <cell r="B272" t="str">
            <v>FBR-ARD-BR-DBRN</v>
          </cell>
          <cell r="C272" t="str">
            <v>RESTONIC ARDENE DARK BROWN BORDER FABRIC</v>
          </cell>
          <cell r="D272" t="str">
            <v>MTR</v>
          </cell>
          <cell r="E272" t="str">
            <v>CBERM</v>
          </cell>
          <cell r="F272">
            <v>300</v>
          </cell>
          <cell r="G272">
            <v>300</v>
          </cell>
          <cell r="H272">
            <v>0</v>
          </cell>
          <cell r="I272">
            <v>0</v>
          </cell>
        </row>
        <row r="273">
          <cell r="B273" t="str">
            <v>FBR-ARD-BR-DGRY</v>
          </cell>
          <cell r="C273" t="str">
            <v>RESTONIC ARDENE DARK GREY BORDER FABRIC</v>
          </cell>
          <cell r="D273" t="str">
            <v>MTR</v>
          </cell>
          <cell r="E273" t="str">
            <v>CBERM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</row>
        <row r="274">
          <cell r="B274" t="str">
            <v>FBR-ARD-BR-LBRN</v>
          </cell>
          <cell r="C274" t="str">
            <v>RESTONIC ARDENE LIGHT BROWN BORDER FABRIC</v>
          </cell>
          <cell r="D274" t="str">
            <v>MTR</v>
          </cell>
          <cell r="E274" t="str">
            <v>CBERM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</row>
        <row r="275">
          <cell r="B275" t="str">
            <v>FBR-ARD-BR-LGRY</v>
          </cell>
          <cell r="C275" t="str">
            <v>RESTONIC ARDENE LIGHT GREY BORDER FABRIC</v>
          </cell>
          <cell r="D275" t="str">
            <v>MTR</v>
          </cell>
          <cell r="E275" t="str">
            <v>CBERM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</row>
        <row r="276">
          <cell r="B276" t="str">
            <v>FBR-ARD-PLUSH-BR-BLUE</v>
          </cell>
          <cell r="C276" t="str">
            <v>RESTONIC ARDENE PLUSH BLUE BORDER FABRIC</v>
          </cell>
          <cell r="D276" t="str">
            <v>MTR</v>
          </cell>
          <cell r="E276" t="str">
            <v>CBERM</v>
          </cell>
          <cell r="F276">
            <v>0</v>
          </cell>
          <cell r="G276">
            <v>0</v>
          </cell>
          <cell r="H276">
            <v>120</v>
          </cell>
          <cell r="I276">
            <v>0</v>
          </cell>
        </row>
        <row r="277">
          <cell r="B277" t="str">
            <v>FBR-ARD-PLUSH-PNL-BLUE</v>
          </cell>
          <cell r="C277" t="str">
            <v>RESTONIC ARDENE PLUSH BLUE PANEL FABRIC</v>
          </cell>
          <cell r="D277" t="str">
            <v>MTR</v>
          </cell>
          <cell r="E277" t="str">
            <v>CBERM</v>
          </cell>
          <cell r="F277">
            <v>0</v>
          </cell>
          <cell r="G277">
            <v>0</v>
          </cell>
          <cell r="H277">
            <v>200</v>
          </cell>
          <cell r="I277">
            <v>0</v>
          </cell>
        </row>
        <row r="278">
          <cell r="B278" t="str">
            <v>FBR-ARD-PNL-BRN</v>
          </cell>
          <cell r="C278" t="str">
            <v>RESTONIC ARDENE BROWN PANEL FABRIC</v>
          </cell>
          <cell r="D278" t="str">
            <v>MTR</v>
          </cell>
          <cell r="E278" t="str">
            <v>CBERM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</row>
        <row r="279">
          <cell r="B279" t="str">
            <v>FBR-ARD-PNL-GRY</v>
          </cell>
          <cell r="C279" t="str">
            <v>RESTONIC ARDENE GREY PANEL FABRIC</v>
          </cell>
          <cell r="D279" t="str">
            <v>MTR</v>
          </cell>
          <cell r="E279" t="str">
            <v>CBERM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</row>
        <row r="280">
          <cell r="B280" t="str">
            <v>FBR-BOL-CRM</v>
          </cell>
          <cell r="C280" t="str">
            <v>Bolster Fabric Cream 48" Width ( Audi # Design.No:101, Colour Code:02)</v>
          </cell>
          <cell r="D280" t="str">
            <v>MTR</v>
          </cell>
          <cell r="E280" t="str">
            <v>CBERM</v>
          </cell>
          <cell r="F280">
            <v>0</v>
          </cell>
          <cell r="G280">
            <v>0</v>
          </cell>
          <cell r="H280">
            <v>300</v>
          </cell>
          <cell r="I280">
            <v>0</v>
          </cell>
        </row>
        <row r="281">
          <cell r="B281" t="str">
            <v>FBR-BOL-GLBG</v>
          </cell>
          <cell r="C281" t="str">
            <v>Bolster Fabric Golden Beige 48" Width ( Audi # Design.No:101, Colour Code:05)</v>
          </cell>
          <cell r="D281" t="str">
            <v>MTR</v>
          </cell>
          <cell r="E281" t="str">
            <v>CBERM</v>
          </cell>
          <cell r="F281">
            <v>0</v>
          </cell>
          <cell r="G281">
            <v>0</v>
          </cell>
          <cell r="H281">
            <v>300</v>
          </cell>
          <cell r="I281">
            <v>0</v>
          </cell>
        </row>
        <row r="282">
          <cell r="B282" t="str">
            <v>FBR-BOL-GRN</v>
          </cell>
          <cell r="C282" t="str">
            <v>Bolster Fabric Green 48" Width ( Audi # Design.No:101, Colour Code:09)</v>
          </cell>
          <cell r="D282" t="str">
            <v>MTR</v>
          </cell>
          <cell r="E282" t="str">
            <v>CBERM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</row>
        <row r="283">
          <cell r="B283" t="str">
            <v>FBR-BOL-WHT</v>
          </cell>
          <cell r="C283" t="str">
            <v>Bolster Fabric White 48" Width ( Audi # Design.No:101, Colour Code:01)</v>
          </cell>
          <cell r="D283" t="str">
            <v>MTR</v>
          </cell>
          <cell r="E283" t="str">
            <v>CBERM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</row>
        <row r="284">
          <cell r="B284" t="str">
            <v>FBR-CAM-BAHB-REX-BLUE</v>
          </cell>
          <cell r="C284" t="str">
            <v>CAMEO BASE &amp; HEAD BOARD REXIN - BLUE</v>
          </cell>
          <cell r="D284" t="str">
            <v>MTR</v>
          </cell>
          <cell r="E284" t="str">
            <v>CBERM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</row>
        <row r="285">
          <cell r="B285" t="str">
            <v>FBR-CAMEO-BR-BL</v>
          </cell>
          <cell r="C285" t="str">
            <v>CAMEO BLACK BORDER FABRIC</v>
          </cell>
          <cell r="D285" t="str">
            <v>MTR</v>
          </cell>
          <cell r="E285" t="str">
            <v>CBERM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</row>
        <row r="286">
          <cell r="B286" t="str">
            <v>FBR-CAMEO-BR-NB</v>
          </cell>
          <cell r="C286" t="str">
            <v>CAMEO NAVY BLUE BORDER FABRIC</v>
          </cell>
          <cell r="D286" t="str">
            <v>MTR</v>
          </cell>
          <cell r="E286" t="str">
            <v>CBERM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</row>
        <row r="287">
          <cell r="B287" t="str">
            <v>FBR-CAMEO-PEBBLY-MILD-PNL</v>
          </cell>
          <cell r="C287" t="str">
            <v>CAMEO PEBBLY - MILD PANEL FABRIC</v>
          </cell>
          <cell r="D287" t="str">
            <v>MTR</v>
          </cell>
          <cell r="E287" t="str">
            <v>CBERM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</row>
        <row r="288">
          <cell r="B288" t="str">
            <v>FBR-CAMEO-PEBBLY-VIBR-PNL</v>
          </cell>
          <cell r="C288" t="str">
            <v>CAMEO PEBBLY - VIBRANT PANEL FABRIC</v>
          </cell>
          <cell r="D288" t="str">
            <v>MTR</v>
          </cell>
          <cell r="E288" t="str">
            <v>CBERM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</row>
        <row r="289">
          <cell r="B289" t="str">
            <v>FBR-CAMEO-STONY-MILD-PNL</v>
          </cell>
          <cell r="C289" t="str">
            <v>CAMEO STONY - MILD PANEL FABRIC</v>
          </cell>
          <cell r="D289" t="str">
            <v>MTR</v>
          </cell>
          <cell r="E289" t="str">
            <v>CBERM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</row>
        <row r="290">
          <cell r="B290" t="str">
            <v>FBR-CAMEO-STONY-VIBR-PNL</v>
          </cell>
          <cell r="C290" t="str">
            <v>CAMEO STONY - VIBRANT PANEL FABRIC</v>
          </cell>
          <cell r="D290" t="str">
            <v>MTR</v>
          </cell>
          <cell r="E290" t="str">
            <v>CBERM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</row>
        <row r="291">
          <cell r="B291" t="str">
            <v>FBR-CAMEO-ULT-COSMIC-PNL</v>
          </cell>
          <cell r="C291" t="str">
            <v>CAMEO ULTRA - COSMIC PANEL FABRIC</v>
          </cell>
          <cell r="D291" t="str">
            <v>MTR</v>
          </cell>
          <cell r="E291" t="str">
            <v>CBERM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</row>
        <row r="292">
          <cell r="B292" t="str">
            <v>FBR-CAMEO-ULT-HALOS-PNL</v>
          </cell>
          <cell r="C292" t="str">
            <v>CAMEO ULTRA - HALOS PANEL FABRIC</v>
          </cell>
          <cell r="D292" t="str">
            <v>MTR</v>
          </cell>
          <cell r="E292" t="str">
            <v>CBERM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</row>
        <row r="293">
          <cell r="B293" t="str">
            <v>FBR-CAR-BR-BLUE</v>
          </cell>
          <cell r="C293" t="str">
            <v>RESTONIC CAROUSEL BLUE BORDER FABRIC</v>
          </cell>
          <cell r="D293" t="str">
            <v>MTR</v>
          </cell>
          <cell r="E293" t="str">
            <v>CBERM</v>
          </cell>
          <cell r="F293">
            <v>0</v>
          </cell>
          <cell r="G293">
            <v>0</v>
          </cell>
          <cell r="H293">
            <v>100</v>
          </cell>
          <cell r="I293">
            <v>0</v>
          </cell>
        </row>
        <row r="294">
          <cell r="B294" t="str">
            <v>FBR-CAR-BR-CREAM</v>
          </cell>
          <cell r="C294" t="str">
            <v>RESTONIC CAROUSEL CREAM BORDER FABRIC</v>
          </cell>
          <cell r="D294" t="str">
            <v>MTR</v>
          </cell>
          <cell r="E294" t="str">
            <v>CBERM</v>
          </cell>
          <cell r="F294">
            <v>0</v>
          </cell>
          <cell r="G294">
            <v>0</v>
          </cell>
          <cell r="H294">
            <v>100</v>
          </cell>
          <cell r="I294">
            <v>0</v>
          </cell>
        </row>
        <row r="295">
          <cell r="B295" t="str">
            <v>FBR-CAR-CUS-BLK</v>
          </cell>
          <cell r="C295" t="str">
            <v>HI STYLE MEMORY MOULDED CAR CUSHION FABRIC BLACK</v>
          </cell>
          <cell r="D295" t="str">
            <v>MTR</v>
          </cell>
          <cell r="E295" t="str">
            <v>CBERM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</row>
        <row r="296">
          <cell r="B296" t="str">
            <v>FBR-CAR-PLUSH-BR-CRM</v>
          </cell>
          <cell r="C296" t="str">
            <v>RESTONIC CAROUSEL  PLUSH CREAM BORDER FABRIC</v>
          </cell>
          <cell r="D296" t="str">
            <v>MTR</v>
          </cell>
          <cell r="E296" t="str">
            <v>CBERM</v>
          </cell>
          <cell r="F296">
            <v>0</v>
          </cell>
          <cell r="G296">
            <v>0</v>
          </cell>
          <cell r="H296">
            <v>100</v>
          </cell>
          <cell r="I296">
            <v>0</v>
          </cell>
        </row>
        <row r="297">
          <cell r="B297" t="str">
            <v>FBR-CAR-PLUSH-PNL-CRM</v>
          </cell>
          <cell r="C297" t="str">
            <v>Restonic Carousel Plush Cream Panel Fabric</v>
          </cell>
          <cell r="D297" t="str">
            <v>MTR</v>
          </cell>
          <cell r="E297" t="str">
            <v>CBERM</v>
          </cell>
          <cell r="F297">
            <v>0</v>
          </cell>
          <cell r="G297">
            <v>0</v>
          </cell>
          <cell r="H297">
            <v>300</v>
          </cell>
          <cell r="I297">
            <v>0</v>
          </cell>
        </row>
        <row r="298">
          <cell r="B298" t="str">
            <v>FBR-CAR-PNL-BLUE</v>
          </cell>
          <cell r="C298" t="str">
            <v>RESTONIC CAROUSEL BLUE PANEL FABRIC</v>
          </cell>
          <cell r="D298" t="str">
            <v>MTR</v>
          </cell>
          <cell r="E298" t="str">
            <v>CBERM</v>
          </cell>
          <cell r="F298">
            <v>0</v>
          </cell>
          <cell r="G298">
            <v>0</v>
          </cell>
          <cell r="H298">
            <v>250</v>
          </cell>
          <cell r="I298">
            <v>0</v>
          </cell>
        </row>
        <row r="299">
          <cell r="B299" t="str">
            <v>FBR-CAR-PNL-CREAM</v>
          </cell>
          <cell r="C299" t="str">
            <v>RESTONIC CAROUSEL CREAM PANEL FABRIC</v>
          </cell>
          <cell r="D299" t="str">
            <v>MTR</v>
          </cell>
          <cell r="E299" t="str">
            <v>CBERM</v>
          </cell>
          <cell r="F299">
            <v>0</v>
          </cell>
          <cell r="G299">
            <v>0</v>
          </cell>
          <cell r="H299">
            <v>500</v>
          </cell>
          <cell r="I299">
            <v>0</v>
          </cell>
        </row>
        <row r="300">
          <cell r="B300" t="str">
            <v>FBR-CASPIA-BR-MRN</v>
          </cell>
          <cell r="C300" t="str">
            <v>CASPIA MAROON BORDER FABRIC</v>
          </cell>
          <cell r="D300" t="str">
            <v>MTR</v>
          </cell>
          <cell r="E300" t="str">
            <v>CBERM</v>
          </cell>
          <cell r="F300">
            <v>0</v>
          </cell>
          <cell r="G300">
            <v>0</v>
          </cell>
          <cell r="H300">
            <v>2000</v>
          </cell>
          <cell r="I300">
            <v>2000</v>
          </cell>
        </row>
        <row r="301">
          <cell r="B301" t="str">
            <v>FBR-CASPIA-BR-NB</v>
          </cell>
          <cell r="C301" t="str">
            <v>CASPIA NAVY BLUE BORDER FABRIC</v>
          </cell>
          <cell r="D301" t="str">
            <v>MTR</v>
          </cell>
          <cell r="E301" t="str">
            <v>CBERM</v>
          </cell>
          <cell r="F301">
            <v>2000</v>
          </cell>
          <cell r="G301">
            <v>2000</v>
          </cell>
          <cell r="H301">
            <v>2000</v>
          </cell>
          <cell r="I301">
            <v>2000</v>
          </cell>
        </row>
        <row r="302">
          <cell r="B302" t="str">
            <v>FBR-CASPIA-PNL-MRN</v>
          </cell>
          <cell r="C302" t="str">
            <v>CASPIA MAROON PANEL FABRIC</v>
          </cell>
          <cell r="D302" t="str">
            <v>MTR</v>
          </cell>
          <cell r="E302" t="str">
            <v>CBERM</v>
          </cell>
          <cell r="F302">
            <v>2000</v>
          </cell>
          <cell r="G302">
            <v>2000</v>
          </cell>
          <cell r="H302">
            <v>2000</v>
          </cell>
          <cell r="I302">
            <v>500</v>
          </cell>
        </row>
        <row r="303">
          <cell r="B303" t="str">
            <v>FBR-CASPIA-PNL-NB</v>
          </cell>
          <cell r="C303" t="str">
            <v>CASPIA NAVY BLUE PANEL FABRIC</v>
          </cell>
          <cell r="D303" t="str">
            <v>MTR</v>
          </cell>
          <cell r="E303" t="str">
            <v>CBERM</v>
          </cell>
          <cell r="F303">
            <v>500</v>
          </cell>
          <cell r="G303">
            <v>500</v>
          </cell>
          <cell r="H303">
            <v>2000</v>
          </cell>
          <cell r="I303">
            <v>500</v>
          </cell>
        </row>
        <row r="304">
          <cell r="B304" t="str">
            <v>FBR-CRW-GUSSET-LBW</v>
          </cell>
          <cell r="C304" t="str">
            <v>CROWN TOP GUSSET FABRIC LIGHT BROWN</v>
          </cell>
          <cell r="D304" t="str">
            <v>MTR</v>
          </cell>
          <cell r="E304" t="str">
            <v>CBERM</v>
          </cell>
          <cell r="F304">
            <v>500</v>
          </cell>
          <cell r="G304">
            <v>500</v>
          </cell>
          <cell r="H304">
            <v>500</v>
          </cell>
          <cell r="I304">
            <v>0</v>
          </cell>
        </row>
        <row r="305">
          <cell r="B305" t="str">
            <v>FBR-CRY-BAHB-REXIN-BLK</v>
          </cell>
          <cell r="C305" t="str">
            <v>CRYSTAL BASE &amp; HEAD BOARD BLACK REXIN</v>
          </cell>
          <cell r="D305" t="str">
            <v>MTR</v>
          </cell>
          <cell r="E305" t="str">
            <v>CBERM</v>
          </cell>
          <cell r="F305">
            <v>0</v>
          </cell>
          <cell r="G305">
            <v>0</v>
          </cell>
          <cell r="H305">
            <v>200</v>
          </cell>
          <cell r="I305">
            <v>200</v>
          </cell>
        </row>
        <row r="306">
          <cell r="B306" t="str">
            <v>FBR-CRY-PNL-WHT</v>
          </cell>
          <cell r="C306" t="str">
            <v>CRYSTAL GP WHITE PANEL FABRIC</v>
          </cell>
          <cell r="D306" t="str">
            <v>MTR</v>
          </cell>
          <cell r="E306" t="str">
            <v>CBERM</v>
          </cell>
          <cell r="F306">
            <v>200</v>
          </cell>
          <cell r="G306">
            <v>200</v>
          </cell>
          <cell r="H306">
            <v>500</v>
          </cell>
          <cell r="I306">
            <v>0</v>
          </cell>
        </row>
        <row r="307">
          <cell r="B307" t="str">
            <v>FBR-CRY-REX-CRM</v>
          </cell>
          <cell r="C307" t="str">
            <v>CRYSTAL MATTRESS CREAM REXIN FABRIC</v>
          </cell>
          <cell r="D307" t="str">
            <v>MTR</v>
          </cell>
          <cell r="E307" t="str">
            <v>CBERM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</row>
        <row r="308">
          <cell r="B308" t="str">
            <v>FBR-DD-BAHB-REXIN-CRM</v>
          </cell>
          <cell r="C308" t="str">
            <v>DOUBLE DECKER BASE &amp; HEAD BOARD CREAM REXIN FABRIC</v>
          </cell>
          <cell r="D308" t="str">
            <v>MTR</v>
          </cell>
          <cell r="E308" t="str">
            <v>CBERM</v>
          </cell>
          <cell r="F308">
            <v>0</v>
          </cell>
          <cell r="G308">
            <v>0</v>
          </cell>
          <cell r="H308">
            <v>200</v>
          </cell>
          <cell r="I308">
            <v>150</v>
          </cell>
        </row>
        <row r="309">
          <cell r="B309" t="str">
            <v>FBR-DD-PNL-CREAM</v>
          </cell>
          <cell r="C309" t="str">
            <v>DOUBLEDECKER CREAM PANEL FABRIC</v>
          </cell>
          <cell r="D309" t="str">
            <v>MTR</v>
          </cell>
          <cell r="E309" t="str">
            <v>CBERM</v>
          </cell>
          <cell r="F309">
            <v>150</v>
          </cell>
          <cell r="G309">
            <v>150</v>
          </cell>
          <cell r="H309">
            <v>250</v>
          </cell>
          <cell r="I309">
            <v>0</v>
          </cell>
        </row>
        <row r="310">
          <cell r="B310" t="str">
            <v>FBR-DMC-DN21D657-FN297976</v>
          </cell>
          <cell r="C310" t="str">
            <v>DAMA COLLECTION DESIGN NAME - 21D657 FABRIC NO: 297976</v>
          </cell>
          <cell r="D310" t="str">
            <v>MTR</v>
          </cell>
          <cell r="E310" t="str">
            <v>CBERM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</row>
        <row r="311">
          <cell r="B311" t="str">
            <v>FBR-DMC-DN21D657-FN297978</v>
          </cell>
          <cell r="C311" t="str">
            <v>DAMA COLLECTION DESIGN NAME - 21D657 FABRIC NO: 297978</v>
          </cell>
          <cell r="D311" t="str">
            <v>MTR</v>
          </cell>
          <cell r="E311" t="str">
            <v>CBERM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</row>
        <row r="312">
          <cell r="B312" t="str">
            <v>FBR-EMB-PNL-MRN</v>
          </cell>
          <cell r="C312" t="str">
            <v>CROWN TOP PANEL FABRIC - MAROON (100% POLY X 170GSM)</v>
          </cell>
          <cell r="D312" t="str">
            <v>MTR</v>
          </cell>
          <cell r="E312" t="str">
            <v>CBERM</v>
          </cell>
          <cell r="F312">
            <v>0</v>
          </cell>
          <cell r="G312">
            <v>0</v>
          </cell>
          <cell r="H312">
            <v>1000</v>
          </cell>
          <cell r="I312">
            <v>500</v>
          </cell>
        </row>
        <row r="313">
          <cell r="B313" t="str">
            <v>FBR-EMB-PNL-NBLU</v>
          </cell>
          <cell r="C313" t="str">
            <v>CROWN TOP PANEL FABRIC - NAVY BLUE (100% POLY X 170GSM)</v>
          </cell>
          <cell r="D313" t="str">
            <v>MTR</v>
          </cell>
          <cell r="E313" t="str">
            <v>CBERM</v>
          </cell>
          <cell r="F313">
            <v>500</v>
          </cell>
          <cell r="G313">
            <v>500</v>
          </cell>
          <cell r="H313">
            <v>1000</v>
          </cell>
          <cell r="I313">
            <v>0</v>
          </cell>
        </row>
        <row r="314">
          <cell r="B314" t="str">
            <v>FBR-EMB-PNL-SIL-GRE</v>
          </cell>
          <cell r="C314" t="str">
            <v>CROWN TOP PANEL FABRIC- SILVER GREY (100% POLY X 170GSM)</v>
          </cell>
          <cell r="D314" t="str">
            <v>MTR</v>
          </cell>
          <cell r="E314" t="str">
            <v>CBERM</v>
          </cell>
          <cell r="F314">
            <v>0</v>
          </cell>
          <cell r="G314">
            <v>0</v>
          </cell>
          <cell r="H314">
            <v>1000</v>
          </cell>
          <cell r="I314">
            <v>0</v>
          </cell>
        </row>
        <row r="315">
          <cell r="B315" t="str">
            <v>FBR-F-3403/1</v>
          </cell>
          <cell r="C315" t="str">
            <v>CUSHION FABRIC LIGHT BLUE-F-3403/1</v>
          </cell>
          <cell r="D315" t="str">
            <v>MTR</v>
          </cell>
          <cell r="E315" t="str">
            <v>CBERM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</row>
        <row r="316">
          <cell r="B316" t="str">
            <v>FBR-F-3403/22</v>
          </cell>
          <cell r="C316" t="str">
            <v>BOLSTER FABRIC D.BLUE F-3403/22</v>
          </cell>
          <cell r="D316" t="str">
            <v>MTR</v>
          </cell>
          <cell r="E316" t="str">
            <v>CBERM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</row>
        <row r="317">
          <cell r="B317" t="str">
            <v>FBR-F-3403/3</v>
          </cell>
          <cell r="C317" t="str">
            <v>CUSHION FABRIC D.BLUE F-3403/3</v>
          </cell>
          <cell r="D317" t="str">
            <v>MTR</v>
          </cell>
          <cell r="E317" t="str">
            <v>CBERM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</row>
        <row r="318">
          <cell r="B318" t="str">
            <v>FBR-F-3403/6</v>
          </cell>
          <cell r="C318" t="str">
            <v>CUSHION FABRIC BEIGE F-3403/6</v>
          </cell>
          <cell r="D318" t="str">
            <v>MTR</v>
          </cell>
          <cell r="E318" t="str">
            <v>CBERM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</row>
        <row r="319">
          <cell r="B319" t="str">
            <v>FBR-F-3460/17</v>
          </cell>
          <cell r="C319" t="str">
            <v>BOLSTER FABRIC RED F-3460/17</v>
          </cell>
          <cell r="D319" t="str">
            <v>MTR</v>
          </cell>
          <cell r="E319" t="str">
            <v>CBERM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</row>
        <row r="320">
          <cell r="B320" t="str">
            <v>FBR-F-3460/20</v>
          </cell>
          <cell r="C320" t="str">
            <v>BOLSTER FABRIC L.BLUE F-3460/20</v>
          </cell>
          <cell r="D320" t="str">
            <v>MTR</v>
          </cell>
          <cell r="E320" t="str">
            <v>CBERM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</row>
        <row r="321">
          <cell r="B321" t="str">
            <v>FBR-F-3460/25</v>
          </cell>
          <cell r="C321" t="str">
            <v>BOLSTER FABRIC ORANGE F-3460/25</v>
          </cell>
          <cell r="D321" t="str">
            <v>MTR</v>
          </cell>
          <cell r="E321" t="str">
            <v>CBERM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</row>
        <row r="322">
          <cell r="B322" t="str">
            <v>FBR-F-3465/28</v>
          </cell>
          <cell r="C322" t="str">
            <v>CUSHION FABRIC GOLDEN BEIGE F-3465/28</v>
          </cell>
          <cell r="D322" t="str">
            <v>MTR</v>
          </cell>
          <cell r="E322" t="str">
            <v>CBERM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</row>
        <row r="323">
          <cell r="B323" t="str">
            <v>FBR-FOM-PNLBR-BLUE</v>
          </cell>
          <cell r="C323" t="str">
            <v>Foamera BLUE PANEL &amp; BORDER FABRIC</v>
          </cell>
          <cell r="D323" t="str">
            <v>MTR</v>
          </cell>
          <cell r="E323" t="str">
            <v>CBERM</v>
          </cell>
          <cell r="F323">
            <v>0</v>
          </cell>
          <cell r="G323">
            <v>0</v>
          </cell>
          <cell r="H323">
            <v>400</v>
          </cell>
          <cell r="I323">
            <v>0</v>
          </cell>
        </row>
        <row r="324">
          <cell r="B324" t="str">
            <v>FBR-FOM-PNLBR-BRN</v>
          </cell>
          <cell r="C324" t="str">
            <v>Foamera BROWN PANEL&amp;BORDER  FABRIC</v>
          </cell>
          <cell r="D324" t="str">
            <v>MTR</v>
          </cell>
          <cell r="E324" t="str">
            <v>CBERM</v>
          </cell>
          <cell r="F324">
            <v>0</v>
          </cell>
          <cell r="G324">
            <v>0</v>
          </cell>
          <cell r="H324">
            <v>400</v>
          </cell>
          <cell r="I324">
            <v>0</v>
          </cell>
        </row>
        <row r="325">
          <cell r="B325" t="str">
            <v>FBR-FOM-PNLBR-MRN</v>
          </cell>
          <cell r="C325" t="str">
            <v>Foamera MAROON PANEL&amp;BORDER  FABRIC</v>
          </cell>
          <cell r="D325" t="str">
            <v>MTR</v>
          </cell>
          <cell r="E325" t="str">
            <v>CBERM</v>
          </cell>
          <cell r="F325">
            <v>0</v>
          </cell>
          <cell r="G325">
            <v>0</v>
          </cell>
          <cell r="H325">
            <v>400</v>
          </cell>
          <cell r="I325">
            <v>0</v>
          </cell>
        </row>
        <row r="326">
          <cell r="B326" t="str">
            <v>FBR-FON-BR-BLUE</v>
          </cell>
          <cell r="C326" t="str">
            <v>RESTONIC FONTAINE LIGHT BLUE BORDER FABRIC</v>
          </cell>
          <cell r="D326" t="str">
            <v>MTR</v>
          </cell>
          <cell r="E326" t="str">
            <v>CBERM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</row>
        <row r="327">
          <cell r="B327" t="str">
            <v>FBR-FON-BR-BRN</v>
          </cell>
          <cell r="C327" t="str">
            <v>RESTONIC FONTAINE BROWN BORDER FABRIC</v>
          </cell>
          <cell r="D327" t="str">
            <v>MTR</v>
          </cell>
          <cell r="E327" t="str">
            <v>CBERM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</row>
        <row r="328">
          <cell r="B328" t="str">
            <v>FBR-FON-ET-BLUE-REXI</v>
          </cell>
          <cell r="C328" t="str">
            <v>RESTONIC FONTAINE ET BLUE REXIN FABRIC</v>
          </cell>
          <cell r="D328" t="str">
            <v>MTR</v>
          </cell>
          <cell r="E328" t="str">
            <v>CBERM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</row>
        <row r="329">
          <cell r="B329" t="str">
            <v>FBR-FON-PNL-BLUE</v>
          </cell>
          <cell r="C329" t="str">
            <v>RESTONIC FONTAINE LIGHT BLUE PANEL FABRIC</v>
          </cell>
          <cell r="D329" t="str">
            <v>MTR</v>
          </cell>
          <cell r="E329" t="str">
            <v>CBERM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</row>
        <row r="330">
          <cell r="B330" t="str">
            <v>FBR-FON-PNL-BRN</v>
          </cell>
          <cell r="C330" t="str">
            <v>RESTONIC FONTAINE BROWN PANEL FABRIC</v>
          </cell>
          <cell r="D330" t="str">
            <v>MTR</v>
          </cell>
          <cell r="E330" t="str">
            <v>CBERM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</row>
        <row r="331">
          <cell r="B331" t="str">
            <v>FBR-FR</v>
          </cell>
          <cell r="C331" t="str">
            <v>HOTEL MOTEL FR WOVEN FABRIC</v>
          </cell>
          <cell r="D331" t="str">
            <v>MTR</v>
          </cell>
          <cell r="E331" t="str">
            <v>CBERM</v>
          </cell>
          <cell r="F331">
            <v>0</v>
          </cell>
          <cell r="G331">
            <v>0</v>
          </cell>
          <cell r="H331">
            <v>3000</v>
          </cell>
          <cell r="I331">
            <v>1000</v>
          </cell>
        </row>
        <row r="332">
          <cell r="B332" t="str">
            <v>FBR-FR-BR</v>
          </cell>
          <cell r="C332" t="str">
            <v>HOTEL MOTEL FR BORDER FABRIC</v>
          </cell>
          <cell r="D332" t="str">
            <v>MTR</v>
          </cell>
          <cell r="E332" t="str">
            <v>CBERM</v>
          </cell>
          <cell r="F332">
            <v>1000</v>
          </cell>
          <cell r="G332">
            <v>1000</v>
          </cell>
          <cell r="H332">
            <v>1500</v>
          </cell>
          <cell r="I332">
            <v>0</v>
          </cell>
        </row>
        <row r="333">
          <cell r="B333" t="str">
            <v>FBR-FR-KNIT-GREY</v>
          </cell>
          <cell r="C333" t="str">
            <v>HOTEL MOTEL FR KNITTED GREY FABRIC</v>
          </cell>
          <cell r="D333" t="str">
            <v>MTR</v>
          </cell>
          <cell r="E333" t="str">
            <v>CBERM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</row>
        <row r="334">
          <cell r="B334" t="str">
            <v>FBR-FR-KNIT-STRIPE</v>
          </cell>
          <cell r="C334" t="str">
            <v>HOTEL MOTEL FR KNITTED STRIPE FABRIC</v>
          </cell>
          <cell r="D334" t="str">
            <v>MTR</v>
          </cell>
          <cell r="E334" t="str">
            <v>CBERM</v>
          </cell>
          <cell r="F334">
            <v>0</v>
          </cell>
          <cell r="G334">
            <v>0</v>
          </cell>
          <cell r="H334">
            <v>600</v>
          </cell>
          <cell r="I334">
            <v>0</v>
          </cell>
        </row>
        <row r="335">
          <cell r="B335" t="str">
            <v>FBR-FUR-PNLBR-DB</v>
          </cell>
          <cell r="C335" t="str">
            <v>FURNO DARK BLUE PANEL BORDER FABRIC</v>
          </cell>
          <cell r="D335" t="str">
            <v>MTR</v>
          </cell>
          <cell r="E335" t="str">
            <v>CBERM</v>
          </cell>
          <cell r="F335">
            <v>0</v>
          </cell>
          <cell r="G335">
            <v>0</v>
          </cell>
          <cell r="H335">
            <v>1000</v>
          </cell>
          <cell r="I335">
            <v>0</v>
          </cell>
        </row>
        <row r="336">
          <cell r="B336" t="str">
            <v>FBR-FUR-PNLBR-MRN</v>
          </cell>
          <cell r="C336" t="str">
            <v>FURNO MAROON PANEL BORDER FABRIC</v>
          </cell>
          <cell r="D336" t="str">
            <v>MTR</v>
          </cell>
          <cell r="E336" t="str">
            <v>CBERM</v>
          </cell>
          <cell r="F336">
            <v>0</v>
          </cell>
          <cell r="G336">
            <v>0</v>
          </cell>
          <cell r="H336">
            <v>1000</v>
          </cell>
          <cell r="I336">
            <v>0</v>
          </cell>
        </row>
        <row r="337">
          <cell r="B337" t="str">
            <v>FBR-GEN-OPU-BR-BG</v>
          </cell>
          <cell r="C337" t="str">
            <v>GENEVA OPULENCE BEIGE BORDER FABRIC</v>
          </cell>
          <cell r="D337" t="str">
            <v>MTR</v>
          </cell>
          <cell r="E337" t="str">
            <v>CBERM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</row>
        <row r="338">
          <cell r="B338" t="str">
            <v>FBR-GEN-OPU-BR-BLUE</v>
          </cell>
          <cell r="C338" t="str">
            <v>GENEVA OPULENCE LIGHT BLUE BORDER FABRIC</v>
          </cell>
          <cell r="D338" t="str">
            <v>MTR</v>
          </cell>
          <cell r="E338" t="str">
            <v>CBERM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</row>
        <row r="339">
          <cell r="B339" t="str">
            <v>FBR-GEN-PNL-BG</v>
          </cell>
          <cell r="C339" t="str">
            <v>GENEVA BEIGE PANEL FABRIC</v>
          </cell>
          <cell r="D339" t="str">
            <v>MTR</v>
          </cell>
          <cell r="E339" t="str">
            <v>CBERM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</row>
        <row r="340">
          <cell r="B340" t="str">
            <v>FBR-GEN-PNL-BLUE</v>
          </cell>
          <cell r="C340" t="str">
            <v>GENEVA LIGHT BLUE PANEL FABRIC</v>
          </cell>
          <cell r="D340" t="str">
            <v>MTR</v>
          </cell>
          <cell r="E340" t="str">
            <v>CBERM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</row>
        <row r="341">
          <cell r="B341" t="str">
            <v>FBR-GP-BR-BRN</v>
          </cell>
          <cell r="C341" t="str">
            <v>GRANDPALAIS BROWN REXINE BORDER FABRIC</v>
          </cell>
          <cell r="D341" t="str">
            <v>MTR</v>
          </cell>
          <cell r="E341" t="str">
            <v>CBERM</v>
          </cell>
          <cell r="F341">
            <v>0</v>
          </cell>
          <cell r="G341">
            <v>0</v>
          </cell>
          <cell r="H341">
            <v>500</v>
          </cell>
          <cell r="I341">
            <v>500</v>
          </cell>
        </row>
        <row r="342">
          <cell r="B342" t="str">
            <v>FBR-GP-BR-LT-BRN</v>
          </cell>
          <cell r="C342" t="str">
            <v>GRANDPALAIS LIGHT BROWN REXINE BORDER FABRIC</v>
          </cell>
          <cell r="D342" t="str">
            <v>MTR</v>
          </cell>
          <cell r="E342" t="str">
            <v>CBERM</v>
          </cell>
          <cell r="F342">
            <v>500</v>
          </cell>
          <cell r="G342">
            <v>500</v>
          </cell>
          <cell r="H342">
            <v>0</v>
          </cell>
          <cell r="I342">
            <v>0</v>
          </cell>
        </row>
        <row r="343">
          <cell r="B343" t="str">
            <v>FBR-GP-BR-LT-GRY</v>
          </cell>
          <cell r="C343" t="str">
            <v>GRANDPALAIS LIGHT GREY REXINE BORDER FABRIC</v>
          </cell>
          <cell r="D343" t="str">
            <v>MTR</v>
          </cell>
          <cell r="E343" t="str">
            <v>CBERM</v>
          </cell>
          <cell r="F343">
            <v>0</v>
          </cell>
          <cell r="G343">
            <v>0</v>
          </cell>
          <cell r="H343">
            <v>200</v>
          </cell>
          <cell r="I343">
            <v>0</v>
          </cell>
        </row>
        <row r="344">
          <cell r="B344" t="str">
            <v>FBR-GP-GR-BRN</v>
          </cell>
          <cell r="C344" t="str">
            <v>GRANDPALAIS GREY REXINE BORDER FABRIC</v>
          </cell>
          <cell r="D344" t="str">
            <v>MTR</v>
          </cell>
          <cell r="E344" t="str">
            <v>CBERM</v>
          </cell>
          <cell r="F344">
            <v>0</v>
          </cell>
          <cell r="G344">
            <v>0</v>
          </cell>
          <cell r="H344">
            <v>200</v>
          </cell>
          <cell r="I344">
            <v>0</v>
          </cell>
        </row>
        <row r="345">
          <cell r="B345" t="str">
            <v>FBR-GP-PNL-BRN</v>
          </cell>
          <cell r="C345" t="str">
            <v>GRANDPALAIS BROWN PANEL FABRIC</v>
          </cell>
          <cell r="D345" t="str">
            <v>MTR</v>
          </cell>
          <cell r="E345" t="str">
            <v>CBERM</v>
          </cell>
          <cell r="F345">
            <v>0</v>
          </cell>
          <cell r="G345">
            <v>0</v>
          </cell>
          <cell r="H345">
            <v>200</v>
          </cell>
          <cell r="I345">
            <v>200</v>
          </cell>
        </row>
        <row r="346">
          <cell r="B346" t="str">
            <v>FBR-GP-PNL-GREY</v>
          </cell>
          <cell r="C346" t="str">
            <v>GRANDPALAIS GREY PANEL FABRIC</v>
          </cell>
          <cell r="D346" t="str">
            <v>MTR</v>
          </cell>
          <cell r="E346" t="str">
            <v>CBERM</v>
          </cell>
          <cell r="F346">
            <v>200</v>
          </cell>
          <cell r="G346">
            <v>200</v>
          </cell>
          <cell r="H346">
            <v>200</v>
          </cell>
          <cell r="I346">
            <v>0</v>
          </cell>
        </row>
        <row r="347">
          <cell r="B347" t="str">
            <v>FBR-GRIP-BLACK</v>
          </cell>
          <cell r="C347" t="str">
            <v>PEPS GRIPSTER BLACK FABRIC</v>
          </cell>
          <cell r="D347" t="str">
            <v>KGS</v>
          </cell>
          <cell r="E347" t="str">
            <v>CBERM</v>
          </cell>
          <cell r="F347">
            <v>0</v>
          </cell>
          <cell r="G347">
            <v>0</v>
          </cell>
          <cell r="H347">
            <v>40</v>
          </cell>
          <cell r="I347">
            <v>0</v>
          </cell>
        </row>
        <row r="348">
          <cell r="B348" t="str">
            <v>FBR-GRIP-BTM-BL</v>
          </cell>
          <cell r="C348" t="str">
            <v>Gripster Blue Bottom Fabric</v>
          </cell>
          <cell r="D348" t="str">
            <v>NOS</v>
          </cell>
          <cell r="E348" t="str">
            <v>CBERM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</row>
        <row r="349">
          <cell r="B349" t="str">
            <v>FBR-GRIP-NVBLUE</v>
          </cell>
          <cell r="C349" t="str">
            <v>PEPS GRIPSTER NAVY BLUE FABRIC</v>
          </cell>
          <cell r="D349" t="str">
            <v>KGS</v>
          </cell>
          <cell r="E349" t="str">
            <v>CBERM</v>
          </cell>
          <cell r="F349">
            <v>0</v>
          </cell>
          <cell r="G349">
            <v>0</v>
          </cell>
          <cell r="H349">
            <v>100</v>
          </cell>
          <cell r="I349">
            <v>0</v>
          </cell>
        </row>
        <row r="350">
          <cell r="B350" t="str">
            <v>FBR-HYP-HEVSPC-BR</v>
          </cell>
          <cell r="C350" t="str">
            <v>HYPNOS HEAVENSPACE BORDER FABRIC</v>
          </cell>
          <cell r="D350" t="str">
            <v>MTR</v>
          </cell>
          <cell r="E350" t="str">
            <v>CBERM</v>
          </cell>
          <cell r="F350">
            <v>0</v>
          </cell>
          <cell r="G350">
            <v>0</v>
          </cell>
          <cell r="H350">
            <v>50</v>
          </cell>
          <cell r="I350">
            <v>0</v>
          </cell>
        </row>
        <row r="351">
          <cell r="B351" t="str">
            <v>FBR-HYP-HEVSPC-PNL-BLU</v>
          </cell>
          <cell r="C351" t="str">
            <v>HYPNOS HEAVENSPACE PANEL FABRIC</v>
          </cell>
          <cell r="D351" t="str">
            <v>MTR</v>
          </cell>
          <cell r="E351" t="str">
            <v>CBERM</v>
          </cell>
          <cell r="F351">
            <v>0</v>
          </cell>
          <cell r="G351">
            <v>0</v>
          </cell>
          <cell r="H351">
            <v>350</v>
          </cell>
          <cell r="I351">
            <v>1000</v>
          </cell>
        </row>
        <row r="352">
          <cell r="B352" t="str">
            <v>RML-INS-WCRD</v>
          </cell>
          <cell r="C352" t="str">
            <v>INSPREE 3 YEARS WARRANTY CARD</v>
          </cell>
          <cell r="D352" t="str">
            <v>NOS</v>
          </cell>
          <cell r="E352" t="str">
            <v>CBERM</v>
          </cell>
          <cell r="F352">
            <v>1000</v>
          </cell>
          <cell r="G352">
            <v>1000</v>
          </cell>
          <cell r="H352">
            <v>0</v>
          </cell>
          <cell r="I352">
            <v>0</v>
          </cell>
        </row>
        <row r="353">
          <cell r="B353" t="str">
            <v>REVIT-ZENIMO</v>
          </cell>
          <cell r="C353" t="str">
            <v>Revit for Zenimo Mattress</v>
          </cell>
          <cell r="D353" t="str">
            <v>NOS</v>
          </cell>
          <cell r="E353" t="str">
            <v>CBERM</v>
          </cell>
          <cell r="F353">
            <v>0</v>
          </cell>
          <cell r="G353">
            <v>0</v>
          </cell>
          <cell r="H353">
            <v>1100</v>
          </cell>
          <cell r="I353">
            <v>3000</v>
          </cell>
        </row>
        <row r="354">
          <cell r="B354" t="str">
            <v>RM-ALLURA-SDE-LBL</v>
          </cell>
          <cell r="C354" t="str">
            <v>PEPS ALLURA SIDE LABEL</v>
          </cell>
          <cell r="D354" t="str">
            <v>NOS</v>
          </cell>
          <cell r="E354" t="str">
            <v>CBERM</v>
          </cell>
          <cell r="F354">
            <v>3000</v>
          </cell>
          <cell r="G354">
            <v>3000</v>
          </cell>
          <cell r="H354">
            <v>0</v>
          </cell>
          <cell r="I354">
            <v>0</v>
          </cell>
        </row>
        <row r="355">
          <cell r="B355" t="str">
            <v>RML-INV-ZIP-BLK</v>
          </cell>
          <cell r="C355" t="str">
            <v>INVISIBLE ZIPPER BLACK</v>
          </cell>
          <cell r="D355" t="str">
            <v>MTR</v>
          </cell>
          <cell r="E355" t="str">
            <v>CBERM</v>
          </cell>
          <cell r="F355">
            <v>0</v>
          </cell>
          <cell r="G355">
            <v>0</v>
          </cell>
          <cell r="H355">
            <v>740</v>
          </cell>
          <cell r="I355">
            <v>0</v>
          </cell>
        </row>
        <row r="356">
          <cell r="B356" t="str">
            <v>RM-ARD-PLUSH-SDE-LBL</v>
          </cell>
          <cell r="C356" t="str">
            <v>ARDENE PLUSH SIDE LABEL</v>
          </cell>
          <cell r="D356" t="str">
            <v>NOS</v>
          </cell>
          <cell r="E356" t="str">
            <v>CBERM</v>
          </cell>
          <cell r="F356">
            <v>0</v>
          </cell>
          <cell r="G356">
            <v>0</v>
          </cell>
          <cell r="H356">
            <v>200</v>
          </cell>
          <cell r="I356">
            <v>0</v>
          </cell>
        </row>
        <row r="357">
          <cell r="B357" t="str">
            <v>RM-BED-SHT-PLN-108X108-WOPC</v>
          </cell>
          <cell r="C357" t="str">
            <v>PEPS 108X108 PLAIN BED SHEET</v>
          </cell>
          <cell r="D357" t="str">
            <v>NOS</v>
          </cell>
          <cell r="E357" t="str">
            <v>CBERM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</row>
        <row r="358">
          <cell r="B358" t="str">
            <v>RM-BLK-ZIP-68INCH</v>
          </cell>
          <cell r="C358" t="str">
            <v>Mattress Black Zip 68inch</v>
          </cell>
          <cell r="D358" t="str">
            <v>NOS</v>
          </cell>
          <cell r="E358" t="str">
            <v>CBERM</v>
          </cell>
          <cell r="F358">
            <v>0</v>
          </cell>
          <cell r="G358">
            <v>0</v>
          </cell>
          <cell r="H358">
            <v>200</v>
          </cell>
          <cell r="I358">
            <v>500</v>
          </cell>
        </row>
        <row r="359">
          <cell r="B359" t="str">
            <v>RM-BREATHER-GOLD-FR</v>
          </cell>
          <cell r="C359" t="str">
            <v>FR MATTRESS BREATHER SET GOLD</v>
          </cell>
          <cell r="D359" t="str">
            <v>SET</v>
          </cell>
          <cell r="E359" t="str">
            <v>CBERM</v>
          </cell>
          <cell r="F359">
            <v>500</v>
          </cell>
          <cell r="G359">
            <v>500</v>
          </cell>
          <cell r="H359">
            <v>0</v>
          </cell>
          <cell r="I359">
            <v>0</v>
          </cell>
        </row>
        <row r="360">
          <cell r="B360" t="str">
            <v>RM-BREATHER-TNDR</v>
          </cell>
          <cell r="C360" t="str">
            <v>TNDR - MATTRESS BREATHER</v>
          </cell>
          <cell r="D360" t="str">
            <v>SET</v>
          </cell>
          <cell r="E360" t="str">
            <v>CBERM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</row>
        <row r="361">
          <cell r="B361" t="str">
            <v>RM-CAMEO-NOT-LBL</v>
          </cell>
          <cell r="C361" t="str">
            <v>CAMEO NO-TURN LABEL</v>
          </cell>
          <cell r="D361" t="str">
            <v>NOS</v>
          </cell>
          <cell r="E361" t="str">
            <v>CBERM</v>
          </cell>
          <cell r="F361">
            <v>0</v>
          </cell>
          <cell r="G361">
            <v>0</v>
          </cell>
          <cell r="H361">
            <v>100</v>
          </cell>
          <cell r="I361">
            <v>0</v>
          </cell>
        </row>
        <row r="362">
          <cell r="B362" t="str">
            <v>RML-INV-ZIP-CR-BLUE</v>
          </cell>
          <cell r="C362" t="str">
            <v>INVISIBLE ZIPPER CORAL BLUE</v>
          </cell>
          <cell r="D362" t="str">
            <v>MTR</v>
          </cell>
          <cell r="E362" t="str">
            <v>CBERM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</row>
        <row r="363">
          <cell r="B363" t="str">
            <v>RML-INV-ZIP-GRY</v>
          </cell>
          <cell r="C363" t="str">
            <v>INVISIBLE ZIPPER GREY</v>
          </cell>
          <cell r="D363" t="str">
            <v>MTR</v>
          </cell>
          <cell r="E363" t="str">
            <v>CBERM</v>
          </cell>
          <cell r="F363">
            <v>0</v>
          </cell>
          <cell r="G363">
            <v>0</v>
          </cell>
          <cell r="H363">
            <v>360</v>
          </cell>
          <cell r="I363">
            <v>0</v>
          </cell>
        </row>
        <row r="364">
          <cell r="B364" t="str">
            <v>RML-INV-ZIP-NV-BLUE</v>
          </cell>
          <cell r="C364" t="str">
            <v>INVISIBLE ZIPPER NAVY BLUE</v>
          </cell>
          <cell r="D364" t="str">
            <v>MTR</v>
          </cell>
          <cell r="E364" t="str">
            <v>CBERM</v>
          </cell>
          <cell r="F364">
            <v>0</v>
          </cell>
          <cell r="G364">
            <v>0</v>
          </cell>
          <cell r="H364">
            <v>360</v>
          </cell>
          <cell r="I364">
            <v>0</v>
          </cell>
        </row>
        <row r="365">
          <cell r="B365" t="str">
            <v>RML-INV-ZIP-RUN-BL</v>
          </cell>
          <cell r="C365" t="str">
            <v>INVISIBLE ZIPPER RUNNER - BLACK</v>
          </cell>
          <cell r="D365" t="str">
            <v>NOS</v>
          </cell>
          <cell r="E365" t="str">
            <v>CBERM</v>
          </cell>
          <cell r="F365">
            <v>0</v>
          </cell>
          <cell r="G365">
            <v>0</v>
          </cell>
          <cell r="H365">
            <v>400</v>
          </cell>
          <cell r="I365">
            <v>0</v>
          </cell>
        </row>
        <row r="366">
          <cell r="B366" t="str">
            <v>RML-REWORK-STICKER</v>
          </cell>
          <cell r="C366" t="str">
            <v>REWORK STICKER YELLOW</v>
          </cell>
          <cell r="D366" t="str">
            <v>NOS</v>
          </cell>
          <cell r="E366" t="str">
            <v>CBERM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</row>
        <row r="367">
          <cell r="B367" t="str">
            <v>RML-RIB-YEL</v>
          </cell>
          <cell r="C367" t="str">
            <v>RIBBON YELLOW</v>
          </cell>
          <cell r="D367" t="str">
            <v>MTR</v>
          </cell>
          <cell r="E367" t="str">
            <v>CBERM</v>
          </cell>
          <cell r="F367">
            <v>0</v>
          </cell>
          <cell r="G367">
            <v>0</v>
          </cell>
          <cell r="H367">
            <v>500</v>
          </cell>
          <cell r="I367">
            <v>0</v>
          </cell>
        </row>
        <row r="368">
          <cell r="B368" t="str">
            <v>RML-ROUND-STK-CLR</v>
          </cell>
          <cell r="C368" t="str">
            <v>45MM ROUND COLOR STICKER ( 9 ASSORTED COLORS)</v>
          </cell>
          <cell r="D368" t="str">
            <v>NOS</v>
          </cell>
          <cell r="E368" t="str">
            <v>CBERM</v>
          </cell>
          <cell r="F368">
            <v>0</v>
          </cell>
          <cell r="G368">
            <v>0</v>
          </cell>
          <cell r="H368">
            <v>10000</v>
          </cell>
          <cell r="I368">
            <v>0</v>
          </cell>
        </row>
        <row r="369">
          <cell r="B369" t="str">
            <v>RML-BDLN90X100</v>
          </cell>
          <cell r="C369" t="str">
            <v>PEPS KOMFFY 100% SUPER COOL COTTON BED LINEN 90" X 100"</v>
          </cell>
          <cell r="D369" t="str">
            <v>NOS</v>
          </cell>
          <cell r="E369" t="str">
            <v>CBERM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</row>
        <row r="370">
          <cell r="B370" t="str">
            <v>RML-BEDSHEET-INS</v>
          </cell>
          <cell r="C370" t="str">
            <v>BED SHEET INSERTER</v>
          </cell>
          <cell r="D370" t="str">
            <v>MTR</v>
          </cell>
          <cell r="E370" t="str">
            <v>CBERM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</row>
        <row r="371">
          <cell r="B371" t="str">
            <v>RML-BED-SHT-100X110-4PC</v>
          </cell>
          <cell r="C371" t="str">
            <v>PEPS 100 X 110 BED SHEET WITH 4 PILLOW COVERS</v>
          </cell>
          <cell r="D371" t="str">
            <v>NOS</v>
          </cell>
          <cell r="E371" t="str">
            <v>CBERM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</row>
        <row r="372">
          <cell r="B372" t="str">
            <v>RML-RTC-ETAPE-LBLUE</v>
          </cell>
          <cell r="C372" t="str">
            <v>EDGE TAPE. L BLUE</v>
          </cell>
          <cell r="D372" t="str">
            <v>MTR</v>
          </cell>
          <cell r="E372" t="str">
            <v>CBERM</v>
          </cell>
          <cell r="F372">
            <v>0</v>
          </cell>
          <cell r="G372">
            <v>0</v>
          </cell>
          <cell r="H372">
            <v>4800</v>
          </cell>
          <cell r="I372">
            <v>0</v>
          </cell>
        </row>
        <row r="373">
          <cell r="B373" t="str">
            <v>RML-RTC-PLUSH-WCRD</v>
          </cell>
          <cell r="C373" t="str">
            <v>PEPS RESTONIC PLUSH WARRANTY CARD</v>
          </cell>
          <cell r="D373" t="str">
            <v>NOS</v>
          </cell>
          <cell r="E373" t="str">
            <v>CBERM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</row>
        <row r="374">
          <cell r="B374" t="str">
            <v>RML-RTC-POC-WCRD</v>
          </cell>
          <cell r="C374" t="str">
            <v>PEPS RESTONIC POC WARRANTY CARD</v>
          </cell>
          <cell r="D374" t="str">
            <v>NOS</v>
          </cell>
          <cell r="E374" t="str">
            <v>CBERM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</row>
        <row r="375">
          <cell r="B375" t="str">
            <v>RML-RTC-WCRD</v>
          </cell>
          <cell r="C375" t="str">
            <v>PEPS RESTONIC WARRANTY CARD</v>
          </cell>
          <cell r="D375" t="str">
            <v>NOS</v>
          </cell>
          <cell r="E375" t="str">
            <v>CBERM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</row>
        <row r="376">
          <cell r="B376" t="str">
            <v>RML-BOL-PVC-BAG</v>
          </cell>
          <cell r="C376" t="str">
            <v>BOLSTER PVC BLUE BAG 33"WX14.5"H</v>
          </cell>
          <cell r="D376" t="str">
            <v>NOS</v>
          </cell>
          <cell r="E376" t="str">
            <v>CBERM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</row>
        <row r="377">
          <cell r="B377" t="str">
            <v>RML-RUNNER</v>
          </cell>
          <cell r="C377" t="str">
            <v>Zipper Runner</v>
          </cell>
          <cell r="D377" t="str">
            <v>NOS</v>
          </cell>
          <cell r="E377" t="str">
            <v>CBERM</v>
          </cell>
          <cell r="F377">
            <v>0</v>
          </cell>
          <cell r="G377">
            <v>0</v>
          </cell>
          <cell r="H377">
            <v>2000</v>
          </cell>
          <cell r="I377">
            <v>1000</v>
          </cell>
        </row>
        <row r="378">
          <cell r="B378" t="str">
            <v>RML-RUNNER-SLVR</v>
          </cell>
          <cell r="C378" t="str">
            <v>Zipper Runner Silver No-8</v>
          </cell>
          <cell r="D378" t="str">
            <v>NOS</v>
          </cell>
          <cell r="E378" t="str">
            <v>CBERM</v>
          </cell>
          <cell r="F378">
            <v>1000</v>
          </cell>
          <cell r="G378">
            <v>1000</v>
          </cell>
          <cell r="H378">
            <v>500</v>
          </cell>
          <cell r="I378">
            <v>0</v>
          </cell>
        </row>
        <row r="379">
          <cell r="B379" t="str">
            <v>RML-BOLSTER-INS</v>
          </cell>
          <cell r="C379" t="str">
            <v>Histyle Bolster Inserter L30.5XW8</v>
          </cell>
          <cell r="D379" t="str">
            <v>NOS</v>
          </cell>
          <cell r="E379" t="str">
            <v>CBERM</v>
          </cell>
          <cell r="F379">
            <v>0</v>
          </cell>
          <cell r="G379">
            <v>0</v>
          </cell>
          <cell r="H379">
            <v>250</v>
          </cell>
          <cell r="I379">
            <v>0</v>
          </cell>
        </row>
        <row r="380">
          <cell r="B380" t="str">
            <v>RML-SAMP-LBL</v>
          </cell>
          <cell r="C380" t="str">
            <v>SAMPLE</v>
          </cell>
          <cell r="D380" t="str">
            <v>NOS</v>
          </cell>
          <cell r="E380" t="str">
            <v>CBERM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</row>
        <row r="381">
          <cell r="B381" t="str">
            <v>RML-SCRW-0.75INCH</v>
          </cell>
          <cell r="C381" t="str">
            <v>STAR SCREW BLACK -0.75"</v>
          </cell>
          <cell r="D381" t="str">
            <v>NOS</v>
          </cell>
          <cell r="E381" t="str">
            <v>CBERM</v>
          </cell>
          <cell r="F381">
            <v>0</v>
          </cell>
          <cell r="G381">
            <v>0</v>
          </cell>
          <cell r="H381">
            <v>2100</v>
          </cell>
          <cell r="I381">
            <v>0</v>
          </cell>
        </row>
        <row r="382">
          <cell r="B382" t="str">
            <v>RML-CAR-CUS-INS</v>
          </cell>
          <cell r="C382" t="str">
            <v>HISTYLE MEMORY MOULDED CAR CUSHION INSERTER</v>
          </cell>
          <cell r="D382" t="str">
            <v>NOS</v>
          </cell>
          <cell r="E382" t="str">
            <v>CBERM</v>
          </cell>
          <cell r="F382">
            <v>0</v>
          </cell>
          <cell r="G382">
            <v>0</v>
          </cell>
          <cell r="H382">
            <v>70</v>
          </cell>
          <cell r="I382">
            <v>0</v>
          </cell>
        </row>
        <row r="383">
          <cell r="B383" t="str">
            <v>RML-SCRW-1.25INCH</v>
          </cell>
          <cell r="C383" t="str">
            <v>STAR SCREW BLACK -1.25"</v>
          </cell>
          <cell r="D383" t="str">
            <v>NOS</v>
          </cell>
          <cell r="E383" t="str">
            <v>CBERM</v>
          </cell>
          <cell r="F383">
            <v>0</v>
          </cell>
          <cell r="G383">
            <v>0</v>
          </cell>
          <cell r="H383">
            <v>2100</v>
          </cell>
          <cell r="I383">
            <v>0</v>
          </cell>
        </row>
        <row r="384">
          <cell r="B384" t="str">
            <v>RML-SCRW-1.5INCH</v>
          </cell>
          <cell r="C384" t="str">
            <v>STAR SCREW BLACK - 1.5"</v>
          </cell>
          <cell r="D384" t="str">
            <v>NOS</v>
          </cell>
          <cell r="E384" t="str">
            <v>CBERM</v>
          </cell>
          <cell r="F384">
            <v>0</v>
          </cell>
          <cell r="G384">
            <v>0</v>
          </cell>
          <cell r="H384">
            <v>2100</v>
          </cell>
          <cell r="I384">
            <v>0</v>
          </cell>
        </row>
        <row r="385">
          <cell r="B385" t="str">
            <v>RML-SCRW-1INCH</v>
          </cell>
          <cell r="C385" t="str">
            <v>STAR SCREW BLACK -1"</v>
          </cell>
          <cell r="D385" t="str">
            <v>NOS</v>
          </cell>
          <cell r="E385" t="str">
            <v>CBERM</v>
          </cell>
          <cell r="F385">
            <v>0</v>
          </cell>
          <cell r="G385">
            <v>0</v>
          </cell>
          <cell r="H385">
            <v>4000</v>
          </cell>
          <cell r="I385">
            <v>5000</v>
          </cell>
        </row>
        <row r="386">
          <cell r="B386" t="str">
            <v>RML-SPGF-CNR-LBL</v>
          </cell>
          <cell r="C386" t="str">
            <v>PEPS SPINE GUARD FOAM CORNER LABEL 7 YEARS</v>
          </cell>
          <cell r="D386" t="str">
            <v>NOS</v>
          </cell>
          <cell r="E386" t="str">
            <v>CBERM</v>
          </cell>
          <cell r="F386">
            <v>5000</v>
          </cell>
          <cell r="G386">
            <v>5000</v>
          </cell>
          <cell r="H386">
            <v>150</v>
          </cell>
          <cell r="I386">
            <v>0</v>
          </cell>
        </row>
        <row r="387">
          <cell r="B387" t="str">
            <v>RML-SPGF-WCRD</v>
          </cell>
          <cell r="C387" t="str">
            <v>PEPS SPINE GUARD FOAM WARRANTY CARD (7YERAS)</v>
          </cell>
          <cell r="D387" t="str">
            <v>NOS</v>
          </cell>
          <cell r="E387" t="str">
            <v>CBERM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</row>
        <row r="388">
          <cell r="B388" t="str">
            <v>RML-SPG-MRP-LBL</v>
          </cell>
          <cell r="C388" t="str">
            <v>PEPS SPINE GUARD MRP LABEL</v>
          </cell>
          <cell r="D388" t="str">
            <v>NOS</v>
          </cell>
          <cell r="E388" t="str">
            <v>CBERM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</row>
        <row r="389">
          <cell r="B389" t="str">
            <v>RML-SPGS-WCRD</v>
          </cell>
          <cell r="C389" t="str">
            <v>PEPS SPINE GUARD SPRING WARRANTY CARD(10YEARS)</v>
          </cell>
          <cell r="D389" t="str">
            <v>NOS</v>
          </cell>
          <cell r="E389" t="str">
            <v>CBERM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</row>
        <row r="390">
          <cell r="B390" t="str">
            <v>RML-SPINESAFE-WCRD</v>
          </cell>
          <cell r="C390" t="str">
            <v>SPINE SAFE 7 Years WARRANTY CARD</v>
          </cell>
          <cell r="D390" t="str">
            <v>NOS</v>
          </cell>
          <cell r="E390" t="str">
            <v>CBERM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</row>
        <row r="391">
          <cell r="B391" t="str">
            <v>RML-SPK-CNR-LBL</v>
          </cell>
          <cell r="C391" t="str">
            <v>PEPS SPRINGKOIL CORNER LABEL (LOCAL)</v>
          </cell>
          <cell r="D391" t="str">
            <v>NOS</v>
          </cell>
          <cell r="E391" t="str">
            <v>CBERM</v>
          </cell>
          <cell r="F391">
            <v>0</v>
          </cell>
          <cell r="G391">
            <v>0</v>
          </cell>
          <cell r="H391">
            <v>250</v>
          </cell>
          <cell r="I391">
            <v>0</v>
          </cell>
        </row>
        <row r="392">
          <cell r="B392" t="str">
            <v>RML-SPK-CT-WCRD</v>
          </cell>
          <cell r="C392" t="str">
            <v>PEPS SPRINGKOIL CROWN TOP WARRANTY CARD</v>
          </cell>
          <cell r="D392" t="str">
            <v>NOS</v>
          </cell>
          <cell r="E392" t="str">
            <v>CBERM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</row>
        <row r="393">
          <cell r="B393" t="str">
            <v>RML-SPK-ETAPE-FRGRY</v>
          </cell>
          <cell r="C393" t="str">
            <v>EDGE TAPE. FR GREY</v>
          </cell>
          <cell r="D393" t="str">
            <v>MTR</v>
          </cell>
          <cell r="E393" t="str">
            <v>CBERM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</row>
        <row r="394">
          <cell r="B394" t="str">
            <v>RML-SPK-WCRD</v>
          </cell>
          <cell r="C394" t="str">
            <v>PEPS SPRINGKOIL WARRANTY CARD</v>
          </cell>
          <cell r="D394" t="str">
            <v>NOS</v>
          </cell>
          <cell r="E394" t="str">
            <v>CBERM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</row>
        <row r="395">
          <cell r="B395" t="str">
            <v>RML-SS-CNR-LBL</v>
          </cell>
          <cell r="C395" t="str">
            <v>PEPS SPRING SOFT CORNER LABEL</v>
          </cell>
          <cell r="D395" t="str">
            <v>NOS</v>
          </cell>
          <cell r="E395" t="str">
            <v>CBERM</v>
          </cell>
          <cell r="F395">
            <v>0</v>
          </cell>
          <cell r="G395">
            <v>0</v>
          </cell>
          <cell r="H395">
            <v>250</v>
          </cell>
          <cell r="I395">
            <v>0</v>
          </cell>
        </row>
        <row r="396">
          <cell r="B396" t="str">
            <v>RML-SSF-EDTAPE</v>
          </cell>
          <cell r="C396" t="str">
            <v>EDGE TAPE. SPRING SOFT</v>
          </cell>
          <cell r="D396" t="str">
            <v>MTR</v>
          </cell>
          <cell r="E396" t="str">
            <v>CBERM</v>
          </cell>
          <cell r="F396">
            <v>0</v>
          </cell>
          <cell r="G396">
            <v>0</v>
          </cell>
          <cell r="H396">
            <v>10000</v>
          </cell>
          <cell r="I396">
            <v>0</v>
          </cell>
        </row>
        <row r="397">
          <cell r="B397" t="str">
            <v>RML-CFRP-60X90-MICPOY</v>
          </cell>
          <cell r="C397" t="str">
            <v>PEPS 60X90 QUILT-MICRO POLYESTER COMFORTER</v>
          </cell>
          <cell r="D397" t="str">
            <v>NOS</v>
          </cell>
          <cell r="E397" t="str">
            <v>CBERM</v>
          </cell>
          <cell r="F397">
            <v>0</v>
          </cell>
          <cell r="G397">
            <v>0</v>
          </cell>
          <cell r="H397">
            <v>70</v>
          </cell>
          <cell r="I397">
            <v>0</v>
          </cell>
        </row>
        <row r="398">
          <cell r="B398" t="str">
            <v>RML-CFRP-WH-60X90MICPOY</v>
          </cell>
          <cell r="C398" t="str">
            <v>PEPS 60X90 QUILT-MICRO POLYESTER WHITE COMFORTER</v>
          </cell>
          <cell r="D398" t="str">
            <v>NOS</v>
          </cell>
          <cell r="E398" t="str">
            <v>CBERM</v>
          </cell>
          <cell r="F398">
            <v>0</v>
          </cell>
          <cell r="G398">
            <v>0</v>
          </cell>
          <cell r="H398">
            <v>100</v>
          </cell>
          <cell r="I398">
            <v>150</v>
          </cell>
        </row>
        <row r="399">
          <cell r="B399" t="str">
            <v>RML-CFRP-WH-90X100MICPOY</v>
          </cell>
          <cell r="C399" t="str">
            <v>PEPS 90X100 QUILT-MICRO POLYESTER WHITE COMFORTER</v>
          </cell>
          <cell r="D399" t="str">
            <v>NOS</v>
          </cell>
          <cell r="E399" t="str">
            <v>CBERM</v>
          </cell>
          <cell r="F399">
            <v>150</v>
          </cell>
          <cell r="G399">
            <v>150</v>
          </cell>
          <cell r="H399">
            <v>100</v>
          </cell>
          <cell r="I399">
            <v>0</v>
          </cell>
        </row>
        <row r="400">
          <cell r="B400" t="str">
            <v>RML-CFRP-WH-92X110MICPOY</v>
          </cell>
          <cell r="C400" t="str">
            <v>PEPS 92X110 QUILT-MICRO POLYESTER WHITE COMFORTER</v>
          </cell>
          <cell r="D400" t="str">
            <v>NOS</v>
          </cell>
          <cell r="E400" t="str">
            <v>CBERM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</row>
        <row r="401">
          <cell r="B401" t="str">
            <v>RML-SS-MRP-LBL</v>
          </cell>
          <cell r="C401" t="str">
            <v>PEPS SPRING SOFT MRP LABEL</v>
          </cell>
          <cell r="D401" t="str">
            <v>NOS</v>
          </cell>
          <cell r="E401" t="str">
            <v>CBERM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</row>
        <row r="402">
          <cell r="B402" t="str">
            <v>RML-STPLR-PIN8012</v>
          </cell>
          <cell r="C402" t="str">
            <v>STAPLER PIN 8012 (100000 PCS/CTN)</v>
          </cell>
          <cell r="D402" t="str">
            <v>BOX</v>
          </cell>
          <cell r="E402" t="str">
            <v>CBERM</v>
          </cell>
          <cell r="F402">
            <v>0</v>
          </cell>
          <cell r="G402">
            <v>0</v>
          </cell>
          <cell r="H402">
            <v>2</v>
          </cell>
          <cell r="I402">
            <v>0</v>
          </cell>
        </row>
        <row r="403">
          <cell r="B403" t="str">
            <v>RML-STPLR-PIN9025</v>
          </cell>
          <cell r="C403" t="str">
            <v>STAPLER PIN 9025 (50000 PCS/CTN)</v>
          </cell>
          <cell r="D403" t="str">
            <v>BOX</v>
          </cell>
          <cell r="E403" t="str">
            <v>CBERM</v>
          </cell>
          <cell r="F403">
            <v>0</v>
          </cell>
          <cell r="G403">
            <v>0</v>
          </cell>
          <cell r="H403">
            <v>2</v>
          </cell>
          <cell r="I403">
            <v>0</v>
          </cell>
        </row>
        <row r="404">
          <cell r="B404" t="str">
            <v>RML-STPLR-PIN9030</v>
          </cell>
          <cell r="C404" t="str">
            <v>STAPLER PIN 9030 (30,000 PCS/CTN)</v>
          </cell>
          <cell r="D404" t="str">
            <v>BOX</v>
          </cell>
          <cell r="E404" t="str">
            <v>CBERM</v>
          </cell>
          <cell r="F404">
            <v>0</v>
          </cell>
          <cell r="G404">
            <v>0</v>
          </cell>
          <cell r="H404">
            <v>2</v>
          </cell>
          <cell r="I404">
            <v>0</v>
          </cell>
        </row>
        <row r="405">
          <cell r="B405" t="str">
            <v>RML-STPLR-PIN-N-50</v>
          </cell>
          <cell r="C405" t="str">
            <v>STAPLER PIN N-50 (10500 PCS/CTN)</v>
          </cell>
          <cell r="D405" t="str">
            <v>BOX</v>
          </cell>
          <cell r="E405" t="str">
            <v>CBERM</v>
          </cell>
          <cell r="F405">
            <v>0</v>
          </cell>
          <cell r="G405">
            <v>0</v>
          </cell>
          <cell r="H405">
            <v>3</v>
          </cell>
          <cell r="I405">
            <v>2</v>
          </cell>
        </row>
        <row r="406">
          <cell r="B406" t="str">
            <v>RML-STRAP-ROLL</v>
          </cell>
          <cell r="C406" t="str">
            <v>12MM PACKING STRAP ROLL</v>
          </cell>
          <cell r="D406" t="str">
            <v>NOS</v>
          </cell>
          <cell r="E406" t="str">
            <v>CBERM</v>
          </cell>
          <cell r="F406">
            <v>2</v>
          </cell>
          <cell r="G406">
            <v>2</v>
          </cell>
          <cell r="H406">
            <v>15</v>
          </cell>
          <cell r="I406">
            <v>0</v>
          </cell>
        </row>
        <row r="407">
          <cell r="B407" t="str">
            <v>RML-STR-FILM-68INCH</v>
          </cell>
          <cell r="C407" t="str">
            <v>STRETCH FILM - 68"</v>
          </cell>
          <cell r="D407" t="str">
            <v>KGS</v>
          </cell>
          <cell r="E407" t="str">
            <v>CBERM</v>
          </cell>
          <cell r="F407">
            <v>0</v>
          </cell>
          <cell r="G407">
            <v>0</v>
          </cell>
          <cell r="H407">
            <v>150</v>
          </cell>
          <cell r="I407">
            <v>0</v>
          </cell>
        </row>
        <row r="408">
          <cell r="B408" t="str">
            <v>RML-JUMBO-PLW-WSCR-LBL</v>
          </cell>
          <cell r="C408" t="str">
            <v>PEPS JUMBO PILLOW WASH CARE LABEL</v>
          </cell>
          <cell r="D408" t="str">
            <v>NOS</v>
          </cell>
          <cell r="E408" t="str">
            <v>CBERM</v>
          </cell>
          <cell r="F408">
            <v>0</v>
          </cell>
          <cell r="G408">
            <v>0</v>
          </cell>
          <cell r="H408">
            <v>250</v>
          </cell>
          <cell r="I408">
            <v>0</v>
          </cell>
        </row>
        <row r="409">
          <cell r="B409" t="str">
            <v>RML-KOM-CFRP-MICPO-60X90</v>
          </cell>
          <cell r="C409" t="str">
            <v>KOMFFY QUILT-MICRO POLYESTER SINGLE COMFORTER 60X90</v>
          </cell>
          <cell r="D409" t="str">
            <v>NOS</v>
          </cell>
          <cell r="E409" t="str">
            <v>CBERM</v>
          </cell>
          <cell r="F409">
            <v>0</v>
          </cell>
          <cell r="G409">
            <v>0</v>
          </cell>
          <cell r="H409">
            <v>150</v>
          </cell>
          <cell r="I409">
            <v>0</v>
          </cell>
        </row>
        <row r="410">
          <cell r="B410" t="str">
            <v>RML-KOM-CFRP-MICPO-90X100</v>
          </cell>
          <cell r="C410" t="str">
            <v>KOMFFY QUILT-MICRO POLYESTER DOUBLE COMFORTER 90X100</v>
          </cell>
          <cell r="D410" t="str">
            <v>NOS</v>
          </cell>
          <cell r="E410" t="str">
            <v>CBERM</v>
          </cell>
          <cell r="F410">
            <v>0</v>
          </cell>
          <cell r="G410">
            <v>0</v>
          </cell>
          <cell r="H410">
            <v>750</v>
          </cell>
          <cell r="I410">
            <v>0</v>
          </cell>
        </row>
        <row r="411">
          <cell r="B411" t="str">
            <v>RML-KOM-COM-MRP-LBL</v>
          </cell>
          <cell r="C411" t="str">
            <v>KOMFFY FEATHER SOFT COMFORTER MRP LABEL</v>
          </cell>
          <cell r="D411" t="str">
            <v>NOS</v>
          </cell>
          <cell r="E411" t="str">
            <v>CBERM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</row>
        <row r="412">
          <cell r="B412" t="str">
            <v>RML-KOM-COM-PVC-CVR</v>
          </cell>
          <cell r="C412" t="str">
            <v>KOMFFY COMFORTER PVC COVER (12MIC PET+75MIC LDPE N ,750MMX490MM)</v>
          </cell>
          <cell r="D412" t="str">
            <v>NOS</v>
          </cell>
          <cell r="E412" t="str">
            <v>CBERM</v>
          </cell>
          <cell r="F412">
            <v>0</v>
          </cell>
          <cell r="G412">
            <v>0</v>
          </cell>
          <cell r="H412">
            <v>5000</v>
          </cell>
          <cell r="I412">
            <v>0</v>
          </cell>
        </row>
        <row r="413">
          <cell r="B413" t="str">
            <v>RML-STR-FILM-80INCH</v>
          </cell>
          <cell r="C413" t="str">
            <v>STRETCH FILM - 80"</v>
          </cell>
          <cell r="D413" t="str">
            <v>KGS</v>
          </cell>
          <cell r="E413" t="str">
            <v>CBERM</v>
          </cell>
          <cell r="F413">
            <v>0</v>
          </cell>
          <cell r="G413">
            <v>0</v>
          </cell>
          <cell r="H413">
            <v>250</v>
          </cell>
          <cell r="I413">
            <v>250</v>
          </cell>
        </row>
        <row r="414">
          <cell r="B414" t="str">
            <v>SAMPLE-STAND</v>
          </cell>
          <cell r="C414" t="str">
            <v>PEPS MINI SAMPLE STAND- 3 RACK</v>
          </cell>
          <cell r="D414" t="str">
            <v>NOS</v>
          </cell>
          <cell r="E414" t="str">
            <v>CBERM</v>
          </cell>
          <cell r="F414">
            <v>250</v>
          </cell>
          <cell r="G414">
            <v>250</v>
          </cell>
          <cell r="H414">
            <v>0</v>
          </cell>
          <cell r="I414">
            <v>0</v>
          </cell>
        </row>
        <row r="415">
          <cell r="B415" t="str">
            <v>SAMPLE-STAND-5RACK</v>
          </cell>
          <cell r="C415" t="str">
            <v>PEPS MINI SAMPLE STAND- 5 RACK ( 84"X18")</v>
          </cell>
          <cell r="D415" t="str">
            <v>NOS</v>
          </cell>
          <cell r="E415" t="str">
            <v>CBERM</v>
          </cell>
          <cell r="F415">
            <v>0</v>
          </cell>
          <cell r="G415">
            <v>0</v>
          </cell>
          <cell r="H415">
            <v>20</v>
          </cell>
          <cell r="I415">
            <v>0</v>
          </cell>
        </row>
        <row r="416">
          <cell r="B416" t="str">
            <v>RML-KOM-HYP-FIB-PILLOW-28X18</v>
          </cell>
          <cell r="C416" t="str">
            <v>KOMFFY PREMIUM PLUS FIBER PILLOW 28"X18" (RTC)</v>
          </cell>
          <cell r="D416" t="str">
            <v>NOS</v>
          </cell>
          <cell r="E416" t="str">
            <v>CBERM</v>
          </cell>
          <cell r="F416">
            <v>0</v>
          </cell>
          <cell r="G416">
            <v>0</v>
          </cell>
          <cell r="H416">
            <v>1500</v>
          </cell>
          <cell r="I416">
            <v>0</v>
          </cell>
        </row>
        <row r="417">
          <cell r="B417" t="str">
            <v>REVIT-NECK-PILLOW</v>
          </cell>
          <cell r="C417" t="str">
            <v>NECK PILLOW REVIT BUTTON</v>
          </cell>
          <cell r="D417" t="str">
            <v>NOS</v>
          </cell>
          <cell r="E417" t="str">
            <v>CBERM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</row>
        <row r="418">
          <cell r="B418" t="str">
            <v>RML-KOM-PL-BED-SHT-105X120</v>
          </cell>
          <cell r="C418" t="str">
            <v>KOMFFY PLUS BED SHEET SUPER KING- 105"X120" (RTC)</v>
          </cell>
          <cell r="D418" t="str">
            <v>NOS</v>
          </cell>
          <cell r="E418" t="str">
            <v>CBERM</v>
          </cell>
          <cell r="F418">
            <v>0</v>
          </cell>
          <cell r="G418">
            <v>0</v>
          </cell>
          <cell r="H418">
            <v>500</v>
          </cell>
          <cell r="I418">
            <v>0</v>
          </cell>
        </row>
        <row r="419">
          <cell r="B419" t="str">
            <v>RML-KOM-PTR-72X30</v>
          </cell>
          <cell r="C419" t="str">
            <v>KOMFFY MATTRESSES PROTECTOR 72X30</v>
          </cell>
          <cell r="D419" t="str">
            <v>NOS</v>
          </cell>
          <cell r="E419" t="str">
            <v>CBERM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</row>
        <row r="420">
          <cell r="B420" t="str">
            <v>RML-KOM-PTR-72X36</v>
          </cell>
          <cell r="C420" t="str">
            <v>KOMFFY MATTRESSES PROTECTOR 72X36</v>
          </cell>
          <cell r="D420" t="str">
            <v>NOS</v>
          </cell>
          <cell r="E420" t="str">
            <v>CBERM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</row>
        <row r="421">
          <cell r="B421" t="str">
            <v>RML-KOM-PTR-72X48</v>
          </cell>
          <cell r="C421" t="str">
            <v>KOMFFY MATTRESSES PROTECTOR 72X48</v>
          </cell>
          <cell r="D421" t="str">
            <v>NOS</v>
          </cell>
          <cell r="E421" t="str">
            <v>CBERM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B422" t="str">
            <v>RML-KOM-PTR-72X60</v>
          </cell>
          <cell r="C422" t="str">
            <v>KOMFFY MATTRESSES PROTECTOR 72X60</v>
          </cell>
          <cell r="D422" t="str">
            <v>NOS</v>
          </cell>
          <cell r="E422" t="str">
            <v>CBERM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B423" t="str">
            <v>RML-KOM-PTR-72X66</v>
          </cell>
          <cell r="C423" t="str">
            <v>KOMFFY MATTRESSES PROTECTOR 72X66</v>
          </cell>
          <cell r="D423" t="str">
            <v>NOS</v>
          </cell>
          <cell r="E423" t="str">
            <v>CBERM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B424" t="str">
            <v>RML-KOM-PTR-72X72</v>
          </cell>
          <cell r="C424" t="str">
            <v>KOMFFY MATTRESSES PROTECTOR 72X72</v>
          </cell>
          <cell r="D424" t="str">
            <v>NOS</v>
          </cell>
          <cell r="E424" t="str">
            <v>CBERM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B425" t="str">
            <v>RML-KOM-PTR-75X36</v>
          </cell>
          <cell r="C425" t="str">
            <v>KOMFFY MATTRESSES PROTECTOR 75X36</v>
          </cell>
          <cell r="D425" t="str">
            <v>NOS</v>
          </cell>
          <cell r="E425" t="str">
            <v>CBERM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</row>
        <row r="426">
          <cell r="B426" t="str">
            <v>RML-KOM-PTR-75X48</v>
          </cell>
          <cell r="C426" t="str">
            <v>KOMFFY MATTRESSES PROTECTOR 75X48</v>
          </cell>
          <cell r="D426" t="str">
            <v>NOS</v>
          </cell>
          <cell r="E426" t="str">
            <v>CBERM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</row>
        <row r="427">
          <cell r="B427" t="str">
            <v>RML-KOM-PTR-75X60</v>
          </cell>
          <cell r="C427" t="str">
            <v>KOMFFY MATTRESSES PROTECTOR 75X60</v>
          </cell>
          <cell r="D427" t="str">
            <v>NOS</v>
          </cell>
          <cell r="E427" t="str">
            <v>CBERM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</row>
        <row r="428">
          <cell r="B428" t="str">
            <v>RML-KOM-PTR-75X72</v>
          </cell>
          <cell r="C428" t="str">
            <v>KOMFFY MATTRESSES PROTECTOR 75X72</v>
          </cell>
          <cell r="D428" t="str">
            <v>NOS</v>
          </cell>
          <cell r="E428" t="str">
            <v>CBERM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</row>
        <row r="429">
          <cell r="B429" t="str">
            <v>RML-KOM-PTR-78X30</v>
          </cell>
          <cell r="C429" t="str">
            <v>KOMFFY MATTRESSES PROTECTOR 78X30</v>
          </cell>
          <cell r="D429" t="str">
            <v>NOS</v>
          </cell>
          <cell r="E429" t="str">
            <v>CBERM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</row>
        <row r="430">
          <cell r="B430" t="str">
            <v>RML-KOM-PTR-78X36</v>
          </cell>
          <cell r="C430" t="str">
            <v>KOMFFY MATTRESSES PROTECTOR 78X36</v>
          </cell>
          <cell r="D430" t="str">
            <v>NOS</v>
          </cell>
          <cell r="E430" t="str">
            <v>CBERM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</row>
        <row r="431">
          <cell r="B431" t="str">
            <v>RML-KOM-PTR-78X48</v>
          </cell>
          <cell r="C431" t="str">
            <v>KOMFFY MATTRESSES PROTECTOR 78X48</v>
          </cell>
          <cell r="D431" t="str">
            <v>NOS</v>
          </cell>
          <cell r="E431" t="str">
            <v>CBERM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</row>
        <row r="432">
          <cell r="B432" t="str">
            <v>RML-KOM-PTR-78X60</v>
          </cell>
          <cell r="C432" t="str">
            <v>KOMFFY MATTRESSES PROTECTOR 78X60</v>
          </cell>
          <cell r="D432" t="str">
            <v>NOS</v>
          </cell>
          <cell r="E432" t="str">
            <v>CBERM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</row>
        <row r="433">
          <cell r="B433" t="str">
            <v>RML-KOM-PTR-78X72</v>
          </cell>
          <cell r="C433" t="str">
            <v>KOMFFY MATTRESSES PROTECTOR 78X72</v>
          </cell>
          <cell r="D433" t="str">
            <v>NOS</v>
          </cell>
          <cell r="E433" t="str">
            <v>CBERM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</row>
        <row r="434">
          <cell r="B434" t="str">
            <v>RML-KOM-PTR-80X36</v>
          </cell>
          <cell r="C434" t="str">
            <v>KOMFFY MATTRESSES PROTECTOR 80X36</v>
          </cell>
          <cell r="D434" t="str">
            <v>NOS</v>
          </cell>
          <cell r="E434" t="str">
            <v>CBERM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</row>
        <row r="435">
          <cell r="B435" t="str">
            <v>RML-KOM-PTR-80X48</v>
          </cell>
          <cell r="C435" t="str">
            <v>KOMFFY MATTRESSES PROTECTOR 80X48</v>
          </cell>
          <cell r="D435" t="str">
            <v>NOS</v>
          </cell>
          <cell r="E435" t="str">
            <v>CBERM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</row>
        <row r="436">
          <cell r="B436" t="str">
            <v>RML-KOM-PTR-84X72</v>
          </cell>
          <cell r="C436" t="str">
            <v>KOMFFY MATTRESSES PROTECTOR 84X72</v>
          </cell>
          <cell r="D436" t="str">
            <v>NOS</v>
          </cell>
          <cell r="E436" t="str">
            <v>CBERM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</row>
        <row r="437">
          <cell r="B437" t="str">
            <v>RML-KOM-PTR-INS</v>
          </cell>
          <cell r="C437" t="str">
            <v>KOMFFY PROTECTOR INSERTER</v>
          </cell>
          <cell r="D437" t="str">
            <v>NOS</v>
          </cell>
          <cell r="E437" t="str">
            <v>CBERM</v>
          </cell>
          <cell r="F437">
            <v>0</v>
          </cell>
          <cell r="G437">
            <v>0</v>
          </cell>
          <cell r="H437">
            <v>500</v>
          </cell>
          <cell r="I437">
            <v>0</v>
          </cell>
        </row>
        <row r="438">
          <cell r="B438" t="str">
            <v>RML-STW-1.9MM</v>
          </cell>
          <cell r="C438" t="str">
            <v>STEEL WIRE 1.9 MMDIA.</v>
          </cell>
          <cell r="D438" t="str">
            <v>KGS</v>
          </cell>
          <cell r="E438" t="str">
            <v>CBERM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</row>
        <row r="439">
          <cell r="B439" t="str">
            <v>RML-STW-2.2MM</v>
          </cell>
          <cell r="C439" t="str">
            <v>STEEL WIRE 2.2 MM DIA.</v>
          </cell>
          <cell r="D439" t="str">
            <v>KGS</v>
          </cell>
          <cell r="E439" t="str">
            <v>CBERM</v>
          </cell>
          <cell r="F439">
            <v>0</v>
          </cell>
          <cell r="G439">
            <v>0</v>
          </cell>
          <cell r="H439">
            <v>60000</v>
          </cell>
          <cell r="I439">
            <v>60000</v>
          </cell>
        </row>
        <row r="440">
          <cell r="B440" t="str">
            <v>RML-STW-2.3MM</v>
          </cell>
          <cell r="C440" t="str">
            <v>2.3 MM SPRING STEEL WIRE-GRADE II</v>
          </cell>
          <cell r="D440" t="str">
            <v>KGS</v>
          </cell>
          <cell r="E440" t="str">
            <v>CBERM</v>
          </cell>
          <cell r="F440">
            <v>60000</v>
          </cell>
          <cell r="G440">
            <v>60000</v>
          </cell>
          <cell r="H440">
            <v>10000</v>
          </cell>
          <cell r="I440">
            <v>10000</v>
          </cell>
        </row>
        <row r="441">
          <cell r="B441" t="str">
            <v>RML-STW-3.6MM</v>
          </cell>
          <cell r="C441" t="str">
            <v>STEEL WIRE 3.6 MM DIA</v>
          </cell>
          <cell r="D441" t="str">
            <v>KGS</v>
          </cell>
          <cell r="E441" t="str">
            <v>CBERM</v>
          </cell>
          <cell r="F441">
            <v>10000</v>
          </cell>
          <cell r="G441">
            <v>10000</v>
          </cell>
          <cell r="H441">
            <v>5000</v>
          </cell>
          <cell r="I441">
            <v>0</v>
          </cell>
        </row>
        <row r="442">
          <cell r="B442" t="str">
            <v>RM-ALLURA-WCRD</v>
          </cell>
          <cell r="C442" t="str">
            <v>PEPS ALLURA WARRANTY CARD</v>
          </cell>
          <cell r="D442" t="str">
            <v>NOS</v>
          </cell>
          <cell r="E442" t="str">
            <v>CBERM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</row>
        <row r="443">
          <cell r="B443" t="str">
            <v>RML-BAL-STRA-CLIP</v>
          </cell>
          <cell r="C443" t="str">
            <v>BALE STRAPING CLIP - 1.5"</v>
          </cell>
          <cell r="D443" t="str">
            <v>KGS</v>
          </cell>
          <cell r="E443" t="str">
            <v>CBERM</v>
          </cell>
          <cell r="F443">
            <v>0</v>
          </cell>
          <cell r="G443">
            <v>0</v>
          </cell>
          <cell r="H443">
            <v>10</v>
          </cell>
          <cell r="I443">
            <v>10</v>
          </cell>
        </row>
        <row r="444">
          <cell r="B444" t="str">
            <v>RML-BAR-LBL-150X100MM</v>
          </cell>
          <cell r="C444" t="str">
            <v>BAR CODE LABEL PLAIN 150X100MM</v>
          </cell>
          <cell r="D444" t="str">
            <v>NOS</v>
          </cell>
          <cell r="E444" t="str">
            <v>CBERM</v>
          </cell>
          <cell r="F444">
            <v>10</v>
          </cell>
          <cell r="G444">
            <v>10</v>
          </cell>
          <cell r="H444">
            <v>1500</v>
          </cell>
          <cell r="I444">
            <v>0</v>
          </cell>
        </row>
        <row r="445">
          <cell r="B445" t="str">
            <v>RML-BASHB-ALLN-KEY</v>
          </cell>
          <cell r="C445" t="str">
            <v>BASE &amp; HEAD BOARD ALLEN KEY - 5.5MM</v>
          </cell>
          <cell r="D445" t="str">
            <v>NOS</v>
          </cell>
          <cell r="E445" t="str">
            <v>CBERM</v>
          </cell>
          <cell r="F445">
            <v>0</v>
          </cell>
          <cell r="G445">
            <v>0</v>
          </cell>
          <cell r="H445">
            <v>250</v>
          </cell>
          <cell r="I445">
            <v>450</v>
          </cell>
        </row>
        <row r="446">
          <cell r="B446" t="str">
            <v>RML-BASHB-CLAMP-BLK</v>
          </cell>
          <cell r="C446" t="str">
            <v>BASE AND H/BOARD CLAMP-BLACK</v>
          </cell>
          <cell r="D446" t="str">
            <v>NOS</v>
          </cell>
          <cell r="E446" t="str">
            <v>CBERM</v>
          </cell>
          <cell r="F446">
            <v>450</v>
          </cell>
          <cell r="G446">
            <v>450</v>
          </cell>
          <cell r="H446">
            <v>500</v>
          </cell>
          <cell r="I446">
            <v>0</v>
          </cell>
        </row>
        <row r="447">
          <cell r="B447" t="str">
            <v>RML-TEND-PILLOW</v>
          </cell>
          <cell r="C447" t="str">
            <v>PEPS TENDER PILLOW 17"x27"</v>
          </cell>
          <cell r="D447" t="str">
            <v>NOS</v>
          </cell>
          <cell r="E447" t="str">
            <v>CBERM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</row>
        <row r="448">
          <cell r="B448" t="str">
            <v>RML-TEND-PL-PILLOW</v>
          </cell>
          <cell r="C448" t="str">
            <v>PEPS TENDER PLUSH PILLOW</v>
          </cell>
          <cell r="D448" t="str">
            <v>NOS</v>
          </cell>
          <cell r="E448" t="str">
            <v>CBERM</v>
          </cell>
          <cell r="F448">
            <v>0</v>
          </cell>
          <cell r="G448">
            <v>0</v>
          </cell>
          <cell r="H448">
            <v>200</v>
          </cell>
          <cell r="I448">
            <v>100</v>
          </cell>
        </row>
        <row r="449">
          <cell r="B449" t="str">
            <v>RML-TEND-PL-PLW-WSCR-LBL</v>
          </cell>
          <cell r="C449" t="str">
            <v>PEPS TENDER PLUSH PILLOW WASH CARE LABEL</v>
          </cell>
          <cell r="D449" t="str">
            <v>NOS</v>
          </cell>
          <cell r="E449" t="str">
            <v>CBERM</v>
          </cell>
          <cell r="F449">
            <v>100</v>
          </cell>
          <cell r="G449">
            <v>100</v>
          </cell>
          <cell r="H449">
            <v>500</v>
          </cell>
          <cell r="I449">
            <v>0</v>
          </cell>
        </row>
        <row r="450">
          <cell r="B450" t="str">
            <v>RML-BC-LBL-80X25</v>
          </cell>
          <cell r="C450" t="str">
            <v>80MMX25MM PLAIN PAPER LABELS</v>
          </cell>
          <cell r="D450" t="str">
            <v>NOS</v>
          </cell>
          <cell r="E450" t="str">
            <v>CBERM</v>
          </cell>
          <cell r="F450">
            <v>0</v>
          </cell>
          <cell r="G450">
            <v>0</v>
          </cell>
          <cell r="H450">
            <v>15000</v>
          </cell>
          <cell r="I450">
            <v>12000</v>
          </cell>
        </row>
        <row r="451">
          <cell r="B451" t="str">
            <v>RML-THRD-SPUN-BG</v>
          </cell>
          <cell r="C451" t="str">
            <v>SPUN THREAD BEIGE 3PLY</v>
          </cell>
          <cell r="D451" t="str">
            <v>NOS</v>
          </cell>
          <cell r="E451" t="str">
            <v>CBERM</v>
          </cell>
          <cell r="F451">
            <v>12000</v>
          </cell>
          <cell r="G451">
            <v>12000</v>
          </cell>
          <cell r="H451">
            <v>25</v>
          </cell>
          <cell r="I451">
            <v>0</v>
          </cell>
        </row>
        <row r="452">
          <cell r="B452" t="str">
            <v>RML-THRD-SPUN-CRM</v>
          </cell>
          <cell r="C452" t="str">
            <v>SPUN THREAD CREAM - 3PLY</v>
          </cell>
          <cell r="D452" t="str">
            <v>NOS</v>
          </cell>
          <cell r="E452" t="str">
            <v>CBERM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</row>
        <row r="453">
          <cell r="B453" t="str">
            <v>RML-THRD-SPUN-GR</v>
          </cell>
          <cell r="C453" t="str">
            <v>SPUN THREAD GREY 3PLY</v>
          </cell>
          <cell r="D453" t="str">
            <v>NOS</v>
          </cell>
          <cell r="E453" t="str">
            <v>CBERM</v>
          </cell>
          <cell r="F453">
            <v>0</v>
          </cell>
          <cell r="G453">
            <v>0</v>
          </cell>
          <cell r="H453">
            <v>25</v>
          </cell>
          <cell r="I453">
            <v>0</v>
          </cell>
        </row>
        <row r="454">
          <cell r="B454" t="str">
            <v>RML-THRD-SPUN-MR</v>
          </cell>
          <cell r="C454" t="str">
            <v>SPUN THREAD MAROON 3PLY</v>
          </cell>
          <cell r="D454" t="str">
            <v>NOS</v>
          </cell>
          <cell r="E454" t="str">
            <v>CBERM</v>
          </cell>
          <cell r="F454">
            <v>0</v>
          </cell>
          <cell r="G454">
            <v>0</v>
          </cell>
          <cell r="H454">
            <v>25</v>
          </cell>
          <cell r="I454">
            <v>0</v>
          </cell>
        </row>
        <row r="455">
          <cell r="B455" t="str">
            <v>RML-BC-RIB-90X300</v>
          </cell>
          <cell r="C455" t="str">
            <v>90MMX300MTRS - THERMAL TRANSFER RIBBON</v>
          </cell>
          <cell r="D455" t="str">
            <v>NOS</v>
          </cell>
          <cell r="E455" t="str">
            <v>CBERM</v>
          </cell>
          <cell r="F455">
            <v>0</v>
          </cell>
          <cell r="G455">
            <v>0</v>
          </cell>
          <cell r="H455">
            <v>20</v>
          </cell>
          <cell r="I455">
            <v>10</v>
          </cell>
        </row>
        <row r="456">
          <cell r="B456" t="str">
            <v>RML-BLK-BUSH</v>
          </cell>
          <cell r="C456" t="str">
            <v>BLACK RUBBER  BUSH FOR WOODEN CUSHION</v>
          </cell>
          <cell r="D456" t="str">
            <v>NOS</v>
          </cell>
          <cell r="E456" t="str">
            <v>CBERM</v>
          </cell>
          <cell r="F456">
            <v>10</v>
          </cell>
          <cell r="G456">
            <v>10</v>
          </cell>
          <cell r="H456">
            <v>2000</v>
          </cell>
          <cell r="I456">
            <v>0</v>
          </cell>
        </row>
        <row r="457">
          <cell r="B457" t="str">
            <v>RML-BLK-TAPE</v>
          </cell>
          <cell r="C457" t="str">
            <v>12MM BLACK LOPPY TAPE</v>
          </cell>
          <cell r="D457" t="str">
            <v>MTR</v>
          </cell>
          <cell r="E457" t="str">
            <v>CBERM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</row>
        <row r="458">
          <cell r="B458" t="str">
            <v>RML-BLK-ZIP-NO-5</v>
          </cell>
          <cell r="C458" t="str">
            <v>BLACK ZIPPER NO-5</v>
          </cell>
          <cell r="D458" t="str">
            <v>MTR</v>
          </cell>
          <cell r="E458" t="str">
            <v>CBERM</v>
          </cell>
          <cell r="F458">
            <v>0</v>
          </cell>
          <cell r="G458">
            <v>0</v>
          </cell>
          <cell r="H458">
            <v>1280</v>
          </cell>
          <cell r="I458">
            <v>0</v>
          </cell>
        </row>
        <row r="459">
          <cell r="B459" t="str">
            <v>RML-BOL-BUTTON</v>
          </cell>
          <cell r="C459" t="str">
            <v>BOLSTER ROPE TIGHT BUTTON</v>
          </cell>
          <cell r="D459" t="str">
            <v>NOS</v>
          </cell>
          <cell r="E459" t="str">
            <v>CBERM</v>
          </cell>
          <cell r="F459">
            <v>0</v>
          </cell>
          <cell r="G459">
            <v>0</v>
          </cell>
          <cell r="H459">
            <v>1000</v>
          </cell>
          <cell r="I459">
            <v>0</v>
          </cell>
        </row>
        <row r="460">
          <cell r="B460" t="str">
            <v>RML-BOL-ROPE</v>
          </cell>
          <cell r="C460" t="str">
            <v>BOLSTER ROPE</v>
          </cell>
          <cell r="D460" t="str">
            <v>KGS</v>
          </cell>
          <cell r="E460" t="str">
            <v>CBERM</v>
          </cell>
          <cell r="F460">
            <v>0</v>
          </cell>
          <cell r="G460">
            <v>0</v>
          </cell>
          <cell r="H460">
            <v>5</v>
          </cell>
          <cell r="I460">
            <v>0</v>
          </cell>
        </row>
        <row r="461">
          <cell r="B461" t="str">
            <v>RML-BUT-RUBBER</v>
          </cell>
          <cell r="C461" t="str">
            <v>RUBBER BUTTON</v>
          </cell>
          <cell r="D461" t="str">
            <v>NOS</v>
          </cell>
          <cell r="E461" t="str">
            <v>CBERM</v>
          </cell>
          <cell r="F461">
            <v>0</v>
          </cell>
          <cell r="G461">
            <v>0</v>
          </cell>
          <cell r="H461">
            <v>4000</v>
          </cell>
          <cell r="I461">
            <v>3000</v>
          </cell>
        </row>
        <row r="462">
          <cell r="B462" t="str">
            <v>RML-CAM-HB-COR-GURD-SIL</v>
          </cell>
          <cell r="C462" t="str">
            <v>CAMEO HEADBOARD METAL CORNER GUARD - SILVER (PLAIN)</v>
          </cell>
          <cell r="D462" t="str">
            <v>NOS</v>
          </cell>
          <cell r="E462" t="str">
            <v>CBERM</v>
          </cell>
          <cell r="F462">
            <v>3000</v>
          </cell>
          <cell r="G462">
            <v>3000</v>
          </cell>
          <cell r="H462">
            <v>60</v>
          </cell>
          <cell r="I462">
            <v>0</v>
          </cell>
        </row>
        <row r="463">
          <cell r="B463" t="str">
            <v>RML-CAR-NK-PLW-BOX</v>
          </cell>
          <cell r="C463" t="str">
            <v>PEPS CAR NECK MOULDED PILLOW BOX</v>
          </cell>
          <cell r="D463" t="str">
            <v>NOS</v>
          </cell>
          <cell r="E463" t="str">
            <v>CBERM</v>
          </cell>
          <cell r="F463">
            <v>0</v>
          </cell>
          <cell r="G463">
            <v>0</v>
          </cell>
          <cell r="H463">
            <v>100</v>
          </cell>
          <cell r="I463">
            <v>0</v>
          </cell>
        </row>
        <row r="464">
          <cell r="B464" t="str">
            <v>RML-CB-DD</v>
          </cell>
          <cell r="C464" t="str">
            <v>PEPS DOUBLE DECKER CENTRE BAND</v>
          </cell>
          <cell r="D464" t="str">
            <v>KGS</v>
          </cell>
          <cell r="E464" t="str">
            <v>CBERM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</row>
        <row r="465">
          <cell r="B465" t="str">
            <v>RML-CB-DRM-GOLD</v>
          </cell>
          <cell r="C465" t="str">
            <v>PEPS DREAM MAKERS CENTRE BAND-GOLD</v>
          </cell>
          <cell r="D465" t="str">
            <v>KGS</v>
          </cell>
          <cell r="E465" t="str">
            <v>CBERM</v>
          </cell>
          <cell r="F465">
            <v>0</v>
          </cell>
          <cell r="G465">
            <v>0</v>
          </cell>
          <cell r="H465">
            <v>120</v>
          </cell>
          <cell r="I465">
            <v>0</v>
          </cell>
        </row>
        <row r="466">
          <cell r="B466" t="str">
            <v>RML-CB-DRM-MAK</v>
          </cell>
          <cell r="C466" t="str">
            <v>PEPS DREAM MAKERS CENTRE BAND</v>
          </cell>
          <cell r="D466" t="str">
            <v>KGS</v>
          </cell>
          <cell r="E466" t="str">
            <v>CBERM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</row>
        <row r="467">
          <cell r="B467" t="str">
            <v>RML-CB-DRM-SLVR</v>
          </cell>
          <cell r="C467" t="str">
            <v>PEPS DREAM MAKERS CENTRE BAND-SILVER</v>
          </cell>
          <cell r="D467" t="str">
            <v>KGS</v>
          </cell>
          <cell r="E467" t="str">
            <v>CBERM</v>
          </cell>
          <cell r="F467">
            <v>0</v>
          </cell>
          <cell r="G467">
            <v>0</v>
          </cell>
          <cell r="H467">
            <v>1000</v>
          </cell>
          <cell r="I467">
            <v>1250</v>
          </cell>
        </row>
        <row r="468">
          <cell r="B468" t="str">
            <v>RML-CB-ITALIANO</v>
          </cell>
          <cell r="C468" t="str">
            <v>ITALIANO CENTRE BAND</v>
          </cell>
          <cell r="D468" t="str">
            <v>KGS</v>
          </cell>
          <cell r="E468" t="str">
            <v>CBERM</v>
          </cell>
          <cell r="F468">
            <v>1250</v>
          </cell>
          <cell r="G468">
            <v>1250</v>
          </cell>
          <cell r="H468">
            <v>100</v>
          </cell>
          <cell r="I468">
            <v>0</v>
          </cell>
        </row>
        <row r="469">
          <cell r="B469" t="str">
            <v>RML-CB-ORG</v>
          </cell>
          <cell r="C469" t="str">
            <v>PEPS ORGANIC CENTRE BAND</v>
          </cell>
          <cell r="D469" t="str">
            <v>KGS</v>
          </cell>
          <cell r="E469" t="str">
            <v>CBERM</v>
          </cell>
          <cell r="F469">
            <v>0</v>
          </cell>
          <cell r="G469">
            <v>0</v>
          </cell>
          <cell r="H469">
            <v>120</v>
          </cell>
          <cell r="I469">
            <v>0</v>
          </cell>
        </row>
        <row r="470">
          <cell r="B470" t="str">
            <v>RML-CB-SPG</v>
          </cell>
          <cell r="C470" t="str">
            <v>PEPS SPINE GUARD CENTRE BAND</v>
          </cell>
          <cell r="D470" t="str">
            <v>KGS</v>
          </cell>
          <cell r="E470" t="str">
            <v>CBERM</v>
          </cell>
          <cell r="F470">
            <v>0</v>
          </cell>
          <cell r="G470">
            <v>0</v>
          </cell>
          <cell r="H470">
            <v>250</v>
          </cell>
          <cell r="I470">
            <v>0</v>
          </cell>
        </row>
        <row r="471">
          <cell r="B471" t="str">
            <v>RML-CB-SPK</v>
          </cell>
          <cell r="C471" t="str">
            <v>PEPS SPRINGKOIL CENTRE BAND</v>
          </cell>
          <cell r="D471" t="str">
            <v>KGS</v>
          </cell>
          <cell r="E471" t="str">
            <v>CBERM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</row>
        <row r="472">
          <cell r="B472" t="str">
            <v>RML-CB-SPK-CT</v>
          </cell>
          <cell r="C472" t="str">
            <v>PEPS SPRINGKOIL CROWN TOP CENTRE BAND</v>
          </cell>
          <cell r="D472" t="str">
            <v>KGS</v>
          </cell>
          <cell r="E472" t="str">
            <v>CBERM</v>
          </cell>
          <cell r="F472">
            <v>0</v>
          </cell>
          <cell r="G472">
            <v>0</v>
          </cell>
          <cell r="H472">
            <v>150</v>
          </cell>
          <cell r="I472">
            <v>0</v>
          </cell>
        </row>
        <row r="473">
          <cell r="B473" t="str">
            <v>RML-CB-SPS</v>
          </cell>
          <cell r="C473" t="str">
            <v>PEPS SPRINGSOFT CENTRE BAND</v>
          </cell>
          <cell r="D473" t="str">
            <v>KGS</v>
          </cell>
          <cell r="E473" t="str">
            <v>CBERM</v>
          </cell>
          <cell r="F473">
            <v>0</v>
          </cell>
          <cell r="G473">
            <v>0</v>
          </cell>
          <cell r="H473">
            <v>100</v>
          </cell>
          <cell r="I473">
            <v>0</v>
          </cell>
        </row>
        <row r="474">
          <cell r="B474" t="str">
            <v>RML-VISCOSE-WAD-8INCH</v>
          </cell>
          <cell r="C474" t="str">
            <v>VISCOSE WADDING 220GSMX8" WIDTH</v>
          </cell>
          <cell r="D474" t="str">
            <v>KGS</v>
          </cell>
          <cell r="E474" t="str">
            <v>CBERM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</row>
        <row r="475">
          <cell r="B475" t="str">
            <v>RML-VIVAH-RUB-SDE-LBL</v>
          </cell>
          <cell r="C475" t="str">
            <v>VIVAH SIDE LABEL- (RUBBER PATCH)</v>
          </cell>
          <cell r="D475" t="str">
            <v>NOS</v>
          </cell>
          <cell r="E475" t="str">
            <v>CBERM</v>
          </cell>
          <cell r="F475">
            <v>0</v>
          </cell>
          <cell r="G475">
            <v>0</v>
          </cell>
          <cell r="H475">
            <v>250</v>
          </cell>
          <cell r="I475">
            <v>500</v>
          </cell>
        </row>
        <row r="476">
          <cell r="B476" t="str">
            <v>RML-CB-ZENIMO</v>
          </cell>
          <cell r="C476" t="str">
            <v>ZENIMO CENTRE BAND</v>
          </cell>
          <cell r="D476" t="str">
            <v>KGS</v>
          </cell>
          <cell r="E476" t="str">
            <v>CBERM</v>
          </cell>
          <cell r="F476">
            <v>500</v>
          </cell>
          <cell r="G476">
            <v>500</v>
          </cell>
          <cell r="H476">
            <v>120</v>
          </cell>
          <cell r="I476">
            <v>0</v>
          </cell>
        </row>
        <row r="477">
          <cell r="B477" t="str">
            <v>RML-CHE-RES-GLS</v>
          </cell>
          <cell r="C477" t="str">
            <v>Chemical Resistant Gloves</v>
          </cell>
          <cell r="D477" t="str">
            <v>PRS</v>
          </cell>
          <cell r="E477" t="str">
            <v>CBERM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</row>
        <row r="478">
          <cell r="B478" t="str">
            <v>RML-INV-ZIP-RUN-CB</v>
          </cell>
          <cell r="C478" t="str">
            <v>INVISIBLE ZIPPER RUNNER - CORAL BLUE</v>
          </cell>
          <cell r="D478" t="str">
            <v>NOS</v>
          </cell>
          <cell r="E478" t="str">
            <v>CBERM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</row>
        <row r="479">
          <cell r="B479" t="str">
            <v>RML-INV-ZIP-RUN-DB</v>
          </cell>
          <cell r="C479" t="str">
            <v>INVISIBLE ZIPPER RUNNER - DARK BLUE</v>
          </cell>
          <cell r="D479" t="str">
            <v>NOS</v>
          </cell>
          <cell r="E479" t="str">
            <v>CBERM</v>
          </cell>
          <cell r="F479">
            <v>0</v>
          </cell>
          <cell r="G479">
            <v>0</v>
          </cell>
          <cell r="H479">
            <v>500</v>
          </cell>
          <cell r="I479">
            <v>0</v>
          </cell>
        </row>
        <row r="480">
          <cell r="B480" t="str">
            <v>RML-INV-ZIP-RUN-GRY</v>
          </cell>
          <cell r="C480" t="str">
            <v>INVISIBLE ZIPPER RUNNER - GREY</v>
          </cell>
          <cell r="D480" t="str">
            <v>NOS</v>
          </cell>
          <cell r="E480" t="str">
            <v>CBERM</v>
          </cell>
          <cell r="F480">
            <v>0</v>
          </cell>
          <cell r="G480">
            <v>0</v>
          </cell>
          <cell r="H480">
            <v>500</v>
          </cell>
          <cell r="I480">
            <v>0</v>
          </cell>
        </row>
        <row r="481">
          <cell r="B481" t="str">
            <v>RML-INV-ZIP-RUN-WH</v>
          </cell>
          <cell r="C481" t="str">
            <v>INVISIBLE ZIPPER RUNNER - WHITE</v>
          </cell>
          <cell r="D481" t="str">
            <v>NOS</v>
          </cell>
          <cell r="E481" t="str">
            <v>CBERM</v>
          </cell>
          <cell r="F481">
            <v>0</v>
          </cell>
          <cell r="G481">
            <v>0</v>
          </cell>
          <cell r="H481">
            <v>750</v>
          </cell>
          <cell r="I481">
            <v>0</v>
          </cell>
        </row>
        <row r="482">
          <cell r="B482" t="str">
            <v>RML-INV-ZIP-WHT</v>
          </cell>
          <cell r="C482" t="str">
            <v>INVISIBLE ZIPPER WHITE</v>
          </cell>
          <cell r="D482" t="str">
            <v>MTR</v>
          </cell>
          <cell r="E482" t="str">
            <v>CBERM</v>
          </cell>
          <cell r="F482">
            <v>0</v>
          </cell>
          <cell r="G482">
            <v>0</v>
          </cell>
          <cell r="H482">
            <v>720</v>
          </cell>
          <cell r="I482">
            <v>900</v>
          </cell>
        </row>
        <row r="483">
          <cell r="B483" t="str">
            <v>RML-INV-ZIP-WHT-30INCH</v>
          </cell>
          <cell r="C483" t="str">
            <v>INVISIBLE ZIPPER WHITE 30" WITH RUNNER</v>
          </cell>
          <cell r="D483" t="str">
            <v>NOS</v>
          </cell>
          <cell r="E483" t="str">
            <v>CBERM</v>
          </cell>
          <cell r="F483">
            <v>900</v>
          </cell>
          <cell r="G483">
            <v>900</v>
          </cell>
          <cell r="H483">
            <v>1000</v>
          </cell>
          <cell r="I483">
            <v>0</v>
          </cell>
        </row>
        <row r="484">
          <cell r="B484" t="str">
            <v>RML-KOM-GRIP-INS</v>
          </cell>
          <cell r="C484" t="str">
            <v>KOMFFY GRIPSTER INSERTER</v>
          </cell>
          <cell r="D484" t="str">
            <v>NOS</v>
          </cell>
          <cell r="E484" t="str">
            <v>CBERM</v>
          </cell>
          <cell r="F484">
            <v>0</v>
          </cell>
          <cell r="G484">
            <v>0</v>
          </cell>
          <cell r="H484">
            <v>150</v>
          </cell>
          <cell r="I484">
            <v>0</v>
          </cell>
        </row>
        <row r="485">
          <cell r="B485" t="str">
            <v>RML-KOM-GRIP-SDE-LBL</v>
          </cell>
          <cell r="C485" t="str">
            <v>KOMFFY GRIPSTER SIDE LABEL</v>
          </cell>
          <cell r="D485" t="str">
            <v>NOS</v>
          </cell>
          <cell r="E485" t="str">
            <v>CBERM</v>
          </cell>
          <cell r="F485">
            <v>0</v>
          </cell>
          <cell r="G485">
            <v>0</v>
          </cell>
          <cell r="H485">
            <v>150</v>
          </cell>
          <cell r="I485">
            <v>0</v>
          </cell>
        </row>
        <row r="486">
          <cell r="B486" t="str">
            <v>RML-KOM-GRIP-WASH-LBL</v>
          </cell>
          <cell r="C486" t="str">
            <v>KOMFFY GRIPSTER WASH CARE LABEL</v>
          </cell>
          <cell r="D486" t="str">
            <v>NOS</v>
          </cell>
          <cell r="E486" t="str">
            <v>CBERM</v>
          </cell>
          <cell r="F486">
            <v>0</v>
          </cell>
          <cell r="G486">
            <v>0</v>
          </cell>
          <cell r="H486">
            <v>250</v>
          </cell>
          <cell r="I486">
            <v>0</v>
          </cell>
        </row>
        <row r="487">
          <cell r="B487" t="str">
            <v>RML-KOM-MEM-CONT-PIL-CVR</v>
          </cell>
          <cell r="C487" t="str">
            <v>KOMFFY MEMORY CONTOUR  PILLOW COVER</v>
          </cell>
          <cell r="D487" t="str">
            <v>NOS</v>
          </cell>
          <cell r="E487" t="str">
            <v>CBERM</v>
          </cell>
          <cell r="F487">
            <v>0</v>
          </cell>
          <cell r="G487">
            <v>0</v>
          </cell>
          <cell r="H487">
            <v>3000</v>
          </cell>
          <cell r="I487">
            <v>0</v>
          </cell>
        </row>
        <row r="488">
          <cell r="B488" t="str">
            <v>RM-MEM-MIN-SDE-LBL</v>
          </cell>
          <cell r="C488" t="str">
            <v>MEMORIO MINI SAMPLE SIDE LABEL</v>
          </cell>
          <cell r="D488" t="str">
            <v>NOS</v>
          </cell>
          <cell r="E488" t="str">
            <v>CBERM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</row>
        <row r="489">
          <cell r="B489" t="str">
            <v>RML-SUP-GLUE</v>
          </cell>
          <cell r="C489" t="str">
            <v>SUPER GLUE 20.GRM</v>
          </cell>
          <cell r="D489" t="str">
            <v>NOS</v>
          </cell>
          <cell r="E489" t="str">
            <v>CBERM</v>
          </cell>
          <cell r="F489">
            <v>0</v>
          </cell>
          <cell r="G489">
            <v>0</v>
          </cell>
          <cell r="H489">
            <v>10</v>
          </cell>
          <cell r="I489">
            <v>10</v>
          </cell>
        </row>
        <row r="490">
          <cell r="B490" t="str">
            <v>RML-SURGI-GLOVES</v>
          </cell>
          <cell r="C490" t="str">
            <v>SURGICAL GLOVES</v>
          </cell>
          <cell r="D490" t="str">
            <v>NOS</v>
          </cell>
          <cell r="E490" t="str">
            <v>CBERM</v>
          </cell>
          <cell r="F490">
            <v>10</v>
          </cell>
          <cell r="G490">
            <v>10</v>
          </cell>
          <cell r="H490">
            <v>500</v>
          </cell>
          <cell r="I490">
            <v>0</v>
          </cell>
        </row>
        <row r="491">
          <cell r="B491" t="str">
            <v>RML-TAG-GRN</v>
          </cell>
          <cell r="C491" t="str">
            <v>GREEN COLOUR TAG</v>
          </cell>
          <cell r="D491" t="str">
            <v>NOS</v>
          </cell>
          <cell r="E491" t="str">
            <v>CBERM</v>
          </cell>
          <cell r="F491">
            <v>0</v>
          </cell>
          <cell r="G491">
            <v>0</v>
          </cell>
          <cell r="H491">
            <v>5000</v>
          </cell>
          <cell r="I491">
            <v>0</v>
          </cell>
        </row>
        <row r="492">
          <cell r="B492" t="str">
            <v>RM-MULT-MIN-SDE-LBL</v>
          </cell>
          <cell r="C492" t="str">
            <v>MEMORIO-ULTRA MINI SAMPLE SIDE LABEL</v>
          </cell>
          <cell r="D492" t="str">
            <v>NOS</v>
          </cell>
          <cell r="E492" t="str">
            <v>CBERM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</row>
        <row r="493">
          <cell r="B493" t="str">
            <v>RM-NECK-PLW-STD-SML</v>
          </cell>
          <cell r="C493" t="str">
            <v>TRAVEL NECK PILLOW DISPLAY STAND -SMALL</v>
          </cell>
          <cell r="D493" t="str">
            <v>NOS</v>
          </cell>
          <cell r="E493" t="str">
            <v>CBERM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</row>
        <row r="494">
          <cell r="B494" t="str">
            <v>RM-NOR-PLW-CVR-BOX</v>
          </cell>
          <cell r="C494" t="str">
            <v>PEPS PILLOW COVER BOX NORMAL</v>
          </cell>
          <cell r="D494" t="str">
            <v>NOS</v>
          </cell>
          <cell r="E494" t="str">
            <v>CBERM</v>
          </cell>
          <cell r="F494">
            <v>0</v>
          </cell>
          <cell r="G494">
            <v>0</v>
          </cell>
          <cell r="H494">
            <v>150</v>
          </cell>
          <cell r="I494">
            <v>0</v>
          </cell>
        </row>
        <row r="495">
          <cell r="B495" t="str">
            <v>RML-TAG-PINK</v>
          </cell>
          <cell r="C495" t="str">
            <v>PINK COLOUR TAG</v>
          </cell>
          <cell r="D495" t="str">
            <v>NOS</v>
          </cell>
          <cell r="E495" t="str">
            <v>CBERM</v>
          </cell>
          <cell r="F495">
            <v>0</v>
          </cell>
          <cell r="G495">
            <v>0</v>
          </cell>
          <cell r="H495">
            <v>3000</v>
          </cell>
          <cell r="I495">
            <v>0</v>
          </cell>
        </row>
        <row r="496">
          <cell r="B496" t="str">
            <v>RML-TAG-WHIT</v>
          </cell>
          <cell r="C496" t="str">
            <v>WHITE COLOUR TAG</v>
          </cell>
          <cell r="D496" t="str">
            <v>NOS</v>
          </cell>
          <cell r="E496" t="str">
            <v>CBERM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</row>
        <row r="497">
          <cell r="B497" t="str">
            <v>RML-TAG-YELLOW</v>
          </cell>
          <cell r="C497" t="str">
            <v>YELLOW COLOUR TAG</v>
          </cell>
          <cell r="D497" t="str">
            <v>NOS</v>
          </cell>
          <cell r="E497" t="str">
            <v>CBERM</v>
          </cell>
          <cell r="F497">
            <v>0</v>
          </cell>
          <cell r="G497">
            <v>0</v>
          </cell>
          <cell r="H497">
            <v>4000</v>
          </cell>
          <cell r="I497">
            <v>0</v>
          </cell>
        </row>
        <row r="498">
          <cell r="B498" t="str">
            <v>RML-TEX-CLEANER</v>
          </cell>
          <cell r="C498" t="str">
            <v>TEXTILE CLEANER -MC</v>
          </cell>
          <cell r="D498" t="str">
            <v>LTR</v>
          </cell>
          <cell r="E498" t="str">
            <v>CBERM</v>
          </cell>
          <cell r="F498">
            <v>0</v>
          </cell>
          <cell r="G498">
            <v>0</v>
          </cell>
          <cell r="H498">
            <v>76</v>
          </cell>
          <cell r="I498">
            <v>76</v>
          </cell>
        </row>
        <row r="499">
          <cell r="B499" t="str">
            <v>STY-A3-SHT</v>
          </cell>
          <cell r="C499" t="str">
            <v>A3 SHEET (500 NOS/BOX)</v>
          </cell>
          <cell r="D499" t="str">
            <v>BUN</v>
          </cell>
          <cell r="E499" t="str">
            <v>CBERM</v>
          </cell>
          <cell r="F499">
            <v>76</v>
          </cell>
          <cell r="G499">
            <v>76</v>
          </cell>
          <cell r="H499">
            <v>2</v>
          </cell>
          <cell r="I499">
            <v>0</v>
          </cell>
        </row>
        <row r="500">
          <cell r="B500" t="str">
            <v>STY-A4-BOX-FL</v>
          </cell>
          <cell r="C500" t="str">
            <v>A4 BOX FILE</v>
          </cell>
          <cell r="D500" t="str">
            <v>NOS</v>
          </cell>
          <cell r="E500" t="str">
            <v>CBERM</v>
          </cell>
          <cell r="F500">
            <v>0</v>
          </cell>
          <cell r="G500">
            <v>0</v>
          </cell>
          <cell r="H500">
            <v>30</v>
          </cell>
          <cell r="I500">
            <v>70</v>
          </cell>
        </row>
        <row r="501">
          <cell r="B501" t="str">
            <v>STY-A4-L-FOL-WH</v>
          </cell>
          <cell r="C501" t="str">
            <v>A4 L FOLDER WHITE</v>
          </cell>
          <cell r="D501" t="str">
            <v>NOS</v>
          </cell>
          <cell r="E501" t="str">
            <v>CBERM</v>
          </cell>
          <cell r="F501">
            <v>70</v>
          </cell>
          <cell r="G501">
            <v>70</v>
          </cell>
          <cell r="H501">
            <v>20</v>
          </cell>
          <cell r="I501">
            <v>0</v>
          </cell>
        </row>
        <row r="502">
          <cell r="B502" t="str">
            <v>STY-A4-SHT</v>
          </cell>
          <cell r="C502" t="str">
            <v>A4 SHEET (500 NOS/BUNDLE)</v>
          </cell>
          <cell r="D502" t="str">
            <v>BUN</v>
          </cell>
          <cell r="E502" t="str">
            <v>CBERM</v>
          </cell>
          <cell r="F502">
            <v>0</v>
          </cell>
          <cell r="G502">
            <v>0</v>
          </cell>
          <cell r="H502">
            <v>50</v>
          </cell>
          <cell r="I502">
            <v>100</v>
          </cell>
        </row>
        <row r="503">
          <cell r="B503" t="str">
            <v>STY-ATN-NOTE</v>
          </cell>
          <cell r="C503" t="str">
            <v>ATTANTANCE NOTE</v>
          </cell>
          <cell r="D503" t="str">
            <v>NOS</v>
          </cell>
          <cell r="E503" t="str">
            <v>CBERM</v>
          </cell>
          <cell r="F503">
            <v>100</v>
          </cell>
          <cell r="G503">
            <v>100</v>
          </cell>
          <cell r="H503">
            <v>2</v>
          </cell>
          <cell r="I503">
            <v>0</v>
          </cell>
        </row>
        <row r="504">
          <cell r="B504" t="str">
            <v>STY-BIN-CLIP-BIG</v>
          </cell>
          <cell r="C504" t="str">
            <v>BINDER CLIP BIG</v>
          </cell>
          <cell r="D504" t="str">
            <v>DOZ</v>
          </cell>
          <cell r="E504" t="str">
            <v>CBERM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</row>
        <row r="505">
          <cell r="B505" t="str">
            <v>STY-BIN-CLIP-SML</v>
          </cell>
          <cell r="C505" t="str">
            <v>BINDER CLIP SMALL</v>
          </cell>
          <cell r="D505" t="str">
            <v>DOZ</v>
          </cell>
          <cell r="E505" t="str">
            <v>CBERM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</row>
        <row r="506">
          <cell r="B506" t="str">
            <v>STY-BLK-PEN-RS3</v>
          </cell>
          <cell r="C506" t="str">
            <v>BLACK PEN RS3</v>
          </cell>
          <cell r="D506" t="str">
            <v>NOS</v>
          </cell>
          <cell r="E506" t="str">
            <v>CBERM</v>
          </cell>
          <cell r="F506">
            <v>0</v>
          </cell>
          <cell r="G506">
            <v>0</v>
          </cell>
          <cell r="H506">
            <v>20</v>
          </cell>
          <cell r="I506">
            <v>60</v>
          </cell>
        </row>
        <row r="507">
          <cell r="B507" t="str">
            <v>STY-BLK-PEN-RS5</v>
          </cell>
          <cell r="C507" t="str">
            <v>BLACK PEN RS5</v>
          </cell>
          <cell r="D507" t="str">
            <v>NOS</v>
          </cell>
          <cell r="E507" t="str">
            <v>CBERM</v>
          </cell>
          <cell r="F507">
            <v>60</v>
          </cell>
          <cell r="G507">
            <v>60</v>
          </cell>
          <cell r="H507">
            <v>15</v>
          </cell>
          <cell r="I507">
            <v>0</v>
          </cell>
        </row>
        <row r="508">
          <cell r="B508" t="str">
            <v>STY-BL-PEN-RS3</v>
          </cell>
          <cell r="C508" t="str">
            <v>BLUE PEN RS3</v>
          </cell>
          <cell r="D508" t="str">
            <v>NOS</v>
          </cell>
          <cell r="E508" t="str">
            <v>CBERM</v>
          </cell>
          <cell r="F508">
            <v>0</v>
          </cell>
          <cell r="G508">
            <v>0</v>
          </cell>
          <cell r="H508">
            <v>40</v>
          </cell>
          <cell r="I508">
            <v>200</v>
          </cell>
        </row>
        <row r="509">
          <cell r="B509" t="str">
            <v>STY-BL-PEN-RS5</v>
          </cell>
          <cell r="C509" t="str">
            <v>BLUE PEN RS5</v>
          </cell>
          <cell r="D509" t="str">
            <v>NOS</v>
          </cell>
          <cell r="E509" t="str">
            <v>CBERM</v>
          </cell>
          <cell r="F509">
            <v>200</v>
          </cell>
          <cell r="G509">
            <v>200</v>
          </cell>
          <cell r="H509">
            <v>20</v>
          </cell>
          <cell r="I509">
            <v>0</v>
          </cell>
        </row>
        <row r="510">
          <cell r="B510" t="str">
            <v>STY-BORD-PIN-BOX</v>
          </cell>
          <cell r="C510" t="str">
            <v>BOARD PIN BOX</v>
          </cell>
          <cell r="D510" t="str">
            <v>BOX</v>
          </cell>
          <cell r="E510" t="str">
            <v>CBERM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</row>
        <row r="511">
          <cell r="B511" t="str">
            <v>STY-CAS-CALC</v>
          </cell>
          <cell r="C511" t="str">
            <v>CASIO CALCULATOR</v>
          </cell>
          <cell r="D511" t="str">
            <v>NOS</v>
          </cell>
          <cell r="E511" t="str">
            <v>CBERM</v>
          </cell>
          <cell r="F511">
            <v>0</v>
          </cell>
          <cell r="G511">
            <v>0</v>
          </cell>
          <cell r="H511">
            <v>1</v>
          </cell>
          <cell r="I511">
            <v>0</v>
          </cell>
        </row>
        <row r="512">
          <cell r="B512" t="str">
            <v>STY-CD-MARK-BL</v>
          </cell>
          <cell r="C512" t="str">
            <v>CD MARKER BLUE</v>
          </cell>
          <cell r="D512" t="str">
            <v>NOS</v>
          </cell>
          <cell r="E512" t="str">
            <v>CBERM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</row>
        <row r="513">
          <cell r="B513" t="str">
            <v>STY-CD-MARK-BLK</v>
          </cell>
          <cell r="C513" t="str">
            <v>CD MARKER BLACK</v>
          </cell>
          <cell r="D513" t="str">
            <v>NOS</v>
          </cell>
          <cell r="E513" t="str">
            <v>CBERM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</row>
        <row r="514">
          <cell r="B514" t="str">
            <v>STY-CD-MARK-GR</v>
          </cell>
          <cell r="C514" t="str">
            <v>CD MARKER GREEN</v>
          </cell>
          <cell r="D514" t="str">
            <v>NOS</v>
          </cell>
          <cell r="E514" t="str">
            <v>CBERM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</row>
        <row r="515">
          <cell r="B515" t="str">
            <v>STY-CD-MARK-RD</v>
          </cell>
          <cell r="C515" t="str">
            <v>CD MARKER RED</v>
          </cell>
          <cell r="D515" t="str">
            <v>NOS</v>
          </cell>
          <cell r="E515" t="str">
            <v>CBERM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</row>
        <row r="516">
          <cell r="B516" t="str">
            <v>STY-CLOTH-ENV-A3</v>
          </cell>
          <cell r="C516" t="str">
            <v>GREEN CLOTH ENVELOPE - A3</v>
          </cell>
          <cell r="D516" t="str">
            <v>NOS</v>
          </cell>
          <cell r="E516" t="str">
            <v>CBERM</v>
          </cell>
          <cell r="F516">
            <v>0</v>
          </cell>
          <cell r="G516">
            <v>0</v>
          </cell>
          <cell r="H516">
            <v>100</v>
          </cell>
          <cell r="I516">
            <v>0</v>
          </cell>
        </row>
        <row r="517">
          <cell r="B517" t="str">
            <v>STY-CLOTH-ENV-A4</v>
          </cell>
          <cell r="C517" t="str">
            <v>GREEN CLOTH ENVELOPE - A4</v>
          </cell>
          <cell r="D517" t="str">
            <v>NOS</v>
          </cell>
          <cell r="E517" t="str">
            <v>CBERM</v>
          </cell>
          <cell r="F517">
            <v>0</v>
          </cell>
          <cell r="G517">
            <v>0</v>
          </cell>
          <cell r="H517">
            <v>200</v>
          </cell>
          <cell r="I517">
            <v>0</v>
          </cell>
        </row>
        <row r="518">
          <cell r="B518" t="str">
            <v>STY-CLR-RUB-BND</v>
          </cell>
          <cell r="C518" t="str">
            <v>Colour Rubber Band</v>
          </cell>
          <cell r="D518" t="str">
            <v>PAC</v>
          </cell>
          <cell r="E518" t="str">
            <v>CBERM</v>
          </cell>
          <cell r="F518">
            <v>0</v>
          </cell>
          <cell r="G518">
            <v>0</v>
          </cell>
          <cell r="H518">
            <v>1</v>
          </cell>
          <cell r="I518">
            <v>0</v>
          </cell>
        </row>
        <row r="519">
          <cell r="B519" t="str">
            <v>STY-CRBN-SHT</v>
          </cell>
          <cell r="C519" t="str">
            <v>CARBON SHEET (100 PER POCKET)</v>
          </cell>
          <cell r="D519" t="str">
            <v>BDL</v>
          </cell>
          <cell r="E519" t="str">
            <v>CBERM</v>
          </cell>
          <cell r="F519">
            <v>0</v>
          </cell>
          <cell r="G519">
            <v>0</v>
          </cell>
          <cell r="H519">
            <v>2</v>
          </cell>
          <cell r="I519">
            <v>0</v>
          </cell>
        </row>
        <row r="520">
          <cell r="B520" t="str">
            <v>RML-THRD-TKT-40COF</v>
          </cell>
          <cell r="C520" t="str">
            <v>3 PLY POLYESTER THREAD . 702/ TKT 40 COFFEE</v>
          </cell>
          <cell r="D520" t="str">
            <v>NOS</v>
          </cell>
          <cell r="E520" t="str">
            <v>CBERM</v>
          </cell>
          <cell r="F520">
            <v>0</v>
          </cell>
          <cell r="G520">
            <v>0</v>
          </cell>
          <cell r="H520">
            <v>80</v>
          </cell>
          <cell r="I520">
            <v>0</v>
          </cell>
        </row>
        <row r="521">
          <cell r="B521" t="str">
            <v>RML-THRD-TKT-40GREY</v>
          </cell>
          <cell r="C521" t="str">
            <v>3 PLY POLYESTER THREAD . 702/ TKT 40 GREY,7000MTR'S</v>
          </cell>
          <cell r="D521" t="str">
            <v>NOS</v>
          </cell>
          <cell r="E521" t="str">
            <v>CBERM</v>
          </cell>
          <cell r="F521">
            <v>0</v>
          </cell>
          <cell r="G521">
            <v>0</v>
          </cell>
          <cell r="H521">
            <v>80</v>
          </cell>
          <cell r="I521">
            <v>40</v>
          </cell>
        </row>
        <row r="522">
          <cell r="B522" t="str">
            <v>STY-ERASER</v>
          </cell>
          <cell r="C522" t="str">
            <v>ERASER</v>
          </cell>
          <cell r="D522" t="str">
            <v>NOS</v>
          </cell>
          <cell r="E522" t="str">
            <v>CBERM</v>
          </cell>
          <cell r="F522">
            <v>40</v>
          </cell>
          <cell r="G522">
            <v>40</v>
          </cell>
          <cell r="H522">
            <v>0</v>
          </cell>
          <cell r="I522">
            <v>0</v>
          </cell>
        </row>
        <row r="523">
          <cell r="B523" t="str">
            <v>STY-EX-PAD</v>
          </cell>
          <cell r="C523" t="str">
            <v>EXAM PAD</v>
          </cell>
          <cell r="D523" t="str">
            <v>NOS</v>
          </cell>
          <cell r="E523" t="str">
            <v>CBERM</v>
          </cell>
          <cell r="F523">
            <v>0</v>
          </cell>
          <cell r="G523">
            <v>0</v>
          </cell>
          <cell r="H523">
            <v>0</v>
          </cell>
          <cell r="I523">
            <v>2</v>
          </cell>
        </row>
        <row r="524">
          <cell r="B524" t="str">
            <v>STY-FEVSTK</v>
          </cell>
          <cell r="C524" t="str">
            <v>FEVISTICK</v>
          </cell>
          <cell r="D524" t="str">
            <v>NOS</v>
          </cell>
          <cell r="E524" t="str">
            <v>CBERM</v>
          </cell>
          <cell r="F524">
            <v>2</v>
          </cell>
          <cell r="G524">
            <v>2</v>
          </cell>
          <cell r="H524">
            <v>50</v>
          </cell>
          <cell r="I524">
            <v>0</v>
          </cell>
        </row>
        <row r="525">
          <cell r="B525" t="str">
            <v>RML-THRD-TKT-40MER</v>
          </cell>
          <cell r="C525" t="str">
            <v>3 PLY POLYESTER THREAD . 702/ TKT 40 MARRON,7000 MTRS</v>
          </cell>
          <cell r="D525" t="str">
            <v>NOS</v>
          </cell>
          <cell r="E525" t="str">
            <v>CBERM</v>
          </cell>
          <cell r="F525">
            <v>0</v>
          </cell>
          <cell r="G525">
            <v>0</v>
          </cell>
          <cell r="H525">
            <v>80</v>
          </cell>
          <cell r="I525">
            <v>40</v>
          </cell>
        </row>
        <row r="526">
          <cell r="B526" t="str">
            <v>STY-GREDOC-FILE</v>
          </cell>
          <cell r="C526" t="str">
            <v>GREEN DOCUMENT FILE</v>
          </cell>
          <cell r="D526" t="str">
            <v>NOS</v>
          </cell>
          <cell r="E526" t="str">
            <v>CBERM</v>
          </cell>
          <cell r="F526">
            <v>40</v>
          </cell>
          <cell r="G526">
            <v>40</v>
          </cell>
          <cell r="H526">
            <v>0</v>
          </cell>
          <cell r="I526">
            <v>0</v>
          </cell>
        </row>
        <row r="527">
          <cell r="B527" t="str">
            <v>STY-GREE-DOCU</v>
          </cell>
          <cell r="C527" t="str">
            <v>GREEN DOUCMENT SHEET</v>
          </cell>
          <cell r="D527" t="str">
            <v>NOS</v>
          </cell>
          <cell r="E527" t="str">
            <v>CBERM</v>
          </cell>
          <cell r="F527">
            <v>0</v>
          </cell>
          <cell r="G527">
            <v>0</v>
          </cell>
          <cell r="H527">
            <v>50</v>
          </cell>
          <cell r="I527">
            <v>0</v>
          </cell>
        </row>
        <row r="528">
          <cell r="B528" t="str">
            <v>STY-HIG-LHTR</v>
          </cell>
          <cell r="C528" t="str">
            <v>HIGHLIGHTER</v>
          </cell>
          <cell r="D528" t="str">
            <v>NOS</v>
          </cell>
          <cell r="E528" t="str">
            <v>CBERM</v>
          </cell>
          <cell r="F528">
            <v>0</v>
          </cell>
          <cell r="G528">
            <v>0</v>
          </cell>
          <cell r="H528">
            <v>5</v>
          </cell>
          <cell r="I528">
            <v>0</v>
          </cell>
        </row>
        <row r="529">
          <cell r="B529" t="str">
            <v>STY-INK-BTL-BL</v>
          </cell>
          <cell r="C529" t="str">
            <v>INK BOTTLE BLUE (500ML)</v>
          </cell>
          <cell r="D529" t="str">
            <v>NOS</v>
          </cell>
          <cell r="E529" t="str">
            <v>CBERM</v>
          </cell>
          <cell r="F529">
            <v>0</v>
          </cell>
          <cell r="G529">
            <v>0</v>
          </cell>
          <cell r="H529">
            <v>1</v>
          </cell>
          <cell r="I529">
            <v>0</v>
          </cell>
        </row>
        <row r="530">
          <cell r="B530" t="str">
            <v>STY-INK-BTL-BLK</v>
          </cell>
          <cell r="C530" t="str">
            <v>INK BOTTLE BLACK (500ML)</v>
          </cell>
          <cell r="D530" t="str">
            <v>NOS</v>
          </cell>
          <cell r="E530" t="str">
            <v>CBERM</v>
          </cell>
          <cell r="F530">
            <v>0</v>
          </cell>
          <cell r="G530">
            <v>0</v>
          </cell>
          <cell r="H530">
            <v>1</v>
          </cell>
          <cell r="I530">
            <v>2</v>
          </cell>
        </row>
        <row r="531">
          <cell r="B531" t="str">
            <v>STY-INK-BTL-GR</v>
          </cell>
          <cell r="C531" t="str">
            <v>INK BOTTLE GREEN (500ML)</v>
          </cell>
          <cell r="D531" t="str">
            <v>NOS</v>
          </cell>
          <cell r="E531" t="str">
            <v>CBERM</v>
          </cell>
          <cell r="F531">
            <v>2</v>
          </cell>
          <cell r="G531">
            <v>2</v>
          </cell>
          <cell r="H531">
            <v>0</v>
          </cell>
          <cell r="I531">
            <v>0</v>
          </cell>
        </row>
        <row r="532">
          <cell r="B532" t="str">
            <v>STY-INK-BTL-RD</v>
          </cell>
          <cell r="C532" t="str">
            <v>INK BOTTLE RED (500ML)</v>
          </cell>
          <cell r="D532" t="str">
            <v>NOS</v>
          </cell>
          <cell r="E532" t="str">
            <v>CBERM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</row>
        <row r="533">
          <cell r="B533" t="str">
            <v>STY-INK-PLR</v>
          </cell>
          <cell r="C533" t="str">
            <v>INK PILLAR</v>
          </cell>
          <cell r="D533" t="str">
            <v>NOS</v>
          </cell>
          <cell r="E533" t="str">
            <v>CBERM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</row>
        <row r="534">
          <cell r="B534" t="str">
            <v>STY-L-FLE</v>
          </cell>
          <cell r="C534" t="str">
            <v>LEAF FILE (20 LEAF)</v>
          </cell>
          <cell r="D534" t="str">
            <v>NOS</v>
          </cell>
          <cell r="E534" t="str">
            <v>CBERM</v>
          </cell>
          <cell r="F534">
            <v>0</v>
          </cell>
          <cell r="G534">
            <v>0</v>
          </cell>
          <cell r="H534">
            <v>1</v>
          </cell>
          <cell r="I534">
            <v>0</v>
          </cell>
        </row>
        <row r="535">
          <cell r="B535" t="str">
            <v>STY-L-FLE-60</v>
          </cell>
          <cell r="C535" t="str">
            <v>LEAF FILE ( 60 LEAF)</v>
          </cell>
          <cell r="D535" t="str">
            <v>NOS</v>
          </cell>
          <cell r="E535" t="str">
            <v>CBERM</v>
          </cell>
          <cell r="F535">
            <v>0</v>
          </cell>
          <cell r="G535">
            <v>0</v>
          </cell>
          <cell r="H535">
            <v>1</v>
          </cell>
          <cell r="I535">
            <v>0</v>
          </cell>
        </row>
        <row r="536">
          <cell r="B536" t="str">
            <v>STY-NOTE-PAD</v>
          </cell>
          <cell r="C536" t="str">
            <v>NOTE PAD</v>
          </cell>
          <cell r="D536" t="str">
            <v>NOS</v>
          </cell>
          <cell r="E536" t="str">
            <v>CBERM</v>
          </cell>
          <cell r="F536">
            <v>0</v>
          </cell>
          <cell r="G536">
            <v>0</v>
          </cell>
          <cell r="H536">
            <v>10</v>
          </cell>
          <cell r="I536">
            <v>0</v>
          </cell>
        </row>
        <row r="537">
          <cell r="B537" t="str">
            <v>STY-ONDUTY-BOK</v>
          </cell>
          <cell r="C537" t="str">
            <v>ON DUTY / OUT PASS BOOK</v>
          </cell>
          <cell r="D537" t="str">
            <v>NOS</v>
          </cell>
          <cell r="E537" t="str">
            <v>CBERM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</row>
        <row r="538">
          <cell r="B538" t="str">
            <v>STY-PAPE-ENV-SMAL</v>
          </cell>
          <cell r="C538" t="str">
            <v>PEPS WHITE PAPER ENVELOPE - SMALL</v>
          </cell>
          <cell r="D538" t="str">
            <v>NOS</v>
          </cell>
          <cell r="E538" t="str">
            <v>CBERM</v>
          </cell>
          <cell r="F538">
            <v>0</v>
          </cell>
          <cell r="G538">
            <v>0</v>
          </cell>
          <cell r="H538">
            <v>200</v>
          </cell>
          <cell r="I538">
            <v>0</v>
          </cell>
        </row>
        <row r="539">
          <cell r="B539" t="str">
            <v>STY-PAPER-CLIP</v>
          </cell>
          <cell r="C539" t="str">
            <v>PAPER CLIP</v>
          </cell>
          <cell r="D539" t="str">
            <v>BOX</v>
          </cell>
          <cell r="E539" t="str">
            <v>CBERM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</row>
        <row r="540">
          <cell r="B540" t="str">
            <v>STY-PAPER-PIN</v>
          </cell>
          <cell r="C540" t="str">
            <v>PAPER PIN</v>
          </cell>
          <cell r="D540" t="str">
            <v>BOX</v>
          </cell>
          <cell r="E540" t="str">
            <v>CBERM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</row>
        <row r="541">
          <cell r="B541" t="str">
            <v>STY-PENCIL</v>
          </cell>
          <cell r="C541" t="str">
            <v>PENCIL</v>
          </cell>
          <cell r="D541" t="str">
            <v>NOS</v>
          </cell>
          <cell r="E541" t="str">
            <v>CBERM</v>
          </cell>
          <cell r="F541">
            <v>0</v>
          </cell>
          <cell r="G541">
            <v>0</v>
          </cell>
          <cell r="H541">
            <v>5</v>
          </cell>
          <cell r="I541">
            <v>0</v>
          </cell>
        </row>
        <row r="542">
          <cell r="B542" t="str">
            <v>STY-PER-MARK-BL</v>
          </cell>
          <cell r="C542" t="str">
            <v>PERMANENT MARKER BLUE</v>
          </cell>
          <cell r="D542" t="str">
            <v>NOS</v>
          </cell>
          <cell r="E542" t="str">
            <v>CBERM</v>
          </cell>
          <cell r="F542">
            <v>0</v>
          </cell>
          <cell r="G542">
            <v>0</v>
          </cell>
          <cell r="H542">
            <v>10</v>
          </cell>
          <cell r="I542">
            <v>50</v>
          </cell>
        </row>
        <row r="543">
          <cell r="B543" t="str">
            <v>STY-PER-MARK-BLK</v>
          </cell>
          <cell r="C543" t="str">
            <v>PERMANENT MARKER BLACK</v>
          </cell>
          <cell r="D543" t="str">
            <v>NOS</v>
          </cell>
          <cell r="E543" t="str">
            <v>CBERM</v>
          </cell>
          <cell r="F543">
            <v>50</v>
          </cell>
          <cell r="G543">
            <v>50</v>
          </cell>
          <cell r="H543">
            <v>10</v>
          </cell>
          <cell r="I543">
            <v>50</v>
          </cell>
        </row>
        <row r="544">
          <cell r="B544" t="str">
            <v>STY-PER-MARK-RD</v>
          </cell>
          <cell r="C544" t="str">
            <v>PERMANENT MARKER RED</v>
          </cell>
          <cell r="D544" t="str">
            <v>NOS</v>
          </cell>
          <cell r="E544" t="str">
            <v>CBERM</v>
          </cell>
          <cell r="F544">
            <v>50</v>
          </cell>
          <cell r="G544">
            <v>50</v>
          </cell>
          <cell r="H544">
            <v>10</v>
          </cell>
          <cell r="I544">
            <v>0</v>
          </cell>
        </row>
        <row r="545">
          <cell r="B545" t="str">
            <v>STY-PUNCH-MC-BIG</v>
          </cell>
          <cell r="C545" t="str">
            <v>PUNCHING MACHINE BIG</v>
          </cell>
          <cell r="D545" t="str">
            <v>NOS</v>
          </cell>
          <cell r="E545" t="str">
            <v>CBERM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</row>
        <row r="546">
          <cell r="B546" t="str">
            <v>STY-PUNCH-MC-SING-HOLE</v>
          </cell>
          <cell r="C546" t="str">
            <v>SINEGLE HOLE PUNCHINE MACHINE</v>
          </cell>
          <cell r="D546" t="str">
            <v>NOS</v>
          </cell>
          <cell r="E546" t="str">
            <v>CBERM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</row>
        <row r="547">
          <cell r="B547" t="str">
            <v>STY-RD-PEN-RS3</v>
          </cell>
          <cell r="C547" t="str">
            <v>RED PEN RS3</v>
          </cell>
          <cell r="D547" t="str">
            <v>NOS</v>
          </cell>
          <cell r="E547" t="str">
            <v>CBERM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</row>
        <row r="548">
          <cell r="B548" t="str">
            <v>RML-TRA-NK-PI-BCKL</v>
          </cell>
          <cell r="C548" t="str">
            <v>Travel Neck Pillow Buckles</v>
          </cell>
          <cell r="D548" t="str">
            <v>NOS</v>
          </cell>
          <cell r="E548" t="str">
            <v>CBERM</v>
          </cell>
          <cell r="F548">
            <v>0</v>
          </cell>
          <cell r="G548">
            <v>0</v>
          </cell>
          <cell r="H548">
            <v>1000</v>
          </cell>
          <cell r="I548">
            <v>0</v>
          </cell>
        </row>
        <row r="549">
          <cell r="B549" t="str">
            <v>STY-RULD-NOT-BOK</v>
          </cell>
          <cell r="C549" t="str">
            <v>RULED NOTE BOOK</v>
          </cell>
          <cell r="D549" t="str">
            <v>NOS</v>
          </cell>
          <cell r="E549" t="str">
            <v>CBERM</v>
          </cell>
          <cell r="F549">
            <v>0</v>
          </cell>
          <cell r="G549">
            <v>0</v>
          </cell>
          <cell r="H549">
            <v>5</v>
          </cell>
          <cell r="I549">
            <v>0</v>
          </cell>
        </row>
        <row r="550">
          <cell r="B550" t="str">
            <v>STY-SALES-INV-BLR</v>
          </cell>
          <cell r="C550" t="str">
            <v>BANGLORE SALES INVOICE A4 (2500.NOS/BOX)</v>
          </cell>
          <cell r="D550" t="str">
            <v>BOX</v>
          </cell>
          <cell r="E550" t="str">
            <v>CBERM</v>
          </cell>
          <cell r="F550">
            <v>0</v>
          </cell>
          <cell r="G550">
            <v>0</v>
          </cell>
          <cell r="H550">
            <v>1</v>
          </cell>
          <cell r="I550">
            <v>0</v>
          </cell>
        </row>
        <row r="551">
          <cell r="B551" t="str">
            <v>STY-SALES-INV-CBE</v>
          </cell>
          <cell r="C551" t="str">
            <v>COIMBATORE SALES INVOICE - A4 (2500.NOS/BOX)</v>
          </cell>
          <cell r="D551" t="str">
            <v>BOX</v>
          </cell>
          <cell r="E551" t="str">
            <v>CBERM</v>
          </cell>
          <cell r="F551">
            <v>0</v>
          </cell>
          <cell r="G551">
            <v>0</v>
          </cell>
          <cell r="H551">
            <v>5</v>
          </cell>
          <cell r="I551">
            <v>5</v>
          </cell>
        </row>
        <row r="552">
          <cell r="B552" t="str">
            <v>STY-SALES-INV-GOA</v>
          </cell>
          <cell r="C552" t="str">
            <v>GOA SALES INVOICE A4 (2500.NOS/BOX)</v>
          </cell>
          <cell r="D552" t="str">
            <v>BOX</v>
          </cell>
          <cell r="E552" t="str">
            <v>CBERM</v>
          </cell>
          <cell r="F552">
            <v>5</v>
          </cell>
          <cell r="G552">
            <v>5</v>
          </cell>
          <cell r="H552">
            <v>1</v>
          </cell>
          <cell r="I552">
            <v>0</v>
          </cell>
        </row>
        <row r="553">
          <cell r="B553" t="str">
            <v>RML-TRT-WCRD-ZERO</v>
          </cell>
          <cell r="C553" t="str">
            <v>PEPS TARTANIA WARRANTY CARD</v>
          </cell>
          <cell r="D553" t="str">
            <v>NOS</v>
          </cell>
          <cell r="E553" t="str">
            <v>CBERM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</row>
        <row r="554">
          <cell r="B554" t="str">
            <v>RML-TRVNK-PLW-BUT-BLK</v>
          </cell>
          <cell r="C554" t="str">
            <v>TRAVEL NECK PILLOW BUTTON BLACK</v>
          </cell>
          <cell r="D554" t="str">
            <v>NOS</v>
          </cell>
          <cell r="E554" t="str">
            <v>CBERM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</row>
        <row r="555">
          <cell r="B555" t="str">
            <v>STY-SCISSOR-12</v>
          </cell>
          <cell r="C555" t="str">
            <v>SCISSOR - 12"</v>
          </cell>
          <cell r="D555" t="str">
            <v>NOS</v>
          </cell>
          <cell r="E555" t="str">
            <v>CBERM</v>
          </cell>
          <cell r="F555">
            <v>0</v>
          </cell>
          <cell r="G555">
            <v>0</v>
          </cell>
          <cell r="H555">
            <v>10</v>
          </cell>
          <cell r="I555">
            <v>0</v>
          </cell>
        </row>
        <row r="556">
          <cell r="B556" t="str">
            <v>STY-SHRPNER</v>
          </cell>
          <cell r="C556" t="str">
            <v>SHARPNER</v>
          </cell>
          <cell r="D556" t="str">
            <v>NOS</v>
          </cell>
          <cell r="E556" t="str">
            <v>CBERM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</row>
        <row r="557">
          <cell r="B557" t="str">
            <v>STY-STK-NOTE</v>
          </cell>
          <cell r="C557" t="str">
            <v>SELF -STICKY NOTES 3X3</v>
          </cell>
          <cell r="D557" t="str">
            <v>NOS</v>
          </cell>
          <cell r="E557" t="str">
            <v>CBERM</v>
          </cell>
          <cell r="F557">
            <v>0</v>
          </cell>
          <cell r="G557">
            <v>0</v>
          </cell>
          <cell r="H557">
            <v>5</v>
          </cell>
          <cell r="I557">
            <v>0</v>
          </cell>
        </row>
        <row r="558">
          <cell r="B558" t="str">
            <v>FBR-INS-PNL-BG</v>
          </cell>
          <cell r="C558" t="str">
            <v>HYPNOS INSPREE BEIGE PANEL FABRIC</v>
          </cell>
          <cell r="D558" t="str">
            <v>MTR</v>
          </cell>
          <cell r="E558" t="str">
            <v>CBERM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</row>
        <row r="559">
          <cell r="B559" t="str">
            <v>FBR-INS-PNLBR-BLUE</v>
          </cell>
          <cell r="C559" t="str">
            <v>Inspree Blue Panel &amp; Border Fabric</v>
          </cell>
          <cell r="D559" t="str">
            <v>MTR</v>
          </cell>
          <cell r="E559" t="str">
            <v>CBERM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</row>
        <row r="560">
          <cell r="B560" t="str">
            <v>FBR-INS-PNL-BRN</v>
          </cell>
          <cell r="C560" t="str">
            <v>INSPREE REBONDED BORDER &amp; PANEL FABRIC</v>
          </cell>
          <cell r="D560" t="str">
            <v>MTR</v>
          </cell>
          <cell r="E560" t="str">
            <v>CBERM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</row>
        <row r="561">
          <cell r="B561" t="str">
            <v>FBR-ITALIANO-BELLISIMO-BR</v>
          </cell>
          <cell r="C561" t="str">
            <v>ITALIANO - BELLISIMO PURPLE BORDER FABRIC - ( ULT - PRE )</v>
          </cell>
          <cell r="D561" t="str">
            <v>MTR</v>
          </cell>
          <cell r="E561" t="str">
            <v>CBERM</v>
          </cell>
          <cell r="F561">
            <v>0</v>
          </cell>
          <cell r="G561">
            <v>0</v>
          </cell>
          <cell r="H561">
            <v>100</v>
          </cell>
          <cell r="I561">
            <v>0</v>
          </cell>
        </row>
        <row r="562">
          <cell r="B562" t="str">
            <v>FBR-ITALIANO-BELLISIMO-PNL</v>
          </cell>
          <cell r="C562" t="str">
            <v>ITALIANO - BELLISIMO PANEL FABRIC - ( ULT - PRE )</v>
          </cell>
          <cell r="D562" t="str">
            <v>MTR</v>
          </cell>
          <cell r="E562" t="str">
            <v>CBERM</v>
          </cell>
          <cell r="F562">
            <v>0</v>
          </cell>
          <cell r="G562">
            <v>0</v>
          </cell>
          <cell r="H562">
            <v>100</v>
          </cell>
          <cell r="I562">
            <v>0</v>
          </cell>
        </row>
        <row r="563">
          <cell r="B563" t="str">
            <v>FBR-ITALIANO-ICONA-BR</v>
          </cell>
          <cell r="C563" t="str">
            <v>ITALIANO - ICONA  GREY BORDER FABRIC</v>
          </cell>
          <cell r="D563" t="str">
            <v>MTR</v>
          </cell>
          <cell r="E563" t="str">
            <v>CBERM</v>
          </cell>
          <cell r="F563">
            <v>0</v>
          </cell>
          <cell r="G563">
            <v>0</v>
          </cell>
          <cell r="H563">
            <v>100</v>
          </cell>
          <cell r="I563">
            <v>0</v>
          </cell>
        </row>
        <row r="564">
          <cell r="B564" t="str">
            <v>FBR-ITALIANO-ICONA-PNL</v>
          </cell>
          <cell r="C564" t="str">
            <v>ITALIANO - ICONA GREY PANEL FABRIC</v>
          </cell>
          <cell r="D564" t="str">
            <v>MTR</v>
          </cell>
          <cell r="E564" t="str">
            <v>CBERM</v>
          </cell>
          <cell r="F564">
            <v>0</v>
          </cell>
          <cell r="G564">
            <v>0</v>
          </cell>
          <cell r="H564">
            <v>250</v>
          </cell>
          <cell r="I564">
            <v>200</v>
          </cell>
        </row>
        <row r="565">
          <cell r="B565" t="str">
            <v>FBR-ITALIANO-MAGNIFICO-BR</v>
          </cell>
          <cell r="C565" t="str">
            <v>ITALIANO - MAGNIFICO COPPER BORDER FABRIC - ( ULT - PRE )</v>
          </cell>
          <cell r="D565" t="str">
            <v>MTR</v>
          </cell>
          <cell r="E565" t="str">
            <v>CBERM</v>
          </cell>
          <cell r="F565">
            <v>200</v>
          </cell>
          <cell r="G565">
            <v>200</v>
          </cell>
          <cell r="H565">
            <v>200</v>
          </cell>
          <cell r="I565">
            <v>0</v>
          </cell>
        </row>
        <row r="566">
          <cell r="B566" t="str">
            <v>FBR-ITALIANO-SERENITA-PNL</v>
          </cell>
          <cell r="C566" t="str">
            <v>ITALIANO - SERENITA ORANGE &amp; BLUE PANEL FABRIC - ( PRE )</v>
          </cell>
          <cell r="D566" t="str">
            <v>MTR</v>
          </cell>
          <cell r="E566" t="str">
            <v>CBERM</v>
          </cell>
          <cell r="F566">
            <v>0</v>
          </cell>
          <cell r="G566">
            <v>0</v>
          </cell>
          <cell r="H566">
            <v>300</v>
          </cell>
          <cell r="I566">
            <v>0</v>
          </cell>
        </row>
        <row r="567">
          <cell r="B567" t="str">
            <v>FBR-LEG-FAB</v>
          </cell>
          <cell r="C567" t="str">
            <v>LEG REST FABRIC</v>
          </cell>
          <cell r="D567" t="str">
            <v>MTR</v>
          </cell>
          <cell r="E567" t="str">
            <v>CBERM</v>
          </cell>
          <cell r="F567">
            <v>0</v>
          </cell>
          <cell r="G567">
            <v>0</v>
          </cell>
          <cell r="H567">
            <v>500</v>
          </cell>
          <cell r="I567">
            <v>0</v>
          </cell>
        </row>
        <row r="568">
          <cell r="B568" t="str">
            <v>FBR-LTX-MSG-PLW</v>
          </cell>
          <cell r="C568" t="str">
            <v>LATEX MASSAGE PILLOW FABRIC</v>
          </cell>
          <cell r="D568" t="str">
            <v>KGS</v>
          </cell>
          <cell r="E568" t="str">
            <v>CBERM</v>
          </cell>
          <cell r="F568">
            <v>0</v>
          </cell>
          <cell r="G568">
            <v>0</v>
          </cell>
          <cell r="H568">
            <v>25</v>
          </cell>
          <cell r="I568">
            <v>0</v>
          </cell>
        </row>
        <row r="569">
          <cell r="B569" t="str">
            <v>FBR-MAT-TOP-KNT</v>
          </cell>
          <cell r="C569" t="str">
            <v>MATTRESS TOPPER FABRIC KNITTED FABRIC</v>
          </cell>
          <cell r="D569" t="str">
            <v>MTR</v>
          </cell>
          <cell r="E569" t="str">
            <v>CBERM</v>
          </cell>
          <cell r="F569">
            <v>0</v>
          </cell>
          <cell r="G569">
            <v>0</v>
          </cell>
          <cell r="H569">
            <v>800</v>
          </cell>
          <cell r="I569">
            <v>1000</v>
          </cell>
        </row>
        <row r="570">
          <cell r="B570" t="str">
            <v>FBR-MAT-TOP-WHT</v>
          </cell>
          <cell r="C570" t="str">
            <v>MATTRESS TOPPER FABRIC - WHITE</v>
          </cell>
          <cell r="D570" t="str">
            <v>MTR</v>
          </cell>
          <cell r="E570" t="str">
            <v>CBERM</v>
          </cell>
          <cell r="F570">
            <v>1000</v>
          </cell>
          <cell r="G570">
            <v>1000</v>
          </cell>
          <cell r="H570">
            <v>0</v>
          </cell>
          <cell r="I570">
            <v>0</v>
          </cell>
        </row>
        <row r="571">
          <cell r="B571" t="str">
            <v>FBR-MEMCON-PLW-FABRIC</v>
          </cell>
          <cell r="C571" t="str">
            <v>PEPS MEMORY&amp;CONTOUR PILLOW FABRIC</v>
          </cell>
          <cell r="D571" t="str">
            <v>MTR</v>
          </cell>
          <cell r="E571" t="str">
            <v>CBERM</v>
          </cell>
          <cell r="F571">
            <v>0</v>
          </cell>
          <cell r="G571">
            <v>0</v>
          </cell>
          <cell r="H571">
            <v>500</v>
          </cell>
          <cell r="I571">
            <v>0</v>
          </cell>
        </row>
        <row r="572">
          <cell r="B572" t="str">
            <v>FBR-MEM-PNLBR-BG</v>
          </cell>
          <cell r="C572" t="str">
            <v>Memorio BEIGE PANEL &amp;BORDER FABRIC</v>
          </cell>
          <cell r="D572" t="str">
            <v>MTR</v>
          </cell>
          <cell r="E572" t="str">
            <v>CBERM</v>
          </cell>
          <cell r="F572">
            <v>0</v>
          </cell>
          <cell r="G572">
            <v>0</v>
          </cell>
          <cell r="H572">
            <v>120</v>
          </cell>
          <cell r="I572">
            <v>0</v>
          </cell>
        </row>
        <row r="573">
          <cell r="B573" t="str">
            <v>FBR-MEM-PNLBR-OR</v>
          </cell>
          <cell r="C573" t="str">
            <v>Memorio ORANGE PANEL&amp;BORDER  FABRIC</v>
          </cell>
          <cell r="D573" t="str">
            <v>MTR</v>
          </cell>
          <cell r="E573" t="str">
            <v>CBERM</v>
          </cell>
          <cell r="F573">
            <v>0</v>
          </cell>
          <cell r="G573">
            <v>0</v>
          </cell>
          <cell r="H573">
            <v>250</v>
          </cell>
          <cell r="I573">
            <v>205</v>
          </cell>
        </row>
        <row r="574">
          <cell r="B574" t="str">
            <v>FBR-MEM-UL-BR-BLUE</v>
          </cell>
          <cell r="C574" t="str">
            <v>HYPNOS MEMORIO ULTRA BLUE BORDER FABRIC</v>
          </cell>
          <cell r="D574" t="str">
            <v>MTR</v>
          </cell>
          <cell r="E574" t="str">
            <v>CBERM</v>
          </cell>
          <cell r="F574">
            <v>205</v>
          </cell>
          <cell r="G574">
            <v>205</v>
          </cell>
          <cell r="H574">
            <v>150</v>
          </cell>
          <cell r="I574">
            <v>0</v>
          </cell>
        </row>
        <row r="575">
          <cell r="B575" t="str">
            <v>FBR-MEM-UL-BR-GREY</v>
          </cell>
          <cell r="C575" t="str">
            <v>HYPNOS MEMORIO ULTRA GREY BORDER FABRIC</v>
          </cell>
          <cell r="D575" t="str">
            <v>MTR</v>
          </cell>
          <cell r="E575" t="str">
            <v>CBERM</v>
          </cell>
          <cell r="F575">
            <v>0</v>
          </cell>
          <cell r="G575">
            <v>0</v>
          </cell>
          <cell r="H575">
            <v>150</v>
          </cell>
          <cell r="I575">
            <v>0</v>
          </cell>
        </row>
        <row r="576">
          <cell r="B576" t="str">
            <v>FBR-MIR-BACK-PNL-MRN</v>
          </cell>
          <cell r="C576" t="str">
            <v>MIRAGE MAROON BACK PANEL FABRIC</v>
          </cell>
          <cell r="D576" t="str">
            <v>MTR</v>
          </cell>
          <cell r="E576" t="str">
            <v>CBERM</v>
          </cell>
          <cell r="F576">
            <v>0</v>
          </cell>
          <cell r="G576">
            <v>0</v>
          </cell>
          <cell r="H576">
            <v>1500</v>
          </cell>
          <cell r="I576">
            <v>0</v>
          </cell>
        </row>
        <row r="577">
          <cell r="B577" t="str">
            <v>FBR-MIR-PNLBR-BLUE</v>
          </cell>
          <cell r="C577" t="str">
            <v>Mirage Blue Panel &amp; Border Fabric</v>
          </cell>
          <cell r="D577" t="str">
            <v>MTR</v>
          </cell>
          <cell r="E577" t="str">
            <v>CBERM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</row>
        <row r="578">
          <cell r="B578" t="str">
            <v>FBR-MIR-PNLBR-MRN</v>
          </cell>
          <cell r="C578" t="str">
            <v>Mirage Maroon Panel &amp; Border Fabric</v>
          </cell>
          <cell r="D578" t="str">
            <v>MTR</v>
          </cell>
          <cell r="E578" t="str">
            <v>CBERM</v>
          </cell>
          <cell r="F578">
            <v>0</v>
          </cell>
          <cell r="G578">
            <v>0</v>
          </cell>
          <cell r="H578">
            <v>1500</v>
          </cell>
          <cell r="I578">
            <v>0</v>
          </cell>
        </row>
        <row r="579">
          <cell r="B579" t="str">
            <v>FBR-MIR-PNL-WH</v>
          </cell>
          <cell r="C579" t="str">
            <v>MIRAGE WHITE PANEL FABRIC</v>
          </cell>
          <cell r="D579" t="str">
            <v>MTR</v>
          </cell>
          <cell r="E579" t="str">
            <v>CBERM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</row>
        <row r="580">
          <cell r="B580" t="str">
            <v>FBR-NON-SKID-MRN</v>
          </cell>
          <cell r="C580" t="str">
            <v>NO SKID FABRIC - MAROON</v>
          </cell>
          <cell r="D580" t="str">
            <v>MTR</v>
          </cell>
          <cell r="E580" t="str">
            <v>CBERM</v>
          </cell>
          <cell r="F580">
            <v>0</v>
          </cell>
          <cell r="G580">
            <v>0</v>
          </cell>
          <cell r="H580">
            <v>500</v>
          </cell>
          <cell r="I580">
            <v>0</v>
          </cell>
        </row>
        <row r="581">
          <cell r="B581" t="str">
            <v>FBR-OPU-PNL-BG</v>
          </cell>
          <cell r="C581" t="str">
            <v>OPULENCE BEIGE PANEL FABRIC</v>
          </cell>
          <cell r="D581" t="str">
            <v>MTR</v>
          </cell>
          <cell r="E581" t="str">
            <v>CBERM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</row>
        <row r="582">
          <cell r="B582" t="str">
            <v>FBR-OPU-PNL-BLUE</v>
          </cell>
          <cell r="C582" t="str">
            <v>OPULENCE LIGHT BLUE PANEL FABRIC</v>
          </cell>
          <cell r="D582" t="str">
            <v>MTR</v>
          </cell>
          <cell r="E582" t="str">
            <v>CBERM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</row>
        <row r="583">
          <cell r="B583" t="str">
            <v>FBR-ORG-BR-GREEN</v>
          </cell>
          <cell r="C583" t="str">
            <v>ORGANICA GREEN BORDER REXIN FABRIC</v>
          </cell>
          <cell r="D583" t="str">
            <v>MTR</v>
          </cell>
          <cell r="E583" t="str">
            <v>CBERM</v>
          </cell>
          <cell r="F583">
            <v>0</v>
          </cell>
          <cell r="G583">
            <v>0</v>
          </cell>
          <cell r="H583">
            <v>250</v>
          </cell>
          <cell r="I583">
            <v>500</v>
          </cell>
        </row>
        <row r="584">
          <cell r="B584" t="str">
            <v>FBR-ORG-PNL-BRN</v>
          </cell>
          <cell r="C584" t="str">
            <v>ORGANICA BROWN PANEL FABRIC</v>
          </cell>
          <cell r="D584" t="str">
            <v>MTR</v>
          </cell>
          <cell r="E584" t="str">
            <v>CBERM</v>
          </cell>
          <cell r="F584">
            <v>500</v>
          </cell>
          <cell r="G584">
            <v>500</v>
          </cell>
          <cell r="H584">
            <v>500</v>
          </cell>
          <cell r="I584">
            <v>250</v>
          </cell>
        </row>
        <row r="585">
          <cell r="B585" t="str">
            <v>FBR-PAN-MIR-BR-LBLUE</v>
          </cell>
          <cell r="C585" t="str">
            <v>Panorama &amp; Mirage Light Blue Border Fabric</v>
          </cell>
          <cell r="D585" t="str">
            <v>MTR</v>
          </cell>
          <cell r="E585" t="str">
            <v>CBERM</v>
          </cell>
          <cell r="F585">
            <v>250</v>
          </cell>
          <cell r="G585">
            <v>250</v>
          </cell>
          <cell r="H585">
            <v>200</v>
          </cell>
          <cell r="I585">
            <v>0</v>
          </cell>
        </row>
        <row r="586">
          <cell r="B586" t="str">
            <v>FBR-PANO-PNL-LBLUE</v>
          </cell>
          <cell r="C586" t="str">
            <v>PANORAMA L.BLUE PANEL FABRIC</v>
          </cell>
          <cell r="D586" t="str">
            <v>MTR</v>
          </cell>
          <cell r="E586" t="str">
            <v>CBERM</v>
          </cell>
          <cell r="F586">
            <v>0</v>
          </cell>
          <cell r="G586">
            <v>0</v>
          </cell>
          <cell r="H586">
            <v>350</v>
          </cell>
          <cell r="I586">
            <v>0</v>
          </cell>
        </row>
        <row r="587">
          <cell r="B587" t="str">
            <v>FBR-PNLBR-DBLUE-TNDR</v>
          </cell>
          <cell r="C587" t="str">
            <v>TNDR - BLUE PANEL FABRIC</v>
          </cell>
          <cell r="D587" t="str">
            <v>MTR</v>
          </cell>
          <cell r="E587" t="str">
            <v>CBERM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</row>
        <row r="588">
          <cell r="B588" t="str">
            <v>FBR-POLY-VEL-CBLUE</v>
          </cell>
          <cell r="C588" t="str">
            <v>POLYSTER VELLOUR FABRIC CORAL BLUE</v>
          </cell>
          <cell r="D588" t="str">
            <v>KGS</v>
          </cell>
          <cell r="E588" t="str">
            <v>CBERM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</row>
        <row r="589">
          <cell r="B589" t="str">
            <v>FBR-REX-BRN</v>
          </cell>
          <cell r="C589" t="str">
            <v>BROWN REXINE</v>
          </cell>
          <cell r="D589" t="str">
            <v>MTR</v>
          </cell>
          <cell r="E589" t="str">
            <v>CBERM</v>
          </cell>
          <cell r="F589">
            <v>0</v>
          </cell>
          <cell r="G589">
            <v>0</v>
          </cell>
          <cell r="H589">
            <v>100</v>
          </cell>
          <cell r="I589">
            <v>0</v>
          </cell>
        </row>
        <row r="590">
          <cell r="B590" t="str">
            <v>FBR-SANI-BR-BG</v>
          </cell>
          <cell r="C590" t="str">
            <v>SANIBEL BEIGE BORDER FABRIC</v>
          </cell>
          <cell r="D590" t="str">
            <v>MTR</v>
          </cell>
          <cell r="E590" t="str">
            <v>CBERM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</row>
        <row r="591">
          <cell r="B591" t="str">
            <v>FBR-SANI-BR-GRY</v>
          </cell>
          <cell r="C591" t="str">
            <v>SANIBEL GREY BORDER FABRIC</v>
          </cell>
          <cell r="D591" t="str">
            <v>MTR</v>
          </cell>
          <cell r="E591" t="str">
            <v>CBERM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</row>
        <row r="592">
          <cell r="B592" t="str">
            <v>FBR-SANI-BR-MRN</v>
          </cell>
          <cell r="C592" t="str">
            <v>SANIBEL MAROON BORDER FABRIC</v>
          </cell>
          <cell r="D592" t="str">
            <v>MTR</v>
          </cell>
          <cell r="E592" t="str">
            <v>CBERM</v>
          </cell>
          <cell r="F592">
            <v>0</v>
          </cell>
          <cell r="G592">
            <v>0</v>
          </cell>
          <cell r="H592">
            <v>500</v>
          </cell>
          <cell r="I592">
            <v>0</v>
          </cell>
        </row>
        <row r="593">
          <cell r="B593" t="str">
            <v>FBR-SANI-PNL-BG</v>
          </cell>
          <cell r="C593" t="str">
            <v>SANIBEL BEIGE PANEL FABRIC</v>
          </cell>
          <cell r="D593" t="str">
            <v>MTR</v>
          </cell>
          <cell r="E593" t="str">
            <v>CBERM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</row>
        <row r="594">
          <cell r="B594" t="str">
            <v>FBR-SANI-PNL-GREY</v>
          </cell>
          <cell r="C594" t="str">
            <v>SANIBEL GREY PANEL FABRIC</v>
          </cell>
          <cell r="D594" t="str">
            <v>MTR</v>
          </cell>
          <cell r="E594" t="str">
            <v>CBERM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</row>
        <row r="595">
          <cell r="B595" t="str">
            <v>FBR-SANI-PNL-MRN</v>
          </cell>
          <cell r="C595" t="str">
            <v>SANIBEL MAROON PANEL FABRIC</v>
          </cell>
          <cell r="D595" t="str">
            <v>MTR</v>
          </cell>
          <cell r="E595" t="str">
            <v>CBERM</v>
          </cell>
          <cell r="F595">
            <v>0</v>
          </cell>
          <cell r="G595">
            <v>0</v>
          </cell>
          <cell r="H595">
            <v>750</v>
          </cell>
          <cell r="I595">
            <v>0</v>
          </cell>
        </row>
        <row r="596">
          <cell r="B596" t="str">
            <v>FBR-SPACER-GREY</v>
          </cell>
          <cell r="C596" t="str">
            <v>SPACER GREY FABRIC</v>
          </cell>
          <cell r="D596" t="str">
            <v>MTR</v>
          </cell>
          <cell r="E596" t="str">
            <v>CBERM</v>
          </cell>
          <cell r="F596">
            <v>0</v>
          </cell>
          <cell r="G596">
            <v>0</v>
          </cell>
          <cell r="H596">
            <v>250</v>
          </cell>
          <cell r="I596">
            <v>0</v>
          </cell>
        </row>
        <row r="597">
          <cell r="B597" t="str">
            <v>FBR-SPG6-BR-GREY</v>
          </cell>
          <cell r="C597" t="str">
            <v>SPINEGUARD GREY 6" BORDER FABRIC</v>
          </cell>
          <cell r="D597" t="str">
            <v>MTR</v>
          </cell>
          <cell r="E597" t="str">
            <v>CBERM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</row>
        <row r="598">
          <cell r="B598" t="str">
            <v>FBR-SPG8-BR-GREY</v>
          </cell>
          <cell r="C598" t="str">
            <v>SPINEGUARD GREY 8" BORDER FABRIC</v>
          </cell>
          <cell r="D598" t="str">
            <v>MTR</v>
          </cell>
          <cell r="E598" t="str">
            <v>CBERM</v>
          </cell>
          <cell r="F598">
            <v>0</v>
          </cell>
          <cell r="G598">
            <v>0</v>
          </cell>
          <cell r="H598">
            <v>650</v>
          </cell>
          <cell r="I598">
            <v>0</v>
          </cell>
        </row>
        <row r="599">
          <cell r="B599" t="str">
            <v>FBR-SPGFM-PNL-WHT</v>
          </cell>
          <cell r="C599" t="str">
            <v>SPINEGUARD FOAM PANEL WHITE FABRIC</v>
          </cell>
          <cell r="D599" t="str">
            <v>MTR</v>
          </cell>
          <cell r="E599" t="str">
            <v>CBERM</v>
          </cell>
          <cell r="F599">
            <v>0</v>
          </cell>
          <cell r="G599">
            <v>0</v>
          </cell>
          <cell r="H599">
            <v>200</v>
          </cell>
          <cell r="I599">
            <v>0</v>
          </cell>
        </row>
        <row r="600">
          <cell r="B600" t="str">
            <v>FBR-SPG-PNL-GREY</v>
          </cell>
          <cell r="C600" t="str">
            <v>SPINEGUARD GREY PANEL FABRIC</v>
          </cell>
          <cell r="D600" t="str">
            <v>KGS</v>
          </cell>
          <cell r="E600" t="str">
            <v>CBERM</v>
          </cell>
          <cell r="F600">
            <v>0</v>
          </cell>
          <cell r="G600">
            <v>0</v>
          </cell>
          <cell r="H600">
            <v>500</v>
          </cell>
          <cell r="I600">
            <v>1500</v>
          </cell>
        </row>
        <row r="601">
          <cell r="B601" t="str">
            <v>FBR-SPK-BR-BG-KF</v>
          </cell>
          <cell r="C601" t="str">
            <v>SPRINGKOIL KNITTED BEIGE BORDER FABRIC</v>
          </cell>
          <cell r="D601" t="str">
            <v>MTR</v>
          </cell>
          <cell r="E601" t="str">
            <v>CBERM</v>
          </cell>
          <cell r="F601">
            <v>1500</v>
          </cell>
          <cell r="G601">
            <v>1500</v>
          </cell>
          <cell r="H601">
            <v>0</v>
          </cell>
          <cell r="I601">
            <v>0</v>
          </cell>
        </row>
        <row r="602">
          <cell r="B602" t="str">
            <v>FBR-SPK-BR-BLUE</v>
          </cell>
          <cell r="C602" t="str">
            <v>SPRINGKOIL DARKBLUE BORDER FABRIC</v>
          </cell>
          <cell r="D602" t="str">
            <v>MTR</v>
          </cell>
          <cell r="E602" t="str">
            <v>CBERM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</row>
        <row r="603">
          <cell r="B603" t="str">
            <v>FBR-SPK-BR-BLUE-KF</v>
          </cell>
          <cell r="C603" t="str">
            <v>SPRINGKOIL KNITTED DARK BLUE BORDER FABRIC</v>
          </cell>
          <cell r="D603" t="str">
            <v>MTR</v>
          </cell>
          <cell r="E603" t="str">
            <v>CBERM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</row>
        <row r="604">
          <cell r="B604" t="str">
            <v>FBR-SPK-BR-BRN</v>
          </cell>
          <cell r="C604" t="str">
            <v>SPRINGKOIL BROWN BORDER FABRIC</v>
          </cell>
          <cell r="D604" t="str">
            <v>MTR</v>
          </cell>
          <cell r="E604" t="str">
            <v>CBERM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</row>
        <row r="605">
          <cell r="B605" t="str">
            <v>FBR-SPK-BR-CRM</v>
          </cell>
          <cell r="C605" t="str">
            <v>SPRINGKOIL CREAM BORDER FABRIC</v>
          </cell>
          <cell r="D605" t="str">
            <v>MTR</v>
          </cell>
          <cell r="E605" t="str">
            <v>CBERM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</row>
        <row r="606">
          <cell r="B606" t="str">
            <v>FBR-SPK-BR-CRM-KF</v>
          </cell>
          <cell r="C606" t="str">
            <v>SPRINGKOIL KNITTED BLACK BORDER FABRIC</v>
          </cell>
          <cell r="D606" t="str">
            <v>MTR</v>
          </cell>
          <cell r="E606" t="str">
            <v>CBERM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</row>
        <row r="607">
          <cell r="B607" t="str">
            <v>FBR-SPK-BR-LGRY-KF</v>
          </cell>
          <cell r="C607" t="str">
            <v>SPRINGKOIL KNITTED LIGHT GREY BORDER FABRIC</v>
          </cell>
          <cell r="D607" t="str">
            <v>MTR</v>
          </cell>
          <cell r="E607" t="str">
            <v>CBERM</v>
          </cell>
          <cell r="F607">
            <v>0</v>
          </cell>
          <cell r="G607">
            <v>0</v>
          </cell>
          <cell r="H607">
            <v>500</v>
          </cell>
          <cell r="I607">
            <v>0</v>
          </cell>
        </row>
        <row r="608">
          <cell r="B608" t="str">
            <v>FBR-SPK-BR-MRN</v>
          </cell>
          <cell r="C608" t="str">
            <v>SPRINGKOIL MAROON BORDER FABRIC</v>
          </cell>
          <cell r="D608" t="str">
            <v>MTR</v>
          </cell>
          <cell r="E608" t="str">
            <v>CBERM</v>
          </cell>
          <cell r="F608">
            <v>0</v>
          </cell>
          <cell r="G608">
            <v>0</v>
          </cell>
          <cell r="H608">
            <v>500</v>
          </cell>
          <cell r="I608">
            <v>0</v>
          </cell>
        </row>
        <row r="609">
          <cell r="B609" t="str">
            <v>FBR-SPK-BR-MRN-KF</v>
          </cell>
          <cell r="C609" t="str">
            <v>SPRINGKOIL KNITTED MAROON BORDER FABRIC</v>
          </cell>
          <cell r="D609" t="str">
            <v>MTR</v>
          </cell>
          <cell r="E609" t="str">
            <v>CBERM</v>
          </cell>
          <cell r="F609">
            <v>0</v>
          </cell>
          <cell r="G609">
            <v>0</v>
          </cell>
          <cell r="H609">
            <v>2000</v>
          </cell>
          <cell r="I609">
            <v>1000</v>
          </cell>
        </row>
        <row r="610">
          <cell r="B610" t="str">
            <v>FBR-SPK-PNL-BG-KF</v>
          </cell>
          <cell r="C610" t="str">
            <v>SPRINGKOIL KNITTED BEIGE PANEL FABRIC</v>
          </cell>
          <cell r="D610" t="str">
            <v>MTR</v>
          </cell>
          <cell r="E610" t="str">
            <v>CBERM</v>
          </cell>
          <cell r="F610">
            <v>1000</v>
          </cell>
          <cell r="G610">
            <v>1000</v>
          </cell>
          <cell r="H610">
            <v>0</v>
          </cell>
          <cell r="I610">
            <v>0</v>
          </cell>
        </row>
        <row r="611">
          <cell r="B611" t="str">
            <v>FBR-SPK-PNL-BLUE</v>
          </cell>
          <cell r="C611" t="str">
            <v>SPRINGKOIL DARKBLUE PANEL FABRIC</v>
          </cell>
          <cell r="D611" t="str">
            <v>MTR</v>
          </cell>
          <cell r="E611" t="str">
            <v>CBERM</v>
          </cell>
          <cell r="F611">
            <v>0</v>
          </cell>
          <cell r="G611">
            <v>0</v>
          </cell>
          <cell r="H611">
            <v>5000</v>
          </cell>
          <cell r="I611">
            <v>0</v>
          </cell>
        </row>
        <row r="612">
          <cell r="B612" t="str">
            <v>FBR-SPK-PNL-BLUE-KF</v>
          </cell>
          <cell r="C612" t="str">
            <v>SPRINGKOIL KNITTED DARKBLUE PANEL FABRIC</v>
          </cell>
          <cell r="D612" t="str">
            <v>MTR</v>
          </cell>
          <cell r="E612" t="str">
            <v>CBERM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</row>
        <row r="613">
          <cell r="B613" t="str">
            <v>FBR-SPK-PNL-BW</v>
          </cell>
          <cell r="C613" t="str">
            <v>SPRINGKOIL BROWN PANEL FABRIC</v>
          </cell>
          <cell r="D613" t="str">
            <v>MTR</v>
          </cell>
          <cell r="E613" t="str">
            <v>CBERM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</row>
        <row r="614">
          <cell r="B614" t="str">
            <v>FBR-SPK-PNL-BW-KF</v>
          </cell>
          <cell r="C614" t="str">
            <v>SPRINGKOIL KNITTED BROWN PANEL FABRIC</v>
          </cell>
          <cell r="D614" t="str">
            <v>MTR</v>
          </cell>
          <cell r="E614" t="str">
            <v>CBERM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</row>
        <row r="615">
          <cell r="B615" t="str">
            <v>FBR-SPK-PNL-CRM</v>
          </cell>
          <cell r="C615" t="str">
            <v>SPRINGKOIL CREAM PANEL FABRIC</v>
          </cell>
          <cell r="D615" t="str">
            <v>MTR</v>
          </cell>
          <cell r="E615" t="str">
            <v>CBERM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</row>
        <row r="616">
          <cell r="B616" t="str">
            <v>FBR-SPK-PNL-CRM-KF</v>
          </cell>
          <cell r="C616" t="str">
            <v>SPRINGKOIL KNITTED CREAM PANEL FABRIC</v>
          </cell>
          <cell r="D616" t="str">
            <v>MTR</v>
          </cell>
          <cell r="E616" t="str">
            <v>CBERM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</row>
        <row r="617">
          <cell r="B617" t="str">
            <v>FBR-SPK-PNL-LGRY-KF</v>
          </cell>
          <cell r="C617" t="str">
            <v>SPRINGKOIL KNITTED LIGHT GREY PANEL FABRIC</v>
          </cell>
          <cell r="D617" t="str">
            <v>MTR</v>
          </cell>
          <cell r="E617" t="str">
            <v>CBERM</v>
          </cell>
          <cell r="F617">
            <v>0</v>
          </cell>
          <cell r="G617">
            <v>0</v>
          </cell>
          <cell r="H617">
            <v>1000</v>
          </cell>
          <cell r="I617">
            <v>0</v>
          </cell>
        </row>
        <row r="618">
          <cell r="B618" t="str">
            <v>FBR-SPK-PNL-MRN</v>
          </cell>
          <cell r="C618" t="str">
            <v>SPRINGKOIL MAROON PANEL FABRIC</v>
          </cell>
          <cell r="D618" t="str">
            <v>MTR</v>
          </cell>
          <cell r="E618" t="str">
            <v>CBERM</v>
          </cell>
          <cell r="F618">
            <v>0</v>
          </cell>
          <cell r="G618">
            <v>0</v>
          </cell>
          <cell r="H618">
            <v>2500</v>
          </cell>
          <cell r="I618">
            <v>8000</v>
          </cell>
        </row>
        <row r="619">
          <cell r="B619" t="str">
            <v>FBR-SPK-PNL-MRN-KF</v>
          </cell>
          <cell r="C619" t="str">
            <v>SPRINGKOIL KNITTED MAROON PANEL FABRIC</v>
          </cell>
          <cell r="D619" t="str">
            <v>MTR</v>
          </cell>
          <cell r="E619" t="str">
            <v>CBERM</v>
          </cell>
          <cell r="F619">
            <v>8000</v>
          </cell>
          <cell r="G619">
            <v>8000</v>
          </cell>
          <cell r="H619">
            <v>1000</v>
          </cell>
          <cell r="I619">
            <v>0</v>
          </cell>
        </row>
        <row r="620">
          <cell r="B620" t="str">
            <v>FBR-SPK-POC-BR-DB</v>
          </cell>
          <cell r="C620" t="str">
            <v>TARTANIA POCKETED DARK BLUE BORDER FABRIC</v>
          </cell>
          <cell r="D620" t="str">
            <v>MTR</v>
          </cell>
          <cell r="E620" t="str">
            <v>CBERM</v>
          </cell>
          <cell r="F620">
            <v>0</v>
          </cell>
          <cell r="G620">
            <v>0</v>
          </cell>
          <cell r="H620">
            <v>250</v>
          </cell>
          <cell r="I620">
            <v>0</v>
          </cell>
        </row>
        <row r="621">
          <cell r="B621" t="str">
            <v>FBR-SPK-POC-BR-GREY</v>
          </cell>
          <cell r="C621" t="str">
            <v>TARTANIA POCKETED GREY BORDER FABRIC</v>
          </cell>
          <cell r="D621" t="str">
            <v>MTR</v>
          </cell>
          <cell r="E621" t="str">
            <v>CBERM</v>
          </cell>
          <cell r="F621">
            <v>0</v>
          </cell>
          <cell r="G621">
            <v>0</v>
          </cell>
          <cell r="H621">
            <v>250</v>
          </cell>
          <cell r="I621">
            <v>0</v>
          </cell>
        </row>
        <row r="622">
          <cell r="B622" t="str">
            <v>FBR-SPK-POC-BR-MRN</v>
          </cell>
          <cell r="C622" t="str">
            <v>TARTANIA POCKETED MAROON BORDER FABRIC</v>
          </cell>
          <cell r="D622" t="str">
            <v>MTR</v>
          </cell>
          <cell r="E622" t="str">
            <v>CBERM</v>
          </cell>
          <cell r="F622">
            <v>0</v>
          </cell>
          <cell r="G622">
            <v>0</v>
          </cell>
          <cell r="H622">
            <v>250</v>
          </cell>
          <cell r="I622">
            <v>0</v>
          </cell>
        </row>
        <row r="623">
          <cell r="B623" t="str">
            <v>FBR-SPK-POC-PNL-DB</v>
          </cell>
          <cell r="C623" t="str">
            <v>TARTANIA POCKETED DARK BLUE PANEL FABRIC</v>
          </cell>
          <cell r="D623" t="str">
            <v>MTR</v>
          </cell>
          <cell r="E623" t="str">
            <v>CBERM</v>
          </cell>
          <cell r="F623">
            <v>0</v>
          </cell>
          <cell r="G623">
            <v>0</v>
          </cell>
          <cell r="H623">
            <v>250</v>
          </cell>
          <cell r="I623">
            <v>0</v>
          </cell>
        </row>
        <row r="624">
          <cell r="B624" t="str">
            <v>FBR-SPK-POC-PNL-GREY</v>
          </cell>
          <cell r="C624" t="str">
            <v>TARTANIA POCKETED GREY PANEL FABRIC</v>
          </cell>
          <cell r="D624" t="str">
            <v>MTR</v>
          </cell>
          <cell r="E624" t="str">
            <v>CBERM</v>
          </cell>
          <cell r="F624">
            <v>0</v>
          </cell>
          <cell r="G624">
            <v>0</v>
          </cell>
          <cell r="H624">
            <v>250</v>
          </cell>
          <cell r="I624">
            <v>0</v>
          </cell>
        </row>
        <row r="625">
          <cell r="B625" t="str">
            <v>FBR-SPK-POC-PNL-MRN</v>
          </cell>
          <cell r="C625" t="str">
            <v>TARTANIA POCKETED MAROON PANEL FABRIC</v>
          </cell>
          <cell r="D625" t="str">
            <v>MTR</v>
          </cell>
          <cell r="E625" t="str">
            <v>CBERM</v>
          </cell>
          <cell r="F625">
            <v>0</v>
          </cell>
          <cell r="G625">
            <v>0</v>
          </cell>
          <cell r="H625">
            <v>250</v>
          </cell>
          <cell r="I625">
            <v>0</v>
          </cell>
        </row>
        <row r="626">
          <cell r="B626" t="str">
            <v>FBR-SPS-PNLBR-GREY</v>
          </cell>
          <cell r="C626" t="str">
            <v>SPINE SAFE GREY PANEL BORDER FABRIC</v>
          </cell>
          <cell r="D626" t="str">
            <v>KGS</v>
          </cell>
          <cell r="E626" t="str">
            <v>CBERM</v>
          </cell>
          <cell r="F626">
            <v>0</v>
          </cell>
          <cell r="G626">
            <v>0</v>
          </cell>
          <cell r="H626">
            <v>200</v>
          </cell>
          <cell r="I626">
            <v>0</v>
          </cell>
        </row>
        <row r="627">
          <cell r="B627" t="str">
            <v>FBR-TEND-PNLBR-MRN</v>
          </cell>
          <cell r="C627" t="str">
            <v>TENDER MAROON PANEL BORDER FABRIC</v>
          </cell>
          <cell r="D627" t="str">
            <v>MTR</v>
          </cell>
          <cell r="E627" t="str">
            <v>CBERM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</row>
        <row r="628">
          <cell r="B628" t="str">
            <v>FBR-VIVAH-BR-CREAM</v>
          </cell>
          <cell r="C628" t="str">
            <v>VIVAH CREAM BORDER FABRIC</v>
          </cell>
          <cell r="D628" t="str">
            <v>MTR</v>
          </cell>
          <cell r="E628" t="str">
            <v>CBERM</v>
          </cell>
          <cell r="F628">
            <v>0</v>
          </cell>
          <cell r="G628">
            <v>0</v>
          </cell>
          <cell r="H628">
            <v>400</v>
          </cell>
          <cell r="I628">
            <v>0</v>
          </cell>
        </row>
        <row r="629">
          <cell r="B629" t="str">
            <v>FBR-VIVAH-PNL-WHT</v>
          </cell>
          <cell r="C629" t="str">
            <v>VIVAH WHITE BACK PANEL ET PT BORDER FABRIC</v>
          </cell>
          <cell r="D629" t="str">
            <v>MTR</v>
          </cell>
          <cell r="E629" t="str">
            <v>CBERM</v>
          </cell>
          <cell r="F629">
            <v>0</v>
          </cell>
          <cell r="G629">
            <v>0</v>
          </cell>
          <cell r="H629">
            <v>200</v>
          </cell>
          <cell r="I629">
            <v>0</v>
          </cell>
        </row>
        <row r="630">
          <cell r="B630" t="str">
            <v>FBR-VIVAH-TOP-PNL-WHT</v>
          </cell>
          <cell r="C630" t="str">
            <v>VIVAH WHITE TOP PANEL FABRIC</v>
          </cell>
          <cell r="D630" t="str">
            <v>MTR</v>
          </cell>
          <cell r="E630" t="str">
            <v>CBERM</v>
          </cell>
          <cell r="F630">
            <v>0</v>
          </cell>
          <cell r="G630">
            <v>0</v>
          </cell>
          <cell r="H630">
            <v>300</v>
          </cell>
          <cell r="I630">
            <v>100</v>
          </cell>
        </row>
        <row r="631">
          <cell r="B631" t="str">
            <v>RM-CAMEO-SDE-LBL</v>
          </cell>
          <cell r="C631" t="str">
            <v>CAMEO SIDE LABEL</v>
          </cell>
          <cell r="D631" t="str">
            <v>NOS</v>
          </cell>
          <cell r="E631" t="str">
            <v>CBERM</v>
          </cell>
          <cell r="F631">
            <v>100</v>
          </cell>
          <cell r="G631">
            <v>100</v>
          </cell>
          <cell r="H631">
            <v>200</v>
          </cell>
          <cell r="I631">
            <v>0</v>
          </cell>
        </row>
        <row r="632">
          <cell r="B632" t="str">
            <v>RML-TRVNK-PLW-BUT-WHT</v>
          </cell>
          <cell r="C632" t="str">
            <v>TRAVEL NECK PILLOW BUTTON WHITE</v>
          </cell>
          <cell r="D632" t="str">
            <v>NOS</v>
          </cell>
          <cell r="E632" t="str">
            <v>CBERM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</row>
        <row r="633">
          <cell r="B633" t="str">
            <v>RML-TRVNK-PLW-PVC-BAG</v>
          </cell>
          <cell r="C633" t="str">
            <v>TRAVEL NECK PVC WELDING BAG 11WX9HX4G</v>
          </cell>
          <cell r="D633" t="str">
            <v>NOS</v>
          </cell>
          <cell r="E633" t="str">
            <v>CBERM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</row>
        <row r="634">
          <cell r="B634" t="str">
            <v>RM-CAR-PLUSH-SDE-LBL</v>
          </cell>
          <cell r="C634" t="str">
            <v>CAROUSEL PLUSH SIDE LABEL</v>
          </cell>
          <cell r="D634" t="str">
            <v>NOS</v>
          </cell>
          <cell r="E634" t="str">
            <v>CBERM</v>
          </cell>
          <cell r="F634">
            <v>0</v>
          </cell>
          <cell r="G634">
            <v>0</v>
          </cell>
          <cell r="H634">
            <v>200</v>
          </cell>
          <cell r="I634">
            <v>0</v>
          </cell>
        </row>
        <row r="635">
          <cell r="B635" t="str">
            <v>RM-CASPIA-SDE-LBL</v>
          </cell>
          <cell r="C635" t="str">
            <v>PEPS CASPIA SIDE LABEL</v>
          </cell>
          <cell r="D635" t="str">
            <v>NOS</v>
          </cell>
          <cell r="E635" t="str">
            <v>CBERM</v>
          </cell>
          <cell r="F635">
            <v>0</v>
          </cell>
          <cell r="G635">
            <v>0</v>
          </cell>
          <cell r="H635">
            <v>100</v>
          </cell>
          <cell r="I635">
            <v>0</v>
          </cell>
        </row>
        <row r="636">
          <cell r="B636" t="str">
            <v>RML-TVL-NK-PLW-MRP</v>
          </cell>
          <cell r="C636" t="str">
            <v>PEPS TRAVEL NECK MOULDED PILLOW MRP LABLE</v>
          </cell>
          <cell r="D636" t="str">
            <v>NOS</v>
          </cell>
          <cell r="E636" t="str">
            <v>CBERM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</row>
        <row r="637">
          <cell r="B637" t="str">
            <v>RM-LTX-216X170X2.5CM</v>
          </cell>
          <cell r="C637" t="str">
            <v>PERFO LATEX SHEETS 216CM X 170CM X 2.5CM ( 85"x67")</v>
          </cell>
          <cell r="D637" t="str">
            <v>NOS</v>
          </cell>
          <cell r="E637" t="str">
            <v>CBERM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</row>
        <row r="638">
          <cell r="B638" t="str">
            <v>RM-LTX-216X198X2.5CM</v>
          </cell>
          <cell r="C638" t="str">
            <v>PERFO LATEX SHEETS 216CM X 198CM X 2.5CM ( 85"x78")</v>
          </cell>
          <cell r="D638" t="str">
            <v>NOS</v>
          </cell>
          <cell r="E638" t="str">
            <v>CBERM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</row>
        <row r="639">
          <cell r="B639" t="str">
            <v>RM-CRY-MIN-SDE-LBL</v>
          </cell>
          <cell r="C639" t="str">
            <v>CRYSTAL MINI SAMPLE SIDE LABEL</v>
          </cell>
          <cell r="D639" t="str">
            <v>NOS</v>
          </cell>
          <cell r="E639" t="str">
            <v>CBERM</v>
          </cell>
          <cell r="F639">
            <v>0</v>
          </cell>
          <cell r="G639">
            <v>0</v>
          </cell>
          <cell r="H639">
            <v>100</v>
          </cell>
          <cell r="I639">
            <v>0</v>
          </cell>
        </row>
        <row r="640">
          <cell r="B640" t="str">
            <v>RM-CUSPOLFIL16X16-BL</v>
          </cell>
          <cell r="C640" t="str">
            <v>PEPS BLUE CUSHION 16X16</v>
          </cell>
          <cell r="D640" t="str">
            <v>NOS</v>
          </cell>
          <cell r="E640" t="str">
            <v>CBERM</v>
          </cell>
          <cell r="F640">
            <v>0</v>
          </cell>
          <cell r="G640">
            <v>0</v>
          </cell>
          <cell r="H640">
            <v>50</v>
          </cell>
          <cell r="I640">
            <v>0</v>
          </cell>
        </row>
        <row r="641">
          <cell r="B641" t="str">
            <v>RM-CUSPOLFIL16X16-CR</v>
          </cell>
          <cell r="C641" t="str">
            <v>PEPS CREAM CUSHION 16X16</v>
          </cell>
          <cell r="D641" t="str">
            <v>NOS</v>
          </cell>
          <cell r="E641" t="str">
            <v>CBERM</v>
          </cell>
          <cell r="F641">
            <v>0</v>
          </cell>
          <cell r="G641">
            <v>0</v>
          </cell>
          <cell r="H641">
            <v>50</v>
          </cell>
          <cell r="I641">
            <v>0</v>
          </cell>
        </row>
        <row r="642">
          <cell r="B642" t="str">
            <v>RM-CUSPOLFIL16X16-GLBG</v>
          </cell>
          <cell r="C642" t="str">
            <v>PEPS GOLDEN BEIGE CUSHION 16X16</v>
          </cell>
          <cell r="D642" t="str">
            <v>NOS</v>
          </cell>
          <cell r="E642" t="str">
            <v>CBERM</v>
          </cell>
          <cell r="F642">
            <v>0</v>
          </cell>
          <cell r="G642">
            <v>0</v>
          </cell>
          <cell r="H642">
            <v>50</v>
          </cell>
          <cell r="I642">
            <v>0</v>
          </cell>
        </row>
        <row r="643">
          <cell r="B643" t="str">
            <v>RM-CUSPOLFIL16X16-MR</v>
          </cell>
          <cell r="C643" t="str">
            <v>PEPS MAROON CUSHION 16X16</v>
          </cell>
          <cell r="D643" t="str">
            <v>NOS</v>
          </cell>
          <cell r="E643" t="str">
            <v>CBERM</v>
          </cell>
          <cell r="F643">
            <v>0</v>
          </cell>
          <cell r="G643">
            <v>0</v>
          </cell>
          <cell r="H643">
            <v>50</v>
          </cell>
          <cell r="I643">
            <v>0</v>
          </cell>
        </row>
        <row r="644">
          <cell r="B644" t="str">
            <v>RM-DISPLAY-PILLOW</v>
          </cell>
          <cell r="C644" t="str">
            <v>PEPS GSS LONG PILLOW 20x60</v>
          </cell>
          <cell r="D644" t="str">
            <v>NOS</v>
          </cell>
          <cell r="E644" t="str">
            <v>CBERM</v>
          </cell>
          <cell r="F644">
            <v>0</v>
          </cell>
          <cell r="G644">
            <v>0</v>
          </cell>
          <cell r="H644">
            <v>20</v>
          </cell>
          <cell r="I644">
            <v>0</v>
          </cell>
        </row>
        <row r="645">
          <cell r="B645" t="str">
            <v>RM-DISPLAY-PILLOW-20X36</v>
          </cell>
          <cell r="C645" t="str">
            <v>PEPS GSS LONG PILLOW 20X36</v>
          </cell>
          <cell r="D645" t="str">
            <v>NOS</v>
          </cell>
          <cell r="E645" t="str">
            <v>CBERM</v>
          </cell>
          <cell r="F645">
            <v>0</v>
          </cell>
          <cell r="G645">
            <v>0</v>
          </cell>
          <cell r="H645">
            <v>10</v>
          </cell>
          <cell r="I645">
            <v>0</v>
          </cell>
        </row>
        <row r="646">
          <cell r="B646" t="str">
            <v>RM-DISPLAY-PILLOW-20X48</v>
          </cell>
          <cell r="C646" t="str">
            <v>PEPS GSS LONG PILLOW 20X48</v>
          </cell>
          <cell r="D646" t="str">
            <v>NOS</v>
          </cell>
          <cell r="E646" t="str">
            <v>CBERM</v>
          </cell>
          <cell r="F646">
            <v>0</v>
          </cell>
          <cell r="G646">
            <v>0</v>
          </cell>
          <cell r="H646">
            <v>5</v>
          </cell>
          <cell r="I646">
            <v>0</v>
          </cell>
        </row>
        <row r="647">
          <cell r="B647" t="str">
            <v>RM-DISPLAY-PILLOW-20X72</v>
          </cell>
          <cell r="C647" t="str">
            <v>PEPS GSS LONG PILLOW 20X72</v>
          </cell>
          <cell r="D647" t="str">
            <v>NOS</v>
          </cell>
          <cell r="E647" t="str">
            <v>CBERM</v>
          </cell>
          <cell r="F647">
            <v>0</v>
          </cell>
          <cell r="G647">
            <v>0</v>
          </cell>
          <cell r="H647">
            <v>10</v>
          </cell>
          <cell r="I647">
            <v>0</v>
          </cell>
        </row>
        <row r="648">
          <cell r="B648" t="str">
            <v>RM-DIV-SDE-LBL</v>
          </cell>
          <cell r="C648" t="str">
            <v>DIVAN SIDE LABEL</v>
          </cell>
          <cell r="D648" t="str">
            <v>NOS</v>
          </cell>
          <cell r="E648" t="str">
            <v>CBERM</v>
          </cell>
          <cell r="F648">
            <v>0</v>
          </cell>
          <cell r="G648">
            <v>0</v>
          </cell>
          <cell r="H648">
            <v>50</v>
          </cell>
          <cell r="I648">
            <v>0</v>
          </cell>
        </row>
        <row r="649">
          <cell r="B649" t="str">
            <v>RML-US-PLW-BOX</v>
          </cell>
          <cell r="C649" t="str">
            <v>PEPS MOULDED PU FOAM PILLOW BOX</v>
          </cell>
          <cell r="D649" t="str">
            <v>NOS</v>
          </cell>
          <cell r="E649" t="str">
            <v>CBERM</v>
          </cell>
          <cell r="F649">
            <v>0</v>
          </cell>
          <cell r="G649">
            <v>0</v>
          </cell>
          <cell r="H649">
            <v>350</v>
          </cell>
          <cell r="I649">
            <v>0</v>
          </cell>
        </row>
        <row r="650">
          <cell r="B650" t="str">
            <v>RM-FACE-TOWEL-12X12</v>
          </cell>
          <cell r="C650" t="str">
            <v>PEPS FACE TOWEL 12X12"</v>
          </cell>
          <cell r="D650" t="str">
            <v>NOS</v>
          </cell>
          <cell r="E650" t="str">
            <v>CBERM</v>
          </cell>
          <cell r="F650">
            <v>0</v>
          </cell>
          <cell r="G650">
            <v>0</v>
          </cell>
          <cell r="H650">
            <v>200</v>
          </cell>
          <cell r="I650">
            <v>0</v>
          </cell>
        </row>
        <row r="651">
          <cell r="B651" t="str">
            <v>RM-FBR-PLWCVR-BEIGE</v>
          </cell>
          <cell r="C651" t="str">
            <v>BEIGE PILLOW COVER FABRIC</v>
          </cell>
          <cell r="D651" t="str">
            <v>MTR</v>
          </cell>
          <cell r="E651" t="str">
            <v>CBERM</v>
          </cell>
          <cell r="F651">
            <v>0</v>
          </cell>
          <cell r="G651">
            <v>0</v>
          </cell>
          <cell r="H651">
            <v>250</v>
          </cell>
          <cell r="I651">
            <v>0</v>
          </cell>
        </row>
        <row r="652">
          <cell r="B652" t="str">
            <v>RM-FBR-PLWCVR-LBLUE</v>
          </cell>
          <cell r="C652" t="str">
            <v>LIGHT BLUE PILLOW COVER FABRIC</v>
          </cell>
          <cell r="D652" t="str">
            <v>MTR</v>
          </cell>
          <cell r="E652" t="str">
            <v>CBERM</v>
          </cell>
          <cell r="F652">
            <v>0</v>
          </cell>
          <cell r="G652">
            <v>0</v>
          </cell>
          <cell r="H652">
            <v>250</v>
          </cell>
          <cell r="I652">
            <v>0</v>
          </cell>
        </row>
        <row r="653">
          <cell r="B653" t="str">
            <v>RM-FBR-PLWCVR-LPINK</v>
          </cell>
          <cell r="C653" t="str">
            <v>LIGHT PINK PILLOW COVER FABRIC</v>
          </cell>
          <cell r="D653" t="str">
            <v>MTR</v>
          </cell>
          <cell r="E653" t="str">
            <v>CBERM</v>
          </cell>
          <cell r="F653">
            <v>0</v>
          </cell>
          <cell r="G653">
            <v>0</v>
          </cell>
          <cell r="H653">
            <v>250</v>
          </cell>
          <cell r="I653">
            <v>250</v>
          </cell>
        </row>
        <row r="654">
          <cell r="B654" t="str">
            <v>RM-FBR-SAMPLE</v>
          </cell>
          <cell r="C654" t="str">
            <v>SAMPLE FABRIC</v>
          </cell>
          <cell r="D654" t="str">
            <v>MTR</v>
          </cell>
          <cell r="E654" t="str">
            <v>CBERM</v>
          </cell>
          <cell r="F654">
            <v>250</v>
          </cell>
          <cell r="G654">
            <v>250</v>
          </cell>
          <cell r="H654">
            <v>0</v>
          </cell>
          <cell r="I654">
            <v>0</v>
          </cell>
        </row>
        <row r="655">
          <cell r="B655" t="str">
            <v>RM-FIT-FELT-4INCH</v>
          </cell>
          <cell r="C655" t="str">
            <v>COTTON FELT 4" WIDTH</v>
          </cell>
          <cell r="D655" t="str">
            <v>KGS</v>
          </cell>
          <cell r="E655" t="str">
            <v>CBERM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</row>
        <row r="656">
          <cell r="B656" t="str">
            <v>RM-FOM-MIN-SDE-LBL</v>
          </cell>
          <cell r="C656" t="str">
            <v>FOAMERA MINI SAMPLE SIDE LABEL</v>
          </cell>
          <cell r="D656" t="str">
            <v>NOS</v>
          </cell>
          <cell r="E656" t="str">
            <v>CBERM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</row>
        <row r="657">
          <cell r="B657" t="str">
            <v>RM-FUR-MIN-SDE-LBL</v>
          </cell>
          <cell r="C657" t="str">
            <v>FURNO MINI SAMPLE SIDE LABEL</v>
          </cell>
          <cell r="D657" t="str">
            <v>NOS</v>
          </cell>
          <cell r="E657" t="str">
            <v>CBERM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</row>
        <row r="658">
          <cell r="B658" t="str">
            <v>RML-VELCRO-BLACK</v>
          </cell>
          <cell r="C658" t="str">
            <v>VELCRO TAPE 1" - BLACK</v>
          </cell>
          <cell r="D658" t="str">
            <v>MTR</v>
          </cell>
          <cell r="E658" t="str">
            <v>CBERM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</row>
        <row r="659">
          <cell r="B659" t="str">
            <v>RML-VELCRO-WHITE</v>
          </cell>
          <cell r="C659" t="str">
            <v>VELCRO TAPE 1" - WHITE</v>
          </cell>
          <cell r="D659" t="str">
            <v>MTR</v>
          </cell>
          <cell r="E659" t="str">
            <v>CBERM</v>
          </cell>
          <cell r="F659">
            <v>0</v>
          </cell>
          <cell r="G659">
            <v>0</v>
          </cell>
          <cell r="H659">
            <v>100</v>
          </cell>
          <cell r="I659">
            <v>0</v>
          </cell>
        </row>
        <row r="660">
          <cell r="B660" t="str">
            <v>RML-VH-WCRD</v>
          </cell>
          <cell r="C660" t="str">
            <v>PEPS VIVAH WARRANTY CARD</v>
          </cell>
          <cell r="D660" t="str">
            <v>NOS</v>
          </cell>
          <cell r="E660" t="str">
            <v>CBERM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</row>
        <row r="661">
          <cell r="B661" t="str">
            <v>RML-VIR-HDPE-84X43</v>
          </cell>
          <cell r="C661" t="str">
            <v>HDPE VIRGIN BAGS. 84 X 43</v>
          </cell>
          <cell r="D661" t="str">
            <v>KGS</v>
          </cell>
          <cell r="E661" t="str">
            <v>CBERM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</row>
        <row r="662">
          <cell r="B662" t="str">
            <v>RML-VIR-HDPE-84X56</v>
          </cell>
          <cell r="C662" t="str">
            <v>HDPE VIRGIN BAGS. 84 X 56</v>
          </cell>
          <cell r="D662" t="str">
            <v>KGS</v>
          </cell>
          <cell r="E662" t="str">
            <v>CBERM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B663" t="str">
            <v>RML-VIR-HDPE-92X46</v>
          </cell>
          <cell r="C663" t="str">
            <v>HDPE VIRGIN BAGS. 92 X 46</v>
          </cell>
          <cell r="D663" t="str">
            <v>KGS</v>
          </cell>
          <cell r="E663" t="str">
            <v>CBERM</v>
          </cell>
          <cell r="F663">
            <v>0</v>
          </cell>
          <cell r="G663">
            <v>0</v>
          </cell>
          <cell r="H663">
            <v>500</v>
          </cell>
          <cell r="I663">
            <v>400</v>
          </cell>
        </row>
        <row r="664">
          <cell r="B664" t="str">
            <v>RML-VIR-HDPE-92X56</v>
          </cell>
          <cell r="C664" t="str">
            <v>HDPE VIRGIN BAGS. 92 X 56</v>
          </cell>
          <cell r="D664" t="str">
            <v>KGS</v>
          </cell>
          <cell r="E664" t="str">
            <v>CBERM</v>
          </cell>
          <cell r="F664">
            <v>400</v>
          </cell>
          <cell r="G664">
            <v>400</v>
          </cell>
          <cell r="H664">
            <v>500</v>
          </cell>
          <cell r="I664">
            <v>500</v>
          </cell>
        </row>
        <row r="665">
          <cell r="B665" t="str">
            <v>RML-VIR-HDPE-92X70</v>
          </cell>
          <cell r="C665" t="str">
            <v>HDPE VIRGIN BAGS. 92 X 70</v>
          </cell>
          <cell r="D665" t="str">
            <v>KGS</v>
          </cell>
          <cell r="E665" t="str">
            <v>CBERM</v>
          </cell>
          <cell r="F665">
            <v>500</v>
          </cell>
          <cell r="G665">
            <v>500</v>
          </cell>
          <cell r="H665">
            <v>600</v>
          </cell>
          <cell r="I665">
            <v>0</v>
          </cell>
        </row>
        <row r="666">
          <cell r="B666" t="str">
            <v>RM-HYP-BREATHER</v>
          </cell>
          <cell r="C666" t="str">
            <v>HYPNOS BREATHER</v>
          </cell>
          <cell r="D666" t="str">
            <v>SET</v>
          </cell>
          <cell r="E666" t="str">
            <v>CBERM</v>
          </cell>
          <cell r="F666">
            <v>0</v>
          </cell>
          <cell r="G666">
            <v>0</v>
          </cell>
          <cell r="H666">
            <v>5500</v>
          </cell>
          <cell r="I666">
            <v>0</v>
          </cell>
        </row>
        <row r="667">
          <cell r="B667" t="str">
            <v>RML-WARR-TERM-LBL</v>
          </cell>
          <cell r="C667" t="str">
            <v>WARRANTY TERM LABEL</v>
          </cell>
          <cell r="D667" t="str">
            <v>NOS</v>
          </cell>
          <cell r="E667" t="str">
            <v>CBERM</v>
          </cell>
          <cell r="F667">
            <v>0</v>
          </cell>
          <cell r="G667">
            <v>0</v>
          </cell>
          <cell r="H667">
            <v>1500</v>
          </cell>
          <cell r="I667">
            <v>8000</v>
          </cell>
        </row>
        <row r="668">
          <cell r="B668" t="str">
            <v>RML-WASHER-25X10MM</v>
          </cell>
          <cell r="C668" t="str">
            <v>WASHER 25MMX10MM</v>
          </cell>
          <cell r="D668" t="str">
            <v>NOS</v>
          </cell>
          <cell r="E668" t="str">
            <v>CBERM</v>
          </cell>
          <cell r="F668">
            <v>8000</v>
          </cell>
          <cell r="G668">
            <v>8000</v>
          </cell>
          <cell r="H668">
            <v>250</v>
          </cell>
          <cell r="I668">
            <v>500</v>
          </cell>
        </row>
        <row r="669">
          <cell r="B669" t="str">
            <v>RM-HYP-SDE-LBL</v>
          </cell>
          <cell r="C669" t="str">
            <v>Hypnos Side Label</v>
          </cell>
          <cell r="D669" t="str">
            <v>NOS</v>
          </cell>
          <cell r="E669" t="str">
            <v>CBERM</v>
          </cell>
          <cell r="F669">
            <v>500</v>
          </cell>
          <cell r="G669">
            <v>500</v>
          </cell>
          <cell r="H669">
            <v>2000</v>
          </cell>
          <cell r="I669">
            <v>0</v>
          </cell>
        </row>
        <row r="670">
          <cell r="B670" t="str">
            <v>RMI-ADE-SDE-LBL</v>
          </cell>
          <cell r="C670" t="str">
            <v>ARDENE SIDE LABEL</v>
          </cell>
          <cell r="D670" t="str">
            <v>NOS</v>
          </cell>
          <cell r="E670" t="str">
            <v>CBERM</v>
          </cell>
          <cell r="F670">
            <v>0</v>
          </cell>
          <cell r="G670">
            <v>0</v>
          </cell>
          <cell r="H670">
            <v>200</v>
          </cell>
          <cell r="I670">
            <v>0</v>
          </cell>
        </row>
        <row r="671">
          <cell r="B671" t="str">
            <v>RMI-BREATHER-GOLD</v>
          </cell>
          <cell r="C671" t="str">
            <v>BREATHER SET GOLD ROUND</v>
          </cell>
          <cell r="D671" t="str">
            <v>SET</v>
          </cell>
          <cell r="E671" t="str">
            <v>CBERM</v>
          </cell>
          <cell r="F671">
            <v>0</v>
          </cell>
          <cell r="G671">
            <v>0</v>
          </cell>
          <cell r="H671">
            <v>70000</v>
          </cell>
          <cell r="I671">
            <v>0</v>
          </cell>
        </row>
        <row r="672">
          <cell r="B672" t="str">
            <v>RMI-BREATHER-HE</v>
          </cell>
          <cell r="C672" t="str">
            <v>HE MATTRESSES(VH-DD-CRY-GP-ZEN) BREATHER SET</v>
          </cell>
          <cell r="D672" t="str">
            <v>SET</v>
          </cell>
          <cell r="E672" t="str">
            <v>CBERM</v>
          </cell>
          <cell r="F672">
            <v>0</v>
          </cell>
          <cell r="G672">
            <v>0</v>
          </cell>
          <cell r="H672">
            <v>5000</v>
          </cell>
          <cell r="I672">
            <v>10000</v>
          </cell>
        </row>
        <row r="673">
          <cell r="B673" t="str">
            <v>RMI-BREATHER-ORG</v>
          </cell>
          <cell r="C673" t="str">
            <v>ORGANICA BREATHER SET</v>
          </cell>
          <cell r="D673" t="str">
            <v>SET</v>
          </cell>
          <cell r="E673" t="str">
            <v>CBERM</v>
          </cell>
          <cell r="F673">
            <v>10000</v>
          </cell>
          <cell r="G673">
            <v>10000</v>
          </cell>
          <cell r="H673">
            <v>3000</v>
          </cell>
          <cell r="I673">
            <v>0</v>
          </cell>
        </row>
        <row r="674">
          <cell r="B674" t="str">
            <v>RMI-BREATHER-SPG</v>
          </cell>
          <cell r="C674" t="str">
            <v>SPINE GUARD BREATHER SET ROUND</v>
          </cell>
          <cell r="D674" t="str">
            <v>SET</v>
          </cell>
          <cell r="E674" t="str">
            <v>CBERM</v>
          </cell>
          <cell r="F674">
            <v>0</v>
          </cell>
          <cell r="G674">
            <v>0</v>
          </cell>
          <cell r="H674">
            <v>5000</v>
          </cell>
          <cell r="I674">
            <v>10000</v>
          </cell>
        </row>
        <row r="675">
          <cell r="B675" t="str">
            <v>RML-WHT-NET</v>
          </cell>
          <cell r="C675" t="str">
            <v>WHITE COLOUR PLASTIC NET 350GSM/SQMTR</v>
          </cell>
          <cell r="D675" t="str">
            <v>SQM</v>
          </cell>
          <cell r="E675" t="str">
            <v>CBERM</v>
          </cell>
          <cell r="F675">
            <v>10000</v>
          </cell>
          <cell r="G675">
            <v>10000</v>
          </cell>
          <cell r="H675">
            <v>800</v>
          </cell>
          <cell r="I675">
            <v>0</v>
          </cell>
        </row>
        <row r="676">
          <cell r="B676" t="str">
            <v>RMI-CSL-SDE-LBL</v>
          </cell>
          <cell r="C676" t="str">
            <v>CAROUSEL SIDE LABEL (IMPORT)</v>
          </cell>
          <cell r="D676" t="str">
            <v>NOS</v>
          </cell>
          <cell r="E676" t="str">
            <v>CBERM</v>
          </cell>
          <cell r="F676">
            <v>0</v>
          </cell>
          <cell r="G676">
            <v>0</v>
          </cell>
          <cell r="H676">
            <v>500</v>
          </cell>
          <cell r="I676">
            <v>0</v>
          </cell>
        </row>
        <row r="677">
          <cell r="B677" t="str">
            <v>RMI-CTNF-75X39</v>
          </cell>
          <cell r="C677" t="str">
            <v>COTTON FELT 190CM X 99CM X 6MM (75"x39")</v>
          </cell>
          <cell r="D677" t="str">
            <v>KGS</v>
          </cell>
          <cell r="E677" t="str">
            <v>CBERM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</row>
        <row r="678">
          <cell r="B678" t="str">
            <v>RMI-CTNF-75X51</v>
          </cell>
          <cell r="C678" t="str">
            <v>COTTON FELT 190CM X 129CM X 6MM ( 75" x 51" )</v>
          </cell>
          <cell r="D678" t="str">
            <v>KGS</v>
          </cell>
          <cell r="E678" t="str">
            <v>CBERM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</row>
        <row r="679">
          <cell r="B679" t="str">
            <v>RMI-DD-SDE-LBL</v>
          </cell>
          <cell r="C679" t="str">
            <v>DOUBLE DECKER MINI SAMPLE SIDE LABEL</v>
          </cell>
          <cell r="D679" t="str">
            <v>NOS</v>
          </cell>
          <cell r="E679" t="str">
            <v>CBERM</v>
          </cell>
          <cell r="F679">
            <v>0</v>
          </cell>
          <cell r="G679">
            <v>0</v>
          </cell>
          <cell r="H679">
            <v>25</v>
          </cell>
          <cell r="I679">
            <v>0</v>
          </cell>
        </row>
        <row r="680">
          <cell r="B680" t="str">
            <v>RML-WSCR-LBL-CAR-NK-PLW</v>
          </cell>
          <cell r="C680" t="str">
            <v>PEPS CAR NECK MOULDED PILLOW WASH CARE LABLE</v>
          </cell>
          <cell r="D680" t="str">
            <v>NOS</v>
          </cell>
          <cell r="E680" t="str">
            <v>CBERM</v>
          </cell>
          <cell r="F680">
            <v>0</v>
          </cell>
          <cell r="G680">
            <v>0</v>
          </cell>
          <cell r="H680">
            <v>1000</v>
          </cell>
          <cell r="I680">
            <v>0</v>
          </cell>
        </row>
        <row r="681">
          <cell r="B681" t="str">
            <v>RMI-FTN-SDE-LBL</v>
          </cell>
          <cell r="C681" t="str">
            <v>FONTAINE SIDE LABEL</v>
          </cell>
          <cell r="D681" t="str">
            <v>NOS</v>
          </cell>
          <cell r="E681" t="str">
            <v>CBERM</v>
          </cell>
          <cell r="F681">
            <v>0</v>
          </cell>
          <cell r="G681">
            <v>0</v>
          </cell>
          <cell r="H681">
            <v>250</v>
          </cell>
          <cell r="I681">
            <v>0</v>
          </cell>
        </row>
        <row r="682">
          <cell r="B682" t="str">
            <v>RMI-GNA-SDE-LBL</v>
          </cell>
          <cell r="C682" t="str">
            <v>GENEVA SIDE LABEL (IMPORT)</v>
          </cell>
          <cell r="D682" t="str">
            <v>NOS</v>
          </cell>
          <cell r="E682" t="str">
            <v>CBERM</v>
          </cell>
          <cell r="F682">
            <v>0</v>
          </cell>
          <cell r="G682">
            <v>0</v>
          </cell>
          <cell r="H682">
            <v>250</v>
          </cell>
          <cell r="I682">
            <v>0</v>
          </cell>
        </row>
        <row r="683">
          <cell r="B683" t="str">
            <v>RMI-GP-OPTION3-LBL</v>
          </cell>
          <cell r="C683" t="str">
            <v>GRAND PALASIS SIDE LABLE NEW</v>
          </cell>
          <cell r="D683" t="str">
            <v>NOS</v>
          </cell>
          <cell r="E683" t="str">
            <v>CBERM</v>
          </cell>
          <cell r="F683">
            <v>0</v>
          </cell>
          <cell r="G683">
            <v>0</v>
          </cell>
          <cell r="H683">
            <v>500</v>
          </cell>
          <cell r="I683">
            <v>0</v>
          </cell>
        </row>
        <row r="684">
          <cell r="B684" t="str">
            <v>RMI-GPS-SDE-LBL</v>
          </cell>
          <cell r="C684" t="str">
            <v>GRANDPALAIS MINI SAMPLE SIDE LABEL</v>
          </cell>
          <cell r="D684" t="str">
            <v>NOS</v>
          </cell>
          <cell r="E684" t="str">
            <v>CBERM</v>
          </cell>
          <cell r="F684">
            <v>0</v>
          </cell>
          <cell r="G684">
            <v>0</v>
          </cell>
          <cell r="H684">
            <v>25</v>
          </cell>
          <cell r="I684">
            <v>50</v>
          </cell>
        </row>
        <row r="685">
          <cell r="B685" t="str">
            <v>RML-WSCR-LBL-MT</v>
          </cell>
          <cell r="C685" t="str">
            <v>MATTRESS TOPPER WASH CARE LABLE</v>
          </cell>
          <cell r="D685" t="str">
            <v>NOS</v>
          </cell>
          <cell r="E685" t="str">
            <v>CBERM</v>
          </cell>
          <cell r="F685">
            <v>50</v>
          </cell>
          <cell r="G685">
            <v>50</v>
          </cell>
          <cell r="H685">
            <v>800</v>
          </cell>
          <cell r="I685">
            <v>0</v>
          </cell>
        </row>
        <row r="686">
          <cell r="B686" t="str">
            <v>RMI-HCC-SDE-LBL</v>
          </cell>
          <cell r="C686" t="str">
            <v>HOTEL COMFORT CARE SIDE LABEL (IMPORT)</v>
          </cell>
          <cell r="D686" t="str">
            <v>NOS</v>
          </cell>
          <cell r="E686" t="str">
            <v>CBERM</v>
          </cell>
          <cell r="F686">
            <v>0</v>
          </cell>
          <cell r="G686">
            <v>0</v>
          </cell>
          <cell r="H686">
            <v>2000</v>
          </cell>
          <cell r="I686">
            <v>0</v>
          </cell>
        </row>
        <row r="687">
          <cell r="B687" t="str">
            <v>RMI-HCTNF-77X38.</v>
          </cell>
          <cell r="C687" t="str">
            <v>COTTON FELT 196CM X 97CM X 6MM ( 77" x 38" )</v>
          </cell>
          <cell r="D687" t="str">
            <v>KGS</v>
          </cell>
          <cell r="E687" t="str">
            <v>CBERM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</row>
        <row r="688">
          <cell r="B688" t="str">
            <v>RML-WSCR-LBL-TF</v>
          </cell>
          <cell r="C688" t="str">
            <v>TUFTED PILLOW WASH CARE LABLE</v>
          </cell>
          <cell r="D688" t="str">
            <v>NOS</v>
          </cell>
          <cell r="E688" t="str">
            <v>CBERM</v>
          </cell>
          <cell r="F688">
            <v>0</v>
          </cell>
          <cell r="G688">
            <v>0</v>
          </cell>
          <cell r="H688">
            <v>1500</v>
          </cell>
          <cell r="I688">
            <v>0</v>
          </cell>
        </row>
        <row r="689">
          <cell r="B689" t="str">
            <v>RML-WSCR-LBL-TVL-NK-PLW</v>
          </cell>
          <cell r="C689" t="str">
            <v>PEPS TRAVEL NECK MOULDED PILLOW WASH CARE LABLE</v>
          </cell>
          <cell r="D689" t="str">
            <v>NOS</v>
          </cell>
          <cell r="E689" t="str">
            <v>CBERM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</row>
        <row r="690">
          <cell r="B690" t="str">
            <v>RML-CLAR-BED-SHT-100X108</v>
          </cell>
          <cell r="C690" t="str">
            <v>CLARABELLA BED SHEET - DOUBLE 100X108 ( 1 + 2 )</v>
          </cell>
          <cell r="D690" t="str">
            <v>NOS</v>
          </cell>
          <cell r="E690" t="str">
            <v>CBERM</v>
          </cell>
          <cell r="F690">
            <v>0</v>
          </cell>
          <cell r="G690">
            <v>0</v>
          </cell>
          <cell r="H690">
            <v>150</v>
          </cell>
          <cell r="I690">
            <v>0</v>
          </cell>
        </row>
        <row r="691">
          <cell r="B691" t="str">
            <v>RML-CLAR-BED-SHT-70X108</v>
          </cell>
          <cell r="C691" t="str">
            <v>CLARABELLA BED SHEET - SINGLE 70X108 ( 1 + 2 )</v>
          </cell>
          <cell r="D691" t="str">
            <v>NOS</v>
          </cell>
          <cell r="E691" t="str">
            <v>CBERM</v>
          </cell>
          <cell r="F691">
            <v>0</v>
          </cell>
          <cell r="G691">
            <v>0</v>
          </cell>
          <cell r="H691">
            <v>100</v>
          </cell>
          <cell r="I691">
            <v>0</v>
          </cell>
        </row>
        <row r="692">
          <cell r="B692" t="str">
            <v>RML-COM-BAG-DOUBLE</v>
          </cell>
          <cell r="C692" t="str">
            <v>COMFORTER PVC BLUE BAG DOUBLE 18.5WX12G</v>
          </cell>
          <cell r="D692" t="str">
            <v>NOS</v>
          </cell>
          <cell r="E692" t="str">
            <v>CBERM</v>
          </cell>
          <cell r="F692">
            <v>0</v>
          </cell>
          <cell r="G692">
            <v>0</v>
          </cell>
          <cell r="H692">
            <v>150</v>
          </cell>
          <cell r="I692">
            <v>0</v>
          </cell>
        </row>
        <row r="693">
          <cell r="B693" t="str">
            <v>RML-COM-INS-SINGLE</v>
          </cell>
          <cell r="C693" t="str">
            <v>PEPS COMFORTER INSERTER SINGLE L25XW6</v>
          </cell>
          <cell r="D693" t="str">
            <v>NOS</v>
          </cell>
          <cell r="E693" t="str">
            <v>CBERM</v>
          </cell>
          <cell r="F693">
            <v>0</v>
          </cell>
          <cell r="G693">
            <v>0</v>
          </cell>
          <cell r="H693">
            <v>100</v>
          </cell>
          <cell r="I693">
            <v>0</v>
          </cell>
        </row>
        <row r="694">
          <cell r="B694" t="str">
            <v>RML-YEL-MASK</v>
          </cell>
          <cell r="C694" t="str">
            <v>YELLOW MASK</v>
          </cell>
          <cell r="D694" t="str">
            <v>NOS</v>
          </cell>
          <cell r="E694" t="str">
            <v>CBERM</v>
          </cell>
          <cell r="F694">
            <v>0</v>
          </cell>
          <cell r="G694">
            <v>0</v>
          </cell>
          <cell r="H694">
            <v>200</v>
          </cell>
          <cell r="I694">
            <v>600</v>
          </cell>
        </row>
        <row r="695">
          <cell r="B695" t="str">
            <v>RML-CORAL-BLNK-160X240CM</v>
          </cell>
          <cell r="C695" t="str">
            <v>CORAL BLANKET 160X240CM (1.2KG/PCS)</v>
          </cell>
          <cell r="D695" t="str">
            <v>NOS</v>
          </cell>
          <cell r="E695" t="str">
            <v>CBERM</v>
          </cell>
          <cell r="F695">
            <v>600</v>
          </cell>
          <cell r="G695">
            <v>600</v>
          </cell>
          <cell r="H695">
            <v>0</v>
          </cell>
          <cell r="I695">
            <v>0</v>
          </cell>
        </row>
        <row r="696">
          <cell r="B696" t="str">
            <v>RML-ZERO-DIS</v>
          </cell>
          <cell r="C696" t="str">
            <v>ZERO DISTURBANCE STICKER</v>
          </cell>
          <cell r="D696" t="str">
            <v>NOS</v>
          </cell>
          <cell r="E696" t="str">
            <v>CBERM</v>
          </cell>
          <cell r="F696">
            <v>0</v>
          </cell>
          <cell r="G696">
            <v>0</v>
          </cell>
          <cell r="H696">
            <v>1500</v>
          </cell>
          <cell r="I696">
            <v>0</v>
          </cell>
        </row>
        <row r="697">
          <cell r="B697" t="str">
            <v>RM-MINI-SAMPLE-HYP-MRP-LBL</v>
          </cell>
          <cell r="C697" t="str">
            <v>HYPNOS MATTRESS MINI SAMPLE MRP LABEL</v>
          </cell>
          <cell r="D697" t="str">
            <v>NOS</v>
          </cell>
          <cell r="E697" t="str">
            <v>CBERM</v>
          </cell>
          <cell r="F697">
            <v>0</v>
          </cell>
          <cell r="G697">
            <v>0</v>
          </cell>
          <cell r="H697">
            <v>2200</v>
          </cell>
          <cell r="I697">
            <v>0</v>
          </cell>
        </row>
        <row r="698">
          <cell r="B698" t="str">
            <v>RM-MINI-SAMPLE-MRP-LBL</v>
          </cell>
          <cell r="C698" t="str">
            <v>PEPS MATTRESS MINI SAMPLE MRP LABEL</v>
          </cell>
          <cell r="D698" t="str">
            <v>NOS</v>
          </cell>
          <cell r="E698" t="str">
            <v>CBERM</v>
          </cell>
          <cell r="F698">
            <v>0</v>
          </cell>
          <cell r="G698">
            <v>0</v>
          </cell>
          <cell r="H698">
            <v>2200</v>
          </cell>
          <cell r="I698">
            <v>0</v>
          </cell>
        </row>
        <row r="699">
          <cell r="B699" t="str">
            <v>RM-NWN-70GSMX6INCH</v>
          </cell>
          <cell r="C699" t="str">
            <v>NON WOVEN FABRIC 70 GSM x 6 INCH - WHITE</v>
          </cell>
          <cell r="D699" t="str">
            <v>KGS</v>
          </cell>
          <cell r="E699" t="str">
            <v>CBERM</v>
          </cell>
          <cell r="F699">
            <v>0</v>
          </cell>
          <cell r="G699">
            <v>0</v>
          </cell>
          <cell r="H699">
            <v>1000</v>
          </cell>
          <cell r="I699">
            <v>1000</v>
          </cell>
        </row>
        <row r="700">
          <cell r="B700" t="str">
            <v>RM-NWN-90GSMX8.5CM</v>
          </cell>
          <cell r="C700" t="str">
            <v>NON WOVEN FABRIC 90 GSM x 8.5 CM - WHITE</v>
          </cell>
          <cell r="D700" t="str">
            <v>KGS</v>
          </cell>
          <cell r="E700" t="str">
            <v>CBERM</v>
          </cell>
          <cell r="F700">
            <v>1000</v>
          </cell>
          <cell r="G700">
            <v>1000</v>
          </cell>
          <cell r="H700">
            <v>150</v>
          </cell>
          <cell r="I700">
            <v>0</v>
          </cell>
        </row>
        <row r="701">
          <cell r="B701" t="str">
            <v>RM-NWN-BS-11.50"X30GSM</v>
          </cell>
          <cell r="C701" t="str">
            <v>NON WOVEN FABRIC 30 GSM x 11.5 INCH - WHITE</v>
          </cell>
          <cell r="D701" t="str">
            <v>KGS</v>
          </cell>
          <cell r="E701" t="str">
            <v>CBERM</v>
          </cell>
          <cell r="F701">
            <v>0</v>
          </cell>
          <cell r="G701">
            <v>0</v>
          </cell>
          <cell r="H701">
            <v>200</v>
          </cell>
          <cell r="I701">
            <v>450</v>
          </cell>
        </row>
        <row r="702">
          <cell r="B702" t="str">
            <v>STY-DISPO-CAP</v>
          </cell>
          <cell r="C702" t="str">
            <v>DISPOSABLE CAP ( SURGICAL)</v>
          </cell>
          <cell r="D702" t="str">
            <v>NOS</v>
          </cell>
          <cell r="E702" t="str">
            <v>CBERM</v>
          </cell>
          <cell r="F702">
            <v>450</v>
          </cell>
          <cell r="G702">
            <v>450</v>
          </cell>
          <cell r="H702">
            <v>50</v>
          </cell>
          <cell r="I702">
            <v>0</v>
          </cell>
        </row>
        <row r="703">
          <cell r="B703" t="str">
            <v>STY-GLASS-CLEAN</v>
          </cell>
          <cell r="C703" t="str">
            <v>GLASS CLEANER</v>
          </cell>
          <cell r="D703" t="str">
            <v>NOS</v>
          </cell>
          <cell r="E703" t="str">
            <v>CBERM</v>
          </cell>
          <cell r="F703">
            <v>0</v>
          </cell>
          <cell r="G703">
            <v>0</v>
          </cell>
          <cell r="H703">
            <v>5</v>
          </cell>
          <cell r="I703">
            <v>0</v>
          </cell>
        </row>
        <row r="704">
          <cell r="B704" t="str">
            <v>STY-REG-BOK</v>
          </cell>
          <cell r="C704" t="str">
            <v>REGISTER BOOK (COMMON)</v>
          </cell>
          <cell r="D704" t="str">
            <v>NOS</v>
          </cell>
          <cell r="E704" t="str">
            <v>CBERM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</row>
        <row r="705">
          <cell r="B705" t="str">
            <v>STY-SALES-INV-KOL</v>
          </cell>
          <cell r="C705" t="str">
            <v>KOLKATA SALES INVOICE - A4 (2500. NOS/BOX)</v>
          </cell>
          <cell r="D705" t="str">
            <v>BOX</v>
          </cell>
          <cell r="E705" t="str">
            <v>CBERM</v>
          </cell>
          <cell r="F705">
            <v>0</v>
          </cell>
          <cell r="G705">
            <v>0</v>
          </cell>
          <cell r="H705">
            <v>2</v>
          </cell>
          <cell r="I705">
            <v>0</v>
          </cell>
        </row>
        <row r="706">
          <cell r="B706" t="str">
            <v>STY-SALES-INV-PUNE</v>
          </cell>
          <cell r="C706" t="str">
            <v>PUNE SALES INVOICE - A4 (2500. NOS/BOX)</v>
          </cell>
          <cell r="D706" t="str">
            <v>BOX</v>
          </cell>
          <cell r="E706" t="str">
            <v>CBERM</v>
          </cell>
          <cell r="F706">
            <v>0</v>
          </cell>
          <cell r="G706">
            <v>0</v>
          </cell>
          <cell r="H706">
            <v>2</v>
          </cell>
          <cell r="I706">
            <v>0</v>
          </cell>
        </row>
        <row r="707">
          <cell r="B707" t="str">
            <v>RM-CAMEO-WCRD</v>
          </cell>
          <cell r="C707" t="str">
            <v>PEPS CAMEO WARRANTY CARD</v>
          </cell>
          <cell r="D707" t="str">
            <v>NOS</v>
          </cell>
          <cell r="E707" t="str">
            <v>CBERM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</row>
        <row r="708">
          <cell r="B708" t="str">
            <v>RM-CARE-STK</v>
          </cell>
          <cell r="C708" t="str">
            <v>HANDLE WITH CARE STICKER</v>
          </cell>
          <cell r="D708" t="str">
            <v>NOS</v>
          </cell>
          <cell r="E708" t="str">
            <v>CBERM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</row>
        <row r="709">
          <cell r="B709" t="str">
            <v>RM-CASPIA-WCRD</v>
          </cell>
          <cell r="C709" t="str">
            <v>PEPS CASPIA WARRANTY CARD</v>
          </cell>
          <cell r="D709" t="str">
            <v>NOS</v>
          </cell>
          <cell r="E709" t="str">
            <v>CBERM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</row>
        <row r="710">
          <cell r="B710" t="str">
            <v>RM-CB-RTC-PLUSH</v>
          </cell>
          <cell r="C710" t="str">
            <v>PEPS RESTONIC PLUSH CENTER BAND</v>
          </cell>
          <cell r="D710" t="str">
            <v>KGS</v>
          </cell>
          <cell r="E710" t="str">
            <v>CBERM</v>
          </cell>
          <cell r="F710">
            <v>0</v>
          </cell>
          <cell r="G710">
            <v>0</v>
          </cell>
          <cell r="H710">
            <v>150</v>
          </cell>
          <cell r="I710">
            <v>0</v>
          </cell>
        </row>
        <row r="711">
          <cell r="B711" t="str">
            <v>RM-CB-SPG-FOAM</v>
          </cell>
          <cell r="C711" t="str">
            <v>PEPS SPINE GUARD FOAM CENTER BAND</v>
          </cell>
          <cell r="D711" t="str">
            <v>KGS</v>
          </cell>
          <cell r="E711" t="str">
            <v>CBERM</v>
          </cell>
          <cell r="F711">
            <v>0</v>
          </cell>
          <cell r="G711">
            <v>0</v>
          </cell>
          <cell r="H711">
            <v>100</v>
          </cell>
          <cell r="I711">
            <v>0</v>
          </cell>
        </row>
        <row r="712">
          <cell r="B712" t="str">
            <v>RML-CB-DRM-BRNZ</v>
          </cell>
          <cell r="C712" t="str">
            <v>PEPS DREAM MAKERS CENTRE BAND-BRONZE</v>
          </cell>
          <cell r="D712" t="str">
            <v>KGS</v>
          </cell>
          <cell r="E712" t="str">
            <v>CBERM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</row>
        <row r="713">
          <cell r="B713" t="str">
            <v>RMD-PLYWOOD7X4X18</v>
          </cell>
          <cell r="C713" t="str">
            <v>PLY WOOD 7X4X18MM</v>
          </cell>
          <cell r="D713" t="str">
            <v>NOS</v>
          </cell>
          <cell r="E713" t="str">
            <v>CBERM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</row>
        <row r="714">
          <cell r="B714" t="str">
            <v>RM-GRIP-SDE-LBL</v>
          </cell>
          <cell r="C714" t="str">
            <v>PEPS GRIPSTER SIDE LABEL</v>
          </cell>
          <cell r="D714" t="str">
            <v>NOS</v>
          </cell>
          <cell r="E714" t="str">
            <v>CBERM</v>
          </cell>
          <cell r="F714">
            <v>0</v>
          </cell>
          <cell r="G714">
            <v>0</v>
          </cell>
          <cell r="H714">
            <v>150</v>
          </cell>
          <cell r="I714">
            <v>0</v>
          </cell>
        </row>
        <row r="715">
          <cell r="B715" t="str">
            <v>RM-HB-TUF-BUTTON</v>
          </cell>
          <cell r="C715" t="str">
            <v>HEAD BOARD TUFTING BUTTON  MALE/FEMALE</v>
          </cell>
          <cell r="D715" t="str">
            <v>SET</v>
          </cell>
          <cell r="E715" t="str">
            <v>CBERM</v>
          </cell>
          <cell r="F715">
            <v>0</v>
          </cell>
          <cell r="G715">
            <v>0</v>
          </cell>
          <cell r="H715">
            <v>6000</v>
          </cell>
          <cell r="I715">
            <v>0</v>
          </cell>
        </row>
        <row r="716">
          <cell r="B716" t="str">
            <v>RM-HYP-ALU-MAT-MRP-LBL</v>
          </cell>
          <cell r="C716" t="str">
            <v>Hypnos Allure Mattresses Plain MRP Label</v>
          </cell>
          <cell r="D716" t="str">
            <v>NOS</v>
          </cell>
          <cell r="E716" t="str">
            <v>CBERM</v>
          </cell>
          <cell r="F716">
            <v>0</v>
          </cell>
          <cell r="G716">
            <v>0</v>
          </cell>
          <cell r="H716">
            <v>2500</v>
          </cell>
          <cell r="I716">
            <v>0</v>
          </cell>
        </row>
        <row r="717">
          <cell r="B717" t="str">
            <v>RM-HYP-ALU-MF-WCRD</v>
          </cell>
          <cell r="C717" t="str">
            <v>HYPNOS ALLURE-MF WARRANTY CARD</v>
          </cell>
          <cell r="D717" t="str">
            <v>NOS</v>
          </cell>
          <cell r="E717" t="str">
            <v>CBERM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</row>
        <row r="718">
          <cell r="B718" t="str">
            <v>RM-HYP-ALU-WCRD</v>
          </cell>
          <cell r="C718" t="str">
            <v>Hypnos Allure Warranty Card</v>
          </cell>
          <cell r="D718" t="str">
            <v>NOS</v>
          </cell>
          <cell r="E718" t="str">
            <v>CBERM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</row>
        <row r="719">
          <cell r="B719" t="str">
            <v>RM-HYP-CAS-MAT-MRP-LBL</v>
          </cell>
          <cell r="C719" t="str">
            <v>Hypnos Caspio Mattresses Plain MRP Label</v>
          </cell>
          <cell r="D719" t="str">
            <v>NOS</v>
          </cell>
          <cell r="E719" t="str">
            <v>CBERM</v>
          </cell>
          <cell r="F719">
            <v>0</v>
          </cell>
          <cell r="G719">
            <v>0</v>
          </cell>
          <cell r="H719">
            <v>2000</v>
          </cell>
          <cell r="I719">
            <v>0</v>
          </cell>
        </row>
        <row r="720">
          <cell r="B720" t="str">
            <v>RM-HYP-CAS-WCRD</v>
          </cell>
          <cell r="C720" t="str">
            <v>Hypnos Caspio Warranty Card</v>
          </cell>
          <cell r="D720" t="str">
            <v>NOS</v>
          </cell>
          <cell r="E720" t="str">
            <v>CBERM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</row>
        <row r="721">
          <cell r="B721" t="str">
            <v>RMI-BUTTON</v>
          </cell>
          <cell r="C721" t="str">
            <v>TUFTING BUTTON- 34.6MMX5MM</v>
          </cell>
          <cell r="D721" t="str">
            <v>NOS</v>
          </cell>
          <cell r="E721" t="str">
            <v>CBERM</v>
          </cell>
          <cell r="F721">
            <v>0</v>
          </cell>
          <cell r="G721">
            <v>0</v>
          </cell>
          <cell r="H721">
            <v>3500</v>
          </cell>
          <cell r="I721">
            <v>6000</v>
          </cell>
        </row>
        <row r="722">
          <cell r="B722" t="str">
            <v>RMI-EDTAPE-A1217-W:42MM</v>
          </cell>
          <cell r="C722" t="str">
            <v>GRAND PALAIS EDGE TAPE WHITE</v>
          </cell>
          <cell r="D722" t="str">
            <v>MTR</v>
          </cell>
          <cell r="E722" t="str">
            <v>CBERM</v>
          </cell>
          <cell r="F722">
            <v>6000</v>
          </cell>
          <cell r="G722">
            <v>6000</v>
          </cell>
          <cell r="H722">
            <v>1500</v>
          </cell>
          <cell r="I722">
            <v>6400</v>
          </cell>
        </row>
        <row r="723">
          <cell r="B723" t="str">
            <v>RMI-HB-COR-PR-BR</v>
          </cell>
          <cell r="C723" t="str">
            <v>HEADBOARD METAL CORNER GUARD - GOLD PLAIN</v>
          </cell>
          <cell r="D723" t="str">
            <v>NOS</v>
          </cell>
          <cell r="E723" t="str">
            <v>CBERM</v>
          </cell>
          <cell r="F723">
            <v>6400</v>
          </cell>
          <cell r="G723">
            <v>6400</v>
          </cell>
          <cell r="H723">
            <v>600</v>
          </cell>
          <cell r="I723">
            <v>0</v>
          </cell>
        </row>
        <row r="724">
          <cell r="B724" t="str">
            <v>RMI-HB-COR-PR-GD</v>
          </cell>
          <cell r="C724" t="str">
            <v>HEADBOARD METAL CORNER GUARD – SILVER PLAIN</v>
          </cell>
          <cell r="D724" t="str">
            <v>NOS</v>
          </cell>
          <cell r="E724" t="str">
            <v>CBERM</v>
          </cell>
          <cell r="F724">
            <v>0</v>
          </cell>
          <cell r="G724">
            <v>0</v>
          </cell>
          <cell r="H724">
            <v>150</v>
          </cell>
          <cell r="I724">
            <v>0</v>
          </cell>
        </row>
        <row r="725">
          <cell r="B725" t="str">
            <v>RML-CL12B</v>
          </cell>
          <cell r="C725" t="str">
            <v>CLIPS CL-12B (13025 PCS/BOX)</v>
          </cell>
          <cell r="D725" t="str">
            <v>BOX</v>
          </cell>
          <cell r="E725" t="str">
            <v>CBERM</v>
          </cell>
          <cell r="F725">
            <v>0</v>
          </cell>
          <cell r="G725">
            <v>0</v>
          </cell>
          <cell r="H725">
            <v>150</v>
          </cell>
          <cell r="I725">
            <v>0</v>
          </cell>
        </row>
        <row r="726">
          <cell r="B726" t="str">
            <v>RML-CL85</v>
          </cell>
          <cell r="C726" t="str">
            <v>CLIPS CL-85 (8000 PCS/BOX)</v>
          </cell>
          <cell r="D726" t="str">
            <v>BOX</v>
          </cell>
          <cell r="E726" t="str">
            <v>CBERM</v>
          </cell>
          <cell r="F726">
            <v>0</v>
          </cell>
          <cell r="G726">
            <v>0</v>
          </cell>
          <cell r="H726">
            <v>250</v>
          </cell>
          <cell r="I726">
            <v>0</v>
          </cell>
        </row>
        <row r="727">
          <cell r="B727" t="str">
            <v>RML-CORNERPAD8X48"</v>
          </cell>
          <cell r="C727" t="str">
            <v>8 X 48"-7 PLY CORNER PAD</v>
          </cell>
          <cell r="D727" t="str">
            <v>NOS</v>
          </cell>
          <cell r="E727" t="str">
            <v>CBERM</v>
          </cell>
          <cell r="F727">
            <v>0</v>
          </cell>
          <cell r="G727">
            <v>0</v>
          </cell>
          <cell r="H727">
            <v>500</v>
          </cell>
          <cell r="I727">
            <v>500</v>
          </cell>
        </row>
        <row r="728">
          <cell r="B728" t="str">
            <v>RML-CS-DD-16"</v>
          </cell>
          <cell r="C728" t="str">
            <v>CORNER SHOES. DOUBLE DECKER - 16"</v>
          </cell>
          <cell r="D728" t="str">
            <v>NOS</v>
          </cell>
          <cell r="E728" t="str">
            <v>CBERM</v>
          </cell>
          <cell r="F728">
            <v>500</v>
          </cell>
          <cell r="G728">
            <v>500</v>
          </cell>
          <cell r="H728">
            <v>50</v>
          </cell>
          <cell r="I728">
            <v>50</v>
          </cell>
        </row>
        <row r="729">
          <cell r="B729" t="str">
            <v>RML-CS-DIVAN-5.25</v>
          </cell>
          <cell r="C729" t="str">
            <v>DIVAN MATTRESS CORNER SHOE 5.25"</v>
          </cell>
          <cell r="D729" t="str">
            <v>NOS</v>
          </cell>
          <cell r="E729" t="str">
            <v>CBERM</v>
          </cell>
          <cell r="F729">
            <v>50</v>
          </cell>
          <cell r="G729">
            <v>50</v>
          </cell>
          <cell r="H729">
            <v>75</v>
          </cell>
          <cell r="I729">
            <v>0</v>
          </cell>
        </row>
        <row r="730">
          <cell r="B730" t="str">
            <v>RML-CS-DRM-SILV-10.5</v>
          </cell>
          <cell r="C730" t="str">
            <v>PEPS DREAM MAKERS CORNER SHOES-SILVER - 10.5"</v>
          </cell>
          <cell r="D730" t="str">
            <v>NOS</v>
          </cell>
          <cell r="E730" t="str">
            <v>CBERM</v>
          </cell>
          <cell r="F730">
            <v>0</v>
          </cell>
          <cell r="G730">
            <v>0</v>
          </cell>
          <cell r="H730">
            <v>800</v>
          </cell>
          <cell r="I730">
            <v>0</v>
          </cell>
        </row>
        <row r="731">
          <cell r="B731" t="str">
            <v>RML-CS-DRM-SILV-7</v>
          </cell>
          <cell r="C731" t="str">
            <v>PEPS DREAM MAKERS CORNER SHOES-SILVER - 7"</v>
          </cell>
          <cell r="D731" t="str">
            <v>NOS</v>
          </cell>
          <cell r="E731" t="str">
            <v>CBERM</v>
          </cell>
          <cell r="F731">
            <v>6000</v>
          </cell>
          <cell r="G731">
            <v>6000</v>
          </cell>
          <cell r="H731">
            <v>15000</v>
          </cell>
          <cell r="I731">
            <v>35000</v>
          </cell>
        </row>
        <row r="732">
          <cell r="B732" t="str">
            <v>RML-CS-DRM-SILV-7.5</v>
          </cell>
          <cell r="C732" t="str">
            <v>PEPS DREAM MAKERS CORNER SHOES-SILVER - 7.5"</v>
          </cell>
          <cell r="D732" t="str">
            <v>NOS</v>
          </cell>
          <cell r="E732" t="str">
            <v>CBERM</v>
          </cell>
          <cell r="F732">
            <v>35000</v>
          </cell>
          <cell r="G732">
            <v>35000</v>
          </cell>
          <cell r="H732">
            <v>500</v>
          </cell>
          <cell r="I732">
            <v>0</v>
          </cell>
        </row>
        <row r="733">
          <cell r="B733" t="str">
            <v>RML-CS-GPS-11.5"</v>
          </cell>
          <cell r="C733" t="str">
            <v>CORNER SHOES.  GRANDPLAIS - 11.5"</v>
          </cell>
          <cell r="D733" t="str">
            <v>NOS</v>
          </cell>
          <cell r="E733" t="str">
            <v>CBERM</v>
          </cell>
          <cell r="F733">
            <v>0</v>
          </cell>
          <cell r="G733">
            <v>0</v>
          </cell>
          <cell r="H733">
            <v>75</v>
          </cell>
          <cell r="I733">
            <v>0</v>
          </cell>
        </row>
        <row r="734">
          <cell r="B734" t="str">
            <v>RML-CS-GPS-9.5"</v>
          </cell>
          <cell r="C734" t="str">
            <v>CORNER SHOES.  GRANDPLAIS - 9.5"</v>
          </cell>
          <cell r="D734" t="str">
            <v>NOS</v>
          </cell>
          <cell r="E734" t="str">
            <v>CBERM</v>
          </cell>
          <cell r="F734">
            <v>0</v>
          </cell>
          <cell r="G734">
            <v>0</v>
          </cell>
          <cell r="H734">
            <v>110</v>
          </cell>
          <cell r="I734">
            <v>0</v>
          </cell>
        </row>
        <row r="735">
          <cell r="B735" t="str">
            <v>RML-CS-HYP-8.25</v>
          </cell>
          <cell r="C735" t="str">
            <v>HYPNOS CORNER SHOES 8.25"</v>
          </cell>
          <cell r="D735" t="str">
            <v>NOS</v>
          </cell>
          <cell r="E735" t="str">
            <v>CBERM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</row>
        <row r="736">
          <cell r="B736" t="str">
            <v>RML-CS-HYP-FURNO-4.5</v>
          </cell>
          <cell r="C736" t="str">
            <v>HYPNOS FURNO CORNER SHOES 4.5"</v>
          </cell>
          <cell r="D736" t="str">
            <v>NOS</v>
          </cell>
          <cell r="E736" t="str">
            <v>CBERM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</row>
        <row r="737">
          <cell r="B737" t="str">
            <v>RML-CS-ORG-8.5</v>
          </cell>
          <cell r="C737" t="str">
            <v>CORNER SHOES. ORGANICA 8.5"</v>
          </cell>
          <cell r="D737" t="str">
            <v>NOS</v>
          </cell>
          <cell r="E737" t="str">
            <v>CBERM</v>
          </cell>
          <cell r="F737">
            <v>0</v>
          </cell>
          <cell r="G737">
            <v>0</v>
          </cell>
          <cell r="H737">
            <v>500</v>
          </cell>
          <cell r="I737">
            <v>500</v>
          </cell>
        </row>
        <row r="738">
          <cell r="B738" t="str">
            <v>RML-CS-PL-10.5</v>
          </cell>
          <cell r="C738" t="str">
            <v>PLAIN CORNER SHOES.  - 10.5"</v>
          </cell>
          <cell r="D738" t="str">
            <v>NOS</v>
          </cell>
          <cell r="E738" t="str">
            <v>CBERM</v>
          </cell>
          <cell r="F738">
            <v>500</v>
          </cell>
          <cell r="G738">
            <v>500</v>
          </cell>
          <cell r="H738">
            <v>2000</v>
          </cell>
          <cell r="I738">
            <v>1500</v>
          </cell>
        </row>
        <row r="739">
          <cell r="B739" t="str">
            <v>RML-CS-PL-6.5"</v>
          </cell>
          <cell r="C739" t="str">
            <v>PLAIN CORNER SHOES.  - 6.5"</v>
          </cell>
          <cell r="D739" t="str">
            <v>NOS</v>
          </cell>
          <cell r="E739" t="str">
            <v>CBERM</v>
          </cell>
          <cell r="F739">
            <v>1500</v>
          </cell>
          <cell r="G739">
            <v>1500</v>
          </cell>
          <cell r="H739">
            <v>2500</v>
          </cell>
          <cell r="I739">
            <v>7000</v>
          </cell>
        </row>
        <row r="740">
          <cell r="B740" t="str">
            <v>RML-CS-RTC-5.5"</v>
          </cell>
          <cell r="C740" t="str">
            <v>CORNER SHOES.  RESTONIC - 6"</v>
          </cell>
          <cell r="D740" t="str">
            <v>NOS</v>
          </cell>
          <cell r="E740" t="str">
            <v>CBERM</v>
          </cell>
          <cell r="F740">
            <v>7000</v>
          </cell>
          <cell r="G740">
            <v>7000</v>
          </cell>
          <cell r="H740">
            <v>1000</v>
          </cell>
          <cell r="I740">
            <v>0</v>
          </cell>
        </row>
        <row r="741">
          <cell r="B741" t="str">
            <v>RML-CS-RTC-7"</v>
          </cell>
          <cell r="C741" t="str">
            <v>CORNER SHOES.  RESTONIC - 7"</v>
          </cell>
          <cell r="D741" t="str">
            <v>NOS</v>
          </cell>
          <cell r="E741" t="str">
            <v>CBERM</v>
          </cell>
          <cell r="F741">
            <v>0</v>
          </cell>
          <cell r="G741">
            <v>0</v>
          </cell>
          <cell r="H741">
            <v>2500</v>
          </cell>
          <cell r="I741">
            <v>5500</v>
          </cell>
        </row>
        <row r="742">
          <cell r="B742" t="str">
            <v>RML-CS-RTC-PLUSH-7.5</v>
          </cell>
          <cell r="C742" t="str">
            <v>CORNER SHOES RESTONIC PLUSH - 7.5"</v>
          </cell>
          <cell r="D742" t="str">
            <v>NOS</v>
          </cell>
          <cell r="E742" t="str">
            <v>CBERM</v>
          </cell>
          <cell r="F742">
            <v>5500</v>
          </cell>
          <cell r="G742">
            <v>5500</v>
          </cell>
          <cell r="H742">
            <v>350</v>
          </cell>
          <cell r="I742">
            <v>0</v>
          </cell>
        </row>
        <row r="743">
          <cell r="B743" t="str">
            <v>RML-CS-RTC-PLUSH-9.5</v>
          </cell>
          <cell r="C743" t="str">
            <v>CORNER SHOES RESTONIC PLUSH - 9.5"</v>
          </cell>
          <cell r="D743" t="str">
            <v>NOS</v>
          </cell>
          <cell r="E743" t="str">
            <v>CBERM</v>
          </cell>
          <cell r="F743">
            <v>0</v>
          </cell>
          <cell r="G743">
            <v>0</v>
          </cell>
          <cell r="H743">
            <v>350</v>
          </cell>
          <cell r="I743">
            <v>0</v>
          </cell>
        </row>
        <row r="744">
          <cell r="B744" t="str">
            <v>RML-CS-SPG-6.5"</v>
          </cell>
          <cell r="C744" t="str">
            <v>CORNER SHOES.  SPINE GUARD - 6.5"</v>
          </cell>
          <cell r="D744" t="str">
            <v>NOS</v>
          </cell>
          <cell r="E744" t="str">
            <v>CBERM</v>
          </cell>
          <cell r="F744">
            <v>0</v>
          </cell>
          <cell r="G744">
            <v>0</v>
          </cell>
          <cell r="H744">
            <v>500</v>
          </cell>
          <cell r="I744">
            <v>0</v>
          </cell>
        </row>
        <row r="745">
          <cell r="B745" t="str">
            <v>RML-CS-SPG-7.5"</v>
          </cell>
          <cell r="C745" t="str">
            <v>CORNER SHOES.  SPINE GUARD - 7.5"</v>
          </cell>
          <cell r="D745" t="str">
            <v>NOS</v>
          </cell>
          <cell r="E745" t="str">
            <v>CBERM</v>
          </cell>
          <cell r="F745">
            <v>0</v>
          </cell>
          <cell r="G745">
            <v>0</v>
          </cell>
          <cell r="H745">
            <v>1500</v>
          </cell>
          <cell r="I745">
            <v>1000</v>
          </cell>
        </row>
        <row r="746">
          <cell r="B746" t="str">
            <v>RML-CS-SPK-8.5"</v>
          </cell>
          <cell r="C746" t="str">
            <v>CORNER SHOES.  SPK - 8.5"</v>
          </cell>
          <cell r="D746" t="str">
            <v>NOS</v>
          </cell>
          <cell r="E746" t="str">
            <v>CBERM</v>
          </cell>
          <cell r="F746">
            <v>1000</v>
          </cell>
          <cell r="G746">
            <v>1000</v>
          </cell>
          <cell r="H746">
            <v>0</v>
          </cell>
          <cell r="I746">
            <v>0</v>
          </cell>
        </row>
        <row r="747">
          <cell r="B747" t="str">
            <v>RML-CS-SPK-BG-10.5</v>
          </cell>
          <cell r="C747" t="str">
            <v>CORNER SHOES SPRINGKOIL BEIGE -10.5"</v>
          </cell>
          <cell r="D747" t="str">
            <v>NOS</v>
          </cell>
          <cell r="E747" t="str">
            <v>CBERM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</row>
        <row r="748">
          <cell r="B748" t="str">
            <v>RML-CS-SPK-BG-7</v>
          </cell>
          <cell r="C748" t="str">
            <v>CORNER SHOES SPRINGKOIL BEIGE -7"</v>
          </cell>
          <cell r="D748" t="str">
            <v>NOS</v>
          </cell>
          <cell r="E748" t="str">
            <v>CBERM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</row>
        <row r="749">
          <cell r="B749" t="str">
            <v>RML-CS-SPK-BG-8.5</v>
          </cell>
          <cell r="C749" t="str">
            <v>CORNER SHOES SPRINGKOIL BEIGE -8.5"</v>
          </cell>
          <cell r="D749" t="str">
            <v>NOS</v>
          </cell>
          <cell r="E749" t="str">
            <v>CBERM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</row>
        <row r="750">
          <cell r="B750" t="str">
            <v>RML-CS-SPK-BL-10.5</v>
          </cell>
          <cell r="C750" t="str">
            <v>CORNER SHOES SPRINGKOIL BLUE -10.5"</v>
          </cell>
          <cell r="D750" t="str">
            <v>NOS</v>
          </cell>
          <cell r="E750" t="str">
            <v>CBERM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</row>
        <row r="751">
          <cell r="B751" t="str">
            <v>RML-CS-SPK-BL-6</v>
          </cell>
          <cell r="C751" t="str">
            <v>CORNER SHOES SPRINGKOIL BLUE -6"</v>
          </cell>
          <cell r="D751" t="str">
            <v>NOS</v>
          </cell>
          <cell r="E751" t="str">
            <v>CBERM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</row>
        <row r="752">
          <cell r="B752" t="str">
            <v>RML-CS-SPK-BL-7</v>
          </cell>
          <cell r="C752" t="str">
            <v>CORNER SHOES SPRINGKOIL BLUE -7"</v>
          </cell>
          <cell r="D752" t="str">
            <v>NOS</v>
          </cell>
          <cell r="E752" t="str">
            <v>CBERM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</row>
        <row r="753">
          <cell r="B753" t="str">
            <v>RML-KOM-PTR-MRP-LBL</v>
          </cell>
          <cell r="C753" t="str">
            <v>KOMFFY PROTECTOR MRP LABEL</v>
          </cell>
          <cell r="D753" t="str">
            <v>NOS</v>
          </cell>
          <cell r="E753" t="str">
            <v>CBERM</v>
          </cell>
          <cell r="F753">
            <v>0</v>
          </cell>
          <cell r="G753">
            <v>0</v>
          </cell>
          <cell r="H753">
            <v>500</v>
          </cell>
          <cell r="I753">
            <v>0</v>
          </cell>
        </row>
        <row r="754">
          <cell r="B754" t="str">
            <v>RML-KOM-RTC-BED-SHT-60X90</v>
          </cell>
          <cell r="C754" t="str">
            <v>KOMFFY PLUS BED SHEET SINGLE- 60"X90" (RTC)</v>
          </cell>
          <cell r="D754" t="str">
            <v>NOS</v>
          </cell>
          <cell r="E754" t="str">
            <v>CBERM</v>
          </cell>
          <cell r="F754">
            <v>0</v>
          </cell>
          <cell r="G754">
            <v>0</v>
          </cell>
          <cell r="H754">
            <v>500</v>
          </cell>
          <cell r="I754">
            <v>0</v>
          </cell>
        </row>
        <row r="755">
          <cell r="B755" t="str">
            <v>RML-KOM-RTC-BED-SHT-90X100</v>
          </cell>
          <cell r="C755" t="str">
            <v>KOMFFY PLUS BED SHEET DOUBLE- 90"X100" (RTC)</v>
          </cell>
          <cell r="D755" t="str">
            <v>NOS</v>
          </cell>
          <cell r="E755" t="str">
            <v>CBERM</v>
          </cell>
          <cell r="F755">
            <v>0</v>
          </cell>
          <cell r="G755">
            <v>0</v>
          </cell>
          <cell r="H755">
            <v>1800</v>
          </cell>
          <cell r="I755">
            <v>0</v>
          </cell>
        </row>
        <row r="756">
          <cell r="B756" t="str">
            <v>RML-KOM-SPK-BED-SHT-90X100</v>
          </cell>
          <cell r="C756" t="str">
            <v>KOMFFY BED SHEET DOUBLE-90"X100" (SPK)</v>
          </cell>
          <cell r="D756" t="str">
            <v>NOS</v>
          </cell>
          <cell r="E756" t="str">
            <v>CBERM</v>
          </cell>
          <cell r="F756">
            <v>0</v>
          </cell>
          <cell r="G756">
            <v>0</v>
          </cell>
          <cell r="H756">
            <v>3000</v>
          </cell>
          <cell r="I756">
            <v>12000</v>
          </cell>
        </row>
        <row r="757">
          <cell r="B757" t="str">
            <v>RML-CS-SPK-BL-8.5</v>
          </cell>
          <cell r="C757" t="str">
            <v>CORNER SHOES SPRINGKOIL BLUE -8.5"</v>
          </cell>
          <cell r="D757" t="str">
            <v>NOS</v>
          </cell>
          <cell r="E757" t="str">
            <v>CBERM</v>
          </cell>
          <cell r="F757">
            <v>12000</v>
          </cell>
          <cell r="G757">
            <v>12000</v>
          </cell>
          <cell r="H757">
            <v>0</v>
          </cell>
          <cell r="I757">
            <v>0</v>
          </cell>
        </row>
        <row r="758">
          <cell r="B758" t="str">
            <v>RML-KOZBRE-SDE-LBL</v>
          </cell>
          <cell r="C758" t="str">
            <v>KOZYBREEZ SIDE LABEL</v>
          </cell>
          <cell r="D758" t="str">
            <v>NOS</v>
          </cell>
          <cell r="E758" t="str">
            <v>CBERM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</row>
        <row r="759">
          <cell r="B759" t="str">
            <v>RML-CS-SPK-BW-10.5</v>
          </cell>
          <cell r="C759" t="str">
            <v>CORNER SHOES SPRINGKOIL BROWN -10.5"</v>
          </cell>
          <cell r="D759" t="str">
            <v>NOS</v>
          </cell>
          <cell r="E759" t="str">
            <v>CBERM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</row>
        <row r="760">
          <cell r="B760" t="str">
            <v>RML-LAT-MAS-PIL-BOX</v>
          </cell>
          <cell r="C760" t="str">
            <v>LATEX MASSAGE PILLOW BOX</v>
          </cell>
          <cell r="D760" t="str">
            <v>NOS</v>
          </cell>
          <cell r="E760" t="str">
            <v>CBERM</v>
          </cell>
          <cell r="F760">
            <v>0</v>
          </cell>
          <cell r="G760">
            <v>0</v>
          </cell>
          <cell r="H760">
            <v>80</v>
          </cell>
          <cell r="I760">
            <v>40</v>
          </cell>
        </row>
        <row r="761">
          <cell r="B761" t="str">
            <v>RML-CS-SPK-BW-6</v>
          </cell>
          <cell r="C761" t="str">
            <v>CORNER SHOES SPRINGKOIL BROWN -6"</v>
          </cell>
          <cell r="D761" t="str">
            <v>NOS</v>
          </cell>
          <cell r="E761" t="str">
            <v>CBERM</v>
          </cell>
          <cell r="F761">
            <v>40</v>
          </cell>
          <cell r="G761">
            <v>40</v>
          </cell>
          <cell r="H761">
            <v>0</v>
          </cell>
          <cell r="I761">
            <v>0</v>
          </cell>
        </row>
        <row r="762">
          <cell r="B762" t="str">
            <v>RML-CS-SPK-BW-7</v>
          </cell>
          <cell r="C762" t="str">
            <v>CORNER SHOES SPRINGKOIL BROWN -7"</v>
          </cell>
          <cell r="D762" t="str">
            <v>NOS</v>
          </cell>
          <cell r="E762" t="str">
            <v>CBERM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</row>
        <row r="763">
          <cell r="B763" t="str">
            <v>RML-LD-CVR-20X20</v>
          </cell>
          <cell r="C763" t="str">
            <v>LDPE BAG 20"x20" With Handle(70micron)</v>
          </cell>
          <cell r="D763" t="str">
            <v>KGS</v>
          </cell>
          <cell r="E763" t="str">
            <v>CBERM</v>
          </cell>
          <cell r="F763">
            <v>0</v>
          </cell>
          <cell r="G763">
            <v>0</v>
          </cell>
          <cell r="H763">
            <v>50</v>
          </cell>
          <cell r="I763">
            <v>0</v>
          </cell>
        </row>
        <row r="764">
          <cell r="B764" t="str">
            <v>RML-LD-CVR-32X25</v>
          </cell>
          <cell r="C764" t="str">
            <v>LDPE BAG 32"x25" With Handle(70micron)</v>
          </cell>
          <cell r="D764" t="str">
            <v>KGS</v>
          </cell>
          <cell r="E764" t="str">
            <v>CBERM</v>
          </cell>
          <cell r="F764">
            <v>0</v>
          </cell>
          <cell r="G764">
            <v>0</v>
          </cell>
          <cell r="H764">
            <v>125</v>
          </cell>
          <cell r="I764">
            <v>250</v>
          </cell>
        </row>
        <row r="765">
          <cell r="B765" t="str">
            <v>RML-LD-CVR-35X27</v>
          </cell>
          <cell r="C765" t="str">
            <v>LDPE BAG 35"x27" With Handle (70micron)</v>
          </cell>
          <cell r="D765" t="str">
            <v>KGS</v>
          </cell>
          <cell r="E765" t="str">
            <v>CBERM</v>
          </cell>
          <cell r="F765">
            <v>250</v>
          </cell>
          <cell r="G765">
            <v>250</v>
          </cell>
          <cell r="H765">
            <v>75</v>
          </cell>
          <cell r="I765">
            <v>0</v>
          </cell>
        </row>
        <row r="766">
          <cell r="B766" t="str">
            <v>RML-CS-SPK-BW-8.5</v>
          </cell>
          <cell r="C766" t="str">
            <v>CORNER SHOES SPRINGKOIL BROWN -8.5"</v>
          </cell>
          <cell r="D766" t="str">
            <v>NOS</v>
          </cell>
          <cell r="E766" t="str">
            <v>CBERM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</row>
        <row r="767">
          <cell r="B767" t="str">
            <v>RML-CS-SPK-CR-10.5</v>
          </cell>
          <cell r="C767" t="str">
            <v>CORNER SHOES SPRINGKOIL CREAM -10.5"</v>
          </cell>
          <cell r="D767" t="str">
            <v>NOS</v>
          </cell>
          <cell r="E767" t="str">
            <v>CBERM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</row>
        <row r="768">
          <cell r="B768" t="str">
            <v>RML-CS-SPK-CR-6</v>
          </cell>
          <cell r="C768" t="str">
            <v>CORNER SHOES SPRINGKOIL CREAM -6"</v>
          </cell>
          <cell r="D768" t="str">
            <v>NOS</v>
          </cell>
          <cell r="E768" t="str">
            <v>CBERM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</row>
        <row r="769">
          <cell r="B769" t="str">
            <v>RML-CS-SPK-CR-7</v>
          </cell>
          <cell r="C769" t="str">
            <v>CORNER SHOES SPRINGKOIL CREAM -7"</v>
          </cell>
          <cell r="D769" t="str">
            <v>NOS</v>
          </cell>
          <cell r="E769" t="str">
            <v>CBERM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</row>
        <row r="770">
          <cell r="B770" t="str">
            <v>RML-LDPE-TUBE-21X50MIC</v>
          </cell>
          <cell r="C770" t="str">
            <v>LDPE TUBE 21"X50.MIC  ( LONG PILLOW)</v>
          </cell>
          <cell r="D770" t="str">
            <v>KGS</v>
          </cell>
          <cell r="E770" t="str">
            <v>CBERM</v>
          </cell>
          <cell r="F770">
            <v>0</v>
          </cell>
          <cell r="G770">
            <v>0</v>
          </cell>
          <cell r="H770">
            <v>75</v>
          </cell>
          <cell r="I770">
            <v>0</v>
          </cell>
        </row>
        <row r="771">
          <cell r="B771" t="str">
            <v>RML-CS-SPK-CR-8.5</v>
          </cell>
          <cell r="C771" t="str">
            <v>CORNER SHOES SPRINGKOIL CREAM -8.5"</v>
          </cell>
          <cell r="D771" t="str">
            <v>NOS</v>
          </cell>
          <cell r="E771" t="str">
            <v>CBERM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</row>
        <row r="772">
          <cell r="B772" t="str">
            <v>RML-LTX-30X2.15X1</v>
          </cell>
          <cell r="C772" t="str">
            <v>SOLID LATEX L :30 X W: 2.15 MTR THICKNESS  1CM - 65 DENSITY</v>
          </cell>
          <cell r="D772" t="str">
            <v>NOS</v>
          </cell>
          <cell r="E772" t="str">
            <v>CBERM</v>
          </cell>
          <cell r="F772">
            <v>0</v>
          </cell>
          <cell r="G772">
            <v>0</v>
          </cell>
          <cell r="H772">
            <v>10</v>
          </cell>
          <cell r="I772">
            <v>0</v>
          </cell>
        </row>
        <row r="773">
          <cell r="B773" t="str">
            <v>RML-CS-SPK-CT-6</v>
          </cell>
          <cell r="C773" t="str">
            <v>PEPS SPRINGKOIL CROWN TOP CORNER SHOES 6"</v>
          </cell>
          <cell r="D773" t="str">
            <v>NOS</v>
          </cell>
          <cell r="E773" t="str">
            <v>CBERM</v>
          </cell>
          <cell r="F773">
            <v>0</v>
          </cell>
          <cell r="G773">
            <v>0</v>
          </cell>
          <cell r="H773">
            <v>1800</v>
          </cell>
          <cell r="I773">
            <v>1500</v>
          </cell>
        </row>
        <row r="774">
          <cell r="B774" t="str">
            <v>RML-CS-SPK-GR-10.5</v>
          </cell>
          <cell r="C774" t="str">
            <v>CORNER SHOES SPRINGKOIL GREY -10.5"</v>
          </cell>
          <cell r="D774" t="str">
            <v>NOS</v>
          </cell>
          <cell r="E774" t="str">
            <v>CBERM</v>
          </cell>
          <cell r="F774">
            <v>1500</v>
          </cell>
          <cell r="G774">
            <v>1500</v>
          </cell>
          <cell r="H774">
            <v>0</v>
          </cell>
          <cell r="I774">
            <v>0</v>
          </cell>
        </row>
        <row r="775">
          <cell r="B775" t="str">
            <v>RML-CS-SPK-GR-7</v>
          </cell>
          <cell r="C775" t="str">
            <v>CORNER SHOES SPRINGKOIL GREY -7"</v>
          </cell>
          <cell r="D775" t="str">
            <v>NOS</v>
          </cell>
          <cell r="E775" t="str">
            <v>CBERM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</row>
        <row r="776">
          <cell r="B776" t="str">
            <v>RML-CS-SPK-GR-8.5</v>
          </cell>
          <cell r="C776" t="str">
            <v>CORNER SHOES SPRINGKOIL GREY -8.5"</v>
          </cell>
          <cell r="D776" t="str">
            <v>NOS</v>
          </cell>
          <cell r="E776" t="str">
            <v>CBERM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</row>
        <row r="777">
          <cell r="B777" t="str">
            <v>RML-MEM-ULT-SDE-LBL</v>
          </cell>
          <cell r="C777" t="str">
            <v>MEMORIO ULTRA SIDE LABEL</v>
          </cell>
          <cell r="D777" t="str">
            <v>NOS</v>
          </cell>
          <cell r="E777" t="str">
            <v>CBERM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</row>
        <row r="778">
          <cell r="B778" t="str">
            <v>RML-CS-SPK-MR-10.5</v>
          </cell>
          <cell r="C778" t="str">
            <v>CORNER SHOES SPRINGKOIL MAROON -10.5"</v>
          </cell>
          <cell r="D778" t="str">
            <v>NOS</v>
          </cell>
          <cell r="E778" t="str">
            <v>CBERM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</row>
        <row r="779">
          <cell r="B779" t="str">
            <v>RML-CS-SPK-MR-6</v>
          </cell>
          <cell r="C779" t="str">
            <v>CORNER SHOES SPRINGKOIL MAROON -6"</v>
          </cell>
          <cell r="D779" t="str">
            <v>NOS</v>
          </cell>
          <cell r="E779" t="str">
            <v>CBERM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</row>
        <row r="780">
          <cell r="B780" t="str">
            <v>RML-CS-SPK-MR-7</v>
          </cell>
          <cell r="C780" t="str">
            <v>CORNER SHOES SPRINGKOIL MAROON -7"</v>
          </cell>
          <cell r="D780" t="str">
            <v>NOS</v>
          </cell>
          <cell r="E780" t="str">
            <v>CBERM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</row>
        <row r="781">
          <cell r="B781" t="str">
            <v>RML-CS-SPK-MR-8.5</v>
          </cell>
          <cell r="C781" t="str">
            <v>CORNER SHOES SPRINGKOIL MAROON -8.5"</v>
          </cell>
          <cell r="D781" t="str">
            <v>NOS</v>
          </cell>
          <cell r="E781" t="str">
            <v>CBERM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</row>
        <row r="782">
          <cell r="B782" t="str">
            <v>RML-CS-VH-12"</v>
          </cell>
          <cell r="C782" t="str">
            <v>CORNER SHOES. VIVAH - 12"</v>
          </cell>
          <cell r="D782" t="str">
            <v>NOS</v>
          </cell>
          <cell r="E782" t="str">
            <v>CBERM</v>
          </cell>
          <cell r="F782">
            <v>0</v>
          </cell>
          <cell r="G782">
            <v>0</v>
          </cell>
          <cell r="H782">
            <v>100</v>
          </cell>
          <cell r="I782">
            <v>0</v>
          </cell>
        </row>
        <row r="783">
          <cell r="B783" t="str">
            <v>RML-MIR-SDE-LBL</v>
          </cell>
          <cell r="C783" t="str">
            <v>MIRAGE SIDE LABEL</v>
          </cell>
          <cell r="D783" t="str">
            <v>NOS</v>
          </cell>
          <cell r="E783" t="str">
            <v>CBERM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</row>
        <row r="784">
          <cell r="B784" t="str">
            <v>RML-CS-ZENIMO-9.5"</v>
          </cell>
          <cell r="C784" t="str">
            <v>ZENIMO CORNER SHOES 9.5"</v>
          </cell>
          <cell r="D784" t="str">
            <v>NOS</v>
          </cell>
          <cell r="E784" t="str">
            <v>CBERM</v>
          </cell>
          <cell r="F784">
            <v>0</v>
          </cell>
          <cell r="G784">
            <v>0</v>
          </cell>
          <cell r="H784">
            <v>400</v>
          </cell>
          <cell r="I784">
            <v>0</v>
          </cell>
        </row>
        <row r="785">
          <cell r="B785" t="str">
            <v>RML-MRP-BACK-LBL</v>
          </cell>
          <cell r="C785" t="str">
            <v>MRP BACK LABEL(PLAIN)</v>
          </cell>
          <cell r="D785" t="str">
            <v>NOS</v>
          </cell>
          <cell r="E785" t="str">
            <v>CBERM</v>
          </cell>
          <cell r="F785">
            <v>0</v>
          </cell>
          <cell r="G785">
            <v>0</v>
          </cell>
          <cell r="H785">
            <v>4000</v>
          </cell>
          <cell r="I785">
            <v>0</v>
          </cell>
        </row>
        <row r="786">
          <cell r="B786" t="str">
            <v>RML-MRP-BACK-LBL-SFT</v>
          </cell>
          <cell r="C786" t="str">
            <v>SPRING SOFT MATT MRP BACK LABEL (PLAIN) 8.5"X3.75"</v>
          </cell>
          <cell r="D786" t="str">
            <v>NOS</v>
          </cell>
          <cell r="E786" t="str">
            <v>CBERM</v>
          </cell>
          <cell r="F786">
            <v>0</v>
          </cell>
          <cell r="G786">
            <v>0</v>
          </cell>
          <cell r="H786">
            <v>400</v>
          </cell>
          <cell r="I786">
            <v>0</v>
          </cell>
        </row>
        <row r="787">
          <cell r="B787" t="str">
            <v>RML-KOM-WSCR-LBL-CNTR-PLW</v>
          </cell>
          <cell r="C787" t="str">
            <v>KOMFFY MEMORY CONTOUR PILLOW WASH CARE LABEL</v>
          </cell>
          <cell r="D787" t="str">
            <v>NOS</v>
          </cell>
          <cell r="E787" t="str">
            <v>CBERM</v>
          </cell>
          <cell r="F787">
            <v>0</v>
          </cell>
          <cell r="G787">
            <v>0</v>
          </cell>
          <cell r="H787">
            <v>2500</v>
          </cell>
          <cell r="I787">
            <v>0</v>
          </cell>
        </row>
        <row r="788">
          <cell r="B788" t="str">
            <v>RML-KOZBRE-WCRD</v>
          </cell>
          <cell r="C788" t="str">
            <v>KOZYBREEZ WARRANTY CARD</v>
          </cell>
          <cell r="D788" t="str">
            <v>NOS</v>
          </cell>
          <cell r="E788" t="str">
            <v>CBERM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</row>
        <row r="789">
          <cell r="B789" t="str">
            <v>RML-LD-BAG-67X96</v>
          </cell>
          <cell r="C789" t="str">
            <v>LDPE BAG 67"X96"X150.MIC</v>
          </cell>
          <cell r="D789" t="str">
            <v>KGS</v>
          </cell>
          <cell r="E789" t="str">
            <v>CBERM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</row>
        <row r="790">
          <cell r="B790" t="str">
            <v>RML-LD-CVR-17X30.5</v>
          </cell>
          <cell r="C790" t="str">
            <v>LDPE BAG 17"X29"X50.MIC</v>
          </cell>
          <cell r="D790" t="str">
            <v>KGS</v>
          </cell>
          <cell r="E790" t="str">
            <v>CBERM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</row>
        <row r="791">
          <cell r="B791" t="str">
            <v>RML-LD-CVR84X90</v>
          </cell>
          <cell r="C791" t="str">
            <v>LDPE BAG 84"X90"X50.MIC</v>
          </cell>
          <cell r="D791" t="str">
            <v>KGS</v>
          </cell>
          <cell r="E791" t="str">
            <v>CBERM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</row>
        <row r="792">
          <cell r="B792" t="str">
            <v>RML-LD-CVR-85X34-TNDR</v>
          </cell>
          <cell r="C792" t="str">
            <v>TNDR - LDPE BAG 84"X34"X80.MIC</v>
          </cell>
          <cell r="D792" t="str">
            <v>KGS</v>
          </cell>
          <cell r="E792" t="str">
            <v>CBERM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</row>
        <row r="793">
          <cell r="B793" t="str">
            <v>RML-LDPE-ROLL-62</v>
          </cell>
          <cell r="C793" t="str">
            <v>LDPE ROLL 62" X 50.MIC</v>
          </cell>
          <cell r="D793" t="str">
            <v>KGS</v>
          </cell>
          <cell r="E793" t="str">
            <v>CBERM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</row>
        <row r="794">
          <cell r="B794" t="str">
            <v>RML-LTX-1200*200*2.5CM</v>
          </cell>
          <cell r="C794" t="str">
            <v>PERFO LATEX SHEETS  1200X200X2.5CM</v>
          </cell>
          <cell r="D794" t="str">
            <v>NOS</v>
          </cell>
          <cell r="E794" t="str">
            <v>CBERM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</row>
        <row r="795">
          <cell r="B795" t="str">
            <v>RML-MATP-EDTAPE-WHT</v>
          </cell>
          <cell r="C795" t="str">
            <v>MATTRESS TOPPER EDGE TAPE - WHITE (1400GSM)</v>
          </cell>
          <cell r="D795" t="str">
            <v>MTR</v>
          </cell>
          <cell r="E795" t="str">
            <v>CBERM</v>
          </cell>
          <cell r="F795">
            <v>0</v>
          </cell>
          <cell r="G795">
            <v>0</v>
          </cell>
          <cell r="H795">
            <v>2000</v>
          </cell>
          <cell r="I795">
            <v>0</v>
          </cell>
        </row>
        <row r="796">
          <cell r="B796" t="str">
            <v>RML-MEAS-TAPE-3MTR</v>
          </cell>
          <cell r="C796" t="str">
            <v>MEASURING TAPE - 3MTR</v>
          </cell>
          <cell r="D796" t="str">
            <v>NOS</v>
          </cell>
          <cell r="E796" t="str">
            <v>CBERM</v>
          </cell>
          <cell r="F796">
            <v>0</v>
          </cell>
          <cell r="G796">
            <v>0</v>
          </cell>
          <cell r="H796">
            <v>25</v>
          </cell>
          <cell r="I796">
            <v>0</v>
          </cell>
        </row>
        <row r="797">
          <cell r="B797" t="str">
            <v>RML-MEMORIA-WCRD</v>
          </cell>
          <cell r="C797" t="str">
            <v>Memorio 7 Years WARRANTY CARD</v>
          </cell>
          <cell r="D797" t="str">
            <v>NOS</v>
          </cell>
          <cell r="E797" t="str">
            <v>CBERM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</row>
        <row r="798">
          <cell r="B798" t="str">
            <v>RML-ORG-MINI-SDE-LBL</v>
          </cell>
          <cell r="C798" t="str">
            <v>ORGANICA MINI SAMPLE SIDE LABEL</v>
          </cell>
          <cell r="D798" t="str">
            <v>NOS</v>
          </cell>
          <cell r="E798" t="str">
            <v>CBERM</v>
          </cell>
          <cell r="F798">
            <v>0</v>
          </cell>
          <cell r="G798">
            <v>0</v>
          </cell>
          <cell r="H798">
            <v>50</v>
          </cell>
          <cell r="I798">
            <v>0</v>
          </cell>
        </row>
        <row r="799">
          <cell r="B799" t="str">
            <v>RML-ORG-SDE-LBL</v>
          </cell>
          <cell r="C799" t="str">
            <v>ORGANICA SIDE LABEL</v>
          </cell>
          <cell r="D799" t="str">
            <v>NOS</v>
          </cell>
          <cell r="E799" t="str">
            <v>CBERM</v>
          </cell>
          <cell r="F799">
            <v>0</v>
          </cell>
          <cell r="G799">
            <v>0</v>
          </cell>
          <cell r="H799">
            <v>150</v>
          </cell>
          <cell r="I799">
            <v>0</v>
          </cell>
        </row>
        <row r="800">
          <cell r="B800" t="str">
            <v>RML-MEM-ULT-WCRD</v>
          </cell>
          <cell r="C800" t="str">
            <v>MEMORIO ULTRA 10 YEARS WARRANTY CARD</v>
          </cell>
          <cell r="D800" t="str">
            <v>NOS</v>
          </cell>
          <cell r="E800" t="str">
            <v>CBERM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</row>
        <row r="801">
          <cell r="B801" t="str">
            <v>RML-MIRA-POLY-BAG-37</v>
          </cell>
          <cell r="C801" t="str">
            <v>Mirage Mattress Roll Packing Polyester Bag D13.25" X W21" X L37" (Grey)</v>
          </cell>
          <cell r="D801" t="str">
            <v>NOS</v>
          </cell>
          <cell r="E801" t="str">
            <v>CBERM</v>
          </cell>
          <cell r="F801">
            <v>0</v>
          </cell>
          <cell r="G801">
            <v>0</v>
          </cell>
          <cell r="H801">
            <v>150</v>
          </cell>
          <cell r="I801">
            <v>0</v>
          </cell>
        </row>
        <row r="802">
          <cell r="B802" t="str">
            <v>RML-MIRA-POLY-BAG-49</v>
          </cell>
          <cell r="C802" t="str">
            <v>Mirage Mattress Roll Packing Polyester Bag D13.25" X W21" X L49" (Grey)</v>
          </cell>
          <cell r="D802" t="str">
            <v>NOS</v>
          </cell>
          <cell r="E802" t="str">
            <v>CBERM</v>
          </cell>
          <cell r="F802">
            <v>0</v>
          </cell>
          <cell r="G802">
            <v>0</v>
          </cell>
          <cell r="H802">
            <v>150</v>
          </cell>
          <cell r="I802">
            <v>0</v>
          </cell>
        </row>
        <row r="803">
          <cell r="B803" t="str">
            <v>RML-MIRA-POLY-BAG-61</v>
          </cell>
          <cell r="C803" t="str">
            <v>Mirage Mattress Roll Packing Polyester Bag D13.25" X W21" X L61" (Grey)</v>
          </cell>
          <cell r="D803" t="str">
            <v>NOS</v>
          </cell>
          <cell r="E803" t="str">
            <v>CBERM</v>
          </cell>
          <cell r="F803">
            <v>0</v>
          </cell>
          <cell r="G803">
            <v>0</v>
          </cell>
          <cell r="H803">
            <v>150</v>
          </cell>
          <cell r="I803">
            <v>0</v>
          </cell>
        </row>
        <row r="804">
          <cell r="B804" t="str">
            <v>RML-MIRA-POLY-BAG-73</v>
          </cell>
          <cell r="C804" t="str">
            <v>Mirage Mattress Roll Packing Polyester Bag D13.25" X W21" X L73" (Grey)</v>
          </cell>
          <cell r="D804" t="str">
            <v>NOS</v>
          </cell>
          <cell r="E804" t="str">
            <v>CBERM</v>
          </cell>
          <cell r="F804">
            <v>0</v>
          </cell>
          <cell r="G804">
            <v>0</v>
          </cell>
          <cell r="H804">
            <v>150</v>
          </cell>
          <cell r="I804">
            <v>0</v>
          </cell>
        </row>
        <row r="805">
          <cell r="B805" t="str">
            <v>RML-MIR-WCRD</v>
          </cell>
          <cell r="C805" t="str">
            <v>MIRAGE 5 YEARS WARRANTY CARD</v>
          </cell>
          <cell r="D805" t="str">
            <v>NOS</v>
          </cell>
          <cell r="E805" t="str">
            <v>CBERM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</row>
        <row r="806">
          <cell r="B806" t="str">
            <v>RML-NET-PADDING</v>
          </cell>
          <cell r="C806" t="str">
            <v>HDPE KNITTED FABRIC ( MOSQUITO NET)</v>
          </cell>
          <cell r="D806" t="str">
            <v>MTR</v>
          </cell>
          <cell r="E806" t="str">
            <v>CBERM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</row>
        <row r="807">
          <cell r="B807" t="str">
            <v>RML-NET-PADDING-WHT</v>
          </cell>
          <cell r="C807" t="str">
            <v>HDPE KNITTED FABRIC - WHITE (MOSQUITO NET)</v>
          </cell>
          <cell r="D807" t="str">
            <v>MTR</v>
          </cell>
          <cell r="E807" t="str">
            <v>CBERM</v>
          </cell>
          <cell r="F807">
            <v>0</v>
          </cell>
          <cell r="G807">
            <v>0</v>
          </cell>
          <cell r="H807">
            <v>2500</v>
          </cell>
          <cell r="I807">
            <v>0</v>
          </cell>
        </row>
        <row r="808">
          <cell r="B808" t="str">
            <v>RML-NONSTANDARD-SKR</v>
          </cell>
          <cell r="C808" t="str">
            <v>NON STANDARD STICKER</v>
          </cell>
          <cell r="D808" t="str">
            <v>NOS</v>
          </cell>
          <cell r="E808" t="str">
            <v>CBERM</v>
          </cell>
          <cell r="F808">
            <v>0</v>
          </cell>
          <cell r="G808">
            <v>0</v>
          </cell>
          <cell r="H808">
            <v>1000</v>
          </cell>
          <cell r="I808">
            <v>2500</v>
          </cell>
        </row>
        <row r="809">
          <cell r="B809" t="str">
            <v>RML-NWN-70GSMX76"</v>
          </cell>
          <cell r="C809" t="str">
            <v>NON WOVEN FABRIC 70 GSM x 76 INCH - WHITE</v>
          </cell>
          <cell r="D809" t="str">
            <v>KGS</v>
          </cell>
          <cell r="E809" t="str">
            <v>CBERM</v>
          </cell>
          <cell r="F809">
            <v>2500</v>
          </cell>
          <cell r="G809">
            <v>2500</v>
          </cell>
          <cell r="H809">
            <v>350</v>
          </cell>
          <cell r="I809">
            <v>1500</v>
          </cell>
        </row>
        <row r="810">
          <cell r="B810" t="str">
            <v>RML-NWN-70GSMX79"</v>
          </cell>
          <cell r="C810" t="str">
            <v>NON WOVEN FABRIC 70 GSM x 79 INCH - WHITE</v>
          </cell>
          <cell r="D810" t="str">
            <v>KGS</v>
          </cell>
          <cell r="E810" t="str">
            <v>CBERM</v>
          </cell>
          <cell r="F810">
            <v>1500</v>
          </cell>
          <cell r="G810">
            <v>1500</v>
          </cell>
          <cell r="H810">
            <v>1000</v>
          </cell>
          <cell r="I810">
            <v>3000</v>
          </cell>
        </row>
        <row r="811">
          <cell r="B811" t="str">
            <v>RML-NWN-80GSMX8"</v>
          </cell>
          <cell r="C811" t="str">
            <v>NON WOVEN FABRIC 80 GSM x 8 INCH - WHITE</v>
          </cell>
          <cell r="D811" t="str">
            <v>KGS</v>
          </cell>
          <cell r="E811" t="str">
            <v>CBERM</v>
          </cell>
          <cell r="F811">
            <v>3000</v>
          </cell>
          <cell r="G811">
            <v>3000</v>
          </cell>
          <cell r="H811">
            <v>100</v>
          </cell>
          <cell r="I811">
            <v>0</v>
          </cell>
        </row>
        <row r="812">
          <cell r="B812" t="str">
            <v>RML-NWN-80GSMX82BLK</v>
          </cell>
          <cell r="C812" t="str">
            <v>NON WOVEN FABRIC 80 GSM x 82 INCH - BLACK</v>
          </cell>
          <cell r="D812" t="str">
            <v>KGS</v>
          </cell>
          <cell r="E812" t="str">
            <v>CBERM</v>
          </cell>
          <cell r="F812">
            <v>0</v>
          </cell>
          <cell r="G812">
            <v>0</v>
          </cell>
          <cell r="H812">
            <v>350</v>
          </cell>
          <cell r="I812">
            <v>500</v>
          </cell>
        </row>
        <row r="813">
          <cell r="B813" t="str">
            <v>RML-OGA-WCRD</v>
          </cell>
          <cell r="C813" t="str">
            <v>PEPS ORGANICA WARRANTY CARD</v>
          </cell>
          <cell r="D813" t="str">
            <v>NOS</v>
          </cell>
          <cell r="E813" t="str">
            <v>CBERM</v>
          </cell>
          <cell r="F813">
            <v>500</v>
          </cell>
          <cell r="G813">
            <v>500</v>
          </cell>
          <cell r="H813">
            <v>0</v>
          </cell>
          <cell r="I813">
            <v>0</v>
          </cell>
        </row>
        <row r="814">
          <cell r="B814" t="str">
            <v>RML-OK-STICKER</v>
          </cell>
          <cell r="C814" t="str">
            <v>QC/OK  STICKER</v>
          </cell>
          <cell r="D814" t="str">
            <v>NOS</v>
          </cell>
          <cell r="E814" t="str">
            <v>CBERM</v>
          </cell>
          <cell r="F814">
            <v>0</v>
          </cell>
          <cell r="G814">
            <v>0</v>
          </cell>
          <cell r="H814">
            <v>10000</v>
          </cell>
          <cell r="I814">
            <v>0</v>
          </cell>
        </row>
        <row r="815">
          <cell r="B815" t="str">
            <v>RML-OK-STICKER-BIG</v>
          </cell>
          <cell r="C815" t="str">
            <v>QC/OK  STICKER - BIG</v>
          </cell>
          <cell r="D815" t="str">
            <v>NOS</v>
          </cell>
          <cell r="E815" t="str">
            <v>CBERM</v>
          </cell>
          <cell r="F815">
            <v>0</v>
          </cell>
          <cell r="G815">
            <v>0</v>
          </cell>
          <cell r="H815">
            <v>3000</v>
          </cell>
          <cell r="I815">
            <v>5000</v>
          </cell>
        </row>
        <row r="816">
          <cell r="B816" t="str">
            <v>RML-OK-STICKER-SML</v>
          </cell>
          <cell r="C816" t="str">
            <v>QC/OK  STICKER SMALL</v>
          </cell>
          <cell r="D816" t="str">
            <v>NOS</v>
          </cell>
          <cell r="E816" t="str">
            <v>CBERM</v>
          </cell>
          <cell r="F816">
            <v>5000</v>
          </cell>
          <cell r="G816">
            <v>5000</v>
          </cell>
          <cell r="H816">
            <v>750</v>
          </cell>
          <cell r="I816">
            <v>0</v>
          </cell>
        </row>
        <row r="817">
          <cell r="B817" t="str">
            <v>RML-PAK-THRD</v>
          </cell>
          <cell r="C817" t="str">
            <v>Bag Stitching Thread</v>
          </cell>
          <cell r="D817" t="str">
            <v>NOS</v>
          </cell>
          <cell r="E817" t="str">
            <v>CBERM</v>
          </cell>
          <cell r="F817">
            <v>0</v>
          </cell>
          <cell r="G817">
            <v>0</v>
          </cell>
          <cell r="H817">
            <v>50</v>
          </cell>
          <cell r="I817">
            <v>0</v>
          </cell>
        </row>
        <row r="818">
          <cell r="B818" t="str">
            <v>RML-PAN-EDTAPE-WHT</v>
          </cell>
          <cell r="C818" t="str">
            <v>PANORAMA EDGE TAPE-WHITE</v>
          </cell>
          <cell r="D818" t="str">
            <v>MTR</v>
          </cell>
          <cell r="E818" t="str">
            <v>CBERM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</row>
        <row r="819">
          <cell r="B819" t="str">
            <v>RML-PAN-POLY-BAG-37XW21</v>
          </cell>
          <cell r="C819" t="str">
            <v>Panorama Mattress Roll Packing Polyester Bag D13.25" X W21" X L37" (Blue)</v>
          </cell>
          <cell r="D819" t="str">
            <v>NOS</v>
          </cell>
          <cell r="E819" t="str">
            <v>CBERM</v>
          </cell>
          <cell r="F819">
            <v>0</v>
          </cell>
          <cell r="G819">
            <v>0</v>
          </cell>
          <cell r="H819">
            <v>150</v>
          </cell>
          <cell r="I819">
            <v>0</v>
          </cell>
        </row>
        <row r="820">
          <cell r="B820" t="str">
            <v>RML-PAN-POLY-BAG-37XW22</v>
          </cell>
          <cell r="C820" t="str">
            <v>Panorama Mattress Roll Packing Polyester Bag D13.5" X W22" X L37" (Blue)</v>
          </cell>
          <cell r="D820" t="str">
            <v>NOS</v>
          </cell>
          <cell r="E820" t="str">
            <v>CBERM</v>
          </cell>
          <cell r="F820">
            <v>0</v>
          </cell>
          <cell r="G820">
            <v>0</v>
          </cell>
          <cell r="H820">
            <v>150</v>
          </cell>
          <cell r="I820">
            <v>0</v>
          </cell>
        </row>
        <row r="821">
          <cell r="B821" t="str">
            <v>RM-PEPSFBSKMI1002-SH04-78X72</v>
          </cell>
          <cell r="C821" t="str">
            <v>MIO - PEPSFBSKMI1002-SH04 FITTED SHEET-78 x 72</v>
          </cell>
          <cell r="D821" t="str">
            <v>NOS</v>
          </cell>
          <cell r="E821" t="str">
            <v>CBERM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</row>
        <row r="822">
          <cell r="B822" t="str">
            <v>RM-PEPSFBSKMI1002-SH05-78X72</v>
          </cell>
          <cell r="C822" t="str">
            <v>MIO - PEPSFBSKMI1002-SH05 FITTED SHEET-78 x 72</v>
          </cell>
          <cell r="D822" t="str">
            <v>NOS</v>
          </cell>
          <cell r="E822" t="str">
            <v>CBERM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</row>
        <row r="823">
          <cell r="B823" t="str">
            <v>RM-PEPSFBSKMI1002-SH06-78X72</v>
          </cell>
          <cell r="C823" t="str">
            <v>MIO - PEPSFBSKMI1002-SH06 FITTED SHEET-78 x 72</v>
          </cell>
          <cell r="D823" t="str">
            <v>NOS</v>
          </cell>
          <cell r="E823" t="str">
            <v>CBERM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</row>
        <row r="824">
          <cell r="B824" t="str">
            <v>RM-PEPSFBSKMI1006-SH14-78X72</v>
          </cell>
          <cell r="C824" t="str">
            <v>MIO - PEPSFBSKMI1006-SH14 FITTED SHEET-78 x 72</v>
          </cell>
          <cell r="D824" t="str">
            <v>NOS</v>
          </cell>
          <cell r="E824" t="str">
            <v>CBERM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</row>
        <row r="825">
          <cell r="B825" t="str">
            <v>RM-PEPSFBSKMI1006-SH15-78X72</v>
          </cell>
          <cell r="C825" t="str">
            <v>MIO - PEPSFBSKMI1006-SH15 FITTED SHEET-78 x 72</v>
          </cell>
          <cell r="D825" t="str">
            <v>NOS</v>
          </cell>
          <cell r="E825" t="str">
            <v>CBERM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</row>
        <row r="826">
          <cell r="B826" t="str">
            <v>RM-PEPSFBSKMI1006-SH16-78X72</v>
          </cell>
          <cell r="C826" t="str">
            <v>MIO - PEPSFBSKMI1006-SH16 FITTED SHEET-78 x 72</v>
          </cell>
          <cell r="D826" t="str">
            <v>NOS</v>
          </cell>
          <cell r="E826" t="str">
            <v>CBERM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</row>
        <row r="827">
          <cell r="B827" t="str">
            <v>RM-PEPSFBSKMI1008-SH08-78X72</v>
          </cell>
          <cell r="C827" t="str">
            <v>MIO - PEPSFBSKMI1008-SH08 FITTED SHEET-78 x 72</v>
          </cell>
          <cell r="D827" t="str">
            <v>NOS</v>
          </cell>
          <cell r="E827" t="str">
            <v>CBERM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B828" t="str">
            <v>RM-PEPSFBSKMI1008-SH09-78X72</v>
          </cell>
          <cell r="C828" t="str">
            <v>MIO - PEPSFBSKMI1008-SH09 FITTED SHEET-78 x 72</v>
          </cell>
          <cell r="D828" t="str">
            <v>NOS</v>
          </cell>
          <cell r="E828" t="str">
            <v>CBERM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B829" t="str">
            <v>RM-PEPSFBSKMI1008-SH10-78X72</v>
          </cell>
          <cell r="C829" t="str">
            <v>MIO - PEPSFBSKMI1008-SH10 FITTED SHEET-78 x 72</v>
          </cell>
          <cell r="D829" t="str">
            <v>NOS</v>
          </cell>
          <cell r="E829" t="str">
            <v>CBERM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B830" t="str">
            <v>RM-PEPSFBSQMI1002-SH04-78X60</v>
          </cell>
          <cell r="C830" t="str">
            <v>MIO - PEPSFBSQMI1002-SH04 FITTED SHEET-78 X 60</v>
          </cell>
          <cell r="D830" t="str">
            <v>NOS</v>
          </cell>
          <cell r="E830" t="str">
            <v>CBERM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</row>
        <row r="831">
          <cell r="B831" t="str">
            <v>RM-PEPSFBSQMI1002-SH05-78X60</v>
          </cell>
          <cell r="C831" t="str">
            <v>MIO - PEPSFBSQMI1002-SH05 FITTED SHEET-78 X 60</v>
          </cell>
          <cell r="D831" t="str">
            <v>NOS</v>
          </cell>
          <cell r="E831" t="str">
            <v>CBERM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</row>
        <row r="832">
          <cell r="B832" t="str">
            <v>RM-PEPSFBSQMI1002-SH06-78X60</v>
          </cell>
          <cell r="C832" t="str">
            <v>MIO - PEPSFBSQMI1002-SH06 FITTED SHEET-78 X 60</v>
          </cell>
          <cell r="D832" t="str">
            <v>NOS</v>
          </cell>
          <cell r="E832" t="str">
            <v>CBERM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</row>
        <row r="833">
          <cell r="B833" t="str">
            <v>RM-PEPSFBSQMI1006-SH14-78X60</v>
          </cell>
          <cell r="C833" t="str">
            <v>MIO - PEPSFBSQMI1006-SH14 FITTED SHEET-78 X 60</v>
          </cell>
          <cell r="D833" t="str">
            <v>NOS</v>
          </cell>
          <cell r="E833" t="str">
            <v>CBERM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</row>
        <row r="834">
          <cell r="B834" t="str">
            <v>RM-PEPSFBSQMI1006-SH15-78X60</v>
          </cell>
          <cell r="C834" t="str">
            <v>MIO - PEPSFBSQMI1006-SH15 FITTED SHEET-78 X 60</v>
          </cell>
          <cell r="D834" t="str">
            <v>NOS</v>
          </cell>
          <cell r="E834" t="str">
            <v>CBERM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</row>
        <row r="835">
          <cell r="B835" t="str">
            <v>RM-PEPSFBSQMI1006-SH16-78X60</v>
          </cell>
          <cell r="C835" t="str">
            <v>MIO - PEPSFBSQMI1006-SH16 FITTED SHEET-78 X 60</v>
          </cell>
          <cell r="D835" t="str">
            <v>NOS</v>
          </cell>
          <cell r="E835" t="str">
            <v>CBERM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</row>
        <row r="836">
          <cell r="B836" t="str">
            <v>RM-PEPSFBSQMI1008-SH08-78X60</v>
          </cell>
          <cell r="C836" t="str">
            <v>MIO - PEPSFBSQMI1008-SH08 FITTED SHEET-78 X 60</v>
          </cell>
          <cell r="D836" t="str">
            <v>NOS</v>
          </cell>
          <cell r="E836" t="str">
            <v>CBERM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</row>
        <row r="837">
          <cell r="B837" t="str">
            <v>RM-PEPSFBSQMI1008-SH09-78X60</v>
          </cell>
          <cell r="C837" t="str">
            <v>MIO - PEPSFBSQMI1008-SH09 FITTED SHEET-78 X 60</v>
          </cell>
          <cell r="D837" t="str">
            <v>NOS</v>
          </cell>
          <cell r="E837" t="str">
            <v>CBERM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</row>
        <row r="838">
          <cell r="B838" t="str">
            <v>RM-PEPSFBSQMI1008-SH10-78X60</v>
          </cell>
          <cell r="C838" t="str">
            <v>MIO - PEPSFBSQMI1008-SH10 FITTED SHEET-78 X 60</v>
          </cell>
          <cell r="D838" t="str">
            <v>NOS</v>
          </cell>
          <cell r="E838" t="str">
            <v>CBERM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</row>
        <row r="839">
          <cell r="B839" t="str">
            <v>RM-PEPS-FIT-SHT-75X60</v>
          </cell>
          <cell r="C839" t="str">
            <v>MIO FITTED SHEET 75 X 60</v>
          </cell>
          <cell r="D839" t="str">
            <v>NOS</v>
          </cell>
          <cell r="E839" t="str">
            <v>CBERM</v>
          </cell>
          <cell r="F839">
            <v>0</v>
          </cell>
          <cell r="G839">
            <v>0</v>
          </cell>
          <cell r="H839">
            <v>100</v>
          </cell>
          <cell r="I839">
            <v>0</v>
          </cell>
        </row>
        <row r="840">
          <cell r="B840" t="str">
            <v>RM-PEPS-FIT-SHT-75X72</v>
          </cell>
          <cell r="C840" t="str">
            <v>MIO FITTED SHEET 75 X 72</v>
          </cell>
          <cell r="D840" t="str">
            <v>NOS</v>
          </cell>
          <cell r="E840" t="str">
            <v>CBERM</v>
          </cell>
          <cell r="F840">
            <v>0</v>
          </cell>
          <cell r="G840">
            <v>0</v>
          </cell>
          <cell r="H840">
            <v>100</v>
          </cell>
          <cell r="I840">
            <v>0</v>
          </cell>
        </row>
        <row r="841">
          <cell r="B841" t="str">
            <v>RM-PEPS-FIT-SHT-78X60</v>
          </cell>
          <cell r="C841" t="str">
            <v>MIO FITTED SHEET 78 X 60</v>
          </cell>
          <cell r="D841" t="str">
            <v>NOS</v>
          </cell>
          <cell r="E841" t="str">
            <v>CBERM</v>
          </cell>
          <cell r="F841">
            <v>0</v>
          </cell>
          <cell r="G841">
            <v>0</v>
          </cell>
          <cell r="H841">
            <v>150</v>
          </cell>
          <cell r="I841">
            <v>150</v>
          </cell>
        </row>
        <row r="842">
          <cell r="B842" t="str">
            <v>RM-PEPS-FIT-SHT-78X72</v>
          </cell>
          <cell r="C842" t="str">
            <v>MIO FITTED SHEET 78 X 72</v>
          </cell>
          <cell r="D842" t="str">
            <v>NOS</v>
          </cell>
          <cell r="E842" t="str">
            <v>CBERM</v>
          </cell>
          <cell r="F842">
            <v>150</v>
          </cell>
          <cell r="G842">
            <v>150</v>
          </cell>
          <cell r="H842">
            <v>150</v>
          </cell>
          <cell r="I842">
            <v>150</v>
          </cell>
        </row>
        <row r="843">
          <cell r="B843" t="str">
            <v>RML-PAN-POLY-BAG-49XW21</v>
          </cell>
          <cell r="C843" t="str">
            <v>Panorama Mattress Roll Packing Polyester Bag D13.25" X W21" X L49" (Blue)</v>
          </cell>
          <cell r="D843" t="str">
            <v>NOS</v>
          </cell>
          <cell r="E843" t="str">
            <v>CBERM</v>
          </cell>
          <cell r="F843">
            <v>150</v>
          </cell>
          <cell r="G843">
            <v>150</v>
          </cell>
          <cell r="H843">
            <v>150</v>
          </cell>
          <cell r="I843">
            <v>0</v>
          </cell>
        </row>
        <row r="844">
          <cell r="B844" t="str">
            <v>RML-PAN-POLY-BAG-49XW22</v>
          </cell>
          <cell r="C844" t="str">
            <v>Panorama Mattress Roll Packing Polyester Bag D13.5" X W22" X L49" (Blue)</v>
          </cell>
          <cell r="D844" t="str">
            <v>NOS</v>
          </cell>
          <cell r="E844" t="str">
            <v>CBERM</v>
          </cell>
          <cell r="F844">
            <v>0</v>
          </cell>
          <cell r="G844">
            <v>0</v>
          </cell>
          <cell r="H844">
            <v>150</v>
          </cell>
          <cell r="I844">
            <v>0</v>
          </cell>
        </row>
        <row r="845">
          <cell r="B845" t="str">
            <v>RML-PAN-POLY-BAG-61XW21</v>
          </cell>
          <cell r="C845" t="str">
            <v>Panorama Mattress Roll Packing Polyester Bag D13.25" X W21" X L61" (Blue)</v>
          </cell>
          <cell r="D845" t="str">
            <v>NOS</v>
          </cell>
          <cell r="E845" t="str">
            <v>CBERM</v>
          </cell>
          <cell r="F845">
            <v>0</v>
          </cell>
          <cell r="G845">
            <v>0</v>
          </cell>
          <cell r="H845">
            <v>150</v>
          </cell>
          <cell r="I845">
            <v>0</v>
          </cell>
        </row>
        <row r="846">
          <cell r="B846" t="str">
            <v>RML-PAN-POLY-BAG-61XW22</v>
          </cell>
          <cell r="C846" t="str">
            <v>Panorama Mattress Roll Packing Polyester Bag D13.5" X W22" X L61" (Blue)</v>
          </cell>
          <cell r="D846" t="str">
            <v>NOS</v>
          </cell>
          <cell r="E846" t="str">
            <v>CBERM</v>
          </cell>
          <cell r="F846">
            <v>0</v>
          </cell>
          <cell r="G846">
            <v>0</v>
          </cell>
          <cell r="H846">
            <v>150</v>
          </cell>
          <cell r="I846">
            <v>0</v>
          </cell>
        </row>
        <row r="847">
          <cell r="B847" t="str">
            <v>RML-PAN-POLY-BAG-73XW21</v>
          </cell>
          <cell r="C847" t="str">
            <v>Panorama Mattress Roll Packing Polyester Bag D13.25" X W21" X L73" (Blue)</v>
          </cell>
          <cell r="D847" t="str">
            <v>NOS</v>
          </cell>
          <cell r="E847" t="str">
            <v>CBERM</v>
          </cell>
          <cell r="F847">
            <v>0</v>
          </cell>
          <cell r="G847">
            <v>0</v>
          </cell>
          <cell r="H847">
            <v>150</v>
          </cell>
          <cell r="I847">
            <v>0</v>
          </cell>
        </row>
        <row r="848">
          <cell r="B848" t="str">
            <v>RM-NWN-BS-12.50X30GSM</v>
          </cell>
          <cell r="C848" t="str">
            <v>NON WOVEN FABRIC 30 GSM x 12.5 INCH - WHITE</v>
          </cell>
          <cell r="D848" t="str">
            <v>KGS</v>
          </cell>
          <cell r="E848" t="str">
            <v>CBERM</v>
          </cell>
          <cell r="F848">
            <v>0</v>
          </cell>
          <cell r="G848">
            <v>0</v>
          </cell>
          <cell r="H848">
            <v>100</v>
          </cell>
          <cell r="I848">
            <v>100</v>
          </cell>
        </row>
        <row r="849">
          <cell r="B849" t="str">
            <v>RM-NWN-POS-34CMX70GSM</v>
          </cell>
          <cell r="C849" t="str">
            <v>NON WOVEN FABRIC 70 GSM x 34 CM - WHITE</v>
          </cell>
          <cell r="D849" t="str">
            <v>KGS</v>
          </cell>
          <cell r="E849" t="str">
            <v>CBERM</v>
          </cell>
          <cell r="F849">
            <v>100</v>
          </cell>
          <cell r="G849">
            <v>100</v>
          </cell>
          <cell r="H849">
            <v>20</v>
          </cell>
          <cell r="I849">
            <v>100</v>
          </cell>
        </row>
        <row r="850">
          <cell r="B850" t="str">
            <v>RM-PLW-DIS-STAND</v>
          </cell>
          <cell r="C850" t="str">
            <v>PILLOW'S DISPLAY STAND</v>
          </cell>
          <cell r="D850" t="str">
            <v>NOS</v>
          </cell>
          <cell r="E850" t="str">
            <v>CBERM</v>
          </cell>
          <cell r="F850">
            <v>100</v>
          </cell>
          <cell r="G850">
            <v>100</v>
          </cell>
          <cell r="H850">
            <v>0</v>
          </cell>
          <cell r="I850">
            <v>0</v>
          </cell>
        </row>
        <row r="851">
          <cell r="B851" t="str">
            <v>STY-STL-SCAL</v>
          </cell>
          <cell r="C851" t="str">
            <v>STEEL SCALE</v>
          </cell>
          <cell r="D851" t="str">
            <v>NOS</v>
          </cell>
          <cell r="E851" t="str">
            <v>CBERM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</row>
        <row r="852">
          <cell r="B852" t="str">
            <v>STY-STMP-PAD-BIG-BL</v>
          </cell>
          <cell r="C852" t="str">
            <v>STAMP PAD BIG (BLUE)</v>
          </cell>
          <cell r="D852" t="str">
            <v>NOS</v>
          </cell>
          <cell r="E852" t="str">
            <v>CBERM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</row>
        <row r="853">
          <cell r="B853" t="str">
            <v>STY-STMP-PAD-BIG-GR</v>
          </cell>
          <cell r="C853" t="str">
            <v>STAMP PAD BIG (GREEN)</v>
          </cell>
          <cell r="D853" t="str">
            <v>NOS</v>
          </cell>
          <cell r="E853" t="str">
            <v>CBERM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</row>
        <row r="854">
          <cell r="B854" t="str">
            <v>STY-STMP-PAD-INK-BL</v>
          </cell>
          <cell r="C854" t="str">
            <v>STAMP PAD INK BLUE</v>
          </cell>
          <cell r="D854" t="str">
            <v>NOS</v>
          </cell>
          <cell r="E854" t="str">
            <v>CBERM</v>
          </cell>
          <cell r="F854">
            <v>0</v>
          </cell>
          <cell r="G854">
            <v>0</v>
          </cell>
          <cell r="H854">
            <v>5</v>
          </cell>
          <cell r="I854">
            <v>0</v>
          </cell>
        </row>
        <row r="855">
          <cell r="B855" t="str">
            <v>STY-STMP-PAD-INK-RD</v>
          </cell>
          <cell r="C855" t="str">
            <v>STAMP PAD INK RED</v>
          </cell>
          <cell r="D855" t="str">
            <v>NOS</v>
          </cell>
          <cell r="E855" t="str">
            <v>CBERM</v>
          </cell>
          <cell r="F855">
            <v>0</v>
          </cell>
          <cell r="G855">
            <v>0</v>
          </cell>
          <cell r="H855">
            <v>1</v>
          </cell>
          <cell r="I855">
            <v>0</v>
          </cell>
        </row>
        <row r="856">
          <cell r="B856" t="str">
            <v>STY-STMP-PAD-MED-BL</v>
          </cell>
          <cell r="C856" t="str">
            <v>STAMP PAD MEDIUM (BLUE)</v>
          </cell>
          <cell r="D856" t="str">
            <v>NOS</v>
          </cell>
          <cell r="E856" t="str">
            <v>CBERM</v>
          </cell>
          <cell r="F856">
            <v>0</v>
          </cell>
          <cell r="G856">
            <v>0</v>
          </cell>
          <cell r="H856">
            <v>0</v>
          </cell>
          <cell r="I856">
            <v>5</v>
          </cell>
        </row>
        <row r="857">
          <cell r="B857" t="str">
            <v>STY-STMP-PAD-SML</v>
          </cell>
          <cell r="C857" t="str">
            <v>STAMP PAD SMALL</v>
          </cell>
          <cell r="D857" t="str">
            <v>NOS</v>
          </cell>
          <cell r="E857" t="str">
            <v>CBERM</v>
          </cell>
          <cell r="F857">
            <v>5</v>
          </cell>
          <cell r="G857">
            <v>5</v>
          </cell>
          <cell r="H857">
            <v>0</v>
          </cell>
          <cell r="I857">
            <v>0</v>
          </cell>
        </row>
        <row r="858">
          <cell r="B858" t="str">
            <v>STY-STN-INV-CBE</v>
          </cell>
          <cell r="C858" t="str">
            <v>COIMBATORE STOCK TRANSFER INVOICE (500 NOS/BOX)</v>
          </cell>
          <cell r="D858" t="str">
            <v>BOX</v>
          </cell>
          <cell r="E858" t="str">
            <v>CBERM</v>
          </cell>
          <cell r="F858">
            <v>0</v>
          </cell>
          <cell r="G858">
            <v>0</v>
          </cell>
          <cell r="H858">
            <v>1</v>
          </cell>
          <cell r="I858">
            <v>0</v>
          </cell>
        </row>
        <row r="859">
          <cell r="B859" t="str">
            <v>STY-STPLR-BIG</v>
          </cell>
          <cell r="C859" t="str">
            <v>STAPLER BIG</v>
          </cell>
          <cell r="D859" t="str">
            <v>NOS</v>
          </cell>
          <cell r="E859" t="str">
            <v>CBERM</v>
          </cell>
          <cell r="F859">
            <v>0</v>
          </cell>
          <cell r="G859">
            <v>0</v>
          </cell>
          <cell r="H859">
            <v>1</v>
          </cell>
          <cell r="I859">
            <v>0</v>
          </cell>
        </row>
        <row r="860">
          <cell r="B860" t="str">
            <v>STY-STPLR-PIN-BIG</v>
          </cell>
          <cell r="C860" t="str">
            <v>STAPLER PIN BIG</v>
          </cell>
          <cell r="D860" t="str">
            <v>NOS</v>
          </cell>
          <cell r="E860" t="str">
            <v>CBERM</v>
          </cell>
          <cell r="F860">
            <v>0</v>
          </cell>
          <cell r="G860">
            <v>0</v>
          </cell>
          <cell r="H860">
            <v>5</v>
          </cell>
          <cell r="I860">
            <v>0</v>
          </cell>
        </row>
        <row r="861">
          <cell r="B861" t="str">
            <v>STY-STPLR-PIN-SML</v>
          </cell>
          <cell r="C861" t="str">
            <v>STAPLER PIN SMALL</v>
          </cell>
          <cell r="D861" t="str">
            <v>NOS</v>
          </cell>
          <cell r="E861" t="str">
            <v>CBERM</v>
          </cell>
          <cell r="F861">
            <v>0</v>
          </cell>
          <cell r="G861">
            <v>0</v>
          </cell>
          <cell r="H861">
            <v>10</v>
          </cell>
          <cell r="I861">
            <v>0</v>
          </cell>
        </row>
        <row r="862">
          <cell r="B862" t="str">
            <v>STY-STPLR-SML</v>
          </cell>
          <cell r="C862" t="str">
            <v>STAPLER SMALL</v>
          </cell>
          <cell r="D862" t="str">
            <v>NOS</v>
          </cell>
          <cell r="E862" t="str">
            <v>CBERM</v>
          </cell>
          <cell r="F862">
            <v>0</v>
          </cell>
          <cell r="G862">
            <v>0</v>
          </cell>
          <cell r="H862">
            <v>1</v>
          </cell>
          <cell r="I862">
            <v>0</v>
          </cell>
        </row>
        <row r="863">
          <cell r="B863" t="str">
            <v>STY-TAG-FLE</v>
          </cell>
          <cell r="C863" t="str">
            <v>TAG FILE</v>
          </cell>
          <cell r="D863" t="str">
            <v>NOS</v>
          </cell>
          <cell r="E863" t="str">
            <v>CBERM</v>
          </cell>
          <cell r="F863">
            <v>0</v>
          </cell>
          <cell r="G863">
            <v>0</v>
          </cell>
          <cell r="H863">
            <v>5</v>
          </cell>
          <cell r="I863">
            <v>0</v>
          </cell>
        </row>
        <row r="864">
          <cell r="B864" t="str">
            <v>RM-NWN-POS-37CMX70GSM-GRN</v>
          </cell>
          <cell r="C864" t="str">
            <v>NON WOVEN FABRIC 70 GSM x 37 CM - GREEN</v>
          </cell>
          <cell r="D864" t="str">
            <v>KGS</v>
          </cell>
          <cell r="E864" t="str">
            <v>CBERM</v>
          </cell>
          <cell r="F864">
            <v>0</v>
          </cell>
          <cell r="G864">
            <v>0</v>
          </cell>
          <cell r="H864">
            <v>350</v>
          </cell>
          <cell r="I864">
            <v>0</v>
          </cell>
        </row>
        <row r="865">
          <cell r="B865" t="str">
            <v>STY-UNRULD-NOT-BOK</v>
          </cell>
          <cell r="C865" t="str">
            <v>UN RULED NOTE BOOK</v>
          </cell>
          <cell r="D865" t="str">
            <v>NOS</v>
          </cell>
          <cell r="E865" t="str">
            <v>CBERM</v>
          </cell>
          <cell r="F865">
            <v>0</v>
          </cell>
          <cell r="G865">
            <v>0</v>
          </cell>
          <cell r="H865">
            <v>5</v>
          </cell>
          <cell r="I865">
            <v>0</v>
          </cell>
        </row>
        <row r="866">
          <cell r="B866" t="str">
            <v>STY-VCR-BOX-FL</v>
          </cell>
          <cell r="C866" t="str">
            <v>VOUCHER BOX FILE</v>
          </cell>
          <cell r="D866" t="str">
            <v>NOS</v>
          </cell>
          <cell r="E866" t="str">
            <v>CBERM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</row>
        <row r="867">
          <cell r="B867" t="str">
            <v>STY-WHT-BRD-MARK-BL</v>
          </cell>
          <cell r="C867" t="str">
            <v>WHITE BOARD MARKER BLUE</v>
          </cell>
          <cell r="D867" t="str">
            <v>NOS</v>
          </cell>
          <cell r="E867" t="str">
            <v>CBERM</v>
          </cell>
          <cell r="F867">
            <v>0</v>
          </cell>
          <cell r="G867">
            <v>0</v>
          </cell>
          <cell r="H867">
            <v>5</v>
          </cell>
          <cell r="I867">
            <v>10</v>
          </cell>
        </row>
        <row r="868">
          <cell r="B868" t="str">
            <v>STY-WHT-BRD-MARK-BLK</v>
          </cell>
          <cell r="C868" t="str">
            <v>WHITE BOARD MARKER BLACK</v>
          </cell>
          <cell r="D868" t="str">
            <v>NOS</v>
          </cell>
          <cell r="E868" t="str">
            <v>CBERM</v>
          </cell>
          <cell r="F868">
            <v>10</v>
          </cell>
          <cell r="G868">
            <v>10</v>
          </cell>
          <cell r="H868">
            <v>5</v>
          </cell>
          <cell r="I868">
            <v>0</v>
          </cell>
        </row>
        <row r="869">
          <cell r="B869" t="str">
            <v>STY-WHT-BRD-MARK-GR</v>
          </cell>
          <cell r="C869" t="str">
            <v>WHITE BOARD MARKER GREEN</v>
          </cell>
          <cell r="D869" t="str">
            <v>NOS</v>
          </cell>
          <cell r="E869" t="str">
            <v>CBERM</v>
          </cell>
          <cell r="F869">
            <v>0</v>
          </cell>
          <cell r="G869">
            <v>0</v>
          </cell>
          <cell r="H869">
            <v>5</v>
          </cell>
          <cell r="I869">
            <v>0</v>
          </cell>
        </row>
        <row r="870">
          <cell r="B870" t="str">
            <v>STY-WHT-BRD-MARK-RD</v>
          </cell>
          <cell r="C870" t="str">
            <v>WHITE BOARD MARKER RED</v>
          </cell>
          <cell r="D870" t="str">
            <v>NOS</v>
          </cell>
          <cell r="E870" t="str">
            <v>CBERM</v>
          </cell>
          <cell r="F870">
            <v>0</v>
          </cell>
          <cell r="G870">
            <v>0</v>
          </cell>
          <cell r="H870">
            <v>5</v>
          </cell>
          <cell r="I870">
            <v>0</v>
          </cell>
        </row>
        <row r="871">
          <cell r="B871" t="str">
            <v>STY-WHTNR</v>
          </cell>
          <cell r="C871" t="str">
            <v>WHITNER</v>
          </cell>
          <cell r="D871" t="str">
            <v>NOS</v>
          </cell>
          <cell r="E871" t="str">
            <v>CBERM</v>
          </cell>
          <cell r="F871">
            <v>0</v>
          </cell>
          <cell r="G871">
            <v>0</v>
          </cell>
          <cell r="H871">
            <v>2</v>
          </cell>
          <cell r="I871">
            <v>10</v>
          </cell>
        </row>
        <row r="872">
          <cell r="B872" t="str">
            <v>RM-NWN-POS-46CMX70GSM</v>
          </cell>
          <cell r="C872" t="str">
            <v>NON WOVEN FABRIC 70 GSM x 46 CM - WHITE</v>
          </cell>
          <cell r="D872" t="str">
            <v>KGS</v>
          </cell>
          <cell r="E872" t="str">
            <v>CBERM</v>
          </cell>
          <cell r="F872">
            <v>10</v>
          </cell>
          <cell r="G872">
            <v>10</v>
          </cell>
          <cell r="H872">
            <v>0</v>
          </cell>
          <cell r="I872">
            <v>0</v>
          </cell>
        </row>
        <row r="873">
          <cell r="B873" t="str">
            <v>FBR-HYP-REB-LATE-PNL</v>
          </cell>
          <cell r="C873" t="str">
            <v>HYPNOS REBONDED &amp; LATEX MATTRESS PANEL FABRIC</v>
          </cell>
          <cell r="D873" t="str">
            <v>MTR</v>
          </cell>
          <cell r="E873" t="str">
            <v>CBERM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</row>
        <row r="874">
          <cell r="B874" t="str">
            <v>FBR-HYP-REB-MEM-BR</v>
          </cell>
          <cell r="C874" t="str">
            <v>HYPNOS REBONDED &amp; MEMORY MATTRESS BORDER FABRIC</v>
          </cell>
          <cell r="D874" t="str">
            <v>MTR</v>
          </cell>
          <cell r="E874" t="str">
            <v>CBERM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</row>
        <row r="875">
          <cell r="B875" t="str">
            <v>FBR-HYP-REB-MEM-PNL</v>
          </cell>
          <cell r="C875" t="str">
            <v>HYPNOS REBONDED &amp; MEMORY MATTRESS PANEL FABRIC</v>
          </cell>
          <cell r="D875" t="str">
            <v>MTR</v>
          </cell>
          <cell r="E875" t="str">
            <v>CBERM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</row>
        <row r="876">
          <cell r="B876" t="str">
            <v>FBR-ITALIANO-BAHB-REXIN-BRN</v>
          </cell>
          <cell r="C876" t="str">
            <v>ITALIANO BASE &amp; HEADBORAD BROWN REXIN FABRIC</v>
          </cell>
          <cell r="D876" t="str">
            <v>MTR</v>
          </cell>
          <cell r="E876" t="str">
            <v>CBERM</v>
          </cell>
          <cell r="F876">
            <v>0</v>
          </cell>
          <cell r="G876">
            <v>0</v>
          </cell>
          <cell r="H876">
            <v>100</v>
          </cell>
          <cell r="I876">
            <v>200</v>
          </cell>
        </row>
        <row r="877">
          <cell r="B877" t="str">
            <v>FBR-ITALIANO-BAHB-REXIN-MRN</v>
          </cell>
          <cell r="C877" t="str">
            <v>ITALIANO BASE &amp; HEADBORAD MAROON REXIN FABRIC</v>
          </cell>
          <cell r="D877" t="str">
            <v>MTR</v>
          </cell>
          <cell r="E877" t="str">
            <v>CBERM</v>
          </cell>
          <cell r="F877">
            <v>200</v>
          </cell>
          <cell r="G877">
            <v>200</v>
          </cell>
          <cell r="H877">
            <v>100</v>
          </cell>
          <cell r="I877">
            <v>0</v>
          </cell>
        </row>
        <row r="878">
          <cell r="B878" t="str">
            <v>FBR-ITALIANO-CALMRE-PLW</v>
          </cell>
          <cell r="C878" t="str">
            <v>ITALIANO CALMARE PILLOW FABRIC</v>
          </cell>
          <cell r="D878" t="str">
            <v>MTR</v>
          </cell>
          <cell r="E878" t="str">
            <v>CBERM</v>
          </cell>
          <cell r="F878">
            <v>0</v>
          </cell>
          <cell r="G878">
            <v>0</v>
          </cell>
          <cell r="H878">
            <v>100</v>
          </cell>
          <cell r="I878">
            <v>0</v>
          </cell>
        </row>
        <row r="879">
          <cell r="B879" t="str">
            <v>FBR-SANI-ET-PL-BR</v>
          </cell>
          <cell r="C879" t="str">
            <v>SANIBEL EURO TOP PLUSH BORDER FABRIC</v>
          </cell>
          <cell r="D879" t="str">
            <v>MTR</v>
          </cell>
          <cell r="E879" t="str">
            <v>CBERM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</row>
        <row r="880">
          <cell r="B880" t="str">
            <v>FBR-SANI-ET-PL-PNL</v>
          </cell>
          <cell r="C880" t="str">
            <v>SANIBEL EURO TOP PLUSH PANEL FABRIC</v>
          </cell>
          <cell r="D880" t="str">
            <v>MTR</v>
          </cell>
          <cell r="E880" t="str">
            <v>CBERM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B881" t="str">
            <v>RM-BED-SHT-PLN-70X108-WOPC</v>
          </cell>
          <cell r="C881" t="str">
            <v>PEPS 70 X 108 PLAIN BED SHEET</v>
          </cell>
          <cell r="D881" t="str">
            <v>NOS</v>
          </cell>
          <cell r="E881" t="str">
            <v>CBERM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B882" t="str">
            <v>RM-BED-SHT-PLN-90X108-WOPC</v>
          </cell>
          <cell r="C882" t="str">
            <v>PEPS 90 X 108 PLAIN BED SHEET</v>
          </cell>
          <cell r="D882" t="str">
            <v>NOS</v>
          </cell>
          <cell r="E882" t="str">
            <v>CBERM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B883" t="str">
            <v>RML-5PLY-PAD-37X12</v>
          </cell>
          <cell r="C883" t="str">
            <v>5PLY PAD 37"X12"</v>
          </cell>
          <cell r="D883" t="str">
            <v>NOS</v>
          </cell>
          <cell r="E883" t="str">
            <v>CBERM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B884" t="str">
            <v>RM-NWN-POS-50CMX70GSM</v>
          </cell>
          <cell r="C884" t="str">
            <v>NON WOVEN FABRIC 70 GSM x 50 CM - WHITE</v>
          </cell>
          <cell r="D884" t="str">
            <v>KGS</v>
          </cell>
          <cell r="E884" t="str">
            <v>CBERM</v>
          </cell>
          <cell r="F884">
            <v>0</v>
          </cell>
          <cell r="G884">
            <v>0</v>
          </cell>
          <cell r="H884">
            <v>500</v>
          </cell>
          <cell r="I884">
            <v>750</v>
          </cell>
        </row>
        <row r="885">
          <cell r="B885" t="str">
            <v>RM-NWN-POS-58CMX70GSM</v>
          </cell>
          <cell r="C885" t="str">
            <v>NON WOVEN FABRIC 70 GSM x 58 CM - GREEN</v>
          </cell>
          <cell r="D885" t="str">
            <v>KGS</v>
          </cell>
          <cell r="E885" t="str">
            <v>CBERM</v>
          </cell>
          <cell r="F885">
            <v>750</v>
          </cell>
          <cell r="G885">
            <v>750</v>
          </cell>
          <cell r="H885">
            <v>500</v>
          </cell>
          <cell r="I885">
            <v>500</v>
          </cell>
        </row>
        <row r="886">
          <cell r="B886" t="str">
            <v>RM-NWN-POS-64CMX70GSM</v>
          </cell>
          <cell r="C886" t="str">
            <v>NON WOVEN FABRIC 70 GSM x 64 CM - WHITE</v>
          </cell>
          <cell r="D886" t="str">
            <v>KGS</v>
          </cell>
          <cell r="E886" t="str">
            <v>CBERM</v>
          </cell>
          <cell r="F886">
            <v>500</v>
          </cell>
          <cell r="G886">
            <v>500</v>
          </cell>
          <cell r="H886">
            <v>0</v>
          </cell>
          <cell r="I886">
            <v>0</v>
          </cell>
        </row>
        <row r="887">
          <cell r="B887" t="str">
            <v>RM-NWN-QL-86"X20GSM</v>
          </cell>
          <cell r="C887" t="str">
            <v>NON WOVEN FABRIC 20 GSM x 86 INCH - WHITE</v>
          </cell>
          <cell r="D887" t="str">
            <v>KGS</v>
          </cell>
          <cell r="E887" t="str">
            <v>CBERM</v>
          </cell>
          <cell r="F887">
            <v>0</v>
          </cell>
          <cell r="G887">
            <v>0</v>
          </cell>
          <cell r="H887">
            <v>1500</v>
          </cell>
          <cell r="I887">
            <v>3000</v>
          </cell>
        </row>
        <row r="888">
          <cell r="B888" t="str">
            <v>RM-NWN-QL-POS-90"X40GSM</v>
          </cell>
          <cell r="C888" t="str">
            <v>NON WOVEN FABRIC 40 GSM x 90 INCH - WHITE</v>
          </cell>
          <cell r="D888" t="str">
            <v>KGS</v>
          </cell>
          <cell r="E888" t="str">
            <v>CBERM</v>
          </cell>
          <cell r="F888">
            <v>3000</v>
          </cell>
          <cell r="G888">
            <v>3000</v>
          </cell>
          <cell r="H888">
            <v>120</v>
          </cell>
          <cell r="I888">
            <v>200</v>
          </cell>
        </row>
        <row r="889">
          <cell r="B889" t="str">
            <v>RM-PEPS-MAT-MRP-LBL-DEL</v>
          </cell>
          <cell r="C889" t="str">
            <v>PEPS MATTRESSES PLAIN MRP LABEL - (DELHI ADDRESS)</v>
          </cell>
          <cell r="D889" t="str">
            <v>NOS</v>
          </cell>
          <cell r="E889" t="str">
            <v>CBERM</v>
          </cell>
          <cell r="F889">
            <v>200</v>
          </cell>
          <cell r="G889">
            <v>200</v>
          </cell>
          <cell r="H889">
            <v>2500</v>
          </cell>
          <cell r="I889">
            <v>0</v>
          </cell>
        </row>
        <row r="890">
          <cell r="B890" t="str">
            <v>RM-PEPS-MAT-MRP-LBL-KOL</v>
          </cell>
          <cell r="C890" t="str">
            <v>PEPS MATTRESSES PLAIN MRP LABEL - (KOLKATA ADDRESS)</v>
          </cell>
          <cell r="D890" t="str">
            <v>NOS</v>
          </cell>
          <cell r="E890" t="str">
            <v>CBERM</v>
          </cell>
          <cell r="F890">
            <v>0</v>
          </cell>
          <cell r="G890">
            <v>0</v>
          </cell>
          <cell r="H890">
            <v>2500</v>
          </cell>
          <cell r="I890">
            <v>0</v>
          </cell>
        </row>
        <row r="891">
          <cell r="B891" t="str">
            <v>RM-PEPS-MAT-MRP-LBL-PUNE</v>
          </cell>
          <cell r="C891" t="str">
            <v>PEPS MATTRESSES PLAIN MRP LABEL - (PUNE ADDRESS)</v>
          </cell>
          <cell r="D891" t="str">
            <v>NOS</v>
          </cell>
          <cell r="E891" t="str">
            <v>CBERM</v>
          </cell>
          <cell r="F891">
            <v>0</v>
          </cell>
          <cell r="G891">
            <v>0</v>
          </cell>
          <cell r="H891">
            <v>2500</v>
          </cell>
          <cell r="I891">
            <v>0</v>
          </cell>
        </row>
        <row r="892">
          <cell r="B892" t="str">
            <v>RM-PEPS-MAT-MRP-LBL-RED</v>
          </cell>
          <cell r="C892" t="str">
            <v>PEPS MATTRESSES PLAIN MRP LABEL - (RED)</v>
          </cell>
          <cell r="D892" t="str">
            <v>NOS</v>
          </cell>
          <cell r="E892" t="str">
            <v>CBERM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</row>
        <row r="893">
          <cell r="B893" t="str">
            <v>RM-PEPS-MAT-MRP-LBL-YEL</v>
          </cell>
          <cell r="C893" t="str">
            <v>PEPS MATTRESSES PLAIN MRP LABEL - (YELLOW)</v>
          </cell>
          <cell r="D893" t="str">
            <v>NOS</v>
          </cell>
          <cell r="E893" t="str">
            <v>CBERM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</row>
        <row r="894">
          <cell r="B894" t="str">
            <v>RM-PLS-KNIF</v>
          </cell>
          <cell r="C894" t="str">
            <v>PLASTIC KNIFE</v>
          </cell>
          <cell r="D894" t="str">
            <v>NOS</v>
          </cell>
          <cell r="E894" t="str">
            <v>CBERM</v>
          </cell>
          <cell r="F894">
            <v>0</v>
          </cell>
          <cell r="G894">
            <v>0</v>
          </cell>
          <cell r="H894">
            <v>250</v>
          </cell>
          <cell r="I894">
            <v>0</v>
          </cell>
        </row>
        <row r="895">
          <cell r="B895" t="str">
            <v>RML-BAG-9X18</v>
          </cell>
          <cell r="C895" t="str">
            <v>PVC BAG 9 X 18</v>
          </cell>
          <cell r="D895" t="str">
            <v>NOS</v>
          </cell>
          <cell r="E895" t="str">
            <v>CBERM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</row>
        <row r="896">
          <cell r="B896" t="str">
            <v>RML-BED-SHT-100X110</v>
          </cell>
          <cell r="C896" t="str">
            <v>PEPS 100 X 110 BED SHEET WITH 2 PILLOW COVERS</v>
          </cell>
          <cell r="D896" t="str">
            <v>NOS</v>
          </cell>
          <cell r="E896" t="str">
            <v>CBERM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</row>
        <row r="897">
          <cell r="B897" t="str">
            <v>RML-BED-SHT-100X70</v>
          </cell>
          <cell r="C897" t="str">
            <v>PEPS 70 X 100 BED SHEET WITH 2 PILLOW COVERS</v>
          </cell>
          <cell r="D897" t="str">
            <v>NOS</v>
          </cell>
          <cell r="E897" t="str">
            <v>CBERM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</row>
        <row r="898">
          <cell r="B898" t="str">
            <v>RML-BED-SHT-100X70-4PC</v>
          </cell>
          <cell r="C898" t="str">
            <v>PEPS 70 X 100 BED SHEET WITH 4 PILLOW COVERS</v>
          </cell>
          <cell r="D898" t="str">
            <v>NOS</v>
          </cell>
          <cell r="E898" t="str">
            <v>CBERM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</row>
        <row r="899">
          <cell r="B899" t="str">
            <v>RML-CFRP-90X100X200TC</v>
          </cell>
          <cell r="C899" t="str">
            <v>PEPS 90X100 QUILTED- 200TC 1.CM STRIPE COMFORTER</v>
          </cell>
          <cell r="D899" t="str">
            <v>NOS</v>
          </cell>
          <cell r="E899" t="str">
            <v>CBERM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</row>
        <row r="900">
          <cell r="B900" t="str">
            <v>RML-CLRBELLA-DOB-100X108</v>
          </cell>
          <cell r="C900" t="str">
            <v>PEPS CLARABELLA BEDSHEET DOUBLE 100X108</v>
          </cell>
          <cell r="D900" t="str">
            <v>NOS</v>
          </cell>
          <cell r="E900" t="str">
            <v>CBERM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</row>
        <row r="901">
          <cell r="B901" t="str">
            <v>RML-CLRBELLA-SIN-70X108</v>
          </cell>
          <cell r="C901" t="str">
            <v>PEPS CLARABELLA BEDSHEET SINGLE 70X108</v>
          </cell>
          <cell r="D901" t="str">
            <v>NOS</v>
          </cell>
          <cell r="E901" t="str">
            <v>CBERM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</row>
        <row r="902">
          <cell r="B902" t="str">
            <v>STY-THREAD-TRIMMER</v>
          </cell>
          <cell r="C902" t="str">
            <v>THREAD TRIMMER</v>
          </cell>
          <cell r="D902" t="str">
            <v>NOS</v>
          </cell>
          <cell r="E902" t="str">
            <v>CBERM</v>
          </cell>
          <cell r="F902">
            <v>0</v>
          </cell>
          <cell r="G902">
            <v>0</v>
          </cell>
          <cell r="H902">
            <v>50</v>
          </cell>
          <cell r="I902">
            <v>0</v>
          </cell>
        </row>
        <row r="903">
          <cell r="B903" t="str">
            <v>STY-WIRE-CUT</v>
          </cell>
          <cell r="C903" t="str">
            <v>STEEL WIRE CUTTER</v>
          </cell>
          <cell r="D903" t="str">
            <v>NOS</v>
          </cell>
          <cell r="E903" t="str">
            <v>CBERM</v>
          </cell>
          <cell r="F903">
            <v>0</v>
          </cell>
          <cell r="G903">
            <v>0</v>
          </cell>
          <cell r="H903">
            <v>10</v>
          </cell>
          <cell r="I903">
            <v>10</v>
          </cell>
        </row>
        <row r="904">
          <cell r="B904" t="str">
            <v>RML-BAG-72.5X36.5X10.5</v>
          </cell>
          <cell r="C904" t="str">
            <v>PVC BAG 72.5WX36.5HX10.5G</v>
          </cell>
          <cell r="D904" t="str">
            <v>NOS</v>
          </cell>
          <cell r="E904" t="str">
            <v>CBERM</v>
          </cell>
          <cell r="F904">
            <v>10</v>
          </cell>
          <cell r="G904">
            <v>10</v>
          </cell>
          <cell r="H904">
            <v>0</v>
          </cell>
          <cell r="I904">
            <v>0</v>
          </cell>
        </row>
        <row r="905">
          <cell r="B905" t="str">
            <v>RML-BAG-72.5X36.5X13.5</v>
          </cell>
          <cell r="C905" t="str">
            <v>PVC BAG 72.5X36.5X13.5</v>
          </cell>
          <cell r="D905" t="str">
            <v>NOS</v>
          </cell>
          <cell r="E905" t="str">
            <v>CBERM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B906" t="str">
            <v>RML-BAG-72.5X36.5X8.5</v>
          </cell>
          <cell r="C906" t="str">
            <v>PVC BAG 72.5WX36.5HX8.5G</v>
          </cell>
          <cell r="D906" t="str">
            <v>NOS</v>
          </cell>
          <cell r="E906" t="str">
            <v>CBERM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B907" t="str">
            <v>RML-BAG-72.5X48.5X14.5</v>
          </cell>
          <cell r="C907" t="str">
            <v>PVC BAG 72.5WX48.5HX14.5G</v>
          </cell>
          <cell r="D907" t="str">
            <v>NOS</v>
          </cell>
          <cell r="E907" t="str">
            <v>CBERM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B908" t="str">
            <v>RML-BAG-75.5X48.5X10.5</v>
          </cell>
          <cell r="C908" t="str">
            <v>PVC BAG 75.5X48.5X10.5</v>
          </cell>
          <cell r="D908" t="str">
            <v>NOS</v>
          </cell>
          <cell r="E908" t="str">
            <v>CBERM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B909" t="str">
            <v>RML-BAG-75.5X48.5X11.5</v>
          </cell>
          <cell r="C909" t="str">
            <v>PVC BAG 75.5X48.5X11.5</v>
          </cell>
          <cell r="D909" t="str">
            <v>NOS</v>
          </cell>
          <cell r="E909" t="str">
            <v>CBERM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B910" t="str">
            <v>RML-BAG-75.5X48.5X13.5</v>
          </cell>
          <cell r="C910" t="str">
            <v>PVC BAG 75.5X48.5X13.5</v>
          </cell>
          <cell r="D910" t="str">
            <v>NOS</v>
          </cell>
          <cell r="E910" t="str">
            <v>CBERM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B911" t="str">
            <v>RML-BAG-75.5X60.5X10.5</v>
          </cell>
          <cell r="C911" t="str">
            <v>PVC BAG 75.5X60.5X10.5</v>
          </cell>
          <cell r="D911" t="str">
            <v>NOS</v>
          </cell>
          <cell r="E911" t="str">
            <v>CBERM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</row>
        <row r="912">
          <cell r="B912" t="str">
            <v>RML-BAG-75.5X60.5X11.5</v>
          </cell>
          <cell r="C912" t="str">
            <v>PVC BAG 75.5X60.5X11.5</v>
          </cell>
          <cell r="D912" t="str">
            <v>NOS</v>
          </cell>
          <cell r="E912" t="str">
            <v>CBERM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</row>
        <row r="913">
          <cell r="B913" t="str">
            <v>RML-BAG-75.5X60.5X13.5</v>
          </cell>
          <cell r="C913" t="str">
            <v>PVC BAG 75.5X60.5X13.5</v>
          </cell>
          <cell r="D913" t="str">
            <v>NOS</v>
          </cell>
          <cell r="E913" t="str">
            <v>CBERM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</row>
        <row r="914">
          <cell r="B914" t="str">
            <v>RML-HSCF-2DX64MM</v>
          </cell>
          <cell r="C914" t="str">
            <v>2D X 64MM HOLLOW SILICONIZED FIBER - ( AIRLITE )</v>
          </cell>
          <cell r="D914" t="str">
            <v>KGS</v>
          </cell>
          <cell r="E914" t="str">
            <v>CBERM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</row>
        <row r="915">
          <cell r="B915" t="str">
            <v>RML-BAG-78.5X60.5X8.5</v>
          </cell>
          <cell r="C915" t="str">
            <v>PVC BAG 78.5WX60.5HX8.5G</v>
          </cell>
          <cell r="D915" t="str">
            <v>NOS</v>
          </cell>
          <cell r="E915" t="str">
            <v>CBERM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</row>
        <row r="916">
          <cell r="B916" t="str">
            <v>RML-ITALIANO-BELI-MIN-SDE-LBL</v>
          </cell>
          <cell r="C916" t="str">
            <v>ITALIANO BELLISMO MINI SAMPLE SIDE LABEL</v>
          </cell>
          <cell r="D916" t="str">
            <v>NOS</v>
          </cell>
          <cell r="E916" t="str">
            <v>CBERM</v>
          </cell>
          <cell r="F916">
            <v>0</v>
          </cell>
          <cell r="G916">
            <v>0</v>
          </cell>
          <cell r="H916">
            <v>25</v>
          </cell>
          <cell r="I916">
            <v>0</v>
          </cell>
        </row>
        <row r="917">
          <cell r="B917" t="str">
            <v>RML-CS-ITALIANO-BELLISIMO-10</v>
          </cell>
          <cell r="C917" t="str">
            <v>ITALIANO BELLISIMO CORNER SHOES - 10"</v>
          </cell>
          <cell r="D917" t="str">
            <v>NOS</v>
          </cell>
          <cell r="E917" t="str">
            <v>CBERM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</row>
        <row r="918">
          <cell r="B918" t="str">
            <v>RML-CS-ITALIANO-BELLISIMO-12</v>
          </cell>
          <cell r="C918" t="str">
            <v>ITALIANO BELLISIMO CORNER SHOES - 12"</v>
          </cell>
          <cell r="D918" t="str">
            <v>NOS</v>
          </cell>
          <cell r="E918" t="str">
            <v>CBERM</v>
          </cell>
          <cell r="F918">
            <v>0</v>
          </cell>
          <cell r="G918">
            <v>0</v>
          </cell>
          <cell r="H918">
            <v>100</v>
          </cell>
          <cell r="I918">
            <v>0</v>
          </cell>
        </row>
        <row r="919">
          <cell r="B919" t="str">
            <v>RML-CS-ITALIANO-ENCHANTO-11</v>
          </cell>
          <cell r="C919" t="str">
            <v>ITALIANO ENCHANTO CORNER SHOES - 11"</v>
          </cell>
          <cell r="D919" t="str">
            <v>NOS</v>
          </cell>
          <cell r="E919" t="str">
            <v>CBERM</v>
          </cell>
          <cell r="F919">
            <v>0</v>
          </cell>
          <cell r="G919">
            <v>0</v>
          </cell>
          <cell r="H919">
            <v>100</v>
          </cell>
          <cell r="I919">
            <v>0</v>
          </cell>
        </row>
        <row r="920">
          <cell r="B920" t="str">
            <v>RML-ITALIANO-CFRP-MP-MRP-LBL</v>
          </cell>
          <cell r="C920" t="str">
            <v>ITALIANO MICRO POLYESTER DOUBLE COMFORTER MRP LABEL</v>
          </cell>
          <cell r="D920" t="str">
            <v>NOS</v>
          </cell>
          <cell r="E920" t="str">
            <v>CBERM</v>
          </cell>
          <cell r="F920">
            <v>0</v>
          </cell>
          <cell r="G920">
            <v>0</v>
          </cell>
          <cell r="H920">
            <v>500</v>
          </cell>
          <cell r="I920">
            <v>0</v>
          </cell>
        </row>
        <row r="921">
          <cell r="B921" t="str">
            <v>RML-ITALIANO-COMF-WSCR-LBL</v>
          </cell>
          <cell r="C921" t="str">
            <v>ITALIANO COMFORTER WASH CARE LABEL</v>
          </cell>
          <cell r="D921" t="str">
            <v>NOS</v>
          </cell>
          <cell r="E921" t="str">
            <v>CBERM</v>
          </cell>
          <cell r="F921">
            <v>0</v>
          </cell>
          <cell r="G921">
            <v>0</v>
          </cell>
          <cell r="H921">
            <v>500</v>
          </cell>
          <cell r="I921">
            <v>0</v>
          </cell>
        </row>
        <row r="922">
          <cell r="B922" t="str">
            <v>RML-CS-ITALIANO-ENCHANTO-CT-10</v>
          </cell>
          <cell r="C922" t="str">
            <v>ITALIANO ENCHANTO CROWN TOP CORNER SHOES - 10"</v>
          </cell>
          <cell r="D922" t="str">
            <v>NOS</v>
          </cell>
          <cell r="E922" t="str">
            <v>CBERM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</row>
        <row r="923">
          <cell r="B923" t="str">
            <v>RML-CS-ITALIANO-ENCHANTO-NRML-10</v>
          </cell>
          <cell r="C923" t="str">
            <v>ITALIANO ENCHANTO NORMAL CORNER SHOES - 10"</v>
          </cell>
          <cell r="D923" t="str">
            <v>NOS</v>
          </cell>
          <cell r="E923" t="str">
            <v>CBERM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</row>
        <row r="924">
          <cell r="B924" t="str">
            <v>RML-CS-ITALIANO-ICONA-10</v>
          </cell>
          <cell r="C924" t="str">
            <v>ITALIANO ICONA CORNER SHOES - 10"</v>
          </cell>
          <cell r="D924" t="str">
            <v>NOS</v>
          </cell>
          <cell r="E924" t="str">
            <v>CBERM</v>
          </cell>
          <cell r="F924">
            <v>0</v>
          </cell>
          <cell r="G924">
            <v>0</v>
          </cell>
          <cell r="H924">
            <v>100</v>
          </cell>
          <cell r="I924">
            <v>0</v>
          </cell>
        </row>
        <row r="925">
          <cell r="B925" t="str">
            <v>RML-ITALIANO-ENCH-MIN-SDE-LBL</v>
          </cell>
          <cell r="C925" t="str">
            <v>ITALIANO ENCHANTO MINI SAMPLE SIDE LABEL</v>
          </cell>
          <cell r="D925" t="str">
            <v>NOS</v>
          </cell>
          <cell r="E925" t="str">
            <v>CBERM</v>
          </cell>
          <cell r="F925">
            <v>0</v>
          </cell>
          <cell r="G925">
            <v>0</v>
          </cell>
          <cell r="H925">
            <v>25</v>
          </cell>
          <cell r="I925">
            <v>0</v>
          </cell>
        </row>
        <row r="926">
          <cell r="B926" t="str">
            <v>RML-ITALIANO-KOM-COM-PVC-BAG</v>
          </cell>
          <cell r="C926" t="str">
            <v>ITALIANO COMFORTER PVC BAG ( W 22" x H 16.5" x G 6.5" )</v>
          </cell>
          <cell r="D926" t="str">
            <v>NOS</v>
          </cell>
          <cell r="E926" t="str">
            <v>CBERM</v>
          </cell>
          <cell r="F926">
            <v>0</v>
          </cell>
          <cell r="G926">
            <v>0</v>
          </cell>
          <cell r="H926">
            <v>250</v>
          </cell>
          <cell r="I926">
            <v>0</v>
          </cell>
        </row>
        <row r="927">
          <cell r="B927" t="str">
            <v>RML-ITALIANO-KOM-PIL-PVC-BAG</v>
          </cell>
          <cell r="C927" t="str">
            <v>ITALIANO SLUMBERLAND PILLOW PVC BAG ( W 32" x H 23" )</v>
          </cell>
          <cell r="D927" t="str">
            <v>NOS</v>
          </cell>
          <cell r="E927" t="str">
            <v>CBERM</v>
          </cell>
          <cell r="F927">
            <v>0</v>
          </cell>
          <cell r="G927">
            <v>0</v>
          </cell>
          <cell r="H927">
            <v>400</v>
          </cell>
          <cell r="I927">
            <v>0</v>
          </cell>
        </row>
        <row r="928">
          <cell r="B928" t="str">
            <v>RML-CS-ITALIANO-ICONA-8</v>
          </cell>
          <cell r="C928" t="str">
            <v>ITALIANO ICONA CORNER SHOES - 8"</v>
          </cell>
          <cell r="D928" t="str">
            <v>NOS</v>
          </cell>
          <cell r="E928" t="str">
            <v>CBERM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</row>
        <row r="929">
          <cell r="B929" t="str">
            <v>RML-ITALIANO-SL-FIB-PLW-MRP-LBL</v>
          </cell>
          <cell r="C929" t="str">
            <v>ITALIANO SLUMBERLAND MIC.FIBER PILLOW MRP LABEL</v>
          </cell>
          <cell r="D929" t="str">
            <v>NOS</v>
          </cell>
          <cell r="E929" t="str">
            <v>CBERM</v>
          </cell>
          <cell r="F929">
            <v>0</v>
          </cell>
          <cell r="G929">
            <v>0</v>
          </cell>
          <cell r="H929">
            <v>500</v>
          </cell>
          <cell r="I929">
            <v>0</v>
          </cell>
        </row>
        <row r="930">
          <cell r="B930" t="str">
            <v>RML-ITALIANO-SL-FIB-PLW-WSCR-LBL</v>
          </cell>
          <cell r="C930" t="str">
            <v>ITALIANO SLUMBERLAND MIC.FIBER PILLOW WASH CARE LABEL</v>
          </cell>
          <cell r="D930" t="str">
            <v>NOS</v>
          </cell>
          <cell r="E930" t="str">
            <v>CBERM</v>
          </cell>
          <cell r="F930">
            <v>0</v>
          </cell>
          <cell r="G930">
            <v>0</v>
          </cell>
          <cell r="H930">
            <v>500</v>
          </cell>
          <cell r="I930">
            <v>0</v>
          </cell>
        </row>
        <row r="931">
          <cell r="B931" t="str">
            <v>RML-CS-ITALIANO-MAGNIFICO-12</v>
          </cell>
          <cell r="C931" t="str">
            <v>ITALIANO MAGNIFICO CORNER SHOES - 12"</v>
          </cell>
          <cell r="D931" t="str">
            <v>NOS</v>
          </cell>
          <cell r="E931" t="str">
            <v>CBERM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</row>
        <row r="932">
          <cell r="B932" t="str">
            <v>RML-CS-ITALIANO-MAGNIFICO-14</v>
          </cell>
          <cell r="C932" t="str">
            <v>ITALIANO MAGNIFICO CORNER SHOES - 14"</v>
          </cell>
          <cell r="D932" t="str">
            <v>NOS</v>
          </cell>
          <cell r="E932" t="str">
            <v>CBERM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</row>
        <row r="933">
          <cell r="B933" t="str">
            <v>RML-KOM-ITALIANO-SL-FB-PLW-30X20</v>
          </cell>
          <cell r="C933" t="str">
            <v>ITALIANO - SLUMBERLAND MIC.FIBER PILLOW 30X20</v>
          </cell>
          <cell r="D933" t="str">
            <v>NOS</v>
          </cell>
          <cell r="E933" t="str">
            <v>CBERM</v>
          </cell>
          <cell r="F933">
            <v>0</v>
          </cell>
          <cell r="G933">
            <v>0</v>
          </cell>
          <cell r="H933">
            <v>150</v>
          </cell>
          <cell r="I933">
            <v>0</v>
          </cell>
        </row>
        <row r="934">
          <cell r="B934" t="str">
            <v>RML-CS-ITALIANO-SERENITA-9</v>
          </cell>
          <cell r="C934" t="str">
            <v>ITALIANO SERENITA CORNER SHOES - 9"</v>
          </cell>
          <cell r="D934" t="str">
            <v>NOS</v>
          </cell>
          <cell r="E934" t="str">
            <v>CBERM</v>
          </cell>
          <cell r="F934">
            <v>0</v>
          </cell>
          <cell r="G934">
            <v>0</v>
          </cell>
          <cell r="H934">
            <v>100</v>
          </cell>
          <cell r="I934">
            <v>0</v>
          </cell>
        </row>
        <row r="935">
          <cell r="B935" t="str">
            <v>RML-CS-ITALIANO-SERENITA-CT-8</v>
          </cell>
          <cell r="C935" t="str">
            <v>ITALIANO SERENITA CROWN TOP CORNER SHOES - 8"</v>
          </cell>
          <cell r="D935" t="str">
            <v>NOS</v>
          </cell>
          <cell r="E935" t="str">
            <v>CBERM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</row>
        <row r="936">
          <cell r="B936" t="str">
            <v>RML-CS-ITALIANO-SERENITA-NRML-8</v>
          </cell>
          <cell r="C936" t="str">
            <v>ITALIANO SERENITA NORMAL CORNER SHOES - 8"</v>
          </cell>
          <cell r="D936" t="str">
            <v>NOS</v>
          </cell>
          <cell r="E936" t="str">
            <v>CBERM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</row>
        <row r="937">
          <cell r="B937" t="str">
            <v>RML-ITALIANO-BED-RUN</v>
          </cell>
          <cell r="C937" t="str">
            <v>ITALIANO BED RUNNER 90"X20"</v>
          </cell>
          <cell r="D937" t="str">
            <v>NOS</v>
          </cell>
          <cell r="E937" t="str">
            <v>CBERM</v>
          </cell>
          <cell r="F937">
            <v>0</v>
          </cell>
          <cell r="G937">
            <v>0</v>
          </cell>
          <cell r="H937">
            <v>100</v>
          </cell>
          <cell r="I937">
            <v>0</v>
          </cell>
        </row>
        <row r="938">
          <cell r="B938" t="str">
            <v>RML-PEPS-FTD-SHT-INS</v>
          </cell>
          <cell r="C938" t="str">
            <v>PEPS FITTED SHEET INSERTER</v>
          </cell>
          <cell r="D938" t="str">
            <v>NOS</v>
          </cell>
          <cell r="E938" t="str">
            <v>CBERM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</row>
        <row r="939">
          <cell r="B939" t="str">
            <v>RML-PF-BLNK-CB-60X90</v>
          </cell>
          <cell r="C939" t="str">
            <v>PEPS POLAR FLEECE BLANKET CORAL BLUE 60X90 INCH</v>
          </cell>
          <cell r="D939" t="str">
            <v>NOS</v>
          </cell>
          <cell r="E939" t="str">
            <v>CBERM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</row>
        <row r="940">
          <cell r="B940" t="str">
            <v>RML-PF-BLNK-CB-90X100</v>
          </cell>
          <cell r="C940" t="str">
            <v>PEPS POLAR FLEECE BLANKET CORAL BLUE 90X100 INCH</v>
          </cell>
          <cell r="D940" t="str">
            <v>NOS</v>
          </cell>
          <cell r="E940" t="str">
            <v>CBERM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</row>
        <row r="941">
          <cell r="B941" t="str">
            <v>RML-ITALIANO-CALMRE-PLW-MRP-LBL</v>
          </cell>
          <cell r="C941" t="str">
            <v>ITALIANO CALMARE NECK GUARD 100% MEMORY PILLOW MRP LABLE</v>
          </cell>
          <cell r="D941" t="str">
            <v>NOS</v>
          </cell>
          <cell r="E941" t="str">
            <v>CBERM</v>
          </cell>
          <cell r="F941">
            <v>0</v>
          </cell>
          <cell r="G941">
            <v>0</v>
          </cell>
          <cell r="H941">
            <v>750</v>
          </cell>
          <cell r="I941">
            <v>0</v>
          </cell>
        </row>
        <row r="942">
          <cell r="B942" t="str">
            <v>RML-STW-2.0MM</v>
          </cell>
          <cell r="C942" t="str">
            <v>2.0MM Spring Steel Wire-Grade II</v>
          </cell>
          <cell r="D942" t="str">
            <v>KGS</v>
          </cell>
          <cell r="E942" t="str">
            <v>CBERM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</row>
        <row r="943">
          <cell r="B943" t="str">
            <v>RML-STW-4.0MM</v>
          </cell>
          <cell r="C943" t="str">
            <v>STEEL WIRE 4.0 MM DIA</v>
          </cell>
          <cell r="D943" t="str">
            <v>KGS</v>
          </cell>
          <cell r="E943" t="str">
            <v>CBERM</v>
          </cell>
          <cell r="F943">
            <v>0</v>
          </cell>
          <cell r="G943">
            <v>0</v>
          </cell>
          <cell r="H943">
            <v>5000</v>
          </cell>
          <cell r="I943">
            <v>0</v>
          </cell>
        </row>
        <row r="944">
          <cell r="B944" t="str">
            <v>RML-STW-4.6MM</v>
          </cell>
          <cell r="C944" t="str">
            <v>STEEL WIRE 4.6 MM DIA</v>
          </cell>
          <cell r="D944" t="str">
            <v>KGS</v>
          </cell>
          <cell r="E944" t="str">
            <v>CBERM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</row>
        <row r="945">
          <cell r="B945" t="str">
            <v>RM-LTX-200X180X2.5CM</v>
          </cell>
          <cell r="C945" t="str">
            <v>LATEX SHEET 65D- 200CM X 180CM X 2.5CM</v>
          </cell>
          <cell r="D945" t="str">
            <v>NOS</v>
          </cell>
          <cell r="E945" t="str">
            <v>CBERM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</row>
        <row r="946">
          <cell r="B946" t="str">
            <v>RM-PLW-CVR-WH-PLN</v>
          </cell>
          <cell r="C946" t="str">
            <v>PEPS NORMAL WHITE PLAIN PILLOW COVER 28"X18"</v>
          </cell>
          <cell r="D946" t="str">
            <v>NOS</v>
          </cell>
          <cell r="E946" t="str">
            <v>CBERM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</row>
        <row r="947">
          <cell r="B947" t="str">
            <v>RML-ITALIANO-EDTAPE-BEIGE</v>
          </cell>
          <cell r="C947" t="str">
            <v>ITALIANO EDGE TAPE BEIGE - 42MM</v>
          </cell>
          <cell r="D947" t="str">
            <v>MTR</v>
          </cell>
          <cell r="E947" t="str">
            <v>CBERM</v>
          </cell>
          <cell r="F947">
            <v>0</v>
          </cell>
          <cell r="G947">
            <v>0</v>
          </cell>
          <cell r="H947">
            <v>1500</v>
          </cell>
          <cell r="I947">
            <v>0</v>
          </cell>
        </row>
        <row r="948">
          <cell r="B948" t="str">
            <v>RML-ITALIANO-EDTAPE-LBLUE</v>
          </cell>
          <cell r="C948" t="str">
            <v>ITALIANO EDGE TAPE L-BLUE - 42MM</v>
          </cell>
          <cell r="D948" t="str">
            <v>MTR</v>
          </cell>
          <cell r="E948" t="str">
            <v>CBERM</v>
          </cell>
          <cell r="F948">
            <v>0</v>
          </cell>
          <cell r="G948">
            <v>0</v>
          </cell>
          <cell r="H948">
            <v>1500</v>
          </cell>
          <cell r="I948">
            <v>0</v>
          </cell>
        </row>
        <row r="949">
          <cell r="B949" t="str">
            <v>RML-ITALIANO-EDTAPE-MRN</v>
          </cell>
          <cell r="C949" t="str">
            <v>ITALIANO EDGE TAPE MAROON - 42MM</v>
          </cell>
          <cell r="D949" t="str">
            <v>MTR</v>
          </cell>
          <cell r="E949" t="str">
            <v>CBERM</v>
          </cell>
          <cell r="F949">
            <v>0</v>
          </cell>
          <cell r="G949">
            <v>0</v>
          </cell>
          <cell r="H949">
            <v>1500</v>
          </cell>
          <cell r="I949">
            <v>1600</v>
          </cell>
        </row>
        <row r="950">
          <cell r="B950" t="str">
            <v>RML-ITALIANO-PRE-WCRD</v>
          </cell>
          <cell r="C950" t="str">
            <v>ITALIANO PREMIUM WARRANTY CARD</v>
          </cell>
          <cell r="D950" t="str">
            <v>NOS</v>
          </cell>
          <cell r="E950" t="str">
            <v>CBERM</v>
          </cell>
          <cell r="F950">
            <v>1600</v>
          </cell>
          <cell r="G950">
            <v>1600</v>
          </cell>
          <cell r="H950">
            <v>0</v>
          </cell>
          <cell r="I950">
            <v>0</v>
          </cell>
        </row>
        <row r="951">
          <cell r="B951" t="str">
            <v>RML-ITALIANO-STEEL-LEG</v>
          </cell>
          <cell r="C951" t="str">
            <v>ITALIANO BASE STEEL LEG</v>
          </cell>
          <cell r="D951" t="str">
            <v>NOS</v>
          </cell>
          <cell r="E951" t="str">
            <v>CBERM</v>
          </cell>
          <cell r="F951">
            <v>0</v>
          </cell>
          <cell r="G951">
            <v>0</v>
          </cell>
          <cell r="H951">
            <v>350</v>
          </cell>
          <cell r="I951">
            <v>0</v>
          </cell>
        </row>
        <row r="952">
          <cell r="B952" t="str">
            <v>FBR-ITALIANO-SERENITA-BR</v>
          </cell>
          <cell r="C952" t="str">
            <v>ITALIANO - SERENITA L-BLUE BORDER FABRIC - ( PRE )</v>
          </cell>
          <cell r="D952" t="str">
            <v>MTR</v>
          </cell>
          <cell r="E952" t="str">
            <v>CBERM</v>
          </cell>
          <cell r="F952">
            <v>0</v>
          </cell>
          <cell r="G952">
            <v>0</v>
          </cell>
          <cell r="H952">
            <v>100</v>
          </cell>
          <cell r="I952">
            <v>0</v>
          </cell>
        </row>
        <row r="953">
          <cell r="B953" t="str">
            <v>FBR-MAT-ZIP-CVR-FAB-MLT-CLR</v>
          </cell>
          <cell r="C953" t="str">
            <v>Mattress Zipper Cover Fabric (Multi Colour)</v>
          </cell>
          <cell r="D953" t="str">
            <v>MTR</v>
          </cell>
          <cell r="E953" t="str">
            <v>CBERM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</row>
        <row r="954">
          <cell r="B954" t="str">
            <v>PEPS-CUSPOLFIL16X16-DB</v>
          </cell>
          <cell r="C954" t="str">
            <v>PEPS DARK BLUE CUSHION 16X16</v>
          </cell>
          <cell r="D954" t="str">
            <v>NOS</v>
          </cell>
          <cell r="E954" t="str">
            <v>CBERM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</row>
        <row r="955">
          <cell r="B955" t="str">
            <v>RMI-CTNF-78X43</v>
          </cell>
          <cell r="C955" t="str">
            <v>COTTON FELT 78" X 43" X 6MM - 700GSM</v>
          </cell>
          <cell r="D955" t="str">
            <v>KGS</v>
          </cell>
          <cell r="E955" t="str">
            <v>CBERM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</row>
        <row r="956">
          <cell r="B956" t="str">
            <v>RMI-CTNF-78X70</v>
          </cell>
          <cell r="C956" t="str">
            <v>COTTON FELT 78" X 70" X 6MM - 700GSM</v>
          </cell>
          <cell r="D956" t="str">
            <v>KGS</v>
          </cell>
          <cell r="E956" t="str">
            <v>CBERM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</row>
        <row r="957">
          <cell r="B957" t="str">
            <v>RMI-CTNF-79.5X35.5</v>
          </cell>
          <cell r="C957" t="str">
            <v>COTTON FELT 79.5" X 35.5" X 6MM - 700GSM</v>
          </cell>
          <cell r="D957" t="str">
            <v>KGS</v>
          </cell>
          <cell r="E957" t="str">
            <v>CBERM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</row>
        <row r="958">
          <cell r="B958" t="str">
            <v>RMI-CTNF-79.5X71.5</v>
          </cell>
          <cell r="C958" t="str">
            <v>COTTON FELT 79.5" X 71.5" X 6MM - 700GSM</v>
          </cell>
          <cell r="D958" t="str">
            <v>KGS</v>
          </cell>
          <cell r="E958" t="str">
            <v>CBERM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</row>
        <row r="959">
          <cell r="B959" t="str">
            <v>RML-ITALIANO-ULT-PRE-WCRD</v>
          </cell>
          <cell r="C959" t="str">
            <v>ITALIANO ULTRA PREMIUM WARRANTY CARD</v>
          </cell>
          <cell r="D959" t="str">
            <v>NOS</v>
          </cell>
          <cell r="E959" t="str">
            <v>CBERM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</row>
        <row r="960">
          <cell r="B960" t="str">
            <v>RML-MAT-DIR-LBL-MARI</v>
          </cell>
          <cell r="C960" t="str">
            <v>Mattress Direction Label (Marigold)</v>
          </cell>
          <cell r="D960" t="str">
            <v>NOS</v>
          </cell>
          <cell r="E960" t="str">
            <v>CBERM</v>
          </cell>
          <cell r="F960">
            <v>0</v>
          </cell>
          <cell r="G960">
            <v>0</v>
          </cell>
          <cell r="H960">
            <v>100</v>
          </cell>
          <cell r="I960">
            <v>0</v>
          </cell>
        </row>
        <row r="961">
          <cell r="B961" t="str">
            <v>RML-MAT-USE-CARE-INS-LBL-MARI</v>
          </cell>
          <cell r="C961" t="str">
            <v>Mattress Use &amp; Care Instruction Label  (Marigold)</v>
          </cell>
          <cell r="D961" t="str">
            <v>NOS</v>
          </cell>
          <cell r="E961" t="str">
            <v>CBERM</v>
          </cell>
          <cell r="F961">
            <v>0</v>
          </cell>
          <cell r="G961">
            <v>0</v>
          </cell>
          <cell r="H961">
            <v>100</v>
          </cell>
          <cell r="I961">
            <v>0</v>
          </cell>
        </row>
        <row r="962">
          <cell r="B962" t="str">
            <v>RML-MINI-BAG-21X19X11.5</v>
          </cell>
          <cell r="C962" t="str">
            <v>MINI SAMPLE PVC BAG 21X19X11.5</v>
          </cell>
          <cell r="D962" t="str">
            <v>NOS</v>
          </cell>
          <cell r="E962" t="str">
            <v>CBERM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</row>
        <row r="963">
          <cell r="B963" t="str">
            <v>RML-PART-WOOD-8X4X17</v>
          </cell>
          <cell r="C963" t="str">
            <v>Plain Particle Board 8x4x17mm</v>
          </cell>
          <cell r="D963" t="str">
            <v>NOS</v>
          </cell>
          <cell r="E963" t="str">
            <v>CBERM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</row>
        <row r="964">
          <cell r="B964" t="str">
            <v>RML-PART-WOOD-8X4X17MM</v>
          </cell>
          <cell r="C964" t="str">
            <v>Laminated Plain Particle Board 8x4x17MM</v>
          </cell>
          <cell r="D964" t="str">
            <v>NOS</v>
          </cell>
          <cell r="E964" t="str">
            <v>CBERM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</row>
        <row r="965">
          <cell r="B965" t="str">
            <v>RML-PLYWOOD8X4X18MM</v>
          </cell>
          <cell r="C965" t="str">
            <v>PLY WOOD 8X4X18MM</v>
          </cell>
          <cell r="D965" t="str">
            <v>NOS</v>
          </cell>
          <cell r="E965" t="str">
            <v>CBERM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</row>
        <row r="966">
          <cell r="B966" t="str">
            <v>RML-CUSPOLFIL16X16-WH</v>
          </cell>
          <cell r="C966" t="str">
            <v>PEPS WHITE CUSHION POLY FIBER PILLOW 16X16</v>
          </cell>
          <cell r="D966" t="str">
            <v>NOS</v>
          </cell>
          <cell r="E966" t="str">
            <v>CBERM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</row>
        <row r="967">
          <cell r="B967" t="str">
            <v>RM-WOOD-3.25X3.25X48</v>
          </cell>
          <cell r="C967" t="str">
            <v>WOOD 3.25X3.25X48 INCH</v>
          </cell>
          <cell r="D967" t="str">
            <v>CFL</v>
          </cell>
          <cell r="E967" t="str">
            <v>CBERM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</row>
        <row r="968">
          <cell r="B968" t="str">
            <v>RML-INSTI-FIB-PILLOW-20X30-850G</v>
          </cell>
          <cell r="C968" t="str">
            <v>INSTITUTIONAL MICRO FIBER PILLOW 20X30 - 850.GRM</v>
          </cell>
          <cell r="D968" t="str">
            <v>NOS</v>
          </cell>
          <cell r="E968" t="str">
            <v>CBERM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</row>
        <row r="969">
          <cell r="B969" t="str">
            <v>RML-ITALIANO-CFRP-MP-INS</v>
          </cell>
          <cell r="C969" t="str">
            <v>ITALIANO MICRO POLYESTER DOUBLE COMFORTER INSERTER</v>
          </cell>
          <cell r="D969" t="str">
            <v>NOS</v>
          </cell>
          <cell r="E969" t="str">
            <v>CBERM</v>
          </cell>
          <cell r="F969">
            <v>0</v>
          </cell>
          <cell r="G969">
            <v>0</v>
          </cell>
          <cell r="H969">
            <v>200</v>
          </cell>
          <cell r="I969">
            <v>0</v>
          </cell>
        </row>
        <row r="970">
          <cell r="B970" t="str">
            <v>RML-ITALIANO-ICO-MIN-SDE-LBL</v>
          </cell>
          <cell r="C970" t="str">
            <v>ITALIANO ICONA MINI SAMPLE SIDE LABEL</v>
          </cell>
          <cell r="D970" t="str">
            <v>NOS</v>
          </cell>
          <cell r="E970" t="str">
            <v>CBERM</v>
          </cell>
          <cell r="F970">
            <v>0</v>
          </cell>
          <cell r="G970">
            <v>0</v>
          </cell>
          <cell r="H970">
            <v>25</v>
          </cell>
          <cell r="I970">
            <v>0</v>
          </cell>
        </row>
        <row r="971">
          <cell r="B971" t="str">
            <v>RML-ITALIANO-MAG-MIN-SDE-LBL</v>
          </cell>
          <cell r="C971" t="str">
            <v>ITALIANO MAGNIFICO MINI SAMPLE SIDE LABEL</v>
          </cell>
          <cell r="D971" t="str">
            <v>NOS</v>
          </cell>
          <cell r="E971" t="str">
            <v>CBERM</v>
          </cell>
          <cell r="F971">
            <v>0</v>
          </cell>
          <cell r="G971">
            <v>0</v>
          </cell>
          <cell r="H971">
            <v>25</v>
          </cell>
          <cell r="I971">
            <v>0</v>
          </cell>
        </row>
        <row r="972">
          <cell r="B972" t="str">
            <v>RML-ITALIANO-SER-MIN-SDE-LBL</v>
          </cell>
          <cell r="C972" t="str">
            <v>ITALIANO SERENITA MINI SAMPLE SIDE LABEL</v>
          </cell>
          <cell r="D972" t="str">
            <v>NOS</v>
          </cell>
          <cell r="E972" t="str">
            <v>CBERM</v>
          </cell>
          <cell r="F972">
            <v>0</v>
          </cell>
          <cell r="G972">
            <v>0</v>
          </cell>
          <cell r="H972">
            <v>25</v>
          </cell>
          <cell r="I972">
            <v>0</v>
          </cell>
        </row>
        <row r="973">
          <cell r="B973" t="str">
            <v>RML-ITALIANO-SL-FIB-PLW-INS</v>
          </cell>
          <cell r="C973" t="str">
            <v>ITALIANO SLUMBERLAND MIC.FIBER PILLOW INSERTER</v>
          </cell>
          <cell r="D973" t="str">
            <v>NOS</v>
          </cell>
          <cell r="E973" t="str">
            <v>CBERM</v>
          </cell>
          <cell r="F973">
            <v>0</v>
          </cell>
          <cell r="G973">
            <v>0</v>
          </cell>
          <cell r="H973">
            <v>200</v>
          </cell>
          <cell r="I973">
            <v>0</v>
          </cell>
        </row>
        <row r="974">
          <cell r="B974" t="str">
            <v>RML-KOM-ITALIANO-BEDSHT-WSCR-LBL</v>
          </cell>
          <cell r="C974" t="str">
            <v>ITALIANO BED SHEET SUPER KING WASH CARE LABEL 118X118</v>
          </cell>
          <cell r="D974" t="str">
            <v>NOS</v>
          </cell>
          <cell r="E974" t="str">
            <v>CBERM</v>
          </cell>
          <cell r="F974">
            <v>0</v>
          </cell>
          <cell r="G974">
            <v>0</v>
          </cell>
          <cell r="H974">
            <v>500</v>
          </cell>
          <cell r="I974">
            <v>0</v>
          </cell>
        </row>
        <row r="975">
          <cell r="B975" t="str">
            <v>RML-KOM-PTR-72X42</v>
          </cell>
          <cell r="C975" t="str">
            <v>KOMFFY MATTRESSES PROTECTOR 72X42</v>
          </cell>
          <cell r="D975" t="str">
            <v>NOS</v>
          </cell>
          <cell r="E975" t="str">
            <v>CBERM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</row>
        <row r="976">
          <cell r="B976" t="str">
            <v>RML-KOM-PTR-75X30</v>
          </cell>
          <cell r="C976" t="str">
            <v>KOMFFY MATTRESSES PROTECTOR 75X30</v>
          </cell>
          <cell r="D976" t="str">
            <v>NOS</v>
          </cell>
          <cell r="E976" t="str">
            <v>CBERM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</row>
        <row r="977">
          <cell r="B977" t="str">
            <v>RML-KOM-PTR-75X42</v>
          </cell>
          <cell r="C977" t="str">
            <v>KOMFFY MATTRESSES PROTECTOR 75X42</v>
          </cell>
          <cell r="D977" t="str">
            <v>NOS</v>
          </cell>
          <cell r="E977" t="str">
            <v>CBERM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</row>
        <row r="978">
          <cell r="B978" t="str">
            <v>RML-KOM-PTR-75X66</v>
          </cell>
          <cell r="C978" t="str">
            <v>KOMFFY MATTRESSES PROTECTOR 75X66</v>
          </cell>
          <cell r="D978" t="str">
            <v>NOS</v>
          </cell>
          <cell r="E978" t="str">
            <v>CBERM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</row>
        <row r="979">
          <cell r="B979" t="str">
            <v>RML-KOM-PTR-78X42</v>
          </cell>
          <cell r="C979" t="str">
            <v>KOMFFY MATTRESSES PROTECTOR 78X42</v>
          </cell>
          <cell r="D979" t="str">
            <v>NOS</v>
          </cell>
          <cell r="E979" t="str">
            <v>CBERM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</row>
        <row r="980">
          <cell r="B980" t="str">
            <v>RML-KOM-PTR-78X62</v>
          </cell>
          <cell r="C980" t="str">
            <v>KOMFFY MATTRESSES PROTECTOR 78X62</v>
          </cell>
          <cell r="D980" t="str">
            <v>NOS</v>
          </cell>
          <cell r="E980" t="str">
            <v>CBERM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</row>
        <row r="981">
          <cell r="B981" t="str">
            <v>RML-KOM-PTR-78X66</v>
          </cell>
          <cell r="C981" t="str">
            <v>KOMFFY MATTRESSES PROTECTOR 78X66</v>
          </cell>
          <cell r="D981" t="str">
            <v>NOS</v>
          </cell>
          <cell r="E981" t="str">
            <v>CBERM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</row>
        <row r="982">
          <cell r="B982" t="str">
            <v>RML-KOM-PTR-80X30</v>
          </cell>
          <cell r="C982" t="str">
            <v>KOMFFY MATTRESSES PROTECTOR 80X30</v>
          </cell>
          <cell r="D982" t="str">
            <v>NOS</v>
          </cell>
          <cell r="E982" t="str">
            <v>CBERM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</row>
        <row r="983">
          <cell r="B983" t="str">
            <v>RML-KOM-PTR-80X42</v>
          </cell>
          <cell r="C983" t="str">
            <v>KOMFFY MATTRESSES PROTECTOR 80X42</v>
          </cell>
          <cell r="D983" t="str">
            <v>NOS</v>
          </cell>
          <cell r="E983" t="str">
            <v>CBERM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</row>
        <row r="984">
          <cell r="B984" t="str">
            <v>RML-KOM-PTR-80X60</v>
          </cell>
          <cell r="C984" t="str">
            <v>KOMFFY MATTRESSES PROTECTOR 80X60</v>
          </cell>
          <cell r="D984" t="str">
            <v>NOS</v>
          </cell>
          <cell r="E984" t="str">
            <v>CBERM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</row>
        <row r="985">
          <cell r="B985" t="str">
            <v>RML-KOM-PTR-80X61.50</v>
          </cell>
          <cell r="C985" t="str">
            <v>KOMFFY MATTRESSES PROTECTOR 80X61.50</v>
          </cell>
          <cell r="D985" t="str">
            <v>NOS</v>
          </cell>
          <cell r="E985" t="str">
            <v>CBERM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</row>
        <row r="986">
          <cell r="B986" t="str">
            <v>RML-KOM-PTR-80X66</v>
          </cell>
          <cell r="C986" t="str">
            <v>KOMFFY MATTRESSES PROTECTOR 80X66</v>
          </cell>
          <cell r="D986" t="str">
            <v>NOS</v>
          </cell>
          <cell r="E986" t="str">
            <v>CBERM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</row>
        <row r="987">
          <cell r="B987" t="str">
            <v>RML-KOM-PTR-80X72</v>
          </cell>
          <cell r="C987" t="str">
            <v>KOMFFY MATTRESSES PROTECTOR 80X72</v>
          </cell>
          <cell r="D987" t="str">
            <v>NOS</v>
          </cell>
          <cell r="E987" t="str">
            <v>CBERM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</row>
        <row r="988">
          <cell r="B988" t="str">
            <v>RML-KOM-PTR-84X30</v>
          </cell>
          <cell r="C988" t="str">
            <v>KOMFFY MATTRESSES PROTECTOR 84X30</v>
          </cell>
          <cell r="D988" t="str">
            <v>NOS</v>
          </cell>
          <cell r="E988" t="str">
            <v>CBERM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</row>
        <row r="989">
          <cell r="B989" t="str">
            <v>RML-KOM-PTR-84X36</v>
          </cell>
          <cell r="C989" t="str">
            <v>KOMFFY MATTRESSES PROTECTOR 84X36</v>
          </cell>
          <cell r="D989" t="str">
            <v>NOS</v>
          </cell>
          <cell r="E989" t="str">
            <v>CBERM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</row>
        <row r="990">
          <cell r="B990" t="str">
            <v>RML-KOM-PTR-84X42</v>
          </cell>
          <cell r="C990" t="str">
            <v>KOMFFY MATTRESSES PROTECTOR 84X42</v>
          </cell>
          <cell r="D990" t="str">
            <v>NOS</v>
          </cell>
          <cell r="E990" t="str">
            <v>CBERM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</row>
        <row r="991">
          <cell r="B991" t="str">
            <v>RML-KOM-PTR-84X60</v>
          </cell>
          <cell r="C991" t="str">
            <v>KOMFFY MATTRESSES PROTECTOR 84X60</v>
          </cell>
          <cell r="D991" t="str">
            <v>NOS</v>
          </cell>
          <cell r="E991" t="str">
            <v>CBERM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</row>
        <row r="992">
          <cell r="B992" t="str">
            <v>RML-KOM-PTR-84X66</v>
          </cell>
          <cell r="C992" t="str">
            <v>KOMFFY MATTRESSES PROTECTOR 84X66</v>
          </cell>
          <cell r="D992" t="str">
            <v>NOS</v>
          </cell>
          <cell r="E992" t="str">
            <v>CBERM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</row>
        <row r="993">
          <cell r="B993" t="str">
            <v>RM-WOOD-3X1X39</v>
          </cell>
          <cell r="C993" t="str">
            <v>WOOD 3X1X39 INCH</v>
          </cell>
          <cell r="D993" t="str">
            <v>CFL</v>
          </cell>
          <cell r="E993" t="str">
            <v>CBERM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</row>
        <row r="994">
          <cell r="B994" t="str">
            <v>RM-WOOD-3X1X63</v>
          </cell>
          <cell r="C994" t="str">
            <v>WOOD 3X1X63 INCH</v>
          </cell>
          <cell r="D994" t="str">
            <v>CFL</v>
          </cell>
          <cell r="E994" t="str">
            <v>CBERM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</row>
        <row r="995">
          <cell r="B995" t="str">
            <v>RML-LTX-1100X208X2.5CM</v>
          </cell>
          <cell r="C995" t="str">
            <v>PERFO LATEX SHEETS  1100X208X2.5CM (82" WIDTH)</v>
          </cell>
          <cell r="D995" t="str">
            <v>NOS</v>
          </cell>
          <cell r="E995" t="str">
            <v>CBERM</v>
          </cell>
          <cell r="F995">
            <v>0</v>
          </cell>
          <cell r="G995">
            <v>0</v>
          </cell>
          <cell r="H995">
            <v>40</v>
          </cell>
          <cell r="I995">
            <v>25</v>
          </cell>
        </row>
        <row r="996">
          <cell r="B996" t="str">
            <v>RML-POLY-WAD-120GSMX82</v>
          </cell>
          <cell r="C996" t="str">
            <v>POLYESTER WADDING 120 GSM X 82" WIDTH</v>
          </cell>
          <cell r="D996" t="str">
            <v>MTR</v>
          </cell>
          <cell r="E996" t="str">
            <v>CBERM</v>
          </cell>
          <cell r="F996">
            <v>25</v>
          </cell>
          <cell r="G996">
            <v>25</v>
          </cell>
          <cell r="H996">
            <v>0</v>
          </cell>
          <cell r="I996">
            <v>0</v>
          </cell>
        </row>
        <row r="997">
          <cell r="B997" t="str">
            <v>RML-PTR-WP-GRY-75X60</v>
          </cell>
          <cell r="C997" t="str">
            <v>PEPS WATER PROOF PROTECTOR GREY 75X60</v>
          </cell>
          <cell r="D997" t="str">
            <v>NOS</v>
          </cell>
          <cell r="E997" t="str">
            <v>CBERM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</row>
        <row r="998">
          <cell r="B998" t="str">
            <v>RML-STW-2.1MM</v>
          </cell>
          <cell r="C998" t="str">
            <v>2.1MM Spring Steel Wire-Grade II</v>
          </cell>
          <cell r="D998" t="str">
            <v>KGS</v>
          </cell>
          <cell r="E998" t="str">
            <v>CBERM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</row>
        <row r="999">
          <cell r="B999" t="str">
            <v>STY-LET-PAD-HYP</v>
          </cell>
          <cell r="C999" t="str">
            <v>HYPNOS LETTER PAD (100 NOS)</v>
          </cell>
          <cell r="D999" t="str">
            <v>NOS</v>
          </cell>
          <cell r="E999" t="str">
            <v>CBERM</v>
          </cell>
          <cell r="F999">
            <v>0</v>
          </cell>
          <cell r="G999">
            <v>0</v>
          </cell>
          <cell r="H999">
            <v>5</v>
          </cell>
          <cell r="I999">
            <v>0</v>
          </cell>
        </row>
        <row r="1000">
          <cell r="B1000" t="str">
            <v>STY-L-FLE-100</v>
          </cell>
          <cell r="C1000" t="str">
            <v>LEAF FILE ( 100 LEAF)</v>
          </cell>
          <cell r="D1000" t="str">
            <v>NOS</v>
          </cell>
          <cell r="E1000" t="str">
            <v>CBERM</v>
          </cell>
          <cell r="F1000">
            <v>0</v>
          </cell>
          <cell r="G1000">
            <v>0</v>
          </cell>
          <cell r="H1000">
            <v>1</v>
          </cell>
          <cell r="I1000">
            <v>0</v>
          </cell>
        </row>
        <row r="1001">
          <cell r="B1001" t="str">
            <v>FBR-INS-REB-LTX-BR-GRN</v>
          </cell>
          <cell r="C1001" t="str">
            <v>INSPREE REBONDED LATEX GREEN BORDER FABRIC</v>
          </cell>
          <cell r="D1001" t="str">
            <v>MTR</v>
          </cell>
          <cell r="E1001" t="str">
            <v>CBERM</v>
          </cell>
          <cell r="F1001">
            <v>0</v>
          </cell>
          <cell r="G1001">
            <v>0</v>
          </cell>
          <cell r="H1001">
            <v>400</v>
          </cell>
          <cell r="I1001">
            <v>750</v>
          </cell>
        </row>
        <row r="1002">
          <cell r="B1002" t="str">
            <v>FBR-INS-REB-LTX-BR-PINK</v>
          </cell>
          <cell r="C1002" t="str">
            <v>INSPREE REBONDED LATEX PINK BORDER FABRIC</v>
          </cell>
          <cell r="D1002" t="str">
            <v>MTR</v>
          </cell>
          <cell r="E1002" t="str">
            <v>CBERM</v>
          </cell>
          <cell r="F1002">
            <v>750</v>
          </cell>
          <cell r="G1002">
            <v>750</v>
          </cell>
          <cell r="H1002">
            <v>400</v>
          </cell>
          <cell r="I1002">
            <v>0</v>
          </cell>
        </row>
        <row r="1003">
          <cell r="B1003" t="str">
            <v>FBR-INS-REB-LTX-PNL-GRN</v>
          </cell>
          <cell r="C1003" t="str">
            <v>INSPREE REBONDED LATEX GREEN PANEL FABRIC</v>
          </cell>
          <cell r="D1003" t="str">
            <v>MTR</v>
          </cell>
          <cell r="E1003" t="str">
            <v>CBERM</v>
          </cell>
          <cell r="F1003">
            <v>0</v>
          </cell>
          <cell r="G1003">
            <v>0</v>
          </cell>
          <cell r="H1003">
            <v>800</v>
          </cell>
          <cell r="I1003">
            <v>200</v>
          </cell>
        </row>
        <row r="1004">
          <cell r="B1004" t="str">
            <v>FBR-INS-REB-MEM-BR-GRY</v>
          </cell>
          <cell r="C1004" t="str">
            <v>INSPREE REBONDED MEMORY GREY BORDER FABRIC</v>
          </cell>
          <cell r="D1004" t="str">
            <v>MTR</v>
          </cell>
          <cell r="E1004" t="str">
            <v>CBERM</v>
          </cell>
          <cell r="F1004">
            <v>200</v>
          </cell>
          <cell r="G1004">
            <v>200</v>
          </cell>
          <cell r="H1004">
            <v>400</v>
          </cell>
          <cell r="I1004">
            <v>300</v>
          </cell>
        </row>
        <row r="1005">
          <cell r="B1005" t="str">
            <v>FBR-INS-REB-MEM-PNL-BLUE</v>
          </cell>
          <cell r="C1005" t="str">
            <v>INSPREE REBONDED MEMORY BLUE PANEL FABRIC</v>
          </cell>
          <cell r="D1005" t="str">
            <v>MTR</v>
          </cell>
          <cell r="E1005" t="str">
            <v>CBERM</v>
          </cell>
          <cell r="F1005">
            <v>300</v>
          </cell>
          <cell r="G1005">
            <v>300</v>
          </cell>
          <cell r="H1005">
            <v>800</v>
          </cell>
          <cell r="I1005">
            <v>500</v>
          </cell>
        </row>
        <row r="1006">
          <cell r="B1006" t="str">
            <v>RM-WOOD-3X1X75</v>
          </cell>
          <cell r="C1006" t="str">
            <v>WOOD 3X1X75 INCH</v>
          </cell>
          <cell r="D1006" t="str">
            <v>CFL</v>
          </cell>
          <cell r="E1006" t="str">
            <v>CBERM</v>
          </cell>
          <cell r="F1006">
            <v>500</v>
          </cell>
          <cell r="G1006">
            <v>500</v>
          </cell>
          <cell r="H1006">
            <v>0</v>
          </cell>
          <cell r="I1006">
            <v>0</v>
          </cell>
        </row>
        <row r="1007">
          <cell r="B1007" t="str">
            <v>RM-WOOD-3X1X84</v>
          </cell>
          <cell r="C1007" t="str">
            <v>WOOD 3X1X84 INCH</v>
          </cell>
          <cell r="D1007" t="str">
            <v>CFL</v>
          </cell>
          <cell r="E1007" t="str">
            <v>CBERM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</row>
        <row r="1008">
          <cell r="B1008" t="str">
            <v>RMI-HCTNF-80X74</v>
          </cell>
          <cell r="C1008" t="str">
            <v>COTTON FELT 203 X 189 X 10MM   (80 X 74)</v>
          </cell>
          <cell r="D1008" t="str">
            <v>NOS</v>
          </cell>
          <cell r="E1008" t="str">
            <v>CBERM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</row>
        <row r="1009">
          <cell r="B1009" t="str">
            <v>RM-JUM-PLW-CVR-BG</v>
          </cell>
          <cell r="C1009" t="str">
            <v>PEPS JUMBO BEIGE PILLOW COVER (30X20)</v>
          </cell>
          <cell r="D1009" t="str">
            <v>NOS</v>
          </cell>
          <cell r="E1009" t="str">
            <v>CBERM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</row>
        <row r="1010">
          <cell r="B1010" t="str">
            <v>RM-JUM-PLW-CVR-LB</v>
          </cell>
          <cell r="C1010" t="str">
            <v>PEPS JUMBO  LIGHT BLUE  PILLOW COVER (30X20)</v>
          </cell>
          <cell r="D1010" t="str">
            <v>NOS</v>
          </cell>
          <cell r="E1010" t="str">
            <v>CBERM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</row>
        <row r="1011">
          <cell r="B1011" t="str">
            <v>RM-JUM-PLW-CVR-LP</v>
          </cell>
          <cell r="C1011" t="str">
            <v>PEPS JUMBO LIGHT PINK  PILLOW COVER (30X20)</v>
          </cell>
          <cell r="D1011" t="str">
            <v>NOS</v>
          </cell>
          <cell r="E1011" t="str">
            <v>CBERM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</row>
        <row r="1012">
          <cell r="B1012" t="str">
            <v>RM-JUM-PLW-CVR-WH-PLN</v>
          </cell>
          <cell r="C1012" t="str">
            <v>PEPS JUMBO WHITE PLAIN PILLOW COVER(30X20)</v>
          </cell>
          <cell r="D1012" t="str">
            <v>NOS</v>
          </cell>
          <cell r="E1012" t="str">
            <v>CBERM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</row>
        <row r="1013">
          <cell r="B1013" t="str">
            <v>RM-JUM-PLW-CVR-WH-STRP</v>
          </cell>
          <cell r="C1013" t="str">
            <v>PEPS JUMBO WHITE STRIPE PILLOW COVER(30X20)</v>
          </cell>
          <cell r="D1013" t="str">
            <v>NOS</v>
          </cell>
          <cell r="E1013" t="str">
            <v>CBERM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</row>
        <row r="1014">
          <cell r="B1014" t="str">
            <v>RML-BAG-72.5X30.5X6.5</v>
          </cell>
          <cell r="C1014" t="str">
            <v>PVC BAG 72.5WX30.5HX6.5G</v>
          </cell>
          <cell r="D1014" t="str">
            <v>NOS</v>
          </cell>
          <cell r="E1014" t="str">
            <v>CBERM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</row>
        <row r="1015">
          <cell r="B1015" t="str">
            <v>RML-BAG-75.5X50.5X10</v>
          </cell>
          <cell r="C1015" t="str">
            <v>PVC BAG 75.5X50.5X10</v>
          </cell>
          <cell r="D1015" t="str">
            <v>NOS</v>
          </cell>
          <cell r="E1015" t="str">
            <v>CBERM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</row>
        <row r="1016">
          <cell r="B1016" t="str">
            <v>RML-BAG-75.5X50.5X9.5</v>
          </cell>
          <cell r="C1016" t="str">
            <v>PVC BAG 75.5X50.5X9.5</v>
          </cell>
          <cell r="D1016" t="str">
            <v>NOS</v>
          </cell>
          <cell r="E1016" t="str">
            <v>CBERM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</row>
        <row r="1017">
          <cell r="B1017" t="str">
            <v>RML-BAG-75.5X55.5X10.5</v>
          </cell>
          <cell r="C1017" t="str">
            <v>PVC BAG 75.5X55.5X10.5G</v>
          </cell>
          <cell r="D1017" t="str">
            <v>NOS</v>
          </cell>
          <cell r="E1017" t="str">
            <v>CBERM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</row>
        <row r="1018">
          <cell r="B1018" t="str">
            <v>RML-BAG-75.5X72.5X13.5</v>
          </cell>
          <cell r="C1018" t="str">
            <v>PVC BAG 75.5X72.5X13.5</v>
          </cell>
          <cell r="D1018" t="str">
            <v>NOS</v>
          </cell>
          <cell r="E1018" t="str">
            <v>CBERM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</row>
        <row r="1019">
          <cell r="B1019" t="str">
            <v>RML-BAG-78.5X60.5X10.5</v>
          </cell>
          <cell r="C1019" t="str">
            <v>PVC BAG 78.5WX60.5HX10.5G</v>
          </cell>
          <cell r="D1019" t="str">
            <v>NOS</v>
          </cell>
          <cell r="E1019" t="str">
            <v>CBERM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</row>
        <row r="1020">
          <cell r="B1020" t="str">
            <v>RM-LDPE-ROLL-116X50MIC</v>
          </cell>
          <cell r="C1020" t="str">
            <v>LDPE Plain Roll 116 Width</v>
          </cell>
          <cell r="D1020" t="str">
            <v>KGS</v>
          </cell>
          <cell r="E1020" t="str">
            <v>CBERM</v>
          </cell>
          <cell r="F1020">
            <v>0</v>
          </cell>
          <cell r="G1020">
            <v>0</v>
          </cell>
          <cell r="H1020">
            <v>0</v>
          </cell>
          <cell r="I1020">
            <v>300</v>
          </cell>
        </row>
        <row r="1021">
          <cell r="B1021" t="str">
            <v>RML-E-WARN-STK</v>
          </cell>
          <cell r="C1021" t="str">
            <v>E WARRANTY STICKER</v>
          </cell>
          <cell r="D1021" t="str">
            <v>NOS</v>
          </cell>
          <cell r="E1021" t="str">
            <v>CBERM</v>
          </cell>
          <cell r="F1021">
            <v>300</v>
          </cell>
          <cell r="G1021">
            <v>300</v>
          </cell>
          <cell r="H1021">
            <v>4000</v>
          </cell>
          <cell r="I1021">
            <v>0</v>
          </cell>
        </row>
        <row r="1022">
          <cell r="B1022" t="str">
            <v>RML-CUSH-CVR-16X16</v>
          </cell>
          <cell r="C1022" t="str">
            <v>PEPS PRINTED CUSHION COVER 16X16</v>
          </cell>
          <cell r="D1022" t="str">
            <v>SET</v>
          </cell>
          <cell r="E1022" t="str">
            <v>CBERM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</row>
        <row r="1023">
          <cell r="B1023" t="str">
            <v>RMD-PLYWOOD8X4X12</v>
          </cell>
          <cell r="C1023" t="str">
            <v>PLY WOOD 8X4X12MM</v>
          </cell>
          <cell r="D1023" t="str">
            <v>NOS</v>
          </cell>
          <cell r="E1023" t="str">
            <v>CBERM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</row>
        <row r="1024">
          <cell r="B1024" t="str">
            <v>RML-INS-LAT-SDE-LBL</v>
          </cell>
          <cell r="C1024" t="str">
            <v>INSPREE LATEX SIDE LABEL</v>
          </cell>
          <cell r="D1024" t="str">
            <v>NOS</v>
          </cell>
          <cell r="E1024" t="str">
            <v>CBERM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</row>
        <row r="1025">
          <cell r="B1025" t="str">
            <v>RML-INS-MEM-SDE-LBL</v>
          </cell>
          <cell r="C1025" t="str">
            <v>INSPREE MEMORY SIDE LABEL</v>
          </cell>
          <cell r="D1025" t="str">
            <v>NOS</v>
          </cell>
          <cell r="E1025" t="str">
            <v>CBERM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</row>
        <row r="1026">
          <cell r="B1026" t="str">
            <v>RML-INSTI-FIB-PILLOW-27X17-850G</v>
          </cell>
          <cell r="C1026" t="str">
            <v>INSTITUTIONAL FIBER PILLOW 27X17 - 850.GRM</v>
          </cell>
          <cell r="D1026" t="str">
            <v>NOS</v>
          </cell>
          <cell r="E1026" t="str">
            <v>CBERM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</row>
        <row r="1027">
          <cell r="B1027" t="str">
            <v>RMD-PLYWOOD8X4X8</v>
          </cell>
          <cell r="C1027" t="str">
            <v>PLY WOOD 8X4X8MM</v>
          </cell>
          <cell r="D1027" t="str">
            <v>NOS</v>
          </cell>
          <cell r="E1027" t="str">
            <v>CBERM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</row>
        <row r="1028">
          <cell r="B1028" t="str">
            <v>RML-7YAR-WARR-STKR</v>
          </cell>
          <cell r="C1028" t="str">
            <v>7 YEAR WARRANTY STICKER</v>
          </cell>
          <cell r="D1028" t="str">
            <v>NOS</v>
          </cell>
          <cell r="E1028" t="str">
            <v>CBERM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</row>
        <row r="1029">
          <cell r="B1029" t="str">
            <v>RML-BAG-72.5X48.5X10.5</v>
          </cell>
          <cell r="C1029" t="str">
            <v>PVC BAG 72.5WX48.5HX10.5G</v>
          </cell>
          <cell r="D1029" t="str">
            <v>NOS</v>
          </cell>
          <cell r="E1029" t="str">
            <v>CBERM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</row>
        <row r="1030">
          <cell r="B1030" t="str">
            <v>RML-BAG-72.5X48.5X11.5</v>
          </cell>
          <cell r="C1030" t="str">
            <v>PVC BAG 72.5WX48.5HX11.5G</v>
          </cell>
          <cell r="D1030" t="str">
            <v>NOS</v>
          </cell>
          <cell r="E1030" t="str">
            <v>CBERM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</row>
        <row r="1031">
          <cell r="B1031" t="str">
            <v>RML-BAG-72.5X48.5X9.5</v>
          </cell>
          <cell r="C1031" t="str">
            <v>PVC BAG 72.5WX48.5HX9.5G</v>
          </cell>
          <cell r="D1031" t="str">
            <v>NOS</v>
          </cell>
          <cell r="E1031" t="str">
            <v>CBERM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</row>
        <row r="1032">
          <cell r="B1032" t="str">
            <v>RML-BAG-75.5X60.5X14.5</v>
          </cell>
          <cell r="C1032" t="str">
            <v>PVC BAG 75.5X60.5X14.5</v>
          </cell>
          <cell r="D1032" t="str">
            <v>NOS</v>
          </cell>
          <cell r="E1032" t="str">
            <v>CBERM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</row>
        <row r="1033">
          <cell r="B1033" t="str">
            <v>RML-BAG-75.5X60.5X9.5</v>
          </cell>
          <cell r="C1033" t="str">
            <v>PVC BAG 75.5X60.5X9.5</v>
          </cell>
          <cell r="D1033" t="str">
            <v>NOS</v>
          </cell>
          <cell r="E1033" t="str">
            <v>CBERM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</row>
        <row r="1034">
          <cell r="B1034" t="str">
            <v>RML-BAG-78.5X60.5X11.5</v>
          </cell>
          <cell r="C1034" t="str">
            <v>PVC BAG 78.5WX60.5HX11.5G</v>
          </cell>
          <cell r="D1034" t="str">
            <v>NOS</v>
          </cell>
          <cell r="E1034" t="str">
            <v>CBERM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</row>
        <row r="1035">
          <cell r="B1035" t="str">
            <v>RML-BAG-78.5X60.5X14.5</v>
          </cell>
          <cell r="C1035" t="str">
            <v>PVC BAG 78.5X60.5X14.5</v>
          </cell>
          <cell r="D1035" t="str">
            <v>NOS</v>
          </cell>
          <cell r="E1035" t="str">
            <v>CBERM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</row>
        <row r="1036">
          <cell r="B1036" t="str">
            <v>RML-BAG-78.5X60.5X9.5</v>
          </cell>
          <cell r="C1036" t="str">
            <v>PVC BAG 78.5WX60.5HX9.5G</v>
          </cell>
          <cell r="D1036" t="str">
            <v>NOS</v>
          </cell>
          <cell r="E1036" t="str">
            <v>CBERM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</row>
        <row r="1037">
          <cell r="B1037" t="str">
            <v>RML-HDPE-ROLL</v>
          </cell>
          <cell r="C1037" t="str">
            <v>HDPE ROLL</v>
          </cell>
          <cell r="D1037" t="str">
            <v>KGS</v>
          </cell>
          <cell r="E1037" t="str">
            <v>CBERM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</row>
        <row r="1038">
          <cell r="B1038" t="str">
            <v>RML-ITALIANO-BELI-MIN-TAG</v>
          </cell>
          <cell r="C1038" t="str">
            <v>ITALINO MINI SAMPLE TAG (BELLISMO) CARD SIZE 10.5" X 4.7"</v>
          </cell>
          <cell r="D1038" t="str">
            <v>NOS</v>
          </cell>
          <cell r="E1038" t="str">
            <v>CBERM</v>
          </cell>
          <cell r="F1038">
            <v>0</v>
          </cell>
          <cell r="G1038">
            <v>0</v>
          </cell>
          <cell r="H1038">
            <v>40</v>
          </cell>
          <cell r="I1038">
            <v>0</v>
          </cell>
        </row>
        <row r="1039">
          <cell r="B1039" t="str">
            <v>RML-ITALIANO-EDTAPE-GRY</v>
          </cell>
          <cell r="C1039" t="str">
            <v>ITALIANO EDGE TAPE GREY - 42MM</v>
          </cell>
          <cell r="D1039" t="str">
            <v>MTR</v>
          </cell>
          <cell r="E1039" t="str">
            <v>CBERM</v>
          </cell>
          <cell r="F1039">
            <v>0</v>
          </cell>
          <cell r="G1039">
            <v>0</v>
          </cell>
          <cell r="H1039">
            <v>1500</v>
          </cell>
          <cell r="I1039">
            <v>0</v>
          </cell>
        </row>
        <row r="1040">
          <cell r="B1040" t="str">
            <v>RML-ITALIANO-EDTAPE-WHT</v>
          </cell>
          <cell r="C1040" t="str">
            <v>ITALIANO EDGE TAPE WHITE - 42MM</v>
          </cell>
          <cell r="D1040" t="str">
            <v>MTR</v>
          </cell>
          <cell r="E1040" t="str">
            <v>CBERM</v>
          </cell>
          <cell r="F1040">
            <v>0</v>
          </cell>
          <cell r="G1040">
            <v>0</v>
          </cell>
          <cell r="H1040">
            <v>1500</v>
          </cell>
          <cell r="I1040">
            <v>0</v>
          </cell>
        </row>
        <row r="1041">
          <cell r="B1041" t="str">
            <v>RM-WP-PLW-CVR-BG-26X16</v>
          </cell>
          <cell r="C1041" t="str">
            <v>PEPS WATERPROOF PILLOW COVER BEIGE 26X16</v>
          </cell>
          <cell r="D1041" t="str">
            <v>NOS</v>
          </cell>
          <cell r="E1041" t="str">
            <v>CBERM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</row>
        <row r="1042">
          <cell r="B1042" t="str">
            <v>RM-WP-PLW-CVR-BG-27X17</v>
          </cell>
          <cell r="C1042" t="str">
            <v>PEPS WATERPROOF PILLOW COVER BEIGE 27X17</v>
          </cell>
          <cell r="D1042" t="str">
            <v>NOS</v>
          </cell>
          <cell r="E1042" t="str">
            <v>CBERM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</row>
        <row r="1043">
          <cell r="B1043" t="str">
            <v>STY-OUT-PAS-LUN-DIN</v>
          </cell>
          <cell r="C1043" t="str">
            <v>OUT PASS BOOK FOR LUNCH/DINNER</v>
          </cell>
          <cell r="D1043" t="str">
            <v>NOS</v>
          </cell>
          <cell r="E1043" t="str">
            <v>CBERM</v>
          </cell>
          <cell r="F1043">
            <v>0</v>
          </cell>
          <cell r="G1043">
            <v>0</v>
          </cell>
          <cell r="H1043">
            <v>25</v>
          </cell>
          <cell r="I1043">
            <v>0</v>
          </cell>
        </row>
        <row r="1044">
          <cell r="B1044" t="str">
            <v>STY-OUT-PAS-ON-DTY-OFF</v>
          </cell>
          <cell r="C1044" t="str">
            <v>OUT PASS-ON DUTY FOR OFFICIAL</v>
          </cell>
          <cell r="D1044" t="str">
            <v>NOS</v>
          </cell>
          <cell r="E1044" t="str">
            <v>CBERM</v>
          </cell>
          <cell r="F1044">
            <v>0</v>
          </cell>
          <cell r="G1044">
            <v>0</v>
          </cell>
          <cell r="H1044">
            <v>25</v>
          </cell>
          <cell r="I1044">
            <v>0</v>
          </cell>
        </row>
        <row r="1045">
          <cell r="B1045" t="str">
            <v>STY-OUT-PAS-PER-WORK</v>
          </cell>
          <cell r="C1045" t="str">
            <v>OUT PASS BOOK FOR PERSONAL WORK</v>
          </cell>
          <cell r="D1045" t="str">
            <v>NOS</v>
          </cell>
          <cell r="E1045" t="str">
            <v>CBERM</v>
          </cell>
          <cell r="F1045">
            <v>0</v>
          </cell>
          <cell r="G1045">
            <v>0</v>
          </cell>
          <cell r="H1045">
            <v>25</v>
          </cell>
          <cell r="I1045">
            <v>0</v>
          </cell>
        </row>
        <row r="1046">
          <cell r="B1046" t="str">
            <v>STY-TAILR-MRKR</v>
          </cell>
          <cell r="C1046" t="str">
            <v>TAILORING CHALK MARKER (MULTI COLOUR)</v>
          </cell>
          <cell r="D1046" t="str">
            <v>NOS</v>
          </cell>
          <cell r="E1046" t="str">
            <v>CBERM</v>
          </cell>
          <cell r="F1046">
            <v>0</v>
          </cell>
          <cell r="G1046">
            <v>0</v>
          </cell>
          <cell r="H1046">
            <v>30</v>
          </cell>
          <cell r="I1046">
            <v>0</v>
          </cell>
        </row>
        <row r="1047">
          <cell r="B1047" t="str">
            <v>FBR-INS-REB-LTX-PNL-PINK</v>
          </cell>
          <cell r="C1047" t="str">
            <v>INSPREE REBONDED LATEX PINK PANEL FABRIC</v>
          </cell>
          <cell r="D1047" t="str">
            <v>MTR</v>
          </cell>
          <cell r="E1047" t="str">
            <v>CBERM</v>
          </cell>
          <cell r="F1047">
            <v>0</v>
          </cell>
          <cell r="G1047">
            <v>0</v>
          </cell>
          <cell r="H1047">
            <v>800</v>
          </cell>
          <cell r="I1047">
            <v>0</v>
          </cell>
        </row>
        <row r="1048">
          <cell r="B1048" t="str">
            <v>FBR-INS-REB-MEM-BR-BLUE</v>
          </cell>
          <cell r="C1048" t="str">
            <v>INSPREE REBONDED MEMORY BLUE BORDER FABRIC</v>
          </cell>
          <cell r="D1048" t="str">
            <v>MTR</v>
          </cell>
          <cell r="E1048" t="str">
            <v>CBERM</v>
          </cell>
          <cell r="F1048">
            <v>0</v>
          </cell>
          <cell r="G1048">
            <v>0</v>
          </cell>
          <cell r="H1048">
            <v>400</v>
          </cell>
          <cell r="I1048">
            <v>750</v>
          </cell>
        </row>
        <row r="1049">
          <cell r="B1049" t="str">
            <v>FBR-ITALIANO-BLUE-BR</v>
          </cell>
          <cell r="C1049" t="str">
            <v>ITALIANO -BLUE BORDER FABRIC</v>
          </cell>
          <cell r="D1049" t="str">
            <v>MTR</v>
          </cell>
          <cell r="E1049" t="str">
            <v>CBERM</v>
          </cell>
          <cell r="F1049">
            <v>750</v>
          </cell>
          <cell r="G1049">
            <v>750</v>
          </cell>
          <cell r="H1049">
            <v>0</v>
          </cell>
          <cell r="I1049">
            <v>0</v>
          </cell>
        </row>
        <row r="1050">
          <cell r="B1050" t="str">
            <v>FBR-ITALIANO-ENCHANTO-BR</v>
          </cell>
          <cell r="C1050" t="str">
            <v>ITALIANO - ENCHANTO D.BLUE BORDER FABRIC</v>
          </cell>
          <cell r="D1050" t="str">
            <v>MTR</v>
          </cell>
          <cell r="E1050" t="str">
            <v>CBERM</v>
          </cell>
          <cell r="F1050">
            <v>0</v>
          </cell>
          <cell r="G1050">
            <v>0</v>
          </cell>
          <cell r="H1050">
            <v>300</v>
          </cell>
          <cell r="I1050">
            <v>0</v>
          </cell>
        </row>
        <row r="1051">
          <cell r="B1051" t="str">
            <v>FBR-ITALIANO-ENCHANTO-PNL</v>
          </cell>
          <cell r="C1051" t="str">
            <v>ITALIANO - ENCHANTO BLUE PANEL FABRIC</v>
          </cell>
          <cell r="D1051" t="str">
            <v>MTR</v>
          </cell>
          <cell r="E1051" t="str">
            <v>CBERM</v>
          </cell>
          <cell r="F1051">
            <v>0</v>
          </cell>
          <cell r="G1051">
            <v>0</v>
          </cell>
          <cell r="H1051">
            <v>300</v>
          </cell>
          <cell r="I1051">
            <v>0</v>
          </cell>
        </row>
        <row r="1052">
          <cell r="B1052" t="str">
            <v>FBR-ITALIANO-GREY-BR</v>
          </cell>
          <cell r="C1052" t="str">
            <v>ITALIANO -GREY BORDER FABRIC</v>
          </cell>
          <cell r="D1052" t="str">
            <v>MTR</v>
          </cell>
          <cell r="E1052" t="str">
            <v>CBERM</v>
          </cell>
          <cell r="F1052">
            <v>0</v>
          </cell>
          <cell r="G1052">
            <v>0</v>
          </cell>
          <cell r="H1052">
            <v>200</v>
          </cell>
          <cell r="I1052">
            <v>0</v>
          </cell>
        </row>
        <row r="1053">
          <cell r="B1053" t="str">
            <v>FBR-ITALIANO-ORANGE-BLUE-PNL</v>
          </cell>
          <cell r="C1053" t="str">
            <v>ITALIANO -ORANGE &amp; BLUE PANEL FABRIC</v>
          </cell>
          <cell r="D1053" t="str">
            <v>MTR</v>
          </cell>
          <cell r="E1053" t="str">
            <v>CBERM</v>
          </cell>
          <cell r="F1053">
            <v>0</v>
          </cell>
          <cell r="G1053">
            <v>0</v>
          </cell>
          <cell r="H1053">
            <v>400</v>
          </cell>
          <cell r="I1053">
            <v>0</v>
          </cell>
        </row>
        <row r="1054">
          <cell r="B1054" t="str">
            <v>FBR-SANI-BR-BG-NW</v>
          </cell>
          <cell r="C1054" t="str">
            <v>SANIBEL BEIGE BORDER FABRIC (NEW)</v>
          </cell>
          <cell r="D1054" t="str">
            <v>MTR</v>
          </cell>
          <cell r="E1054" t="str">
            <v>CBERM</v>
          </cell>
          <cell r="F1054">
            <v>0</v>
          </cell>
          <cell r="G1054">
            <v>0</v>
          </cell>
          <cell r="H1054">
            <v>200</v>
          </cell>
          <cell r="I1054">
            <v>0</v>
          </cell>
        </row>
        <row r="1055">
          <cell r="B1055" t="str">
            <v>FBR-SANI-BR-BLUE-NW</v>
          </cell>
          <cell r="C1055" t="str">
            <v>SANIBEL BLUE BORDER FABRIC (NEW)</v>
          </cell>
          <cell r="D1055" t="str">
            <v>MTR</v>
          </cell>
          <cell r="E1055" t="str">
            <v>CBERM</v>
          </cell>
          <cell r="F1055">
            <v>0</v>
          </cell>
          <cell r="G1055">
            <v>0</v>
          </cell>
          <cell r="H1055">
            <v>200</v>
          </cell>
          <cell r="I1055">
            <v>0</v>
          </cell>
        </row>
        <row r="1056">
          <cell r="B1056" t="str">
            <v>FBR-SANI-BR-BRW-NW</v>
          </cell>
          <cell r="C1056" t="str">
            <v>SANIBEL BROWN BORDER FABRIC (NEW)</v>
          </cell>
          <cell r="D1056" t="str">
            <v>MTR</v>
          </cell>
          <cell r="E1056" t="str">
            <v>CBERM</v>
          </cell>
          <cell r="F1056">
            <v>0</v>
          </cell>
          <cell r="G1056">
            <v>0</v>
          </cell>
          <cell r="H1056">
            <v>200</v>
          </cell>
          <cell r="I1056">
            <v>0</v>
          </cell>
        </row>
        <row r="1057">
          <cell r="B1057" t="str">
            <v>FBR-SANI-BR-GRY-NW</v>
          </cell>
          <cell r="C1057" t="str">
            <v>SANIBEL GREY BORDER FABRIC (NEW)</v>
          </cell>
          <cell r="D1057" t="str">
            <v>MTR</v>
          </cell>
          <cell r="E1057" t="str">
            <v>CBERM</v>
          </cell>
          <cell r="F1057">
            <v>0</v>
          </cell>
          <cell r="G1057">
            <v>0</v>
          </cell>
          <cell r="H1057">
            <v>200</v>
          </cell>
          <cell r="I1057">
            <v>0</v>
          </cell>
        </row>
        <row r="1058">
          <cell r="B1058" t="str">
            <v>FBR-SANI-PNL-BG-NW</v>
          </cell>
          <cell r="C1058" t="str">
            <v>SANIBEL BEIGE PANEL FABRIC (NEW)</v>
          </cell>
          <cell r="D1058" t="str">
            <v>MTR</v>
          </cell>
          <cell r="E1058" t="str">
            <v>CBERM</v>
          </cell>
          <cell r="F1058">
            <v>0</v>
          </cell>
          <cell r="G1058">
            <v>0</v>
          </cell>
          <cell r="H1058">
            <v>1500</v>
          </cell>
          <cell r="I1058">
            <v>0</v>
          </cell>
        </row>
        <row r="1059">
          <cell r="B1059" t="str">
            <v>FBR-SANI-PNL-BLUE-NW</v>
          </cell>
          <cell r="C1059" t="str">
            <v>SANIBEL BLUE PANEL FABRIC  (NEW)</v>
          </cell>
          <cell r="D1059" t="str">
            <v>MTR</v>
          </cell>
          <cell r="E1059" t="str">
            <v>CBERM</v>
          </cell>
          <cell r="F1059">
            <v>0</v>
          </cell>
          <cell r="G1059">
            <v>0</v>
          </cell>
          <cell r="H1059">
            <v>1500</v>
          </cell>
          <cell r="I1059">
            <v>0</v>
          </cell>
        </row>
        <row r="1060">
          <cell r="B1060" t="str">
            <v>FBR-SANI-PNL-BW-NW</v>
          </cell>
          <cell r="C1060" t="str">
            <v>SANIBEL BROWN PANEL FABRIC (NEW)</v>
          </cell>
          <cell r="D1060" t="str">
            <v>MTR</v>
          </cell>
          <cell r="E1060" t="str">
            <v>CBERM</v>
          </cell>
          <cell r="F1060">
            <v>0</v>
          </cell>
          <cell r="G1060">
            <v>0</v>
          </cell>
          <cell r="H1060">
            <v>1500</v>
          </cell>
          <cell r="I1060">
            <v>0</v>
          </cell>
        </row>
        <row r="1061">
          <cell r="B1061" t="str">
            <v>FBR-SANI-PNL-GREY-NW</v>
          </cell>
          <cell r="C1061" t="str">
            <v>SANIBEL GREY PANEL FABRIC  (NEW)</v>
          </cell>
          <cell r="D1061" t="str">
            <v>MTR</v>
          </cell>
          <cell r="E1061" t="str">
            <v>CBERM</v>
          </cell>
          <cell r="F1061">
            <v>0</v>
          </cell>
          <cell r="G1061">
            <v>0</v>
          </cell>
          <cell r="H1061">
            <v>1500</v>
          </cell>
          <cell r="I1061">
            <v>0</v>
          </cell>
        </row>
        <row r="1062">
          <cell r="B1062" t="str">
            <v>RMI-SBL-SDE-LBL-NW</v>
          </cell>
          <cell r="C1062" t="str">
            <v>SANIBEL SIDE LABEL (NEW &amp; IMPROVED)</v>
          </cell>
          <cell r="D1062" t="str">
            <v>NOS</v>
          </cell>
          <cell r="E1062" t="str">
            <v>CBERM</v>
          </cell>
          <cell r="F1062">
            <v>0</v>
          </cell>
          <cell r="G1062">
            <v>0</v>
          </cell>
          <cell r="H1062">
            <v>1000</v>
          </cell>
          <cell r="I1062">
            <v>0</v>
          </cell>
        </row>
        <row r="1063">
          <cell r="B1063" t="str">
            <v>RML-INS-LAT-MINI-SDE-LBL</v>
          </cell>
          <cell r="C1063" t="str">
            <v>INSPREE LATEX MINI SAMPLE SIDE LABEL</v>
          </cell>
          <cell r="D1063" t="str">
            <v>NOS</v>
          </cell>
          <cell r="E1063" t="str">
            <v>CBERM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</row>
        <row r="1064">
          <cell r="B1064" t="str">
            <v>RML-INS-MEM-MINI-SDE-LBL</v>
          </cell>
          <cell r="C1064" t="str">
            <v>INSPREE MEMORY MINI SAMPLE SIDE LABEL</v>
          </cell>
          <cell r="D1064" t="str">
            <v>NOS</v>
          </cell>
          <cell r="E1064" t="str">
            <v>CBERM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</row>
        <row r="1065">
          <cell r="B1065" t="str">
            <v>RML-INS-SDE-LBL-4INC</v>
          </cell>
          <cell r="C1065" t="str">
            <v>INSPREE SIDE LABEL 4 INCH MATTRESS</v>
          </cell>
          <cell r="D1065" t="str">
            <v>NOS</v>
          </cell>
          <cell r="E1065" t="str">
            <v>CBERM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</row>
        <row r="1066">
          <cell r="B1066" t="str">
            <v>RML-INSTI-FIB-PILLOW-30X20</v>
          </cell>
          <cell r="C1066" t="str">
            <v>PEPS INSTITUTIONAL FIBER PILLOW 30X20</v>
          </cell>
          <cell r="D1066" t="str">
            <v>NOS</v>
          </cell>
          <cell r="E1066" t="str">
            <v>CBERM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</row>
        <row r="1067">
          <cell r="B1067" t="str">
            <v>RML-ITALIANO-ENCH-MIN-TAG</v>
          </cell>
          <cell r="C1067" t="str">
            <v>ITALINO MINI SAMPLE TAG (ENCHANTO) CARD SIZE 10.5" x 4.7"</v>
          </cell>
          <cell r="D1067" t="str">
            <v>NOS</v>
          </cell>
          <cell r="E1067" t="str">
            <v>CBERM</v>
          </cell>
          <cell r="F1067">
            <v>0</v>
          </cell>
          <cell r="G1067">
            <v>0</v>
          </cell>
          <cell r="H1067">
            <v>40</v>
          </cell>
          <cell r="I1067">
            <v>0</v>
          </cell>
        </row>
        <row r="1068">
          <cell r="B1068" t="str">
            <v>RML-ITALIANO-ICO-MIN-TAG</v>
          </cell>
          <cell r="C1068" t="str">
            <v>ITALINO MINI SAMPLE TAG (ICONA)   CARD SIZE 8.5" X 4.7"</v>
          </cell>
          <cell r="D1068" t="str">
            <v>NOS</v>
          </cell>
          <cell r="E1068" t="str">
            <v>CBERM</v>
          </cell>
          <cell r="F1068">
            <v>0</v>
          </cell>
          <cell r="G1068">
            <v>0</v>
          </cell>
          <cell r="H1068">
            <v>40</v>
          </cell>
          <cell r="I1068">
            <v>0</v>
          </cell>
        </row>
        <row r="1069">
          <cell r="B1069" t="str">
            <v>RML-ITALIANO-MAG-MIN-TAG</v>
          </cell>
          <cell r="C1069" t="str">
            <v>ITALINO MINI SAMPLE TAG (MAGNIFICO) CARD SIZE 12" X 4.7"</v>
          </cell>
          <cell r="D1069" t="str">
            <v>NOS</v>
          </cell>
          <cell r="E1069" t="str">
            <v>CBERM</v>
          </cell>
          <cell r="F1069">
            <v>0</v>
          </cell>
          <cell r="G1069">
            <v>0</v>
          </cell>
          <cell r="H1069">
            <v>40</v>
          </cell>
          <cell r="I1069">
            <v>0</v>
          </cell>
        </row>
        <row r="1070">
          <cell r="B1070" t="str">
            <v>RML-ITALIANO-SER-MIN-TAG</v>
          </cell>
          <cell r="C1070" t="str">
            <v>ITALINO MINI SAMPLE TAG (SERENITA) CARD SIZE 8.5" X 4.7"</v>
          </cell>
          <cell r="D1070" t="str">
            <v>NOS</v>
          </cell>
          <cell r="E1070" t="str">
            <v>CBERM</v>
          </cell>
          <cell r="F1070">
            <v>0</v>
          </cell>
          <cell r="G1070">
            <v>0</v>
          </cell>
          <cell r="H1070">
            <v>40</v>
          </cell>
          <cell r="I1070">
            <v>0</v>
          </cell>
        </row>
        <row r="1071">
          <cell r="B1071" t="str">
            <v>RML-ITALIANO-SDE-LBL</v>
          </cell>
          <cell r="C1071" t="str">
            <v>ITALIANO SIDE LABEL (RUBBAR)</v>
          </cell>
          <cell r="D1071" t="str">
            <v>NOS</v>
          </cell>
          <cell r="E1071" t="str">
            <v>CBERM</v>
          </cell>
          <cell r="F1071">
            <v>0</v>
          </cell>
          <cell r="G1071">
            <v>0</v>
          </cell>
          <cell r="H1071">
            <v>200</v>
          </cell>
          <cell r="I1071">
            <v>0</v>
          </cell>
        </row>
        <row r="1072">
          <cell r="B1072" t="str">
            <v>RML-ITALIANO-SDE-LBL-EMB</v>
          </cell>
          <cell r="C1072" t="str">
            <v>ITALIANO SIDE LABEL (EMBROIDERY LABEL)</v>
          </cell>
          <cell r="D1072" t="str">
            <v>NOS</v>
          </cell>
          <cell r="E1072" t="str">
            <v>CBERM</v>
          </cell>
          <cell r="F1072">
            <v>0</v>
          </cell>
          <cell r="G1072">
            <v>0</v>
          </cell>
          <cell r="H1072">
            <v>200</v>
          </cell>
          <cell r="I1072">
            <v>0</v>
          </cell>
        </row>
        <row r="1073">
          <cell r="B1073" t="str">
            <v>RML-PLW-5.33X4.0X18</v>
          </cell>
          <cell r="C1073" t="str">
            <v>PLY WOOD 5.33X4.0X18MM</v>
          </cell>
          <cell r="D1073" t="str">
            <v>NOS</v>
          </cell>
          <cell r="E1073" t="str">
            <v>CBERM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</row>
        <row r="1074">
          <cell r="B1074" t="str">
            <v>RML-PLW-6.16X4.0X18</v>
          </cell>
          <cell r="C1074" t="str">
            <v>PLY WOOD 6.16X4.0X18MM</v>
          </cell>
          <cell r="D1074" t="str">
            <v>NOS</v>
          </cell>
          <cell r="E1074" t="str">
            <v>CBERM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</row>
        <row r="1075">
          <cell r="B1075" t="str">
            <v>RML-PLYWOOD8X4X4MM</v>
          </cell>
          <cell r="C1075" t="str">
            <v>PLY WOOD 8X4X4MM</v>
          </cell>
          <cell r="D1075" t="str">
            <v>NOS</v>
          </cell>
          <cell r="E1075" t="str">
            <v>CBERM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</row>
        <row r="1076">
          <cell r="B1076" t="str">
            <v>RML-SPG-NON-SKID-LBL</v>
          </cell>
          <cell r="C1076" t="str">
            <v>SPINE GUARD NO-SKID CARE INSTRUCTION LABEL</v>
          </cell>
          <cell r="D1076" t="str">
            <v>NOS</v>
          </cell>
          <cell r="E1076" t="str">
            <v>CBERM</v>
          </cell>
          <cell r="F1076">
            <v>0</v>
          </cell>
          <cell r="G1076">
            <v>0</v>
          </cell>
          <cell r="H1076">
            <v>1500</v>
          </cell>
          <cell r="I1076">
            <v>0</v>
          </cell>
        </row>
        <row r="1077">
          <cell r="B1077" t="str">
            <v>RML-PLW-CVR-TNDR</v>
          </cell>
          <cell r="C1077" t="str">
            <v>TNDR - PILLOW COVER 27.5" X 17.5"</v>
          </cell>
          <cell r="D1077" t="str">
            <v>NOS</v>
          </cell>
          <cell r="E1077" t="str">
            <v>CBERM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</row>
        <row r="1078">
          <cell r="B1078" t="str">
            <v>RM-PEPSDBSHZ1006-SH05-110X120</v>
          </cell>
          <cell r="C1078" t="str">
            <v>HARMONIZE - PEPSDBSHZ1006-SH05 BED SHEET-110 X 120</v>
          </cell>
          <cell r="D1078" t="str">
            <v>NOS</v>
          </cell>
          <cell r="E1078" t="str">
            <v>CBERM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</row>
        <row r="1079">
          <cell r="B1079" t="str">
            <v>RM-PEPSDBSHZ1006-SH17-110X120</v>
          </cell>
          <cell r="C1079" t="str">
            <v>HARMONIZE - PEPSDBSHZ1006-SH17 BED SHEET-110 X 120</v>
          </cell>
          <cell r="D1079" t="str">
            <v>NOS</v>
          </cell>
          <cell r="E1079" t="str">
            <v>CBERM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</row>
        <row r="1080">
          <cell r="B1080" t="str">
            <v>RM-PEPSDBSHZ1006-SH19-110X120</v>
          </cell>
          <cell r="C1080" t="str">
            <v>HARMONIZE - PEPSDBSHZ1006-SH19 BED SHEET-110 X 120</v>
          </cell>
          <cell r="D1080" t="str">
            <v>NOS</v>
          </cell>
          <cell r="E1080" t="str">
            <v>CBERM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</row>
        <row r="1081">
          <cell r="B1081" t="str">
            <v>RM-PEPSDBSHZ1006-SH20-110X120</v>
          </cell>
          <cell r="C1081" t="str">
            <v>HARMONIZE - PEPSDBSHZ1006-SH20 BED SHEET-110 X 120</v>
          </cell>
          <cell r="D1081" t="str">
            <v>NOS</v>
          </cell>
          <cell r="E1081" t="str">
            <v>CBERM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</row>
        <row r="1082">
          <cell r="B1082" t="str">
            <v>RM-PEPSDBSHZ1008-SH11-110X120</v>
          </cell>
          <cell r="C1082" t="str">
            <v>HARMONIZE - PEPSDBSHZ1008-SH11 BED SHEET-110 X 120</v>
          </cell>
          <cell r="D1082" t="str">
            <v>NOS</v>
          </cell>
          <cell r="E1082" t="str">
            <v>CBERM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</row>
        <row r="1083">
          <cell r="B1083" t="str">
            <v>RM-PEPSDBSHZ1008-SH12-110X120</v>
          </cell>
          <cell r="C1083" t="str">
            <v>HARMONIZE - PEPSDBSHZ1008-SH12 BED SHEET-110 X 120</v>
          </cell>
          <cell r="D1083" t="str">
            <v>NOS</v>
          </cell>
          <cell r="E1083" t="str">
            <v>CBERM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</row>
        <row r="1084">
          <cell r="B1084" t="str">
            <v>RM-PEPSDBSHZ1008-SH13-110X120</v>
          </cell>
          <cell r="C1084" t="str">
            <v>HARMONIZE - PEPSDBSHZ1008-SH13 BED SHEET-110 X 120</v>
          </cell>
          <cell r="D1084" t="str">
            <v>NOS</v>
          </cell>
          <cell r="E1084" t="str">
            <v>CBERM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</row>
        <row r="1085">
          <cell r="B1085" t="str">
            <v>RM-PEPSDBSHZ1009-SH01-110X120</v>
          </cell>
          <cell r="C1085" t="str">
            <v>HARMONIZE - PEPSDBSHZ1009-SH01 BED SHEET-110 X 120</v>
          </cell>
          <cell r="D1085" t="str">
            <v>NOS</v>
          </cell>
          <cell r="E1085" t="str">
            <v>CBERM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</row>
        <row r="1086">
          <cell r="B1086" t="str">
            <v>RM-PEPSDBSHZ1009-SH03-110X120</v>
          </cell>
          <cell r="C1086" t="str">
            <v>HARMONIZE - PEPSDBSHZ1009-SH03 BED SHEET-110 X 120</v>
          </cell>
          <cell r="D1086" t="str">
            <v>NOS</v>
          </cell>
          <cell r="E1086" t="str">
            <v>CBERM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</row>
        <row r="1087">
          <cell r="B1087" t="str">
            <v>RM-PEPSDBSHZ1009-SH04-110X120</v>
          </cell>
          <cell r="C1087" t="str">
            <v>HARMONIZE - PEPSDBSHZ1009-SH04 BED SHEET-110 X 120</v>
          </cell>
          <cell r="D1087" t="str">
            <v>NOS</v>
          </cell>
          <cell r="E1087" t="str">
            <v>CBERM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</row>
        <row r="1088">
          <cell r="B1088" t="str">
            <v>RML-TRAN-ZIP</v>
          </cell>
          <cell r="C1088" t="str">
            <v>MINI SAMPLE PVC BAG ZIPPER NO - 8</v>
          </cell>
          <cell r="D1088" t="str">
            <v>MTR</v>
          </cell>
          <cell r="E1088" t="str">
            <v>CBERM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</row>
        <row r="1089">
          <cell r="B1089" t="str">
            <v>RM-ALI-SAMPLE</v>
          </cell>
          <cell r="C1089" t="str">
            <v>ALLIED PRODUCTS SAMPLES</v>
          </cell>
          <cell r="D1089" t="str">
            <v>NOS</v>
          </cell>
          <cell r="E1089" t="str">
            <v>CBERM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</row>
        <row r="1090">
          <cell r="B1090" t="str">
            <v>RM-HAND-TOWEL-16X25</v>
          </cell>
          <cell r="C1090" t="str">
            <v>PEPS HAND TOWEL 16 X 25"</v>
          </cell>
          <cell r="D1090" t="str">
            <v>NOS</v>
          </cell>
          <cell r="E1090" t="str">
            <v>CBERM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</row>
        <row r="1091">
          <cell r="B1091" t="str">
            <v>RM-WOOD-3X1X51</v>
          </cell>
          <cell r="C1091" t="str">
            <v>WOOD 3X1X51 INCH</v>
          </cell>
          <cell r="D1091" t="str">
            <v>CFL</v>
          </cell>
          <cell r="E1091" t="str">
            <v>CBERM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</row>
        <row r="1092">
          <cell r="B1092" t="str">
            <v>RM-JUM-PLW-CVR-WH-PLN-32X22</v>
          </cell>
          <cell r="C1092" t="str">
            <v>PEPS JUMBO WHITE PLAIN PILLOW COVER(32"X22")</v>
          </cell>
          <cell r="D1092" t="str">
            <v>NOS</v>
          </cell>
          <cell r="E1092" t="str">
            <v>CBERM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</row>
        <row r="1093">
          <cell r="B1093" t="str">
            <v>RML-BAT-ROB</v>
          </cell>
          <cell r="C1093" t="str">
            <v>BATH ROBE</v>
          </cell>
          <cell r="D1093" t="str">
            <v>NOS</v>
          </cell>
          <cell r="E1093" t="str">
            <v>CBERM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</row>
        <row r="1094">
          <cell r="B1094" t="str">
            <v>RML-BED-RUN-66X18</v>
          </cell>
          <cell r="C1094" t="str">
            <v>BED RUNNER 66" X 18"</v>
          </cell>
          <cell r="D1094" t="str">
            <v>NOS</v>
          </cell>
          <cell r="E1094" t="str">
            <v>CBERM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</row>
        <row r="1095">
          <cell r="B1095" t="str">
            <v>RML-BED-RUN-96X18</v>
          </cell>
          <cell r="C1095" t="str">
            <v>BED RUNNER 96" X 18"</v>
          </cell>
          <cell r="D1095" t="str">
            <v>NOS</v>
          </cell>
          <cell r="E1095" t="str">
            <v>CBERM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</row>
        <row r="1096">
          <cell r="B1096" t="str">
            <v>RML-BED-SHT-108X112</v>
          </cell>
          <cell r="C1096" t="str">
            <v>Bed Sheet 108" x 112"</v>
          </cell>
          <cell r="D1096" t="str">
            <v>NOS</v>
          </cell>
          <cell r="E1096" t="str">
            <v>CBERM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</row>
        <row r="1097">
          <cell r="B1097" t="str">
            <v>RML-BED-SHT-72X112</v>
          </cell>
          <cell r="C1097" t="str">
            <v>Bed Sheet 72" x 112"</v>
          </cell>
          <cell r="D1097" t="str">
            <v>NOS</v>
          </cell>
          <cell r="E1097" t="str">
            <v>CBERM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</row>
        <row r="1098">
          <cell r="B1098" t="str">
            <v>RML-ITALIANO-BELI-MATT-TAG</v>
          </cell>
          <cell r="C1098" t="str">
            <v>ITALINO MATTRESS TAG (BELLISMO) CARD SIZE (83MM X44MM)</v>
          </cell>
          <cell r="D1098" t="str">
            <v>NOS</v>
          </cell>
          <cell r="E1098" t="str">
            <v>CBERM</v>
          </cell>
          <cell r="F1098">
            <v>0</v>
          </cell>
          <cell r="G1098">
            <v>0</v>
          </cell>
          <cell r="H1098">
            <v>100</v>
          </cell>
          <cell r="I1098">
            <v>0</v>
          </cell>
        </row>
        <row r="1099">
          <cell r="B1099" t="str">
            <v>RML-CUSPOLFIL20X20-400GMS</v>
          </cell>
          <cell r="C1099" t="str">
            <v>Cushion Poly fiber Pillow 20X20 (400 Gsm)</v>
          </cell>
          <cell r="D1099" t="str">
            <v>NOS</v>
          </cell>
          <cell r="E1099" t="str">
            <v>CBERM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</row>
        <row r="1100">
          <cell r="B1100" t="str">
            <v>RML-DUVE-100X100</v>
          </cell>
          <cell r="C1100" t="str">
            <v>DUVET 100" X 100"</v>
          </cell>
          <cell r="D1100" t="str">
            <v>NOS</v>
          </cell>
          <cell r="E1100" t="str">
            <v>CBERM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</row>
        <row r="1101">
          <cell r="B1101" t="str">
            <v>RML-DUVE-60X90</v>
          </cell>
          <cell r="C1101" t="str">
            <v>DUVET 60" X 90"</v>
          </cell>
          <cell r="D1101" t="str">
            <v>NOS</v>
          </cell>
          <cell r="E1101" t="str">
            <v>CBERM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</row>
        <row r="1102">
          <cell r="B1102" t="str">
            <v>RML-DUVE-CVR-102X102</v>
          </cell>
          <cell r="C1102" t="str">
            <v>DUVET COVER 102" X 102"</v>
          </cell>
          <cell r="D1102" t="str">
            <v>NOS</v>
          </cell>
          <cell r="E1102" t="str">
            <v>CBERM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</row>
        <row r="1103">
          <cell r="B1103" t="str">
            <v>RML-DUVE-CVR-62X92</v>
          </cell>
          <cell r="C1103" t="str">
            <v>DUVET COVER 62" X 92"</v>
          </cell>
          <cell r="D1103" t="str">
            <v>NOS</v>
          </cell>
          <cell r="E1103" t="str">
            <v>CBERM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</row>
        <row r="1104">
          <cell r="B1104" t="str">
            <v>RML-HOT-MOT-COM-SID-LBL-FM</v>
          </cell>
          <cell r="C1104" t="str">
            <v>HOTEL COMFORT CARE SIDE LABEL-PU FOAM</v>
          </cell>
          <cell r="D1104" t="str">
            <v>NOS</v>
          </cell>
          <cell r="E1104" t="str">
            <v>CBERM</v>
          </cell>
          <cell r="F1104">
            <v>0</v>
          </cell>
          <cell r="G1104">
            <v>0</v>
          </cell>
          <cell r="H1104">
            <v>200</v>
          </cell>
          <cell r="I1104">
            <v>0</v>
          </cell>
        </row>
        <row r="1105">
          <cell r="B1105" t="str">
            <v>RML-INSTI-FIB-PILLOW-27X17-800G</v>
          </cell>
          <cell r="C1105" t="str">
            <v>INSTITUTIONAL FIBER PILLOW 27X17 -800.GRM(AGA)</v>
          </cell>
          <cell r="D1105" t="str">
            <v>NOS</v>
          </cell>
          <cell r="E1105" t="str">
            <v>CBERM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</row>
        <row r="1106">
          <cell r="B1106" t="str">
            <v>RML-INSTI-FIB-PILLOW-30X20-1300G</v>
          </cell>
          <cell r="C1106" t="str">
            <v>INSTITUTIONAL FIBER PILLOW 30X20 - 1300.GRM(AGA)</v>
          </cell>
          <cell r="D1106" t="str">
            <v>NOS</v>
          </cell>
          <cell r="E1106" t="str">
            <v>CBERM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</row>
        <row r="1107">
          <cell r="B1107" t="str">
            <v>RML-ITALIANO-MAG-MATT-TAG</v>
          </cell>
          <cell r="C1107" t="str">
            <v>ITALINO MATTRESS TAG (MAGNIFICO) CARD (83MM X44MM)</v>
          </cell>
          <cell r="D1107" t="str">
            <v>NOS</v>
          </cell>
          <cell r="E1107" t="str">
            <v>CBERM</v>
          </cell>
          <cell r="F1107">
            <v>0</v>
          </cell>
          <cell r="G1107">
            <v>0</v>
          </cell>
          <cell r="H1107">
            <v>100</v>
          </cell>
          <cell r="I1107">
            <v>0</v>
          </cell>
        </row>
        <row r="1108">
          <cell r="B1108" t="str">
            <v>RML-PLAIN-PILLOW-24X16</v>
          </cell>
          <cell r="C1108" t="str">
            <v>PEPS POLYESTER FIBER PILLOW 24"X16"</v>
          </cell>
          <cell r="D1108" t="str">
            <v>NOS</v>
          </cell>
          <cell r="E1108" t="str">
            <v>CBERM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</row>
        <row r="1109">
          <cell r="B1109" t="str">
            <v>RML-PLAIN-PILLOW-28X18</v>
          </cell>
          <cell r="C1109" t="str">
            <v>PEPS PLAIN PILLOW 28'X18"</v>
          </cell>
          <cell r="D1109" t="str">
            <v>NOS</v>
          </cell>
          <cell r="E1109" t="str">
            <v>CBERM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</row>
        <row r="1110">
          <cell r="B1110" t="str">
            <v>RML-PTR-78X36</v>
          </cell>
          <cell r="C1110" t="str">
            <v>PEPS PROTECTOR 78X36</v>
          </cell>
          <cell r="D1110" t="str">
            <v>NOS</v>
          </cell>
          <cell r="E1110" t="str">
            <v>CBERM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</row>
        <row r="1111">
          <cell r="B1111" t="str">
            <v>RML-PTR-78X72</v>
          </cell>
          <cell r="C1111" t="str">
            <v>PEPS PROTECTOR 78X72</v>
          </cell>
          <cell r="D1111" t="str">
            <v>NOS</v>
          </cell>
          <cell r="E1111" t="str">
            <v>CBERM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</row>
        <row r="1112">
          <cell r="B1112" t="str">
            <v>RML-ITALIANO-SER-HANG-TAG</v>
          </cell>
          <cell r="C1112" t="str">
            <v>ITALINO MATTRESS TAG (SERENITA) CARD (83MM X44MM)</v>
          </cell>
          <cell r="D1112" t="str">
            <v>NOS</v>
          </cell>
          <cell r="E1112" t="str">
            <v>CBERM</v>
          </cell>
          <cell r="F1112">
            <v>0</v>
          </cell>
          <cell r="G1112">
            <v>0</v>
          </cell>
          <cell r="H1112">
            <v>100</v>
          </cell>
          <cell r="I1112">
            <v>50</v>
          </cell>
        </row>
        <row r="1113">
          <cell r="B1113" t="str">
            <v>RM-PLW-CVR-WH-STRP</v>
          </cell>
          <cell r="C1113" t="str">
            <v>PEPS NORMAL WHITE STRIPE PILLOW COVER 28X18</v>
          </cell>
          <cell r="D1113" t="str">
            <v>NOS</v>
          </cell>
          <cell r="E1113" t="str">
            <v>CBERM</v>
          </cell>
          <cell r="F1113">
            <v>50</v>
          </cell>
          <cell r="G1113">
            <v>50</v>
          </cell>
          <cell r="H1113">
            <v>0</v>
          </cell>
          <cell r="I1113">
            <v>0</v>
          </cell>
        </row>
        <row r="1114">
          <cell r="B1114" t="str">
            <v>FB-MATT-BACK-PANL-BLU</v>
          </cell>
          <cell r="C1114" t="str">
            <v>MATTRESS BACK PANEL FABRIC - BLUE</v>
          </cell>
          <cell r="D1114" t="str">
            <v>MTR</v>
          </cell>
          <cell r="E1114" t="str">
            <v>CBERM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</row>
        <row r="1115">
          <cell r="B1115" t="str">
            <v>FBR-KOZBOND-PNL-MRN</v>
          </cell>
          <cell r="C1115" t="str">
            <v>KOZYBOND PANEL FABRIC MAROON</v>
          </cell>
          <cell r="D1115" t="str">
            <v>MTR</v>
          </cell>
          <cell r="E1115" t="str">
            <v>CBERM</v>
          </cell>
          <cell r="F1115">
            <v>0</v>
          </cell>
          <cell r="G1115">
            <v>0</v>
          </cell>
          <cell r="H1115">
            <v>1500</v>
          </cell>
          <cell r="I1115">
            <v>0</v>
          </cell>
        </row>
        <row r="1116">
          <cell r="B1116" t="str">
            <v>RM-BED-SHT-110X110-WOPC</v>
          </cell>
          <cell r="C1116" t="str">
            <v>PEPS 110X110 BED SHEET</v>
          </cell>
          <cell r="D1116" t="str">
            <v>NOS</v>
          </cell>
          <cell r="E1116" t="str">
            <v>CBERM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</row>
        <row r="1117">
          <cell r="B1117" t="str">
            <v>RML-LD-CVR-90MIC-92X56</v>
          </cell>
          <cell r="C1117" t="str">
            <v>LDPE cover - 90mic  – 92x56  (56 Side Open)</v>
          </cell>
          <cell r="D1117" t="str">
            <v>KGS</v>
          </cell>
          <cell r="E1117" t="str">
            <v>CBERM</v>
          </cell>
          <cell r="F1117">
            <v>0</v>
          </cell>
          <cell r="G1117">
            <v>0</v>
          </cell>
          <cell r="H1117">
            <v>60</v>
          </cell>
          <cell r="I1117">
            <v>0</v>
          </cell>
        </row>
        <row r="1118">
          <cell r="B1118" t="str">
            <v>RMI-SPK-SDE-LBL</v>
          </cell>
          <cell r="C1118" t="str">
            <v>SPRINGKOIL SIDE LABEL</v>
          </cell>
          <cell r="D1118" t="str">
            <v>NOS</v>
          </cell>
          <cell r="E1118" t="str">
            <v>CBERM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</row>
        <row r="1119">
          <cell r="B1119" t="str">
            <v>RML-BED-SHT-119X110</v>
          </cell>
          <cell r="C1119" t="str">
            <v>Bed Sheet 119" x 110"</v>
          </cell>
          <cell r="D1119" t="str">
            <v>NOS</v>
          </cell>
          <cell r="E1119" t="str">
            <v>CBERM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</row>
        <row r="1120">
          <cell r="B1120" t="str">
            <v>RML-BED-SHT-119X79</v>
          </cell>
          <cell r="C1120" t="str">
            <v>Bed Sheet 119" x 79"</v>
          </cell>
          <cell r="D1120" t="str">
            <v>NOS</v>
          </cell>
          <cell r="E1120" t="str">
            <v>CBERM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</row>
        <row r="1121">
          <cell r="B1121" t="str">
            <v>RML-BOLSTER-24X09</v>
          </cell>
          <cell r="C1121" t="str">
            <v>PEPS Bolsters 24X09"</v>
          </cell>
          <cell r="D1121" t="str">
            <v>NOS</v>
          </cell>
          <cell r="E1121" t="str">
            <v>CBERM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</row>
        <row r="1122">
          <cell r="B1122" t="str">
            <v>RML-LD-CVR-90MIC-92X70</v>
          </cell>
          <cell r="C1122" t="str">
            <v>LDPE cover - 90mic  – 92x70  (70 Side Open)</v>
          </cell>
          <cell r="D1122" t="str">
            <v>KGS</v>
          </cell>
          <cell r="E1122" t="str">
            <v>CBERM</v>
          </cell>
          <cell r="F1122">
            <v>0</v>
          </cell>
          <cell r="G1122">
            <v>0</v>
          </cell>
          <cell r="H1122">
            <v>60</v>
          </cell>
          <cell r="I1122">
            <v>0</v>
          </cell>
        </row>
        <row r="1123">
          <cell r="B1123" t="str">
            <v>RML-DUVE-104X104</v>
          </cell>
          <cell r="C1123" t="str">
            <v>DUVET COVER 104" X 104"</v>
          </cell>
          <cell r="D1123" t="str">
            <v>NOS</v>
          </cell>
          <cell r="E1123" t="str">
            <v>CBERM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</row>
        <row r="1124">
          <cell r="B1124" t="str">
            <v>RML-DUVE-90X100</v>
          </cell>
          <cell r="C1124" t="str">
            <v>DUVET 90" X 100"</v>
          </cell>
          <cell r="D1124" t="str">
            <v>NOS</v>
          </cell>
          <cell r="E1124" t="str">
            <v>CBERM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</row>
        <row r="1125">
          <cell r="B1125" t="str">
            <v>RML-DUVE-94X104</v>
          </cell>
          <cell r="C1125" t="str">
            <v>DUVET COVER 94" X 104"</v>
          </cell>
          <cell r="D1125" t="str">
            <v>NOS</v>
          </cell>
          <cell r="E1125" t="str">
            <v>CBERM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</row>
        <row r="1126">
          <cell r="B1126" t="str">
            <v>RML-DUVE-94X72</v>
          </cell>
          <cell r="C1126" t="str">
            <v>DUVET 94" X 72"</v>
          </cell>
          <cell r="D1126" t="str">
            <v>NOS</v>
          </cell>
          <cell r="E1126" t="str">
            <v>CBERM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</row>
        <row r="1127">
          <cell r="B1127" t="str">
            <v>RML-DUVE-96X102</v>
          </cell>
          <cell r="C1127" t="str">
            <v>DUVET 96" X 102"</v>
          </cell>
          <cell r="D1127" t="str">
            <v>NOS</v>
          </cell>
          <cell r="E1127" t="str">
            <v>CBERM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</row>
        <row r="1128">
          <cell r="B1128" t="str">
            <v>RML-DUVE-CVR-100X76</v>
          </cell>
          <cell r="C1128" t="str">
            <v>DUVET COVER 100" X 76"</v>
          </cell>
          <cell r="D1128" t="str">
            <v>NOS</v>
          </cell>
          <cell r="E1128" t="str">
            <v>CBERM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</row>
        <row r="1129">
          <cell r="B1129" t="str">
            <v>RML-DUVE-CVR-102X107</v>
          </cell>
          <cell r="C1129" t="str">
            <v>DUVET COVER 102" X 107"</v>
          </cell>
          <cell r="D1129" t="str">
            <v>NOS</v>
          </cell>
          <cell r="E1129" t="str">
            <v>CBERM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</row>
        <row r="1130">
          <cell r="B1130" t="str">
            <v>RML-HARD-PILLOW-30X20</v>
          </cell>
          <cell r="C1130" t="str">
            <v>HARD PILLOW 30"X20"</v>
          </cell>
          <cell r="D1130" t="str">
            <v>NOS</v>
          </cell>
          <cell r="E1130" t="str">
            <v>CBERM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</row>
        <row r="1131">
          <cell r="B1131" t="str">
            <v>RML-LD-CVR-90MIC-92X82</v>
          </cell>
          <cell r="C1131" t="str">
            <v>LDPE cover - 90mic  – 92x82  (82 Side Open)</v>
          </cell>
          <cell r="D1131" t="str">
            <v>KGS</v>
          </cell>
          <cell r="E1131" t="str">
            <v>CBERM</v>
          </cell>
          <cell r="F1131">
            <v>0</v>
          </cell>
          <cell r="G1131">
            <v>0</v>
          </cell>
          <cell r="H1131">
            <v>60</v>
          </cell>
          <cell r="I1131">
            <v>0</v>
          </cell>
        </row>
        <row r="1132">
          <cell r="B1132" t="str">
            <v>RM-WOOD-3X1X78</v>
          </cell>
          <cell r="C1132" t="str">
            <v>WOOD 3X1X78 INCH</v>
          </cell>
          <cell r="D1132" t="str">
            <v>CFL</v>
          </cell>
          <cell r="E1132" t="str">
            <v>CBERM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</row>
        <row r="1133">
          <cell r="B1133" t="str">
            <v>RML-INSTI-FIB-PILLOW-27X17</v>
          </cell>
          <cell r="C1133" t="str">
            <v>INSTITUTIONAL FIBER PILLOW 27X17</v>
          </cell>
          <cell r="D1133" t="str">
            <v>NOS</v>
          </cell>
          <cell r="E1133" t="str">
            <v>CBERM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</row>
        <row r="1134">
          <cell r="B1134" t="str">
            <v>RM-HYP-CAS-MAT-MRP-LBL-KOL</v>
          </cell>
          <cell r="C1134" t="str">
            <v>Hypnos Caspio Mattresses Plain MRP Label ( Kolkata - Address)</v>
          </cell>
          <cell r="D1134" t="str">
            <v>NOS</v>
          </cell>
          <cell r="E1134" t="str">
            <v>CBERM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</row>
        <row r="1135">
          <cell r="B1135" t="str">
            <v>RML-KOM-LTX-PLW-50X28X8/7</v>
          </cell>
          <cell r="C1135" t="str">
            <v>Komffy Latex Pillow # Contour 50CMX28CMX8/7CM (100% Natural)</v>
          </cell>
          <cell r="D1135" t="str">
            <v>NOS</v>
          </cell>
          <cell r="E1135" t="str">
            <v>CBERM</v>
          </cell>
          <cell r="F1135">
            <v>0</v>
          </cell>
          <cell r="G1135">
            <v>0</v>
          </cell>
          <cell r="H1135">
            <v>700</v>
          </cell>
          <cell r="I1135">
            <v>0</v>
          </cell>
        </row>
        <row r="1136">
          <cell r="B1136" t="str">
            <v>RML-KOM-PTR-72X63</v>
          </cell>
          <cell r="C1136" t="str">
            <v>KOMFFY MATTRESSES PROTECTOR 72X63</v>
          </cell>
          <cell r="D1136" t="str">
            <v>NOS</v>
          </cell>
          <cell r="E1136" t="str">
            <v>CBERM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</row>
        <row r="1137">
          <cell r="B1137" t="str">
            <v>RML-KOM-PTR-74X59.50</v>
          </cell>
          <cell r="C1137" t="str">
            <v>KOMFFY MATTRESSES PROTECTOR 74X59.50</v>
          </cell>
          <cell r="D1137" t="str">
            <v>NOS</v>
          </cell>
          <cell r="E1137" t="str">
            <v>CBERM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</row>
        <row r="1138">
          <cell r="B1138" t="str">
            <v>RML-KOM-PTR-75X68</v>
          </cell>
          <cell r="C1138" t="str">
            <v>KOMFFY MATTRESSES PROTECTOR 75X68</v>
          </cell>
          <cell r="D1138" t="str">
            <v>NOS</v>
          </cell>
          <cell r="E1138" t="str">
            <v>CBERM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</row>
        <row r="1139">
          <cell r="B1139" t="str">
            <v>RML-KOM-PTR-76.50X59.50</v>
          </cell>
          <cell r="C1139" t="str">
            <v>KOMFFY MATTRESSES PROTECTOR 76.50X59.50</v>
          </cell>
          <cell r="D1139" t="str">
            <v>NOS</v>
          </cell>
          <cell r="E1139" t="str">
            <v>CBERM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</row>
        <row r="1140">
          <cell r="B1140" t="str">
            <v>RML-KOM-PTR-77.50X69</v>
          </cell>
          <cell r="C1140" t="str">
            <v>KOMFFY MATTRESSES PROTECTOR 77.50X69</v>
          </cell>
          <cell r="D1140" t="str">
            <v>NOS</v>
          </cell>
          <cell r="E1140" t="str">
            <v>CBERM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</row>
        <row r="1141">
          <cell r="B1141" t="str">
            <v>RML-KOM-PTR-77.50X71.50</v>
          </cell>
          <cell r="C1141" t="str">
            <v>KOMFFY MATTRESSES PROTECTOR 77.50X71.50</v>
          </cell>
          <cell r="D1141" t="str">
            <v>NOS</v>
          </cell>
          <cell r="E1141" t="str">
            <v>CBERM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</row>
        <row r="1142">
          <cell r="B1142" t="str">
            <v>RML-KOM-PTR-78X78</v>
          </cell>
          <cell r="C1142" t="str">
            <v>KOMFFY MATTRESSES PROTECTOR 78X78</v>
          </cell>
          <cell r="D1142" t="str">
            <v>NOS</v>
          </cell>
          <cell r="E1142" t="str">
            <v>CBERM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</row>
        <row r="1143">
          <cell r="B1143" t="str">
            <v>RML-KOM-PTR-78X84</v>
          </cell>
          <cell r="C1143" t="str">
            <v>KOMFFY MATTRESSES PROTECTOR 78X84</v>
          </cell>
          <cell r="D1143" t="str">
            <v>NOS</v>
          </cell>
          <cell r="E1143" t="str">
            <v>CBERM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</row>
        <row r="1144">
          <cell r="B1144" t="str">
            <v>RML-KOM-PTR-79X60</v>
          </cell>
          <cell r="C1144" t="str">
            <v>KOMFFY MATTRESSES PROTECTOR 79X60</v>
          </cell>
          <cell r="D1144" t="str">
            <v>NOS</v>
          </cell>
          <cell r="E1144" t="str">
            <v>CBERM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</row>
        <row r="1145">
          <cell r="B1145" t="str">
            <v>RML-KOM-PTR-83.50X68.50</v>
          </cell>
          <cell r="C1145" t="str">
            <v>KOMFFY MATTRESSES PROTECTOR 83.50X68.50</v>
          </cell>
          <cell r="D1145" t="str">
            <v>NOS</v>
          </cell>
          <cell r="E1145" t="str">
            <v>CBERM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</row>
        <row r="1146">
          <cell r="B1146" t="str">
            <v>RML-KOM-PTR-83X60</v>
          </cell>
          <cell r="C1146" t="str">
            <v>KOMFFY MATTRESSES PROTECTOR 83X60</v>
          </cell>
          <cell r="D1146" t="str">
            <v>NOS</v>
          </cell>
          <cell r="E1146" t="str">
            <v>CBERM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</row>
        <row r="1147">
          <cell r="B1147" t="str">
            <v>RML-KOZBON-SDE-LBL</v>
          </cell>
          <cell r="C1147" t="str">
            <v>KOZYBOND SIDE LABEL</v>
          </cell>
          <cell r="D1147" t="str">
            <v>NOS</v>
          </cell>
          <cell r="E1147" t="str">
            <v>CBERM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</row>
        <row r="1148">
          <cell r="B1148" t="str">
            <v>RML-CS-ITALIANO-13</v>
          </cell>
          <cell r="C1148" t="str">
            <v>ITALIANO MAGNIFICO CORNER SHOES - 13"</v>
          </cell>
          <cell r="D1148" t="str">
            <v>NOS</v>
          </cell>
          <cell r="E1148" t="str">
            <v>CBERM</v>
          </cell>
          <cell r="F1148">
            <v>0</v>
          </cell>
          <cell r="G1148">
            <v>0</v>
          </cell>
          <cell r="H1148">
            <v>100</v>
          </cell>
          <cell r="I1148">
            <v>0</v>
          </cell>
        </row>
        <row r="1149">
          <cell r="B1149" t="str">
            <v>RML-LD-CVR-PLN-6X7.5+2-300G</v>
          </cell>
          <cell r="C1149" t="str">
            <v>PILLOW COVER LDPE PLAIN SEAL KING BAG 6X7.5+2 - 300G</v>
          </cell>
          <cell r="D1149" t="str">
            <v>KGS</v>
          </cell>
          <cell r="E1149" t="str">
            <v>CBERM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</row>
        <row r="1150">
          <cell r="B1150" t="str">
            <v>RML-ITA-FLG-TAP</v>
          </cell>
          <cell r="C1150" t="str">
            <v>ITALIANO FLAG TAPE (FOR CARD HANGING PURPOSE)</v>
          </cell>
          <cell r="D1150" t="str">
            <v>MTR</v>
          </cell>
          <cell r="E1150" t="str">
            <v>CBERM</v>
          </cell>
          <cell r="F1150">
            <v>0</v>
          </cell>
          <cell r="G1150">
            <v>0</v>
          </cell>
          <cell r="H1150">
            <v>1000</v>
          </cell>
          <cell r="I1150">
            <v>0</v>
          </cell>
        </row>
        <row r="1151">
          <cell r="B1151" t="str">
            <v>RML-PEPS-PTR-78.75X36.03</v>
          </cell>
          <cell r="C1151" t="str">
            <v>Mattress Protector 78.75" x 36.03"</v>
          </cell>
          <cell r="D1151" t="str">
            <v>NOS</v>
          </cell>
          <cell r="E1151" t="str">
            <v>CBERM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B1152" t="str">
            <v>RML-PEPS-PTR-78.75X70.87</v>
          </cell>
          <cell r="C1152" t="str">
            <v>Mattress Protector 78.75" X 70.87"</v>
          </cell>
          <cell r="D1152" t="str">
            <v>NOS</v>
          </cell>
          <cell r="E1152" t="str">
            <v>CBERM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B1153" t="str">
            <v>RML-PILW-CAS-22X33</v>
          </cell>
          <cell r="C1153" t="str">
            <v>Pillow Case 22" X 33"</v>
          </cell>
          <cell r="D1153" t="str">
            <v>NOS</v>
          </cell>
          <cell r="E1153" t="str">
            <v>CBERM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B1154" t="str">
            <v>RML-PILW-PTR-21X33</v>
          </cell>
          <cell r="C1154" t="str">
            <v>Pillow Protector 21" X 32"</v>
          </cell>
          <cell r="D1154" t="str">
            <v>NOS</v>
          </cell>
          <cell r="E1154" t="str">
            <v>CBERM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</row>
        <row r="1155">
          <cell r="B1155" t="str">
            <v>RML-PLWCVR-32X22</v>
          </cell>
          <cell r="C1155" t="str">
            <v>PILLOW COVER 32"X22"</v>
          </cell>
          <cell r="D1155" t="str">
            <v>NOS</v>
          </cell>
          <cell r="E1155" t="str">
            <v>CBERM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</row>
        <row r="1156">
          <cell r="B1156" t="str">
            <v>RML-SOFT-PILLOW-30X20</v>
          </cell>
          <cell r="C1156" t="str">
            <v>SOFT PILLOW 30"X20"</v>
          </cell>
          <cell r="D1156" t="str">
            <v>NOS</v>
          </cell>
          <cell r="E1156" t="str">
            <v>CBERM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</row>
        <row r="1157">
          <cell r="B1157" t="str">
            <v>RML-SPES-1ST-PILW-20X31</v>
          </cell>
          <cell r="C1157" t="str">
            <v>Pillows Specs (1st Pillow) 20" X 31"</v>
          </cell>
          <cell r="D1157" t="str">
            <v>NOS</v>
          </cell>
          <cell r="E1157" t="str">
            <v>CBERM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</row>
        <row r="1158">
          <cell r="B1158" t="str">
            <v>RML-SPES-2ST-PIL-20X31</v>
          </cell>
          <cell r="C1158" t="str">
            <v>Pillows Specs (2nd Pillow) 20" X 31"</v>
          </cell>
          <cell r="D1158" t="str">
            <v>NOS</v>
          </cell>
          <cell r="E1158" t="str">
            <v>CBERM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</row>
        <row r="1159">
          <cell r="B1159" t="str">
            <v>RML-NW-IMP-STK</v>
          </cell>
          <cell r="C1159" t="str">
            <v>NEW &amp; IMPROVED STICKER</v>
          </cell>
          <cell r="D1159" t="str">
            <v>NOS</v>
          </cell>
          <cell r="E1159" t="str">
            <v>CBERM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</row>
        <row r="1160">
          <cell r="B1160" t="str">
            <v>RMI-HCTNF-74.50X59.50.</v>
          </cell>
          <cell r="C1160" t="str">
            <v>COTTON FELT 189.23CM X 151.13CM X 6MM - 700gsm ( 74.50" x 59.50" )</v>
          </cell>
          <cell r="D1160" t="str">
            <v>KGS</v>
          </cell>
          <cell r="E1160" t="str">
            <v>CBERM</v>
          </cell>
          <cell r="F1160">
            <v>0</v>
          </cell>
          <cell r="G1160">
            <v>0</v>
          </cell>
          <cell r="H1160">
            <v>15000</v>
          </cell>
          <cell r="I1160">
            <v>22000</v>
          </cell>
        </row>
        <row r="1161">
          <cell r="B1161" t="str">
            <v>RMI-HCTNF-74.50X71.50.</v>
          </cell>
          <cell r="C1161" t="str">
            <v>COTTON FELT 189.23CM X 181.61CM X 6MM - 700gsm ( 74.50" x 71.50" )</v>
          </cell>
          <cell r="D1161" t="str">
            <v>KGS</v>
          </cell>
          <cell r="E1161" t="str">
            <v>CBERM</v>
          </cell>
          <cell r="F1161">
            <v>22000</v>
          </cell>
          <cell r="G1161">
            <v>22000</v>
          </cell>
          <cell r="H1161">
            <v>8000</v>
          </cell>
          <cell r="I1161">
            <v>10000</v>
          </cell>
        </row>
        <row r="1162">
          <cell r="B1162" t="str">
            <v>RMI-HCTNF-77.50X59.50.</v>
          </cell>
          <cell r="C1162" t="str">
            <v>COTTON FELT 196.85CM X 151.13CM X 6MM - 700gsm ( 77.50" x 59.50" )</v>
          </cell>
          <cell r="D1162" t="str">
            <v>KGS</v>
          </cell>
          <cell r="E1162" t="str">
            <v>CBERM</v>
          </cell>
          <cell r="F1162">
            <v>10000</v>
          </cell>
          <cell r="G1162">
            <v>10000</v>
          </cell>
          <cell r="H1162">
            <v>7500</v>
          </cell>
          <cell r="I1162">
            <v>6000</v>
          </cell>
        </row>
        <row r="1163">
          <cell r="B1163" t="str">
            <v>RM-HYP-ALU-MAT-CINS-LBL</v>
          </cell>
          <cell r="C1163" t="str">
            <v>HYPNOS ALLURE MF WARRANTY  CARE  INSTRUCTION LABEL</v>
          </cell>
          <cell r="D1163" t="str">
            <v>NOS</v>
          </cell>
          <cell r="E1163" t="str">
            <v>CBERM</v>
          </cell>
          <cell r="F1163">
            <v>6000</v>
          </cell>
          <cell r="G1163">
            <v>6000</v>
          </cell>
          <cell r="H1163">
            <v>0</v>
          </cell>
          <cell r="I1163">
            <v>0</v>
          </cell>
        </row>
        <row r="1164">
          <cell r="B1164" t="str">
            <v>RML-FLN-BLNK-85X95</v>
          </cell>
          <cell r="C1164" t="str">
            <v>PEPS FLANO PRINTED BLANKET DOUBLE- SIZE:85X95 INCH</v>
          </cell>
          <cell r="D1164" t="str">
            <v>NOS</v>
          </cell>
          <cell r="E1164" t="str">
            <v>CBERM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</row>
        <row r="1165">
          <cell r="B1165" t="str">
            <v>RML-INSTI-FIB-PILLOW-24X12</v>
          </cell>
          <cell r="C1165" t="str">
            <v>INSTITUTIONAL FIBER PILLOW 24X12</v>
          </cell>
          <cell r="D1165" t="str">
            <v>NOS</v>
          </cell>
          <cell r="E1165" t="str">
            <v>CBERM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</row>
        <row r="1166">
          <cell r="B1166" t="str">
            <v>RML-CHIL-GEL-TECH-STK</v>
          </cell>
          <cell r="C1166" t="str">
            <v>CHILL GEL TECHNOLOGY STICKER</v>
          </cell>
          <cell r="D1166" t="str">
            <v>NOS</v>
          </cell>
          <cell r="E1166" t="str">
            <v>CBERM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</row>
        <row r="1167">
          <cell r="B1167" t="str">
            <v>RML-KOM-PTR-70X66</v>
          </cell>
          <cell r="C1167" t="str">
            <v>KOMFFY MATTRESSES PROTECTOR 70X66</v>
          </cell>
          <cell r="D1167" t="str">
            <v>NOS</v>
          </cell>
          <cell r="E1167" t="str">
            <v>CBERM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</row>
        <row r="1168">
          <cell r="B1168" t="str">
            <v>RML-KOM-PTR-75X54</v>
          </cell>
          <cell r="C1168" t="str">
            <v>KOMFFY MATTRESSES PROTECTOR 75X54</v>
          </cell>
          <cell r="D1168" t="str">
            <v>NOS</v>
          </cell>
          <cell r="E1168" t="str">
            <v>CBERM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</row>
        <row r="1169">
          <cell r="B1169" t="str">
            <v>RML-KOM-PTR-75X63.50</v>
          </cell>
          <cell r="C1169" t="str">
            <v>KOMFFY MATTRESSES PROTECTOR 75X63.50</v>
          </cell>
          <cell r="D1169" t="str">
            <v>NOS</v>
          </cell>
          <cell r="E1169" t="str">
            <v>CBERM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</row>
        <row r="1170">
          <cell r="B1170" t="str">
            <v>RML-KOM-PTR-76.50X53.50</v>
          </cell>
          <cell r="C1170" t="str">
            <v>KOMFFY MATTRESSES PROTECTOR 76.50X53.50</v>
          </cell>
          <cell r="D1170" t="str">
            <v>NOS</v>
          </cell>
          <cell r="E1170" t="str">
            <v>CBERM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</row>
        <row r="1171">
          <cell r="B1171" t="str">
            <v>RML-KOM-PTR-76.50X70</v>
          </cell>
          <cell r="C1171" t="str">
            <v>KOMFFY MATTRESSES PROTECTOR 76.50X70</v>
          </cell>
          <cell r="D1171" t="str">
            <v>NOS</v>
          </cell>
          <cell r="E1171" t="str">
            <v>CBERM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</row>
        <row r="1172">
          <cell r="B1172" t="str">
            <v>RML-KOM-PTR-76X58.50</v>
          </cell>
          <cell r="C1172" t="str">
            <v>KOMFFY MATTRESSES PROTECTOR 76X58.50</v>
          </cell>
          <cell r="D1172" t="str">
            <v>NOS</v>
          </cell>
          <cell r="E1172" t="str">
            <v>CBERM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</row>
        <row r="1173">
          <cell r="B1173" t="str">
            <v>RML-KOM-PTR-77X73</v>
          </cell>
          <cell r="C1173" t="str">
            <v>KOMFFY MATTRESSES PROTECTOR 77X73</v>
          </cell>
          <cell r="D1173" t="str">
            <v>NOS</v>
          </cell>
          <cell r="E1173" t="str">
            <v>CBERM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</row>
        <row r="1174">
          <cell r="B1174" t="str">
            <v>RML-KOM-PTR-77X76</v>
          </cell>
          <cell r="C1174" t="str">
            <v>KOMFFY MATTRESSES PROTECTOR 77X76</v>
          </cell>
          <cell r="D1174" t="str">
            <v>NOS</v>
          </cell>
          <cell r="E1174" t="str">
            <v>CBERM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</row>
        <row r="1175">
          <cell r="B1175" t="str">
            <v>RML-KOM-PTR-80X68</v>
          </cell>
          <cell r="C1175" t="str">
            <v>KOMFFY MATTRESSES PROTECTOR 80X68</v>
          </cell>
          <cell r="D1175" t="str">
            <v>NOS</v>
          </cell>
          <cell r="E1175" t="str">
            <v>CBERM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</row>
        <row r="1176">
          <cell r="B1176" t="str">
            <v>RML-KOM-PTR-82X75.50</v>
          </cell>
          <cell r="C1176" t="str">
            <v>KOMFFY MATTRESSES PROTECTOR 82X75.50</v>
          </cell>
          <cell r="D1176" t="str">
            <v>NOS</v>
          </cell>
          <cell r="E1176" t="str">
            <v>CBERM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</row>
        <row r="1177">
          <cell r="B1177" t="str">
            <v>RML-KOM-PTR-84X78</v>
          </cell>
          <cell r="C1177" t="str">
            <v>KOMFFY MATTRESSES PROTECTOR 84X78</v>
          </cell>
          <cell r="D1177" t="str">
            <v>NOS</v>
          </cell>
          <cell r="E1177" t="str">
            <v>CBERM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</row>
        <row r="1178">
          <cell r="B1178" t="str">
            <v>RML-KOM-PTR-84X90</v>
          </cell>
          <cell r="C1178" t="str">
            <v>KOMFFY MATTRESSES PROTECTOR 84X90</v>
          </cell>
          <cell r="D1178" t="str">
            <v>NOS</v>
          </cell>
          <cell r="E1178" t="str">
            <v>CBERM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</row>
        <row r="1179">
          <cell r="B1179" t="str">
            <v>RML-LTX-3000X208X2CM</v>
          </cell>
          <cell r="C1179" t="str">
            <v>PERFO LATEX SHEETS  3000X208X2CM (82" WIDTH)</v>
          </cell>
          <cell r="D1179" t="str">
            <v>NOS</v>
          </cell>
          <cell r="E1179" t="str">
            <v>CBERM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</row>
        <row r="1180">
          <cell r="B1180" t="str">
            <v>RML-RECY-FIB-1.4DX38MM</v>
          </cell>
          <cell r="C1180" t="str">
            <v>1.4D MICRO X 38MM RECYCLED FIBRE</v>
          </cell>
          <cell r="D1180" t="str">
            <v>KGS</v>
          </cell>
          <cell r="E1180" t="str">
            <v>CBERM</v>
          </cell>
          <cell r="F1180">
            <v>0</v>
          </cell>
          <cell r="G1180">
            <v>0</v>
          </cell>
          <cell r="H1180">
            <v>900</v>
          </cell>
          <cell r="I1180">
            <v>0</v>
          </cell>
        </row>
        <row r="1181">
          <cell r="B1181" t="str">
            <v>RML-HDPE-84X84X33.5</v>
          </cell>
          <cell r="C1181" t="str">
            <v>HDPE BAG 84X84X33.5"</v>
          </cell>
          <cell r="D1181" t="str">
            <v>KGS</v>
          </cell>
          <cell r="E1181" t="str">
            <v>CBERM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</row>
        <row r="1182">
          <cell r="B1182" t="str">
            <v>RM-VIS-BON-MIN-SDE-LBL</v>
          </cell>
          <cell r="C1182" t="str">
            <v>VISTA BOND MINI SAMPLE SIDE LABEL</v>
          </cell>
          <cell r="D1182" t="str">
            <v>NOS</v>
          </cell>
          <cell r="E1182" t="str">
            <v>CBERM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</row>
        <row r="1183">
          <cell r="B1183" t="str">
            <v>STY-BIN-CRD</v>
          </cell>
          <cell r="C1183" t="str">
            <v>BIN CARD</v>
          </cell>
          <cell r="D1183" t="str">
            <v>NOS</v>
          </cell>
          <cell r="E1183" t="str">
            <v>CBERM</v>
          </cell>
          <cell r="F1183">
            <v>0</v>
          </cell>
          <cell r="G1183">
            <v>0</v>
          </cell>
          <cell r="H1183">
            <v>500</v>
          </cell>
          <cell r="I1183">
            <v>0</v>
          </cell>
        </row>
        <row r="1184">
          <cell r="B1184" t="str">
            <v>RML-HOU-PEPS-STKR</v>
          </cell>
          <cell r="C1184" t="str">
            <v>HOUSE OF PEPS - STICKER</v>
          </cell>
          <cell r="D1184" t="str">
            <v>NOS</v>
          </cell>
          <cell r="E1184" t="str">
            <v>CBERM</v>
          </cell>
          <cell r="F1184">
            <v>0</v>
          </cell>
          <cell r="G1184">
            <v>0</v>
          </cell>
          <cell r="H1184">
            <v>2000</v>
          </cell>
          <cell r="I1184">
            <v>0</v>
          </cell>
        </row>
        <row r="1185">
          <cell r="B1185" t="str">
            <v>RML-ITALIANO-BED-RUN-70X20</v>
          </cell>
          <cell r="C1185" t="str">
            <v>ITALIANO BED RUNNER 70"X20"</v>
          </cell>
          <cell r="D1185" t="str">
            <v>NOS</v>
          </cell>
          <cell r="E1185" t="str">
            <v>CBERM</v>
          </cell>
          <cell r="F1185">
            <v>0</v>
          </cell>
          <cell r="G1185">
            <v>0</v>
          </cell>
          <cell r="H1185">
            <v>75</v>
          </cell>
          <cell r="I1185">
            <v>0</v>
          </cell>
        </row>
        <row r="1186">
          <cell r="B1186" t="str">
            <v>RML-KOZBON-WCRD</v>
          </cell>
          <cell r="C1186" t="str">
            <v>KOZYBOND WARRANTY CARD</v>
          </cell>
          <cell r="D1186" t="str">
            <v>NOS</v>
          </cell>
          <cell r="E1186" t="str">
            <v>CBERM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</row>
        <row r="1187">
          <cell r="B1187" t="str">
            <v>RML-LDPE-31X90MIC</v>
          </cell>
          <cell r="C1187" t="str">
            <v>LDPE TUBE ROLL PLAIN 31"X 90MIC</v>
          </cell>
          <cell r="D1187" t="str">
            <v>KGS</v>
          </cell>
          <cell r="E1187" t="str">
            <v>CBERM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</row>
        <row r="1188">
          <cell r="B1188" t="str">
            <v>RML-KOM-PTR-70X65</v>
          </cell>
          <cell r="C1188" t="str">
            <v>KOMFFY MATTRESSES PROTECTOR 70X65</v>
          </cell>
          <cell r="D1188" t="str">
            <v>NOS</v>
          </cell>
          <cell r="E1188" t="str">
            <v>CBERM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</row>
        <row r="1189">
          <cell r="B1189" t="str">
            <v>RML-KOM-PTR-72X47</v>
          </cell>
          <cell r="C1189" t="str">
            <v>KOMFFY MATTRESSES PROTECTOR 72X47</v>
          </cell>
          <cell r="D1189" t="str">
            <v>NOS</v>
          </cell>
          <cell r="E1189" t="str">
            <v>CBERM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</row>
        <row r="1190">
          <cell r="B1190" t="str">
            <v>RML-KOM-PTR-72X59</v>
          </cell>
          <cell r="C1190" t="str">
            <v>KOMFFY MATTRESSES PROTECTOR 72X59</v>
          </cell>
          <cell r="D1190" t="str">
            <v>NOS</v>
          </cell>
          <cell r="E1190" t="str">
            <v>CBERM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</row>
        <row r="1191">
          <cell r="B1191" t="str">
            <v>RML-KOM-PTR-74.50X59.50</v>
          </cell>
          <cell r="C1191" t="str">
            <v>KOMFFY MATTRESSES PROTECTOR 74.50X59.50</v>
          </cell>
          <cell r="D1191" t="str">
            <v>NOS</v>
          </cell>
          <cell r="E1191" t="str">
            <v>CBERM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</row>
        <row r="1192">
          <cell r="B1192" t="str">
            <v>RML-KOM-PTR-74X35</v>
          </cell>
          <cell r="C1192" t="str">
            <v>KOMFFY MATTRESSES PROTECTOR 74X35</v>
          </cell>
          <cell r="D1192" t="str">
            <v>NOS</v>
          </cell>
          <cell r="E1192" t="str">
            <v>CBERM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</row>
        <row r="1193">
          <cell r="B1193" t="str">
            <v>RML-KOM-PTR-74X70</v>
          </cell>
          <cell r="C1193" t="str">
            <v>KOMFFY MATTRESSES PROTECTOR 74X70</v>
          </cell>
          <cell r="D1193" t="str">
            <v>NOS</v>
          </cell>
          <cell r="E1193" t="str">
            <v>CBERM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</row>
        <row r="1194">
          <cell r="B1194" t="str">
            <v>RML-KOM-PTR-75X63</v>
          </cell>
          <cell r="C1194" t="str">
            <v>KOMFFY MATTRESSES PROTECTOR 75X63</v>
          </cell>
          <cell r="D1194" t="str">
            <v>NOS</v>
          </cell>
          <cell r="E1194" t="str">
            <v>CBERM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</row>
        <row r="1195">
          <cell r="B1195" t="str">
            <v>RML-KOM-PTR-76X69</v>
          </cell>
          <cell r="C1195" t="str">
            <v>KOMFFY MATTRESSES PROTECTOR 76X69</v>
          </cell>
          <cell r="D1195" t="str">
            <v>NOS</v>
          </cell>
          <cell r="E1195" t="str">
            <v>CBERM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</row>
        <row r="1196">
          <cell r="B1196" t="str">
            <v>RML-KOM-PTR-76X70</v>
          </cell>
          <cell r="C1196" t="str">
            <v>KOMFFY MATTRESSES PROTECTOR 76X70</v>
          </cell>
          <cell r="D1196" t="str">
            <v>NOS</v>
          </cell>
          <cell r="E1196" t="str">
            <v>CBERM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</row>
        <row r="1197">
          <cell r="B1197" t="str">
            <v>RML-KOM-PTR-77.50X44</v>
          </cell>
          <cell r="C1197" t="str">
            <v>KOMFFY MATTRESSES PROTECTOR 77.50X44</v>
          </cell>
          <cell r="D1197" t="str">
            <v>NOS</v>
          </cell>
          <cell r="E1197" t="str">
            <v>CBERM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</row>
        <row r="1198">
          <cell r="B1198" t="str">
            <v>RML-KOM-PTR-77X60</v>
          </cell>
          <cell r="C1198" t="str">
            <v>KOMFFY MATTRESSES PROTECTOR 77X60</v>
          </cell>
          <cell r="D1198" t="str">
            <v>NOS</v>
          </cell>
          <cell r="E1198" t="str">
            <v>CBERM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</row>
        <row r="1199">
          <cell r="B1199" t="str">
            <v>RML-KOM-PTR-78.50X37</v>
          </cell>
          <cell r="C1199" t="str">
            <v>KOMFFY MATTRESSES PROTECTOR 78.50X37</v>
          </cell>
          <cell r="D1199" t="str">
            <v>NOS</v>
          </cell>
          <cell r="E1199" t="str">
            <v>CBERM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</row>
        <row r="1200">
          <cell r="B1200" t="str">
            <v>RML-KOM-PTR-78X54</v>
          </cell>
          <cell r="C1200" t="str">
            <v>KOMFFY MATTRESSES PROTECTOR 78X54</v>
          </cell>
          <cell r="D1200" t="str">
            <v>NOS</v>
          </cell>
          <cell r="E1200" t="str">
            <v>CBERM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</row>
        <row r="1201">
          <cell r="B1201" t="str">
            <v>RML-KOM-PTR-78X59</v>
          </cell>
          <cell r="C1201" t="str">
            <v>KOMFFY MATTRESSES PROTECTOR 78X59</v>
          </cell>
          <cell r="D1201" t="str">
            <v>NOS</v>
          </cell>
          <cell r="E1201" t="str">
            <v>CBERM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</row>
        <row r="1202">
          <cell r="B1202" t="str">
            <v>RML-KOM-PTR-78X63</v>
          </cell>
          <cell r="C1202" t="str">
            <v>KOMFFY MATTRESSES PROTECTOR 78X63</v>
          </cell>
          <cell r="D1202" t="str">
            <v>NOS</v>
          </cell>
          <cell r="E1202" t="str">
            <v>CBERM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</row>
        <row r="1203">
          <cell r="B1203" t="str">
            <v>RML-KOM-PTR-78X71</v>
          </cell>
          <cell r="C1203" t="str">
            <v>KOMFFY MATTRESSES PROTECTOR 78X71</v>
          </cell>
          <cell r="D1203" t="str">
            <v>NOS</v>
          </cell>
          <cell r="E1203" t="str">
            <v>CBERM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</row>
        <row r="1204">
          <cell r="B1204" t="str">
            <v>RML-KOM-PTR-79.50X79</v>
          </cell>
          <cell r="C1204" t="str">
            <v>KOMFFY MATTRESSES PROTECTOR 79.50X79</v>
          </cell>
          <cell r="D1204" t="str">
            <v>NOS</v>
          </cell>
          <cell r="E1204" t="str">
            <v>CBERM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</row>
        <row r="1205">
          <cell r="B1205" t="str">
            <v>RML-KOM-PTR-79X62</v>
          </cell>
          <cell r="C1205" t="str">
            <v>KOMFFY MATTRESSES PROTECTOR 79X62</v>
          </cell>
          <cell r="D1205" t="str">
            <v>NOS</v>
          </cell>
          <cell r="E1205" t="str">
            <v>CBERM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</row>
        <row r="1206">
          <cell r="B1206" t="str">
            <v>RML-KOM-PTR-79X72</v>
          </cell>
          <cell r="C1206" t="str">
            <v>KOMFFY MATTRESSES PROTECTOR 79X72</v>
          </cell>
          <cell r="D1206" t="str">
            <v>NOS</v>
          </cell>
          <cell r="E1206" t="str">
            <v>CBERM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</row>
        <row r="1207">
          <cell r="B1207" t="str">
            <v>RML-KOM-PTR-79X73</v>
          </cell>
          <cell r="C1207" t="str">
            <v>KOMFFY MATTRESSES PROTECTOR 79X73</v>
          </cell>
          <cell r="D1207" t="str">
            <v>NOS</v>
          </cell>
          <cell r="E1207" t="str">
            <v>CBERM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</row>
        <row r="1208">
          <cell r="B1208" t="str">
            <v>RML-KOM-PTR-79X78</v>
          </cell>
          <cell r="C1208" t="str">
            <v>KOMFFY MATTRESSES PROTECTOR 79X78</v>
          </cell>
          <cell r="D1208" t="str">
            <v>NOS</v>
          </cell>
          <cell r="E1208" t="str">
            <v>CBERM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</row>
        <row r="1209">
          <cell r="B1209" t="str">
            <v>RML-KOM-PTR-81X72</v>
          </cell>
          <cell r="C1209" t="str">
            <v>KOMFFY MATTRESSES PROTECTOR 81X72</v>
          </cell>
          <cell r="D1209" t="str">
            <v>NOS</v>
          </cell>
          <cell r="E1209" t="str">
            <v>CBERM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</row>
        <row r="1210">
          <cell r="B1210" t="str">
            <v>RML-KOM-PTR-83X73</v>
          </cell>
          <cell r="C1210" t="str">
            <v>KOMFFY MATTRESSES PROTECTOR 83X73</v>
          </cell>
          <cell r="D1210" t="str">
            <v>NOS</v>
          </cell>
          <cell r="E1210" t="str">
            <v>CBERM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</row>
        <row r="1211">
          <cell r="B1211" t="str">
            <v>RML-KOM-PTR-83X76</v>
          </cell>
          <cell r="C1211" t="str">
            <v>KOMFFY MATTRESSES PROTECTOR 83X76</v>
          </cell>
          <cell r="D1211" t="str">
            <v>NOS</v>
          </cell>
          <cell r="E1211" t="str">
            <v>CBERM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</row>
        <row r="1212">
          <cell r="B1212" t="str">
            <v>RML-KOM-PTR-84X84</v>
          </cell>
          <cell r="C1212" t="str">
            <v>KOMFFY MATTRESSES PROTECTOR 84X84</v>
          </cell>
          <cell r="D1212" t="str">
            <v>NOS</v>
          </cell>
          <cell r="E1212" t="str">
            <v>CBERM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</row>
        <row r="1213">
          <cell r="B1213" t="str">
            <v>RML-KOM-PTR-85X32</v>
          </cell>
          <cell r="C1213" t="str">
            <v>KOMFFY MATTRESSES PROTECTOR 85X32</v>
          </cell>
          <cell r="D1213" t="str">
            <v>NOS</v>
          </cell>
          <cell r="E1213" t="str">
            <v>CBERM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</row>
        <row r="1214">
          <cell r="B1214" t="str">
            <v>RML-VIS-BON-SDE-LBL</v>
          </cell>
          <cell r="C1214" t="str">
            <v>VISTA BOND SIDE LABEL</v>
          </cell>
          <cell r="D1214" t="str">
            <v>NOS</v>
          </cell>
          <cell r="E1214" t="str">
            <v>CBERM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</row>
        <row r="1215">
          <cell r="B1215" t="str">
            <v>FBR-ORTH-LTX-BNL-BR</v>
          </cell>
          <cell r="C1215" t="str">
            <v>PEPS ORTHO LATEX BORDER FABRIC - BONNEL</v>
          </cell>
          <cell r="D1215" t="str">
            <v>MTR</v>
          </cell>
          <cell r="E1215" t="str">
            <v>CBERM</v>
          </cell>
          <cell r="F1215">
            <v>0</v>
          </cell>
          <cell r="G1215">
            <v>0</v>
          </cell>
          <cell r="H1215">
            <v>50</v>
          </cell>
          <cell r="I1215">
            <v>0</v>
          </cell>
        </row>
        <row r="1216">
          <cell r="B1216" t="str">
            <v>FBR-ORTH-LTX-BNL-PNL</v>
          </cell>
          <cell r="C1216" t="str">
            <v>PEPS ORTHO LATEX PANEL FABRIC - BONNEL</v>
          </cell>
          <cell r="D1216" t="str">
            <v>MTR</v>
          </cell>
          <cell r="E1216" t="str">
            <v>CBERM</v>
          </cell>
          <cell r="F1216">
            <v>0</v>
          </cell>
          <cell r="G1216">
            <v>0</v>
          </cell>
          <cell r="H1216">
            <v>50</v>
          </cell>
          <cell r="I1216">
            <v>0</v>
          </cell>
        </row>
        <row r="1217">
          <cell r="B1217" t="str">
            <v>FBR-ORTH-LTX-HR-PNLBR</v>
          </cell>
          <cell r="C1217" t="str">
            <v>PEPS ORTHO LATEX PANEL &amp; BORDER FABRIC - HR FOAM</v>
          </cell>
          <cell r="D1217" t="str">
            <v>MTR</v>
          </cell>
          <cell r="E1217" t="str">
            <v>CBERM</v>
          </cell>
          <cell r="F1217">
            <v>0</v>
          </cell>
          <cell r="G1217">
            <v>0</v>
          </cell>
          <cell r="H1217">
            <v>500</v>
          </cell>
          <cell r="I1217">
            <v>500</v>
          </cell>
        </row>
        <row r="1218">
          <cell r="B1218" t="str">
            <v>FBR-ORTH-LTX-PK-BR</v>
          </cell>
          <cell r="C1218" t="str">
            <v>PEPS ORTHO LATEX BORDER FABRIC - POCKETED</v>
          </cell>
          <cell r="D1218" t="str">
            <v>MTR</v>
          </cell>
          <cell r="E1218" t="str">
            <v>CBERM</v>
          </cell>
          <cell r="F1218">
            <v>500</v>
          </cell>
          <cell r="G1218">
            <v>500</v>
          </cell>
          <cell r="H1218">
            <v>250</v>
          </cell>
          <cell r="I1218">
            <v>0</v>
          </cell>
        </row>
        <row r="1219">
          <cell r="B1219" t="str">
            <v>FBR-ORTH-LTX-PK-PNL</v>
          </cell>
          <cell r="C1219" t="str">
            <v>PEPS ORTHO LATEX PANEL FABRIC - POCKETED</v>
          </cell>
          <cell r="D1219" t="str">
            <v>MTR</v>
          </cell>
          <cell r="E1219" t="str">
            <v>CBERM</v>
          </cell>
          <cell r="F1219">
            <v>0</v>
          </cell>
          <cell r="G1219">
            <v>0</v>
          </cell>
          <cell r="H1219">
            <v>500</v>
          </cell>
          <cell r="I1219">
            <v>1000</v>
          </cell>
        </row>
        <row r="1220">
          <cell r="B1220" t="str">
            <v>RM-BED-SHT-110X100-WOPC</v>
          </cell>
          <cell r="C1220" t="str">
            <v>PEPS 110X100 BED SHEET</v>
          </cell>
          <cell r="D1220" t="str">
            <v>NOS</v>
          </cell>
          <cell r="E1220" t="str">
            <v>CBERM</v>
          </cell>
          <cell r="F1220">
            <v>1000</v>
          </cell>
          <cell r="G1220">
            <v>1000</v>
          </cell>
          <cell r="H1220">
            <v>0</v>
          </cell>
          <cell r="I1220">
            <v>0</v>
          </cell>
        </row>
        <row r="1221">
          <cell r="B1221" t="str">
            <v>RM-BED-SHT-60X90-WOPC</v>
          </cell>
          <cell r="C1221" t="str">
            <v>PEPS 60 X 90 BED SHEET</v>
          </cell>
          <cell r="D1221" t="str">
            <v>NOS</v>
          </cell>
          <cell r="E1221" t="str">
            <v>CBERM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</row>
        <row r="1222">
          <cell r="B1222" t="str">
            <v>RM-BED-SHT-90X110-WOPC</v>
          </cell>
          <cell r="C1222" t="str">
            <v>PEPS 90 X 110 BED SHEET</v>
          </cell>
          <cell r="D1222" t="str">
            <v>NOS</v>
          </cell>
          <cell r="E1222" t="str">
            <v>CBERM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</row>
        <row r="1223">
          <cell r="B1223" t="str">
            <v>RM-BED-SHT-BW-STRP-60X90</v>
          </cell>
          <cell r="C1223" t="str">
            <v>PEPS BED SHEET STRIPE 60X90 WITH 1 PILLOW COVER BROWN</v>
          </cell>
          <cell r="D1223" t="str">
            <v>NOS</v>
          </cell>
          <cell r="E1223" t="str">
            <v>CBERM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</row>
        <row r="1224">
          <cell r="B1224" t="str">
            <v>RM-BED-SHT-MR-STRP-60X90</v>
          </cell>
          <cell r="C1224" t="str">
            <v>PEPS BED SHEET STRIPE 60X90 WITH 1 PILLOW COVER MAROON</v>
          </cell>
          <cell r="D1224" t="str">
            <v>NOS</v>
          </cell>
          <cell r="E1224" t="str">
            <v>CBERM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</row>
        <row r="1225">
          <cell r="B1225" t="str">
            <v>RML-FIB-PILLOW-26X16</v>
          </cell>
          <cell r="C1225" t="str">
            <v>PEPS FIBER PILLOW 26"X16"</v>
          </cell>
          <cell r="D1225" t="str">
            <v>NOS</v>
          </cell>
          <cell r="E1225" t="str">
            <v>CBERM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</row>
        <row r="1226">
          <cell r="B1226" t="str">
            <v>RML-KOM-PTR-73.50X72</v>
          </cell>
          <cell r="C1226" t="str">
            <v>KOMFFY MATTRESSES PROTECTOR 73.50X72</v>
          </cell>
          <cell r="D1226" t="str">
            <v>NOS</v>
          </cell>
          <cell r="E1226" t="str">
            <v>CBERM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</row>
        <row r="1227">
          <cell r="B1227" t="str">
            <v>RML-KOM-PTR-76X60</v>
          </cell>
          <cell r="C1227" t="str">
            <v>KOMFFY MATTRESSES PROTECTOR 76X60</v>
          </cell>
          <cell r="D1227" t="str">
            <v>NOS</v>
          </cell>
          <cell r="E1227" t="str">
            <v>CBERM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</row>
        <row r="1228">
          <cell r="B1228" t="str">
            <v>RML-KOM-PTR-77X65</v>
          </cell>
          <cell r="C1228" t="str">
            <v>KOMFFY MATTRESSES PROTECTOR 77X65</v>
          </cell>
          <cell r="D1228" t="str">
            <v>NOS</v>
          </cell>
          <cell r="E1228" t="str">
            <v>CBERM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</row>
        <row r="1229">
          <cell r="B1229" t="str">
            <v>RML-KOM-PTR-87X82</v>
          </cell>
          <cell r="C1229" t="str">
            <v>KOMFFY MATTRESSES PROTECTOR 87X82</v>
          </cell>
          <cell r="D1229" t="str">
            <v>NOS</v>
          </cell>
          <cell r="E1229" t="str">
            <v>CBERM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</row>
        <row r="1230">
          <cell r="B1230" t="str">
            <v>RML-KOM-PTR-88X84</v>
          </cell>
          <cell r="C1230" t="str">
            <v>KOMFFY MATTRESSES PROTECTOR 88X84</v>
          </cell>
          <cell r="D1230" t="str">
            <v>NOS</v>
          </cell>
          <cell r="E1230" t="str">
            <v>CBERM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</row>
        <row r="1231">
          <cell r="B1231" t="str">
            <v>RML-KOM-PTR-93X74</v>
          </cell>
          <cell r="C1231" t="str">
            <v>KOMFFY MATTRESSES PROTECTOR 93X74</v>
          </cell>
          <cell r="D1231" t="str">
            <v>NOS</v>
          </cell>
          <cell r="E1231" t="str">
            <v>CBERM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</row>
        <row r="1232">
          <cell r="B1232" t="str">
            <v>RML-LTX-1100X208X2.CM</v>
          </cell>
          <cell r="C1232" t="str">
            <v>PERFO LATEX SHEETS 1100X208X2.CM (82" WIDTH)</v>
          </cell>
          <cell r="D1232" t="str">
            <v>NOS</v>
          </cell>
          <cell r="E1232" t="str">
            <v>CBERM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</row>
        <row r="1233">
          <cell r="B1233" t="str">
            <v>RML-PF-BLNK-60X90</v>
          </cell>
          <cell r="C1233" t="str">
            <v>PEPS POLAR FLEECE BLANKET SINGLE 60X90 INCH</v>
          </cell>
          <cell r="D1233" t="str">
            <v>NOS</v>
          </cell>
          <cell r="E1233" t="str">
            <v>CBERM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</row>
        <row r="1234">
          <cell r="B1234" t="str">
            <v>RML-PF-BLNK-90X100</v>
          </cell>
          <cell r="C1234" t="str">
            <v>PEPS POLAR FLEECE BLANKET DOUBLE 90X100 INCH</v>
          </cell>
          <cell r="D1234" t="str">
            <v>NOS</v>
          </cell>
          <cell r="E1234" t="str">
            <v>CBERM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</row>
        <row r="1235">
          <cell r="B1235" t="str">
            <v>RM-PEPSDBSHZ1006-SH07-110X120</v>
          </cell>
          <cell r="C1235" t="str">
            <v>HARMONIZE - PEPSDBSHZ1006-SH07 BED SHEET-110 X 120</v>
          </cell>
          <cell r="D1235" t="str">
            <v>NOS</v>
          </cell>
          <cell r="E1235" t="str">
            <v>CBERM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</row>
        <row r="1236">
          <cell r="B1236" t="str">
            <v>FBR-ARD-MF-BR-BLU-06</v>
          </cell>
          <cell r="C1236" t="str">
            <v>ARDENE MEMORY BLUE 6" BORDER FABRIC</v>
          </cell>
          <cell r="D1236" t="str">
            <v>MTR</v>
          </cell>
          <cell r="E1236" t="str">
            <v>CBERM</v>
          </cell>
          <cell r="F1236">
            <v>0</v>
          </cell>
          <cell r="G1236">
            <v>0</v>
          </cell>
          <cell r="H1236">
            <v>500</v>
          </cell>
          <cell r="I1236">
            <v>0</v>
          </cell>
        </row>
        <row r="1237">
          <cell r="B1237" t="str">
            <v>FBR-ARD-MF-BR-BLU-08</v>
          </cell>
          <cell r="C1237" t="str">
            <v>ARDENE MEMORY BLUE 8" BORDER FABRIC</v>
          </cell>
          <cell r="D1237" t="str">
            <v>MTR</v>
          </cell>
          <cell r="E1237" t="str">
            <v>CBERM</v>
          </cell>
          <cell r="F1237">
            <v>0</v>
          </cell>
          <cell r="G1237">
            <v>0</v>
          </cell>
          <cell r="H1237">
            <v>500</v>
          </cell>
          <cell r="I1237">
            <v>0</v>
          </cell>
        </row>
        <row r="1238">
          <cell r="B1238" t="str">
            <v>FBR-ARD-MF-BR-BLU-10</v>
          </cell>
          <cell r="C1238" t="str">
            <v>ARDENE MEMORY BLUE 10" BORDER FABRIC</v>
          </cell>
          <cell r="D1238" t="str">
            <v>MTR</v>
          </cell>
          <cell r="E1238" t="str">
            <v>CBERM</v>
          </cell>
          <cell r="F1238">
            <v>0</v>
          </cell>
          <cell r="G1238">
            <v>0</v>
          </cell>
          <cell r="H1238">
            <v>500</v>
          </cell>
          <cell r="I1238">
            <v>0</v>
          </cell>
        </row>
        <row r="1239">
          <cell r="B1239" t="str">
            <v>FBR-ARD-MF-BR-GRY-06</v>
          </cell>
          <cell r="C1239" t="str">
            <v>ARDENE MEMORY GREY 6" BORDER FABRIC</v>
          </cell>
          <cell r="D1239" t="str">
            <v>MTR</v>
          </cell>
          <cell r="E1239" t="str">
            <v>CBERM</v>
          </cell>
          <cell r="F1239">
            <v>0</v>
          </cell>
          <cell r="G1239">
            <v>0</v>
          </cell>
          <cell r="H1239">
            <v>500</v>
          </cell>
          <cell r="I1239">
            <v>0</v>
          </cell>
        </row>
        <row r="1240">
          <cell r="B1240" t="str">
            <v>FBR-ARD-MF-BR-GRY-08</v>
          </cell>
          <cell r="C1240" t="str">
            <v>ARDENE MEMORY GREY 8" BORDER FABRIC</v>
          </cell>
          <cell r="D1240" t="str">
            <v>MTR</v>
          </cell>
          <cell r="E1240" t="str">
            <v>CBERM</v>
          </cell>
          <cell r="F1240">
            <v>0</v>
          </cell>
          <cell r="G1240">
            <v>0</v>
          </cell>
          <cell r="H1240">
            <v>500</v>
          </cell>
          <cell r="I1240">
            <v>0</v>
          </cell>
        </row>
        <row r="1241">
          <cell r="B1241" t="str">
            <v>FBR-ARD-MF-BR-GRY-10</v>
          </cell>
          <cell r="C1241" t="str">
            <v>ARDENE MEMORY GREY 10" BORDER FABRIC</v>
          </cell>
          <cell r="D1241" t="str">
            <v>MTR</v>
          </cell>
          <cell r="E1241" t="str">
            <v>CBERM</v>
          </cell>
          <cell r="F1241">
            <v>0</v>
          </cell>
          <cell r="G1241">
            <v>0</v>
          </cell>
          <cell r="H1241">
            <v>500</v>
          </cell>
          <cell r="I1241">
            <v>0</v>
          </cell>
        </row>
        <row r="1242">
          <cell r="B1242" t="str">
            <v>FBR-COMF-BR-BG</v>
          </cell>
          <cell r="C1242" t="str">
            <v>PEPS COMFORT KNITTED BEIGE BORDER FABRIC</v>
          </cell>
          <cell r="D1242" t="str">
            <v>MTR</v>
          </cell>
          <cell r="E1242" t="str">
            <v>CBERM</v>
          </cell>
          <cell r="F1242">
            <v>0</v>
          </cell>
          <cell r="G1242">
            <v>0</v>
          </cell>
          <cell r="H1242">
            <v>2000</v>
          </cell>
          <cell r="I1242">
            <v>0</v>
          </cell>
        </row>
        <row r="1243">
          <cell r="B1243" t="str">
            <v>FBR-COMF-BR-PINK</v>
          </cell>
          <cell r="C1243" t="str">
            <v>PEPS COMFORT KNITTED PINK BORDER FABRIC</v>
          </cell>
          <cell r="D1243" t="str">
            <v>MTR</v>
          </cell>
          <cell r="E1243" t="str">
            <v>CBERM</v>
          </cell>
          <cell r="F1243">
            <v>0</v>
          </cell>
          <cell r="G1243">
            <v>0</v>
          </cell>
          <cell r="H1243">
            <v>2000</v>
          </cell>
          <cell r="I1243">
            <v>2000</v>
          </cell>
        </row>
        <row r="1244">
          <cell r="B1244" t="str">
            <v>FBR-COMF-PNL-BG</v>
          </cell>
          <cell r="C1244" t="str">
            <v>PEPS COMFORT KNITTED BEIGE PANEL FABRIC</v>
          </cell>
          <cell r="D1244" t="str">
            <v>MTR</v>
          </cell>
          <cell r="E1244" t="str">
            <v>CBERM</v>
          </cell>
          <cell r="F1244">
            <v>2000</v>
          </cell>
          <cell r="G1244">
            <v>2000</v>
          </cell>
          <cell r="H1244">
            <v>5000</v>
          </cell>
          <cell r="I1244">
            <v>8000</v>
          </cell>
        </row>
        <row r="1245">
          <cell r="B1245" t="str">
            <v>FBR-COMF-PNL-PINK</v>
          </cell>
          <cell r="C1245" t="str">
            <v>PEPS COMFORT KNITTED PINK PANEL FABRIC</v>
          </cell>
          <cell r="D1245" t="str">
            <v>MTR</v>
          </cell>
          <cell r="E1245" t="str">
            <v>CBERM</v>
          </cell>
          <cell r="F1245">
            <v>8000</v>
          </cell>
          <cell r="G1245">
            <v>8000</v>
          </cell>
          <cell r="H1245">
            <v>4000</v>
          </cell>
          <cell r="I1245">
            <v>8000</v>
          </cell>
        </row>
        <row r="1246">
          <cell r="B1246" t="str">
            <v>FBR-SANI-MF-BR-GRY-06</v>
          </cell>
          <cell r="C1246" t="str">
            <v>SANIBEL MEMORY GREY 6" BORDER FABRIC</v>
          </cell>
          <cell r="D1246" t="str">
            <v>MTR</v>
          </cell>
          <cell r="E1246" t="str">
            <v>CBERM</v>
          </cell>
          <cell r="F1246">
            <v>8000</v>
          </cell>
          <cell r="G1246">
            <v>8000</v>
          </cell>
          <cell r="H1246">
            <v>500</v>
          </cell>
          <cell r="I1246">
            <v>500</v>
          </cell>
        </row>
        <row r="1247">
          <cell r="B1247" t="str">
            <v>FBR-SANI-MF-BR-GRY-08</v>
          </cell>
          <cell r="C1247" t="str">
            <v>SANIBEL MEMORY GREY 8" BORDER FABRIC</v>
          </cell>
          <cell r="D1247" t="str">
            <v>MTR</v>
          </cell>
          <cell r="E1247" t="str">
            <v>CBERM</v>
          </cell>
          <cell r="F1247">
            <v>500</v>
          </cell>
          <cell r="G1247">
            <v>500</v>
          </cell>
          <cell r="H1247">
            <v>500</v>
          </cell>
          <cell r="I1247">
            <v>200</v>
          </cell>
        </row>
        <row r="1248">
          <cell r="B1248" t="str">
            <v>FBR-SANI-MF-BR-GRY-10</v>
          </cell>
          <cell r="C1248" t="str">
            <v>SANIBEL MEMORY GREY 10" BORDER FABRIC</v>
          </cell>
          <cell r="D1248" t="str">
            <v>MTR</v>
          </cell>
          <cell r="E1248" t="str">
            <v>CBERM</v>
          </cell>
          <cell r="F1248">
            <v>200</v>
          </cell>
          <cell r="G1248">
            <v>200</v>
          </cell>
          <cell r="H1248">
            <v>500</v>
          </cell>
          <cell r="I1248">
            <v>200</v>
          </cell>
        </row>
        <row r="1249">
          <cell r="B1249" t="str">
            <v>FBR-SANI-MF-BR-MR-06</v>
          </cell>
          <cell r="C1249" t="str">
            <v>SANIBEL MEMORY MAROON 6" BORDER FABRIC</v>
          </cell>
          <cell r="D1249" t="str">
            <v>MTR</v>
          </cell>
          <cell r="E1249" t="str">
            <v>CBERM</v>
          </cell>
          <cell r="F1249">
            <v>200</v>
          </cell>
          <cell r="G1249">
            <v>200</v>
          </cell>
          <cell r="H1249">
            <v>0</v>
          </cell>
          <cell r="I1249">
            <v>0</v>
          </cell>
        </row>
        <row r="1250">
          <cell r="B1250" t="str">
            <v>FBR-SANI-MF-BR-MR-08</v>
          </cell>
          <cell r="C1250" t="str">
            <v>SANIBEL MEMORY MAROON 8" BORDER FABRIC</v>
          </cell>
          <cell r="D1250" t="str">
            <v>MTR</v>
          </cell>
          <cell r="E1250" t="str">
            <v>CBERM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</row>
        <row r="1251">
          <cell r="B1251" t="str">
            <v>FBR-SANI-MF-BR-MR-10</v>
          </cell>
          <cell r="C1251" t="str">
            <v>SANIBEL MEMORY MAROON 10" BORDER FABRIC</v>
          </cell>
          <cell r="D1251" t="str">
            <v>MTR</v>
          </cell>
          <cell r="E1251" t="str">
            <v>CBERM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</row>
        <row r="1252">
          <cell r="B1252" t="str">
            <v>FBR-SANI-MF-BR-PUR-06</v>
          </cell>
          <cell r="C1252" t="str">
            <v>SANIBEL MEMORY PURPLE 6" BORDER FABRIC</v>
          </cell>
          <cell r="D1252" t="str">
            <v>MTR</v>
          </cell>
          <cell r="E1252" t="str">
            <v>CBERM</v>
          </cell>
          <cell r="F1252">
            <v>0</v>
          </cell>
          <cell r="G1252">
            <v>0</v>
          </cell>
          <cell r="H1252">
            <v>500</v>
          </cell>
          <cell r="I1252">
            <v>500</v>
          </cell>
        </row>
        <row r="1253">
          <cell r="B1253" t="str">
            <v>FBR-SANI-MF-BR-PUR-08</v>
          </cell>
          <cell r="C1253" t="str">
            <v>SANIBEL MEMORY PURPLE 8" BORDER FABRIC</v>
          </cell>
          <cell r="D1253" t="str">
            <v>MTR</v>
          </cell>
          <cell r="E1253" t="str">
            <v>CBERM</v>
          </cell>
          <cell r="F1253">
            <v>500</v>
          </cell>
          <cell r="G1253">
            <v>500</v>
          </cell>
          <cell r="H1253">
            <v>500</v>
          </cell>
          <cell r="I1253">
            <v>200</v>
          </cell>
        </row>
        <row r="1254">
          <cell r="B1254" t="str">
            <v>FBR-SANI-MF-PNL-GRY</v>
          </cell>
          <cell r="C1254" t="str">
            <v>SANIBEL MEMORY GREY PANEL FABRIC</v>
          </cell>
          <cell r="D1254" t="str">
            <v>MTR</v>
          </cell>
          <cell r="E1254" t="str">
            <v>CBERM</v>
          </cell>
          <cell r="F1254">
            <v>200</v>
          </cell>
          <cell r="G1254">
            <v>200</v>
          </cell>
          <cell r="H1254">
            <v>2000</v>
          </cell>
          <cell r="I1254">
            <v>3000</v>
          </cell>
        </row>
        <row r="1255">
          <cell r="B1255" t="str">
            <v>FBR-SANI-MF-PNL-MR</v>
          </cell>
          <cell r="C1255" t="str">
            <v>SANIBEL MEMORY MAROON PANEL FABRIC</v>
          </cell>
          <cell r="D1255" t="str">
            <v>MTR</v>
          </cell>
          <cell r="E1255" t="str">
            <v>CBERM</v>
          </cell>
          <cell r="F1255">
            <v>3000</v>
          </cell>
          <cell r="G1255">
            <v>3000</v>
          </cell>
          <cell r="H1255">
            <v>0</v>
          </cell>
          <cell r="I1255">
            <v>0</v>
          </cell>
        </row>
        <row r="1256">
          <cell r="B1256" t="str">
            <v>FBR-SANI-MF-PNL-PUR</v>
          </cell>
          <cell r="C1256" t="str">
            <v>SANIBEL MEMORY PURPLE PANEL FABRIC</v>
          </cell>
          <cell r="D1256" t="str">
            <v>MTR</v>
          </cell>
          <cell r="E1256" t="str">
            <v>CBERM</v>
          </cell>
          <cell r="F1256">
            <v>0</v>
          </cell>
          <cell r="G1256">
            <v>0</v>
          </cell>
          <cell r="H1256">
            <v>2000</v>
          </cell>
          <cell r="I1256">
            <v>4000</v>
          </cell>
        </row>
        <row r="1257">
          <cell r="B1257" t="str">
            <v>RML-ARD-SDE-LBL</v>
          </cell>
          <cell r="C1257" t="str">
            <v>ARDENE MEMORY SIDE LABEL</v>
          </cell>
          <cell r="D1257" t="str">
            <v>NOS</v>
          </cell>
          <cell r="E1257" t="str">
            <v>CBERM</v>
          </cell>
          <cell r="F1257">
            <v>4000</v>
          </cell>
          <cell r="G1257">
            <v>4000</v>
          </cell>
          <cell r="H1257">
            <v>500</v>
          </cell>
          <cell r="I1257">
            <v>0</v>
          </cell>
        </row>
        <row r="1258">
          <cell r="B1258" t="str">
            <v>RM-HYP-CAS-WCRD-PUNE</v>
          </cell>
          <cell r="C1258" t="str">
            <v>Hypnos Caspio Warranty Card ( Pune - Address )</v>
          </cell>
          <cell r="D1258" t="str">
            <v>NOS</v>
          </cell>
          <cell r="E1258" t="str">
            <v>CBERM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</row>
        <row r="1259">
          <cell r="B1259" t="str">
            <v>RML-COMF-SDE-LBL</v>
          </cell>
          <cell r="C1259" t="str">
            <v>PEPS COMFORT SIDE LABEL</v>
          </cell>
          <cell r="D1259" t="str">
            <v>NOS</v>
          </cell>
          <cell r="E1259" t="str">
            <v>CBERM</v>
          </cell>
          <cell r="F1259">
            <v>0</v>
          </cell>
          <cell r="G1259">
            <v>0</v>
          </cell>
          <cell r="H1259">
            <v>1000</v>
          </cell>
          <cell r="I1259">
            <v>0</v>
          </cell>
        </row>
        <row r="1260">
          <cell r="B1260" t="str">
            <v>RM-LDPE-ROLL-116X50MIC-BLK</v>
          </cell>
          <cell r="C1260" t="str">
            <v>LDPE Plain Roll 116 Width 50 Mic ( Black Colour)</v>
          </cell>
          <cell r="D1260" t="str">
            <v>KGS</v>
          </cell>
          <cell r="E1260" t="str">
            <v>CBERM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</row>
        <row r="1261">
          <cell r="B1261" t="str">
            <v>RML-FBR-CURT</v>
          </cell>
          <cell r="C1261" t="str">
            <v>CURTAINS FABRIC</v>
          </cell>
          <cell r="D1261" t="str">
            <v>MTR</v>
          </cell>
          <cell r="E1261" t="str">
            <v>CBERM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</row>
        <row r="1262">
          <cell r="B1262" t="str">
            <v>RML-KOM-PTR-80X80</v>
          </cell>
          <cell r="C1262" t="str">
            <v>KOMFFY MATTRESSES PROTECTOR 80X80</v>
          </cell>
          <cell r="D1262" t="str">
            <v>NOS</v>
          </cell>
          <cell r="E1262" t="str">
            <v>CBERM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</row>
        <row r="1263">
          <cell r="B1263" t="str">
            <v>RML-KOM-MRP-STK-LOG-STOOL</v>
          </cell>
          <cell r="C1263" t="str">
            <v>KOMFFY  LOG STOOL MRP STICKER</v>
          </cell>
          <cell r="D1263" t="str">
            <v>NOS</v>
          </cell>
          <cell r="E1263" t="str">
            <v>CBERM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</row>
        <row r="1264">
          <cell r="B1264" t="str">
            <v>RML-PLY-FBR-150GSMX84</v>
          </cell>
          <cell r="C1264" t="str">
            <v>Poly Cotton Fabric Maroon 80 Inch 150 GSM DM-29427</v>
          </cell>
          <cell r="D1264" t="str">
            <v>MTR</v>
          </cell>
          <cell r="E1264" t="str">
            <v>CBERM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</row>
        <row r="1265">
          <cell r="B1265" t="str">
            <v>RML-SANI-SDE-LBL</v>
          </cell>
          <cell r="C1265" t="str">
            <v>SANIBEL MEMORY SIDE LABEL</v>
          </cell>
          <cell r="D1265" t="str">
            <v>NOS</v>
          </cell>
          <cell r="E1265" t="str">
            <v>CBERM</v>
          </cell>
          <cell r="F1265">
            <v>0</v>
          </cell>
          <cell r="G1265">
            <v>0</v>
          </cell>
          <cell r="H1265">
            <v>500</v>
          </cell>
          <cell r="I1265">
            <v>0</v>
          </cell>
        </row>
        <row r="1266">
          <cell r="B1266" t="str">
            <v>RM-NWN-POS-54CMX70GSM</v>
          </cell>
          <cell r="C1266" t="str">
            <v>NON WOVEN FABRIC 70 GSM x 54 CM - WHITE</v>
          </cell>
          <cell r="D1266" t="str">
            <v>KGS</v>
          </cell>
          <cell r="E1266" t="str">
            <v>CBERM</v>
          </cell>
          <cell r="F1266">
            <v>0</v>
          </cell>
          <cell r="G1266">
            <v>0</v>
          </cell>
          <cell r="H1266">
            <v>200</v>
          </cell>
          <cell r="I1266">
            <v>400</v>
          </cell>
        </row>
        <row r="1267">
          <cell r="B1267" t="str">
            <v>RML-SUPR-SDE-LBL</v>
          </cell>
          <cell r="C1267" t="str">
            <v>PEPS SUPREME SIDE LABEL</v>
          </cell>
          <cell r="D1267" t="str">
            <v>NOS</v>
          </cell>
          <cell r="E1267" t="str">
            <v>CBERM</v>
          </cell>
          <cell r="F1267">
            <v>400</v>
          </cell>
          <cell r="G1267">
            <v>400</v>
          </cell>
          <cell r="H1267">
            <v>1000</v>
          </cell>
          <cell r="I1267">
            <v>0</v>
          </cell>
        </row>
        <row r="1268">
          <cell r="B1268" t="str">
            <v>RM-HYP-RET-WCRD</v>
          </cell>
          <cell r="C1268" t="str">
            <v>HYPNOS MATT RETAIL WARRANTY CARD</v>
          </cell>
          <cell r="D1268" t="str">
            <v>NOS</v>
          </cell>
          <cell r="E1268" t="str">
            <v>CBERM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</row>
        <row r="1269">
          <cell r="B1269" t="str">
            <v>RMI-PVC-80</v>
          </cell>
          <cell r="C1269" t="str">
            <v>PVC ROLL 227.CMX80.MICRON</v>
          </cell>
          <cell r="D1269" t="str">
            <v>KGS</v>
          </cell>
          <cell r="E1269" t="str">
            <v>CBERM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</row>
        <row r="1270">
          <cell r="B1270" t="str">
            <v>RML-CS-PL-4.25</v>
          </cell>
          <cell r="C1270" t="str">
            <v>PLAIN CORNER SHOES.  - 4.25"</v>
          </cell>
          <cell r="D1270" t="str">
            <v>NOS</v>
          </cell>
          <cell r="E1270" t="str">
            <v>CBERM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</row>
        <row r="1271">
          <cell r="B1271" t="str">
            <v>RML-CS-PL-5.25</v>
          </cell>
          <cell r="C1271" t="str">
            <v>PLAIN CORNER SHOES.  - 5.25"</v>
          </cell>
          <cell r="D1271" t="str">
            <v>NOS</v>
          </cell>
          <cell r="E1271" t="str">
            <v>CBERM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</row>
        <row r="1272">
          <cell r="B1272" t="str">
            <v>RML-CS-PL-6.25</v>
          </cell>
          <cell r="C1272" t="str">
            <v>PLAIN CORNER SHOES.  - 6.25"</v>
          </cell>
          <cell r="D1272" t="str">
            <v>NOS</v>
          </cell>
          <cell r="E1272" t="str">
            <v>CBERM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</row>
        <row r="1273">
          <cell r="B1273" t="str">
            <v>RML-COMF-SUP-EDTAPE-BG</v>
          </cell>
          <cell r="C1273" t="str">
            <v>COMFORT &amp; SUPREME EDGE TAPE BEIGE - 42MM KNITTED ( 1200.GSM )</v>
          </cell>
          <cell r="D1273" t="str">
            <v>MTR</v>
          </cell>
          <cell r="E1273" t="str">
            <v>CBERM</v>
          </cell>
          <cell r="F1273">
            <v>0</v>
          </cell>
          <cell r="G1273">
            <v>0</v>
          </cell>
          <cell r="H1273">
            <v>40000</v>
          </cell>
          <cell r="I1273">
            <v>0</v>
          </cell>
        </row>
        <row r="1274">
          <cell r="B1274" t="str">
            <v>RML-OK-ROUND-STK</v>
          </cell>
          <cell r="C1274" t="str">
            <v>INSPECTED QC PASS ROUND STICKER ( HOLOGRAM )</v>
          </cell>
          <cell r="D1274" t="str">
            <v>NOS</v>
          </cell>
          <cell r="E1274" t="str">
            <v>CBERM</v>
          </cell>
          <cell r="F1274">
            <v>0</v>
          </cell>
          <cell r="G1274">
            <v>0</v>
          </cell>
          <cell r="H1274">
            <v>50000</v>
          </cell>
          <cell r="I1274">
            <v>0</v>
          </cell>
        </row>
        <row r="1275">
          <cell r="B1275" t="str">
            <v>RM-PRICE-LIST</v>
          </cell>
          <cell r="C1275" t="str">
            <v>PRICE LIST</v>
          </cell>
          <cell r="D1275" t="str">
            <v>NOS</v>
          </cell>
          <cell r="E1275" t="str">
            <v>CBERM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</row>
        <row r="1276">
          <cell r="B1276" t="str">
            <v>STY-PR-LIST-SOUTH-10-2020</v>
          </cell>
          <cell r="C1276" t="str">
            <v>PEPS PRICE LIST- SOUTH</v>
          </cell>
          <cell r="D1276" t="str">
            <v>NOS</v>
          </cell>
          <cell r="E1276" t="str">
            <v>CBERM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</row>
        <row r="1277">
          <cell r="B1277" t="str">
            <v>RML-EPE1150MMX125MM</v>
          </cell>
          <cell r="C1277" t="str">
            <v>EXPANDED POLYTHYLENE SHEETS 1150MMX125MMX25MM</v>
          </cell>
          <cell r="D1277" t="str">
            <v>NOS</v>
          </cell>
          <cell r="E1277" t="str">
            <v>CBERM</v>
          </cell>
          <cell r="F1277">
            <v>0</v>
          </cell>
          <cell r="G1277">
            <v>0</v>
          </cell>
          <cell r="H1277">
            <v>250</v>
          </cell>
          <cell r="I1277">
            <v>0</v>
          </cell>
        </row>
        <row r="1278">
          <cell r="B1278" t="str">
            <v>RML-EPE1150MMX95MM</v>
          </cell>
          <cell r="C1278" t="str">
            <v>EXPANDED POLYTHYLENE SHEETS 1150MMX95MMX25MM</v>
          </cell>
          <cell r="D1278" t="str">
            <v>NOS</v>
          </cell>
          <cell r="E1278" t="str">
            <v>CBERM</v>
          </cell>
          <cell r="F1278">
            <v>0</v>
          </cell>
          <cell r="G1278">
            <v>0</v>
          </cell>
          <cell r="H1278">
            <v>1000</v>
          </cell>
          <cell r="I1278">
            <v>0</v>
          </cell>
        </row>
        <row r="1279">
          <cell r="B1279" t="str">
            <v>RML-EPE1450MMX125MM</v>
          </cell>
          <cell r="C1279" t="str">
            <v>EXPANDED POLYTHYLENE SHEETS 1450MMX125MMX25MM</v>
          </cell>
          <cell r="D1279" t="str">
            <v>NOS</v>
          </cell>
          <cell r="E1279" t="str">
            <v>CBERM</v>
          </cell>
          <cell r="F1279">
            <v>0</v>
          </cell>
          <cell r="G1279">
            <v>0</v>
          </cell>
          <cell r="H1279">
            <v>1000</v>
          </cell>
          <cell r="I1279">
            <v>0</v>
          </cell>
        </row>
        <row r="1280">
          <cell r="B1280" t="str">
            <v>RML-EPE1450MMX140MM</v>
          </cell>
          <cell r="C1280" t="str">
            <v>EXPANDED POLYTHYLENE SHEETS 1450MMX140MMX25MM</v>
          </cell>
          <cell r="D1280" t="str">
            <v>NOS</v>
          </cell>
          <cell r="E1280" t="str">
            <v>CBERM</v>
          </cell>
          <cell r="F1280">
            <v>0</v>
          </cell>
          <cell r="G1280">
            <v>0</v>
          </cell>
          <cell r="H1280">
            <v>200</v>
          </cell>
          <cell r="I1280">
            <v>0</v>
          </cell>
        </row>
        <row r="1281">
          <cell r="B1281" t="str">
            <v>RML-EPE1450MMX95MM</v>
          </cell>
          <cell r="C1281" t="str">
            <v>EXPANDED POLYTHYLENE SHEETS 1450MMX95MMX25MM</v>
          </cell>
          <cell r="D1281" t="str">
            <v>NOS</v>
          </cell>
          <cell r="E1281" t="str">
            <v>CBERM</v>
          </cell>
          <cell r="F1281">
            <v>0</v>
          </cell>
          <cell r="G1281">
            <v>0</v>
          </cell>
          <cell r="H1281">
            <v>1500</v>
          </cell>
          <cell r="I1281">
            <v>0</v>
          </cell>
        </row>
        <row r="1282">
          <cell r="B1282" t="str">
            <v>RML-EPE1750MMX125MM</v>
          </cell>
          <cell r="C1282" t="str">
            <v>EXPANDED POLYTHYLENE SHEETS 1750MMX125MMX25MM</v>
          </cell>
          <cell r="D1282" t="str">
            <v>NOS</v>
          </cell>
          <cell r="E1282" t="str">
            <v>CBERM</v>
          </cell>
          <cell r="F1282">
            <v>0</v>
          </cell>
          <cell r="G1282">
            <v>0</v>
          </cell>
          <cell r="H1282">
            <v>1000</v>
          </cell>
          <cell r="I1282">
            <v>0</v>
          </cell>
        </row>
        <row r="1283">
          <cell r="B1283" t="str">
            <v>RML-EPE1750MMX140MM</v>
          </cell>
          <cell r="C1283" t="str">
            <v>EXPANDED POLYTHYLENE SHEETS 1750MMX140MMX25MM</v>
          </cell>
          <cell r="D1283" t="str">
            <v>NOS</v>
          </cell>
          <cell r="E1283" t="str">
            <v>CBERM</v>
          </cell>
          <cell r="F1283">
            <v>0</v>
          </cell>
          <cell r="G1283">
            <v>0</v>
          </cell>
          <cell r="H1283">
            <v>400</v>
          </cell>
          <cell r="I1283">
            <v>0</v>
          </cell>
        </row>
        <row r="1284">
          <cell r="B1284" t="str">
            <v>RML-EPE1750MMX95MM</v>
          </cell>
          <cell r="C1284" t="str">
            <v>EXPANDED POLYTHYLENE SHEETS 1750MMX95MMX25MM</v>
          </cell>
          <cell r="D1284" t="str">
            <v>NOS</v>
          </cell>
          <cell r="E1284" t="str">
            <v>CBERM</v>
          </cell>
          <cell r="F1284">
            <v>0</v>
          </cell>
          <cell r="G1284">
            <v>0</v>
          </cell>
          <cell r="H1284">
            <v>1500</v>
          </cell>
          <cell r="I1284">
            <v>0</v>
          </cell>
        </row>
        <row r="1285">
          <cell r="B1285" t="str">
            <v>RML-EPE-1830X1220X50MM</v>
          </cell>
          <cell r="C1285" t="str">
            <v>EXPANDED POLYTHYLENE SHEETS 1830X1220X50MM</v>
          </cell>
          <cell r="D1285" t="str">
            <v>NOS</v>
          </cell>
          <cell r="E1285" t="str">
            <v>CBERM</v>
          </cell>
          <cell r="F1285">
            <v>0</v>
          </cell>
          <cell r="G1285">
            <v>0</v>
          </cell>
          <cell r="H1285">
            <v>15</v>
          </cell>
          <cell r="I1285">
            <v>10</v>
          </cell>
        </row>
        <row r="1286">
          <cell r="B1286" t="str">
            <v>RML-EPE-1880X1750X40MM</v>
          </cell>
          <cell r="C1286" t="str">
            <v>EXPANDED POLYTHYLENE SHEETS 1880X1750X40MM</v>
          </cell>
          <cell r="D1286" t="str">
            <v>NOS</v>
          </cell>
          <cell r="E1286" t="str">
            <v>CBERM</v>
          </cell>
          <cell r="F1286">
            <v>10</v>
          </cell>
          <cell r="G1286">
            <v>10</v>
          </cell>
          <cell r="H1286">
            <v>0</v>
          </cell>
          <cell r="I1286">
            <v>0</v>
          </cell>
        </row>
        <row r="1287">
          <cell r="B1287" t="str">
            <v>RML-EPE-SAMPLE</v>
          </cell>
          <cell r="C1287" t="str">
            <v>EXPANDED POLYTHYLENE SHEET - SAMPLE</v>
          </cell>
          <cell r="D1287" t="str">
            <v>NOS</v>
          </cell>
          <cell r="E1287" t="str">
            <v>CBERM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</row>
        <row r="1288">
          <cell r="B1288" t="str">
            <v>RML-COIR-71.5X29.5X30MM</v>
          </cell>
          <cell r="C1288" t="str">
            <v>COIR BLOCK 70D - 71.5X29.5X30 MM</v>
          </cell>
          <cell r="D1288" t="str">
            <v>KGS</v>
          </cell>
          <cell r="E1288" t="str">
            <v>CBERM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</row>
        <row r="1289">
          <cell r="B1289" t="str">
            <v>RML-EPE-71.5X29.5X50MM</v>
          </cell>
          <cell r="C1289" t="str">
            <v>EXPANDED POLYTHYLENE SHEETS 71.5X29.5X50MM</v>
          </cell>
          <cell r="D1289" t="str">
            <v>NOS</v>
          </cell>
          <cell r="E1289" t="str">
            <v>CBERM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</row>
        <row r="1290">
          <cell r="B1290" t="str">
            <v>RML-EPE-ROLL-2.5</v>
          </cell>
          <cell r="C1290" t="str">
            <v>EXPANDED POLYETHYLENE ROLL 2.5" WIDTH X 20MM THICKNESS</v>
          </cell>
          <cell r="D1290" t="str">
            <v>MTR</v>
          </cell>
          <cell r="E1290" t="str">
            <v>CBERM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</row>
        <row r="1291">
          <cell r="B1291" t="str">
            <v>RML-EPE-1118MMX140MMX25MM</v>
          </cell>
          <cell r="C1291" t="str">
            <v>EXPANDED POLYTHYLENE SHEETS 1118MMX140MMX25MM</v>
          </cell>
          <cell r="D1291" t="str">
            <v>NOS</v>
          </cell>
          <cell r="E1291" t="str">
            <v>CBERM</v>
          </cell>
          <cell r="F1291">
            <v>0</v>
          </cell>
          <cell r="G1291">
            <v>0</v>
          </cell>
          <cell r="H1291">
            <v>200</v>
          </cell>
          <cell r="I1291">
            <v>0</v>
          </cell>
        </row>
        <row r="1292">
          <cell r="B1292" t="str">
            <v>FBR-ARD-MF-PNL-BLU</v>
          </cell>
          <cell r="C1292" t="str">
            <v>ARDENE MEMORY BLUE PANEL FABRIC</v>
          </cell>
          <cell r="D1292" t="str">
            <v>MTR</v>
          </cell>
          <cell r="E1292" t="str">
            <v>CBERM</v>
          </cell>
          <cell r="F1292">
            <v>0</v>
          </cell>
          <cell r="G1292">
            <v>0</v>
          </cell>
          <cell r="H1292">
            <v>2000</v>
          </cell>
          <cell r="I1292">
            <v>3500</v>
          </cell>
        </row>
        <row r="1293">
          <cell r="B1293" t="str">
            <v>FBR-ARD-MF-PNL-GRY</v>
          </cell>
          <cell r="C1293" t="str">
            <v>ARDENE MEMORY GREY PANEL FABRIC</v>
          </cell>
          <cell r="D1293" t="str">
            <v>MTR</v>
          </cell>
          <cell r="E1293" t="str">
            <v>CBERM</v>
          </cell>
          <cell r="F1293">
            <v>3500</v>
          </cell>
          <cell r="G1293">
            <v>3500</v>
          </cell>
          <cell r="H1293">
            <v>2000</v>
          </cell>
          <cell r="I1293">
            <v>2500</v>
          </cell>
        </row>
        <row r="1294">
          <cell r="B1294" t="str">
            <v>FBR-COMF-BR-GRY</v>
          </cell>
          <cell r="C1294" t="str">
            <v>PEPS COMFORT KNITTED GREY BORDER FABRIC</v>
          </cell>
          <cell r="D1294" t="str">
            <v>MTR</v>
          </cell>
          <cell r="E1294" t="str">
            <v>CBERM</v>
          </cell>
          <cell r="F1294">
            <v>2500</v>
          </cell>
          <cell r="G1294">
            <v>2500</v>
          </cell>
          <cell r="H1294">
            <v>2000</v>
          </cell>
          <cell r="I1294">
            <v>200</v>
          </cell>
        </row>
        <row r="1295">
          <cell r="B1295" t="str">
            <v>FBR-SANI-MF-BR-GRY-06-READY</v>
          </cell>
          <cell r="C1295" t="str">
            <v>SANIBEL MEMORY GREY 6" READY MADE BORDER BORDER FABRIC</v>
          </cell>
          <cell r="D1295" t="str">
            <v>MTR</v>
          </cell>
          <cell r="E1295" t="str">
            <v>CBERM</v>
          </cell>
          <cell r="F1295">
            <v>200</v>
          </cell>
          <cell r="G1295">
            <v>200</v>
          </cell>
          <cell r="H1295">
            <v>0</v>
          </cell>
          <cell r="I1295">
            <v>0</v>
          </cell>
        </row>
        <row r="1296">
          <cell r="B1296" t="str">
            <v>FBR-SANI-MF-BR-GRY-08-READY</v>
          </cell>
          <cell r="C1296" t="str">
            <v>SANIBEL MEMORY GREY 8"  READY MADE BORDER FABRIC</v>
          </cell>
          <cell r="D1296" t="str">
            <v>MTR</v>
          </cell>
          <cell r="E1296" t="str">
            <v>CBERM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</row>
        <row r="1297">
          <cell r="B1297" t="str">
            <v>RML-NO-TURN-LBL-FUS</v>
          </cell>
          <cell r="C1297" t="str">
            <v>NORMAL NO TURN LABEL FUSING TYPE</v>
          </cell>
          <cell r="D1297" t="str">
            <v>NOS</v>
          </cell>
          <cell r="E1297" t="str">
            <v>CBERM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</row>
        <row r="1298">
          <cell r="B1298" t="str">
            <v>FBR-SANI-MF-BR-GRY-10-READY</v>
          </cell>
          <cell r="C1298" t="str">
            <v>SANIBEL MEMORY GREY 10"  READY MADE BORDER FABRIC</v>
          </cell>
          <cell r="D1298" t="str">
            <v>MTR</v>
          </cell>
          <cell r="E1298" t="str">
            <v>CBERM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</row>
        <row r="1299">
          <cell r="B1299" t="str">
            <v>RML-SDE-LBL-ZEN-FUS</v>
          </cell>
          <cell r="C1299" t="str">
            <v>ZENIMO SIDE LABELS FUSING TYPE</v>
          </cell>
          <cell r="D1299" t="str">
            <v>NOS</v>
          </cell>
          <cell r="E1299" t="str">
            <v>CBERM</v>
          </cell>
          <cell r="F1299">
            <v>0</v>
          </cell>
          <cell r="G1299">
            <v>0</v>
          </cell>
          <cell r="H1299">
            <v>150</v>
          </cell>
          <cell r="I1299">
            <v>0</v>
          </cell>
        </row>
        <row r="1300">
          <cell r="B1300" t="str">
            <v>FBR-SANI-MF-BR-PUR-06-READY</v>
          </cell>
          <cell r="C1300" t="str">
            <v>SANIBEL MEMORY PURPLE 6"  READY MADE BORDER FABRIC</v>
          </cell>
          <cell r="D1300" t="str">
            <v>MTR</v>
          </cell>
          <cell r="E1300" t="str">
            <v>CBERM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</row>
        <row r="1301">
          <cell r="B1301" t="str">
            <v>FBR-SANI-MF-BR-PUR-08-READY</v>
          </cell>
          <cell r="C1301" t="str">
            <v>SANIBEL MEMORY PURPLE 8"  READY MADE BORDER FABRIC</v>
          </cell>
          <cell r="D1301" t="str">
            <v>MTR</v>
          </cell>
          <cell r="E1301" t="str">
            <v>CBERM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</row>
        <row r="1302">
          <cell r="B1302" t="str">
            <v>FBR-SANI-MF-BR-PUR-10-READY</v>
          </cell>
          <cell r="C1302" t="str">
            <v>SANIBEL MEMORY PURPLE 10"  READY MADE BORDER FABRIC</v>
          </cell>
          <cell r="D1302" t="str">
            <v>MTR</v>
          </cell>
          <cell r="E1302" t="str">
            <v>CBERM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</row>
        <row r="1303">
          <cell r="B1303" t="str">
            <v>RML-SDE-LBL-FR-MAT-BON-FUS</v>
          </cell>
          <cell r="C1303" t="str">
            <v>FR MATTRESS BONAL SIDE LABEL FUSING TYPE</v>
          </cell>
          <cell r="D1303" t="str">
            <v>NOS</v>
          </cell>
          <cell r="E1303" t="str">
            <v>CBERM</v>
          </cell>
          <cell r="F1303">
            <v>0</v>
          </cell>
          <cell r="G1303">
            <v>0</v>
          </cell>
          <cell r="H1303">
            <v>1000</v>
          </cell>
          <cell r="I1303">
            <v>0</v>
          </cell>
        </row>
        <row r="1304">
          <cell r="B1304" t="str">
            <v>FBR-SANI-MF-ET-GRY</v>
          </cell>
          <cell r="C1304" t="str">
            <v>SANIBEL MEMORY GREY EURO TOP FABRIC</v>
          </cell>
          <cell r="D1304" t="str">
            <v>MTR</v>
          </cell>
          <cell r="E1304" t="str">
            <v>CBERM</v>
          </cell>
          <cell r="F1304">
            <v>0</v>
          </cell>
          <cell r="G1304">
            <v>0</v>
          </cell>
          <cell r="H1304">
            <v>250</v>
          </cell>
          <cell r="I1304">
            <v>0</v>
          </cell>
        </row>
        <row r="1305">
          <cell r="B1305" t="str">
            <v>FBR-SANI-MF-ET-PUR</v>
          </cell>
          <cell r="C1305" t="str">
            <v>SANIBEL MEMORY PURPLE EURO TOP FABRIC</v>
          </cell>
          <cell r="D1305" t="str">
            <v>MTR</v>
          </cell>
          <cell r="E1305" t="str">
            <v>CBERM</v>
          </cell>
          <cell r="F1305">
            <v>0</v>
          </cell>
          <cell r="G1305">
            <v>0</v>
          </cell>
          <cell r="H1305">
            <v>250</v>
          </cell>
          <cell r="I1305">
            <v>0</v>
          </cell>
        </row>
        <row r="1306">
          <cell r="B1306" t="str">
            <v>FBR-SANI-MF-GUS-REX-BEG</v>
          </cell>
          <cell r="C1306" t="str">
            <v>SANIBEL MEMORY GUSSET REXINE BEIGE COLOUR</v>
          </cell>
          <cell r="D1306" t="str">
            <v>MTR</v>
          </cell>
          <cell r="E1306" t="str">
            <v>CBERM</v>
          </cell>
          <cell r="F1306">
            <v>0</v>
          </cell>
          <cell r="G1306">
            <v>0</v>
          </cell>
          <cell r="H1306">
            <v>250</v>
          </cell>
          <cell r="I1306">
            <v>500</v>
          </cell>
        </row>
        <row r="1307">
          <cell r="B1307" t="str">
            <v>RML-SDE-LBL-ARD-MEM-FUS</v>
          </cell>
          <cell r="C1307" t="str">
            <v>ARDENE MEMORY SIDE LABEL FUSING TYPE</v>
          </cell>
          <cell r="D1307" t="str">
            <v>NOS</v>
          </cell>
          <cell r="E1307" t="str">
            <v>CBERM</v>
          </cell>
          <cell r="F1307">
            <v>500</v>
          </cell>
          <cell r="G1307">
            <v>500</v>
          </cell>
          <cell r="H1307">
            <v>2000</v>
          </cell>
          <cell r="I1307">
            <v>0</v>
          </cell>
        </row>
        <row r="1308">
          <cell r="B1308" t="str">
            <v>RML-EPE1422MMX140MMX25MM</v>
          </cell>
          <cell r="C1308" t="str">
            <v>EXPANDED POLYTHYLENE SHEETS 1422MMX140MMX25MM</v>
          </cell>
          <cell r="D1308" t="str">
            <v>NOS</v>
          </cell>
          <cell r="E1308" t="str">
            <v>CBERM</v>
          </cell>
          <cell r="F1308">
            <v>0</v>
          </cell>
          <cell r="G1308">
            <v>0</v>
          </cell>
          <cell r="H1308">
            <v>300</v>
          </cell>
          <cell r="I1308">
            <v>0</v>
          </cell>
        </row>
        <row r="1309">
          <cell r="B1309" t="str">
            <v>RML-SDE-LBL-SAN-MEM-FUS</v>
          </cell>
          <cell r="C1309" t="str">
            <v>SANIBEL MEMORY SIDE LABEL FUSING TYPE</v>
          </cell>
          <cell r="D1309" t="str">
            <v>NOS</v>
          </cell>
          <cell r="E1309" t="str">
            <v>CBERM</v>
          </cell>
          <cell r="F1309">
            <v>0</v>
          </cell>
          <cell r="G1309">
            <v>0</v>
          </cell>
          <cell r="H1309">
            <v>2000</v>
          </cell>
          <cell r="I1309">
            <v>0</v>
          </cell>
        </row>
        <row r="1310">
          <cell r="B1310" t="str">
            <v>RML-EPE-762MMX140MMX25MM</v>
          </cell>
          <cell r="C1310" t="str">
            <v>EXPANDED POLYTHYLENE SHEETS 762MMX140MMX25MM</v>
          </cell>
          <cell r="D1310" t="str">
            <v>NOS</v>
          </cell>
          <cell r="E1310" t="str">
            <v>CBERM</v>
          </cell>
          <cell r="F1310">
            <v>0</v>
          </cell>
          <cell r="G1310">
            <v>0</v>
          </cell>
          <cell r="H1310">
            <v>200</v>
          </cell>
          <cell r="I1310">
            <v>0</v>
          </cell>
        </row>
        <row r="1311">
          <cell r="B1311" t="str">
            <v>80D-REBONDED-SAMPLE-FOAM</v>
          </cell>
          <cell r="C1311" t="str">
            <v>80D-Rebonded Foam Sample</v>
          </cell>
          <cell r="D1311" t="str">
            <v>KGS</v>
          </cell>
          <cell r="E1311" t="str">
            <v>CBERM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</row>
        <row r="1312">
          <cell r="B1312" t="str">
            <v>RMI-HCTNF-74.50X47.50</v>
          </cell>
          <cell r="C1312" t="str">
            <v>COTTON FELT 189.23CM X 120.63CM X 6MM - 700gsm ( 74.50" x 47.50" )</v>
          </cell>
          <cell r="D1312" t="str">
            <v>KGS</v>
          </cell>
          <cell r="E1312" t="str">
            <v>CBERM</v>
          </cell>
          <cell r="F1312">
            <v>0</v>
          </cell>
          <cell r="G1312">
            <v>0</v>
          </cell>
          <cell r="H1312">
            <v>5000</v>
          </cell>
          <cell r="I1312">
            <v>3000</v>
          </cell>
        </row>
        <row r="1313">
          <cell r="B1313" t="str">
            <v>CIR-SFG-QUILT-BACK</v>
          </cell>
          <cell r="C1313" t="str">
            <v>Quilted Fabric Back Panel</v>
          </cell>
          <cell r="D1313" t="str">
            <v>MTR</v>
          </cell>
          <cell r="E1313" t="str">
            <v>CBERM</v>
          </cell>
          <cell r="F1313">
            <v>3000</v>
          </cell>
          <cell r="G1313">
            <v>3000</v>
          </cell>
          <cell r="H1313">
            <v>0</v>
          </cell>
          <cell r="I1313">
            <v>0</v>
          </cell>
        </row>
        <row r="1314">
          <cell r="B1314" t="str">
            <v>RML-BED-SHT-600TC-PLN-250X300</v>
          </cell>
          <cell r="C1314" t="str">
            <v>BED SHEET 600TC PLAIN SATIN 250CMX300CM</v>
          </cell>
          <cell r="D1314" t="str">
            <v>NOS</v>
          </cell>
          <cell r="E1314" t="str">
            <v>CBERM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</row>
        <row r="1315">
          <cell r="B1315" t="str">
            <v>RML-BED-SHT-600TC-PLN-280X300</v>
          </cell>
          <cell r="C1315" t="str">
            <v>BED SHEET 600TC PLAIN SATIN 280CMX300CM</v>
          </cell>
          <cell r="D1315" t="str">
            <v>NOS</v>
          </cell>
          <cell r="E1315" t="str">
            <v>CBERM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</row>
        <row r="1316">
          <cell r="B1316" t="str">
            <v>CIR-SFG-QUILT-TOP</v>
          </cell>
          <cell r="C1316" t="str">
            <v>Quilted Fabric Top Panel</v>
          </cell>
          <cell r="D1316" t="str">
            <v>MTR</v>
          </cell>
          <cell r="E1316" t="str">
            <v>CBERM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</row>
        <row r="1317">
          <cell r="B1317" t="str">
            <v>HYPINSFMMR71X29X04-90D</v>
          </cell>
          <cell r="C1317" t="str">
            <v>Hypnos Inspree Soft Top PU Foam Maroon 71X29X04-90D</v>
          </cell>
          <cell r="D1317" t="str">
            <v>NOS</v>
          </cell>
          <cell r="E1317" t="str">
            <v>CBERM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</row>
        <row r="1318">
          <cell r="B1318" t="str">
            <v>IMP-MATSTD6P</v>
          </cell>
          <cell r="C1318" t="str">
            <v>FUNCTIONAL MATTRESS DISPLAY SYSTEM FOR 6 PCS MATTRESS</v>
          </cell>
          <cell r="D1318" t="str">
            <v>NOS</v>
          </cell>
          <cell r="E1318" t="str">
            <v>CBERM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</row>
        <row r="1319">
          <cell r="B1319" t="str">
            <v>RML-DUV-BAB-COT-100X120</v>
          </cell>
          <cell r="C1319" t="str">
            <v>DUVET BABY COT 100CMX120CM</v>
          </cell>
          <cell r="D1319" t="str">
            <v>NOS</v>
          </cell>
          <cell r="E1319" t="str">
            <v>CBERM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</row>
        <row r="1320">
          <cell r="B1320" t="str">
            <v>RML-DUV-BAB-COT-CVR-110X130</v>
          </cell>
          <cell r="C1320" t="str">
            <v>DUVET BABY COT COVER 600TC PLAIN SATIN 110CMX130CM</v>
          </cell>
          <cell r="D1320" t="str">
            <v>NOS</v>
          </cell>
          <cell r="E1320" t="str">
            <v>CBERM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</row>
        <row r="1321">
          <cell r="B1321" t="str">
            <v>RML-DUV-BED-CVR-260X130</v>
          </cell>
          <cell r="C1321" t="str">
            <v>DUVET BED COVER - 400GSM 260CMX130CM</v>
          </cell>
          <cell r="D1321" t="str">
            <v>NOS</v>
          </cell>
          <cell r="E1321" t="str">
            <v>CBERM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</row>
        <row r="1322">
          <cell r="B1322" t="str">
            <v>RML-DUV-CVR-600TC-PLN-240X240X5</v>
          </cell>
          <cell r="C1322" t="str">
            <v>DUVET COVER 600TC PLAIN SATIN 240CMX240CMX5CM</v>
          </cell>
          <cell r="D1322" t="str">
            <v>NOS</v>
          </cell>
          <cell r="E1322" t="str">
            <v>CBERM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</row>
        <row r="1323">
          <cell r="B1323" t="str">
            <v>RML-DUV-CVR-600TC-PLN-270X140X5</v>
          </cell>
          <cell r="C1323" t="str">
            <v>DUVET BED COVER 600TC PLAIN SATIN 270CMX140CMX5CM</v>
          </cell>
          <cell r="D1323" t="str">
            <v>NOS</v>
          </cell>
          <cell r="E1323" t="str">
            <v>CBERM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</row>
        <row r="1324">
          <cell r="B1324" t="str">
            <v>RML-DUV-CVR-600TC-PLN-270X240X5</v>
          </cell>
          <cell r="C1324" t="str">
            <v>DUVET COVER 600TC PLAIN SATIN 270CMX240CMX5CM</v>
          </cell>
          <cell r="D1324" t="str">
            <v>NOS</v>
          </cell>
          <cell r="E1324" t="str">
            <v>CBERM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</row>
        <row r="1325">
          <cell r="B1325" t="str">
            <v>RML-FIB-PILLOW-27X17X2</v>
          </cell>
          <cell r="C1325" t="str">
            <v>MICRO FIBER PILLOW 27X17X2</v>
          </cell>
          <cell r="D1325" t="str">
            <v>NOS</v>
          </cell>
          <cell r="E1325" t="str">
            <v>CBERM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</row>
        <row r="1326">
          <cell r="B1326" t="str">
            <v>IMP-MATSTD8P</v>
          </cell>
          <cell r="C1326" t="str">
            <v>FUNCTIONAL MATTRESS DISPLAY SYSTEM FOR 8 PCS MATTRESS</v>
          </cell>
          <cell r="D1326" t="str">
            <v>NOS</v>
          </cell>
          <cell r="E1326" t="str">
            <v>CBERM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</row>
        <row r="1327">
          <cell r="B1327" t="str">
            <v>RML-KOM-PTR-72X70.50</v>
          </cell>
          <cell r="C1327" t="str">
            <v>KOMFFY MATTRESSES PROTECTOR 72X70.50</v>
          </cell>
          <cell r="D1327" t="str">
            <v>NOS</v>
          </cell>
          <cell r="E1327" t="str">
            <v>CBERM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</row>
        <row r="1328">
          <cell r="B1328" t="str">
            <v>RML-LAT-PIL-INS</v>
          </cell>
          <cell r="C1328" t="str">
            <v>LATEX PILLOW INSERTER</v>
          </cell>
          <cell r="D1328" t="str">
            <v>NOS</v>
          </cell>
          <cell r="E1328" t="str">
            <v>CBERM</v>
          </cell>
          <cell r="F1328">
            <v>0</v>
          </cell>
          <cell r="G1328">
            <v>0</v>
          </cell>
          <cell r="H1328">
            <v>250</v>
          </cell>
          <cell r="I1328">
            <v>0</v>
          </cell>
        </row>
        <row r="1329">
          <cell r="B1329" t="str">
            <v>PEPSZENPKPTDB78X66X08</v>
          </cell>
          <cell r="C1329" t="str">
            <v>Peps Zenimo Pocketed PillowTop DenimBlue 78X66X08</v>
          </cell>
          <cell r="D1329" t="str">
            <v>NOS</v>
          </cell>
          <cell r="E1329" t="str">
            <v>CBERM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</row>
        <row r="1330">
          <cell r="B1330" t="str">
            <v>RML-LTX-1500X208X2CM</v>
          </cell>
          <cell r="C1330" t="str">
            <v>PERFO LATEX SHEETS 1500X208X2CM (82" WIDTH)</v>
          </cell>
          <cell r="D1330" t="str">
            <v>NOS</v>
          </cell>
          <cell r="E1330" t="str">
            <v>CBERM</v>
          </cell>
          <cell r="F1330">
            <v>0</v>
          </cell>
          <cell r="G1330">
            <v>0</v>
          </cell>
          <cell r="H1330">
            <v>40</v>
          </cell>
          <cell r="I1330">
            <v>20</v>
          </cell>
        </row>
        <row r="1331">
          <cell r="B1331" t="str">
            <v>RMI-MOLDCHRG</v>
          </cell>
          <cell r="C1331" t="str">
            <v>MOULD CHARGE</v>
          </cell>
          <cell r="D1331" t="str">
            <v>NOS</v>
          </cell>
          <cell r="E1331" t="str">
            <v>CBERM</v>
          </cell>
          <cell r="F1331">
            <v>20</v>
          </cell>
          <cell r="G1331">
            <v>20</v>
          </cell>
          <cell r="H1331">
            <v>0</v>
          </cell>
          <cell r="I1331">
            <v>0</v>
          </cell>
        </row>
        <row r="1332">
          <cell r="B1332" t="str">
            <v>RML-MAT-TOP-100X200</v>
          </cell>
          <cell r="C1332" t="str">
            <v>MATTRESS TOPPER 100CMX200CM</v>
          </cell>
          <cell r="D1332" t="str">
            <v>NOS</v>
          </cell>
          <cell r="E1332" t="str">
            <v>CBERM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</row>
        <row r="1333">
          <cell r="B1333" t="str">
            <v>RML-CNR-LBL-CIR</v>
          </cell>
          <cell r="C1333" t="str">
            <v>Cirrus Corner Lables</v>
          </cell>
          <cell r="D1333" t="str">
            <v>NOS</v>
          </cell>
          <cell r="E1333" t="str">
            <v>CBERM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</row>
        <row r="1334">
          <cell r="B1334" t="str">
            <v>RML-COIR-78X36X3INCH</v>
          </cell>
          <cell r="C1334" t="str">
            <v>COIR BLOCK 78X36X3 INCH 80D BARE BLOCK</v>
          </cell>
          <cell r="D1334" t="str">
            <v>NOS</v>
          </cell>
          <cell r="E1334" t="str">
            <v>CBERM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</row>
        <row r="1335">
          <cell r="B1335" t="str">
            <v>FBR-ARD-MF-ET-GRY</v>
          </cell>
          <cell r="C1335" t="str">
            <v>ARDENE MEMORY GREY EURO TOP FABRIC</v>
          </cell>
          <cell r="D1335" t="str">
            <v>MTR</v>
          </cell>
          <cell r="E1335" t="str">
            <v>CBERM</v>
          </cell>
          <cell r="F1335">
            <v>0</v>
          </cell>
          <cell r="G1335">
            <v>0</v>
          </cell>
          <cell r="H1335">
            <v>250</v>
          </cell>
          <cell r="I1335">
            <v>0</v>
          </cell>
        </row>
        <row r="1336">
          <cell r="B1336" t="str">
            <v>RML-MRP-BAK-LBL-FUS</v>
          </cell>
          <cell r="C1336" t="str">
            <v>MRP BACK PLAIN LABEL FUSING TYPE</v>
          </cell>
          <cell r="D1336" t="str">
            <v>NOS</v>
          </cell>
          <cell r="E1336" t="str">
            <v>CBERM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</row>
        <row r="1337">
          <cell r="B1337" t="str">
            <v>FBR-ARD-MF-ET-L-BLUE</v>
          </cell>
          <cell r="C1337" t="str">
            <v>ARDENE MEMORY LIGHT BLUE EURO TOP FABRIC</v>
          </cell>
          <cell r="D1337" t="str">
            <v>MTR</v>
          </cell>
          <cell r="E1337" t="str">
            <v>CBERM</v>
          </cell>
          <cell r="F1337">
            <v>0</v>
          </cell>
          <cell r="G1337">
            <v>0</v>
          </cell>
          <cell r="H1337">
            <v>250</v>
          </cell>
          <cell r="I1337">
            <v>0</v>
          </cell>
        </row>
        <row r="1338">
          <cell r="B1338" t="str">
            <v>RML-COIR-78X72X3INCH</v>
          </cell>
          <cell r="C1338" t="str">
            <v>COIR BLOCK 78X72X3 INCH 80D BARE BLOCK</v>
          </cell>
          <cell r="D1338" t="str">
            <v>NOS</v>
          </cell>
          <cell r="E1338" t="str">
            <v>CBERM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</row>
        <row r="1339">
          <cell r="B1339" t="str">
            <v>RML-PEPS-HAN-LOG-FUS</v>
          </cell>
          <cell r="C1339" t="str">
            <v>PEPS HANDLE LOGO LABEL</v>
          </cell>
          <cell r="D1339" t="str">
            <v>NOS</v>
          </cell>
          <cell r="E1339" t="str">
            <v>CBERM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</row>
        <row r="1340">
          <cell r="B1340" t="str">
            <v>RML-HDPE-RE-USE-BG</v>
          </cell>
          <cell r="C1340" t="str">
            <v>HDPE RE USABLE BAG</v>
          </cell>
          <cell r="D1340" t="str">
            <v>KGS</v>
          </cell>
          <cell r="E1340" t="str">
            <v>CBERM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</row>
        <row r="1341">
          <cell r="B1341" t="str">
            <v>RML-LCORNER-PAD-15</v>
          </cell>
          <cell r="C1341" t="str">
            <v>15X15 INCH L CORNER PAD</v>
          </cell>
          <cell r="D1341" t="str">
            <v>NOS</v>
          </cell>
          <cell r="E1341" t="str">
            <v>CBERM</v>
          </cell>
          <cell r="F1341">
            <v>0</v>
          </cell>
          <cell r="G1341">
            <v>0</v>
          </cell>
          <cell r="H1341">
            <v>500</v>
          </cell>
          <cell r="I1341">
            <v>0</v>
          </cell>
        </row>
        <row r="1342">
          <cell r="B1342" t="str">
            <v>RML-PIL-CVR-600TC-PLN-50X66</v>
          </cell>
          <cell r="C1342" t="str">
            <v>PILLOW COVER 600TC PLAIN SATIN 50CMX66CM</v>
          </cell>
          <cell r="D1342" t="str">
            <v>NOS</v>
          </cell>
          <cell r="E1342" t="str">
            <v>CBERM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</row>
        <row r="1343">
          <cell r="B1343" t="str">
            <v>RML-MEM-FOM-PIL-STK</v>
          </cell>
          <cell r="C1343" t="str">
            <v>100% MEMORY FOAM PILLOW MOULDED STICKER (Allura Pillow)</v>
          </cell>
          <cell r="D1343" t="str">
            <v>NOS</v>
          </cell>
          <cell r="E1343" t="str">
            <v>CBERM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</row>
        <row r="1344">
          <cell r="B1344" t="str">
            <v>RML-PRE-STK</v>
          </cell>
          <cell r="C1344" t="str">
            <v>PREMIUM STICKER (Allura Pillow)</v>
          </cell>
          <cell r="D1344" t="str">
            <v>NOS</v>
          </cell>
          <cell r="E1344" t="str">
            <v>CBERM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</row>
        <row r="1345">
          <cell r="B1345" t="str">
            <v>RML-SDE-LBL-COM-FUS</v>
          </cell>
          <cell r="C1345" t="str">
            <v>PEPS COMFORT SIDE LABEL FUSING TYPE</v>
          </cell>
          <cell r="D1345" t="str">
            <v>NOS</v>
          </cell>
          <cell r="E1345" t="str">
            <v>CBERM</v>
          </cell>
          <cell r="F1345">
            <v>0</v>
          </cell>
          <cell r="G1345">
            <v>0</v>
          </cell>
          <cell r="H1345">
            <v>5000</v>
          </cell>
          <cell r="I1345">
            <v>5000</v>
          </cell>
        </row>
        <row r="1346">
          <cell r="B1346" t="str">
            <v>RML-SDE-LBL-ORG-FUS</v>
          </cell>
          <cell r="C1346" t="str">
            <v>ORGANICA SIDE LABEL FUSING TYPE</v>
          </cell>
          <cell r="D1346" t="str">
            <v>NOS</v>
          </cell>
          <cell r="E1346" t="str">
            <v>CBERM</v>
          </cell>
          <cell r="F1346">
            <v>5000</v>
          </cell>
          <cell r="G1346">
            <v>5000</v>
          </cell>
          <cell r="H1346">
            <v>300</v>
          </cell>
          <cell r="I1346">
            <v>0</v>
          </cell>
        </row>
        <row r="1347">
          <cell r="B1347" t="str">
            <v>RML-SDE-LBL-SPG-SPR-FUS</v>
          </cell>
          <cell r="C1347" t="str">
            <v>SPINE GUARD  SIDE LABEL 10 YEARS SPRING FUSING TYPE</v>
          </cell>
          <cell r="D1347" t="str">
            <v>NOS</v>
          </cell>
          <cell r="E1347" t="str">
            <v>CBERM</v>
          </cell>
          <cell r="F1347">
            <v>0</v>
          </cell>
          <cell r="G1347">
            <v>0</v>
          </cell>
          <cell r="H1347">
            <v>500</v>
          </cell>
          <cell r="I1347">
            <v>0</v>
          </cell>
        </row>
        <row r="1348">
          <cell r="B1348" t="str">
            <v>RML-SDE-LBL-SUP-FUS</v>
          </cell>
          <cell r="C1348" t="str">
            <v>PEPS SUPREME SIDE LABEL FUSING TYPE</v>
          </cell>
          <cell r="D1348" t="str">
            <v>NOS</v>
          </cell>
          <cell r="E1348" t="str">
            <v>CBERM</v>
          </cell>
          <cell r="F1348">
            <v>0</v>
          </cell>
          <cell r="G1348">
            <v>0</v>
          </cell>
          <cell r="H1348">
            <v>5000</v>
          </cell>
          <cell r="I1348">
            <v>5000</v>
          </cell>
        </row>
        <row r="1349">
          <cell r="B1349" t="str">
            <v>RML-TOP-BEB-COT-100X66</v>
          </cell>
          <cell r="C1349" t="str">
            <v>TOPPER BABY COT 100CMX66CM</v>
          </cell>
          <cell r="D1349" t="str">
            <v>NOS</v>
          </cell>
          <cell r="E1349" t="str">
            <v>CBERM</v>
          </cell>
          <cell r="F1349">
            <v>5000</v>
          </cell>
          <cell r="G1349">
            <v>5000</v>
          </cell>
          <cell r="H1349">
            <v>0</v>
          </cell>
          <cell r="I1349">
            <v>0</v>
          </cell>
        </row>
        <row r="1350">
          <cell r="B1350" t="str">
            <v>RML-PU-TRIM-FOAM</v>
          </cell>
          <cell r="C1350" t="str">
            <v>Polyurethane Trim Foam In Primary Foams (Purpose to Make Foam Mattress)</v>
          </cell>
          <cell r="D1350" t="str">
            <v>KGS</v>
          </cell>
          <cell r="E1350" t="str">
            <v>CBERM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</row>
        <row r="1351">
          <cell r="B1351" t="str">
            <v>RML-ZEN-NO-TURN-LBL-FUS</v>
          </cell>
          <cell r="C1351" t="str">
            <v>ZENIMO NO TURN LABEL FUSING TYPE</v>
          </cell>
          <cell r="D1351" t="str">
            <v>NOS</v>
          </cell>
          <cell r="E1351" t="str">
            <v>CBERM</v>
          </cell>
          <cell r="F1351">
            <v>0</v>
          </cell>
          <cell r="G1351">
            <v>0</v>
          </cell>
          <cell r="H1351">
            <v>5000</v>
          </cell>
          <cell r="I1351">
            <v>0</v>
          </cell>
        </row>
        <row r="1352">
          <cell r="B1352" t="str">
            <v>RML-ARD-BRN-ED-TAPE</v>
          </cell>
          <cell r="C1352" t="str">
            <v>ARDENE EDGE TAPE BROWN</v>
          </cell>
          <cell r="D1352" t="str">
            <v>MTR</v>
          </cell>
          <cell r="E1352" t="str">
            <v>CBERM</v>
          </cell>
          <cell r="F1352">
            <v>0</v>
          </cell>
          <cell r="G1352">
            <v>0</v>
          </cell>
          <cell r="H1352">
            <v>7200</v>
          </cell>
          <cell r="I1352">
            <v>0</v>
          </cell>
        </row>
        <row r="1353">
          <cell r="B1353" t="str">
            <v>RML-CFRP-WH-110X110MICPOY</v>
          </cell>
          <cell r="C1353" t="str">
            <v>PEPS 110X110 QUILT-MICRO POLYESTER WHITE COMFORTER</v>
          </cell>
          <cell r="D1353" t="str">
            <v>NOS</v>
          </cell>
          <cell r="E1353" t="str">
            <v>CBERM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</row>
        <row r="1354">
          <cell r="B1354" t="str">
            <v>RML-PTR-WP-NVBL-78X72</v>
          </cell>
          <cell r="C1354" t="str">
            <v>PEPS WATER PROOF PROTECTOR NAVY BLUE 78X72</v>
          </cell>
          <cell r="D1354" t="str">
            <v>NOS</v>
          </cell>
          <cell r="E1354" t="str">
            <v>CBERM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</row>
        <row r="1355">
          <cell r="B1355" t="str">
            <v>RML-WDG-PLW-WSCR-LBL</v>
          </cell>
          <cell r="C1355" t="str">
            <v>WEDGE PILLOW WASH CARE LABEL</v>
          </cell>
          <cell r="D1355" t="str">
            <v>NOS</v>
          </cell>
          <cell r="E1355" t="str">
            <v>CBERM</v>
          </cell>
          <cell r="F1355">
            <v>0</v>
          </cell>
          <cell r="G1355">
            <v>0</v>
          </cell>
          <cell r="H1355">
            <v>250</v>
          </cell>
          <cell r="I1355">
            <v>0</v>
          </cell>
        </row>
        <row r="1356">
          <cell r="B1356" t="str">
            <v>RM-NWN-82X70GSM</v>
          </cell>
          <cell r="C1356" t="str">
            <v>NON WOVEN FABRIC 70 GSM x 82 INCH - WHITE</v>
          </cell>
          <cell r="D1356" t="str">
            <v>KGS</v>
          </cell>
          <cell r="E1356" t="str">
            <v>CBERM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</row>
        <row r="1357">
          <cell r="B1357" t="str">
            <v>SFG-LEG-REST</v>
          </cell>
          <cell r="C1357" t="str">
            <v>SEMI FINISHED BED RUNNER  90" X 20" ( LEG REST )</v>
          </cell>
          <cell r="D1357" t="str">
            <v>NOS</v>
          </cell>
          <cell r="E1357" t="str">
            <v>CBERM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</row>
        <row r="1358">
          <cell r="B1358" t="str">
            <v>RML-RADIO-PILLOW</v>
          </cell>
          <cell r="C1358" t="str">
            <v>KOMFFY FIBER PILLOW 24"X16"(RADIO)</v>
          </cell>
          <cell r="D1358" t="str">
            <v>NOS</v>
          </cell>
          <cell r="E1358" t="str">
            <v>CBERM</v>
          </cell>
          <cell r="F1358">
            <v>0</v>
          </cell>
          <cell r="G1358">
            <v>0</v>
          </cell>
          <cell r="H1358">
            <v>0</v>
          </cell>
          <cell r="I1358">
            <v>8000</v>
          </cell>
        </row>
        <row r="1359">
          <cell r="B1359" t="str">
            <v>RML-CIR-FOM-MIN-SDE-LBL</v>
          </cell>
          <cell r="C1359" t="str">
            <v>CIRRUS FOAMERA MINI SAMPLE SIDE LABEL</v>
          </cell>
          <cell r="D1359" t="str">
            <v>NOS</v>
          </cell>
          <cell r="E1359" t="str">
            <v>CBERM</v>
          </cell>
          <cell r="F1359">
            <v>8000</v>
          </cell>
          <cell r="G1359">
            <v>8000</v>
          </cell>
          <cell r="H1359">
            <v>50</v>
          </cell>
          <cell r="I1359">
            <v>0</v>
          </cell>
        </row>
        <row r="1360">
          <cell r="B1360" t="str">
            <v>RML-CIR-FUR-MIN-SDE-LBL</v>
          </cell>
          <cell r="C1360" t="str">
            <v>CIRRUS FURNO MINI SAMPLE SIDE LABEL</v>
          </cell>
          <cell r="D1360" t="str">
            <v>NOS</v>
          </cell>
          <cell r="E1360" t="str">
            <v>CBERM</v>
          </cell>
          <cell r="F1360">
            <v>0</v>
          </cell>
          <cell r="G1360">
            <v>0</v>
          </cell>
          <cell r="H1360">
            <v>50</v>
          </cell>
          <cell r="I1360">
            <v>0</v>
          </cell>
        </row>
        <row r="1361">
          <cell r="B1361" t="str">
            <v>RML-CIR-SDE-LBL</v>
          </cell>
          <cell r="C1361" t="str">
            <v>CIRRUS Side Label</v>
          </cell>
          <cell r="D1361" t="str">
            <v>NOS</v>
          </cell>
          <cell r="E1361" t="str">
            <v>CBERM</v>
          </cell>
          <cell r="F1361">
            <v>0</v>
          </cell>
          <cell r="G1361">
            <v>0</v>
          </cell>
          <cell r="H1361">
            <v>250</v>
          </cell>
          <cell r="I1361">
            <v>0</v>
          </cell>
        </row>
        <row r="1362">
          <cell r="B1362" t="str">
            <v>RML-CIR-INS-MIN-SDE-LBL</v>
          </cell>
          <cell r="C1362" t="str">
            <v>CIRRUS INSPREE MINI SAMPLE SIDE LABEL</v>
          </cell>
          <cell r="D1362" t="str">
            <v>NOS</v>
          </cell>
          <cell r="E1362" t="str">
            <v>CBERM</v>
          </cell>
          <cell r="F1362">
            <v>0</v>
          </cell>
          <cell r="G1362">
            <v>0</v>
          </cell>
          <cell r="H1362">
            <v>50</v>
          </cell>
          <cell r="I1362">
            <v>0</v>
          </cell>
        </row>
        <row r="1363">
          <cell r="B1363" t="str">
            <v>RML-FUR-CIR-SDE-LBL</v>
          </cell>
          <cell r="C1363" t="str">
            <v>CIRRUS FURNO SIDE LABEL</v>
          </cell>
          <cell r="D1363" t="str">
            <v>NOS</v>
          </cell>
          <cell r="E1363" t="str">
            <v>CBERM</v>
          </cell>
          <cell r="F1363">
            <v>0</v>
          </cell>
          <cell r="G1363">
            <v>0</v>
          </cell>
          <cell r="H1363">
            <v>500</v>
          </cell>
          <cell r="I1363">
            <v>0</v>
          </cell>
        </row>
        <row r="1364">
          <cell r="B1364" t="str">
            <v>RML-CIR-MEM-SDE-LBL</v>
          </cell>
          <cell r="C1364" t="str">
            <v>CIRRUS MEMORIO SIDE LABEL</v>
          </cell>
          <cell r="D1364" t="str">
            <v>NOS</v>
          </cell>
          <cell r="E1364" t="str">
            <v>CBERM</v>
          </cell>
          <cell r="F1364">
            <v>0</v>
          </cell>
          <cell r="G1364">
            <v>0</v>
          </cell>
          <cell r="H1364">
            <v>100</v>
          </cell>
          <cell r="I1364">
            <v>0</v>
          </cell>
        </row>
        <row r="1365">
          <cell r="B1365" t="str">
            <v>RML-CIR-SPS-SDE-LBL</v>
          </cell>
          <cell r="C1365" t="str">
            <v>CIRRUS SPINE SAFE SIDE LABEL</v>
          </cell>
          <cell r="D1365" t="str">
            <v>NOS</v>
          </cell>
          <cell r="E1365" t="str">
            <v>CBERM</v>
          </cell>
          <cell r="F1365">
            <v>0</v>
          </cell>
          <cell r="G1365">
            <v>0</v>
          </cell>
          <cell r="H1365">
            <v>260</v>
          </cell>
          <cell r="I1365">
            <v>0</v>
          </cell>
        </row>
        <row r="1366">
          <cell r="B1366" t="str">
            <v>RML-CIR-LAT-MINI-SDE-LBL</v>
          </cell>
          <cell r="C1366" t="str">
            <v>CIRRUS INSPREE LATEX MINI SAMPLE SIDE LABEL</v>
          </cell>
          <cell r="D1366" t="str">
            <v>NOS</v>
          </cell>
          <cell r="E1366" t="str">
            <v>CBERM</v>
          </cell>
          <cell r="F1366">
            <v>0</v>
          </cell>
          <cell r="G1366">
            <v>0</v>
          </cell>
          <cell r="H1366">
            <v>50</v>
          </cell>
          <cell r="I1366">
            <v>0</v>
          </cell>
        </row>
        <row r="1367">
          <cell r="B1367" t="str">
            <v>RML-CIR-INS-LAT-SDE-LBL</v>
          </cell>
          <cell r="C1367" t="str">
            <v>CIRRUS INSPREE LATEX SIDE LABEL</v>
          </cell>
          <cell r="D1367" t="str">
            <v>NOS</v>
          </cell>
          <cell r="E1367" t="str">
            <v>CBERM</v>
          </cell>
          <cell r="F1367">
            <v>0</v>
          </cell>
          <cell r="G1367">
            <v>0</v>
          </cell>
          <cell r="H1367">
            <v>500</v>
          </cell>
          <cell r="I1367">
            <v>0</v>
          </cell>
        </row>
        <row r="1368">
          <cell r="B1368" t="str">
            <v>RML-CIR-INS-MEM-MINI-SDE-LBL</v>
          </cell>
          <cell r="C1368" t="str">
            <v>CIRRUS INSPREE MEMORY MINI SAMPLE SIDE LABEL</v>
          </cell>
          <cell r="D1368" t="str">
            <v>NOS</v>
          </cell>
          <cell r="E1368" t="str">
            <v>CBERM</v>
          </cell>
          <cell r="F1368">
            <v>0</v>
          </cell>
          <cell r="G1368">
            <v>0</v>
          </cell>
          <cell r="H1368">
            <v>50</v>
          </cell>
          <cell r="I1368">
            <v>0</v>
          </cell>
        </row>
        <row r="1369">
          <cell r="B1369" t="str">
            <v>RML-CIR-INS-MEM-SDE-LBL</v>
          </cell>
          <cell r="C1369" t="str">
            <v>CIRRUS INSPREE MEMORY SIDE LABEL</v>
          </cell>
          <cell r="D1369" t="str">
            <v>NOS</v>
          </cell>
          <cell r="E1369" t="str">
            <v>CBERM</v>
          </cell>
          <cell r="F1369">
            <v>0</v>
          </cell>
          <cell r="G1369">
            <v>0</v>
          </cell>
          <cell r="H1369">
            <v>500</v>
          </cell>
          <cell r="I1369">
            <v>0</v>
          </cell>
        </row>
        <row r="1370">
          <cell r="B1370" t="str">
            <v>RML-CIR-INS-SDE-LBL</v>
          </cell>
          <cell r="C1370" t="str">
            <v>CIRRUS INSPREE SIDE LABEL</v>
          </cell>
          <cell r="D1370" t="str">
            <v>NOS</v>
          </cell>
          <cell r="E1370" t="str">
            <v>CBERM</v>
          </cell>
          <cell r="F1370">
            <v>0</v>
          </cell>
          <cell r="G1370">
            <v>0</v>
          </cell>
          <cell r="H1370">
            <v>500</v>
          </cell>
          <cell r="I1370">
            <v>0</v>
          </cell>
        </row>
        <row r="1371">
          <cell r="B1371" t="str">
            <v>RML-CIR-INS-SDE-LBL-4INC</v>
          </cell>
          <cell r="C1371" t="str">
            <v>CIRRUS INSPREE SIDE LABEL 4 INCH MATTRESS</v>
          </cell>
          <cell r="D1371" t="str">
            <v>NOS</v>
          </cell>
          <cell r="E1371" t="str">
            <v>CBERM</v>
          </cell>
          <cell r="F1371">
            <v>0</v>
          </cell>
          <cell r="G1371">
            <v>0</v>
          </cell>
          <cell r="H1371">
            <v>250</v>
          </cell>
          <cell r="I1371">
            <v>200</v>
          </cell>
        </row>
        <row r="1372">
          <cell r="B1372" t="str">
            <v>RML-CIR-KOZBON-SDE-LBL</v>
          </cell>
          <cell r="C1372" t="str">
            <v>CIRRUS KOZYBOND SIDE LABEL</v>
          </cell>
          <cell r="D1372" t="str">
            <v>NOS</v>
          </cell>
          <cell r="E1372" t="str">
            <v>CBERM</v>
          </cell>
          <cell r="F1372">
            <v>200</v>
          </cell>
          <cell r="G1372">
            <v>200</v>
          </cell>
          <cell r="H1372">
            <v>250</v>
          </cell>
          <cell r="I1372">
            <v>0</v>
          </cell>
        </row>
        <row r="1373">
          <cell r="B1373" t="str">
            <v>RML-CIR-KOZBRE-SDE-LBL</v>
          </cell>
          <cell r="C1373" t="str">
            <v>CIRRUS KOZYBREEZ SIDE LABEL</v>
          </cell>
          <cell r="D1373" t="str">
            <v>NOS</v>
          </cell>
          <cell r="E1373" t="str">
            <v>CBERM</v>
          </cell>
          <cell r="F1373">
            <v>0</v>
          </cell>
          <cell r="G1373">
            <v>0</v>
          </cell>
          <cell r="H1373">
            <v>250</v>
          </cell>
          <cell r="I1373">
            <v>0</v>
          </cell>
        </row>
        <row r="1374">
          <cell r="B1374" t="str">
            <v>RML-CIR-MEM-ULT-SDE-LBL</v>
          </cell>
          <cell r="C1374" t="str">
            <v>CIRRUS MEMORIO ULTRA SIDE LABEL</v>
          </cell>
          <cell r="D1374" t="str">
            <v>NOS</v>
          </cell>
          <cell r="E1374" t="str">
            <v>CBERM</v>
          </cell>
          <cell r="F1374">
            <v>0</v>
          </cell>
          <cell r="G1374">
            <v>0</v>
          </cell>
          <cell r="H1374">
            <v>200</v>
          </cell>
          <cell r="I1374">
            <v>0</v>
          </cell>
        </row>
        <row r="1375">
          <cell r="B1375" t="str">
            <v>RML-CIR-MIR-SDE-LBL</v>
          </cell>
          <cell r="C1375" t="str">
            <v>CIRRUS MIRAGE SIDE LABEL</v>
          </cell>
          <cell r="D1375" t="str">
            <v>NOS</v>
          </cell>
          <cell r="E1375" t="str">
            <v>CBERM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</row>
        <row r="1376">
          <cell r="B1376" t="str">
            <v>RML-CS-CIR-5.25</v>
          </cell>
          <cell r="C1376" t="str">
            <v>CIRRUS CORNER SHOES 5.25"</v>
          </cell>
          <cell r="D1376" t="str">
            <v>NOS</v>
          </cell>
          <cell r="E1376" t="str">
            <v>CBERM</v>
          </cell>
          <cell r="F1376">
            <v>0</v>
          </cell>
          <cell r="G1376">
            <v>0</v>
          </cell>
          <cell r="H1376">
            <v>5000</v>
          </cell>
          <cell r="I1376">
            <v>0</v>
          </cell>
        </row>
        <row r="1377">
          <cell r="B1377" t="str">
            <v>RML-CS-CIR-6.25</v>
          </cell>
          <cell r="C1377" t="str">
            <v>CIRRUS CORNER SHOES 6.25"</v>
          </cell>
          <cell r="D1377" t="str">
            <v>NOS</v>
          </cell>
          <cell r="E1377" t="str">
            <v>CBERM</v>
          </cell>
          <cell r="F1377">
            <v>0</v>
          </cell>
          <cell r="G1377">
            <v>0</v>
          </cell>
          <cell r="H1377">
            <v>3000</v>
          </cell>
          <cell r="I1377">
            <v>0</v>
          </cell>
        </row>
        <row r="1378">
          <cell r="B1378" t="str">
            <v>RML-CS-CIR-8.25</v>
          </cell>
          <cell r="C1378" t="str">
            <v>CIRRUS CORNER SHOES 8.25"</v>
          </cell>
          <cell r="D1378" t="str">
            <v>NOS</v>
          </cell>
          <cell r="E1378" t="str">
            <v>CBERM</v>
          </cell>
          <cell r="F1378">
            <v>0</v>
          </cell>
          <cell r="G1378">
            <v>0</v>
          </cell>
          <cell r="H1378">
            <v>1500</v>
          </cell>
          <cell r="I1378">
            <v>0</v>
          </cell>
        </row>
        <row r="1379">
          <cell r="B1379" t="str">
            <v>RML-CS-CIR-FURNO-4.5</v>
          </cell>
          <cell r="C1379" t="str">
            <v>CIRRUS FURNO CORNER SHOES 4.5"</v>
          </cell>
          <cell r="D1379" t="str">
            <v>NOS</v>
          </cell>
          <cell r="E1379" t="str">
            <v>CBERM</v>
          </cell>
          <cell r="F1379">
            <v>0</v>
          </cell>
          <cell r="G1379">
            <v>0</v>
          </cell>
          <cell r="H1379">
            <v>5000</v>
          </cell>
          <cell r="I1379">
            <v>0</v>
          </cell>
        </row>
        <row r="1380">
          <cell r="B1380" t="str">
            <v>RML-CIR-WARR-TERM-LBL</v>
          </cell>
          <cell r="C1380" t="str">
            <v>CIRRUS WARRANTY TERM LABEL</v>
          </cell>
          <cell r="D1380" t="str">
            <v>NOS</v>
          </cell>
          <cell r="E1380" t="str">
            <v>CBERM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</row>
        <row r="1381">
          <cell r="B1381" t="str">
            <v>RM-CIR-ALU-MAT-MRP-LBL</v>
          </cell>
          <cell r="C1381" t="str">
            <v>CIRRUS Allure Mattresses Plain MRP Label</v>
          </cell>
          <cell r="D1381" t="str">
            <v>NOS</v>
          </cell>
          <cell r="E1381" t="str">
            <v>CBERM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</row>
        <row r="1382">
          <cell r="B1382" t="str">
            <v>RM-CIR-CAS-MAT-MRP-LBL</v>
          </cell>
          <cell r="C1382" t="str">
            <v>CIRRUS Caspio Mattresses Plain MRP Label</v>
          </cell>
          <cell r="D1382" t="str">
            <v>NOS</v>
          </cell>
          <cell r="E1382" t="str">
            <v>CBERM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</row>
        <row r="1383">
          <cell r="B1383" t="str">
            <v>RML-CIR-MRP-LBL-RED</v>
          </cell>
          <cell r="C1383" t="str">
            <v>CIRRUS MRP LABEL - (RED)</v>
          </cell>
          <cell r="D1383" t="str">
            <v>NOS</v>
          </cell>
          <cell r="E1383" t="str">
            <v>CBERM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</row>
        <row r="1384">
          <cell r="B1384" t="str">
            <v>RM-CIR-RET-WCRD</v>
          </cell>
          <cell r="C1384" t="str">
            <v>CIRRUS MATT RETAIL WARRANTY CARD</v>
          </cell>
          <cell r="D1384" t="str">
            <v>NOS</v>
          </cell>
          <cell r="E1384" t="str">
            <v>CBERM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</row>
        <row r="1385">
          <cell r="B1385" t="str">
            <v>RML-CIR-MIR-WCRD</v>
          </cell>
          <cell r="C1385" t="str">
            <v>CIRRUS MIRAGE 5 YEARS WARRANTY CARD</v>
          </cell>
          <cell r="D1385" t="str">
            <v>NOS</v>
          </cell>
          <cell r="E1385" t="str">
            <v>CBERM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</row>
        <row r="1386">
          <cell r="B1386" t="str">
            <v>RML-CIR-PAN-WCRD</v>
          </cell>
          <cell r="C1386" t="str">
            <v>CIRRUS PANORAMA 10 YEARS WARRANTY CARD</v>
          </cell>
          <cell r="D1386" t="str">
            <v>NOS</v>
          </cell>
          <cell r="E1386" t="str">
            <v>CBERM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</row>
        <row r="1387">
          <cell r="B1387" t="str">
            <v>RML-CIR-MEM-MIN-SDE-LBL</v>
          </cell>
          <cell r="C1387" t="str">
            <v>CIRRUS MEMORIO MINI SAMPLE SIDE LABEL</v>
          </cell>
          <cell r="D1387" t="str">
            <v>NOS</v>
          </cell>
          <cell r="E1387" t="str">
            <v>CBERM</v>
          </cell>
          <cell r="F1387">
            <v>0</v>
          </cell>
          <cell r="G1387">
            <v>0</v>
          </cell>
          <cell r="H1387">
            <v>50</v>
          </cell>
          <cell r="I1387">
            <v>0</v>
          </cell>
        </row>
        <row r="1388">
          <cell r="B1388" t="str">
            <v>RML-CIR-SPS-MIN-SDE-LBL</v>
          </cell>
          <cell r="C1388" t="str">
            <v>CIRRUS SPINE SAFE MINI SAMPLE SIDE LABEL</v>
          </cell>
          <cell r="D1388" t="str">
            <v>NOS</v>
          </cell>
          <cell r="E1388" t="str">
            <v>CBERM</v>
          </cell>
          <cell r="F1388">
            <v>0</v>
          </cell>
          <cell r="G1388">
            <v>0</v>
          </cell>
          <cell r="H1388">
            <v>50</v>
          </cell>
          <cell r="I1388">
            <v>0</v>
          </cell>
        </row>
        <row r="1389">
          <cell r="B1389" t="str">
            <v>RML-CIR-VIS-BON-MIN-SDE-LBL</v>
          </cell>
          <cell r="C1389" t="str">
            <v>CIRRUS VISTA BOND MINI SAMPLE SIDE LABEL</v>
          </cell>
          <cell r="D1389" t="str">
            <v>NOS</v>
          </cell>
          <cell r="E1389" t="str">
            <v>CBERM</v>
          </cell>
          <cell r="F1389">
            <v>0</v>
          </cell>
          <cell r="G1389">
            <v>0</v>
          </cell>
          <cell r="H1389">
            <v>70</v>
          </cell>
          <cell r="I1389">
            <v>0</v>
          </cell>
        </row>
        <row r="1390">
          <cell r="B1390" t="str">
            <v>RML-CIR-VIS-BON-SDE-LBL</v>
          </cell>
          <cell r="C1390" t="str">
            <v>CIRRUS VISTA BOND SIDE LABEL</v>
          </cell>
          <cell r="D1390" t="str">
            <v>NOS</v>
          </cell>
          <cell r="E1390" t="str">
            <v>CBERM</v>
          </cell>
          <cell r="F1390">
            <v>0</v>
          </cell>
          <cell r="G1390">
            <v>0</v>
          </cell>
          <cell r="H1390">
            <v>800</v>
          </cell>
          <cell r="I1390">
            <v>0</v>
          </cell>
        </row>
        <row r="1391">
          <cell r="B1391" t="str">
            <v>RM-KOM-MRP-STK-HOL-SIL</v>
          </cell>
          <cell r="C1391" t="str">
            <v>KOMFFY HOLLOW SILICONIZED PILLOW MRP STICKER</v>
          </cell>
          <cell r="D1391" t="str">
            <v>NOS</v>
          </cell>
          <cell r="E1391" t="str">
            <v>CBERM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</row>
        <row r="1392">
          <cell r="B1392" t="str">
            <v>RML-CFRP-WH-100X110MICPOY</v>
          </cell>
          <cell r="C1392" t="str">
            <v>PEPS 100X110 QUILT-MICRO POLYESTER WHITE COMFORTER</v>
          </cell>
          <cell r="D1392" t="str">
            <v>NOS</v>
          </cell>
          <cell r="E1392" t="str">
            <v>CBERM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</row>
        <row r="1393">
          <cell r="B1393" t="str">
            <v>RML-CIR-SOF-BED-LBL</v>
          </cell>
          <cell r="C1393" t="str">
            <v>Cirrus Sofa Cum Bed Label</v>
          </cell>
          <cell r="D1393" t="str">
            <v>NOS</v>
          </cell>
          <cell r="E1393" t="str">
            <v>CBERM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</row>
        <row r="1394">
          <cell r="B1394" t="str">
            <v>RML-DR-LAN-PLW-INS</v>
          </cell>
          <cell r="C1394" t="str">
            <v>Dream Land Ultra Soft Pillow Inserter</v>
          </cell>
          <cell r="D1394" t="str">
            <v>NOS</v>
          </cell>
          <cell r="E1394" t="str">
            <v>CBERM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</row>
        <row r="1395">
          <cell r="B1395" t="str">
            <v>RML-HYP-SOF-BED-LBL</v>
          </cell>
          <cell r="C1395" t="str">
            <v>Hypnos Sofa Cum Bed Label</v>
          </cell>
          <cell r="D1395" t="str">
            <v>NOS</v>
          </cell>
          <cell r="E1395" t="str">
            <v>CBERM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</row>
        <row r="1396">
          <cell r="B1396" t="str">
            <v>RML-INSTI-FIB-PILLOW-26X16</v>
          </cell>
          <cell r="C1396" t="str">
            <v>INSTITUTIONAL FIBER PILLOW 26X16</v>
          </cell>
          <cell r="D1396" t="str">
            <v>NOS</v>
          </cell>
          <cell r="E1396" t="str">
            <v>CBERM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</row>
        <row r="1397">
          <cell r="B1397" t="str">
            <v>RML-SDE-LBL-FR-MAT-ZER-DIS-POC-F</v>
          </cell>
          <cell r="C1397" t="str">
            <v>FR MATTRESS ZERO DISTURBANCE SIDE LABEL FUSING TYPE</v>
          </cell>
          <cell r="D1397" t="str">
            <v>NOS</v>
          </cell>
          <cell r="E1397" t="str">
            <v>CBERM</v>
          </cell>
          <cell r="F1397">
            <v>0</v>
          </cell>
          <cell r="G1397">
            <v>0</v>
          </cell>
          <cell r="H1397">
            <v>1500</v>
          </cell>
          <cell r="I1397">
            <v>0</v>
          </cell>
        </row>
        <row r="1398">
          <cell r="B1398" t="str">
            <v>RML-SDE-LBL-SPG-FOM-FUS</v>
          </cell>
          <cell r="C1398" t="str">
            <v>SPINE GUARD  SIDE LABEL 7 YEARS FOAM FUSING TYPE</v>
          </cell>
          <cell r="D1398" t="str">
            <v>NOS</v>
          </cell>
          <cell r="E1398" t="str">
            <v>CBERM</v>
          </cell>
          <cell r="F1398">
            <v>0</v>
          </cell>
          <cell r="G1398">
            <v>0</v>
          </cell>
          <cell r="H1398">
            <v>250</v>
          </cell>
          <cell r="I1398">
            <v>0</v>
          </cell>
        </row>
        <row r="1399">
          <cell r="B1399" t="str">
            <v>RML-STR-FILM-18INCH</v>
          </cell>
          <cell r="C1399" t="str">
            <v>STRETCH FILM - 18"</v>
          </cell>
          <cell r="D1399" t="str">
            <v>KGS</v>
          </cell>
          <cell r="E1399" t="str">
            <v>CBERM</v>
          </cell>
          <cell r="F1399">
            <v>0</v>
          </cell>
          <cell r="G1399">
            <v>0</v>
          </cell>
          <cell r="H1399">
            <v>100</v>
          </cell>
          <cell r="I1399">
            <v>0</v>
          </cell>
        </row>
        <row r="1400">
          <cell r="B1400" t="str">
            <v>RM-NWN-POS-45CMX70GSM-GRN</v>
          </cell>
          <cell r="C1400" t="str">
            <v>NON WOVEN FABRIC 70 GSM x 45 CM - GREEN</v>
          </cell>
          <cell r="D1400" t="str">
            <v>KGS</v>
          </cell>
          <cell r="E1400" t="str">
            <v>CBERM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</row>
        <row r="1401">
          <cell r="B1401" t="str">
            <v>RM-NWN-POS-54CMX70GSM-GRN</v>
          </cell>
          <cell r="C1401" t="str">
            <v>NON WOVEN FABRIC 70 GSM x 54 CM - GREEN</v>
          </cell>
          <cell r="D1401" t="str">
            <v>KGS</v>
          </cell>
          <cell r="E1401" t="str">
            <v>CBERM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</row>
        <row r="1402">
          <cell r="B1402" t="str">
            <v>RM-THRD-QS-TKT60</v>
          </cell>
          <cell r="C1402" t="str">
            <v>THREAD TKT60 210D/2 PLY 13950MTS</v>
          </cell>
          <cell r="D1402" t="str">
            <v>NOS</v>
          </cell>
          <cell r="E1402" t="str">
            <v>CBERM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</row>
        <row r="1403">
          <cell r="B1403" t="str">
            <v>SPL-HALF-FAC-MSK</v>
          </cell>
          <cell r="C1403" t="str">
            <v>HALF FACE MASK</v>
          </cell>
          <cell r="D1403" t="str">
            <v>NOS</v>
          </cell>
          <cell r="E1403" t="str">
            <v>CBERM</v>
          </cell>
          <cell r="F1403">
            <v>0</v>
          </cell>
          <cell r="G1403">
            <v>0</v>
          </cell>
          <cell r="H1403">
            <v>5</v>
          </cell>
          <cell r="I1403">
            <v>2</v>
          </cell>
        </row>
        <row r="1404">
          <cell r="B1404" t="str">
            <v>RML-DOB-SDE-GUM-TAP</v>
          </cell>
          <cell r="C1404" t="str">
            <v>Double Side Gum Tape 1 inch Width &amp; 2.5 MTR Length</v>
          </cell>
          <cell r="D1404" t="str">
            <v>NOS</v>
          </cell>
          <cell r="E1404" t="str">
            <v>CBERM</v>
          </cell>
          <cell r="F1404">
            <v>2</v>
          </cell>
          <cell r="G1404">
            <v>2</v>
          </cell>
          <cell r="H1404">
            <v>30</v>
          </cell>
          <cell r="I1404">
            <v>0</v>
          </cell>
        </row>
        <row r="1405">
          <cell r="B1405" t="str">
            <v>RML-ZIP-LOK-CVR</v>
          </cell>
          <cell r="C1405" t="str">
            <v>Zip Lock Cover 7 X 5</v>
          </cell>
          <cell r="D1405" t="str">
            <v>NOS</v>
          </cell>
          <cell r="E1405" t="str">
            <v>CBERM</v>
          </cell>
          <cell r="F1405">
            <v>0</v>
          </cell>
          <cell r="G1405">
            <v>0</v>
          </cell>
          <cell r="H1405">
            <v>2000</v>
          </cell>
          <cell r="I1405">
            <v>2000</v>
          </cell>
        </row>
        <row r="1406">
          <cell r="B1406" t="str">
            <v>FBR-ZEN-BR-DN-BLUE-WASHED</v>
          </cell>
          <cell r="C1406" t="str">
            <v>ZENIMO DENIM BLUE BORDER FABRIC - NEW</v>
          </cell>
          <cell r="D1406" t="str">
            <v>MTR</v>
          </cell>
          <cell r="E1406" t="str">
            <v>CBERM</v>
          </cell>
          <cell r="F1406">
            <v>2000</v>
          </cell>
          <cell r="G1406">
            <v>2000</v>
          </cell>
          <cell r="H1406">
            <v>300</v>
          </cell>
          <cell r="I1406">
            <v>0</v>
          </cell>
        </row>
        <row r="1407">
          <cell r="B1407" t="str">
            <v>FBR-ZEN-HB-REXIN</v>
          </cell>
          <cell r="C1407" t="str">
            <v>ZENIMO HEAD BOARD REXIN FABRIC</v>
          </cell>
          <cell r="D1407" t="str">
            <v>MTR</v>
          </cell>
          <cell r="E1407" t="str">
            <v>CBERM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</row>
        <row r="1408">
          <cell r="B1408" t="str">
            <v>RMI-HCTNF-80X51.</v>
          </cell>
          <cell r="C1408" t="str">
            <v>COTTON FELT 203CM X 129CM X 6MM ( 80"x51" )</v>
          </cell>
          <cell r="D1408" t="str">
            <v>KGS</v>
          </cell>
          <cell r="E1408" t="str">
            <v>CBERM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</row>
        <row r="1409">
          <cell r="B1409" t="str">
            <v>RMI-HCTNF-80X63.</v>
          </cell>
          <cell r="C1409" t="str">
            <v>COTTON FELT 203CM X 160CM X 6MM ( 80" x 63" )</v>
          </cell>
          <cell r="D1409" t="str">
            <v>KGS</v>
          </cell>
          <cell r="E1409" t="str">
            <v>CBERM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</row>
        <row r="1410">
          <cell r="B1410" t="str">
            <v>RML-EDTAPE-BRN</v>
          </cell>
          <cell r="C1410" t="str">
            <v>EDGE TAPE.BROWN (42MM ,12.5GRM/PER MTR KNITTED)</v>
          </cell>
          <cell r="D1410" t="str">
            <v>MTR</v>
          </cell>
          <cell r="E1410" t="str">
            <v>CBERM</v>
          </cell>
          <cell r="F1410">
            <v>0</v>
          </cell>
          <cell r="G1410">
            <v>0</v>
          </cell>
          <cell r="H1410">
            <v>25000</v>
          </cell>
          <cell r="I1410">
            <v>14400</v>
          </cell>
        </row>
        <row r="1411">
          <cell r="B1411" t="str">
            <v>RML-EDTAPE-WHT-KNIT</v>
          </cell>
          <cell r="C1411" t="str">
            <v>EDGE TAPE. WHITE (42MM ,12.5GRM/PER MTR KNITTED)</v>
          </cell>
          <cell r="D1411" t="str">
            <v>MTR</v>
          </cell>
          <cell r="E1411" t="str">
            <v>CBERM</v>
          </cell>
          <cell r="F1411">
            <v>14400</v>
          </cell>
          <cell r="G1411">
            <v>14400</v>
          </cell>
          <cell r="H1411">
            <v>36000</v>
          </cell>
          <cell r="I1411">
            <v>28800</v>
          </cell>
        </row>
        <row r="1412">
          <cell r="B1412" t="str">
            <v>RMI-SBL-SDE-LBL</v>
          </cell>
          <cell r="C1412" t="str">
            <v>SANIBEL SIDE LABEL (IMPORT)</v>
          </cell>
          <cell r="D1412" t="str">
            <v>NOS</v>
          </cell>
          <cell r="E1412" t="str">
            <v>CBERM</v>
          </cell>
          <cell r="F1412">
            <v>28800</v>
          </cell>
          <cell r="G1412">
            <v>28800</v>
          </cell>
          <cell r="H1412">
            <v>500</v>
          </cell>
          <cell r="I1412">
            <v>0</v>
          </cell>
        </row>
        <row r="1413">
          <cell r="B1413" t="str">
            <v>RM-JUMBO-PIL-CVR</v>
          </cell>
          <cell r="C1413" t="str">
            <v>JUMBO PILLOW COVER(PRINTED/LAMINATED POUCH)</v>
          </cell>
          <cell r="D1413" t="str">
            <v>NOS</v>
          </cell>
          <cell r="E1413" t="str">
            <v>CBERM</v>
          </cell>
          <cell r="F1413">
            <v>0</v>
          </cell>
          <cell r="G1413">
            <v>0</v>
          </cell>
          <cell r="H1413">
            <v>800</v>
          </cell>
          <cell r="I1413">
            <v>0</v>
          </cell>
        </row>
        <row r="1414">
          <cell r="B1414" t="str">
            <v>SBLGPS</v>
          </cell>
          <cell r="C1414" t="str">
            <v>Washer T-Nut 3/8 inch thread 3 hole</v>
          </cell>
          <cell r="D1414" t="str">
            <v>NOS</v>
          </cell>
          <cell r="E1414" t="str">
            <v>CBERM</v>
          </cell>
          <cell r="F1414">
            <v>0</v>
          </cell>
          <cell r="G1414">
            <v>0</v>
          </cell>
          <cell r="H1414">
            <v>800</v>
          </cell>
          <cell r="I1414">
            <v>1000</v>
          </cell>
        </row>
        <row r="1415">
          <cell r="B1415" t="str">
            <v>RM-GREY-ZIP</v>
          </cell>
          <cell r="C1415" t="str">
            <v>GREY ZIPPER NO -8</v>
          </cell>
          <cell r="D1415" t="str">
            <v>MTR</v>
          </cell>
          <cell r="E1415" t="str">
            <v>CBERM</v>
          </cell>
          <cell r="F1415">
            <v>1000</v>
          </cell>
          <cell r="G1415">
            <v>1000</v>
          </cell>
          <cell r="H1415">
            <v>100</v>
          </cell>
          <cell r="I1415">
            <v>0</v>
          </cell>
        </row>
        <row r="1416">
          <cell r="B1416" t="str">
            <v>RM-KOM-WSCR-LBL-POL-FIB</v>
          </cell>
          <cell r="C1416" t="str">
            <v>KOMFFY POLYESTER FIBER PILLOW WASH CARE LABLE</v>
          </cell>
          <cell r="D1416" t="str">
            <v>NOS</v>
          </cell>
          <cell r="E1416" t="str">
            <v>CBERM</v>
          </cell>
          <cell r="F1416">
            <v>0</v>
          </cell>
          <cell r="G1416">
            <v>0</v>
          </cell>
          <cell r="H1416">
            <v>15000</v>
          </cell>
          <cell r="I1416">
            <v>0</v>
          </cell>
        </row>
        <row r="1417">
          <cell r="B1417" t="str">
            <v>RML-CORU-BOX</v>
          </cell>
          <cell r="C1417" t="str">
            <v>30.50"X24"X24"-5 PLY BOX WITH PRINT</v>
          </cell>
          <cell r="D1417" t="str">
            <v>NOS</v>
          </cell>
          <cell r="E1417" t="str">
            <v>CBERM</v>
          </cell>
          <cell r="F1417">
            <v>0</v>
          </cell>
          <cell r="G1417">
            <v>0</v>
          </cell>
          <cell r="H1417">
            <v>150</v>
          </cell>
          <cell r="I1417">
            <v>0</v>
          </cell>
        </row>
        <row r="1418">
          <cell r="B1418" t="str">
            <v>RML-CS-PL-12.25</v>
          </cell>
          <cell r="C1418" t="str">
            <v>PLAIN CORNER SHOES - 12.25"</v>
          </cell>
          <cell r="D1418" t="str">
            <v>NOS</v>
          </cell>
          <cell r="E1418" t="str">
            <v>CBERM</v>
          </cell>
          <cell r="F1418">
            <v>0</v>
          </cell>
          <cell r="G1418">
            <v>0</v>
          </cell>
          <cell r="H1418">
            <v>500</v>
          </cell>
          <cell r="I1418">
            <v>0</v>
          </cell>
        </row>
        <row r="1419">
          <cell r="B1419" t="str">
            <v>RM-NWN-POS-50CMX70GSM-GRN</v>
          </cell>
          <cell r="C1419" t="str">
            <v>NON WOVEN FABRIC 70 GSM x 50 CM - GREEN</v>
          </cell>
          <cell r="D1419" t="str">
            <v>KGS</v>
          </cell>
          <cell r="E1419" t="str">
            <v>CBERM</v>
          </cell>
          <cell r="F1419">
            <v>0</v>
          </cell>
          <cell r="G1419">
            <v>0</v>
          </cell>
          <cell r="H1419">
            <v>1500</v>
          </cell>
          <cell r="I1419">
            <v>5000</v>
          </cell>
        </row>
        <row r="1420">
          <cell r="B1420" t="str">
            <v>RM-PEPS-MAT-MRP-LBL</v>
          </cell>
          <cell r="C1420" t="str">
            <v>PEPS MATTRESSES PLAIN MRP LABEL</v>
          </cell>
          <cell r="D1420" t="str">
            <v>NOS</v>
          </cell>
          <cell r="E1420" t="str">
            <v>CBERM</v>
          </cell>
          <cell r="F1420">
            <v>5000</v>
          </cell>
          <cell r="G1420">
            <v>5000</v>
          </cell>
          <cell r="H1420">
            <v>15000</v>
          </cell>
          <cell r="I1420">
            <v>0</v>
          </cell>
        </row>
        <row r="1421">
          <cell r="B1421" t="str">
            <v>RML-FBR-BT-GREY</v>
          </cell>
          <cell r="C1421" t="str">
            <v>BOTTLE FABRIC GREY</v>
          </cell>
          <cell r="D1421" t="str">
            <v>KGS</v>
          </cell>
          <cell r="E1421" t="str">
            <v>CBERM</v>
          </cell>
          <cell r="F1421">
            <v>0</v>
          </cell>
          <cell r="G1421">
            <v>0</v>
          </cell>
          <cell r="H1421">
            <v>200</v>
          </cell>
          <cell r="I1421">
            <v>100</v>
          </cell>
        </row>
        <row r="1422">
          <cell r="B1422" t="str">
            <v>RML-FBR-BT-WHT</v>
          </cell>
          <cell r="C1422" t="str">
            <v>BOTTLE FABRIC-WHITE</v>
          </cell>
          <cell r="D1422" t="str">
            <v>KGS</v>
          </cell>
          <cell r="E1422" t="str">
            <v>CBERM</v>
          </cell>
          <cell r="F1422">
            <v>1237.2</v>
          </cell>
          <cell r="G1422">
            <v>1237.19921875</v>
          </cell>
          <cell r="H1422">
            <v>800</v>
          </cell>
          <cell r="I1422">
            <v>3250</v>
          </cell>
        </row>
        <row r="1423">
          <cell r="B1423" t="str">
            <v>RML-FBR-LAM</v>
          </cell>
          <cell r="C1423" t="str">
            <v>LAMINATED FABRIC 82" WHITE</v>
          </cell>
          <cell r="D1423" t="str">
            <v>MTR</v>
          </cell>
          <cell r="E1423" t="str">
            <v>CBERM</v>
          </cell>
          <cell r="F1423">
            <v>3250</v>
          </cell>
          <cell r="G1423">
            <v>3250</v>
          </cell>
          <cell r="H1423">
            <v>500</v>
          </cell>
          <cell r="I1423">
            <v>100</v>
          </cell>
        </row>
        <row r="1424">
          <cell r="B1424" t="str">
            <v>RML-FBR-LAM-GREY</v>
          </cell>
          <cell r="C1424" t="str">
            <v>LAMINATED FABRIC 82" GREY</v>
          </cell>
          <cell r="D1424" t="str">
            <v>MTR</v>
          </cell>
          <cell r="E1424" t="str">
            <v>CBERM</v>
          </cell>
          <cell r="F1424">
            <v>100</v>
          </cell>
          <cell r="G1424">
            <v>100</v>
          </cell>
          <cell r="H1424">
            <v>500</v>
          </cell>
          <cell r="I1424">
            <v>500</v>
          </cell>
        </row>
        <row r="1425">
          <cell r="B1425" t="str">
            <v>RML-FBR-MS2000-BL</v>
          </cell>
          <cell r="C1425" t="str">
            <v>REXINE MS 2000 BLACK</v>
          </cell>
          <cell r="D1425" t="str">
            <v>MTR</v>
          </cell>
          <cell r="E1425" t="str">
            <v>CBERM</v>
          </cell>
          <cell r="F1425">
            <v>500</v>
          </cell>
          <cell r="G1425">
            <v>500</v>
          </cell>
          <cell r="H1425">
            <v>200</v>
          </cell>
          <cell r="I1425">
            <v>500</v>
          </cell>
        </row>
        <row r="1426">
          <cell r="B1426" t="str">
            <v>RML-FIT-SHT-INS-SINGLE</v>
          </cell>
          <cell r="C1426" t="str">
            <v>PEPS POLAR FLEECE BLANKET INSERTER- SINGLE</v>
          </cell>
          <cell r="D1426" t="str">
            <v>NOS</v>
          </cell>
          <cell r="E1426" t="str">
            <v>CBERM</v>
          </cell>
          <cell r="F1426">
            <v>500</v>
          </cell>
          <cell r="G1426">
            <v>500</v>
          </cell>
          <cell r="H1426">
            <v>100</v>
          </cell>
          <cell r="I1426">
            <v>250</v>
          </cell>
        </row>
        <row r="1427">
          <cell r="B1427" t="str">
            <v>RM-MIC-POC-78INCX25MMX15M</v>
          </cell>
          <cell r="C1427" t="str">
            <v>MICRO POCKETED SPRING UNIT 78INCHE X 25MM X 15MTR</v>
          </cell>
          <cell r="D1427" t="str">
            <v>NOS</v>
          </cell>
          <cell r="E1427" t="str">
            <v>CBERM</v>
          </cell>
          <cell r="F1427">
            <v>250</v>
          </cell>
          <cell r="G1427">
            <v>250</v>
          </cell>
          <cell r="H1427">
            <v>4</v>
          </cell>
          <cell r="I1427">
            <v>4</v>
          </cell>
        </row>
        <row r="1428">
          <cell r="B1428" t="str">
            <v>RML-SUPR-ARD-EDTAPE-GRY</v>
          </cell>
          <cell r="C1428" t="str">
            <v>SUPREME &amp; ARDENE EDGE TAPE GREY - 42MM KNITTED ( 1200.GSM )</v>
          </cell>
          <cell r="D1428" t="str">
            <v>MTR</v>
          </cell>
          <cell r="E1428" t="str">
            <v>CBERM</v>
          </cell>
          <cell r="F1428">
            <v>4</v>
          </cell>
          <cell r="G1428">
            <v>4</v>
          </cell>
          <cell r="H1428">
            <v>30000</v>
          </cell>
          <cell r="I1428">
            <v>0</v>
          </cell>
        </row>
        <row r="1429">
          <cell r="B1429" t="str">
            <v>RML-EPE-2100X1450X25MM</v>
          </cell>
          <cell r="C1429" t="str">
            <v>EXPANDED POLYTHYLENE SHEETS 2100X1450X25MM</v>
          </cell>
          <cell r="D1429" t="str">
            <v>NOS</v>
          </cell>
          <cell r="E1429" t="str">
            <v>CBERM</v>
          </cell>
          <cell r="F1429">
            <v>0</v>
          </cell>
          <cell r="G1429">
            <v>0</v>
          </cell>
          <cell r="H1429">
            <v>15</v>
          </cell>
          <cell r="I1429">
            <v>10</v>
          </cell>
        </row>
        <row r="1430">
          <cell r="B1430" t="str">
            <v>RML-SANI-MF-EDTAPE-BLU</v>
          </cell>
          <cell r="C1430" t="str">
            <v>SANIBEL MEMORY EDGE TAPE BLUE - 42MM KNITTED ( 1200.GSM )</v>
          </cell>
          <cell r="D1430" t="str">
            <v>MTR</v>
          </cell>
          <cell r="E1430" t="str">
            <v>CBERM</v>
          </cell>
          <cell r="F1430">
            <v>10</v>
          </cell>
          <cell r="G1430">
            <v>10</v>
          </cell>
          <cell r="H1430">
            <v>10000</v>
          </cell>
          <cell r="I1430">
            <v>25000</v>
          </cell>
        </row>
        <row r="1431">
          <cell r="B1431" t="str">
            <v>RML-PF-BLNK-BG-60X90</v>
          </cell>
          <cell r="C1431" t="str">
            <v>PEPS POLAR FLEECE BLANKET BEIGE 60X90 INCH</v>
          </cell>
          <cell r="D1431" t="str">
            <v>NOS</v>
          </cell>
          <cell r="E1431" t="str">
            <v>CBERM</v>
          </cell>
          <cell r="F1431">
            <v>25000</v>
          </cell>
          <cell r="G1431">
            <v>25000</v>
          </cell>
          <cell r="H1431">
            <v>100</v>
          </cell>
          <cell r="I1431">
            <v>0</v>
          </cell>
        </row>
        <row r="1432">
          <cell r="B1432" t="str">
            <v>RML-PF-BLNK-BL-60X90</v>
          </cell>
          <cell r="C1432" t="str">
            <v>PEPS POLAR FLEECE BLANKET BLUE 60X90 INCH</v>
          </cell>
          <cell r="D1432" t="str">
            <v>NOS</v>
          </cell>
          <cell r="E1432" t="str">
            <v>CBERM</v>
          </cell>
          <cell r="F1432">
            <v>0</v>
          </cell>
          <cell r="G1432">
            <v>0</v>
          </cell>
          <cell r="H1432">
            <v>100</v>
          </cell>
          <cell r="I1432">
            <v>0</v>
          </cell>
        </row>
        <row r="1433">
          <cell r="B1433" t="str">
            <v>LGRST</v>
          </cell>
          <cell r="C1433" t="str">
            <v>PEPS BED RUNNER ( LEG REST )</v>
          </cell>
          <cell r="D1433" t="str">
            <v>NOS</v>
          </cell>
          <cell r="E1433" t="str">
            <v>CBERM</v>
          </cell>
          <cell r="F1433">
            <v>0</v>
          </cell>
          <cell r="G1433">
            <v>0</v>
          </cell>
          <cell r="H1433">
            <v>50</v>
          </cell>
          <cell r="I1433">
            <v>0</v>
          </cell>
        </row>
        <row r="1434">
          <cell r="B1434" t="str">
            <v>RMI-LTX-152X196X5CM</v>
          </cell>
          <cell r="C1434" t="str">
            <v>PERFO LATEX SHEETS S2 152X196X5CM</v>
          </cell>
          <cell r="D1434" t="str">
            <v>NOS</v>
          </cell>
          <cell r="E1434" t="str">
            <v>CBERM</v>
          </cell>
          <cell r="F1434">
            <v>0</v>
          </cell>
          <cell r="G1434">
            <v>0</v>
          </cell>
          <cell r="H1434">
            <v>20</v>
          </cell>
          <cell r="I1434">
            <v>0</v>
          </cell>
        </row>
        <row r="1435">
          <cell r="B1435" t="str">
            <v>RMI-LTX-180X196X5CM</v>
          </cell>
          <cell r="C1435" t="str">
            <v>PERFO LATEX SHEETS S2 180X196X5CM</v>
          </cell>
          <cell r="D1435" t="str">
            <v>NOS</v>
          </cell>
          <cell r="E1435" t="str">
            <v>CBERM</v>
          </cell>
          <cell r="F1435">
            <v>0</v>
          </cell>
          <cell r="G1435">
            <v>0</v>
          </cell>
          <cell r="H1435">
            <v>20</v>
          </cell>
          <cell r="I1435">
            <v>0</v>
          </cell>
        </row>
        <row r="1436">
          <cell r="B1436" t="str">
            <v>RMI-MTL-COR-GRD-SIL</v>
          </cell>
          <cell r="C1436" t="str">
            <v>METAL CORNER GUARD - SILVER (WITH LOGO)</v>
          </cell>
          <cell r="D1436" t="str">
            <v>NOS</v>
          </cell>
          <cell r="E1436" t="str">
            <v>CBERM</v>
          </cell>
          <cell r="F1436">
            <v>0</v>
          </cell>
          <cell r="G1436">
            <v>0</v>
          </cell>
          <cell r="H1436">
            <v>600</v>
          </cell>
          <cell r="I1436">
            <v>0</v>
          </cell>
        </row>
        <row r="1437">
          <cell r="B1437" t="str">
            <v>RML-PTR-BOX</v>
          </cell>
          <cell r="C1437" t="str">
            <v>WATER PROOF PROTECTOR BOX</v>
          </cell>
          <cell r="D1437" t="str">
            <v>NOS</v>
          </cell>
          <cell r="E1437" t="str">
            <v>CBERM</v>
          </cell>
          <cell r="F1437">
            <v>600</v>
          </cell>
          <cell r="G1437">
            <v>600</v>
          </cell>
          <cell r="H1437">
            <v>450</v>
          </cell>
          <cell r="I1437">
            <v>1000</v>
          </cell>
        </row>
        <row r="1438">
          <cell r="B1438" t="str">
            <v>RM-WPP-LDPE-15.5X16X75MIC</v>
          </cell>
          <cell r="C1438" t="str">
            <v>W.P PROTECTOR LDPE PLAIN SEAL KING BAG 15.5X16X2.5X75MIC</v>
          </cell>
          <cell r="D1438" t="str">
            <v>NOS</v>
          </cell>
          <cell r="E1438" t="str">
            <v>CBERM</v>
          </cell>
          <cell r="F1438">
            <v>1000</v>
          </cell>
          <cell r="G1438">
            <v>1000</v>
          </cell>
          <cell r="H1438">
            <v>2000</v>
          </cell>
          <cell r="I1438">
            <v>1000</v>
          </cell>
        </row>
        <row r="1439">
          <cell r="B1439" t="str">
            <v>HNDL-ROPE</v>
          </cell>
          <cell r="C1439" t="str">
            <v>Mattresses Handle Rope</v>
          </cell>
          <cell r="D1439" t="str">
            <v>KGS</v>
          </cell>
          <cell r="E1439" t="str">
            <v>CBERM</v>
          </cell>
          <cell r="F1439">
            <v>1000</v>
          </cell>
          <cell r="G1439">
            <v>1000</v>
          </cell>
          <cell r="H1439">
            <v>10</v>
          </cell>
          <cell r="I1439">
            <v>0</v>
          </cell>
        </row>
        <row r="1440">
          <cell r="B1440" t="str">
            <v>RM-KOM-PIL-CVR-NCK-100%</v>
          </cell>
          <cell r="C1440" t="str">
            <v>KOMFFY 100% MEMORY FOAM PILLOW COVER</v>
          </cell>
          <cell r="D1440" t="str">
            <v>NOS</v>
          </cell>
          <cell r="E1440" t="str">
            <v>CBERM</v>
          </cell>
          <cell r="F1440">
            <v>0</v>
          </cell>
          <cell r="G1440">
            <v>0</v>
          </cell>
          <cell r="H1440">
            <v>5000</v>
          </cell>
          <cell r="I1440">
            <v>0</v>
          </cell>
        </row>
        <row r="1441">
          <cell r="B1441" t="str">
            <v>PEPS-MAT-CVR-78X48X07</v>
          </cell>
          <cell r="C1441" t="str">
            <v>PEPS MATRESS COVER 78X48X07</v>
          </cell>
          <cell r="D1441" t="str">
            <v>NOS</v>
          </cell>
          <cell r="E1441" t="str">
            <v>CBERM</v>
          </cell>
          <cell r="F1441">
            <v>0</v>
          </cell>
          <cell r="G1441">
            <v>0</v>
          </cell>
          <cell r="H1441">
            <v>70</v>
          </cell>
          <cell r="I1441">
            <v>0</v>
          </cell>
        </row>
        <row r="1442">
          <cell r="B1442" t="str">
            <v>PEPS-MAT-CVR-78X60X07</v>
          </cell>
          <cell r="C1442" t="str">
            <v>PEPS MATRESS COVER 78X60X07</v>
          </cell>
          <cell r="D1442" t="str">
            <v>NOS</v>
          </cell>
          <cell r="E1442" t="str">
            <v>CBERM</v>
          </cell>
          <cell r="F1442">
            <v>0</v>
          </cell>
          <cell r="G1442">
            <v>0</v>
          </cell>
          <cell r="H1442">
            <v>70</v>
          </cell>
          <cell r="I1442">
            <v>0</v>
          </cell>
        </row>
        <row r="1443">
          <cell r="B1443" t="str">
            <v>PEPS-MAT-CVR-78X72X07</v>
          </cell>
          <cell r="C1443" t="str">
            <v>PEPS MATRESS COVER 78X72X07</v>
          </cell>
          <cell r="D1443" t="str">
            <v>NOS</v>
          </cell>
          <cell r="E1443" t="str">
            <v>CBERM</v>
          </cell>
          <cell r="F1443">
            <v>0</v>
          </cell>
          <cell r="G1443">
            <v>0</v>
          </cell>
          <cell r="H1443">
            <v>70</v>
          </cell>
          <cell r="I1443">
            <v>0</v>
          </cell>
        </row>
        <row r="1444">
          <cell r="B1444" t="str">
            <v>PEPS-MAT-CVR-78X72X09</v>
          </cell>
          <cell r="C1444" t="str">
            <v>PEPS MATRESS COVER 78X72X09</v>
          </cell>
          <cell r="D1444" t="str">
            <v>NOS</v>
          </cell>
          <cell r="E1444" t="str">
            <v>CBERM</v>
          </cell>
          <cell r="F1444">
            <v>0</v>
          </cell>
          <cell r="G1444">
            <v>0</v>
          </cell>
          <cell r="H1444">
            <v>70</v>
          </cell>
          <cell r="I1444">
            <v>0</v>
          </cell>
        </row>
        <row r="1445">
          <cell r="B1445" t="str">
            <v>RM-KOM-WSCR-LBL-HYP-USOFT</v>
          </cell>
          <cell r="C1445" t="str">
            <v>KOMFFY PU FOAM PILLOW WASH CARE LABEL</v>
          </cell>
          <cell r="D1445" t="str">
            <v>NOS</v>
          </cell>
          <cell r="E1445" t="str">
            <v>CBERM</v>
          </cell>
          <cell r="F1445">
            <v>0</v>
          </cell>
          <cell r="G1445">
            <v>0</v>
          </cell>
          <cell r="H1445">
            <v>4000</v>
          </cell>
          <cell r="I1445">
            <v>0</v>
          </cell>
        </row>
        <row r="1446">
          <cell r="B1446" t="str">
            <v>RM-KOM-WSCR-LBL-NCK-100%</v>
          </cell>
          <cell r="C1446" t="str">
            <v>KOMFFY 100% MEMORY FOAM PILLOW WASH CARE LABLE</v>
          </cell>
          <cell r="D1446" t="str">
            <v>NOS</v>
          </cell>
          <cell r="E1446" t="str">
            <v>CBERM</v>
          </cell>
          <cell r="F1446">
            <v>0</v>
          </cell>
          <cell r="G1446">
            <v>0</v>
          </cell>
          <cell r="H1446">
            <v>5000</v>
          </cell>
          <cell r="I1446">
            <v>3000</v>
          </cell>
        </row>
        <row r="1447">
          <cell r="B1447" t="str">
            <v>RML-EDTAPE-MER-KNIT</v>
          </cell>
          <cell r="C1447" t="str">
            <v>EDGE TAPE.MAROON(42MM ,12.5GRM/PER MTR KNITTED)</v>
          </cell>
          <cell r="D1447" t="str">
            <v>MTR</v>
          </cell>
          <cell r="E1447" t="str">
            <v>CBERM</v>
          </cell>
          <cell r="F1447">
            <v>3000</v>
          </cell>
          <cell r="G1447">
            <v>3000</v>
          </cell>
          <cell r="H1447">
            <v>36000</v>
          </cell>
          <cell r="I1447">
            <v>14400</v>
          </cell>
        </row>
        <row r="1448">
          <cell r="B1448" t="str">
            <v>RML-FLXI-NECK-PLW-MRP-LBL</v>
          </cell>
          <cell r="C1448" t="str">
            <v>FLEXI NECK PILLOW MRP LABEL</v>
          </cell>
          <cell r="D1448" t="str">
            <v>NOS</v>
          </cell>
          <cell r="E1448" t="str">
            <v>CBERM</v>
          </cell>
          <cell r="F1448">
            <v>14400</v>
          </cell>
          <cell r="G1448">
            <v>14400</v>
          </cell>
          <cell r="H1448">
            <v>300</v>
          </cell>
          <cell r="I1448">
            <v>0</v>
          </cell>
        </row>
        <row r="1449">
          <cell r="B1449" t="str">
            <v>RML-HSCF-7DX64MM</v>
          </cell>
          <cell r="C1449" t="str">
            <v>7D X 64MM HOLLOW SILICONISED CONJUGATE FIBER</v>
          </cell>
          <cell r="D1449" t="str">
            <v>KGS</v>
          </cell>
          <cell r="E1449" t="str">
            <v>CBERM</v>
          </cell>
          <cell r="F1449">
            <v>0</v>
          </cell>
          <cell r="G1449">
            <v>0</v>
          </cell>
          <cell r="H1449">
            <v>900</v>
          </cell>
          <cell r="I1449">
            <v>0</v>
          </cell>
        </row>
        <row r="1450">
          <cell r="B1450" t="str">
            <v>RML-PLS-HANDLE</v>
          </cell>
          <cell r="C1450" t="str">
            <v>PLASTIC HANDLE FOR COUNTER/PU/100% MEMORY PILLOW BOX</v>
          </cell>
          <cell r="D1450" t="str">
            <v>NOS</v>
          </cell>
          <cell r="E1450" t="str">
            <v>CBERM</v>
          </cell>
          <cell r="F1450">
            <v>0</v>
          </cell>
          <cell r="G1450">
            <v>0</v>
          </cell>
          <cell r="H1450">
            <v>1500</v>
          </cell>
          <cell r="I1450">
            <v>0</v>
          </cell>
        </row>
        <row r="1451">
          <cell r="B1451" t="str">
            <v>RM-STEEL-LEG-SET</v>
          </cell>
          <cell r="C1451" t="str">
            <v>STEEL LEG WITH SET</v>
          </cell>
          <cell r="D1451" t="str">
            <v>NOS</v>
          </cell>
          <cell r="E1451" t="str">
            <v>CBERM</v>
          </cell>
          <cell r="F1451">
            <v>0</v>
          </cell>
          <cell r="G1451">
            <v>0</v>
          </cell>
          <cell r="H1451">
            <v>450</v>
          </cell>
          <cell r="I1451">
            <v>1000</v>
          </cell>
        </row>
        <row r="1452">
          <cell r="B1452" t="str">
            <v>CMALPSILCSPY</v>
          </cell>
          <cell r="C1452" t="str">
            <v>SILICON SPRAY-MAAXSIL 414</v>
          </cell>
          <cell r="D1452" t="str">
            <v>NOS</v>
          </cell>
          <cell r="E1452" t="str">
            <v>CBERM</v>
          </cell>
          <cell r="F1452">
            <v>1000</v>
          </cell>
          <cell r="G1452">
            <v>1000</v>
          </cell>
          <cell r="H1452">
            <v>128</v>
          </cell>
          <cell r="I1452">
            <v>128</v>
          </cell>
        </row>
        <row r="1453">
          <cell r="B1453" t="str">
            <v>RML-PTR-WSCR-LBL</v>
          </cell>
          <cell r="C1453" t="str">
            <v>PEPS WASH CARE LABLE</v>
          </cell>
          <cell r="D1453" t="str">
            <v>NOS</v>
          </cell>
          <cell r="E1453" t="str">
            <v>CBERM</v>
          </cell>
          <cell r="F1453">
            <v>128</v>
          </cell>
          <cell r="G1453">
            <v>128</v>
          </cell>
          <cell r="H1453">
            <v>5000</v>
          </cell>
          <cell r="I1453">
            <v>5000</v>
          </cell>
        </row>
        <row r="1454">
          <cell r="B1454" t="str">
            <v>RML-FOL-ROLWAY-COT</v>
          </cell>
          <cell r="C1454" t="str">
            <v>FOLDING ROLLWAY COT 72"X36"</v>
          </cell>
          <cell r="D1454" t="str">
            <v>NOS</v>
          </cell>
          <cell r="E1454" t="str">
            <v>CBERM</v>
          </cell>
          <cell r="F1454">
            <v>5000</v>
          </cell>
          <cell r="G1454">
            <v>5000</v>
          </cell>
          <cell r="H1454">
            <v>50</v>
          </cell>
          <cell r="I1454">
            <v>0</v>
          </cell>
        </row>
        <row r="1455">
          <cell r="B1455" t="str">
            <v>RML-HDPE-3"X3"</v>
          </cell>
          <cell r="C1455" t="str">
            <v>HDPE BAGS. 3 Feet X 3 Feet</v>
          </cell>
          <cell r="D1455" t="str">
            <v>KGS</v>
          </cell>
          <cell r="E1455" t="str">
            <v>CBERM</v>
          </cell>
          <cell r="F1455">
            <v>0</v>
          </cell>
          <cell r="G1455">
            <v>0</v>
          </cell>
          <cell r="H1455">
            <v>25</v>
          </cell>
          <cell r="I1455">
            <v>50</v>
          </cell>
        </row>
        <row r="1456">
          <cell r="B1456" t="str">
            <v>RML-HR24</v>
          </cell>
          <cell r="C1456" t="str">
            <v>C-RINGS HR24 (10000 PCS/CTN)</v>
          </cell>
          <cell r="D1456" t="str">
            <v>BOX</v>
          </cell>
          <cell r="E1456" t="str">
            <v>CBERM</v>
          </cell>
          <cell r="F1456">
            <v>50</v>
          </cell>
          <cell r="G1456">
            <v>50</v>
          </cell>
          <cell r="H1456">
            <v>150</v>
          </cell>
          <cell r="I1456">
            <v>0</v>
          </cell>
        </row>
        <row r="1457">
          <cell r="B1457" t="str">
            <v>RML-STRGZ-PILLOW</v>
          </cell>
          <cell r="C1457" t="str">
            <v>PEPS STARGAZE PILLOW</v>
          </cell>
          <cell r="D1457" t="str">
            <v>NOS</v>
          </cell>
          <cell r="E1457" t="str">
            <v>CBERM</v>
          </cell>
          <cell r="F1457">
            <v>0</v>
          </cell>
          <cell r="G1457">
            <v>0</v>
          </cell>
          <cell r="H1457">
            <v>1250</v>
          </cell>
          <cell r="I1457">
            <v>2500</v>
          </cell>
        </row>
        <row r="1458">
          <cell r="B1458" t="str">
            <v>RML-STRGZ-PL-PILLOW</v>
          </cell>
          <cell r="C1458" t="str">
            <v>PEPS STARGAZE PLUS PILLOW</v>
          </cell>
          <cell r="D1458" t="str">
            <v>NOS</v>
          </cell>
          <cell r="E1458" t="str">
            <v>CBERM</v>
          </cell>
          <cell r="F1458">
            <v>2500</v>
          </cell>
          <cell r="G1458">
            <v>2500</v>
          </cell>
          <cell r="H1458">
            <v>800</v>
          </cell>
          <cell r="I1458">
            <v>1000</v>
          </cell>
        </row>
        <row r="1459">
          <cell r="B1459" t="str">
            <v>RML-STW-1.4MM</v>
          </cell>
          <cell r="C1459" t="str">
            <v>1.4 MM UPHOLSTRY STEEL WIRE</v>
          </cell>
          <cell r="D1459" t="str">
            <v>KGS</v>
          </cell>
          <cell r="E1459" t="str">
            <v>CBERM</v>
          </cell>
          <cell r="F1459">
            <v>1000</v>
          </cell>
          <cell r="G1459">
            <v>1000</v>
          </cell>
          <cell r="H1459">
            <v>12000</v>
          </cell>
          <cell r="I1459">
            <v>25000</v>
          </cell>
        </row>
        <row r="1460">
          <cell r="B1460" t="str">
            <v>FBR-ARD-BAHB-REXIN-GREY</v>
          </cell>
          <cell r="C1460" t="str">
            <v>ARDENE BASE &amp; HEAD BOARD GREY REXIN</v>
          </cell>
          <cell r="D1460" t="str">
            <v>MTR</v>
          </cell>
          <cell r="E1460" t="str">
            <v>CBERM</v>
          </cell>
          <cell r="F1460">
            <v>25000</v>
          </cell>
          <cell r="G1460">
            <v>25000</v>
          </cell>
          <cell r="H1460">
            <v>100</v>
          </cell>
          <cell r="I1460">
            <v>0</v>
          </cell>
        </row>
        <row r="1461">
          <cell r="B1461" t="str">
            <v>FBR-ARM-GD-PLW-WHT</v>
          </cell>
          <cell r="C1461" t="str">
            <v>ARM GUARD PILLOW FABRIC WHITE</v>
          </cell>
          <cell r="D1461" t="str">
            <v>MTR</v>
          </cell>
          <cell r="E1461" t="str">
            <v>CBERM</v>
          </cell>
          <cell r="F1461">
            <v>0</v>
          </cell>
          <cell r="G1461">
            <v>0</v>
          </cell>
          <cell r="H1461">
            <v>250</v>
          </cell>
          <cell r="I1461">
            <v>0</v>
          </cell>
        </row>
        <row r="1462">
          <cell r="B1462" t="str">
            <v>FBR-BOL-BLUE</v>
          </cell>
          <cell r="C1462" t="str">
            <v>Bolster Fabric Blue 48" Width ( Audi # Design.No:101, Colour Code:10)</v>
          </cell>
          <cell r="D1462" t="str">
            <v>MTR</v>
          </cell>
          <cell r="E1462" t="str">
            <v>CBERM</v>
          </cell>
          <cell r="F1462">
            <v>0</v>
          </cell>
          <cell r="G1462">
            <v>0</v>
          </cell>
          <cell r="H1462">
            <v>300</v>
          </cell>
          <cell r="I1462">
            <v>0</v>
          </cell>
        </row>
        <row r="1463">
          <cell r="B1463" t="str">
            <v>FBR-BOL-MRN</v>
          </cell>
          <cell r="C1463" t="str">
            <v>Bolster Fabric Maroon 48" Width ( Audi # Design.No:101, Colour Code:08)</v>
          </cell>
          <cell r="D1463" t="str">
            <v>MTR</v>
          </cell>
          <cell r="E1463" t="str">
            <v>CBERM</v>
          </cell>
          <cell r="F1463">
            <v>0</v>
          </cell>
          <cell r="G1463">
            <v>0</v>
          </cell>
          <cell r="H1463">
            <v>500</v>
          </cell>
          <cell r="I1463">
            <v>200</v>
          </cell>
        </row>
        <row r="1464">
          <cell r="B1464" t="str">
            <v>FBR-CRY-BR-CRM</v>
          </cell>
          <cell r="C1464" t="str">
            <v>CRYSTAL GP CREAM BORDER FABRIC</v>
          </cell>
          <cell r="D1464" t="str">
            <v>MTR</v>
          </cell>
          <cell r="E1464" t="str">
            <v>CBERM</v>
          </cell>
          <cell r="F1464">
            <v>200</v>
          </cell>
          <cell r="G1464">
            <v>200</v>
          </cell>
          <cell r="H1464">
            <v>300</v>
          </cell>
          <cell r="I1464">
            <v>0</v>
          </cell>
        </row>
        <row r="1465">
          <cell r="B1465" t="str">
            <v>FBR-CRY-BR-WHT</v>
          </cell>
          <cell r="C1465" t="str">
            <v>CRYSTAL GP WHITE BORDER FABRIC</v>
          </cell>
          <cell r="D1465" t="str">
            <v>MTR</v>
          </cell>
          <cell r="E1465" t="str">
            <v>CBERM</v>
          </cell>
          <cell r="F1465">
            <v>0</v>
          </cell>
          <cell r="G1465">
            <v>0</v>
          </cell>
          <cell r="H1465">
            <v>300</v>
          </cell>
          <cell r="I1465">
            <v>100</v>
          </cell>
        </row>
        <row r="1466">
          <cell r="B1466" t="str">
            <v>FBR-CRY-PNL-CRM</v>
          </cell>
          <cell r="C1466" t="str">
            <v>CRYSTAL GP CREAM PANEL FABRIC</v>
          </cell>
          <cell r="D1466" t="str">
            <v>MTR</v>
          </cell>
          <cell r="E1466" t="str">
            <v>CBERM</v>
          </cell>
          <cell r="F1466">
            <v>100</v>
          </cell>
          <cell r="G1466">
            <v>100</v>
          </cell>
          <cell r="H1466">
            <v>500</v>
          </cell>
          <cell r="I1466">
            <v>0</v>
          </cell>
        </row>
        <row r="1467">
          <cell r="B1467" t="str">
            <v>FBR-FR-KNIT-CREAM</v>
          </cell>
          <cell r="C1467" t="str">
            <v>HOTEL MOTEL FR KNITTED CREAM FABRIC</v>
          </cell>
          <cell r="D1467" t="str">
            <v>MTR</v>
          </cell>
          <cell r="E1467" t="str">
            <v>CBERM</v>
          </cell>
          <cell r="F1467">
            <v>0</v>
          </cell>
          <cell r="G1467">
            <v>0</v>
          </cell>
          <cell r="H1467">
            <v>1000</v>
          </cell>
          <cell r="I1467">
            <v>250</v>
          </cell>
        </row>
        <row r="1468">
          <cell r="B1468" t="str">
            <v>FBR-GP-BAHB-REXIN-BG</v>
          </cell>
          <cell r="C1468" t="str">
            <v>GRAND PALAIS BASE &amp; HEAD BOARD BEIGE REXIN FABRIC</v>
          </cell>
          <cell r="D1468" t="str">
            <v>MTR</v>
          </cell>
          <cell r="E1468" t="str">
            <v>CBERM</v>
          </cell>
          <cell r="F1468">
            <v>250</v>
          </cell>
          <cell r="G1468">
            <v>250</v>
          </cell>
          <cell r="H1468">
            <v>100</v>
          </cell>
          <cell r="I1468">
            <v>0</v>
          </cell>
        </row>
        <row r="1469">
          <cell r="B1469" t="str">
            <v>FBR-HEADBORD-BCK-FABRIC</v>
          </cell>
          <cell r="C1469" t="str">
            <v>HEADBORD BACK FABRIC</v>
          </cell>
          <cell r="D1469" t="str">
            <v>MTR</v>
          </cell>
          <cell r="E1469" t="str">
            <v>CBERM</v>
          </cell>
          <cell r="F1469">
            <v>0</v>
          </cell>
          <cell r="G1469">
            <v>0</v>
          </cell>
          <cell r="H1469">
            <v>500</v>
          </cell>
          <cell r="I1469">
            <v>2000</v>
          </cell>
        </row>
        <row r="1470">
          <cell r="B1470" t="str">
            <v>RM-ACS-PLN-MRP-LBL</v>
          </cell>
          <cell r="C1470" t="str">
            <v>ACCESSORIES PLAIN MRP LABEL</v>
          </cell>
          <cell r="D1470" t="str">
            <v>NOS</v>
          </cell>
          <cell r="E1470" t="str">
            <v>CBERM</v>
          </cell>
          <cell r="F1470">
            <v>2000</v>
          </cell>
          <cell r="G1470">
            <v>2000</v>
          </cell>
          <cell r="H1470">
            <v>12000</v>
          </cell>
          <cell r="I1470">
            <v>30000</v>
          </cell>
        </row>
        <row r="1471">
          <cell r="B1471" t="str">
            <v>RM-BATH-MAT-20X30</v>
          </cell>
          <cell r="C1471" t="str">
            <v>PEPS BATH MAT 20X30"</v>
          </cell>
          <cell r="D1471" t="str">
            <v>NOS</v>
          </cell>
          <cell r="E1471" t="str">
            <v>CBERM</v>
          </cell>
          <cell r="F1471">
            <v>30000</v>
          </cell>
          <cell r="G1471">
            <v>30000</v>
          </cell>
          <cell r="H1471">
            <v>110</v>
          </cell>
          <cell r="I1471">
            <v>150</v>
          </cell>
        </row>
        <row r="1472">
          <cell r="B1472" t="str">
            <v>RM-BATH-TOWEL-60X30</v>
          </cell>
          <cell r="C1472" t="str">
            <v>PEPS BATH TOWEL 60X30"</v>
          </cell>
          <cell r="D1472" t="str">
            <v>NOS</v>
          </cell>
          <cell r="E1472" t="str">
            <v>CBERM</v>
          </cell>
          <cell r="F1472">
            <v>150</v>
          </cell>
          <cell r="G1472">
            <v>150</v>
          </cell>
          <cell r="H1472">
            <v>150</v>
          </cell>
          <cell r="I1472">
            <v>300</v>
          </cell>
        </row>
        <row r="1473">
          <cell r="B1473" t="str">
            <v>RML-BLNK-BAG-DOUBLE</v>
          </cell>
          <cell r="C1473" t="str">
            <v>PEPS POLAR FLEECE BLANKET PVC BAG DOUBLE 18WX9G</v>
          </cell>
          <cell r="D1473" t="str">
            <v>NOS</v>
          </cell>
          <cell r="E1473" t="str">
            <v>CBERM</v>
          </cell>
          <cell r="F1473">
            <v>300</v>
          </cell>
          <cell r="G1473">
            <v>300</v>
          </cell>
          <cell r="H1473">
            <v>150</v>
          </cell>
          <cell r="I1473">
            <v>0</v>
          </cell>
        </row>
        <row r="1474">
          <cell r="B1474" t="str">
            <v>RML-BLNK-BAG-SINGLE</v>
          </cell>
          <cell r="C1474" t="str">
            <v>PEPS POLAR FLEECE BLANKET PVC BAG SINGLE 15WX8G</v>
          </cell>
          <cell r="D1474" t="str">
            <v>NOS</v>
          </cell>
          <cell r="E1474" t="str">
            <v>CBERM</v>
          </cell>
          <cell r="F1474">
            <v>0</v>
          </cell>
          <cell r="G1474">
            <v>0</v>
          </cell>
          <cell r="H1474">
            <v>75</v>
          </cell>
          <cell r="I1474">
            <v>0</v>
          </cell>
        </row>
        <row r="1475">
          <cell r="B1475" t="str">
            <v>RML-CFRP-90X100MICPOY</v>
          </cell>
          <cell r="C1475" t="str">
            <v>PEPS 90X100 QUILT-MICRO POLYESTER COMFORTER</v>
          </cell>
          <cell r="D1475" t="str">
            <v>NOS</v>
          </cell>
          <cell r="E1475" t="str">
            <v>CBERM</v>
          </cell>
          <cell r="F1475">
            <v>0</v>
          </cell>
          <cell r="G1475">
            <v>0</v>
          </cell>
          <cell r="H1475">
            <v>100</v>
          </cell>
          <cell r="I1475">
            <v>0</v>
          </cell>
        </row>
        <row r="1476">
          <cell r="B1476" t="str">
            <v>RML-CIR-MRN-FBR</v>
          </cell>
          <cell r="C1476" t="str">
            <v>SPRING SOFT MAROON PANEL &amp; BORDER FABRIC</v>
          </cell>
          <cell r="D1476" t="str">
            <v>MTR</v>
          </cell>
          <cell r="E1476" t="str">
            <v>CBERM</v>
          </cell>
          <cell r="F1476">
            <v>0</v>
          </cell>
          <cell r="G1476">
            <v>0</v>
          </cell>
          <cell r="H1476">
            <v>1000</v>
          </cell>
          <cell r="I1476">
            <v>0</v>
          </cell>
        </row>
        <row r="1477">
          <cell r="B1477" t="str">
            <v>RML-BASE-CON-BARS</v>
          </cell>
          <cell r="C1477" t="str">
            <v>BASE CONNECTING BARS</v>
          </cell>
          <cell r="D1477" t="str">
            <v>NOS</v>
          </cell>
          <cell r="E1477" t="str">
            <v>CBERM</v>
          </cell>
          <cell r="F1477">
            <v>0</v>
          </cell>
          <cell r="G1477">
            <v>0</v>
          </cell>
          <cell r="H1477">
            <v>150</v>
          </cell>
          <cell r="I1477">
            <v>0</v>
          </cell>
        </row>
        <row r="1478">
          <cell r="B1478" t="str">
            <v>RML-THRD-SPUN-BL</v>
          </cell>
          <cell r="C1478" t="str">
            <v>SPUN THREAD BLUE 3PLY</v>
          </cell>
          <cell r="D1478" t="str">
            <v>NOS</v>
          </cell>
          <cell r="E1478" t="str">
            <v>CBERM</v>
          </cell>
          <cell r="F1478">
            <v>60</v>
          </cell>
          <cell r="G1478">
            <v>60</v>
          </cell>
          <cell r="H1478">
            <v>25</v>
          </cell>
          <cell r="I1478">
            <v>25</v>
          </cell>
        </row>
        <row r="1479">
          <cell r="B1479" t="str">
            <v>RML-BOL-PVC-BAG-36.5X15.5</v>
          </cell>
          <cell r="C1479" t="str">
            <v>PEPS BOLSTER PVC BAG 36.5X15.5</v>
          </cell>
          <cell r="D1479" t="str">
            <v>NOS</v>
          </cell>
          <cell r="E1479" t="str">
            <v>CBERM</v>
          </cell>
          <cell r="F1479">
            <v>25</v>
          </cell>
          <cell r="G1479">
            <v>25</v>
          </cell>
          <cell r="H1479">
            <v>500</v>
          </cell>
          <cell r="I1479">
            <v>0</v>
          </cell>
        </row>
        <row r="1480">
          <cell r="B1480" t="str">
            <v>RML-CB-RTC</v>
          </cell>
          <cell r="C1480" t="str">
            <v>PEPS RESTONIC CENTRE BAND</v>
          </cell>
          <cell r="D1480" t="str">
            <v>KGS</v>
          </cell>
          <cell r="E1480" t="str">
            <v>CBERM</v>
          </cell>
          <cell r="F1480">
            <v>0</v>
          </cell>
          <cell r="G1480">
            <v>0</v>
          </cell>
          <cell r="H1480">
            <v>300</v>
          </cell>
          <cell r="I1480">
            <v>0</v>
          </cell>
        </row>
        <row r="1481">
          <cell r="B1481" t="str">
            <v>STY-LET-PAD-CBE</v>
          </cell>
          <cell r="C1481" t="str">
            <v>PEPS LETTER PAD COIMBATORE (100 NOS)</v>
          </cell>
          <cell r="D1481" t="str">
            <v>NOS</v>
          </cell>
          <cell r="E1481" t="str">
            <v>CBERM</v>
          </cell>
          <cell r="F1481">
            <v>0</v>
          </cell>
          <cell r="G1481">
            <v>0</v>
          </cell>
          <cell r="H1481">
            <v>10</v>
          </cell>
          <cell r="I1481">
            <v>15</v>
          </cell>
        </row>
        <row r="1482">
          <cell r="B1482" t="str">
            <v>STY-SCISSOR-10</v>
          </cell>
          <cell r="C1482" t="str">
            <v>SCISSOR - 10"</v>
          </cell>
          <cell r="D1482" t="str">
            <v>NOS</v>
          </cell>
          <cell r="E1482" t="str">
            <v>CBERM</v>
          </cell>
          <cell r="F1482">
            <v>15</v>
          </cell>
          <cell r="G1482">
            <v>15</v>
          </cell>
          <cell r="H1482">
            <v>10</v>
          </cell>
          <cell r="I1482">
            <v>0</v>
          </cell>
        </row>
        <row r="1483">
          <cell r="B1483" t="str">
            <v>STY-STEEL-KNIFE</v>
          </cell>
          <cell r="C1483" t="str">
            <v>STEEL KNIFE</v>
          </cell>
          <cell r="D1483" t="str">
            <v>NOS</v>
          </cell>
          <cell r="E1483" t="str">
            <v>CBERM</v>
          </cell>
          <cell r="F1483">
            <v>0</v>
          </cell>
          <cell r="G1483">
            <v>0</v>
          </cell>
          <cell r="H1483">
            <v>12</v>
          </cell>
          <cell r="I1483">
            <v>24</v>
          </cell>
        </row>
        <row r="1484">
          <cell r="B1484" t="str">
            <v>FBR-INS-PNLBR-MRN</v>
          </cell>
          <cell r="C1484" t="str">
            <v>Inspree Maroon Panel Fabric</v>
          </cell>
          <cell r="D1484" t="str">
            <v>MTR</v>
          </cell>
          <cell r="E1484" t="str">
            <v>CBERM</v>
          </cell>
          <cell r="F1484">
            <v>24</v>
          </cell>
          <cell r="G1484">
            <v>24</v>
          </cell>
          <cell r="H1484">
            <v>2000</v>
          </cell>
          <cell r="I1484">
            <v>500</v>
          </cell>
        </row>
        <row r="1485">
          <cell r="B1485" t="str">
            <v>FBR-ITALIANO-MAGNIFICO-PNL</v>
          </cell>
          <cell r="C1485" t="str">
            <v>ITALIANO - MAGNIFICO CREAM PANEL FABRIC - (ULT - PRE)</v>
          </cell>
          <cell r="D1485" t="str">
            <v>MTR</v>
          </cell>
          <cell r="E1485" t="str">
            <v>CBERM</v>
          </cell>
          <cell r="F1485">
            <v>500</v>
          </cell>
          <cell r="G1485">
            <v>500</v>
          </cell>
          <cell r="H1485">
            <v>150</v>
          </cell>
          <cell r="I1485">
            <v>250</v>
          </cell>
        </row>
        <row r="1486">
          <cell r="B1486" t="str">
            <v>FBR-NON-SKID-GRY</v>
          </cell>
          <cell r="C1486" t="str">
            <v>NO SKID FABRIC - GREY</v>
          </cell>
          <cell r="D1486" t="str">
            <v>MTR</v>
          </cell>
          <cell r="E1486" t="str">
            <v>CBERM</v>
          </cell>
          <cell r="F1486">
            <v>250</v>
          </cell>
          <cell r="G1486">
            <v>250</v>
          </cell>
          <cell r="H1486">
            <v>8000</v>
          </cell>
          <cell r="I1486">
            <v>10000</v>
          </cell>
        </row>
        <row r="1487">
          <cell r="B1487" t="str">
            <v>FBR-NON-SKID-NVBL</v>
          </cell>
          <cell r="C1487" t="str">
            <v>NO SKID FABRIC - NAVY BLUE</v>
          </cell>
          <cell r="D1487" t="str">
            <v>MTR</v>
          </cell>
          <cell r="E1487" t="str">
            <v>CBERM</v>
          </cell>
          <cell r="F1487">
            <v>10000</v>
          </cell>
          <cell r="G1487">
            <v>10000</v>
          </cell>
          <cell r="H1487">
            <v>1000</v>
          </cell>
          <cell r="I1487">
            <v>0</v>
          </cell>
        </row>
        <row r="1488">
          <cell r="B1488" t="str">
            <v>FBR-ORG-BA-REXIN</v>
          </cell>
          <cell r="C1488" t="str">
            <v>ORGANICA BASE REXIN FABRIC</v>
          </cell>
          <cell r="D1488" t="str">
            <v>MTR</v>
          </cell>
          <cell r="E1488" t="str">
            <v>CBERM</v>
          </cell>
          <cell r="F1488">
            <v>0</v>
          </cell>
          <cell r="G1488">
            <v>0</v>
          </cell>
          <cell r="H1488">
            <v>300</v>
          </cell>
          <cell r="I1488">
            <v>300</v>
          </cell>
        </row>
        <row r="1489">
          <cell r="B1489" t="str">
            <v>FBR-ORG-HB-REXIN</v>
          </cell>
          <cell r="C1489" t="str">
            <v>ORGANICA HEAD BOARD REXIN FABRIC</v>
          </cell>
          <cell r="D1489" t="str">
            <v>MTR</v>
          </cell>
          <cell r="E1489" t="str">
            <v>CBERM</v>
          </cell>
          <cell r="F1489">
            <v>300</v>
          </cell>
          <cell r="G1489">
            <v>300</v>
          </cell>
          <cell r="H1489">
            <v>0</v>
          </cell>
          <cell r="I1489">
            <v>0</v>
          </cell>
        </row>
        <row r="1490">
          <cell r="B1490" t="str">
            <v>FBR-POLY-VEL-DBLUE</v>
          </cell>
          <cell r="C1490" t="str">
            <v>POLYSTER VELLOUR FABRIC DARK BLUE</v>
          </cell>
          <cell r="D1490" t="str">
            <v>KGS</v>
          </cell>
          <cell r="E1490" t="str">
            <v>CBERM</v>
          </cell>
          <cell r="F1490">
            <v>0</v>
          </cell>
          <cell r="G1490">
            <v>0</v>
          </cell>
          <cell r="H1490">
            <v>150</v>
          </cell>
          <cell r="I1490">
            <v>0</v>
          </cell>
        </row>
        <row r="1491">
          <cell r="B1491" t="str">
            <v>FBR-POLY-VEL-GRY</v>
          </cell>
          <cell r="C1491" t="str">
            <v>POLYSTER VELLOUR FABRIC GREY</v>
          </cell>
          <cell r="D1491" t="str">
            <v>KGS</v>
          </cell>
          <cell r="E1491" t="str">
            <v>CBERM</v>
          </cell>
          <cell r="F1491">
            <v>0</v>
          </cell>
          <cell r="G1491">
            <v>0</v>
          </cell>
          <cell r="H1491">
            <v>150</v>
          </cell>
          <cell r="I1491">
            <v>0</v>
          </cell>
        </row>
        <row r="1492">
          <cell r="B1492" t="str">
            <v>FBR-SPACER-WHITE</v>
          </cell>
          <cell r="C1492" t="str">
            <v>SPACER WHITE FABRIC</v>
          </cell>
          <cell r="D1492" t="str">
            <v>MTR</v>
          </cell>
          <cell r="E1492" t="str">
            <v>CBERM</v>
          </cell>
          <cell r="F1492">
            <v>0</v>
          </cell>
          <cell r="G1492">
            <v>0</v>
          </cell>
          <cell r="H1492">
            <v>300</v>
          </cell>
          <cell r="I1492">
            <v>0</v>
          </cell>
        </row>
        <row r="1493">
          <cell r="B1493" t="str">
            <v>FBR-SPG-BAHB-REXIN</v>
          </cell>
          <cell r="C1493" t="str">
            <v>SPINE GUARD BASE &amp; HEAD BOARD REXIN FABRIC</v>
          </cell>
          <cell r="D1493" t="str">
            <v>MTR</v>
          </cell>
          <cell r="E1493" t="str">
            <v>CBERM</v>
          </cell>
          <cell r="F1493">
            <v>0</v>
          </cell>
          <cell r="G1493">
            <v>0</v>
          </cell>
          <cell r="H1493">
            <v>150</v>
          </cell>
          <cell r="I1493">
            <v>400</v>
          </cell>
        </row>
        <row r="1494">
          <cell r="B1494" t="str">
            <v>FBR-SPGFM-BR-WHT</v>
          </cell>
          <cell r="C1494" t="str">
            <v>SPINEGUARD WHITE BORDER FABRIC</v>
          </cell>
          <cell r="D1494" t="str">
            <v>MTR</v>
          </cell>
          <cell r="E1494" t="str">
            <v>CBERM</v>
          </cell>
          <cell r="F1494">
            <v>400</v>
          </cell>
          <cell r="G1494">
            <v>400</v>
          </cell>
          <cell r="H1494">
            <v>200</v>
          </cell>
          <cell r="I1494">
            <v>0</v>
          </cell>
        </row>
        <row r="1495">
          <cell r="B1495" t="str">
            <v>FBR-SPK-BR-BRN-KF</v>
          </cell>
          <cell r="C1495" t="str">
            <v>SPRINGKOIL KNITTED BROWN BORDER FABRIC</v>
          </cell>
          <cell r="D1495" t="str">
            <v>MTR</v>
          </cell>
          <cell r="E1495" t="str">
            <v>CBERM</v>
          </cell>
          <cell r="F1495">
            <v>0</v>
          </cell>
          <cell r="G1495">
            <v>0</v>
          </cell>
          <cell r="H1495">
            <v>2500</v>
          </cell>
          <cell r="I1495">
            <v>8000</v>
          </cell>
        </row>
        <row r="1496">
          <cell r="B1496" t="str">
            <v>FBR-SPS-PNLBR-NVB</v>
          </cell>
          <cell r="C1496" t="str">
            <v>SPINE SAFE NAVY BLUE PANEL BORDER FABRIC</v>
          </cell>
          <cell r="D1496" t="str">
            <v>KGS</v>
          </cell>
          <cell r="E1496" t="str">
            <v>CBERM</v>
          </cell>
          <cell r="F1496">
            <v>8000</v>
          </cell>
          <cell r="G1496">
            <v>8000</v>
          </cell>
          <cell r="H1496">
            <v>250</v>
          </cell>
          <cell r="I1496">
            <v>100</v>
          </cell>
        </row>
        <row r="1497">
          <cell r="B1497" t="str">
            <v>RM-HAND-TOWEL-16X27</v>
          </cell>
          <cell r="C1497" t="str">
            <v>PEPS HAND TOWEL 16X27"</v>
          </cell>
          <cell r="D1497" t="str">
            <v>NOS</v>
          </cell>
          <cell r="E1497" t="str">
            <v>CBERM</v>
          </cell>
          <cell r="F1497">
            <v>100</v>
          </cell>
          <cell r="G1497">
            <v>100</v>
          </cell>
          <cell r="H1497">
            <v>200</v>
          </cell>
          <cell r="I1497">
            <v>150</v>
          </cell>
        </row>
        <row r="1498">
          <cell r="B1498" t="str">
            <v>RMI-CTNF-75X63</v>
          </cell>
          <cell r="C1498" t="str">
            <v>COTTON FELT 190CM X 160CM X 6MM ( 75" x 63" )</v>
          </cell>
          <cell r="D1498" t="str">
            <v>KGS</v>
          </cell>
          <cell r="E1498" t="str">
            <v>CBERM</v>
          </cell>
          <cell r="F1498">
            <v>150</v>
          </cell>
          <cell r="G1498">
            <v>150</v>
          </cell>
          <cell r="H1498">
            <v>0</v>
          </cell>
          <cell r="I1498">
            <v>0</v>
          </cell>
        </row>
        <row r="1499">
          <cell r="B1499" t="str">
            <v>RML-WSCR-LBL-MF</v>
          </cell>
          <cell r="C1499" t="str">
            <v>PEPS MOULDED 100% MEMORY FOAM PILLOW WASH CARE LABLE</v>
          </cell>
          <cell r="D1499" t="str">
            <v>NOS</v>
          </cell>
          <cell r="E1499" t="str">
            <v>CBERM</v>
          </cell>
          <cell r="F1499">
            <v>0</v>
          </cell>
          <cell r="G1499">
            <v>0</v>
          </cell>
          <cell r="H1499">
            <v>2000</v>
          </cell>
          <cell r="I1499">
            <v>0</v>
          </cell>
        </row>
        <row r="1500">
          <cell r="B1500" t="str">
            <v>RMI-HCTNF-77X51.</v>
          </cell>
          <cell r="C1500" t="str">
            <v>COTTON FELT 196CM X 129CM X 6MM ( 77" x 51" )</v>
          </cell>
          <cell r="D1500" t="str">
            <v>KGS</v>
          </cell>
          <cell r="E1500" t="str">
            <v>CBERM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</row>
        <row r="1501">
          <cell r="B1501" t="str">
            <v>RMI-HCTNF-77X63.</v>
          </cell>
          <cell r="C1501" t="str">
            <v>COTTON FELT 196CM X 160CM X 6MM ( 77"x63" )</v>
          </cell>
          <cell r="D1501" t="str">
            <v>KGS</v>
          </cell>
          <cell r="E1501" t="str">
            <v>CBERM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</row>
        <row r="1502">
          <cell r="B1502" t="str">
            <v>RML-COM-INS-DOUBLE</v>
          </cell>
          <cell r="C1502" t="str">
            <v>PEPS COMFORTER INSERTER DOUBLE L37XW6</v>
          </cell>
          <cell r="D1502" t="str">
            <v>NOS</v>
          </cell>
          <cell r="E1502" t="str">
            <v>CBERM</v>
          </cell>
          <cell r="F1502">
            <v>0</v>
          </cell>
          <cell r="G1502">
            <v>0</v>
          </cell>
          <cell r="H1502">
            <v>125</v>
          </cell>
          <cell r="I1502">
            <v>250</v>
          </cell>
        </row>
        <row r="1503">
          <cell r="B1503" t="str">
            <v>RML-CRI-YELLOW-STK</v>
          </cell>
          <cell r="C1503" t="str">
            <v>CARE INTRUCTION YELLOW STICKER</v>
          </cell>
          <cell r="D1503" t="str">
            <v>NOS</v>
          </cell>
          <cell r="E1503" t="str">
            <v>CBERM</v>
          </cell>
          <cell r="F1503">
            <v>250</v>
          </cell>
          <cell r="G1503">
            <v>250</v>
          </cell>
          <cell r="H1503">
            <v>250</v>
          </cell>
          <cell r="I1503">
            <v>0</v>
          </cell>
        </row>
        <row r="1504">
          <cell r="B1504" t="str">
            <v>SPL-GEN-SFT-GOGLS</v>
          </cell>
          <cell r="C1504" t="str">
            <v>SAFETY GOGGLESS</v>
          </cell>
          <cell r="D1504" t="str">
            <v>NOS</v>
          </cell>
          <cell r="E1504" t="str">
            <v>CBERM</v>
          </cell>
          <cell r="F1504">
            <v>0</v>
          </cell>
          <cell r="G1504">
            <v>0</v>
          </cell>
          <cell r="H1504">
            <v>50</v>
          </cell>
          <cell r="I1504">
            <v>100</v>
          </cell>
        </row>
        <row r="1505">
          <cell r="B1505" t="str">
            <v>STY-EAR-PLUGGS</v>
          </cell>
          <cell r="C1505" t="str">
            <v>SAFETY EAR PLUGS</v>
          </cell>
          <cell r="D1505" t="str">
            <v>NOS</v>
          </cell>
          <cell r="E1505" t="str">
            <v>CBERM</v>
          </cell>
          <cell r="F1505">
            <v>100</v>
          </cell>
          <cell r="G1505">
            <v>100</v>
          </cell>
          <cell r="H1505">
            <v>100</v>
          </cell>
          <cell r="I1505">
            <v>0</v>
          </cell>
        </row>
        <row r="1506">
          <cell r="B1506" t="str">
            <v>RM-HB-ALN-BOLT</v>
          </cell>
          <cell r="C1506" t="str">
            <v>HEAD BOARD ALLEN BOLT</v>
          </cell>
          <cell r="D1506" t="str">
            <v>NOS</v>
          </cell>
          <cell r="E1506" t="str">
            <v>CBERM</v>
          </cell>
          <cell r="F1506">
            <v>0</v>
          </cell>
          <cell r="G1506">
            <v>0</v>
          </cell>
          <cell r="H1506">
            <v>250</v>
          </cell>
          <cell r="I1506">
            <v>1000</v>
          </cell>
        </row>
        <row r="1507">
          <cell r="B1507" t="str">
            <v>RML-COR-ROLL</v>
          </cell>
          <cell r="C1507" t="str">
            <v>Corrugated Sheet. 52" 2 Ply.41kg/r</v>
          </cell>
          <cell r="D1507" t="str">
            <v>KGS</v>
          </cell>
          <cell r="E1507" t="str">
            <v>CBERM</v>
          </cell>
          <cell r="F1507">
            <v>1000</v>
          </cell>
          <cell r="G1507">
            <v>1000</v>
          </cell>
          <cell r="H1507">
            <v>1000</v>
          </cell>
          <cell r="I1507">
            <v>750</v>
          </cell>
        </row>
        <row r="1508">
          <cell r="B1508" t="str">
            <v>RML-CS-DRM-SILV-8.5</v>
          </cell>
          <cell r="C1508" t="str">
            <v>PEPS DREAM MAKERS CORNER SHOES-SILVER - 8.5"</v>
          </cell>
          <cell r="D1508" t="str">
            <v>NOS</v>
          </cell>
          <cell r="E1508" t="str">
            <v>CBERM</v>
          </cell>
          <cell r="F1508">
            <v>1600</v>
          </cell>
          <cell r="G1508">
            <v>1600</v>
          </cell>
          <cell r="H1508">
            <v>2500</v>
          </cell>
          <cell r="I1508">
            <v>5000</v>
          </cell>
        </row>
        <row r="1509">
          <cell r="B1509" t="str">
            <v>RML-CS-RTC-7.5"</v>
          </cell>
          <cell r="C1509" t="str">
            <v>CORNER SHOES.  RESTONIC - 7.5"</v>
          </cell>
          <cell r="D1509" t="str">
            <v>NOS</v>
          </cell>
          <cell r="E1509" t="str">
            <v>CBERM</v>
          </cell>
          <cell r="F1509">
            <v>5000</v>
          </cell>
          <cell r="G1509">
            <v>5000</v>
          </cell>
          <cell r="H1509">
            <v>1000</v>
          </cell>
          <cell r="I1509">
            <v>0</v>
          </cell>
        </row>
        <row r="1510">
          <cell r="B1510" t="str">
            <v>RML-CS-RTC-8.5"</v>
          </cell>
          <cell r="C1510" t="str">
            <v>CORNER SHOES.  RESTONIC - 8.5"</v>
          </cell>
          <cell r="D1510" t="str">
            <v>NOS</v>
          </cell>
          <cell r="E1510" t="str">
            <v>CBERM</v>
          </cell>
          <cell r="F1510">
            <v>800</v>
          </cell>
          <cell r="G1510">
            <v>800</v>
          </cell>
          <cell r="H1510">
            <v>1500</v>
          </cell>
          <cell r="I1510">
            <v>1600</v>
          </cell>
        </row>
        <row r="1511">
          <cell r="B1511" t="str">
            <v>RML-CUS-BAG</v>
          </cell>
          <cell r="C1511" t="str">
            <v>Cushion Pillow PVC BAG 19LX18W</v>
          </cell>
          <cell r="D1511" t="str">
            <v>NOS</v>
          </cell>
          <cell r="E1511" t="str">
            <v>CBERM</v>
          </cell>
          <cell r="F1511">
            <v>1600</v>
          </cell>
          <cell r="G1511">
            <v>1600</v>
          </cell>
          <cell r="H1511">
            <v>250</v>
          </cell>
          <cell r="I1511">
            <v>0</v>
          </cell>
        </row>
        <row r="1512">
          <cell r="B1512" t="str">
            <v>RML-KOM-SPK-BED-SHT-60X100</v>
          </cell>
          <cell r="C1512" t="str">
            <v>KOMFFY BED SHEET SINGLE- 60"X90" (SPK)</v>
          </cell>
          <cell r="D1512" t="str">
            <v>NOS</v>
          </cell>
          <cell r="E1512" t="str">
            <v>CBERM</v>
          </cell>
          <cell r="F1512">
            <v>0</v>
          </cell>
          <cell r="G1512">
            <v>0</v>
          </cell>
          <cell r="H1512">
            <v>450</v>
          </cell>
          <cell r="I1512">
            <v>1000</v>
          </cell>
        </row>
        <row r="1513">
          <cell r="B1513" t="str">
            <v>RML-KOM-SPK-PILLOW</v>
          </cell>
          <cell r="C1513" t="str">
            <v>KOMFFY POLYESTER FIBER PILLOW 24"X16"-SINGLE (SPK)</v>
          </cell>
          <cell r="D1513" t="str">
            <v>NOS</v>
          </cell>
          <cell r="E1513" t="str">
            <v>CBERM</v>
          </cell>
          <cell r="F1513">
            <v>1000</v>
          </cell>
          <cell r="G1513">
            <v>1000</v>
          </cell>
          <cell r="H1513">
            <v>2000</v>
          </cell>
          <cell r="I1513">
            <v>3000</v>
          </cell>
        </row>
        <row r="1514">
          <cell r="B1514" t="str">
            <v>RML-KOM-SPK-PILLOW-DOB</v>
          </cell>
          <cell r="C1514" t="str">
            <v>KOMFFY POLYESTER FIBER PILLOW 24"x16"-DOUBLE (SPK)</v>
          </cell>
          <cell r="D1514" t="str">
            <v>NOS</v>
          </cell>
          <cell r="E1514" t="str">
            <v>CBERM</v>
          </cell>
          <cell r="F1514">
            <v>3000</v>
          </cell>
          <cell r="G1514">
            <v>3000</v>
          </cell>
          <cell r="H1514">
            <v>2500</v>
          </cell>
          <cell r="I1514">
            <v>12000</v>
          </cell>
        </row>
        <row r="1515">
          <cell r="B1515" t="str">
            <v>RML-CS-SPK-CT-7.5</v>
          </cell>
          <cell r="C1515" t="str">
            <v>PEPS SPRINGKOIL CROWN TOP CORNER SHOES 7.5"</v>
          </cell>
          <cell r="D1515" t="str">
            <v>NOS</v>
          </cell>
          <cell r="E1515" t="str">
            <v>CBERM</v>
          </cell>
          <cell r="F1515">
            <v>12000</v>
          </cell>
          <cell r="G1515">
            <v>12000</v>
          </cell>
          <cell r="H1515">
            <v>500</v>
          </cell>
          <cell r="I1515">
            <v>0</v>
          </cell>
        </row>
        <row r="1516">
          <cell r="B1516" t="str">
            <v>RML-LDPE-61X38</v>
          </cell>
          <cell r="C1516" t="str">
            <v>LDPE BAG 61" X 38"X 50.MIC</v>
          </cell>
          <cell r="D1516" t="str">
            <v>KGS</v>
          </cell>
          <cell r="E1516" t="str">
            <v>CBERM</v>
          </cell>
          <cell r="F1516">
            <v>0</v>
          </cell>
          <cell r="G1516">
            <v>0</v>
          </cell>
          <cell r="H1516">
            <v>200</v>
          </cell>
          <cell r="I1516">
            <v>0</v>
          </cell>
        </row>
        <row r="1517">
          <cell r="B1517" t="str">
            <v>RML-LUB-OIL</v>
          </cell>
          <cell r="C1517" t="str">
            <v>lubricant Oil</v>
          </cell>
          <cell r="D1517" t="str">
            <v>LTR</v>
          </cell>
          <cell r="E1517" t="str">
            <v>CBERM</v>
          </cell>
          <cell r="F1517">
            <v>0</v>
          </cell>
          <cell r="G1517">
            <v>0</v>
          </cell>
          <cell r="H1517">
            <v>210</v>
          </cell>
          <cell r="I1517">
            <v>0</v>
          </cell>
        </row>
        <row r="1518">
          <cell r="B1518" t="str">
            <v>RML-ORG-EDTAPE-BR</v>
          </cell>
          <cell r="C1518" t="str">
            <v>ORGANICA EDGE TAPE GREEN</v>
          </cell>
          <cell r="D1518" t="str">
            <v>MTR</v>
          </cell>
          <cell r="E1518" t="str">
            <v>CBERM</v>
          </cell>
          <cell r="F1518">
            <v>0</v>
          </cell>
          <cell r="G1518">
            <v>0</v>
          </cell>
          <cell r="H1518">
            <v>4800</v>
          </cell>
          <cell r="I1518">
            <v>4800</v>
          </cell>
        </row>
        <row r="1519">
          <cell r="B1519" t="str">
            <v>RML-KOM-ITALIANO-BED-SHT-118X118</v>
          </cell>
          <cell r="C1519" t="str">
            <v>ITALIANO BED SHEET SUPER KING 118"X118" ( 1+2 )</v>
          </cell>
          <cell r="D1519" t="str">
            <v>NOS</v>
          </cell>
          <cell r="E1519" t="str">
            <v>CBERM</v>
          </cell>
          <cell r="F1519">
            <v>4800</v>
          </cell>
          <cell r="G1519">
            <v>4800</v>
          </cell>
          <cell r="H1519">
            <v>200</v>
          </cell>
          <cell r="I1519">
            <v>100</v>
          </cell>
        </row>
        <row r="1520">
          <cell r="B1520" t="str">
            <v>RML-KOM-ITALIANO-CFRP-MP-90X100</v>
          </cell>
          <cell r="C1520" t="str">
            <v>ITALIANO MICRO POLYESTER DOUBLE COMFORTER 90X100</v>
          </cell>
          <cell r="D1520" t="str">
            <v>NOS</v>
          </cell>
          <cell r="E1520" t="str">
            <v>CBERM</v>
          </cell>
          <cell r="F1520">
            <v>100</v>
          </cell>
          <cell r="G1520">
            <v>100</v>
          </cell>
          <cell r="H1520">
            <v>100</v>
          </cell>
          <cell r="I1520">
            <v>100</v>
          </cell>
        </row>
        <row r="1521">
          <cell r="B1521" t="str">
            <v>RML-ITALIANO-CALMRE-PLW-BOX</v>
          </cell>
          <cell r="C1521" t="str">
            <v>PEPS ITALIANO CALMARE NECK GUARD 100% MEMORY PILLOW BOX</v>
          </cell>
          <cell r="D1521" t="str">
            <v>NOS</v>
          </cell>
          <cell r="E1521" t="str">
            <v>CBERM</v>
          </cell>
          <cell r="F1521">
            <v>100</v>
          </cell>
          <cell r="G1521">
            <v>100</v>
          </cell>
          <cell r="H1521">
            <v>125</v>
          </cell>
          <cell r="I1521">
            <v>150</v>
          </cell>
        </row>
        <row r="1522">
          <cell r="B1522" t="str">
            <v>RML-ITALIANO-CALMRE-PLW-WSCR-LBL</v>
          </cell>
          <cell r="C1522" t="str">
            <v>ITALIANO CALMARE 100% MEMORY FOAM PILLOW WASH CARE LABEL</v>
          </cell>
          <cell r="D1522" t="str">
            <v>NOS</v>
          </cell>
          <cell r="E1522" t="str">
            <v>CBERM</v>
          </cell>
          <cell r="F1522">
            <v>150</v>
          </cell>
          <cell r="G1522">
            <v>150</v>
          </cell>
          <cell r="H1522">
            <v>500</v>
          </cell>
          <cell r="I1522">
            <v>0</v>
          </cell>
        </row>
        <row r="1523">
          <cell r="B1523" t="str">
            <v>FBR-KOZBRE-PNL-BLUE</v>
          </cell>
          <cell r="C1523" t="str">
            <v>KOZYBREEZ PANEL FABRIC DARK BLUE</v>
          </cell>
          <cell r="D1523" t="str">
            <v>MTR</v>
          </cell>
          <cell r="E1523" t="str">
            <v>CBERM</v>
          </cell>
          <cell r="F1523">
            <v>0</v>
          </cell>
          <cell r="G1523">
            <v>0</v>
          </cell>
          <cell r="H1523">
            <v>1500</v>
          </cell>
          <cell r="I1523">
            <v>0</v>
          </cell>
        </row>
        <row r="1524">
          <cell r="B1524" t="str">
            <v>RM-THRD-QS-TKT40</v>
          </cell>
          <cell r="C1524" t="str">
            <v>THREAD TKT40 210D/3 PLY 10000MTS ( WHITE )</v>
          </cell>
          <cell r="D1524" t="str">
            <v>NOS</v>
          </cell>
          <cell r="E1524" t="str">
            <v>CBERM</v>
          </cell>
          <cell r="F1524">
            <v>0</v>
          </cell>
          <cell r="G1524">
            <v>0</v>
          </cell>
          <cell r="H1524">
            <v>1000</v>
          </cell>
          <cell r="I1524">
            <v>750</v>
          </cell>
        </row>
        <row r="1525">
          <cell r="B1525" t="str">
            <v>RML-POLY-WAD-180GSMX86</v>
          </cell>
          <cell r="C1525" t="str">
            <v>POLYESTER WADDING 180 GSM X 86" WIDTH</v>
          </cell>
          <cell r="D1525" t="str">
            <v>MTR</v>
          </cell>
          <cell r="E1525" t="str">
            <v>CBERM</v>
          </cell>
          <cell r="F1525">
            <v>750</v>
          </cell>
          <cell r="G1525">
            <v>750</v>
          </cell>
          <cell r="H1525">
            <v>100</v>
          </cell>
          <cell r="I1525">
            <v>100</v>
          </cell>
        </row>
        <row r="1526">
          <cell r="B1526" t="str">
            <v>FBR-INS-REB-MEM-PNL-GRY</v>
          </cell>
          <cell r="C1526" t="str">
            <v>INSPREE REBONDED MEMORY GREY PANEL FABRIC</v>
          </cell>
          <cell r="D1526" t="str">
            <v>MTR</v>
          </cell>
          <cell r="E1526" t="str">
            <v>CBERM</v>
          </cell>
          <cell r="F1526">
            <v>100</v>
          </cell>
          <cell r="G1526">
            <v>100</v>
          </cell>
          <cell r="H1526">
            <v>1000</v>
          </cell>
          <cell r="I1526">
            <v>500</v>
          </cell>
        </row>
        <row r="1527">
          <cell r="B1527" t="str">
            <v>RML-ITALIANO-ENCH-MATT-TAG</v>
          </cell>
          <cell r="C1527" t="str">
            <v>ITALINO MATTRESS TAG (ENCHANTO) CARD SIZE (83MM X44MM)</v>
          </cell>
          <cell r="D1527" t="str">
            <v>NOS</v>
          </cell>
          <cell r="E1527" t="str">
            <v>CBERM</v>
          </cell>
          <cell r="F1527">
            <v>500</v>
          </cell>
          <cell r="G1527">
            <v>500</v>
          </cell>
          <cell r="H1527">
            <v>100</v>
          </cell>
          <cell r="I1527">
            <v>50</v>
          </cell>
        </row>
        <row r="1528">
          <cell r="B1528" t="str">
            <v>RML-ITALIANO-ICO-MATT-TAG</v>
          </cell>
          <cell r="C1528" t="str">
            <v>ITALINO MATTRESS TAG (ICONA)   CARD SIZE (83MM X44MM)</v>
          </cell>
          <cell r="D1528" t="str">
            <v>NOS</v>
          </cell>
          <cell r="E1528" t="str">
            <v>CBERM</v>
          </cell>
          <cell r="F1528">
            <v>50</v>
          </cell>
          <cell r="G1528">
            <v>50</v>
          </cell>
          <cell r="H1528">
            <v>100</v>
          </cell>
          <cell r="I1528">
            <v>0</v>
          </cell>
        </row>
        <row r="1529">
          <cell r="B1529" t="str">
            <v>FBR-KOZBOND-PNL-BLUE</v>
          </cell>
          <cell r="C1529" t="str">
            <v>KOZYBOND PANEL FABRIC DARK BLUE</v>
          </cell>
          <cell r="D1529" t="str">
            <v>MTR</v>
          </cell>
          <cell r="E1529" t="str">
            <v>CBERM</v>
          </cell>
          <cell r="F1529">
            <v>0</v>
          </cell>
          <cell r="G1529">
            <v>0</v>
          </cell>
          <cell r="H1529">
            <v>1500</v>
          </cell>
          <cell r="I1529">
            <v>500</v>
          </cell>
        </row>
        <row r="1530">
          <cell r="B1530" t="str">
            <v>RML-HYP-FOLD-INS</v>
          </cell>
          <cell r="C1530" t="str">
            <v>HYPNOS FOLDABLE MATTRESS INSERTER</v>
          </cell>
          <cell r="D1530" t="str">
            <v>NOS</v>
          </cell>
          <cell r="E1530" t="str">
            <v>CBERM</v>
          </cell>
          <cell r="F1530">
            <v>500</v>
          </cell>
          <cell r="G1530">
            <v>500</v>
          </cell>
          <cell r="H1530">
            <v>500</v>
          </cell>
          <cell r="I1530">
            <v>0</v>
          </cell>
        </row>
        <row r="1531">
          <cell r="B1531" t="str">
            <v>FBR-VIS-BON-PNL-FAB</v>
          </cell>
          <cell r="C1531" t="str">
            <v>VISTA BOND PANEL FABRIC</v>
          </cell>
          <cell r="D1531" t="str">
            <v>MTR</v>
          </cell>
          <cell r="E1531" t="str">
            <v>CBERM</v>
          </cell>
          <cell r="F1531">
            <v>0</v>
          </cell>
          <cell r="G1531">
            <v>0</v>
          </cell>
          <cell r="H1531">
            <v>3500</v>
          </cell>
          <cell r="I1531">
            <v>15000</v>
          </cell>
        </row>
        <row r="1532">
          <cell r="B1532" t="str">
            <v>RMI-HCTNF-77.50X71.50.</v>
          </cell>
          <cell r="C1532" t="str">
            <v>COTTON FELT 196.85CM X 181.61CM X 6MM - 700gsm ( 77.50" x 71.50" )</v>
          </cell>
          <cell r="D1532" t="str">
            <v>KGS</v>
          </cell>
          <cell r="E1532" t="str">
            <v>CBERM</v>
          </cell>
          <cell r="F1532">
            <v>15000</v>
          </cell>
          <cell r="G1532">
            <v>15000</v>
          </cell>
          <cell r="H1532">
            <v>12500</v>
          </cell>
          <cell r="I1532">
            <v>16000</v>
          </cell>
        </row>
        <row r="1533">
          <cell r="B1533" t="str">
            <v>RML-LDPE-PLN-17X25+4-200G</v>
          </cell>
          <cell r="C1533" t="str">
            <v>PILLOW LDPE PLAIN SEAL KING BAG 17X25+4 - 200G</v>
          </cell>
          <cell r="D1533" t="str">
            <v>NOS</v>
          </cell>
          <cell r="E1533" t="str">
            <v>CBERM</v>
          </cell>
          <cell r="F1533">
            <v>16000</v>
          </cell>
          <cell r="G1533">
            <v>16000</v>
          </cell>
          <cell r="H1533">
            <v>2500</v>
          </cell>
          <cell r="I1533">
            <v>0</v>
          </cell>
        </row>
        <row r="1534">
          <cell r="B1534" t="str">
            <v>FBR-SANI-MF-BR-PUR-10</v>
          </cell>
          <cell r="C1534" t="str">
            <v>SANIBEL MEMORY PURPLE 10" BORDER FABRIC</v>
          </cell>
          <cell r="D1534" t="str">
            <v>MTR</v>
          </cell>
          <cell r="E1534" t="str">
            <v>CBERM</v>
          </cell>
          <cell r="F1534">
            <v>0</v>
          </cell>
          <cell r="G1534">
            <v>0</v>
          </cell>
          <cell r="H1534">
            <v>500</v>
          </cell>
          <cell r="I1534">
            <v>0</v>
          </cell>
        </row>
        <row r="1535">
          <cell r="B1535" t="str">
            <v>FBR-SUPR-BR-BG</v>
          </cell>
          <cell r="C1535" t="str">
            <v>PEPS SUPREME KNITTED BEIGE BORDER FABRIC</v>
          </cell>
          <cell r="D1535" t="str">
            <v>MTR</v>
          </cell>
          <cell r="E1535" t="str">
            <v>CBERM</v>
          </cell>
          <cell r="F1535">
            <v>0</v>
          </cell>
          <cell r="G1535">
            <v>0</v>
          </cell>
          <cell r="H1535">
            <v>2500</v>
          </cell>
          <cell r="I1535">
            <v>5000</v>
          </cell>
        </row>
        <row r="1536">
          <cell r="B1536" t="str">
            <v>FBR-SUPR-BR-GRY</v>
          </cell>
          <cell r="C1536" t="str">
            <v>PEPS SUPREME KNITTED GREY BORDER FABRIC</v>
          </cell>
          <cell r="D1536" t="str">
            <v>MTR</v>
          </cell>
          <cell r="E1536" t="str">
            <v>CBERM</v>
          </cell>
          <cell r="F1536">
            <v>5000</v>
          </cell>
          <cell r="G1536">
            <v>5000</v>
          </cell>
          <cell r="H1536">
            <v>2500</v>
          </cell>
          <cell r="I1536">
            <v>5000</v>
          </cell>
        </row>
        <row r="1537">
          <cell r="B1537" t="str">
            <v>FBR-SUPR-PNL-BG</v>
          </cell>
          <cell r="C1537" t="str">
            <v>PEPS SUPREME KNITTED BEIGE PANEL FABRIC</v>
          </cell>
          <cell r="D1537" t="str">
            <v>MTR</v>
          </cell>
          <cell r="E1537" t="str">
            <v>CBERM</v>
          </cell>
          <cell r="F1537">
            <v>5000</v>
          </cell>
          <cell r="G1537">
            <v>5000</v>
          </cell>
          <cell r="H1537">
            <v>4000</v>
          </cell>
          <cell r="I1537">
            <v>8000</v>
          </cell>
        </row>
        <row r="1538">
          <cell r="B1538" t="str">
            <v>FBR-SUPR-PNL-GRY</v>
          </cell>
          <cell r="C1538" t="str">
            <v>PEPS SUPREME KNITTED GREY PANEL FABRIC</v>
          </cell>
          <cell r="D1538" t="str">
            <v>MTR</v>
          </cell>
          <cell r="E1538" t="str">
            <v>CBERM</v>
          </cell>
          <cell r="F1538">
            <v>8000</v>
          </cell>
          <cell r="G1538">
            <v>8000</v>
          </cell>
          <cell r="H1538">
            <v>4000</v>
          </cell>
          <cell r="I1538">
            <v>5500</v>
          </cell>
        </row>
        <row r="1539">
          <cell r="B1539" t="str">
            <v>RML-WSCR-LBL-HYP-FOLD-MAT</v>
          </cell>
          <cell r="C1539" t="str">
            <v>HYPNOS FOLDABLE MATTRESS WASH CARE LABEL</v>
          </cell>
          <cell r="D1539" t="str">
            <v>NOS</v>
          </cell>
          <cell r="E1539" t="str">
            <v>CBERM</v>
          </cell>
          <cell r="F1539">
            <v>5500</v>
          </cell>
          <cell r="G1539">
            <v>5500</v>
          </cell>
          <cell r="H1539">
            <v>500</v>
          </cell>
          <cell r="I1539">
            <v>0</v>
          </cell>
        </row>
        <row r="1540">
          <cell r="B1540" t="str">
            <v>FBR-COMF-PNL-GRY</v>
          </cell>
          <cell r="C1540" t="str">
            <v>PEPS COMFORT KNITTED GREY PANEL FABRIC</v>
          </cell>
          <cell r="D1540" t="str">
            <v>MTR</v>
          </cell>
          <cell r="E1540" t="str">
            <v>CBERM</v>
          </cell>
          <cell r="F1540">
            <v>0</v>
          </cell>
          <cell r="G1540">
            <v>0</v>
          </cell>
          <cell r="H1540">
            <v>5000</v>
          </cell>
          <cell r="I1540">
            <v>5000</v>
          </cell>
        </row>
        <row r="1541">
          <cell r="B1541" t="str">
            <v>RML-EPE1650MMX140MMX25MM</v>
          </cell>
          <cell r="C1541" t="str">
            <v>EXPANDED POLYTHYLENE SHEETS 1650MMX140MMX25MM</v>
          </cell>
          <cell r="D1541" t="str">
            <v>NOS</v>
          </cell>
          <cell r="E1541" t="str">
            <v>CBERM</v>
          </cell>
          <cell r="F1541">
            <v>5000</v>
          </cell>
          <cell r="G1541">
            <v>5000</v>
          </cell>
          <cell r="H1541">
            <v>700</v>
          </cell>
          <cell r="I1541">
            <v>0</v>
          </cell>
        </row>
        <row r="1542">
          <cell r="B1542" t="str">
            <v>RML-DRN-LBL-FUS</v>
          </cell>
          <cell r="C1542" t="str">
            <v>MRP BACK PLAIN-DIRECTION-E-WARRANTY LABEL FUSING TYPE</v>
          </cell>
          <cell r="D1542" t="str">
            <v>NOS</v>
          </cell>
          <cell r="E1542" t="str">
            <v>CBERM</v>
          </cell>
          <cell r="F1542">
            <v>0</v>
          </cell>
          <cell r="G1542">
            <v>0</v>
          </cell>
          <cell r="H1542">
            <v>12000</v>
          </cell>
          <cell r="I1542">
            <v>0</v>
          </cell>
        </row>
        <row r="1543">
          <cell r="B1543" t="str">
            <v>FBR-SOF-BED-ASH-FAB</v>
          </cell>
          <cell r="C1543" t="str">
            <v>Sofa Cum Bed Ash Colour Fabric</v>
          </cell>
          <cell r="D1543" t="str">
            <v>MTR</v>
          </cell>
          <cell r="E1543" t="str">
            <v>CBERM</v>
          </cell>
          <cell r="F1543">
            <v>0</v>
          </cell>
          <cell r="G1543">
            <v>0</v>
          </cell>
          <cell r="H1543">
            <v>1000</v>
          </cell>
          <cell r="I1543">
            <v>0</v>
          </cell>
        </row>
        <row r="1544">
          <cell r="B1544" t="str">
            <v>FBR-SOF-BED-LI-YEL-FAB</v>
          </cell>
          <cell r="C1544" t="str">
            <v>Sofa Cum Bed Light Yellow Colour Fabric</v>
          </cell>
          <cell r="D1544" t="str">
            <v>MTR</v>
          </cell>
          <cell r="E1544" t="str">
            <v>CBERM</v>
          </cell>
          <cell r="F1544">
            <v>0</v>
          </cell>
          <cell r="G1544">
            <v>0</v>
          </cell>
          <cell r="H1544">
            <v>1000</v>
          </cell>
          <cell r="I1544">
            <v>0</v>
          </cell>
        </row>
        <row r="1545">
          <cell r="B1545" t="str">
            <v>RML-PIL-BAG</v>
          </cell>
          <cell r="C1545" t="str">
            <v>PILLOW PVC BAG 19.5"X11.25"X3.5"G -10 MM THICKNESS</v>
          </cell>
          <cell r="D1545" t="str">
            <v>NOS</v>
          </cell>
          <cell r="E1545" t="str">
            <v>CBERM</v>
          </cell>
          <cell r="F1545">
            <v>0</v>
          </cell>
          <cell r="G1545">
            <v>0</v>
          </cell>
          <cell r="H1545">
            <v>150</v>
          </cell>
          <cell r="I1545">
            <v>0</v>
          </cell>
        </row>
        <row r="1546">
          <cell r="B1546" t="str">
            <v>RML-CIR-MRP-LBL</v>
          </cell>
          <cell r="C1546" t="str">
            <v>CIRRUS MATTRESS MRP LABEL</v>
          </cell>
          <cell r="D1546" t="str">
            <v>NOS</v>
          </cell>
          <cell r="E1546" t="str">
            <v>CBERM</v>
          </cell>
          <cell r="F1546">
            <v>0</v>
          </cell>
          <cell r="G1546">
            <v>0</v>
          </cell>
          <cell r="H1546">
            <v>15000</v>
          </cell>
          <cell r="I1546">
            <v>10000</v>
          </cell>
        </row>
        <row r="1547">
          <cell r="B1547" t="str">
            <v>RML-INSP-ED-TAPE-ORN</v>
          </cell>
          <cell r="C1547" t="str">
            <v>INSPREE EDGE TAPE ORANGE</v>
          </cell>
          <cell r="D1547" t="str">
            <v>MTR</v>
          </cell>
          <cell r="E1547" t="str">
            <v>CBERM</v>
          </cell>
          <cell r="F1547">
            <v>10000</v>
          </cell>
          <cell r="G1547">
            <v>10000</v>
          </cell>
          <cell r="H1547">
            <v>7200</v>
          </cell>
          <cell r="I1547">
            <v>10000</v>
          </cell>
        </row>
        <row r="1548">
          <cell r="B1548" t="str">
            <v>RML-INSP-ED-TAPE-GREN</v>
          </cell>
          <cell r="C1548" t="str">
            <v>INSPREE EDGE TAPE GREEN</v>
          </cell>
          <cell r="D1548" t="str">
            <v>MTR</v>
          </cell>
          <cell r="E1548" t="str">
            <v>CBERM</v>
          </cell>
          <cell r="F1548">
            <v>10000</v>
          </cell>
          <cell r="G1548">
            <v>10000</v>
          </cell>
          <cell r="H1548">
            <v>7200</v>
          </cell>
          <cell r="I1548">
            <v>10000</v>
          </cell>
        </row>
        <row r="1549">
          <cell r="B1549" t="str">
            <v>RML-INSP-ED-TAPE-MRN</v>
          </cell>
          <cell r="C1549" t="str">
            <v>INSPREE EDGE TAPE MEROON</v>
          </cell>
          <cell r="D1549" t="str">
            <v>MTR</v>
          </cell>
          <cell r="E1549" t="str">
            <v>CBERM</v>
          </cell>
          <cell r="F1549">
            <v>10000</v>
          </cell>
          <cell r="G1549">
            <v>10000</v>
          </cell>
          <cell r="H1549">
            <v>7200</v>
          </cell>
          <cell r="I1549">
            <v>10000</v>
          </cell>
        </row>
        <row r="1550">
          <cell r="B1550" t="str">
            <v>RML-INSP-ED-TAPE-BLUE</v>
          </cell>
          <cell r="C1550" t="str">
            <v>INSPREE EDGE TAPE BLUE</v>
          </cell>
          <cell r="D1550" t="str">
            <v>MTR</v>
          </cell>
          <cell r="E1550" t="str">
            <v>CBERM</v>
          </cell>
          <cell r="F1550">
            <v>10000</v>
          </cell>
          <cell r="G1550">
            <v>10000</v>
          </cell>
          <cell r="H1550">
            <v>7200</v>
          </cell>
          <cell r="I1550">
            <v>10000</v>
          </cell>
        </row>
        <row r="1551">
          <cell r="B1551" t="str">
            <v>RML-NOV-FR-ED-TAPE</v>
          </cell>
          <cell r="C1551" t="str">
            <v>NOVOTEL FR EDGE TAPE</v>
          </cell>
          <cell r="D1551" t="str">
            <v>MTR</v>
          </cell>
          <cell r="E1551" t="str">
            <v>CBERM</v>
          </cell>
          <cell r="F1551">
            <v>10000</v>
          </cell>
          <cell r="G1551">
            <v>10000</v>
          </cell>
          <cell r="H1551">
            <v>7200</v>
          </cell>
          <cell r="I1551">
            <v>10000</v>
          </cell>
        </row>
        <row r="1552">
          <cell r="B1552" t="str">
            <v>RML-CB-CIR</v>
          </cell>
          <cell r="C1552" t="str">
            <v>PEPS CIRRUS CENTRE BAND (Pink Colour)</v>
          </cell>
          <cell r="D1552" t="str">
            <v>KGS</v>
          </cell>
          <cell r="E1552" t="str">
            <v>CBERM</v>
          </cell>
          <cell r="F1552">
            <v>10000</v>
          </cell>
          <cell r="G1552">
            <v>10000</v>
          </cell>
          <cell r="H1552">
            <v>600</v>
          </cell>
          <cell r="I1552">
            <v>750</v>
          </cell>
        </row>
        <row r="1553">
          <cell r="B1553" t="str">
            <v>RML-BAK-NO-TURN-FUS</v>
          </cell>
          <cell r="C1553" t="str">
            <v>MRP BACK PLAIN+NO TURN+E-WARRANTY LABEL FUSING TYPE</v>
          </cell>
          <cell r="D1553" t="str">
            <v>NOS</v>
          </cell>
          <cell r="E1553" t="str">
            <v>CBERM</v>
          </cell>
          <cell r="F1553">
            <v>750</v>
          </cell>
          <cell r="G1553">
            <v>750</v>
          </cell>
          <cell r="H1553">
            <v>12000</v>
          </cell>
          <cell r="I1553">
            <v>0</v>
          </cell>
        </row>
        <row r="1554">
          <cell r="B1554" t="str">
            <v>RML-CIR-FOM-SDE-LBL</v>
          </cell>
          <cell r="C1554" t="str">
            <v>CIRRUS Foamera SIDE LABEL</v>
          </cell>
          <cell r="D1554" t="str">
            <v>NOS</v>
          </cell>
          <cell r="E1554" t="str">
            <v>CBERM</v>
          </cell>
          <cell r="F1554">
            <v>0</v>
          </cell>
          <cell r="G1554">
            <v>0</v>
          </cell>
          <cell r="H1554">
            <v>500</v>
          </cell>
          <cell r="I1554">
            <v>100</v>
          </cell>
        </row>
        <row r="1555">
          <cell r="B1555" t="str">
            <v>RML-CS-CIR-4.25</v>
          </cell>
          <cell r="C1555" t="str">
            <v>CIRRUS CORNER SHOES 4.25"</v>
          </cell>
          <cell r="D1555" t="str">
            <v>NOS</v>
          </cell>
          <cell r="E1555" t="str">
            <v>CBERM</v>
          </cell>
          <cell r="F1555">
            <v>100</v>
          </cell>
          <cell r="G1555">
            <v>100</v>
          </cell>
          <cell r="H1555">
            <v>0</v>
          </cell>
          <cell r="I1555">
            <v>0</v>
          </cell>
        </row>
        <row r="1556">
          <cell r="B1556" t="str">
            <v>RML-PEPS-SOF-BED-LBL</v>
          </cell>
          <cell r="C1556" t="str">
            <v>Peps Sofa Cum Bed Label</v>
          </cell>
          <cell r="D1556" t="str">
            <v>NOS</v>
          </cell>
          <cell r="E1556" t="str">
            <v>CBERM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</row>
        <row r="1557">
          <cell r="B1557" t="str">
            <v>RML-BUB-SHT</v>
          </cell>
          <cell r="C1557" t="str">
            <v>Bubble Sheet Width 60 Inch</v>
          </cell>
          <cell r="D1557" t="str">
            <v>MTR</v>
          </cell>
          <cell r="E1557" t="str">
            <v>CBERM</v>
          </cell>
          <cell r="F1557">
            <v>0</v>
          </cell>
          <cell r="G1557">
            <v>0</v>
          </cell>
          <cell r="H1557">
            <v>500</v>
          </cell>
          <cell r="I1557">
            <v>0</v>
          </cell>
        </row>
        <row r="1558">
          <cell r="B1558" t="str">
            <v>RML-MRP-BACK-LBL-260-100-FUS</v>
          </cell>
          <cell r="C1558" t="str">
            <v>MRP BACK LABEL 260MMX100MM FUSING TYPE</v>
          </cell>
          <cell r="D1558" t="str">
            <v>NOS</v>
          </cell>
          <cell r="E1558" t="str">
            <v>CBERM</v>
          </cell>
          <cell r="F1558">
            <v>0</v>
          </cell>
          <cell r="G1558">
            <v>0</v>
          </cell>
          <cell r="H1558">
            <v>10000</v>
          </cell>
          <cell r="I1558">
            <v>0</v>
          </cell>
        </row>
        <row r="1559">
          <cell r="B1559" t="str">
            <v>RML-MRP-BACK-LBL-260-92-FUS</v>
          </cell>
          <cell r="C1559" t="str">
            <v>MRP BACK LABEL 260MMX92MM FUSING TYPE</v>
          </cell>
          <cell r="D1559" t="str">
            <v>NOS</v>
          </cell>
          <cell r="E1559" t="str">
            <v>CBERM</v>
          </cell>
          <cell r="F1559">
            <v>0</v>
          </cell>
          <cell r="G1559">
            <v>0</v>
          </cell>
          <cell r="H1559">
            <v>5000</v>
          </cell>
          <cell r="I1559">
            <v>10000</v>
          </cell>
        </row>
        <row r="1560">
          <cell r="B1560" t="str">
            <v>RML-CIR-INS-MEM-SDE-LBL-FUS</v>
          </cell>
          <cell r="C1560" t="str">
            <v>CIRRUS INSPREE MEMORY SIDE LABEL (FUSING TYPE)</v>
          </cell>
          <cell r="D1560" t="str">
            <v>NOS</v>
          </cell>
          <cell r="E1560" t="str">
            <v>CBERM</v>
          </cell>
          <cell r="F1560">
            <v>10000</v>
          </cell>
          <cell r="G1560">
            <v>10000</v>
          </cell>
          <cell r="H1560">
            <v>500</v>
          </cell>
          <cell r="I1560">
            <v>0</v>
          </cell>
        </row>
        <row r="1561">
          <cell r="B1561" t="str">
            <v>RML-CIR-INS-SDE-LBL-FUS</v>
          </cell>
          <cell r="C1561" t="str">
            <v>CIRRUS INSPREE SIDE LABEL (FUSING TYPE)</v>
          </cell>
          <cell r="D1561" t="str">
            <v>NOS</v>
          </cell>
          <cell r="E1561" t="str">
            <v>CBERM</v>
          </cell>
          <cell r="F1561">
            <v>0</v>
          </cell>
          <cell r="G1561">
            <v>0</v>
          </cell>
          <cell r="H1561">
            <v>500</v>
          </cell>
          <cell r="I1561">
            <v>0</v>
          </cell>
        </row>
        <row r="1562">
          <cell r="B1562" t="str">
            <v>RML-CIR-MEM-SDE-LBL-FUS</v>
          </cell>
          <cell r="C1562" t="str">
            <v>CIRRUS MEMORIO SIDE LABEL (FUSING TYPE)</v>
          </cell>
          <cell r="D1562" t="str">
            <v>NOS</v>
          </cell>
          <cell r="E1562" t="str">
            <v>CBERM</v>
          </cell>
          <cell r="F1562">
            <v>0</v>
          </cell>
          <cell r="G1562">
            <v>0</v>
          </cell>
          <cell r="H1562">
            <v>500</v>
          </cell>
          <cell r="I1562">
            <v>0</v>
          </cell>
        </row>
        <row r="1563">
          <cell r="B1563" t="str">
            <v>RML-CIR-MEM-ULT-SDE-LBL-FUS</v>
          </cell>
          <cell r="C1563" t="str">
            <v>CIRRUS MEMORIO ULTRA SIDE LABEL (FUSING TYPE)</v>
          </cell>
          <cell r="D1563" t="str">
            <v>NOS</v>
          </cell>
          <cell r="E1563" t="str">
            <v>CBERM</v>
          </cell>
          <cell r="F1563">
            <v>0</v>
          </cell>
          <cell r="G1563">
            <v>0</v>
          </cell>
          <cell r="H1563">
            <v>200</v>
          </cell>
          <cell r="I1563">
            <v>0</v>
          </cell>
        </row>
        <row r="1564">
          <cell r="B1564" t="str">
            <v>RML-CIR-FOM-SDE-LBL-FUS</v>
          </cell>
          <cell r="C1564" t="str">
            <v>CIRRUS FOAMERA SIDE LABEL (FUSING TYPE)</v>
          </cell>
          <cell r="D1564" t="str">
            <v>NOS</v>
          </cell>
          <cell r="E1564" t="str">
            <v>CBERM</v>
          </cell>
          <cell r="F1564">
            <v>0</v>
          </cell>
          <cell r="G1564">
            <v>0</v>
          </cell>
          <cell r="H1564">
            <v>500</v>
          </cell>
          <cell r="I1564">
            <v>0</v>
          </cell>
        </row>
        <row r="1565">
          <cell r="B1565" t="str">
            <v>RML-CIR-INS-LAT-SDE-LBL-FUS</v>
          </cell>
          <cell r="C1565" t="str">
            <v>CIRRUS INSPREE LATEX SIDE LABEL (FUSING TYPE)</v>
          </cell>
          <cell r="D1565" t="str">
            <v>NOS</v>
          </cell>
          <cell r="E1565" t="str">
            <v>CBERM</v>
          </cell>
          <cell r="F1565">
            <v>0</v>
          </cell>
          <cell r="G1565">
            <v>0</v>
          </cell>
          <cell r="H1565">
            <v>500</v>
          </cell>
          <cell r="I1565">
            <v>0</v>
          </cell>
        </row>
        <row r="1566">
          <cell r="B1566" t="str">
            <v>RML-CIR-INS-SDE-LBL-4INC-FUS</v>
          </cell>
          <cell r="C1566" t="str">
            <v>CIRRUS INSPREE SIDE LABEL 4 INCH MATTRESS (FUSING TYPE)</v>
          </cell>
          <cell r="D1566" t="str">
            <v>NOS</v>
          </cell>
          <cell r="E1566" t="str">
            <v>CBERM</v>
          </cell>
          <cell r="F1566">
            <v>0</v>
          </cell>
          <cell r="G1566">
            <v>0</v>
          </cell>
          <cell r="H1566">
            <v>500</v>
          </cell>
          <cell r="I1566">
            <v>0</v>
          </cell>
        </row>
        <row r="1567">
          <cell r="B1567" t="str">
            <v>RML-CIR-KOZBRE-SDE-LBL-FUS</v>
          </cell>
          <cell r="C1567" t="str">
            <v>CIRRUS KOZYBREEZ SIDE LABEL (FUSING TYPE)</v>
          </cell>
          <cell r="D1567" t="str">
            <v>NOS</v>
          </cell>
          <cell r="E1567" t="str">
            <v>CBERM</v>
          </cell>
          <cell r="F1567">
            <v>0</v>
          </cell>
          <cell r="G1567">
            <v>0</v>
          </cell>
          <cell r="H1567">
            <v>1000</v>
          </cell>
          <cell r="I1567">
            <v>0</v>
          </cell>
        </row>
        <row r="1568">
          <cell r="B1568" t="str">
            <v>RML-CIR-SPS-SDE-LBL-FUS</v>
          </cell>
          <cell r="C1568" t="str">
            <v>CIRRUS SPINE SAFE SIDE LABEL (FUSING TYPE)</v>
          </cell>
          <cell r="D1568" t="str">
            <v>NOS</v>
          </cell>
          <cell r="E1568" t="str">
            <v>CBERM</v>
          </cell>
          <cell r="F1568">
            <v>0</v>
          </cell>
          <cell r="G1568">
            <v>0</v>
          </cell>
          <cell r="H1568">
            <v>250</v>
          </cell>
          <cell r="I1568">
            <v>0</v>
          </cell>
        </row>
        <row r="1569">
          <cell r="B1569" t="str">
            <v>RML-CIR-VIS-BON-SDE-LBL-FUS</v>
          </cell>
          <cell r="C1569" t="str">
            <v>CIRRUS VISTA BOND SIDE LABEL (FUSING TYPE)</v>
          </cell>
          <cell r="D1569" t="str">
            <v>NOS</v>
          </cell>
          <cell r="E1569" t="str">
            <v>CBERM</v>
          </cell>
          <cell r="F1569">
            <v>0</v>
          </cell>
          <cell r="G1569">
            <v>0</v>
          </cell>
          <cell r="H1569">
            <v>2000</v>
          </cell>
          <cell r="I1569">
            <v>5000</v>
          </cell>
        </row>
        <row r="1570">
          <cell r="B1570" t="str">
            <v>RML-CIR-INS-LAT-SDE-LBL-4INC-FUS</v>
          </cell>
          <cell r="C1570" t="str">
            <v>CIRRUS INSPREE LATEX SIDE LABELÂ  4 INCH MATTRESS (FUSING TYPE)</v>
          </cell>
          <cell r="D1570" t="str">
            <v>NOS</v>
          </cell>
          <cell r="E1570" t="str">
            <v>CBERM</v>
          </cell>
          <cell r="F1570">
            <v>5000</v>
          </cell>
          <cell r="G1570">
            <v>5000</v>
          </cell>
          <cell r="H1570">
            <v>250</v>
          </cell>
          <cell r="I1570">
            <v>0</v>
          </cell>
        </row>
        <row r="1571">
          <cell r="B1571" t="str">
            <v>RML-CIR-INS-MEM-SDE-LBL-4INC-FUS</v>
          </cell>
          <cell r="C1571" t="str">
            <v>CIRRUS INSPREE MEMORY SIDE LABEL 4 INCH MATTRESS (FUSING TYPE)</v>
          </cell>
          <cell r="D1571" t="str">
            <v>NOS</v>
          </cell>
          <cell r="E1571" t="str">
            <v>CBERM</v>
          </cell>
          <cell r="F1571">
            <v>0</v>
          </cell>
          <cell r="G1571">
            <v>0</v>
          </cell>
          <cell r="H1571">
            <v>230</v>
          </cell>
          <cell r="I1571">
            <v>0</v>
          </cell>
        </row>
        <row r="1572">
          <cell r="B1572" t="str">
            <v>STY-PAPER-WHT</v>
          </cell>
          <cell r="C1572" t="str">
            <v>PAPER WEIGHT</v>
          </cell>
          <cell r="D1572" t="str">
            <v>NOS</v>
          </cell>
          <cell r="E1572" t="str">
            <v>CBERM</v>
          </cell>
          <cell r="F1572">
            <v>0</v>
          </cell>
          <cell r="G1572">
            <v>0</v>
          </cell>
          <cell r="H1572">
            <v>5</v>
          </cell>
          <cell r="I1572">
            <v>0</v>
          </cell>
        </row>
        <row r="1573">
          <cell r="B1573" t="str">
            <v>RMD-PLYWOOD6X4X18</v>
          </cell>
          <cell r="C1573" t="str">
            <v>PLY WOOD 6X4X18MM</v>
          </cell>
          <cell r="D1573" t="str">
            <v>NOS</v>
          </cell>
          <cell r="E1573" t="str">
            <v>CBERM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</row>
        <row r="1574">
          <cell r="B1574" t="str">
            <v>RML-CB-HYP</v>
          </cell>
          <cell r="C1574" t="str">
            <v>PEPS HYPNOS CENTRE BAND</v>
          </cell>
          <cell r="D1574" t="str">
            <v>KGS</v>
          </cell>
          <cell r="E1574" t="str">
            <v>CBERM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</row>
        <row r="1575">
          <cell r="B1575" t="str">
            <v>RML-CIR-MINI-SAMPLE-MRP-LBL</v>
          </cell>
          <cell r="C1575" t="str">
            <v>CIRRUS MATTRESS MINI SAMPLE MRP LABEL</v>
          </cell>
          <cell r="D1575" t="str">
            <v>NOS</v>
          </cell>
          <cell r="E1575" t="str">
            <v>CBERM</v>
          </cell>
          <cell r="F1575">
            <v>0</v>
          </cell>
          <cell r="G1575">
            <v>0</v>
          </cell>
          <cell r="H1575">
            <v>2000</v>
          </cell>
          <cell r="I1575">
            <v>0</v>
          </cell>
        </row>
        <row r="1576">
          <cell r="B1576" t="str">
            <v>RML-CIR-WARR-CRD-DEL</v>
          </cell>
          <cell r="C1576" t="str">
            <v>CIRRUS MATT RETAIL WARRANTY CARD (DELHI ADDRESS)</v>
          </cell>
          <cell r="D1576" t="str">
            <v>NOS</v>
          </cell>
          <cell r="E1576" t="str">
            <v>CBERM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</row>
        <row r="1577">
          <cell r="B1577" t="str">
            <v>RML-CIR-WARR-CRD-KOL</v>
          </cell>
          <cell r="C1577" t="str">
            <v>CIRRUS MATT RETAIL WARRANTY CARD (KOLKATA ADDRESS)</v>
          </cell>
          <cell r="D1577" t="str">
            <v>NOS</v>
          </cell>
          <cell r="E1577" t="str">
            <v>CBERM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</row>
        <row r="1578">
          <cell r="B1578" t="str">
            <v>RML-CIR-WARR-CRD-PUNE</v>
          </cell>
          <cell r="C1578" t="str">
            <v>CIRRUS MATT RETAIL WARRANTY CARD (PUNE ADDRESS)</v>
          </cell>
          <cell r="D1578" t="str">
            <v>NOS</v>
          </cell>
          <cell r="E1578" t="str">
            <v>CBERM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</row>
        <row r="1579">
          <cell r="B1579" t="str">
            <v>RML-PEP-WARR-CRD-DEL</v>
          </cell>
          <cell r="C1579" t="str">
            <v>PEPS MATT RETAIL WARRANTY CARD (DELHI ADDRESS)</v>
          </cell>
          <cell r="D1579" t="str">
            <v>NOS</v>
          </cell>
          <cell r="E1579" t="str">
            <v>CBERM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</row>
        <row r="1580">
          <cell r="B1580" t="str">
            <v>RML-PEP-WARR-CRD-KOL</v>
          </cell>
          <cell r="C1580" t="str">
            <v>PEPS MATT RETAIL WARRANTY CARD (KOLKATA ADDRESS)</v>
          </cell>
          <cell r="D1580" t="str">
            <v>NOS</v>
          </cell>
          <cell r="E1580" t="str">
            <v>CBERM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</row>
        <row r="1581">
          <cell r="B1581" t="str">
            <v>RML-PEP-WARR-CRD-PUNE</v>
          </cell>
          <cell r="C1581" t="str">
            <v>PEPS MATT RETAIL WARRANTY CARD (PUNE ADDRESS)</v>
          </cell>
          <cell r="D1581" t="str">
            <v>NOS</v>
          </cell>
          <cell r="E1581" t="str">
            <v>CBERM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</row>
        <row r="1582">
          <cell r="B1582" t="str">
            <v>RML-PILLOW-TNDR</v>
          </cell>
          <cell r="C1582" t="str">
            <v>TNDR - POLYESTER FIBER PILLOW 17"x27"</v>
          </cell>
          <cell r="D1582" t="str">
            <v>NOS</v>
          </cell>
          <cell r="E1582" t="str">
            <v>CBERM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</row>
        <row r="1583">
          <cell r="B1583" t="str">
            <v>RM-LTX-78X60X15CM</v>
          </cell>
          <cell r="C1583" t="str">
            <v>PERFO LATEX SHEETS 78 X 60 X 15CM</v>
          </cell>
          <cell r="D1583" t="str">
            <v>NOS</v>
          </cell>
          <cell r="E1583" t="str">
            <v>CBERM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</row>
        <row r="1584">
          <cell r="B1584" t="str">
            <v>HW-CTON-TRD-ASH</v>
          </cell>
          <cell r="C1584" t="str">
            <v>COTTON THREAD ASH 3PLY</v>
          </cell>
          <cell r="D1584" t="str">
            <v>NOS</v>
          </cell>
          <cell r="E1584" t="str">
            <v>CBERM</v>
          </cell>
          <cell r="F1584">
            <v>0</v>
          </cell>
          <cell r="G1584">
            <v>0</v>
          </cell>
          <cell r="H1584">
            <v>10</v>
          </cell>
          <cell r="I1584">
            <v>0</v>
          </cell>
        </row>
        <row r="1585">
          <cell r="B1585" t="str">
            <v>HW-CTON-TRD-YEL</v>
          </cell>
          <cell r="C1585" t="str">
            <v>COTTON THREAD YELLOW 3PLY</v>
          </cell>
          <cell r="D1585" t="str">
            <v>NOS</v>
          </cell>
          <cell r="E1585" t="str">
            <v>CBERM</v>
          </cell>
          <cell r="F1585">
            <v>0</v>
          </cell>
          <cell r="G1585">
            <v>0</v>
          </cell>
          <cell r="H1585">
            <v>10</v>
          </cell>
          <cell r="I1585">
            <v>0</v>
          </cell>
        </row>
        <row r="1586">
          <cell r="B1586" t="str">
            <v>RMI-HCTNF-71.50X35.50.</v>
          </cell>
          <cell r="C1586" t="str">
            <v>COTTON FELT 181.61CM X 90.17CM X 6MM - 700gsm ( 71.50" x 35.50" )</v>
          </cell>
          <cell r="D1586" t="str">
            <v>KGS</v>
          </cell>
          <cell r="E1586" t="str">
            <v>CBERM</v>
          </cell>
          <cell r="F1586">
            <v>0</v>
          </cell>
          <cell r="G1586">
            <v>0</v>
          </cell>
          <cell r="H1586">
            <v>1500</v>
          </cell>
          <cell r="I1586">
            <v>1000</v>
          </cell>
        </row>
        <row r="1587">
          <cell r="B1587" t="str">
            <v>RMI-HCTNF-71.50X47.50.</v>
          </cell>
          <cell r="C1587" t="str">
            <v>COTTON FELT 181.61CM X 120.65CM X 6MM - 700gsm ( 71.50" x 47.50" )</v>
          </cell>
          <cell r="D1587" t="str">
            <v>KGS</v>
          </cell>
          <cell r="E1587" t="str">
            <v>CBERM</v>
          </cell>
          <cell r="F1587">
            <v>1000</v>
          </cell>
          <cell r="G1587">
            <v>1000</v>
          </cell>
          <cell r="H1587">
            <v>2500</v>
          </cell>
          <cell r="I1587">
            <v>3000</v>
          </cell>
        </row>
        <row r="1588">
          <cell r="B1588" t="str">
            <v>RMI-HCTNF-71.50X59.50.</v>
          </cell>
          <cell r="C1588" t="str">
            <v>COTTON FELT 181.61CM X 151.13CM X 6MM - 700gsm ( 71.50" x 59.50" )</v>
          </cell>
          <cell r="D1588" t="str">
            <v>KGS</v>
          </cell>
          <cell r="E1588" t="str">
            <v>CBERM</v>
          </cell>
          <cell r="F1588">
            <v>3000</v>
          </cell>
          <cell r="G1588">
            <v>3000</v>
          </cell>
          <cell r="H1588">
            <v>1500</v>
          </cell>
          <cell r="I1588">
            <v>2000</v>
          </cell>
        </row>
        <row r="1589">
          <cell r="B1589" t="str">
            <v>RMI-HCTNF-74.50X29.50.</v>
          </cell>
          <cell r="C1589" t="str">
            <v>COTTON FELT 189.23CM X 74.93CM X 6MM - 700gsm ( 74.50" x 29.50" )</v>
          </cell>
          <cell r="D1589" t="str">
            <v>KGS</v>
          </cell>
          <cell r="E1589" t="str">
            <v>CBERM</v>
          </cell>
          <cell r="F1589">
            <v>2000</v>
          </cell>
          <cell r="G1589">
            <v>2000</v>
          </cell>
          <cell r="H1589">
            <v>500</v>
          </cell>
          <cell r="I1589">
            <v>500</v>
          </cell>
        </row>
        <row r="1590">
          <cell r="B1590" t="str">
            <v>RMI-HCTNF-74.50X35.50.</v>
          </cell>
          <cell r="C1590" t="str">
            <v>COTTON FELT 189.23CM X 90.17CM X 6MM - 700gsm ( 74.50" x 35.50" )</v>
          </cell>
          <cell r="D1590" t="str">
            <v>KGS</v>
          </cell>
          <cell r="E1590" t="str">
            <v>CBERM</v>
          </cell>
          <cell r="F1590">
            <v>500</v>
          </cell>
          <cell r="G1590">
            <v>500</v>
          </cell>
          <cell r="H1590">
            <v>1500</v>
          </cell>
          <cell r="I1590">
            <v>0</v>
          </cell>
        </row>
        <row r="1591">
          <cell r="B1591" t="str">
            <v>RMI-HCTNF-77.50X35.50.</v>
          </cell>
          <cell r="C1591" t="str">
            <v>COTTON FELT 196.85CM X 90.17CM X 6MM - 700gsm ( 77.50" x 35.50" )</v>
          </cell>
          <cell r="D1591" t="str">
            <v>KGS</v>
          </cell>
          <cell r="E1591" t="str">
            <v>CBERM</v>
          </cell>
          <cell r="F1591">
            <v>0</v>
          </cell>
          <cell r="G1591">
            <v>0</v>
          </cell>
          <cell r="H1591">
            <v>550</v>
          </cell>
          <cell r="I1591">
            <v>0</v>
          </cell>
        </row>
        <row r="1592">
          <cell r="B1592" t="str">
            <v>RMI-HCTNF-77.50X47.50.</v>
          </cell>
          <cell r="C1592" t="str">
            <v>COTTON FELT 196.85CM X 120.65CM X 6MM - 700gsm ( 77.50" x 47.50" )</v>
          </cell>
          <cell r="D1592" t="str">
            <v>KGS</v>
          </cell>
          <cell r="E1592" t="str">
            <v>CBERM</v>
          </cell>
          <cell r="F1592">
            <v>0</v>
          </cell>
          <cell r="G1592">
            <v>0</v>
          </cell>
          <cell r="H1592">
            <v>500</v>
          </cell>
          <cell r="I1592">
            <v>0</v>
          </cell>
        </row>
        <row r="1593">
          <cell r="B1593" t="str">
            <v>RMI-HCTNF-77.50X65.50.</v>
          </cell>
          <cell r="C1593" t="str">
            <v>COTTON FELT 196.85CM X 166.37CM X 6MM - 700gsm ( 77.50" x 65.50" )</v>
          </cell>
          <cell r="D1593" t="str">
            <v>KGS</v>
          </cell>
          <cell r="E1593" t="str">
            <v>CBERM</v>
          </cell>
          <cell r="F1593">
            <v>0</v>
          </cell>
          <cell r="G1593">
            <v>0</v>
          </cell>
          <cell r="H1593">
            <v>1000</v>
          </cell>
          <cell r="I1593">
            <v>0</v>
          </cell>
        </row>
        <row r="1594">
          <cell r="B1594" t="str">
            <v>RML-CIR-LOG-SDE-LBL-FUS</v>
          </cell>
          <cell r="C1594" t="str">
            <v>CIRRUS LOGO SIDE LABEL (FUSING TYPE)</v>
          </cell>
          <cell r="D1594" t="str">
            <v>NOS</v>
          </cell>
          <cell r="E1594" t="str">
            <v>CBERM</v>
          </cell>
          <cell r="F1594">
            <v>0</v>
          </cell>
          <cell r="G1594">
            <v>0</v>
          </cell>
          <cell r="H1594">
            <v>150</v>
          </cell>
          <cell r="I1594">
            <v>1000</v>
          </cell>
        </row>
        <row r="1595">
          <cell r="B1595" t="str">
            <v>RML-CIR-SOF-BED-LBL-FUS</v>
          </cell>
          <cell r="C1595" t="str">
            <v>Cirrus Sofa Cum Bed Label (FUSING TYPE)</v>
          </cell>
          <cell r="D1595" t="str">
            <v>NOS</v>
          </cell>
          <cell r="E1595" t="str">
            <v>CBERM</v>
          </cell>
          <cell r="F1595">
            <v>1000</v>
          </cell>
          <cell r="G1595">
            <v>1000</v>
          </cell>
          <cell r="H1595">
            <v>500</v>
          </cell>
          <cell r="I1595">
            <v>0</v>
          </cell>
        </row>
        <row r="1596">
          <cell r="B1596" t="str">
            <v>RML-CIR-TRI-FOL-BD-WSCR-LBL</v>
          </cell>
          <cell r="C1596" t="str">
            <v>CIRRUS TRI FOLD BED WASH CARE LABEL</v>
          </cell>
          <cell r="D1596" t="str">
            <v>NOS</v>
          </cell>
          <cell r="E1596" t="str">
            <v>CBERM</v>
          </cell>
          <cell r="F1596">
            <v>0</v>
          </cell>
          <cell r="G1596">
            <v>0</v>
          </cell>
          <cell r="H1596">
            <v>500</v>
          </cell>
          <cell r="I1596">
            <v>0</v>
          </cell>
        </row>
        <row r="1597">
          <cell r="B1597" t="str">
            <v>RML-CON-MEM-FOM-PIL-WSCR-LBL</v>
          </cell>
          <cell r="C1597" t="str">
            <v>HYPNOS CONTOUR MEMORY FOAM PILLOW WASH CARE LABEL</v>
          </cell>
          <cell r="D1597" t="str">
            <v>NOS</v>
          </cell>
          <cell r="E1597" t="str">
            <v>CBERM</v>
          </cell>
          <cell r="F1597">
            <v>0</v>
          </cell>
          <cell r="G1597">
            <v>0</v>
          </cell>
          <cell r="H1597">
            <v>500</v>
          </cell>
          <cell r="I1597">
            <v>0</v>
          </cell>
        </row>
        <row r="1598">
          <cell r="B1598" t="str">
            <v>RML-FLXI-TRVL-MATT-WACR-LBL</v>
          </cell>
          <cell r="C1598" t="str">
            <v>HYPNOS FLEXI TRAVEL MATRESS WASH CARE LABEL</v>
          </cell>
          <cell r="D1598" t="str">
            <v>NOS</v>
          </cell>
          <cell r="E1598" t="str">
            <v>CBERM</v>
          </cell>
          <cell r="F1598">
            <v>0</v>
          </cell>
          <cell r="G1598">
            <v>0</v>
          </cell>
          <cell r="H1598">
            <v>500</v>
          </cell>
          <cell r="I1598">
            <v>0</v>
          </cell>
        </row>
        <row r="1599">
          <cell r="B1599" t="str">
            <v>RML-HARD-PILLOW-27X17</v>
          </cell>
          <cell r="C1599" t="str">
            <v>HARD PILLOW 27"X17"</v>
          </cell>
          <cell r="D1599" t="str">
            <v>NOS</v>
          </cell>
          <cell r="E1599" t="str">
            <v>CBERM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</row>
        <row r="1600">
          <cell r="B1600" t="str">
            <v>RML-HYP-100-MEM-FOM-PIL-WSCR-LBL</v>
          </cell>
          <cell r="C1600" t="str">
            <v>HYPNOS 100% MEMORY FOAM PILLOW WASH CARE LABLE</v>
          </cell>
          <cell r="D1600" t="str">
            <v>NOS</v>
          </cell>
          <cell r="E1600" t="str">
            <v>CBERM</v>
          </cell>
          <cell r="F1600">
            <v>0</v>
          </cell>
          <cell r="G1600">
            <v>0</v>
          </cell>
          <cell r="H1600">
            <v>500</v>
          </cell>
          <cell r="I1600">
            <v>0</v>
          </cell>
        </row>
        <row r="1601">
          <cell r="B1601" t="str">
            <v>RML-HYP-CON-PLW-STK</v>
          </cell>
          <cell r="C1601" t="str">
            <v>HYPNOS CONTOUR MEMORY FOAM PILLOW ROUND STICKER</v>
          </cell>
          <cell r="D1601" t="str">
            <v>NOS</v>
          </cell>
          <cell r="E1601" t="str">
            <v>CBERM</v>
          </cell>
          <cell r="F1601">
            <v>0</v>
          </cell>
          <cell r="G1601">
            <v>0</v>
          </cell>
          <cell r="H1601">
            <v>200</v>
          </cell>
          <cell r="I1601">
            <v>0</v>
          </cell>
        </row>
        <row r="1602">
          <cell r="B1602" t="str">
            <v>RML-HYP-FIB-PLW-STK</v>
          </cell>
          <cell r="C1602" t="str">
            <v>HYPNOS FIBER PILLOW ROUND STICKER</v>
          </cell>
          <cell r="D1602" t="str">
            <v>NOS</v>
          </cell>
          <cell r="E1602" t="str">
            <v>CBERM</v>
          </cell>
          <cell r="F1602">
            <v>0</v>
          </cell>
          <cell r="G1602">
            <v>0</v>
          </cell>
          <cell r="H1602">
            <v>200</v>
          </cell>
          <cell r="I1602">
            <v>0</v>
          </cell>
        </row>
        <row r="1603">
          <cell r="B1603" t="str">
            <v>RML-HYP-FLXI-NEK-PIL-WSCR-LBL</v>
          </cell>
          <cell r="C1603" t="str">
            <v>HYPNOS FLEXI NECK PILLOW WASH CARE LABEL</v>
          </cell>
          <cell r="D1603" t="str">
            <v>NOS</v>
          </cell>
          <cell r="E1603" t="str">
            <v>CBERM</v>
          </cell>
          <cell r="F1603">
            <v>0</v>
          </cell>
          <cell r="G1603">
            <v>0</v>
          </cell>
          <cell r="H1603">
            <v>500</v>
          </cell>
          <cell r="I1603">
            <v>0</v>
          </cell>
        </row>
        <row r="1604">
          <cell r="B1604" t="str">
            <v>RML-HYP-FLX-PLW-STK</v>
          </cell>
          <cell r="C1604" t="str">
            <v>HYPNOS FLEXI SPINE NECK PILLOW ROUND STICKER</v>
          </cell>
          <cell r="D1604" t="str">
            <v>NOS</v>
          </cell>
          <cell r="E1604" t="str">
            <v>CBERM</v>
          </cell>
          <cell r="F1604">
            <v>0</v>
          </cell>
          <cell r="G1604">
            <v>0</v>
          </cell>
          <cell r="H1604">
            <v>200</v>
          </cell>
          <cell r="I1604">
            <v>0</v>
          </cell>
        </row>
        <row r="1605">
          <cell r="B1605" t="str">
            <v>RML-HYP-LAT-PLW-STK</v>
          </cell>
          <cell r="C1605" t="str">
            <v>HYPNOS LATEX PILLOW ROUND STICKER</v>
          </cell>
          <cell r="D1605" t="str">
            <v>NOS</v>
          </cell>
          <cell r="E1605" t="str">
            <v>CBERM</v>
          </cell>
          <cell r="F1605">
            <v>0</v>
          </cell>
          <cell r="G1605">
            <v>0</v>
          </cell>
          <cell r="H1605">
            <v>200</v>
          </cell>
          <cell r="I1605">
            <v>0</v>
          </cell>
        </row>
        <row r="1606">
          <cell r="B1606" t="str">
            <v>RML-HYP-MEM-PLW-STK</v>
          </cell>
          <cell r="C1606" t="str">
            <v>HYPNOS 100% MEMORY PILLOW ROUND STICKER</v>
          </cell>
          <cell r="D1606" t="str">
            <v>NOS</v>
          </cell>
          <cell r="E1606" t="str">
            <v>CBERM</v>
          </cell>
          <cell r="F1606">
            <v>0</v>
          </cell>
          <cell r="G1606">
            <v>0</v>
          </cell>
          <cell r="H1606">
            <v>200</v>
          </cell>
          <cell r="I1606">
            <v>0</v>
          </cell>
        </row>
        <row r="1607">
          <cell r="B1607" t="str">
            <v>RML-HYP-MRP-LBL-ONL</v>
          </cell>
          <cell r="C1607" t="str">
            <v>HYPNOS MATTRESS MRP LABEL (ONLINE)</v>
          </cell>
          <cell r="D1607" t="str">
            <v>NOS</v>
          </cell>
          <cell r="E1607" t="str">
            <v>CBERM</v>
          </cell>
          <cell r="F1607">
            <v>0</v>
          </cell>
          <cell r="G1607">
            <v>0</v>
          </cell>
          <cell r="H1607">
            <v>2600</v>
          </cell>
          <cell r="I1607">
            <v>0</v>
          </cell>
        </row>
        <row r="1608">
          <cell r="B1608" t="str">
            <v>RML-HYP-PLW-INS</v>
          </cell>
          <cell r="C1608" t="str">
            <v>HYPNOS INSERTER</v>
          </cell>
          <cell r="D1608" t="str">
            <v>NOS</v>
          </cell>
          <cell r="E1608" t="str">
            <v>CBERM</v>
          </cell>
          <cell r="F1608">
            <v>0</v>
          </cell>
          <cell r="G1608">
            <v>0</v>
          </cell>
          <cell r="H1608">
            <v>700</v>
          </cell>
          <cell r="I1608">
            <v>0</v>
          </cell>
        </row>
        <row r="1609">
          <cell r="B1609" t="str">
            <v>RML-HYP-PU-PLW-STK</v>
          </cell>
          <cell r="C1609" t="str">
            <v>HYPNOS PU MOULED PILLOW ROUND STICKER</v>
          </cell>
          <cell r="D1609" t="str">
            <v>NOS</v>
          </cell>
          <cell r="E1609" t="str">
            <v>CBERM</v>
          </cell>
          <cell r="F1609">
            <v>0</v>
          </cell>
          <cell r="G1609">
            <v>0</v>
          </cell>
          <cell r="H1609">
            <v>200</v>
          </cell>
          <cell r="I1609">
            <v>0</v>
          </cell>
        </row>
        <row r="1610">
          <cell r="B1610" t="str">
            <v>RML-HYP-SOF-BED-LBL-FUS</v>
          </cell>
          <cell r="C1610" t="str">
            <v>Hypnos Sofa Cum Bed Label (FUSING TYPE)</v>
          </cell>
          <cell r="D1610" t="str">
            <v>NOS</v>
          </cell>
          <cell r="E1610" t="str">
            <v>CBERM</v>
          </cell>
          <cell r="F1610">
            <v>0</v>
          </cell>
          <cell r="G1610">
            <v>0</v>
          </cell>
          <cell r="H1610">
            <v>500</v>
          </cell>
          <cell r="I1610">
            <v>0</v>
          </cell>
        </row>
        <row r="1611">
          <cell r="B1611" t="str">
            <v>RML-HYP-TRI-FOL-BD-WSCR-LBL</v>
          </cell>
          <cell r="C1611" t="str">
            <v>HYPNOS TRI FOLD BED WASH CARE LABEL</v>
          </cell>
          <cell r="D1611" t="str">
            <v>NOS</v>
          </cell>
          <cell r="E1611" t="str">
            <v>CBERM</v>
          </cell>
          <cell r="F1611">
            <v>0</v>
          </cell>
          <cell r="G1611">
            <v>0</v>
          </cell>
          <cell r="H1611">
            <v>500</v>
          </cell>
          <cell r="I1611">
            <v>0</v>
          </cell>
        </row>
        <row r="1612">
          <cell r="B1612" t="str">
            <v>RML-HYP-TRV-NEK-PIL-WSCR-LBL</v>
          </cell>
          <cell r="C1612" t="str">
            <v>HYPNOS TRAVEL NECK PILLOW WASH CARE LABEL</v>
          </cell>
          <cell r="D1612" t="str">
            <v>NOS</v>
          </cell>
          <cell r="E1612" t="str">
            <v>CBERM</v>
          </cell>
          <cell r="F1612">
            <v>0</v>
          </cell>
          <cell r="G1612">
            <v>0</v>
          </cell>
          <cell r="H1612">
            <v>500</v>
          </cell>
          <cell r="I1612">
            <v>0</v>
          </cell>
        </row>
        <row r="1613">
          <cell r="B1613" t="str">
            <v>RML-HYP-WED-PIL-WSCR-LBL</v>
          </cell>
          <cell r="C1613" t="str">
            <v>HYPNOS WEDGE PILLOW WASH CARE LABEL</v>
          </cell>
          <cell r="D1613" t="str">
            <v>NOS</v>
          </cell>
          <cell r="E1613" t="str">
            <v>CBERM</v>
          </cell>
          <cell r="F1613">
            <v>0</v>
          </cell>
          <cell r="G1613">
            <v>0</v>
          </cell>
          <cell r="H1613">
            <v>500</v>
          </cell>
          <cell r="I1613">
            <v>0</v>
          </cell>
        </row>
        <row r="1614">
          <cell r="B1614" t="str">
            <v>RML-KOM-100-MEM-FOM-PIL-WSCR-LBL</v>
          </cell>
          <cell r="C1614" t="str">
            <v>PEPS KOMFFY 100% MEMORY FOAM PILLOW WASH CARE LABLE</v>
          </cell>
          <cell r="D1614" t="str">
            <v>NOS</v>
          </cell>
          <cell r="E1614" t="str">
            <v>CBERM</v>
          </cell>
          <cell r="F1614">
            <v>0</v>
          </cell>
          <cell r="G1614">
            <v>0</v>
          </cell>
          <cell r="H1614">
            <v>500</v>
          </cell>
          <cell r="I1614">
            <v>0</v>
          </cell>
        </row>
        <row r="1615">
          <cell r="B1615" t="str">
            <v>RML-KOM-MEM-FOM-PIL-WSCR-LBL</v>
          </cell>
          <cell r="C1615" t="str">
            <v>PEPS KOMFFY CONTOUR MEMORY FOAM PILLOW WASH CARE LABEL</v>
          </cell>
          <cell r="D1615" t="str">
            <v>NOS</v>
          </cell>
          <cell r="E1615" t="str">
            <v>CBERM</v>
          </cell>
          <cell r="F1615">
            <v>0</v>
          </cell>
          <cell r="G1615">
            <v>0</v>
          </cell>
          <cell r="H1615">
            <v>500</v>
          </cell>
          <cell r="I1615">
            <v>0</v>
          </cell>
        </row>
        <row r="1616">
          <cell r="B1616" t="str">
            <v>RML-KOM-PLW-INS</v>
          </cell>
          <cell r="C1616" t="str">
            <v>PEPS KOMFFY INSERTER</v>
          </cell>
          <cell r="D1616" t="str">
            <v>NOS</v>
          </cell>
          <cell r="E1616" t="str">
            <v>CBERM</v>
          </cell>
          <cell r="F1616">
            <v>0</v>
          </cell>
          <cell r="G1616">
            <v>0</v>
          </cell>
          <cell r="H1616">
            <v>700</v>
          </cell>
          <cell r="I1616">
            <v>0</v>
          </cell>
        </row>
        <row r="1617">
          <cell r="B1617" t="str">
            <v>RML-KOM-POL-FIB-PIL-WSCR-LBL</v>
          </cell>
          <cell r="C1617" t="str">
            <v>PEPS KOMFFY POLYESTER FIBER PILLOW WASH CARE LABLE</v>
          </cell>
          <cell r="D1617" t="str">
            <v>NOS</v>
          </cell>
          <cell r="E1617" t="str">
            <v>CBERM</v>
          </cell>
          <cell r="F1617">
            <v>0</v>
          </cell>
          <cell r="G1617">
            <v>0</v>
          </cell>
          <cell r="H1617">
            <v>500</v>
          </cell>
          <cell r="I1617">
            <v>0</v>
          </cell>
        </row>
        <row r="1618">
          <cell r="B1618" t="str">
            <v>RML-KOM-WED-PIL-WSCR-LBL</v>
          </cell>
          <cell r="C1618" t="str">
            <v>PEPS KOMFFY WEDGE PILLOW WASH CARE LABEL</v>
          </cell>
          <cell r="D1618" t="str">
            <v>NOS</v>
          </cell>
          <cell r="E1618" t="str">
            <v>CBERM</v>
          </cell>
          <cell r="F1618">
            <v>0</v>
          </cell>
          <cell r="G1618">
            <v>0</v>
          </cell>
          <cell r="H1618">
            <v>500</v>
          </cell>
          <cell r="I1618">
            <v>0</v>
          </cell>
        </row>
        <row r="1619">
          <cell r="B1619" t="str">
            <v>RML-LD-CVR53X80</v>
          </cell>
          <cell r="C1619" t="str">
            <v>LDPE PLAIN COVER 53X80</v>
          </cell>
          <cell r="D1619" t="str">
            <v>KGS</v>
          </cell>
          <cell r="E1619" t="str">
            <v>CBERM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</row>
        <row r="1620">
          <cell r="B1620" t="str">
            <v>RML-LD-CVR575X150</v>
          </cell>
          <cell r="C1620" t="str">
            <v>ROLL PACKING MATTRESS LDPE COVER 575MM X 150 MIC</v>
          </cell>
          <cell r="D1620" t="str">
            <v>KGS</v>
          </cell>
          <cell r="E1620" t="str">
            <v>CBERM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</row>
        <row r="1621">
          <cell r="B1621" t="str">
            <v>RML-LD-CVR65X80</v>
          </cell>
          <cell r="C1621" t="str">
            <v>LDPE PLAIN COVER 65X80</v>
          </cell>
          <cell r="D1621" t="str">
            <v>KGS</v>
          </cell>
          <cell r="E1621" t="str">
            <v>CBERM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</row>
        <row r="1622">
          <cell r="B1622" t="str">
            <v>RML-MOL-PU-FOM-PIL-WSCR-LBL</v>
          </cell>
          <cell r="C1622" t="str">
            <v>HYPNOS MOULDED PU FOAM PILLOW WASH CARE LABLE (BLUE)</v>
          </cell>
          <cell r="D1622" t="str">
            <v>NOS</v>
          </cell>
          <cell r="E1622" t="str">
            <v>CBERM</v>
          </cell>
          <cell r="F1622">
            <v>0</v>
          </cell>
          <cell r="G1622">
            <v>0</v>
          </cell>
          <cell r="H1622">
            <v>500</v>
          </cell>
          <cell r="I1622">
            <v>0</v>
          </cell>
        </row>
        <row r="1623">
          <cell r="B1623" t="str">
            <v>RML-PEP-CON-PLW-STK</v>
          </cell>
          <cell r="C1623" t="str">
            <v>PEPS CONTOUR MEMORY FOAM PILLOW ROUND STICKER</v>
          </cell>
          <cell r="D1623" t="str">
            <v>NOS</v>
          </cell>
          <cell r="E1623" t="str">
            <v>CBERM</v>
          </cell>
          <cell r="F1623">
            <v>0</v>
          </cell>
          <cell r="G1623">
            <v>0</v>
          </cell>
          <cell r="H1623">
            <v>200</v>
          </cell>
          <cell r="I1623">
            <v>0</v>
          </cell>
        </row>
        <row r="1624">
          <cell r="B1624" t="str">
            <v>RML-PEP-FIB-PLW-STK</v>
          </cell>
          <cell r="C1624" t="str">
            <v>PEPS FIBER PILLOW ROUND STICKER</v>
          </cell>
          <cell r="D1624" t="str">
            <v>NOS</v>
          </cell>
          <cell r="E1624" t="str">
            <v>CBERM</v>
          </cell>
          <cell r="F1624">
            <v>0</v>
          </cell>
          <cell r="G1624">
            <v>0</v>
          </cell>
          <cell r="H1624">
            <v>200</v>
          </cell>
          <cell r="I1624">
            <v>0</v>
          </cell>
        </row>
        <row r="1625">
          <cell r="B1625" t="str">
            <v>RML-PEP-FLXI-NEK-PIL-WSCR-LBL</v>
          </cell>
          <cell r="C1625" t="str">
            <v>PEPS FLEXI NECK PILLOW WASH CARE LABEL</v>
          </cell>
          <cell r="D1625" t="str">
            <v>NOS</v>
          </cell>
          <cell r="E1625" t="str">
            <v>CBERM</v>
          </cell>
          <cell r="F1625">
            <v>0</v>
          </cell>
          <cell r="G1625">
            <v>0</v>
          </cell>
          <cell r="H1625">
            <v>500</v>
          </cell>
          <cell r="I1625">
            <v>0</v>
          </cell>
        </row>
        <row r="1626">
          <cell r="B1626" t="str">
            <v>RML-PEP-FLX-PLW-STK</v>
          </cell>
          <cell r="C1626" t="str">
            <v>PEPS FLEXI SPINE NECK PILLOW ROUND STICKER</v>
          </cell>
          <cell r="D1626" t="str">
            <v>NOS</v>
          </cell>
          <cell r="E1626" t="str">
            <v>CBERM</v>
          </cell>
          <cell r="F1626">
            <v>0</v>
          </cell>
          <cell r="G1626">
            <v>0</v>
          </cell>
          <cell r="H1626">
            <v>200</v>
          </cell>
          <cell r="I1626">
            <v>0</v>
          </cell>
        </row>
        <row r="1627">
          <cell r="B1627" t="str">
            <v>RML-PEP-LAT-PLW-STK</v>
          </cell>
          <cell r="C1627" t="str">
            <v>PEPS LATEX PILLOW ROUND STICKER</v>
          </cell>
          <cell r="D1627" t="str">
            <v>NOS</v>
          </cell>
          <cell r="E1627" t="str">
            <v>CBERM</v>
          </cell>
          <cell r="F1627">
            <v>0</v>
          </cell>
          <cell r="G1627">
            <v>0</v>
          </cell>
          <cell r="H1627">
            <v>200</v>
          </cell>
          <cell r="I1627">
            <v>0</v>
          </cell>
        </row>
        <row r="1628">
          <cell r="B1628" t="str">
            <v>RML-PEP-LOG-SDE-LBL-FUS</v>
          </cell>
          <cell r="C1628" t="str">
            <v>PEPS LOGO SIDE LABEL (FUSING TYPE)</v>
          </cell>
          <cell r="D1628" t="str">
            <v>NOS</v>
          </cell>
          <cell r="E1628" t="str">
            <v>CBERM</v>
          </cell>
          <cell r="F1628">
            <v>0</v>
          </cell>
          <cell r="G1628">
            <v>0</v>
          </cell>
          <cell r="H1628">
            <v>150</v>
          </cell>
          <cell r="I1628">
            <v>1000</v>
          </cell>
        </row>
        <row r="1629">
          <cell r="B1629" t="str">
            <v>RML-PEP-MEM-PLW-STK</v>
          </cell>
          <cell r="C1629" t="str">
            <v>PEPS 100% MEMORY PILLOW ROUND STICKER</v>
          </cell>
          <cell r="D1629" t="str">
            <v>NOS</v>
          </cell>
          <cell r="E1629" t="str">
            <v>CBERM</v>
          </cell>
          <cell r="F1629">
            <v>1000</v>
          </cell>
          <cell r="G1629">
            <v>1000</v>
          </cell>
          <cell r="H1629">
            <v>200</v>
          </cell>
          <cell r="I1629">
            <v>0</v>
          </cell>
        </row>
        <row r="1630">
          <cell r="B1630" t="str">
            <v>RML-PEP-MOL-PU-FOM-PIL-WSCR-LBL</v>
          </cell>
          <cell r="C1630" t="str">
            <v>PEPS MOULDED PU FOAM PILLOW WASH CARE LABLE (BLUE)</v>
          </cell>
          <cell r="D1630" t="str">
            <v>NOS</v>
          </cell>
          <cell r="E1630" t="str">
            <v>CBERM</v>
          </cell>
          <cell r="F1630">
            <v>0</v>
          </cell>
          <cell r="G1630">
            <v>0</v>
          </cell>
          <cell r="H1630">
            <v>500</v>
          </cell>
          <cell r="I1630">
            <v>0</v>
          </cell>
        </row>
        <row r="1631">
          <cell r="B1631" t="str">
            <v>RML-PEP-PU-PLW-STK</v>
          </cell>
          <cell r="C1631" t="str">
            <v>PEPS PU MOULED PILLOW ROUND STICKER</v>
          </cell>
          <cell r="D1631" t="str">
            <v>NOS</v>
          </cell>
          <cell r="E1631" t="str">
            <v>CBERM</v>
          </cell>
          <cell r="F1631">
            <v>0</v>
          </cell>
          <cell r="G1631">
            <v>0</v>
          </cell>
          <cell r="H1631">
            <v>200</v>
          </cell>
          <cell r="I1631">
            <v>0</v>
          </cell>
        </row>
        <row r="1632">
          <cell r="B1632" t="str">
            <v>RML-PEPS-SOF-BED-LBL-FUS</v>
          </cell>
          <cell r="C1632" t="str">
            <v>Peps Sofa Cum Bed Label (FUSING TYPE)</v>
          </cell>
          <cell r="D1632" t="str">
            <v>NOS</v>
          </cell>
          <cell r="E1632" t="str">
            <v>CBERM</v>
          </cell>
          <cell r="F1632">
            <v>0</v>
          </cell>
          <cell r="G1632">
            <v>0</v>
          </cell>
          <cell r="H1632">
            <v>500</v>
          </cell>
          <cell r="I1632">
            <v>0</v>
          </cell>
        </row>
        <row r="1633">
          <cell r="B1633" t="str">
            <v>RML-PEP-TRV-NEK-PIL-WSCR-LBL</v>
          </cell>
          <cell r="C1633" t="str">
            <v>PEPS TRAVEL NECK PILLOW WASH CARE LABEL</v>
          </cell>
          <cell r="D1633" t="str">
            <v>NOS</v>
          </cell>
          <cell r="E1633" t="str">
            <v>CBERM</v>
          </cell>
          <cell r="F1633">
            <v>0</v>
          </cell>
          <cell r="G1633">
            <v>0</v>
          </cell>
          <cell r="H1633">
            <v>500</v>
          </cell>
          <cell r="I1633">
            <v>0</v>
          </cell>
        </row>
        <row r="1634">
          <cell r="B1634" t="str">
            <v>RML-POL-FIB-PIL-WSCR-LBL</v>
          </cell>
          <cell r="C1634" t="str">
            <v>HYPNOS POLYESTER FIBER PILLOW WASH CARE LABLE</v>
          </cell>
          <cell r="D1634" t="str">
            <v>NOS</v>
          </cell>
          <cell r="E1634" t="str">
            <v>CBERM</v>
          </cell>
          <cell r="F1634">
            <v>0</v>
          </cell>
          <cell r="G1634">
            <v>0</v>
          </cell>
          <cell r="H1634">
            <v>500</v>
          </cell>
          <cell r="I1634">
            <v>0</v>
          </cell>
        </row>
        <row r="1635">
          <cell r="B1635" t="str">
            <v>RML-SOFT-PILLOW-27X17</v>
          </cell>
          <cell r="C1635" t="str">
            <v>SOFT PILLOW 27"X17"</v>
          </cell>
          <cell r="D1635" t="str">
            <v>NOS</v>
          </cell>
          <cell r="E1635" t="str">
            <v>CBERM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</row>
        <row r="1636">
          <cell r="B1636" t="str">
            <v>RML-SPK-SDE-LBL-FUS</v>
          </cell>
          <cell r="C1636" t="str">
            <v>SPRINGKOIL SIDE LABEL (FUSING TYPE)</v>
          </cell>
          <cell r="D1636" t="str">
            <v>NOS</v>
          </cell>
          <cell r="E1636" t="str">
            <v>CBERM</v>
          </cell>
          <cell r="F1636">
            <v>0</v>
          </cell>
          <cell r="G1636">
            <v>0</v>
          </cell>
          <cell r="H1636">
            <v>500</v>
          </cell>
          <cell r="I1636">
            <v>0</v>
          </cell>
        </row>
        <row r="1637">
          <cell r="B1637" t="str">
            <v>RML-VIR-HDPE-53X21.5</v>
          </cell>
          <cell r="C1637" t="str">
            <v>HDPE VIRGIN BAGS. 53 X 21.5 INCH</v>
          </cell>
          <cell r="D1637" t="str">
            <v>KGS</v>
          </cell>
          <cell r="E1637" t="str">
            <v>CBERM</v>
          </cell>
          <cell r="F1637">
            <v>0</v>
          </cell>
          <cell r="G1637">
            <v>0</v>
          </cell>
          <cell r="H1637">
            <v>60</v>
          </cell>
          <cell r="I1637">
            <v>0</v>
          </cell>
        </row>
        <row r="1638">
          <cell r="B1638" t="str">
            <v>RML-VIR-HDPE-53X22.5</v>
          </cell>
          <cell r="C1638" t="str">
            <v>HDPE VIRGIN BAGS. 53 X 22.5 INCH</v>
          </cell>
          <cell r="D1638" t="str">
            <v>KGS</v>
          </cell>
          <cell r="E1638" t="str">
            <v>CBERM</v>
          </cell>
          <cell r="F1638">
            <v>0</v>
          </cell>
          <cell r="G1638">
            <v>0</v>
          </cell>
          <cell r="H1638">
            <v>60</v>
          </cell>
          <cell r="I1638">
            <v>0</v>
          </cell>
        </row>
        <row r="1639">
          <cell r="B1639" t="str">
            <v>RML-VIR-HDPE-65X21.5</v>
          </cell>
          <cell r="C1639" t="str">
            <v>HDPE VIRGIN BAGS. 65 X 21.5 INCH</v>
          </cell>
          <cell r="D1639" t="str">
            <v>KGS</v>
          </cell>
          <cell r="E1639" t="str">
            <v>CBERM</v>
          </cell>
          <cell r="F1639">
            <v>0</v>
          </cell>
          <cell r="G1639">
            <v>0</v>
          </cell>
          <cell r="H1639">
            <v>60</v>
          </cell>
          <cell r="I1639">
            <v>0</v>
          </cell>
        </row>
        <row r="1640">
          <cell r="B1640" t="str">
            <v>RML-VIR-HDPE-65X22.5</v>
          </cell>
          <cell r="C1640" t="str">
            <v>HDPE VIRGIN BAGS. 65 X 22.5 INCH</v>
          </cell>
          <cell r="D1640" t="str">
            <v>KGS</v>
          </cell>
          <cell r="E1640" t="str">
            <v>CBERM</v>
          </cell>
          <cell r="F1640">
            <v>0</v>
          </cell>
          <cell r="G1640">
            <v>0</v>
          </cell>
          <cell r="H1640">
            <v>60</v>
          </cell>
          <cell r="I1640">
            <v>0</v>
          </cell>
        </row>
        <row r="1641">
          <cell r="B1641" t="str">
            <v>RML-VIR-HDPE-77X21.5</v>
          </cell>
          <cell r="C1641" t="str">
            <v>HDPE VIRGIN BAGS. 77 X 21.5 INCH</v>
          </cell>
          <cell r="D1641" t="str">
            <v>KGS</v>
          </cell>
          <cell r="E1641" t="str">
            <v>CBERM</v>
          </cell>
          <cell r="F1641">
            <v>0</v>
          </cell>
          <cell r="G1641">
            <v>0</v>
          </cell>
          <cell r="H1641">
            <v>60</v>
          </cell>
          <cell r="I1641">
            <v>0</v>
          </cell>
        </row>
        <row r="1642">
          <cell r="B1642" t="str">
            <v>RML-VIR-HDPE-77X22.5</v>
          </cell>
          <cell r="C1642" t="str">
            <v>HDPE VIRGIN BAGS. 77 X 22.5 INCH</v>
          </cell>
          <cell r="D1642" t="str">
            <v>KGS</v>
          </cell>
          <cell r="E1642" t="str">
            <v>CBERM</v>
          </cell>
          <cell r="F1642">
            <v>0</v>
          </cell>
          <cell r="G1642">
            <v>0</v>
          </cell>
          <cell r="H1642">
            <v>60</v>
          </cell>
          <cell r="I1642">
            <v>0</v>
          </cell>
        </row>
        <row r="1643">
          <cell r="B1643" t="str">
            <v>RML-VIR-HDPE-89X21.5</v>
          </cell>
          <cell r="C1643" t="str">
            <v>HDPE VIRGIN BAGS. 89 X 21.5 INCH</v>
          </cell>
          <cell r="D1643" t="str">
            <v>KGS</v>
          </cell>
          <cell r="E1643" t="str">
            <v>CBERM</v>
          </cell>
          <cell r="F1643">
            <v>0</v>
          </cell>
          <cell r="G1643">
            <v>0</v>
          </cell>
          <cell r="H1643">
            <v>60</v>
          </cell>
          <cell r="I1643">
            <v>0</v>
          </cell>
        </row>
        <row r="1644">
          <cell r="B1644" t="str">
            <v>RML-VIR-HDPE-89X22.5</v>
          </cell>
          <cell r="C1644" t="str">
            <v>HDPE VIRGIN BAGS. 89 X 22.5 INCH</v>
          </cell>
          <cell r="D1644" t="str">
            <v>KGS</v>
          </cell>
          <cell r="E1644" t="str">
            <v>CBERM</v>
          </cell>
          <cell r="F1644">
            <v>0</v>
          </cell>
          <cell r="G1644">
            <v>0</v>
          </cell>
          <cell r="H1644">
            <v>60</v>
          </cell>
          <cell r="I1644">
            <v>0</v>
          </cell>
        </row>
        <row r="1645">
          <cell r="B1645" t="str">
            <v>RM-NWN-QL-60X20GSM</v>
          </cell>
          <cell r="C1645" t="str">
            <v>VIRGIN NON WOVEN FABRIC 60" 20GSM</v>
          </cell>
          <cell r="D1645" t="str">
            <v>KGS</v>
          </cell>
          <cell r="E1645" t="str">
            <v>CBERM</v>
          </cell>
          <cell r="F1645">
            <v>0</v>
          </cell>
          <cell r="G1645">
            <v>0</v>
          </cell>
          <cell r="H1645">
            <v>350</v>
          </cell>
          <cell r="I1645">
            <v>0</v>
          </cell>
        </row>
        <row r="1646">
          <cell r="B1646" t="str">
            <v>STY-LET-PAD-TRIN</v>
          </cell>
          <cell r="C1646" t="str">
            <v>TRINITY SUPERMARKETA LETTER PAD (100 NOS)</v>
          </cell>
          <cell r="D1646" t="str">
            <v>NOS</v>
          </cell>
          <cell r="E1646" t="str">
            <v>CBERM</v>
          </cell>
          <cell r="F1646">
            <v>0</v>
          </cell>
          <cell r="G1646">
            <v>0</v>
          </cell>
          <cell r="H1646">
            <v>5</v>
          </cell>
          <cell r="I1646">
            <v>0</v>
          </cell>
        </row>
        <row r="1647">
          <cell r="B1647" t="str">
            <v>RMI-HCTNF-71.50X71.50.</v>
          </cell>
          <cell r="C1647" t="str">
            <v>COTTON FELT 181.61CM X 181.61CM X 6MM - 700gsm ( 71.50" x 71.50" )</v>
          </cell>
          <cell r="D1647" t="str">
            <v>KGS</v>
          </cell>
          <cell r="E1647" t="str">
            <v>CBERM</v>
          </cell>
          <cell r="F1647">
            <v>0</v>
          </cell>
          <cell r="G1647">
            <v>0</v>
          </cell>
          <cell r="H1647">
            <v>1250</v>
          </cell>
          <cell r="I1647">
            <v>0</v>
          </cell>
        </row>
        <row r="1648">
          <cell r="B1648" t="str">
            <v>RMI-HCTNF-77.50X41.50.</v>
          </cell>
          <cell r="C1648" t="str">
            <v>COTTON FELT 196.85CM X 105.41CM X 6MM - 700gsm ( 77.50" x 41.50" )</v>
          </cell>
          <cell r="D1648" t="str">
            <v>KGS</v>
          </cell>
          <cell r="E1648" t="str">
            <v>CBERM</v>
          </cell>
          <cell r="F1648">
            <v>0</v>
          </cell>
          <cell r="G1648">
            <v>0</v>
          </cell>
          <cell r="H1648">
            <v>600</v>
          </cell>
          <cell r="I1648">
            <v>500</v>
          </cell>
        </row>
        <row r="1649">
          <cell r="B1649" t="str">
            <v>RMI-HCTNF-83.50X71.50.</v>
          </cell>
          <cell r="C1649" t="str">
            <v>COTTON FELT 212.10CM X 181.61CM X 6MM - 700gsm ( 83.50" x 71.50" )</v>
          </cell>
          <cell r="D1649" t="str">
            <v>KGS</v>
          </cell>
          <cell r="E1649" t="str">
            <v>CBERM</v>
          </cell>
          <cell r="F1649">
            <v>500</v>
          </cell>
          <cell r="G1649">
            <v>500</v>
          </cell>
          <cell r="H1649">
            <v>1250</v>
          </cell>
          <cell r="I1649">
            <v>0</v>
          </cell>
        </row>
        <row r="1650">
          <cell r="B1650" t="str">
            <v>FBR-TRIF-MATT</v>
          </cell>
          <cell r="C1650" t="str">
            <v>TRIFOLD MATTRESS FABRIC</v>
          </cell>
          <cell r="D1650" t="str">
            <v>MTR</v>
          </cell>
          <cell r="E1650" t="str">
            <v>CBERM</v>
          </cell>
          <cell r="F1650">
            <v>0</v>
          </cell>
          <cell r="G1650">
            <v>0</v>
          </cell>
          <cell r="H1650">
            <v>500</v>
          </cell>
          <cell r="I1650">
            <v>0</v>
          </cell>
        </row>
        <row r="1651">
          <cell r="B1651" t="str">
            <v>RML-EPE-1092X105X25</v>
          </cell>
          <cell r="C1651" t="str">
            <v>EXPANDED POLYTHYLENE SHEETS 1092MMX105MMX25MM</v>
          </cell>
          <cell r="D1651" t="str">
            <v>NOS</v>
          </cell>
          <cell r="E1651" t="str">
            <v>CBERM</v>
          </cell>
          <cell r="F1651">
            <v>0</v>
          </cell>
          <cell r="G1651">
            <v>0</v>
          </cell>
          <cell r="H1651">
            <v>600</v>
          </cell>
          <cell r="I1651">
            <v>0</v>
          </cell>
        </row>
        <row r="1652">
          <cell r="B1652" t="str">
            <v>RML-EPE-1397X105X25</v>
          </cell>
          <cell r="C1652" t="str">
            <v>EXPANDED POLYTHYLENE SHEETS 1397MMX105MMX25MM</v>
          </cell>
          <cell r="D1652" t="str">
            <v>NOS</v>
          </cell>
          <cell r="E1652" t="str">
            <v>CBERM</v>
          </cell>
          <cell r="F1652">
            <v>0</v>
          </cell>
          <cell r="G1652">
            <v>0</v>
          </cell>
          <cell r="H1652">
            <v>900</v>
          </cell>
          <cell r="I1652">
            <v>0</v>
          </cell>
        </row>
        <row r="1653">
          <cell r="B1653" t="str">
            <v>RML-EPE-1702X105X25</v>
          </cell>
          <cell r="C1653" t="str">
            <v>EXPANDED POLYTHYLENE SHEETS 1702MMX105MMX25MM</v>
          </cell>
          <cell r="D1653" t="str">
            <v>NOS</v>
          </cell>
          <cell r="E1653" t="str">
            <v>CBERM</v>
          </cell>
          <cell r="F1653">
            <v>0</v>
          </cell>
          <cell r="G1653">
            <v>0</v>
          </cell>
          <cell r="H1653">
            <v>900</v>
          </cell>
          <cell r="I1653">
            <v>0</v>
          </cell>
        </row>
        <row r="1654">
          <cell r="B1654" t="str">
            <v>RML-EPE-1092X125X25</v>
          </cell>
          <cell r="C1654" t="str">
            <v>EXPANDED POLYTHYLENE SHEETS 1092MMX125MMX25MM</v>
          </cell>
          <cell r="D1654" t="str">
            <v>NOS</v>
          </cell>
          <cell r="E1654" t="str">
            <v>CBERM</v>
          </cell>
          <cell r="F1654">
            <v>0</v>
          </cell>
          <cell r="G1654">
            <v>0</v>
          </cell>
          <cell r="H1654">
            <v>600</v>
          </cell>
          <cell r="I1654">
            <v>0</v>
          </cell>
        </row>
        <row r="1655">
          <cell r="B1655" t="str">
            <v>RML-EPE-1092X145X25</v>
          </cell>
          <cell r="C1655" t="str">
            <v>EXPANDED POLYTHYLENE SHEETS 1092MMX145MMX25MM</v>
          </cell>
          <cell r="D1655" t="str">
            <v>NOS</v>
          </cell>
          <cell r="E1655" t="str">
            <v>CBERM</v>
          </cell>
          <cell r="F1655">
            <v>0</v>
          </cell>
          <cell r="G1655">
            <v>0</v>
          </cell>
          <cell r="H1655">
            <v>600</v>
          </cell>
          <cell r="I1655">
            <v>0</v>
          </cell>
        </row>
        <row r="1656">
          <cell r="B1656" t="str">
            <v>RML-EPE-1397X145X25</v>
          </cell>
          <cell r="C1656" t="str">
            <v>EXPANDED POLYTHYLENE SHEETS 1397MMX145MMX25MM</v>
          </cell>
          <cell r="D1656" t="str">
            <v>NOS</v>
          </cell>
          <cell r="E1656" t="str">
            <v>CBERM</v>
          </cell>
          <cell r="F1656">
            <v>0</v>
          </cell>
          <cell r="G1656">
            <v>0</v>
          </cell>
          <cell r="H1656">
            <v>1500</v>
          </cell>
          <cell r="I1656">
            <v>0</v>
          </cell>
        </row>
        <row r="1657">
          <cell r="B1657" t="str">
            <v>RML-EPE-1702X145X25</v>
          </cell>
          <cell r="C1657" t="str">
            <v>EXPANDED POLYTHYLENE SHEETS 1702MMX145MMX25MM</v>
          </cell>
          <cell r="D1657" t="str">
            <v>NOS</v>
          </cell>
          <cell r="E1657" t="str">
            <v>CBERM</v>
          </cell>
          <cell r="F1657">
            <v>0</v>
          </cell>
          <cell r="G1657">
            <v>0</v>
          </cell>
          <cell r="H1657">
            <v>1500</v>
          </cell>
          <cell r="I1657">
            <v>0</v>
          </cell>
        </row>
        <row r="1658">
          <cell r="B1658" t="str">
            <v>RML-EPE-1092X165X25</v>
          </cell>
          <cell r="C1658" t="str">
            <v>EXPANDED POLYTHYLENE SHEETS 1092MMX165MMX25MM</v>
          </cell>
          <cell r="D1658" t="str">
            <v>NOS</v>
          </cell>
          <cell r="E1658" t="str">
            <v>CBERM</v>
          </cell>
          <cell r="F1658">
            <v>0</v>
          </cell>
          <cell r="G1658">
            <v>0</v>
          </cell>
          <cell r="H1658">
            <v>150</v>
          </cell>
          <cell r="I1658">
            <v>0</v>
          </cell>
        </row>
        <row r="1659">
          <cell r="B1659" t="str">
            <v>RML-EPE-1397X165X25</v>
          </cell>
          <cell r="C1659" t="str">
            <v>EXPANDED POLYTHYLENE SHEETS 1397MMX165MMX25MM</v>
          </cell>
          <cell r="D1659" t="str">
            <v>NOS</v>
          </cell>
          <cell r="E1659" t="str">
            <v>CBERM</v>
          </cell>
          <cell r="F1659">
            <v>0</v>
          </cell>
          <cell r="G1659">
            <v>0</v>
          </cell>
          <cell r="H1659">
            <v>100</v>
          </cell>
          <cell r="I1659">
            <v>0</v>
          </cell>
        </row>
        <row r="1660">
          <cell r="B1660" t="str">
            <v>RML-EPE-1702X165X25</v>
          </cell>
          <cell r="C1660" t="str">
            <v>EXPANDED POLYTHYLENE SHEETS 1702MMX165MMX25MM</v>
          </cell>
          <cell r="D1660" t="str">
            <v>NOS</v>
          </cell>
          <cell r="E1660" t="str">
            <v>CBERM</v>
          </cell>
          <cell r="F1660">
            <v>0</v>
          </cell>
          <cell r="G1660">
            <v>0</v>
          </cell>
          <cell r="H1660">
            <v>100</v>
          </cell>
          <cell r="I1660">
            <v>0</v>
          </cell>
        </row>
        <row r="1661">
          <cell r="B1661" t="str">
            <v>RML-EPE-1436X135X40</v>
          </cell>
          <cell r="C1661" t="str">
            <v>EXPANDED POLYTHYLENE SHEETS 1436MMX135MMX40MM</v>
          </cell>
          <cell r="D1661" t="str">
            <v>NOS</v>
          </cell>
          <cell r="E1661" t="str">
            <v>CBERM</v>
          </cell>
          <cell r="F1661">
            <v>0</v>
          </cell>
          <cell r="G1661">
            <v>0</v>
          </cell>
          <cell r="H1661">
            <v>10</v>
          </cell>
          <cell r="I1661">
            <v>0</v>
          </cell>
        </row>
        <row r="1662">
          <cell r="B1662" t="str">
            <v>RML-EPE-1740X135X40</v>
          </cell>
          <cell r="C1662" t="str">
            <v>EXPANDED POLYTHYLENE SHEETS 1740MMX135MMX40MM</v>
          </cell>
          <cell r="D1662" t="str">
            <v>NOS</v>
          </cell>
          <cell r="E1662" t="str">
            <v>CBERM</v>
          </cell>
          <cell r="F1662">
            <v>0</v>
          </cell>
          <cell r="G1662">
            <v>0</v>
          </cell>
          <cell r="H1662">
            <v>10</v>
          </cell>
          <cell r="I1662">
            <v>0</v>
          </cell>
        </row>
        <row r="1663">
          <cell r="B1663" t="str">
            <v>RML-EPE-1893X135X40</v>
          </cell>
          <cell r="C1663" t="str">
            <v>EXPANDED POLYTHYLENE SHEETS 1893MMX135MMX40MM</v>
          </cell>
          <cell r="D1663" t="str">
            <v>NOS</v>
          </cell>
          <cell r="E1663" t="str">
            <v>CBERM</v>
          </cell>
          <cell r="F1663">
            <v>0</v>
          </cell>
          <cell r="G1663">
            <v>0</v>
          </cell>
          <cell r="H1663">
            <v>10</v>
          </cell>
          <cell r="I1663">
            <v>0</v>
          </cell>
        </row>
        <row r="1664">
          <cell r="B1664" t="str">
            <v>RML-EPE-1969X135X40</v>
          </cell>
          <cell r="C1664" t="str">
            <v>EXPANDED POLYTHYLENE SHEETS 1969MMX135MMX40MM</v>
          </cell>
          <cell r="D1664" t="str">
            <v>NOS</v>
          </cell>
          <cell r="E1664" t="str">
            <v>CBERM</v>
          </cell>
          <cell r="F1664">
            <v>0</v>
          </cell>
          <cell r="G1664">
            <v>0</v>
          </cell>
          <cell r="H1664">
            <v>10</v>
          </cell>
          <cell r="I1664">
            <v>0</v>
          </cell>
        </row>
        <row r="1665">
          <cell r="B1665" t="str">
            <v>RML-CS-CIR-4.5</v>
          </cell>
          <cell r="C1665" t="str">
            <v>CIRRUS CORNER SHOES 4.5"</v>
          </cell>
          <cell r="D1665" t="str">
            <v>NOS</v>
          </cell>
          <cell r="E1665" t="str">
            <v>CBERM</v>
          </cell>
          <cell r="F1665">
            <v>5800</v>
          </cell>
          <cell r="G1665">
            <v>5800</v>
          </cell>
          <cell r="H1665">
            <v>7000</v>
          </cell>
          <cell r="I1665">
            <v>10000</v>
          </cell>
        </row>
        <row r="1666">
          <cell r="B1666" t="str">
            <v>RM-CIR-MAT-MRP-LBL-PUNE</v>
          </cell>
          <cell r="C1666" t="str">
            <v>CIRRUS MATTRESSES PLAIN MRP LABEL - (PUNE ADDRESS)</v>
          </cell>
          <cell r="D1666" t="str">
            <v>NOS</v>
          </cell>
          <cell r="E1666" t="str">
            <v>CBERM</v>
          </cell>
          <cell r="F1666">
            <v>10000</v>
          </cell>
          <cell r="G1666">
            <v>10000</v>
          </cell>
          <cell r="H1666">
            <v>1000</v>
          </cell>
          <cell r="I1666">
            <v>2000</v>
          </cell>
        </row>
        <row r="1667">
          <cell r="B1667" t="str">
            <v>RML-FBR-44"SWSCTN</v>
          </cell>
          <cell r="C1667" t="str">
            <v>44" SWISS COTTON  FABRIC</v>
          </cell>
          <cell r="D1667" t="str">
            <v>MTR</v>
          </cell>
          <cell r="E1667" t="str">
            <v>CBERM</v>
          </cell>
          <cell r="F1667">
            <v>2000</v>
          </cell>
          <cell r="G1667">
            <v>2000</v>
          </cell>
          <cell r="H1667">
            <v>2000</v>
          </cell>
          <cell r="I1667">
            <v>0</v>
          </cell>
        </row>
        <row r="1668">
          <cell r="B1668" t="str">
            <v>RM-BROUCHER</v>
          </cell>
          <cell r="C1668" t="str">
            <v>BROUCHERS</v>
          </cell>
          <cell r="D1668" t="str">
            <v>NOS</v>
          </cell>
          <cell r="E1668" t="str">
            <v>CBERM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</row>
        <row r="1669">
          <cell r="B1669" t="str">
            <v>RML-CS-CIR-5.5</v>
          </cell>
          <cell r="C1669" t="str">
            <v>CIRRUS CORNER SHOES 5.5"</v>
          </cell>
          <cell r="D1669" t="str">
            <v>NOS</v>
          </cell>
          <cell r="E1669" t="str">
            <v>CBERM</v>
          </cell>
          <cell r="F1669">
            <v>0</v>
          </cell>
          <cell r="G1669">
            <v>0</v>
          </cell>
          <cell r="H1669">
            <v>7000</v>
          </cell>
          <cell r="I1669">
            <v>0</v>
          </cell>
        </row>
        <row r="1670">
          <cell r="B1670" t="str">
            <v>RML-FBR-WHT-PATTI-400TC</v>
          </cell>
          <cell r="C1670" t="str">
            <v>COTTON FABRIC -114"WIDTH 1CM STRIPE 400TC</v>
          </cell>
          <cell r="D1670" t="str">
            <v>MTR</v>
          </cell>
          <cell r="E1670" t="str">
            <v>CBERM</v>
          </cell>
          <cell r="F1670">
            <v>0</v>
          </cell>
          <cell r="G1670">
            <v>0</v>
          </cell>
          <cell r="H1670">
            <v>100</v>
          </cell>
          <cell r="I1670">
            <v>0</v>
          </cell>
        </row>
        <row r="1671">
          <cell r="B1671" t="str">
            <v>RML-EPE-1397X125X25</v>
          </cell>
          <cell r="C1671" t="str">
            <v>EXPANDED POLYTHYLENE SHEETS 1397MMX125MMX25MM</v>
          </cell>
          <cell r="D1671" t="str">
            <v>NOS</v>
          </cell>
          <cell r="E1671" t="str">
            <v>CBERM</v>
          </cell>
          <cell r="F1671">
            <v>0</v>
          </cell>
          <cell r="G1671">
            <v>0</v>
          </cell>
          <cell r="H1671">
            <v>1500</v>
          </cell>
          <cell r="I1671">
            <v>0</v>
          </cell>
        </row>
        <row r="1672">
          <cell r="B1672" t="str">
            <v>RML-EPE-1436X115X40</v>
          </cell>
          <cell r="C1672" t="str">
            <v>EXPANDED POLYTHYLENE SHEETS 1436MMX115MMX40MM</v>
          </cell>
          <cell r="D1672" t="str">
            <v>NOS</v>
          </cell>
          <cell r="E1672" t="str">
            <v>CBERM</v>
          </cell>
          <cell r="F1672">
            <v>0</v>
          </cell>
          <cell r="G1672">
            <v>0</v>
          </cell>
          <cell r="H1672">
            <v>10</v>
          </cell>
          <cell r="I1672">
            <v>0</v>
          </cell>
        </row>
        <row r="1673">
          <cell r="B1673" t="str">
            <v>RML-EPE-1436X155X40</v>
          </cell>
          <cell r="C1673" t="str">
            <v>EXPANDED POLYTHYLENE SHEETS 1436MMX155MMX40MM</v>
          </cell>
          <cell r="D1673" t="str">
            <v>NOS</v>
          </cell>
          <cell r="E1673" t="str">
            <v>CBERM</v>
          </cell>
          <cell r="F1673">
            <v>0</v>
          </cell>
          <cell r="G1673">
            <v>0</v>
          </cell>
          <cell r="H1673">
            <v>10</v>
          </cell>
          <cell r="I1673">
            <v>0</v>
          </cell>
        </row>
        <row r="1674">
          <cell r="B1674" t="str">
            <v>RML-EPE-1702X125X25</v>
          </cell>
          <cell r="C1674" t="str">
            <v>EXPANDED POLYTHYLENE SHEETS 1702MMX125MMX25MM</v>
          </cell>
          <cell r="D1674" t="str">
            <v>NOS</v>
          </cell>
          <cell r="E1674" t="str">
            <v>CBERM</v>
          </cell>
          <cell r="F1674">
            <v>0</v>
          </cell>
          <cell r="G1674">
            <v>0</v>
          </cell>
          <cell r="H1674">
            <v>1500</v>
          </cell>
          <cell r="I1674">
            <v>0</v>
          </cell>
        </row>
        <row r="1675">
          <cell r="B1675" t="str">
            <v>RML-EPE-1740X115X40</v>
          </cell>
          <cell r="C1675" t="str">
            <v>EXPANDED POLYTHYLENE SHEETS 1740MMX115MMX40MM</v>
          </cell>
          <cell r="D1675" t="str">
            <v>NOS</v>
          </cell>
          <cell r="E1675" t="str">
            <v>CBERM</v>
          </cell>
          <cell r="F1675">
            <v>0</v>
          </cell>
          <cell r="G1675">
            <v>0</v>
          </cell>
          <cell r="H1675">
            <v>10</v>
          </cell>
          <cell r="I1675">
            <v>0</v>
          </cell>
        </row>
        <row r="1676">
          <cell r="B1676" t="str">
            <v>RML-EPE-1740X155X40</v>
          </cell>
          <cell r="C1676" t="str">
            <v>EXPANDED POLYTHYLENE SHEETS 1740MMX155MMX40MM</v>
          </cell>
          <cell r="D1676" t="str">
            <v>NOS</v>
          </cell>
          <cell r="E1676" t="str">
            <v>CBERM</v>
          </cell>
          <cell r="F1676">
            <v>0</v>
          </cell>
          <cell r="G1676">
            <v>0</v>
          </cell>
          <cell r="H1676">
            <v>10</v>
          </cell>
          <cell r="I1676">
            <v>0</v>
          </cell>
        </row>
        <row r="1677">
          <cell r="B1677" t="str">
            <v>RML-EPE-1893X115X40</v>
          </cell>
          <cell r="C1677" t="str">
            <v>EXPANDED POLYTHYLENE SHEETS 1893MMX115MMX40MM</v>
          </cell>
          <cell r="D1677" t="str">
            <v>NOS</v>
          </cell>
          <cell r="E1677" t="str">
            <v>CBERM</v>
          </cell>
          <cell r="F1677">
            <v>0</v>
          </cell>
          <cell r="G1677">
            <v>0</v>
          </cell>
          <cell r="H1677">
            <v>10</v>
          </cell>
          <cell r="I1677">
            <v>0</v>
          </cell>
        </row>
        <row r="1678">
          <cell r="B1678" t="str">
            <v>RML-EPE-1893X155X40</v>
          </cell>
          <cell r="C1678" t="str">
            <v>EXPANDED POLYTHYLENE SHEETS 1893MMX155MMX40MM</v>
          </cell>
          <cell r="D1678" t="str">
            <v>NOS</v>
          </cell>
          <cell r="E1678" t="str">
            <v>CBERM</v>
          </cell>
          <cell r="F1678">
            <v>0</v>
          </cell>
          <cell r="G1678">
            <v>0</v>
          </cell>
          <cell r="H1678">
            <v>10</v>
          </cell>
          <cell r="I1678">
            <v>0</v>
          </cell>
        </row>
        <row r="1679">
          <cell r="B1679" t="str">
            <v>RML-EPE-1969X115X40</v>
          </cell>
          <cell r="C1679" t="str">
            <v>EXPANDED POLYTHYLENE SHEETS 1969MMX115MMX40MM</v>
          </cell>
          <cell r="D1679" t="str">
            <v>NOS</v>
          </cell>
          <cell r="E1679" t="str">
            <v>CBERM</v>
          </cell>
          <cell r="F1679">
            <v>0</v>
          </cell>
          <cell r="G1679">
            <v>0</v>
          </cell>
          <cell r="H1679">
            <v>10</v>
          </cell>
          <cell r="I1679">
            <v>0</v>
          </cell>
        </row>
        <row r="1680">
          <cell r="B1680" t="str">
            <v>RML-EPE-1969X155X40</v>
          </cell>
          <cell r="C1680" t="str">
            <v>EXPANDED POLYTHYLENE SHEETS 1969MMX155MMX40MM</v>
          </cell>
          <cell r="D1680" t="str">
            <v>NOS</v>
          </cell>
          <cell r="E1680" t="str">
            <v>CBERM</v>
          </cell>
          <cell r="F1680">
            <v>0</v>
          </cell>
          <cell r="G1680">
            <v>0</v>
          </cell>
          <cell r="H1680">
            <v>10</v>
          </cell>
          <cell r="I1680">
            <v>0</v>
          </cell>
        </row>
        <row r="1681">
          <cell r="B1681" t="str">
            <v>RML-MEM-FOM-PLW-INS</v>
          </cell>
          <cell r="C1681" t="str">
            <v>NECK GUARD 100% MEMORY FOAM PILLOW INSERTER</v>
          </cell>
          <cell r="D1681" t="str">
            <v>NOS</v>
          </cell>
          <cell r="E1681" t="str">
            <v>CBERM</v>
          </cell>
          <cell r="F1681">
            <v>0</v>
          </cell>
          <cell r="G1681">
            <v>0</v>
          </cell>
          <cell r="H1681">
            <v>2000</v>
          </cell>
          <cell r="I1681">
            <v>0</v>
          </cell>
        </row>
        <row r="1682">
          <cell r="B1682" t="str">
            <v>RML-MEM-FOM-PLW-BG</v>
          </cell>
          <cell r="C1682" t="str">
            <v>NECK GUARD 100% MEMORY FOAM PILLOW PVC BAG</v>
          </cell>
          <cell r="D1682" t="str">
            <v>NOS</v>
          </cell>
          <cell r="E1682" t="str">
            <v>CBERM</v>
          </cell>
          <cell r="F1682">
            <v>0</v>
          </cell>
          <cell r="G1682">
            <v>0</v>
          </cell>
          <cell r="H1682">
            <v>2000</v>
          </cell>
          <cell r="I1682">
            <v>0</v>
          </cell>
        </row>
        <row r="1683">
          <cell r="B1683" t="str">
            <v>RML-LDPE-CVR-PLN-6X7.5+2-300G</v>
          </cell>
          <cell r="C1683" t="str">
            <v>PILLOW COVER LDPE PLAIN SEAL KING BAG 6X7.5+2 - 300G</v>
          </cell>
          <cell r="D1683" t="str">
            <v>NOS</v>
          </cell>
          <cell r="E1683" t="str">
            <v>CBERM</v>
          </cell>
          <cell r="F1683">
            <v>0</v>
          </cell>
          <cell r="G1683">
            <v>0</v>
          </cell>
          <cell r="H1683">
            <v>300</v>
          </cell>
          <cell r="I1683">
            <v>0</v>
          </cell>
        </row>
        <row r="1684">
          <cell r="B1684" t="str">
            <v>RML-CS-CIR-6.5</v>
          </cell>
          <cell r="C1684" t="str">
            <v>CIRRUS CORNER SHOES 6.5"</v>
          </cell>
          <cell r="D1684" t="str">
            <v>NOS</v>
          </cell>
          <cell r="E1684" t="str">
            <v>CBERM</v>
          </cell>
          <cell r="F1684">
            <v>0</v>
          </cell>
          <cell r="G1684">
            <v>0</v>
          </cell>
          <cell r="H1684">
            <v>5000</v>
          </cell>
          <cell r="I1684">
            <v>3000</v>
          </cell>
        </row>
        <row r="1685">
          <cell r="B1685" t="str">
            <v>RML-EPE-1702X145X25</v>
          </cell>
          <cell r="C1685" t="str">
            <v>EXPANDED POLYTHYLENE SHEETS 1702MMX145MMX25MM</v>
          </cell>
          <cell r="D1685" t="str">
            <v>NOS</v>
          </cell>
          <cell r="E1685" t="str">
            <v>CBERM</v>
          </cell>
          <cell r="F1685">
            <v>1700</v>
          </cell>
          <cell r="G1685">
            <v>1700</v>
          </cell>
          <cell r="H1685">
            <v>2000</v>
          </cell>
          <cell r="I16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690"/>
  <sheetViews>
    <sheetView workbookViewId="0">
      <pane ySplit="1" topLeftCell="A2" activePane="bottomLeft" state="frozen"/>
      <selection pane="bottomLeft" activeCell="C10" sqref="C10"/>
    </sheetView>
  </sheetViews>
  <sheetFormatPr defaultRowHeight="15"/>
  <cols>
    <col min="1" max="1" width="5.7109375" bestFit="1" customWidth="1"/>
    <col min="2" max="2" width="21" customWidth="1"/>
    <col min="3" max="3" width="52.7109375" customWidth="1"/>
    <col min="4" max="4" width="5.7109375" style="5" bestFit="1" customWidth="1"/>
    <col min="5" max="7" width="12" style="5" customWidth="1"/>
    <col min="8" max="9" width="12.5703125" style="5" bestFit="1" customWidth="1"/>
    <col min="10" max="10" width="15.7109375" style="5" customWidth="1"/>
    <col min="11" max="11" width="40.5703125" bestFit="1" customWidth="1"/>
    <col min="12" max="12" width="20.85546875" bestFit="1" customWidth="1"/>
    <col min="13" max="13" width="11.85546875" customWidth="1"/>
    <col min="14" max="14" width="10.85546875" customWidth="1"/>
    <col min="15" max="15" width="17.28515625" customWidth="1"/>
  </cols>
  <sheetData>
    <row r="1" spans="1:15" ht="4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3068</v>
      </c>
      <c r="G1" s="1" t="s">
        <v>3069</v>
      </c>
      <c r="H1" s="1" t="s">
        <v>3053</v>
      </c>
      <c r="I1" s="1" t="s">
        <v>2943</v>
      </c>
      <c r="J1" s="1" t="s">
        <v>2944</v>
      </c>
      <c r="K1" s="1" t="s">
        <v>2956</v>
      </c>
      <c r="L1" s="1" t="s">
        <v>2945</v>
      </c>
      <c r="M1" s="1" t="s">
        <v>2946</v>
      </c>
      <c r="N1" s="1" t="s">
        <v>3054</v>
      </c>
      <c r="O1" s="1" t="s">
        <v>3154</v>
      </c>
    </row>
    <row r="2" spans="1:15" s="4" customFormat="1">
      <c r="A2" s="2">
        <v>1</v>
      </c>
      <c r="B2" s="3" t="s">
        <v>5</v>
      </c>
      <c r="C2" s="3" t="s">
        <v>6</v>
      </c>
      <c r="D2" s="2" t="s">
        <v>7</v>
      </c>
      <c r="E2" s="2" t="s">
        <v>8</v>
      </c>
      <c r="F2" s="16"/>
      <c r="G2" s="16"/>
      <c r="H2" s="16">
        <f>VLOOKUP(B:B,'[1]Master Sheet'!$B:$H,7,0)</f>
        <v>100</v>
      </c>
      <c r="I2" s="16">
        <f>VLOOKUP(B:B,'[1]Master Sheet'!$B:$I,8,0)</f>
        <v>0</v>
      </c>
      <c r="J2" s="16"/>
      <c r="K2" s="3" t="s">
        <v>2965</v>
      </c>
      <c r="L2" s="3" t="s">
        <v>3055</v>
      </c>
      <c r="M2" s="3" t="s">
        <v>3056</v>
      </c>
      <c r="N2" s="3"/>
      <c r="O2" s="3"/>
    </row>
    <row r="3" spans="1:15" s="4" customFormat="1">
      <c r="A3" s="2">
        <v>2</v>
      </c>
      <c r="B3" s="3" t="s">
        <v>9</v>
      </c>
      <c r="C3" s="3" t="s">
        <v>10</v>
      </c>
      <c r="D3" s="2" t="s">
        <v>7</v>
      </c>
      <c r="E3" s="2" t="s">
        <v>8</v>
      </c>
      <c r="F3" s="16"/>
      <c r="G3" s="16"/>
      <c r="H3" s="16">
        <f>VLOOKUP(B:B,'[1]Master Sheet'!$B:$H,7,0)</f>
        <v>0</v>
      </c>
      <c r="I3" s="16">
        <f>VLOOKUP(B:B,'[1]Master Sheet'!$B:$I,8,0)</f>
        <v>0</v>
      </c>
      <c r="J3" s="16"/>
      <c r="K3" s="3" t="s">
        <v>2965</v>
      </c>
      <c r="L3" s="3" t="s">
        <v>3055</v>
      </c>
      <c r="M3" s="3" t="s">
        <v>3056</v>
      </c>
      <c r="N3" s="3"/>
      <c r="O3" s="3"/>
    </row>
    <row r="4" spans="1:15" s="4" customFormat="1">
      <c r="A4" s="2">
        <v>3</v>
      </c>
      <c r="B4" s="3" t="s">
        <v>14</v>
      </c>
      <c r="C4" s="3" t="s">
        <v>15</v>
      </c>
      <c r="D4" s="2" t="s">
        <v>7</v>
      </c>
      <c r="E4" s="2" t="s">
        <v>8</v>
      </c>
      <c r="F4" s="16"/>
      <c r="G4" s="16"/>
      <c r="H4" s="16">
        <f>VLOOKUP(B:B,'[1]Master Sheet'!$B:$H,7,0)</f>
        <v>300</v>
      </c>
      <c r="I4" s="16">
        <f>VLOOKUP(B:B,'[1]Master Sheet'!$B:$I,8,0)</f>
        <v>0</v>
      </c>
      <c r="J4" s="16"/>
      <c r="K4" s="3" t="s">
        <v>2965</v>
      </c>
      <c r="L4" s="3" t="s">
        <v>3055</v>
      </c>
      <c r="M4" s="3" t="s">
        <v>3056</v>
      </c>
      <c r="N4" s="3"/>
      <c r="O4" s="3"/>
    </row>
    <row r="5" spans="1:15" s="4" customFormat="1">
      <c r="A5" s="2">
        <v>4</v>
      </c>
      <c r="B5" s="3" t="s">
        <v>51</v>
      </c>
      <c r="C5" s="3" t="s">
        <v>52</v>
      </c>
      <c r="D5" s="2" t="s">
        <v>20</v>
      </c>
      <c r="E5" s="2" t="s">
        <v>8</v>
      </c>
      <c r="F5" s="16"/>
      <c r="G5" s="16"/>
      <c r="H5" s="16">
        <f>VLOOKUP(B:B,'[1]Master Sheet'!$B:$H,7,0)</f>
        <v>4000</v>
      </c>
      <c r="I5" s="16">
        <f>VLOOKUP(B:B,'[1]Master Sheet'!$B:$I,8,0)</f>
        <v>0</v>
      </c>
      <c r="J5" s="16"/>
      <c r="K5" s="3" t="s">
        <v>2991</v>
      </c>
      <c r="L5" s="3" t="s">
        <v>3057</v>
      </c>
      <c r="M5" s="3" t="s">
        <v>3056</v>
      </c>
      <c r="N5" s="3"/>
      <c r="O5" s="3"/>
    </row>
    <row r="6" spans="1:15" s="4" customFormat="1">
      <c r="A6" s="2">
        <v>5</v>
      </c>
      <c r="B6" s="3" t="s">
        <v>18</v>
      </c>
      <c r="C6" s="3" t="s">
        <v>19</v>
      </c>
      <c r="D6" s="2" t="s">
        <v>20</v>
      </c>
      <c r="E6" s="2" t="s">
        <v>8</v>
      </c>
      <c r="F6" s="16"/>
      <c r="G6" s="16"/>
      <c r="H6" s="16">
        <f>VLOOKUP(B:B,'[1]Master Sheet'!$B:$H,7,0)</f>
        <v>0</v>
      </c>
      <c r="I6" s="16">
        <f>VLOOKUP(B:B,'[1]Master Sheet'!$B:$I,8,0)</f>
        <v>0</v>
      </c>
      <c r="J6" s="16"/>
      <c r="K6" s="3" t="s">
        <v>3000</v>
      </c>
      <c r="L6" s="3" t="s">
        <v>3059</v>
      </c>
      <c r="M6" s="3" t="s">
        <v>3056</v>
      </c>
      <c r="N6" s="3"/>
      <c r="O6" s="3"/>
    </row>
    <row r="7" spans="1:15" s="4" customFormat="1">
      <c r="A7" s="2">
        <v>6</v>
      </c>
      <c r="B7" s="3" t="s">
        <v>21</v>
      </c>
      <c r="C7" s="3" t="s">
        <v>22</v>
      </c>
      <c r="D7" s="2" t="s">
        <v>20</v>
      </c>
      <c r="E7" s="2" t="s">
        <v>8</v>
      </c>
      <c r="F7" s="16"/>
      <c r="G7" s="16"/>
      <c r="H7" s="16">
        <f>VLOOKUP(B:B,'[1]Master Sheet'!$B:$H,7,0)</f>
        <v>0</v>
      </c>
      <c r="I7" s="16">
        <f>VLOOKUP(B:B,'[1]Master Sheet'!$B:$I,8,0)</f>
        <v>0</v>
      </c>
      <c r="J7" s="16"/>
      <c r="K7" s="3" t="s">
        <v>3000</v>
      </c>
      <c r="L7" s="3" t="s">
        <v>3059</v>
      </c>
      <c r="M7" s="3" t="s">
        <v>3056</v>
      </c>
      <c r="N7" s="3"/>
      <c r="O7" s="3"/>
    </row>
    <row r="8" spans="1:15" s="4" customFormat="1">
      <c r="A8" s="2">
        <v>7</v>
      </c>
      <c r="B8" s="3" t="s">
        <v>27</v>
      </c>
      <c r="C8" s="3" t="s">
        <v>28</v>
      </c>
      <c r="D8" s="2" t="s">
        <v>20</v>
      </c>
      <c r="E8" s="2" t="s">
        <v>8</v>
      </c>
      <c r="F8" s="16"/>
      <c r="G8" s="16"/>
      <c r="H8" s="16">
        <f>VLOOKUP(B:B,'[1]Master Sheet'!$B:$H,7,0)</f>
        <v>0</v>
      </c>
      <c r="I8" s="16">
        <f>VLOOKUP(B:B,'[1]Master Sheet'!$B:$I,8,0)</f>
        <v>0</v>
      </c>
      <c r="J8" s="16"/>
      <c r="K8" s="3" t="s">
        <v>3000</v>
      </c>
      <c r="L8" s="3" t="s">
        <v>3059</v>
      </c>
      <c r="M8" s="3" t="s">
        <v>3056</v>
      </c>
      <c r="N8" s="3"/>
      <c r="O8" s="3"/>
    </row>
    <row r="9" spans="1:15" s="4" customFormat="1">
      <c r="A9" s="2">
        <v>8</v>
      </c>
      <c r="B9" s="3" t="s">
        <v>29</v>
      </c>
      <c r="C9" s="3" t="s">
        <v>30</v>
      </c>
      <c r="D9" s="2" t="s">
        <v>17</v>
      </c>
      <c r="E9" s="2" t="s">
        <v>8</v>
      </c>
      <c r="F9" s="16"/>
      <c r="G9" s="16"/>
      <c r="H9" s="16">
        <f>VLOOKUP(B:B,'[1]Master Sheet'!$B:$H,7,0)</f>
        <v>1000</v>
      </c>
      <c r="I9" s="16">
        <f>VLOOKUP(B:B,'[1]Master Sheet'!$B:$I,8,0)</f>
        <v>0</v>
      </c>
      <c r="J9" s="16"/>
      <c r="K9" s="3" t="s">
        <v>2972</v>
      </c>
      <c r="L9" s="3" t="s">
        <v>3055</v>
      </c>
      <c r="M9" s="3" t="s">
        <v>3056</v>
      </c>
      <c r="N9" s="3"/>
      <c r="O9" s="3"/>
    </row>
    <row r="10" spans="1:15" s="4" customFormat="1">
      <c r="A10" s="2">
        <v>9</v>
      </c>
      <c r="B10" s="3" t="s">
        <v>57</v>
      </c>
      <c r="C10" s="3" t="s">
        <v>58</v>
      </c>
      <c r="D10" s="2" t="s">
        <v>17</v>
      </c>
      <c r="E10" s="2" t="s">
        <v>8</v>
      </c>
      <c r="F10" s="16"/>
      <c r="G10" s="16"/>
      <c r="H10" s="16">
        <f>VLOOKUP(B:B,'[1]Master Sheet'!$B:$H,7,0)</f>
        <v>10000</v>
      </c>
      <c r="I10" s="16">
        <f>VLOOKUP(B:B,'[1]Master Sheet'!$B:$I,8,0)</f>
        <v>0</v>
      </c>
      <c r="J10" s="16"/>
      <c r="K10" s="3" t="s">
        <v>2991</v>
      </c>
      <c r="L10" s="3" t="s">
        <v>3057</v>
      </c>
      <c r="M10" s="3" t="s">
        <v>3056</v>
      </c>
      <c r="N10" s="3"/>
      <c r="O10" s="3"/>
    </row>
    <row r="11" spans="1:15" s="4" customFormat="1">
      <c r="A11" s="2">
        <v>10</v>
      </c>
      <c r="B11" s="3" t="s">
        <v>68</v>
      </c>
      <c r="C11" s="3" t="s">
        <v>69</v>
      </c>
      <c r="D11" s="2" t="s">
        <v>17</v>
      </c>
      <c r="E11" s="2" t="s">
        <v>8</v>
      </c>
      <c r="F11" s="16"/>
      <c r="G11" s="16"/>
      <c r="H11" s="16">
        <f>VLOOKUP(B:B,'[1]Master Sheet'!$B:$H,7,0)</f>
        <v>8000</v>
      </c>
      <c r="I11" s="16">
        <f>VLOOKUP(B:B,'[1]Master Sheet'!$B:$I,8,0)</f>
        <v>0</v>
      </c>
      <c r="J11" s="16"/>
      <c r="K11" s="3" t="s">
        <v>2991</v>
      </c>
      <c r="L11" s="3" t="s">
        <v>3057</v>
      </c>
      <c r="M11" s="3" t="s">
        <v>3056</v>
      </c>
      <c r="N11" s="3"/>
      <c r="O11" s="3"/>
    </row>
    <row r="12" spans="1:15" s="4" customFormat="1">
      <c r="A12" s="2">
        <v>11</v>
      </c>
      <c r="B12" s="3" t="s">
        <v>96</v>
      </c>
      <c r="C12" s="3" t="s">
        <v>97</v>
      </c>
      <c r="D12" s="2" t="s">
        <v>17</v>
      </c>
      <c r="E12" s="2" t="s">
        <v>8</v>
      </c>
      <c r="F12" s="16"/>
      <c r="G12" s="16"/>
      <c r="H12" s="16">
        <f>VLOOKUP(B:B,'[1]Master Sheet'!$B:$H,7,0)</f>
        <v>7000</v>
      </c>
      <c r="I12" s="16">
        <f>VLOOKUP(B:B,'[1]Master Sheet'!$B:$I,8,0)</f>
        <v>0</v>
      </c>
      <c r="J12" s="16"/>
      <c r="K12" s="3" t="s">
        <v>2991</v>
      </c>
      <c r="L12" s="3" t="s">
        <v>3057</v>
      </c>
      <c r="M12" s="3" t="s">
        <v>3058</v>
      </c>
      <c r="N12" s="3"/>
      <c r="O12" s="3"/>
    </row>
    <row r="13" spans="1:15" s="4" customFormat="1">
      <c r="A13" s="2">
        <v>12</v>
      </c>
      <c r="B13" s="3" t="s">
        <v>125</v>
      </c>
      <c r="C13" s="3" t="s">
        <v>126</v>
      </c>
      <c r="D13" s="2" t="s">
        <v>17</v>
      </c>
      <c r="E13" s="2" t="s">
        <v>8</v>
      </c>
      <c r="F13" s="16"/>
      <c r="G13" s="16"/>
      <c r="H13" s="16">
        <f>VLOOKUP(B:B,'[1]Master Sheet'!$B:$H,7,0)</f>
        <v>1100</v>
      </c>
      <c r="I13" s="16">
        <f>VLOOKUP(B:B,'[1]Master Sheet'!$B:$I,8,0)</f>
        <v>0</v>
      </c>
      <c r="J13" s="16"/>
      <c r="K13" s="3" t="s">
        <v>2972</v>
      </c>
      <c r="L13" s="3" t="s">
        <v>3057</v>
      </c>
      <c r="M13" s="3" t="s">
        <v>3058</v>
      </c>
      <c r="N13" s="3"/>
      <c r="O13" s="3"/>
    </row>
    <row r="14" spans="1:15" s="4" customFormat="1">
      <c r="A14" s="2">
        <v>13</v>
      </c>
      <c r="B14" s="3" t="s">
        <v>39</v>
      </c>
      <c r="C14" s="3" t="s">
        <v>40</v>
      </c>
      <c r="D14" s="2" t="s">
        <v>17</v>
      </c>
      <c r="E14" s="2" t="s">
        <v>8</v>
      </c>
      <c r="F14" s="16"/>
      <c r="G14" s="16"/>
      <c r="H14" s="16">
        <f>VLOOKUP(B:B,'[1]Master Sheet'!$B:$H,7,0)</f>
        <v>1000</v>
      </c>
      <c r="I14" s="16">
        <f>VLOOKUP(B:B,'[1]Master Sheet'!$B:$I,8,0)</f>
        <v>0</v>
      </c>
      <c r="J14" s="16"/>
      <c r="K14" s="3" t="s">
        <v>2972</v>
      </c>
      <c r="L14" s="3" t="s">
        <v>3055</v>
      </c>
      <c r="M14" s="3" t="s">
        <v>3056</v>
      </c>
      <c r="N14" s="3"/>
      <c r="O14" s="3"/>
    </row>
    <row r="15" spans="1:15" s="4" customFormat="1">
      <c r="A15" s="2">
        <v>14</v>
      </c>
      <c r="B15" s="3" t="s">
        <v>41</v>
      </c>
      <c r="C15" s="3" t="s">
        <v>42</v>
      </c>
      <c r="D15" s="2" t="s">
        <v>17</v>
      </c>
      <c r="E15" s="2" t="s">
        <v>8</v>
      </c>
      <c r="F15" s="16"/>
      <c r="G15" s="16"/>
      <c r="H15" s="16">
        <f>VLOOKUP(B:B,'[1]Master Sheet'!$B:$H,7,0)</f>
        <v>0</v>
      </c>
      <c r="I15" s="16">
        <f>VLOOKUP(B:B,'[1]Master Sheet'!$B:$I,8,0)</f>
        <v>0</v>
      </c>
      <c r="J15" s="16"/>
      <c r="K15" s="3" t="s">
        <v>2972</v>
      </c>
      <c r="L15" s="3" t="s">
        <v>3055</v>
      </c>
      <c r="M15" s="3" t="s">
        <v>3056</v>
      </c>
      <c r="N15" s="3"/>
      <c r="O15" s="3"/>
    </row>
    <row r="16" spans="1:15" s="4" customFormat="1">
      <c r="A16" s="2">
        <v>15</v>
      </c>
      <c r="B16" s="3" t="s">
        <v>43</v>
      </c>
      <c r="C16" s="3" t="s">
        <v>44</v>
      </c>
      <c r="D16" s="2" t="s">
        <v>17</v>
      </c>
      <c r="E16" s="2" t="s">
        <v>8</v>
      </c>
      <c r="F16" s="16"/>
      <c r="G16" s="16"/>
      <c r="H16" s="16">
        <f>VLOOKUP(B:B,'[1]Master Sheet'!$B:$H,7,0)</f>
        <v>0</v>
      </c>
      <c r="I16" s="16">
        <f>VLOOKUP(B:B,'[1]Master Sheet'!$B:$I,8,0)</f>
        <v>0</v>
      </c>
      <c r="J16" s="16"/>
      <c r="K16" s="3" t="s">
        <v>2972</v>
      </c>
      <c r="L16" s="3" t="s">
        <v>3055</v>
      </c>
      <c r="M16" s="3" t="s">
        <v>3056</v>
      </c>
      <c r="N16" s="3"/>
      <c r="O16" s="3"/>
    </row>
    <row r="17" spans="1:15" s="4" customFormat="1">
      <c r="A17" s="2">
        <v>16</v>
      </c>
      <c r="B17" s="3" t="s">
        <v>243</v>
      </c>
      <c r="C17" s="3" t="s">
        <v>244</v>
      </c>
      <c r="D17" s="2" t="s">
        <v>20</v>
      </c>
      <c r="E17" s="2" t="s">
        <v>8</v>
      </c>
      <c r="F17" s="16"/>
      <c r="G17" s="16"/>
      <c r="H17" s="16">
        <f>VLOOKUP(B:B,'[1]Master Sheet'!$B:$H,7,0)</f>
        <v>5</v>
      </c>
      <c r="I17" s="16">
        <f>VLOOKUP(B:B,'[1]Master Sheet'!$B:$I,8,0)</f>
        <v>0</v>
      </c>
      <c r="J17" s="16"/>
      <c r="K17" s="3" t="s">
        <v>2972</v>
      </c>
      <c r="L17" s="3" t="s">
        <v>3057</v>
      </c>
      <c r="M17" s="3" t="s">
        <v>3058</v>
      </c>
      <c r="N17" s="3"/>
      <c r="O17" s="3"/>
    </row>
    <row r="18" spans="1:15" s="4" customFormat="1">
      <c r="A18" s="2">
        <v>17</v>
      </c>
      <c r="B18" s="3" t="s">
        <v>247</v>
      </c>
      <c r="C18" s="3" t="s">
        <v>248</v>
      </c>
      <c r="D18" s="2" t="s">
        <v>17</v>
      </c>
      <c r="E18" s="2" t="s">
        <v>8</v>
      </c>
      <c r="F18" s="16"/>
      <c r="G18" s="16"/>
      <c r="H18" s="16">
        <f>VLOOKUP(B:B,'[1]Master Sheet'!$B:$H,7,0)</f>
        <v>400</v>
      </c>
      <c r="I18" s="16">
        <f>VLOOKUP(B:B,'[1]Master Sheet'!$B:$I,8,0)</f>
        <v>0</v>
      </c>
      <c r="J18" s="16"/>
      <c r="K18" s="3" t="s">
        <v>2991</v>
      </c>
      <c r="L18" s="3" t="s">
        <v>3057</v>
      </c>
      <c r="M18" s="3" t="s">
        <v>3058</v>
      </c>
      <c r="N18" s="3"/>
      <c r="O18" s="3"/>
    </row>
    <row r="19" spans="1:15" s="4" customFormat="1">
      <c r="A19" s="2">
        <v>18</v>
      </c>
      <c r="B19" s="3" t="s">
        <v>287</v>
      </c>
      <c r="C19" s="3" t="s">
        <v>288</v>
      </c>
      <c r="D19" s="2" t="s">
        <v>289</v>
      </c>
      <c r="E19" s="2" t="s">
        <v>8</v>
      </c>
      <c r="F19" s="16"/>
      <c r="G19" s="16"/>
      <c r="H19" s="16">
        <f>VLOOKUP(B:B,'[1]Master Sheet'!$B:$H,7,0)</f>
        <v>5000</v>
      </c>
      <c r="I19" s="16">
        <f>VLOOKUP(B:B,'[1]Master Sheet'!$B:$I,8,0)</f>
        <v>22000</v>
      </c>
      <c r="J19" s="16"/>
      <c r="K19" s="3" t="s">
        <v>2974</v>
      </c>
      <c r="L19" s="3" t="s">
        <v>3057</v>
      </c>
      <c r="M19" s="3" t="s">
        <v>3056</v>
      </c>
      <c r="N19" s="3"/>
      <c r="O19" s="3"/>
    </row>
    <row r="20" spans="1:15" s="4" customFormat="1">
      <c r="A20" s="2">
        <v>19</v>
      </c>
      <c r="B20" s="3" t="s">
        <v>55</v>
      </c>
      <c r="C20" s="3" t="s">
        <v>56</v>
      </c>
      <c r="D20" s="2" t="s">
        <v>7</v>
      </c>
      <c r="E20" s="2" t="s">
        <v>8</v>
      </c>
      <c r="F20" s="16"/>
      <c r="G20" s="16"/>
      <c r="H20" s="16">
        <f>VLOOKUP(B:B,'[1]Master Sheet'!$B:$H,7,0)</f>
        <v>60</v>
      </c>
      <c r="I20" s="16">
        <f>VLOOKUP(B:B,'[1]Master Sheet'!$B:$I,8,0)</f>
        <v>0</v>
      </c>
      <c r="J20" s="16"/>
      <c r="K20" s="3" t="s">
        <v>2965</v>
      </c>
      <c r="L20" s="3" t="s">
        <v>3055</v>
      </c>
      <c r="M20" s="3" t="s">
        <v>3056</v>
      </c>
      <c r="N20" s="3"/>
      <c r="O20" s="3"/>
    </row>
    <row r="21" spans="1:15" s="4" customFormat="1">
      <c r="A21" s="2">
        <v>20</v>
      </c>
      <c r="B21" s="3" t="s">
        <v>292</v>
      </c>
      <c r="C21" s="3" t="s">
        <v>293</v>
      </c>
      <c r="D21" s="2" t="s">
        <v>17</v>
      </c>
      <c r="E21" s="2" t="s">
        <v>8</v>
      </c>
      <c r="F21" s="16"/>
      <c r="G21" s="16"/>
      <c r="H21" s="16">
        <f>VLOOKUP(B:B,'[1]Master Sheet'!$B:$H,7,0)</f>
        <v>500</v>
      </c>
      <c r="I21" s="16">
        <f>VLOOKUP(B:B,'[1]Master Sheet'!$B:$I,8,0)</f>
        <v>0</v>
      </c>
      <c r="J21" s="16"/>
      <c r="K21" s="3" t="s">
        <v>2972</v>
      </c>
      <c r="L21" s="3" t="s">
        <v>3057</v>
      </c>
      <c r="M21" s="3" t="s">
        <v>3056</v>
      </c>
      <c r="N21" s="3"/>
      <c r="O21" s="3"/>
    </row>
    <row r="22" spans="1:15" s="4" customFormat="1">
      <c r="A22" s="2">
        <v>21</v>
      </c>
      <c r="B22" s="3" t="s">
        <v>377</v>
      </c>
      <c r="C22" s="3" t="s">
        <v>378</v>
      </c>
      <c r="D22" s="2" t="s">
        <v>17</v>
      </c>
      <c r="E22" s="2" t="s">
        <v>8</v>
      </c>
      <c r="F22" s="16"/>
      <c r="G22" s="16"/>
      <c r="H22" s="16">
        <f>VLOOKUP(B:B,'[1]Master Sheet'!$B:$H,7,0)</f>
        <v>500</v>
      </c>
      <c r="I22" s="16">
        <f>VLOOKUP(B:B,'[1]Master Sheet'!$B:$I,8,0)</f>
        <v>0</v>
      </c>
      <c r="J22" s="16"/>
      <c r="K22" s="3" t="s">
        <v>2991</v>
      </c>
      <c r="L22" s="3" t="s">
        <v>3057</v>
      </c>
      <c r="M22" s="3" t="s">
        <v>3058</v>
      </c>
      <c r="N22" s="3"/>
      <c r="O22" s="3"/>
    </row>
    <row r="23" spans="1:15" s="4" customFormat="1">
      <c r="A23" s="2">
        <v>22</v>
      </c>
      <c r="B23" s="3" t="s">
        <v>379</v>
      </c>
      <c r="C23" s="3" t="s">
        <v>380</v>
      </c>
      <c r="D23" s="2" t="s">
        <v>17</v>
      </c>
      <c r="E23" s="2" t="s">
        <v>8</v>
      </c>
      <c r="F23" s="16"/>
      <c r="G23" s="16"/>
      <c r="H23" s="16">
        <f>VLOOKUP(B:B,'[1]Master Sheet'!$B:$H,7,0)</f>
        <v>500</v>
      </c>
      <c r="I23" s="16">
        <f>VLOOKUP(B:B,'[1]Master Sheet'!$B:$I,8,0)</f>
        <v>0</v>
      </c>
      <c r="J23" s="16"/>
      <c r="K23" s="3" t="s">
        <v>2972</v>
      </c>
      <c r="L23" s="3" t="s">
        <v>3057</v>
      </c>
      <c r="M23" s="3" t="s">
        <v>3058</v>
      </c>
      <c r="N23" s="3"/>
      <c r="O23" s="3"/>
    </row>
    <row r="24" spans="1:15" s="4" customFormat="1">
      <c r="A24" s="2">
        <v>23</v>
      </c>
      <c r="B24" s="3" t="s">
        <v>65</v>
      </c>
      <c r="C24" s="3" t="s">
        <v>66</v>
      </c>
      <c r="D24" s="2" t="s">
        <v>17</v>
      </c>
      <c r="E24" s="2" t="s">
        <v>8</v>
      </c>
      <c r="F24" s="16"/>
      <c r="G24" s="16"/>
      <c r="H24" s="16">
        <f>VLOOKUP(B:B,'[1]Master Sheet'!$B:$H,7,0)</f>
        <v>2000</v>
      </c>
      <c r="I24" s="16">
        <f>VLOOKUP(B:B,'[1]Master Sheet'!$B:$I,8,0)</f>
        <v>10000</v>
      </c>
      <c r="J24" s="16"/>
      <c r="K24" s="3" t="s">
        <v>2972</v>
      </c>
      <c r="L24" s="3" t="s">
        <v>3055</v>
      </c>
      <c r="M24" s="3" t="s">
        <v>3056</v>
      </c>
      <c r="N24" s="3"/>
      <c r="O24" s="3"/>
    </row>
    <row r="25" spans="1:15" s="4" customFormat="1">
      <c r="A25" s="2">
        <v>24</v>
      </c>
      <c r="B25" s="3" t="s">
        <v>506</v>
      </c>
      <c r="C25" s="3" t="s">
        <v>507</v>
      </c>
      <c r="D25" s="2" t="s">
        <v>17</v>
      </c>
      <c r="E25" s="2" t="s">
        <v>8</v>
      </c>
      <c r="F25" s="16"/>
      <c r="G25" s="16"/>
      <c r="H25" s="16">
        <f>VLOOKUP(B:B,'[1]Master Sheet'!$B:$H,7,0)</f>
        <v>1500</v>
      </c>
      <c r="I25" s="16">
        <f>VLOOKUP(B:B,'[1]Master Sheet'!$B:$I,8,0)</f>
        <v>0</v>
      </c>
      <c r="J25" s="16"/>
      <c r="K25" s="3" t="s">
        <v>2972</v>
      </c>
      <c r="L25" s="3" t="s">
        <v>3057</v>
      </c>
      <c r="M25" s="3" t="s">
        <v>3056</v>
      </c>
      <c r="N25" s="3"/>
      <c r="O25" s="3"/>
    </row>
    <row r="26" spans="1:15" s="4" customFormat="1">
      <c r="A26" s="2">
        <v>25</v>
      </c>
      <c r="B26" s="3" t="s">
        <v>70</v>
      </c>
      <c r="C26" s="3" t="s">
        <v>71</v>
      </c>
      <c r="D26" s="2" t="s">
        <v>17</v>
      </c>
      <c r="E26" s="2" t="s">
        <v>8</v>
      </c>
      <c r="F26" s="16"/>
      <c r="G26" s="16"/>
      <c r="H26" s="16">
        <f>VLOOKUP(B:B,'[1]Master Sheet'!$B:$H,7,0)</f>
        <v>50</v>
      </c>
      <c r="I26" s="16">
        <f>VLOOKUP(B:B,'[1]Master Sheet'!$B:$I,8,0)</f>
        <v>0</v>
      </c>
      <c r="J26" s="16"/>
      <c r="K26" s="3" t="s">
        <v>2972</v>
      </c>
      <c r="L26" s="3" t="s">
        <v>3055</v>
      </c>
      <c r="M26" s="3" t="s">
        <v>3056</v>
      </c>
      <c r="N26" s="3"/>
      <c r="O26" s="3"/>
    </row>
    <row r="27" spans="1:15" s="4" customFormat="1">
      <c r="A27" s="2">
        <v>26</v>
      </c>
      <c r="B27" s="3" t="s">
        <v>72</v>
      </c>
      <c r="C27" s="3" t="s">
        <v>73</v>
      </c>
      <c r="D27" s="2" t="s">
        <v>17</v>
      </c>
      <c r="E27" s="2" t="s">
        <v>8</v>
      </c>
      <c r="F27" s="16"/>
      <c r="G27" s="16"/>
      <c r="H27" s="16">
        <f>VLOOKUP(B:B,'[1]Master Sheet'!$B:$H,7,0)</f>
        <v>110</v>
      </c>
      <c r="I27" s="16">
        <f>VLOOKUP(B:B,'[1]Master Sheet'!$B:$I,8,0)</f>
        <v>0</v>
      </c>
      <c r="J27" s="16"/>
      <c r="K27" s="3" t="s">
        <v>2982</v>
      </c>
      <c r="L27" s="3" t="s">
        <v>3060</v>
      </c>
      <c r="M27" s="3" t="s">
        <v>3061</v>
      </c>
      <c r="N27" s="3"/>
      <c r="O27" s="3"/>
    </row>
    <row r="28" spans="1:15" s="4" customFormat="1">
      <c r="A28" s="2">
        <v>27</v>
      </c>
      <c r="B28" s="3" t="s">
        <v>76</v>
      </c>
      <c r="C28" s="3" t="s">
        <v>77</v>
      </c>
      <c r="D28" s="2" t="s">
        <v>17</v>
      </c>
      <c r="E28" s="2" t="s">
        <v>8</v>
      </c>
      <c r="F28" s="16"/>
      <c r="G28" s="16"/>
      <c r="H28" s="16">
        <f>VLOOKUP(B:B,'[1]Master Sheet'!$B:$H,7,0)</f>
        <v>150</v>
      </c>
      <c r="I28" s="16">
        <f>VLOOKUP(B:B,'[1]Master Sheet'!$B:$I,8,0)</f>
        <v>0</v>
      </c>
      <c r="J28" s="16"/>
      <c r="K28" s="3" t="s">
        <v>2991</v>
      </c>
      <c r="L28" s="3" t="s">
        <v>3060</v>
      </c>
      <c r="M28" s="3" t="s">
        <v>3058</v>
      </c>
      <c r="N28" s="3"/>
      <c r="O28" s="3"/>
    </row>
    <row r="29" spans="1:15" s="4" customFormat="1">
      <c r="A29" s="2">
        <v>28</v>
      </c>
      <c r="B29" s="3" t="s">
        <v>569</v>
      </c>
      <c r="C29" s="3" t="s">
        <v>570</v>
      </c>
      <c r="D29" s="2" t="s">
        <v>17</v>
      </c>
      <c r="E29" s="2" t="s">
        <v>8</v>
      </c>
      <c r="F29" s="16"/>
      <c r="G29" s="16"/>
      <c r="H29" s="16">
        <f>VLOOKUP(B:B,'[1]Master Sheet'!$B:$H,7,0)</f>
        <v>1000</v>
      </c>
      <c r="I29" s="16">
        <f>VLOOKUP(B:B,'[1]Master Sheet'!$B:$I,8,0)</f>
        <v>0</v>
      </c>
      <c r="J29" s="16"/>
      <c r="K29" s="3" t="s">
        <v>2998</v>
      </c>
      <c r="L29" s="3" t="s">
        <v>3057</v>
      </c>
      <c r="M29" s="3" t="s">
        <v>3056</v>
      </c>
      <c r="N29" s="3"/>
      <c r="O29" s="3"/>
    </row>
    <row r="30" spans="1:15" s="4" customFormat="1">
      <c r="A30" s="2">
        <v>29</v>
      </c>
      <c r="B30" s="3" t="s">
        <v>80</v>
      </c>
      <c r="C30" s="3" t="s">
        <v>81</v>
      </c>
      <c r="D30" s="2" t="s">
        <v>17</v>
      </c>
      <c r="E30" s="2" t="s">
        <v>8</v>
      </c>
      <c r="F30" s="16"/>
      <c r="G30" s="16"/>
      <c r="H30" s="16">
        <f>VLOOKUP(B:B,'[1]Master Sheet'!$B:$H,7,0)</f>
        <v>5000</v>
      </c>
      <c r="I30" s="16">
        <f>VLOOKUP(B:B,'[1]Master Sheet'!$B:$I,8,0)</f>
        <v>0</v>
      </c>
      <c r="J30" s="16"/>
      <c r="K30" s="3" t="s">
        <v>2972</v>
      </c>
      <c r="L30" s="3" t="s">
        <v>3060</v>
      </c>
      <c r="M30" s="3" t="s">
        <v>3058</v>
      </c>
      <c r="N30" s="3"/>
      <c r="O30" s="3"/>
    </row>
    <row r="31" spans="1:15" s="4" customFormat="1">
      <c r="A31" s="2">
        <v>30</v>
      </c>
      <c r="B31" s="3" t="s">
        <v>1092</v>
      </c>
      <c r="C31" s="3" t="s">
        <v>1093</v>
      </c>
      <c r="D31" s="2" t="s">
        <v>20</v>
      </c>
      <c r="E31" s="2" t="s">
        <v>8</v>
      </c>
      <c r="F31" s="16"/>
      <c r="G31" s="16"/>
      <c r="H31" s="16">
        <f>VLOOKUP(B:B,'[1]Master Sheet'!$B:$H,7,0)</f>
        <v>300</v>
      </c>
      <c r="I31" s="16">
        <f>VLOOKUP(B:B,'[1]Master Sheet'!$B:$I,8,0)</f>
        <v>250</v>
      </c>
      <c r="J31" s="16"/>
      <c r="K31" s="3" t="s">
        <v>2991</v>
      </c>
      <c r="L31" s="3" t="s">
        <v>3057</v>
      </c>
      <c r="M31" s="3" t="s">
        <v>3056</v>
      </c>
      <c r="N31" s="3"/>
      <c r="O31" s="3"/>
    </row>
    <row r="32" spans="1:15" s="4" customFormat="1">
      <c r="A32" s="2">
        <v>31</v>
      </c>
      <c r="B32" s="3" t="s">
        <v>86</v>
      </c>
      <c r="C32" s="3" t="s">
        <v>87</v>
      </c>
      <c r="D32" s="2" t="s">
        <v>17</v>
      </c>
      <c r="E32" s="2" t="s">
        <v>8</v>
      </c>
      <c r="F32" s="16"/>
      <c r="G32" s="16"/>
      <c r="H32" s="16">
        <f>VLOOKUP(B:B,'[1]Master Sheet'!$B:$H,7,0)</f>
        <v>2500</v>
      </c>
      <c r="I32" s="16">
        <f>VLOOKUP(B:B,'[1]Master Sheet'!$B:$I,8,0)</f>
        <v>0</v>
      </c>
      <c r="J32" s="16"/>
      <c r="K32" s="3" t="s">
        <v>2972</v>
      </c>
      <c r="L32" s="3" t="s">
        <v>3060</v>
      </c>
      <c r="M32" s="3" t="s">
        <v>3058</v>
      </c>
      <c r="N32" s="3"/>
      <c r="O32" s="3"/>
    </row>
    <row r="33" spans="1:15" s="4" customFormat="1">
      <c r="A33" s="2">
        <v>32</v>
      </c>
      <c r="B33" s="3" t="s">
        <v>88</v>
      </c>
      <c r="C33" s="3" t="s">
        <v>89</v>
      </c>
      <c r="D33" s="2" t="s">
        <v>17</v>
      </c>
      <c r="E33" s="2" t="s">
        <v>8</v>
      </c>
      <c r="F33" s="16"/>
      <c r="G33" s="16"/>
      <c r="H33" s="16">
        <f>VLOOKUP(B:B,'[1]Master Sheet'!$B:$H,7,0)</f>
        <v>7000</v>
      </c>
      <c r="I33" s="16">
        <f>VLOOKUP(B:B,'[1]Master Sheet'!$B:$I,8,0)</f>
        <v>10000</v>
      </c>
      <c r="J33" s="16"/>
      <c r="K33" s="3" t="s">
        <v>2972</v>
      </c>
      <c r="L33" s="3" t="s">
        <v>3060</v>
      </c>
      <c r="M33" s="3" t="s">
        <v>3058</v>
      </c>
      <c r="N33" s="3"/>
      <c r="O33" s="3"/>
    </row>
    <row r="34" spans="1:15" s="4" customFormat="1">
      <c r="A34" s="2">
        <v>33</v>
      </c>
      <c r="B34" s="3" t="s">
        <v>90</v>
      </c>
      <c r="C34" s="3" t="s">
        <v>91</v>
      </c>
      <c r="D34" s="2" t="s">
        <v>17</v>
      </c>
      <c r="E34" s="2" t="s">
        <v>8</v>
      </c>
      <c r="F34" s="16"/>
      <c r="G34" s="16"/>
      <c r="H34" s="16">
        <f>VLOOKUP(B:B,'[1]Master Sheet'!$B:$H,7,0)</f>
        <v>5000</v>
      </c>
      <c r="I34" s="16">
        <f>VLOOKUP(B:B,'[1]Master Sheet'!$B:$I,8,0)</f>
        <v>0</v>
      </c>
      <c r="J34" s="16"/>
      <c r="K34" s="3" t="s">
        <v>2991</v>
      </c>
      <c r="L34" s="3" t="s">
        <v>3060</v>
      </c>
      <c r="M34" s="3" t="s">
        <v>3058</v>
      </c>
      <c r="N34" s="3"/>
      <c r="O34" s="3"/>
    </row>
    <row r="35" spans="1:15" s="4" customFormat="1">
      <c r="A35" s="2">
        <v>34</v>
      </c>
      <c r="B35" s="3" t="s">
        <v>1104</v>
      </c>
      <c r="C35" s="3" t="s">
        <v>1105</v>
      </c>
      <c r="D35" s="2" t="s">
        <v>20</v>
      </c>
      <c r="E35" s="2" t="s">
        <v>8</v>
      </c>
      <c r="F35" s="16"/>
      <c r="G35" s="16"/>
      <c r="H35" s="16">
        <f>VLOOKUP(B:B,'[1]Master Sheet'!$B:$H,7,0)</f>
        <v>600</v>
      </c>
      <c r="I35" s="16">
        <f>VLOOKUP(B:B,'[1]Master Sheet'!$B:$I,8,0)+500</f>
        <v>1800</v>
      </c>
      <c r="J35" s="16"/>
      <c r="K35" s="3" t="s">
        <v>2991</v>
      </c>
      <c r="L35" s="3" t="s">
        <v>3057</v>
      </c>
      <c r="M35" s="3" t="s">
        <v>3056</v>
      </c>
      <c r="N35" s="3"/>
      <c r="O35" s="3"/>
    </row>
    <row r="36" spans="1:15" s="4" customFormat="1">
      <c r="A36" s="2">
        <v>35</v>
      </c>
      <c r="B36" s="3" t="s">
        <v>1119</v>
      </c>
      <c r="C36" s="3" t="s">
        <v>1120</v>
      </c>
      <c r="D36" s="2" t="s">
        <v>17</v>
      </c>
      <c r="E36" s="2" t="s">
        <v>8</v>
      </c>
      <c r="F36" s="16"/>
      <c r="G36" s="16"/>
      <c r="H36" s="16">
        <f>VLOOKUP(B:B,'[1]Master Sheet'!$B:$H,7,0)</f>
        <v>2000</v>
      </c>
      <c r="I36" s="16">
        <f>VLOOKUP(B:B,'[1]Master Sheet'!$B:$I,8,0)</f>
        <v>0</v>
      </c>
      <c r="J36" s="16"/>
      <c r="K36" s="3" t="s">
        <v>2972</v>
      </c>
      <c r="L36" s="3" t="s">
        <v>3057</v>
      </c>
      <c r="M36" s="3" t="s">
        <v>3058</v>
      </c>
      <c r="N36" s="3"/>
      <c r="O36" s="3"/>
    </row>
    <row r="37" spans="1:15" s="4" customFormat="1">
      <c r="A37" s="2">
        <v>36</v>
      </c>
      <c r="B37" s="3" t="s">
        <v>1125</v>
      </c>
      <c r="C37" s="3" t="s">
        <v>1126</v>
      </c>
      <c r="D37" s="2" t="s">
        <v>17</v>
      </c>
      <c r="E37" s="2" t="s">
        <v>8</v>
      </c>
      <c r="F37" s="16"/>
      <c r="G37" s="16"/>
      <c r="H37" s="16">
        <f>VLOOKUP(B:B,'[1]Master Sheet'!$B:$H,7,0)</f>
        <v>2000</v>
      </c>
      <c r="I37" s="16">
        <f>VLOOKUP(B:B,'[1]Master Sheet'!$B:$I,8,0)</f>
        <v>0</v>
      </c>
      <c r="J37" s="16"/>
      <c r="K37" s="3" t="s">
        <v>2972</v>
      </c>
      <c r="L37" s="3" t="s">
        <v>3057</v>
      </c>
      <c r="M37" s="3" t="s">
        <v>3058</v>
      </c>
      <c r="N37" s="3"/>
      <c r="O37" s="3"/>
    </row>
    <row r="38" spans="1:15" s="4" customFormat="1">
      <c r="A38" s="2">
        <v>37</v>
      </c>
      <c r="B38" s="3" t="s">
        <v>98</v>
      </c>
      <c r="C38" s="3" t="s">
        <v>99</v>
      </c>
      <c r="D38" s="2" t="s">
        <v>20</v>
      </c>
      <c r="E38" s="2" t="s">
        <v>8</v>
      </c>
      <c r="F38" s="16"/>
      <c r="G38" s="16"/>
      <c r="H38" s="16">
        <f>VLOOKUP(B:B,'[1]Master Sheet'!$B:$H,7,0)</f>
        <v>250</v>
      </c>
      <c r="I38" s="16">
        <f>VLOOKUP(B:B,'[1]Master Sheet'!$B:$I,8,0)</f>
        <v>0</v>
      </c>
      <c r="J38" s="16"/>
      <c r="K38" s="3" t="s">
        <v>2991</v>
      </c>
      <c r="L38" s="3" t="s">
        <v>3060</v>
      </c>
      <c r="M38" s="3" t="s">
        <v>3058</v>
      </c>
      <c r="N38" s="3"/>
      <c r="O38" s="3"/>
    </row>
    <row r="39" spans="1:15" s="4" customFormat="1">
      <c r="A39" s="2">
        <v>38</v>
      </c>
      <c r="B39" s="3" t="s">
        <v>100</v>
      </c>
      <c r="C39" s="3" t="s">
        <v>101</v>
      </c>
      <c r="D39" s="2" t="s">
        <v>20</v>
      </c>
      <c r="E39" s="2" t="s">
        <v>8</v>
      </c>
      <c r="F39" s="16"/>
      <c r="G39" s="16"/>
      <c r="H39" s="16">
        <f>VLOOKUP(B:B,'[1]Master Sheet'!$B:$H,7,0)</f>
        <v>500</v>
      </c>
      <c r="I39" s="16">
        <f>VLOOKUP(B:B,'[1]Master Sheet'!$B:$I,8,0)</f>
        <v>0</v>
      </c>
      <c r="J39" s="16"/>
      <c r="K39" s="3" t="s">
        <v>2991</v>
      </c>
      <c r="L39" s="3" t="s">
        <v>3060</v>
      </c>
      <c r="M39" s="3" t="s">
        <v>3058</v>
      </c>
      <c r="N39" s="3"/>
      <c r="O39" s="3"/>
    </row>
    <row r="40" spans="1:15" s="4" customFormat="1">
      <c r="A40" s="2">
        <v>39</v>
      </c>
      <c r="B40" s="3" t="s">
        <v>1141</v>
      </c>
      <c r="C40" s="3" t="s">
        <v>1142</v>
      </c>
      <c r="D40" s="2" t="s">
        <v>17</v>
      </c>
      <c r="E40" s="2" t="s">
        <v>8</v>
      </c>
      <c r="F40" s="16"/>
      <c r="G40" s="16"/>
      <c r="H40" s="16">
        <f>VLOOKUP(B:B,'[1]Master Sheet'!$B:$H,7,0)</f>
        <v>500</v>
      </c>
      <c r="I40" s="16">
        <f>VLOOKUP(B:B,'[1]Master Sheet'!$B:$I,8,0)</f>
        <v>1000</v>
      </c>
      <c r="J40" s="16"/>
      <c r="K40" s="3" t="s">
        <v>2991</v>
      </c>
      <c r="L40" s="3" t="s">
        <v>3057</v>
      </c>
      <c r="M40" s="3" t="s">
        <v>3056</v>
      </c>
      <c r="N40" s="3"/>
      <c r="O40" s="3"/>
    </row>
    <row r="41" spans="1:15" s="4" customFormat="1">
      <c r="A41" s="2">
        <v>40</v>
      </c>
      <c r="B41" s="3" t="s">
        <v>1506</v>
      </c>
      <c r="C41" s="3" t="s">
        <v>1507</v>
      </c>
      <c r="D41" s="2" t="s">
        <v>17</v>
      </c>
      <c r="E41" s="2" t="s">
        <v>8</v>
      </c>
      <c r="F41" s="16"/>
      <c r="G41" s="16"/>
      <c r="H41" s="16">
        <f>VLOOKUP(B:B,'[1]Master Sheet'!$B:$H,7,0)</f>
        <v>200</v>
      </c>
      <c r="I41" s="16">
        <f>VLOOKUP(B:B,'[1]Master Sheet'!$B:$I,8,0)</f>
        <v>0</v>
      </c>
      <c r="J41" s="16"/>
      <c r="K41" s="3" t="s">
        <v>2991</v>
      </c>
      <c r="L41" s="3" t="s">
        <v>3057</v>
      </c>
      <c r="M41" s="3" t="s">
        <v>3058</v>
      </c>
      <c r="N41" s="3"/>
      <c r="O41" s="3"/>
    </row>
    <row r="42" spans="1:15" s="4" customFormat="1">
      <c r="A42" s="2">
        <v>41</v>
      </c>
      <c r="B42" s="3" t="s">
        <v>110</v>
      </c>
      <c r="C42" s="3" t="s">
        <v>111</v>
      </c>
      <c r="D42" s="2" t="s">
        <v>7</v>
      </c>
      <c r="E42" s="2" t="s">
        <v>8</v>
      </c>
      <c r="F42" s="16"/>
      <c r="G42" s="16"/>
      <c r="H42" s="16">
        <f>VLOOKUP(B:B,'[1]Master Sheet'!$B:$H,7,0)</f>
        <v>0</v>
      </c>
      <c r="I42" s="16">
        <f>VLOOKUP(B:B,'[1]Master Sheet'!$B:$I,8,0)</f>
        <v>0</v>
      </c>
      <c r="J42" s="16"/>
      <c r="K42" s="3" t="s">
        <v>2972</v>
      </c>
      <c r="L42" s="3" t="s">
        <v>3060</v>
      </c>
      <c r="M42" s="3" t="s">
        <v>3056</v>
      </c>
      <c r="N42" s="3"/>
      <c r="O42" s="3"/>
    </row>
    <row r="43" spans="1:15" s="4" customFormat="1">
      <c r="A43" s="2">
        <v>42</v>
      </c>
      <c r="B43" s="3" t="s">
        <v>112</v>
      </c>
      <c r="C43" s="3" t="s">
        <v>113</v>
      </c>
      <c r="D43" s="2" t="s">
        <v>7</v>
      </c>
      <c r="E43" s="2" t="s">
        <v>8</v>
      </c>
      <c r="F43" s="16">
        <v>5000</v>
      </c>
      <c r="G43" s="16"/>
      <c r="H43" s="16">
        <f>VLOOKUP(B:B,'[1]Master Sheet'!$B:$H,7,0)</f>
        <v>3000</v>
      </c>
      <c r="I43" s="16">
        <f>VLOOKUP(B:B,'[1]Master Sheet'!$B:$I,8,0)</f>
        <v>5000</v>
      </c>
      <c r="J43" s="16"/>
      <c r="K43" s="3" t="s">
        <v>3006</v>
      </c>
      <c r="L43" s="3" t="s">
        <v>3060</v>
      </c>
      <c r="M43" s="3" t="s">
        <v>3058</v>
      </c>
      <c r="N43" s="3"/>
      <c r="O43" s="3"/>
    </row>
    <row r="44" spans="1:15" s="4" customFormat="1">
      <c r="A44" s="2">
        <v>43</v>
      </c>
      <c r="B44" s="3" t="s">
        <v>1586</v>
      </c>
      <c r="C44" s="3" t="s">
        <v>1587</v>
      </c>
      <c r="D44" s="2" t="s">
        <v>17</v>
      </c>
      <c r="E44" s="2" t="s">
        <v>8</v>
      </c>
      <c r="F44" s="16"/>
      <c r="G44" s="16"/>
      <c r="H44" s="16">
        <f>VLOOKUP(B:B,'[1]Master Sheet'!$B:$H,7,0)</f>
        <v>450</v>
      </c>
      <c r="I44" s="16">
        <f>VLOOKUP(B:B,'[1]Master Sheet'!$B:$I,8,0)</f>
        <v>400</v>
      </c>
      <c r="J44" s="16"/>
      <c r="K44" s="3" t="s">
        <v>2972</v>
      </c>
      <c r="L44" s="3" t="s">
        <v>3057</v>
      </c>
      <c r="M44" s="3" t="s">
        <v>3058</v>
      </c>
      <c r="N44" s="3"/>
      <c r="O44" s="3"/>
    </row>
    <row r="45" spans="1:15" s="4" customFormat="1">
      <c r="A45" s="2">
        <v>44</v>
      </c>
      <c r="B45" s="3" t="s">
        <v>117</v>
      </c>
      <c r="C45" s="3" t="s">
        <v>118</v>
      </c>
      <c r="D45" s="2" t="s">
        <v>7</v>
      </c>
      <c r="E45" s="2" t="s">
        <v>8</v>
      </c>
      <c r="F45" s="16">
        <v>2380</v>
      </c>
      <c r="G45" s="16"/>
      <c r="H45" s="16">
        <f>VLOOKUP(B:B,'[1]Master Sheet'!$B:$H,7,0)</f>
        <v>1000</v>
      </c>
      <c r="I45" s="16">
        <f>VLOOKUP(B:B,'[1]Master Sheet'!$B:$I,8,0)</f>
        <v>2500</v>
      </c>
      <c r="J45" s="16"/>
      <c r="K45" s="3" t="s">
        <v>3006</v>
      </c>
      <c r="L45" s="3" t="s">
        <v>3060</v>
      </c>
      <c r="M45" s="3" t="s">
        <v>3058</v>
      </c>
      <c r="N45" s="3"/>
      <c r="O45" s="3"/>
    </row>
    <row r="46" spans="1:15" s="4" customFormat="1">
      <c r="A46" s="2">
        <v>45</v>
      </c>
      <c r="B46" s="3" t="s">
        <v>119</v>
      </c>
      <c r="C46" s="3" t="s">
        <v>120</v>
      </c>
      <c r="D46" s="2" t="s">
        <v>17</v>
      </c>
      <c r="E46" s="2" t="s">
        <v>8</v>
      </c>
      <c r="F46" s="16"/>
      <c r="G46" s="16"/>
      <c r="H46" s="16">
        <f>VLOOKUP(B:B,'[1]Master Sheet'!$B:$H,7,0)</f>
        <v>25</v>
      </c>
      <c r="I46" s="16">
        <f>VLOOKUP(B:B,'[1]Master Sheet'!$B:$I,8,0)</f>
        <v>0</v>
      </c>
      <c r="J46" s="16"/>
      <c r="K46" s="3" t="s">
        <v>2991</v>
      </c>
      <c r="L46" s="3" t="s">
        <v>3060</v>
      </c>
      <c r="M46" s="3" t="s">
        <v>3058</v>
      </c>
      <c r="N46" s="3"/>
      <c r="O46" s="3"/>
    </row>
    <row r="47" spans="1:15" s="4" customFormat="1">
      <c r="A47" s="2">
        <v>46</v>
      </c>
      <c r="B47" s="3" t="s">
        <v>121</v>
      </c>
      <c r="C47" s="3" t="s">
        <v>122</v>
      </c>
      <c r="D47" s="2" t="s">
        <v>17</v>
      </c>
      <c r="E47" s="2" t="s">
        <v>8</v>
      </c>
      <c r="F47" s="16"/>
      <c r="G47" s="16"/>
      <c r="H47" s="16">
        <f>VLOOKUP(B:B,'[1]Master Sheet'!$B:$H,7,0)</f>
        <v>100</v>
      </c>
      <c r="I47" s="16">
        <f>VLOOKUP(B:B,'[1]Master Sheet'!$B:$I,8,0)</f>
        <v>0</v>
      </c>
      <c r="J47" s="16"/>
      <c r="K47" s="3" t="s">
        <v>2991</v>
      </c>
      <c r="L47" s="3" t="s">
        <v>3062</v>
      </c>
      <c r="M47" s="3" t="s">
        <v>3056</v>
      </c>
      <c r="N47" s="3"/>
      <c r="O47" s="3"/>
    </row>
    <row r="48" spans="1:15" s="4" customFormat="1">
      <c r="A48" s="2">
        <v>47</v>
      </c>
      <c r="B48" s="3" t="s">
        <v>1598</v>
      </c>
      <c r="C48" s="3" t="s">
        <v>1599</v>
      </c>
      <c r="D48" s="2" t="s">
        <v>17</v>
      </c>
      <c r="E48" s="2" t="s">
        <v>8</v>
      </c>
      <c r="F48" s="16"/>
      <c r="G48" s="16"/>
      <c r="H48" s="16">
        <f>VLOOKUP(B:B,'[1]Master Sheet'!$B:$H,7,0)</f>
        <v>500</v>
      </c>
      <c r="I48" s="16">
        <f>VLOOKUP(B:B,'[1]Master Sheet'!$B:$I,8,0)</f>
        <v>300</v>
      </c>
      <c r="J48" s="16"/>
      <c r="K48" s="3" t="s">
        <v>2972</v>
      </c>
      <c r="L48" s="3" t="s">
        <v>3057</v>
      </c>
      <c r="M48" s="3" t="s">
        <v>3056</v>
      </c>
      <c r="N48" s="3"/>
      <c r="O48" s="3"/>
    </row>
    <row r="49" spans="1:15" s="4" customFormat="1">
      <c r="A49" s="2">
        <v>48</v>
      </c>
      <c r="B49" s="3" t="s">
        <v>1606</v>
      </c>
      <c r="C49" s="3" t="s">
        <v>1607</v>
      </c>
      <c r="D49" s="2" t="s">
        <v>17</v>
      </c>
      <c r="E49" s="2" t="s">
        <v>8</v>
      </c>
      <c r="F49" s="16"/>
      <c r="G49" s="16"/>
      <c r="H49" s="16">
        <f>VLOOKUP(B:B,'[1]Master Sheet'!$B:$H,7,0)</f>
        <v>2000</v>
      </c>
      <c r="I49" s="16">
        <f>VLOOKUP(B:B,'[1]Master Sheet'!$B:$I,8,0)</f>
        <v>0</v>
      </c>
      <c r="J49" s="16"/>
      <c r="K49" s="3" t="s">
        <v>2972</v>
      </c>
      <c r="L49" s="3" t="s">
        <v>3057</v>
      </c>
      <c r="M49" s="3" t="s">
        <v>3056</v>
      </c>
      <c r="N49" s="3"/>
      <c r="O49" s="3"/>
    </row>
    <row r="50" spans="1:15" s="4" customFormat="1">
      <c r="A50" s="2">
        <v>49</v>
      </c>
      <c r="B50" s="3" t="s">
        <v>1618</v>
      </c>
      <c r="C50" s="3" t="s">
        <v>1619</v>
      </c>
      <c r="D50" s="2" t="s">
        <v>17</v>
      </c>
      <c r="E50" s="2" t="s">
        <v>8</v>
      </c>
      <c r="F50" s="16"/>
      <c r="G50" s="16"/>
      <c r="H50" s="16">
        <f>VLOOKUP(B:B,'[1]Master Sheet'!$B:$H,7,0)</f>
        <v>0</v>
      </c>
      <c r="I50" s="16">
        <f>VLOOKUP(B:B,'[1]Master Sheet'!$B:$I,8,0)</f>
        <v>0</v>
      </c>
      <c r="J50" s="16"/>
      <c r="K50" s="3" t="s">
        <v>2972</v>
      </c>
      <c r="L50" s="3" t="s">
        <v>3057</v>
      </c>
      <c r="M50" s="3" t="s">
        <v>3056</v>
      </c>
      <c r="N50" s="3"/>
      <c r="O50" s="3"/>
    </row>
    <row r="51" spans="1:15" s="4" customFormat="1">
      <c r="A51" s="2">
        <v>50</v>
      </c>
      <c r="B51" s="3" t="s">
        <v>1620</v>
      </c>
      <c r="C51" s="3" t="s">
        <v>1621</v>
      </c>
      <c r="D51" s="2" t="s">
        <v>17</v>
      </c>
      <c r="E51" s="2" t="s">
        <v>8</v>
      </c>
      <c r="F51" s="16"/>
      <c r="G51" s="16"/>
      <c r="H51" s="16">
        <f>VLOOKUP(B:B,'[1]Master Sheet'!$B:$H,7,0)</f>
        <v>0</v>
      </c>
      <c r="I51" s="16">
        <f>VLOOKUP(B:B,'[1]Master Sheet'!$B:$I,8,0)</f>
        <v>0</v>
      </c>
      <c r="J51" s="16"/>
      <c r="K51" s="3" t="s">
        <v>2972</v>
      </c>
      <c r="L51" s="3" t="s">
        <v>3057</v>
      </c>
      <c r="M51" s="3" t="s">
        <v>3056</v>
      </c>
      <c r="N51" s="3"/>
      <c r="O51" s="3"/>
    </row>
    <row r="52" spans="1:15" s="4" customFormat="1">
      <c r="A52" s="2">
        <v>51</v>
      </c>
      <c r="B52" s="3" t="s">
        <v>1622</v>
      </c>
      <c r="C52" s="3" t="s">
        <v>1623</v>
      </c>
      <c r="D52" s="2" t="s">
        <v>17</v>
      </c>
      <c r="E52" s="2" t="s">
        <v>8</v>
      </c>
      <c r="F52" s="16"/>
      <c r="G52" s="16"/>
      <c r="H52" s="16">
        <f>VLOOKUP(B:B,'[1]Master Sheet'!$B:$H,7,0)</f>
        <v>0</v>
      </c>
      <c r="I52" s="16">
        <f>VLOOKUP(B:B,'[1]Master Sheet'!$B:$I,8,0)</f>
        <v>0</v>
      </c>
      <c r="J52" s="16"/>
      <c r="K52" s="3" t="s">
        <v>2972</v>
      </c>
      <c r="L52" s="3" t="s">
        <v>3057</v>
      </c>
      <c r="M52" s="3" t="s">
        <v>3056</v>
      </c>
      <c r="N52" s="3"/>
      <c r="O52" s="3"/>
    </row>
    <row r="53" spans="1:15" s="4" customFormat="1">
      <c r="A53" s="2">
        <v>52</v>
      </c>
      <c r="B53" s="3" t="s">
        <v>136</v>
      </c>
      <c r="C53" s="3" t="s">
        <v>137</v>
      </c>
      <c r="D53" s="2" t="s">
        <v>17</v>
      </c>
      <c r="E53" s="2" t="s">
        <v>8</v>
      </c>
      <c r="F53" s="16"/>
      <c r="G53" s="16"/>
      <c r="H53" s="16">
        <f>VLOOKUP(B:B,'[1]Master Sheet'!$B:$H,7,0)</f>
        <v>20</v>
      </c>
      <c r="I53" s="16">
        <f>VLOOKUP(B:B,'[1]Master Sheet'!$B:$I,8,0)</f>
        <v>0</v>
      </c>
      <c r="J53" s="16"/>
      <c r="K53" s="3" t="s">
        <v>2991</v>
      </c>
      <c r="L53" s="3" t="s">
        <v>3060</v>
      </c>
      <c r="M53" s="3" t="s">
        <v>3058</v>
      </c>
      <c r="N53" s="3"/>
      <c r="O53" s="3"/>
    </row>
    <row r="54" spans="1:15" s="4" customFormat="1">
      <c r="A54" s="2">
        <v>53</v>
      </c>
      <c r="B54" s="3" t="s">
        <v>138</v>
      </c>
      <c r="C54" s="3" t="s">
        <v>139</v>
      </c>
      <c r="D54" s="2" t="s">
        <v>17</v>
      </c>
      <c r="E54" s="2" t="s">
        <v>8</v>
      </c>
      <c r="F54" s="16"/>
      <c r="G54" s="16"/>
      <c r="H54" s="16">
        <f>VLOOKUP(B:B,'[1]Master Sheet'!$B:$H,7,0)</f>
        <v>0</v>
      </c>
      <c r="I54" s="16">
        <f>VLOOKUP(B:B,'[1]Master Sheet'!$B:$I,8,0)</f>
        <v>0</v>
      </c>
      <c r="J54" s="16"/>
      <c r="K54" s="3" t="s">
        <v>2991</v>
      </c>
      <c r="L54" s="3" t="s">
        <v>3060</v>
      </c>
      <c r="M54" s="3" t="s">
        <v>3058</v>
      </c>
      <c r="N54" s="3"/>
      <c r="O54" s="3"/>
    </row>
    <row r="55" spans="1:15" s="4" customFormat="1">
      <c r="A55" s="2">
        <v>54</v>
      </c>
      <c r="B55" s="3" t="s">
        <v>140</v>
      </c>
      <c r="C55" s="3" t="s">
        <v>141</v>
      </c>
      <c r="D55" s="2" t="s">
        <v>17</v>
      </c>
      <c r="E55" s="2" t="s">
        <v>8</v>
      </c>
      <c r="F55" s="16"/>
      <c r="G55" s="16"/>
      <c r="H55" s="16">
        <f>VLOOKUP(B:B,'[1]Master Sheet'!$B:$H,7,0)</f>
        <v>1000</v>
      </c>
      <c r="I55" s="16">
        <f>VLOOKUP(B:B,'[1]Master Sheet'!$B:$I,8,0)</f>
        <v>0</v>
      </c>
      <c r="J55" s="16"/>
      <c r="K55" s="3" t="s">
        <v>2991</v>
      </c>
      <c r="L55" s="3" t="s">
        <v>3060</v>
      </c>
      <c r="M55" s="3" t="s">
        <v>3058</v>
      </c>
      <c r="N55" s="3"/>
      <c r="O55" s="3"/>
    </row>
    <row r="56" spans="1:15" s="4" customFormat="1">
      <c r="A56" s="2">
        <v>55</v>
      </c>
      <c r="B56" s="3" t="s">
        <v>142</v>
      </c>
      <c r="C56" s="3" t="s">
        <v>143</v>
      </c>
      <c r="D56" s="2" t="s">
        <v>17</v>
      </c>
      <c r="E56" s="2" t="s">
        <v>8</v>
      </c>
      <c r="F56" s="16"/>
      <c r="G56" s="16"/>
      <c r="H56" s="16">
        <f>VLOOKUP(B:B,'[1]Master Sheet'!$B:$H,7,0)</f>
        <v>100</v>
      </c>
      <c r="I56" s="16">
        <f>VLOOKUP(B:B,'[1]Master Sheet'!$B:$I,8,0)</f>
        <v>0</v>
      </c>
      <c r="J56" s="16"/>
      <c r="K56" s="3" t="s">
        <v>2972</v>
      </c>
      <c r="L56" s="3" t="s">
        <v>3060</v>
      </c>
      <c r="M56" s="3" t="s">
        <v>3058</v>
      </c>
      <c r="N56" s="3"/>
      <c r="O56" s="3"/>
    </row>
    <row r="57" spans="1:15" s="4" customFormat="1">
      <c r="A57" s="2">
        <v>56</v>
      </c>
      <c r="B57" s="3" t="s">
        <v>144</v>
      </c>
      <c r="C57" s="3" t="s">
        <v>145</v>
      </c>
      <c r="D57" s="2" t="s">
        <v>17</v>
      </c>
      <c r="E57" s="2" t="s">
        <v>8</v>
      </c>
      <c r="F57" s="16"/>
      <c r="G57" s="16"/>
      <c r="H57" s="16">
        <f>VLOOKUP(B:B,'[1]Master Sheet'!$B:$H,7,0)</f>
        <v>125</v>
      </c>
      <c r="I57" s="16">
        <f>VLOOKUP(B:B,'[1]Master Sheet'!$B:$I,8,0)</f>
        <v>0</v>
      </c>
      <c r="J57" s="16"/>
      <c r="K57" s="3" t="s">
        <v>2982</v>
      </c>
      <c r="L57" s="3" t="s">
        <v>3060</v>
      </c>
      <c r="M57" s="3" t="s">
        <v>3061</v>
      </c>
      <c r="N57" s="3"/>
      <c r="O57" s="3"/>
    </row>
    <row r="58" spans="1:15" s="4" customFormat="1">
      <c r="A58" s="2">
        <v>57</v>
      </c>
      <c r="B58" s="3" t="s">
        <v>149</v>
      </c>
      <c r="C58" s="3" t="s">
        <v>150</v>
      </c>
      <c r="D58" s="2" t="s">
        <v>17</v>
      </c>
      <c r="E58" s="2" t="s">
        <v>8</v>
      </c>
      <c r="F58" s="16"/>
      <c r="G58" s="16"/>
      <c r="H58" s="16">
        <f>VLOOKUP(B:B,'[1]Master Sheet'!$B:$H,7,0)</f>
        <v>100</v>
      </c>
      <c r="I58" s="16">
        <f>VLOOKUP(B:B,'[1]Master Sheet'!$B:$I,8,0)</f>
        <v>0</v>
      </c>
      <c r="J58" s="16"/>
      <c r="K58" s="3" t="s">
        <v>2972</v>
      </c>
      <c r="L58" s="3" t="s">
        <v>3055</v>
      </c>
      <c r="M58" s="3" t="s">
        <v>3056</v>
      </c>
      <c r="N58" s="3"/>
      <c r="O58" s="3"/>
    </row>
    <row r="59" spans="1:15" s="4" customFormat="1">
      <c r="A59" s="2">
        <v>58</v>
      </c>
      <c r="B59" s="3" t="s">
        <v>1636</v>
      </c>
      <c r="C59" s="3" t="s">
        <v>1637</v>
      </c>
      <c r="D59" s="2" t="s">
        <v>17</v>
      </c>
      <c r="E59" s="2" t="s">
        <v>8</v>
      </c>
      <c r="F59" s="16"/>
      <c r="G59" s="16"/>
      <c r="H59" s="16">
        <f>VLOOKUP(B:B,'[1]Master Sheet'!$B:$H,7,0)</f>
        <v>5000</v>
      </c>
      <c r="I59" s="16">
        <f>VLOOKUP(B:B,'[1]Master Sheet'!$B:$I,8,0)</f>
        <v>5000</v>
      </c>
      <c r="J59" s="16"/>
      <c r="K59" s="3" t="s">
        <v>2972</v>
      </c>
      <c r="L59" s="3" t="s">
        <v>3057</v>
      </c>
      <c r="M59" s="3" t="s">
        <v>3056</v>
      </c>
      <c r="N59" s="3"/>
      <c r="O59" s="3"/>
    </row>
    <row r="60" spans="1:15" s="4" customFormat="1">
      <c r="A60" s="2">
        <v>59</v>
      </c>
      <c r="B60" s="3" t="s">
        <v>153</v>
      </c>
      <c r="C60" s="3" t="s">
        <v>154</v>
      </c>
      <c r="D60" s="2" t="s">
        <v>20</v>
      </c>
      <c r="E60" s="2" t="s">
        <v>8</v>
      </c>
      <c r="F60" s="16"/>
      <c r="G60" s="16"/>
      <c r="H60" s="16">
        <f>VLOOKUP(B:B,'[1]Master Sheet'!$B:$H,7,0)</f>
        <v>300</v>
      </c>
      <c r="I60" s="16">
        <f>VLOOKUP(B:B,'[1]Master Sheet'!$B:$I,8,0)</f>
        <v>250</v>
      </c>
      <c r="J60" s="16"/>
      <c r="K60" s="3" t="s">
        <v>2991</v>
      </c>
      <c r="L60" s="3" t="s">
        <v>3055</v>
      </c>
      <c r="M60" s="3" t="s">
        <v>3056</v>
      </c>
      <c r="N60" s="3"/>
      <c r="O60" s="3"/>
    </row>
    <row r="61" spans="1:15" s="4" customFormat="1">
      <c r="A61" s="2">
        <v>60</v>
      </c>
      <c r="B61" s="3" t="s">
        <v>1638</v>
      </c>
      <c r="C61" s="3" t="s">
        <v>1639</v>
      </c>
      <c r="D61" s="2" t="s">
        <v>17</v>
      </c>
      <c r="E61" s="2" t="s">
        <v>8</v>
      </c>
      <c r="F61" s="16"/>
      <c r="G61" s="16"/>
      <c r="H61" s="16">
        <f>VLOOKUP(B:B,'[1]Master Sheet'!$B:$H,7,0)</f>
        <v>300</v>
      </c>
      <c r="I61" s="16">
        <f>VLOOKUP(B:B,'[1]Master Sheet'!$B:$I,8,0)</f>
        <v>0</v>
      </c>
      <c r="J61" s="16"/>
      <c r="K61" s="3" t="s">
        <v>2972</v>
      </c>
      <c r="L61" s="3" t="s">
        <v>3057</v>
      </c>
      <c r="M61" s="3" t="s">
        <v>3056</v>
      </c>
      <c r="N61" s="3"/>
      <c r="O61" s="3"/>
    </row>
    <row r="62" spans="1:15" s="4" customFormat="1">
      <c r="A62" s="2">
        <v>61</v>
      </c>
      <c r="B62" s="3" t="s">
        <v>157</v>
      </c>
      <c r="C62" s="3" t="s">
        <v>158</v>
      </c>
      <c r="D62" s="2" t="s">
        <v>17</v>
      </c>
      <c r="E62" s="2" t="s">
        <v>8</v>
      </c>
      <c r="F62" s="16"/>
      <c r="G62" s="16"/>
      <c r="H62" s="16">
        <f>VLOOKUP(B:B,'[1]Master Sheet'!$B:$H,7,0)</f>
        <v>5000</v>
      </c>
      <c r="I62" s="16">
        <f>VLOOKUP(B:B,'[1]Master Sheet'!$B:$I,8,0)</f>
        <v>0</v>
      </c>
      <c r="J62" s="16"/>
      <c r="K62" s="3" t="s">
        <v>2972</v>
      </c>
      <c r="L62" s="3" t="s">
        <v>3055</v>
      </c>
      <c r="M62" s="3" t="s">
        <v>3056</v>
      </c>
      <c r="N62" s="3"/>
      <c r="O62" s="3"/>
    </row>
    <row r="63" spans="1:15" s="4" customFormat="1">
      <c r="A63" s="2">
        <v>62</v>
      </c>
      <c r="B63" s="3" t="s">
        <v>1648</v>
      </c>
      <c r="C63" s="3" t="s">
        <v>1649</v>
      </c>
      <c r="D63" s="2" t="s">
        <v>17</v>
      </c>
      <c r="E63" s="2" t="s">
        <v>8</v>
      </c>
      <c r="F63" s="16"/>
      <c r="G63" s="16"/>
      <c r="H63" s="16">
        <f>VLOOKUP(B:B,'[1]Master Sheet'!$B:$H,7,0)</f>
        <v>1000</v>
      </c>
      <c r="I63" s="16">
        <f>VLOOKUP(B:B,'[1]Master Sheet'!$B:$I,8,0)</f>
        <v>0</v>
      </c>
      <c r="J63" s="16"/>
      <c r="K63" s="3" t="s">
        <v>2972</v>
      </c>
      <c r="L63" s="3" t="s">
        <v>3057</v>
      </c>
      <c r="M63" s="3" t="s">
        <v>3056</v>
      </c>
      <c r="N63" s="3"/>
      <c r="O63" s="3"/>
    </row>
    <row r="64" spans="1:15" s="4" customFormat="1">
      <c r="A64" s="2">
        <v>63</v>
      </c>
      <c r="B64" s="3" t="s">
        <v>1658</v>
      </c>
      <c r="C64" s="3" t="s">
        <v>1659</v>
      </c>
      <c r="D64" s="2" t="s">
        <v>17</v>
      </c>
      <c r="E64" s="2" t="s">
        <v>8</v>
      </c>
      <c r="F64" s="16"/>
      <c r="G64" s="16"/>
      <c r="H64" s="16">
        <f>VLOOKUP(B:B,'[1]Master Sheet'!$B:$H,7,0)</f>
        <v>1000</v>
      </c>
      <c r="I64" s="16">
        <f>VLOOKUP(B:B,'[1]Master Sheet'!$B:$I,8,0)</f>
        <v>1000</v>
      </c>
      <c r="J64" s="16"/>
      <c r="K64" s="3" t="s">
        <v>2972</v>
      </c>
      <c r="L64" s="3" t="s">
        <v>3057</v>
      </c>
      <c r="M64" s="3" t="s">
        <v>3056</v>
      </c>
      <c r="N64" s="3"/>
      <c r="O64" s="3"/>
    </row>
    <row r="65" spans="1:15" s="4" customFormat="1">
      <c r="A65" s="2">
        <v>64</v>
      </c>
      <c r="B65" s="3" t="s">
        <v>1696</v>
      </c>
      <c r="C65" s="3" t="s">
        <v>1697</v>
      </c>
      <c r="D65" s="2" t="s">
        <v>17</v>
      </c>
      <c r="E65" s="2" t="s">
        <v>8</v>
      </c>
      <c r="F65" s="16"/>
      <c r="G65" s="16"/>
      <c r="H65" s="16">
        <f>VLOOKUP(B:B,'[1]Master Sheet'!$B:$H,7,0)</f>
        <v>300</v>
      </c>
      <c r="I65" s="16">
        <f>VLOOKUP(B:B,'[1]Master Sheet'!$B:$I,8,0)</f>
        <v>0</v>
      </c>
      <c r="J65" s="16"/>
      <c r="K65" s="3" t="s">
        <v>2972</v>
      </c>
      <c r="L65" s="3" t="s">
        <v>3057</v>
      </c>
      <c r="M65" s="3" t="s">
        <v>3056</v>
      </c>
      <c r="N65" s="3"/>
      <c r="O65" s="3"/>
    </row>
    <row r="66" spans="1:15" s="4" customFormat="1">
      <c r="A66" s="2">
        <v>65</v>
      </c>
      <c r="B66" s="3" t="s">
        <v>1714</v>
      </c>
      <c r="C66" s="3" t="s">
        <v>1715</v>
      </c>
      <c r="D66" s="2" t="s">
        <v>17</v>
      </c>
      <c r="E66" s="2" t="s">
        <v>8</v>
      </c>
      <c r="F66" s="16"/>
      <c r="G66" s="16"/>
      <c r="H66" s="16">
        <f>VLOOKUP(B:B,'[1]Master Sheet'!$B:$H,7,0)</f>
        <v>400</v>
      </c>
      <c r="I66" s="16">
        <f>VLOOKUP(B:B,'[1]Master Sheet'!$B:$I,8,0)</f>
        <v>0</v>
      </c>
      <c r="J66" s="16"/>
      <c r="K66" s="3" t="s">
        <v>2972</v>
      </c>
      <c r="L66" s="3" t="s">
        <v>3057</v>
      </c>
      <c r="M66" s="3" t="s">
        <v>3056</v>
      </c>
      <c r="N66" s="3"/>
      <c r="O66" s="3"/>
    </row>
    <row r="67" spans="1:15" s="4" customFormat="1">
      <c r="A67" s="2">
        <v>66</v>
      </c>
      <c r="B67" s="3" t="s">
        <v>1774</v>
      </c>
      <c r="C67" s="3" t="s">
        <v>1775</v>
      </c>
      <c r="D67" s="2" t="s">
        <v>17</v>
      </c>
      <c r="E67" s="2" t="s">
        <v>8</v>
      </c>
      <c r="F67" s="16"/>
      <c r="G67" s="16"/>
      <c r="H67" s="16">
        <f>VLOOKUP(B:B,'[1]Master Sheet'!$B:$H,7,0)</f>
        <v>450</v>
      </c>
      <c r="I67" s="16">
        <f>VLOOKUP(B:B,'[1]Master Sheet'!$B:$I,8,0)</f>
        <v>400</v>
      </c>
      <c r="J67" s="16"/>
      <c r="K67" s="3" t="s">
        <v>2991</v>
      </c>
      <c r="L67" s="3" t="s">
        <v>3057</v>
      </c>
      <c r="M67" s="3" t="s">
        <v>3058</v>
      </c>
      <c r="N67" s="3"/>
      <c r="O67" s="3"/>
    </row>
    <row r="68" spans="1:15" s="4" customFormat="1">
      <c r="A68" s="2">
        <v>67</v>
      </c>
      <c r="B68" s="3" t="s">
        <v>1810</v>
      </c>
      <c r="C68" s="3" t="s">
        <v>1811</v>
      </c>
      <c r="D68" s="2" t="s">
        <v>17</v>
      </c>
      <c r="E68" s="2" t="s">
        <v>8</v>
      </c>
      <c r="F68" s="16"/>
      <c r="G68" s="16"/>
      <c r="H68" s="16">
        <f>VLOOKUP(B:B,'[1]Master Sheet'!$B:$H,7,0)</f>
        <v>1000</v>
      </c>
      <c r="I68" s="16">
        <f>VLOOKUP(B:B,'[1]Master Sheet'!$B:$I,8,0)</f>
        <v>0</v>
      </c>
      <c r="J68" s="16"/>
      <c r="K68" s="3" t="s">
        <v>2974</v>
      </c>
      <c r="L68" s="3" t="s">
        <v>3057</v>
      </c>
      <c r="M68" s="3" t="s">
        <v>3056</v>
      </c>
      <c r="N68" s="3"/>
      <c r="O68" s="3"/>
    </row>
    <row r="69" spans="1:15" s="4" customFormat="1">
      <c r="A69" s="2">
        <v>68</v>
      </c>
      <c r="B69" s="3" t="s">
        <v>1846</v>
      </c>
      <c r="C69" s="3" t="s">
        <v>1847</v>
      </c>
      <c r="D69" s="2" t="s">
        <v>20</v>
      </c>
      <c r="E69" s="2" t="s">
        <v>8</v>
      </c>
      <c r="F69" s="16"/>
      <c r="G69" s="16"/>
      <c r="H69" s="16">
        <f>VLOOKUP(B:B,'[1]Master Sheet'!$B:$H,7,0)</f>
        <v>350</v>
      </c>
      <c r="I69" s="16">
        <f>VLOOKUP(B:B,'[1]Master Sheet'!$B:$I,8,0)</f>
        <v>300</v>
      </c>
      <c r="J69" s="16"/>
      <c r="K69" s="3" t="s">
        <v>3031</v>
      </c>
      <c r="L69" s="3" t="s">
        <v>3057</v>
      </c>
      <c r="M69" s="3" t="s">
        <v>3056</v>
      </c>
      <c r="N69" s="3"/>
      <c r="O69" s="3"/>
    </row>
    <row r="70" spans="1:15" s="4" customFormat="1">
      <c r="A70" s="2">
        <v>69</v>
      </c>
      <c r="B70" s="3" t="s">
        <v>1850</v>
      </c>
      <c r="C70" s="3" t="s">
        <v>1851</v>
      </c>
      <c r="D70" s="2" t="s">
        <v>20</v>
      </c>
      <c r="E70" s="2" t="s">
        <v>8</v>
      </c>
      <c r="F70" s="16"/>
      <c r="G70" s="16"/>
      <c r="H70" s="16">
        <f>VLOOKUP(B:B,'[1]Master Sheet'!$B:$H,7,0)</f>
        <v>1800</v>
      </c>
      <c r="I70" s="16">
        <f>VLOOKUP(B:B,'[1]Master Sheet'!$B:$I,8,0)</f>
        <v>500</v>
      </c>
      <c r="J70" s="16"/>
      <c r="K70" s="3" t="s">
        <v>3031</v>
      </c>
      <c r="L70" s="3" t="s">
        <v>3057</v>
      </c>
      <c r="M70" s="3" t="s">
        <v>3056</v>
      </c>
      <c r="N70" s="3"/>
      <c r="O70" s="3"/>
    </row>
    <row r="71" spans="1:15" s="4" customFormat="1">
      <c r="A71" s="2">
        <v>70</v>
      </c>
      <c r="B71" s="3" t="s">
        <v>1854</v>
      </c>
      <c r="C71" s="3" t="s">
        <v>1855</v>
      </c>
      <c r="D71" s="2" t="s">
        <v>20</v>
      </c>
      <c r="E71" s="2" t="s">
        <v>8</v>
      </c>
      <c r="F71" s="16"/>
      <c r="G71" s="16"/>
      <c r="H71" s="16">
        <f>VLOOKUP(B:B,'[1]Master Sheet'!$B:$H,7,0)</f>
        <v>2500</v>
      </c>
      <c r="I71" s="16">
        <f>VLOOKUP(B:B,'[1]Master Sheet'!$B:$I,8,0)</f>
        <v>8000</v>
      </c>
      <c r="J71" s="16"/>
      <c r="K71" s="3" t="s">
        <v>3031</v>
      </c>
      <c r="L71" s="3" t="s">
        <v>3057</v>
      </c>
      <c r="M71" s="3" t="s">
        <v>3056</v>
      </c>
      <c r="N71" s="3"/>
      <c r="O71" s="3"/>
    </row>
    <row r="72" spans="1:15" s="4" customFormat="1">
      <c r="A72" s="2">
        <v>71</v>
      </c>
      <c r="B72" s="3" t="s">
        <v>181</v>
      </c>
      <c r="C72" s="3" t="s">
        <v>182</v>
      </c>
      <c r="D72" s="2" t="s">
        <v>17</v>
      </c>
      <c r="E72" s="2" t="s">
        <v>8</v>
      </c>
      <c r="F72" s="16"/>
      <c r="G72" s="16"/>
      <c r="H72" s="16">
        <f>VLOOKUP(B:B,'[1]Master Sheet'!$B:$H,7,0)</f>
        <v>200</v>
      </c>
      <c r="I72" s="16">
        <f>VLOOKUP(B:B,'[1]Master Sheet'!$B:$I,8,0)</f>
        <v>0</v>
      </c>
      <c r="J72" s="16"/>
      <c r="K72" s="3" t="s">
        <v>2982</v>
      </c>
      <c r="L72" s="3" t="s">
        <v>3060</v>
      </c>
      <c r="M72" s="3" t="s">
        <v>3058</v>
      </c>
      <c r="N72" s="3"/>
      <c r="O72" s="3"/>
    </row>
    <row r="73" spans="1:15" s="4" customFormat="1">
      <c r="A73" s="2">
        <v>72</v>
      </c>
      <c r="B73" s="3" t="s">
        <v>183</v>
      </c>
      <c r="C73" s="3" t="s">
        <v>184</v>
      </c>
      <c r="D73" s="2" t="s">
        <v>17</v>
      </c>
      <c r="E73" s="2" t="s">
        <v>8</v>
      </c>
      <c r="F73" s="16"/>
      <c r="G73" s="16"/>
      <c r="H73" s="16">
        <f>VLOOKUP(B:B,'[1]Master Sheet'!$B:$H,7,0)</f>
        <v>0</v>
      </c>
      <c r="I73" s="16">
        <f>VLOOKUP(B:B,'[1]Master Sheet'!$B:$I,8,0)</f>
        <v>0</v>
      </c>
      <c r="J73" s="16"/>
      <c r="K73" s="3" t="s">
        <v>2982</v>
      </c>
      <c r="L73" s="3" t="s">
        <v>3060</v>
      </c>
      <c r="M73" s="3" t="s">
        <v>3058</v>
      </c>
      <c r="N73" s="3"/>
      <c r="O73" s="3"/>
    </row>
    <row r="74" spans="1:15" s="4" customFormat="1">
      <c r="A74" s="2">
        <v>73</v>
      </c>
      <c r="B74" s="3" t="s">
        <v>2223</v>
      </c>
      <c r="C74" s="3" t="s">
        <v>2224</v>
      </c>
      <c r="D74" s="2" t="s">
        <v>17</v>
      </c>
      <c r="E74" s="2" t="s">
        <v>8</v>
      </c>
      <c r="F74" s="16"/>
      <c r="G74" s="16"/>
      <c r="H74" s="16">
        <f>VLOOKUP(B:B,'[1]Master Sheet'!$B:$H,7,0)</f>
        <v>500</v>
      </c>
      <c r="I74" s="16">
        <f>VLOOKUP(B:B,'[1]Master Sheet'!$B:$I,8,0)</f>
        <v>750</v>
      </c>
      <c r="J74" s="16"/>
      <c r="K74" s="3" t="s">
        <v>2991</v>
      </c>
      <c r="L74" s="3" t="s">
        <v>3057</v>
      </c>
      <c r="M74" s="3" t="s">
        <v>3056</v>
      </c>
      <c r="N74" s="3"/>
      <c r="O74" s="3"/>
    </row>
    <row r="75" spans="1:15" s="4" customFormat="1">
      <c r="A75" s="2">
        <v>74</v>
      </c>
      <c r="B75" s="3" t="s">
        <v>187</v>
      </c>
      <c r="C75" s="3" t="s">
        <v>188</v>
      </c>
      <c r="D75" s="2" t="s">
        <v>7</v>
      </c>
      <c r="E75" s="2" t="s">
        <v>8</v>
      </c>
      <c r="F75" s="16"/>
      <c r="G75" s="16"/>
      <c r="H75" s="16">
        <f>VLOOKUP(B:B,'[1]Master Sheet'!$B:$H,7,0)</f>
        <v>0</v>
      </c>
      <c r="I75" s="16">
        <f>VLOOKUP(B:B,'[1]Master Sheet'!$B:$I,8,0)</f>
        <v>0</v>
      </c>
      <c r="J75" s="16"/>
      <c r="K75" s="3" t="s">
        <v>2965</v>
      </c>
      <c r="L75" s="3" t="s">
        <v>3060</v>
      </c>
      <c r="M75" s="3" t="s">
        <v>3058</v>
      </c>
      <c r="N75" s="3"/>
      <c r="O75" s="3"/>
    </row>
    <row r="76" spans="1:15" s="4" customFormat="1">
      <c r="A76" s="2">
        <v>75</v>
      </c>
      <c r="B76" s="3" t="s">
        <v>189</v>
      </c>
      <c r="C76" s="3" t="s">
        <v>190</v>
      </c>
      <c r="D76" s="2" t="s">
        <v>7</v>
      </c>
      <c r="E76" s="2" t="s">
        <v>8</v>
      </c>
      <c r="F76" s="16"/>
      <c r="G76" s="16"/>
      <c r="H76" s="16">
        <f>VLOOKUP(B:B,'[1]Master Sheet'!$B:$H,7,0)</f>
        <v>0</v>
      </c>
      <c r="I76" s="16">
        <f>VLOOKUP(B:B,'[1]Master Sheet'!$B:$I,8,0)</f>
        <v>0</v>
      </c>
      <c r="J76" s="16"/>
      <c r="K76" s="3" t="s">
        <v>2965</v>
      </c>
      <c r="L76" s="3" t="s">
        <v>3060</v>
      </c>
      <c r="M76" s="3" t="s">
        <v>3058</v>
      </c>
      <c r="N76" s="3"/>
      <c r="O76" s="3"/>
    </row>
    <row r="77" spans="1:15" s="4" customFormat="1">
      <c r="A77" s="2">
        <v>76</v>
      </c>
      <c r="B77" s="3" t="s">
        <v>191</v>
      </c>
      <c r="C77" s="3" t="s">
        <v>192</v>
      </c>
      <c r="D77" s="2" t="s">
        <v>20</v>
      </c>
      <c r="E77" s="2" t="s">
        <v>8</v>
      </c>
      <c r="F77" s="16">
        <v>148.9</v>
      </c>
      <c r="G77" s="16"/>
      <c r="H77" s="16">
        <f>VLOOKUP(B:B,'[1]Master Sheet'!$B:$H,7,0)</f>
        <v>200</v>
      </c>
      <c r="I77" s="16">
        <f>VLOOKUP(B:B,'[1]Master Sheet'!$B:$I,8,0)</f>
        <v>100</v>
      </c>
      <c r="J77" s="16"/>
      <c r="K77" s="3" t="s">
        <v>2965</v>
      </c>
      <c r="L77" s="3" t="s">
        <v>3055</v>
      </c>
      <c r="M77" s="3" t="s">
        <v>3058</v>
      </c>
      <c r="N77" s="3"/>
      <c r="O77" s="3"/>
    </row>
    <row r="78" spans="1:15" s="4" customFormat="1">
      <c r="A78" s="2">
        <v>77</v>
      </c>
      <c r="B78" s="3" t="s">
        <v>193</v>
      </c>
      <c r="C78" s="3" t="s">
        <v>194</v>
      </c>
      <c r="D78" s="2" t="s">
        <v>20</v>
      </c>
      <c r="E78" s="2" t="s">
        <v>8</v>
      </c>
      <c r="F78" s="16">
        <v>267.89999999999998</v>
      </c>
      <c r="G78" s="16"/>
      <c r="H78" s="16">
        <f>VLOOKUP(B:B,'[1]Master Sheet'!$B:$H,7,0)</f>
        <v>200</v>
      </c>
      <c r="I78" s="16">
        <f>VLOOKUP(B:B,'[1]Master Sheet'!$B:$I,8,0)</f>
        <v>100</v>
      </c>
      <c r="J78" s="16"/>
      <c r="K78" s="3" t="s">
        <v>2965</v>
      </c>
      <c r="L78" s="3" t="s">
        <v>3055</v>
      </c>
      <c r="M78" s="3" t="s">
        <v>3058</v>
      </c>
      <c r="N78" s="3"/>
      <c r="O78" s="3"/>
    </row>
    <row r="79" spans="1:15" s="4" customFormat="1">
      <c r="A79" s="2">
        <v>78</v>
      </c>
      <c r="B79" s="3" t="s">
        <v>197</v>
      </c>
      <c r="C79" s="3" t="s">
        <v>198</v>
      </c>
      <c r="D79" s="2" t="s">
        <v>20</v>
      </c>
      <c r="E79" s="2" t="s">
        <v>8</v>
      </c>
      <c r="F79" s="16">
        <v>139.80000000000001</v>
      </c>
      <c r="G79" s="16"/>
      <c r="H79" s="16">
        <f>VLOOKUP(B:B,'[1]Master Sheet'!$B:$H,7,0)</f>
        <v>200</v>
      </c>
      <c r="I79" s="16">
        <f>VLOOKUP(B:B,'[1]Master Sheet'!$B:$I,8,0)</f>
        <v>100</v>
      </c>
      <c r="J79" s="16"/>
      <c r="K79" s="3" t="s">
        <v>2965</v>
      </c>
      <c r="L79" s="3" t="s">
        <v>3055</v>
      </c>
      <c r="M79" s="3" t="s">
        <v>3058</v>
      </c>
      <c r="N79" s="3"/>
      <c r="O79" s="3"/>
    </row>
    <row r="80" spans="1:15" s="4" customFormat="1">
      <c r="A80" s="2">
        <v>79</v>
      </c>
      <c r="B80" s="3" t="s">
        <v>201</v>
      </c>
      <c r="C80" s="3" t="s">
        <v>202</v>
      </c>
      <c r="D80" s="2" t="s">
        <v>20</v>
      </c>
      <c r="E80" s="2" t="s">
        <v>8</v>
      </c>
      <c r="F80" s="16"/>
      <c r="G80" s="16"/>
      <c r="H80" s="16">
        <f>VLOOKUP(B:B,'[1]Master Sheet'!$B:$H,7,0)</f>
        <v>150</v>
      </c>
      <c r="I80" s="16">
        <f>VLOOKUP(B:B,'[1]Master Sheet'!$B:$I,8,0)</f>
        <v>0</v>
      </c>
      <c r="J80" s="16"/>
      <c r="K80" s="3" t="s">
        <v>2965</v>
      </c>
      <c r="L80" s="3" t="s">
        <v>3055</v>
      </c>
      <c r="M80" s="3" t="s">
        <v>3058</v>
      </c>
      <c r="N80" s="3"/>
      <c r="O80" s="3"/>
    </row>
    <row r="81" spans="1:15" s="4" customFormat="1">
      <c r="A81" s="2">
        <v>80</v>
      </c>
      <c r="B81" s="3" t="s">
        <v>205</v>
      </c>
      <c r="C81" s="3" t="s">
        <v>206</v>
      </c>
      <c r="D81" s="2" t="s">
        <v>7</v>
      </c>
      <c r="E81" s="2" t="s">
        <v>8</v>
      </c>
      <c r="F81" s="16"/>
      <c r="G81" s="16"/>
      <c r="H81" s="16">
        <f>VLOOKUP(B:B,'[1]Master Sheet'!$B:$H,7,0)</f>
        <v>300</v>
      </c>
      <c r="I81" s="16">
        <f>VLOOKUP(B:B,'[1]Master Sheet'!$B:$I,8,0)</f>
        <v>500</v>
      </c>
      <c r="J81" s="16"/>
      <c r="K81" s="3" t="s">
        <v>2965</v>
      </c>
      <c r="L81" s="3" t="s">
        <v>3055</v>
      </c>
      <c r="M81" s="3" t="s">
        <v>3058</v>
      </c>
      <c r="N81" s="3"/>
      <c r="O81" s="3"/>
    </row>
    <row r="82" spans="1:15" s="4" customFormat="1">
      <c r="A82" s="2">
        <v>81</v>
      </c>
      <c r="B82" s="3" t="s">
        <v>207</v>
      </c>
      <c r="C82" s="3" t="s">
        <v>208</v>
      </c>
      <c r="D82" s="2" t="s">
        <v>7</v>
      </c>
      <c r="E82" s="2" t="s">
        <v>8</v>
      </c>
      <c r="F82" s="16"/>
      <c r="G82" s="16"/>
      <c r="H82" s="16">
        <f>VLOOKUP(B:B,'[1]Master Sheet'!$B:$H,7,0)</f>
        <v>300</v>
      </c>
      <c r="I82" s="16">
        <f>VLOOKUP(B:B,'[1]Master Sheet'!$B:$I,8,0)</f>
        <v>200</v>
      </c>
      <c r="J82" s="16"/>
      <c r="K82" s="3" t="s">
        <v>2965</v>
      </c>
      <c r="L82" s="3" t="s">
        <v>3055</v>
      </c>
      <c r="M82" s="3" t="s">
        <v>3058</v>
      </c>
      <c r="N82" s="3"/>
      <c r="O82" s="3"/>
    </row>
    <row r="83" spans="1:15" s="4" customFormat="1">
      <c r="A83" s="2">
        <v>82</v>
      </c>
      <c r="B83" s="3" t="s">
        <v>211</v>
      </c>
      <c r="C83" s="3" t="s">
        <v>212</v>
      </c>
      <c r="D83" s="2" t="s">
        <v>7</v>
      </c>
      <c r="E83" s="2" t="s">
        <v>8</v>
      </c>
      <c r="F83" s="16"/>
      <c r="G83" s="16"/>
      <c r="H83" s="16">
        <f>VLOOKUP(B:B,'[1]Master Sheet'!$B:$H,7,0)</f>
        <v>300</v>
      </c>
      <c r="I83" s="16">
        <f>VLOOKUP(B:B,'[1]Master Sheet'!$B:$I,8,0)</f>
        <v>200</v>
      </c>
      <c r="J83" s="16"/>
      <c r="K83" s="3" t="s">
        <v>2965</v>
      </c>
      <c r="L83" s="3" t="s">
        <v>3055</v>
      </c>
      <c r="M83" s="3" t="s">
        <v>3058</v>
      </c>
      <c r="N83" s="3"/>
      <c r="O83" s="3"/>
    </row>
    <row r="84" spans="1:15" s="4" customFormat="1">
      <c r="A84" s="2">
        <v>83</v>
      </c>
      <c r="B84" s="3" t="s">
        <v>215</v>
      </c>
      <c r="C84" s="3" t="s">
        <v>216</v>
      </c>
      <c r="D84" s="2" t="s">
        <v>7</v>
      </c>
      <c r="E84" s="2" t="s">
        <v>8</v>
      </c>
      <c r="F84" s="16"/>
      <c r="G84" s="16"/>
      <c r="H84" s="16">
        <f>VLOOKUP(B:B,'[1]Master Sheet'!$B:$H,7,0)</f>
        <v>0</v>
      </c>
      <c r="I84" s="16">
        <f>VLOOKUP(B:B,'[1]Master Sheet'!$B:$I,8,0)</f>
        <v>0</v>
      </c>
      <c r="J84" s="16"/>
      <c r="K84" s="3" t="s">
        <v>2965</v>
      </c>
      <c r="L84" s="3" t="s">
        <v>3060</v>
      </c>
      <c r="M84" s="3" t="s">
        <v>3058</v>
      </c>
      <c r="N84" s="3"/>
      <c r="O84" s="3"/>
    </row>
    <row r="85" spans="1:15" s="4" customFormat="1">
      <c r="A85" s="2">
        <v>84</v>
      </c>
      <c r="B85" s="3" t="s">
        <v>217</v>
      </c>
      <c r="C85" s="3" t="s">
        <v>218</v>
      </c>
      <c r="D85" s="2" t="s">
        <v>7</v>
      </c>
      <c r="E85" s="2" t="s">
        <v>8</v>
      </c>
      <c r="F85" s="16">
        <v>2099</v>
      </c>
      <c r="G85" s="16"/>
      <c r="H85" s="16">
        <f>VLOOKUP(B:B,'[1]Master Sheet'!$B:$H,7,0)</f>
        <v>8000</v>
      </c>
      <c r="I85" s="16">
        <f>VLOOKUP(B:B,'[1]Master Sheet'!$B:$I,8,0)</f>
        <v>15000</v>
      </c>
      <c r="J85" s="16"/>
      <c r="K85" s="3" t="s">
        <v>2965</v>
      </c>
      <c r="L85" s="3" t="s">
        <v>3060</v>
      </c>
      <c r="M85" s="3" t="s">
        <v>3058</v>
      </c>
      <c r="N85" s="3"/>
      <c r="O85" s="3"/>
    </row>
    <row r="86" spans="1:15" s="4" customFormat="1">
      <c r="A86" s="2">
        <v>85</v>
      </c>
      <c r="B86" s="3" t="s">
        <v>219</v>
      </c>
      <c r="C86" s="3" t="s">
        <v>220</v>
      </c>
      <c r="D86" s="2" t="s">
        <v>7</v>
      </c>
      <c r="E86" s="2" t="s">
        <v>8</v>
      </c>
      <c r="F86" s="16"/>
      <c r="G86" s="16"/>
      <c r="H86" s="16">
        <f>VLOOKUP(B:B,'[1]Master Sheet'!$B:$H,7,0)</f>
        <v>0</v>
      </c>
      <c r="I86" s="16">
        <f>VLOOKUP(B:B,'[1]Master Sheet'!$B:$I,8,0)</f>
        <v>0</v>
      </c>
      <c r="J86" s="16"/>
      <c r="K86" s="3" t="s">
        <v>2965</v>
      </c>
      <c r="L86" s="3" t="s">
        <v>3060</v>
      </c>
      <c r="M86" s="3" t="s">
        <v>3058</v>
      </c>
      <c r="N86" s="3"/>
      <c r="O86" s="3"/>
    </row>
    <row r="87" spans="1:15" s="4" customFormat="1">
      <c r="A87" s="2">
        <v>86</v>
      </c>
      <c r="B87" s="3" t="s">
        <v>221</v>
      </c>
      <c r="C87" s="3" t="s">
        <v>222</v>
      </c>
      <c r="D87" s="2" t="s">
        <v>7</v>
      </c>
      <c r="E87" s="2" t="s">
        <v>8</v>
      </c>
      <c r="F87" s="16"/>
      <c r="G87" s="16"/>
      <c r="H87" s="16">
        <f>VLOOKUP(B:B,'[1]Master Sheet'!$B:$H,7,0)</f>
        <v>50</v>
      </c>
      <c r="I87" s="16">
        <f>VLOOKUP(B:B,'[1]Master Sheet'!$B:$I,8,0)</f>
        <v>0</v>
      </c>
      <c r="J87" s="16"/>
      <c r="K87" s="3" t="s">
        <v>2965</v>
      </c>
      <c r="L87" s="3" t="s">
        <v>3055</v>
      </c>
      <c r="M87" s="3" t="s">
        <v>3056</v>
      </c>
      <c r="N87" s="3"/>
      <c r="O87" s="3"/>
    </row>
    <row r="88" spans="1:15" s="4" customFormat="1">
      <c r="A88" s="2">
        <v>87</v>
      </c>
      <c r="B88" s="3" t="s">
        <v>223</v>
      </c>
      <c r="C88" s="3" t="s">
        <v>224</v>
      </c>
      <c r="D88" s="2" t="s">
        <v>7</v>
      </c>
      <c r="E88" s="2" t="s">
        <v>8</v>
      </c>
      <c r="F88" s="16"/>
      <c r="G88" s="16"/>
      <c r="H88" s="16">
        <f>VLOOKUP(B:B,'[1]Master Sheet'!$B:$H,7,0)</f>
        <v>3500</v>
      </c>
      <c r="I88" s="16">
        <f>VLOOKUP(B:B,'[1]Master Sheet'!$B:$I,8,0)</f>
        <v>0</v>
      </c>
      <c r="J88" s="16"/>
      <c r="K88" s="3" t="s">
        <v>2965</v>
      </c>
      <c r="L88" s="3" t="s">
        <v>3060</v>
      </c>
      <c r="M88" s="3" t="s">
        <v>3058</v>
      </c>
      <c r="N88" s="3"/>
      <c r="O88" s="3"/>
    </row>
    <row r="89" spans="1:15" s="4" customFormat="1">
      <c r="A89" s="2">
        <v>88</v>
      </c>
      <c r="B89" s="3" t="s">
        <v>225</v>
      </c>
      <c r="C89" s="3" t="s">
        <v>226</v>
      </c>
      <c r="D89" s="2" t="s">
        <v>7</v>
      </c>
      <c r="E89" s="2" t="s">
        <v>8</v>
      </c>
      <c r="F89" s="16"/>
      <c r="G89" s="16"/>
      <c r="H89" s="16">
        <f>VLOOKUP(B:B,'[1]Master Sheet'!$B:$H,7,0)</f>
        <v>3500</v>
      </c>
      <c r="I89" s="16">
        <f>VLOOKUP(B:B,'[1]Master Sheet'!$B:$I,8,0)</f>
        <v>0</v>
      </c>
      <c r="J89" s="16"/>
      <c r="K89" s="3" t="s">
        <v>2965</v>
      </c>
      <c r="L89" s="3" t="s">
        <v>3060</v>
      </c>
      <c r="M89" s="3" t="s">
        <v>3058</v>
      </c>
      <c r="N89" s="3"/>
      <c r="O89" s="3"/>
    </row>
    <row r="90" spans="1:15" s="4" customFormat="1">
      <c r="A90" s="2">
        <v>89</v>
      </c>
      <c r="B90" s="3" t="s">
        <v>227</v>
      </c>
      <c r="C90" s="3" t="s">
        <v>228</v>
      </c>
      <c r="D90" s="2" t="s">
        <v>7</v>
      </c>
      <c r="E90" s="2" t="s">
        <v>8</v>
      </c>
      <c r="F90" s="16"/>
      <c r="G90" s="16"/>
      <c r="H90" s="16">
        <f>VLOOKUP(B:B,'[1]Master Sheet'!$B:$H,7,0)</f>
        <v>1000</v>
      </c>
      <c r="I90" s="16">
        <f>VLOOKUP(B:B,'[1]Master Sheet'!$B:$I,8,0)</f>
        <v>3000</v>
      </c>
      <c r="J90" s="16"/>
      <c r="K90" s="3" t="s">
        <v>2965</v>
      </c>
      <c r="L90" s="3" t="s">
        <v>3060</v>
      </c>
      <c r="M90" s="3" t="s">
        <v>3058</v>
      </c>
      <c r="N90" s="3"/>
      <c r="O90" s="3"/>
    </row>
    <row r="91" spans="1:15" s="4" customFormat="1">
      <c r="A91" s="2">
        <v>90</v>
      </c>
      <c r="B91" s="3" t="s">
        <v>229</v>
      </c>
      <c r="C91" s="3" t="s">
        <v>230</v>
      </c>
      <c r="D91" s="2" t="s">
        <v>7</v>
      </c>
      <c r="E91" s="2" t="s">
        <v>8</v>
      </c>
      <c r="F91" s="16"/>
      <c r="G91" s="16"/>
      <c r="H91" s="16">
        <f>VLOOKUP(B:B,'[1]Master Sheet'!$B:$H,7,0)</f>
        <v>0</v>
      </c>
      <c r="I91" s="16">
        <f>VLOOKUP(B:B,'[1]Master Sheet'!$B:$I,8,0)</f>
        <v>0</v>
      </c>
      <c r="J91" s="16"/>
      <c r="K91" s="3" t="s">
        <v>2965</v>
      </c>
      <c r="L91" s="3" t="s">
        <v>3060</v>
      </c>
      <c r="M91" s="3" t="s">
        <v>3058</v>
      </c>
      <c r="N91" s="3"/>
      <c r="O91" s="3"/>
    </row>
    <row r="92" spans="1:15" s="4" customFormat="1">
      <c r="A92" s="2">
        <v>91</v>
      </c>
      <c r="B92" s="3" t="s">
        <v>231</v>
      </c>
      <c r="C92" s="3" t="s">
        <v>232</v>
      </c>
      <c r="D92" s="2" t="s">
        <v>7</v>
      </c>
      <c r="E92" s="2" t="s">
        <v>8</v>
      </c>
      <c r="F92" s="16"/>
      <c r="G92" s="16"/>
      <c r="H92" s="16">
        <f>VLOOKUP(B:B,'[1]Master Sheet'!$B:$H,7,0)</f>
        <v>500</v>
      </c>
      <c r="I92" s="16">
        <f>VLOOKUP(B:B,'[1]Master Sheet'!$B:$I,8,0)</f>
        <v>0</v>
      </c>
      <c r="J92" s="16"/>
      <c r="K92" s="3" t="s">
        <v>2965</v>
      </c>
      <c r="L92" s="3" t="s">
        <v>3060</v>
      </c>
      <c r="M92" s="3" t="s">
        <v>3058</v>
      </c>
      <c r="N92" s="3"/>
      <c r="O92" s="3"/>
    </row>
    <row r="93" spans="1:15" s="4" customFormat="1">
      <c r="A93" s="2">
        <v>92</v>
      </c>
      <c r="B93" s="3" t="s">
        <v>2225</v>
      </c>
      <c r="C93" s="3" t="s">
        <v>2226</v>
      </c>
      <c r="D93" s="2" t="s">
        <v>17</v>
      </c>
      <c r="E93" s="2" t="s">
        <v>8</v>
      </c>
      <c r="F93" s="16"/>
      <c r="G93" s="16"/>
      <c r="H93" s="16">
        <f>VLOOKUP(B:B,'[1]Master Sheet'!$B:$H,7,0)</f>
        <v>500</v>
      </c>
      <c r="I93" s="16">
        <f>VLOOKUP(B:B,'[1]Master Sheet'!$B:$I,8,0)</f>
        <v>1000</v>
      </c>
      <c r="J93" s="16"/>
      <c r="K93" s="3" t="s">
        <v>2991</v>
      </c>
      <c r="L93" s="3" t="s">
        <v>3057</v>
      </c>
      <c r="M93" s="3" t="s">
        <v>3056</v>
      </c>
      <c r="N93" s="3"/>
      <c r="O93" s="3"/>
    </row>
    <row r="94" spans="1:15" s="4" customFormat="1">
      <c r="A94" s="2">
        <v>93</v>
      </c>
      <c r="B94" s="3" t="s">
        <v>235</v>
      </c>
      <c r="C94" s="3" t="s">
        <v>236</v>
      </c>
      <c r="D94" s="2" t="s">
        <v>17</v>
      </c>
      <c r="E94" s="2" t="s">
        <v>8</v>
      </c>
      <c r="F94" s="16"/>
      <c r="G94" s="16"/>
      <c r="H94" s="16">
        <f>VLOOKUP(B:B,'[1]Master Sheet'!$B:$H,7,0)</f>
        <v>100</v>
      </c>
      <c r="I94" s="16">
        <f>VLOOKUP(B:B,'[1]Master Sheet'!$B:$I,8,0)</f>
        <v>0</v>
      </c>
      <c r="J94" s="16"/>
      <c r="K94" s="3" t="s">
        <v>2972</v>
      </c>
      <c r="L94" s="3" t="s">
        <v>3060</v>
      </c>
      <c r="M94" s="3" t="s">
        <v>3058</v>
      </c>
      <c r="N94" s="3"/>
      <c r="O94" s="3"/>
    </row>
    <row r="95" spans="1:15" s="4" customFormat="1">
      <c r="A95" s="2">
        <v>94</v>
      </c>
      <c r="B95" s="3" t="s">
        <v>241</v>
      </c>
      <c r="C95" s="3" t="s">
        <v>242</v>
      </c>
      <c r="D95" s="2" t="s">
        <v>17</v>
      </c>
      <c r="E95" s="2" t="s">
        <v>8</v>
      </c>
      <c r="F95" s="16"/>
      <c r="G95" s="16"/>
      <c r="H95" s="16">
        <f>VLOOKUP(B:B,'[1]Master Sheet'!$B:$H,7,0)</f>
        <v>0</v>
      </c>
      <c r="I95" s="16">
        <f>VLOOKUP(B:B,'[1]Master Sheet'!$B:$I,8,0)</f>
        <v>0</v>
      </c>
      <c r="J95" s="16"/>
      <c r="K95" s="3" t="s">
        <v>2982</v>
      </c>
      <c r="L95" s="3" t="s">
        <v>3060</v>
      </c>
      <c r="M95" s="3" t="s">
        <v>3058</v>
      </c>
      <c r="N95" s="3"/>
      <c r="O95" s="3"/>
    </row>
    <row r="96" spans="1:15" s="4" customFormat="1">
      <c r="A96" s="2">
        <v>95</v>
      </c>
      <c r="B96" s="3" t="s">
        <v>2783</v>
      </c>
      <c r="C96" s="3" t="s">
        <v>2784</v>
      </c>
      <c r="D96" s="2" t="s">
        <v>7</v>
      </c>
      <c r="E96" s="2" t="s">
        <v>8</v>
      </c>
      <c r="F96" s="16"/>
      <c r="G96" s="16"/>
      <c r="H96" s="16">
        <f>VLOOKUP(B:B,'[1]Master Sheet'!$B:$H,7,0)</f>
        <v>10000</v>
      </c>
      <c r="I96" s="16">
        <f>VLOOKUP(B:B,'[1]Master Sheet'!$B:$I,8,0)</f>
        <v>0</v>
      </c>
      <c r="J96" s="16"/>
      <c r="K96" s="3" t="s">
        <v>2972</v>
      </c>
      <c r="L96" s="3" t="s">
        <v>3057</v>
      </c>
      <c r="M96" s="3" t="s">
        <v>3056</v>
      </c>
      <c r="N96" s="3"/>
      <c r="O96" s="3"/>
    </row>
    <row r="97" spans="1:15" s="4" customFormat="1">
      <c r="A97" s="2">
        <v>96</v>
      </c>
      <c r="B97" s="3" t="s">
        <v>2787</v>
      </c>
      <c r="C97" s="3" t="s">
        <v>2788</v>
      </c>
      <c r="D97" s="2" t="s">
        <v>7</v>
      </c>
      <c r="E97" s="2" t="s">
        <v>8</v>
      </c>
      <c r="F97" s="16"/>
      <c r="G97" s="16"/>
      <c r="H97" s="16">
        <f>VLOOKUP(B:B,'[1]Master Sheet'!$B:$H,7,0)</f>
        <v>20000</v>
      </c>
      <c r="I97" s="16">
        <f>VLOOKUP(B:B,'[1]Master Sheet'!$B:$I,8,0)</f>
        <v>25000</v>
      </c>
      <c r="J97" s="16"/>
      <c r="K97" s="3" t="s">
        <v>2972</v>
      </c>
      <c r="L97" s="3" t="s">
        <v>3057</v>
      </c>
      <c r="M97" s="3" t="s">
        <v>3056</v>
      </c>
      <c r="N97" s="3"/>
      <c r="O97" s="3"/>
    </row>
    <row r="98" spans="1:15" s="4" customFormat="1">
      <c r="A98" s="2">
        <v>97</v>
      </c>
      <c r="B98" s="3" t="s">
        <v>3156</v>
      </c>
      <c r="C98" s="3" t="s">
        <v>3157</v>
      </c>
      <c r="D98" s="2" t="s">
        <v>7</v>
      </c>
      <c r="E98" s="2" t="s">
        <v>8</v>
      </c>
      <c r="F98" s="16"/>
      <c r="G98" s="16"/>
      <c r="H98" s="16">
        <f>VLOOKUP(B:B,'[1]Master Sheet'!$B:$H,7,0)</f>
        <v>540</v>
      </c>
      <c r="I98" s="16">
        <f>VLOOKUP(B:B,'[1]Master Sheet'!$B:$I,8,0)</f>
        <v>0</v>
      </c>
      <c r="J98" s="16"/>
      <c r="K98" s="3" t="s">
        <v>2972</v>
      </c>
      <c r="L98" s="3" t="s">
        <v>3057</v>
      </c>
      <c r="M98" s="3" t="s">
        <v>3056</v>
      </c>
      <c r="N98" s="3"/>
      <c r="O98" s="3"/>
    </row>
    <row r="99" spans="1:15" s="4" customFormat="1">
      <c r="A99" s="2">
        <v>98</v>
      </c>
      <c r="B99" s="3" t="s">
        <v>3158</v>
      </c>
      <c r="C99" s="3" t="s">
        <v>3159</v>
      </c>
      <c r="D99" s="2" t="s">
        <v>7</v>
      </c>
      <c r="E99" s="2" t="s">
        <v>8</v>
      </c>
      <c r="F99" s="16"/>
      <c r="G99" s="16"/>
      <c r="H99" s="16">
        <f>VLOOKUP(B:B,'[1]Master Sheet'!$B:$H,7,0)</f>
        <v>540</v>
      </c>
      <c r="I99" s="16">
        <f>VLOOKUP(B:B,'[1]Master Sheet'!$B:$I,8,0)</f>
        <v>2160</v>
      </c>
      <c r="J99" s="16"/>
      <c r="K99" s="3" t="s">
        <v>2972</v>
      </c>
      <c r="L99" s="3" t="s">
        <v>3057</v>
      </c>
      <c r="M99" s="3" t="s">
        <v>3056</v>
      </c>
      <c r="N99" s="3"/>
      <c r="O99" s="3"/>
    </row>
    <row r="100" spans="1:15" s="4" customFormat="1">
      <c r="A100" s="2">
        <v>99</v>
      </c>
      <c r="B100" s="3" t="s">
        <v>2927</v>
      </c>
      <c r="C100" s="3" t="s">
        <v>3037</v>
      </c>
      <c r="D100" s="2" t="s">
        <v>17</v>
      </c>
      <c r="E100" s="2" t="s">
        <v>8</v>
      </c>
      <c r="F100" s="16"/>
      <c r="G100" s="16"/>
      <c r="H100" s="16">
        <f>VLOOKUP(B:B,'[1]Master Sheet'!$B:$H,7,0)</f>
        <v>200</v>
      </c>
      <c r="I100" s="16">
        <f>VLOOKUP(B:B,'[1]Master Sheet'!$B:$I,8,0)</f>
        <v>0</v>
      </c>
      <c r="J100" s="16"/>
      <c r="K100" s="3" t="s">
        <v>2972</v>
      </c>
      <c r="L100" s="3" t="s">
        <v>3057</v>
      </c>
      <c r="M100" s="3" t="s">
        <v>3058</v>
      </c>
      <c r="N100" s="3"/>
      <c r="O100" s="3"/>
    </row>
    <row r="101" spans="1:15" s="4" customFormat="1">
      <c r="A101" s="2">
        <v>100</v>
      </c>
      <c r="B101" s="3" t="s">
        <v>3160</v>
      </c>
      <c r="C101" s="3" t="s">
        <v>3161</v>
      </c>
      <c r="D101" s="2" t="s">
        <v>17</v>
      </c>
      <c r="E101" s="2" t="s">
        <v>8</v>
      </c>
      <c r="F101" s="16"/>
      <c r="G101" s="16"/>
      <c r="H101" s="16">
        <f>VLOOKUP(B:B,'[1]Master Sheet'!$B:$H,7,0)</f>
        <v>20</v>
      </c>
      <c r="I101" s="16">
        <f>VLOOKUP(B:B,'[1]Master Sheet'!$B:$I,8,0)</f>
        <v>0</v>
      </c>
      <c r="J101" s="16"/>
      <c r="K101" s="3" t="s">
        <v>2974</v>
      </c>
      <c r="L101" s="3" t="s">
        <v>3057</v>
      </c>
      <c r="M101" s="3" t="s">
        <v>3056</v>
      </c>
      <c r="N101" s="3"/>
      <c r="O101" s="3"/>
    </row>
    <row r="102" spans="1:15" s="4" customFormat="1">
      <c r="A102" s="2">
        <v>101</v>
      </c>
      <c r="B102" s="3" t="s">
        <v>261</v>
      </c>
      <c r="C102" s="3" t="s">
        <v>262</v>
      </c>
      <c r="D102" s="2" t="s">
        <v>17</v>
      </c>
      <c r="E102" s="2" t="s">
        <v>8</v>
      </c>
      <c r="F102" s="16"/>
      <c r="G102" s="16"/>
      <c r="H102" s="16">
        <f>VLOOKUP(B:B,'[1]Master Sheet'!$B:$H,7,0)</f>
        <v>100</v>
      </c>
      <c r="I102" s="16">
        <f>VLOOKUP(B:B,'[1]Master Sheet'!$B:$I,8,0)</f>
        <v>0</v>
      </c>
      <c r="J102" s="16"/>
      <c r="K102" s="3" t="s">
        <v>2972</v>
      </c>
      <c r="L102" s="3" t="s">
        <v>3060</v>
      </c>
      <c r="M102" s="3" t="s">
        <v>3058</v>
      </c>
      <c r="N102" s="3"/>
      <c r="O102" s="3"/>
    </row>
    <row r="103" spans="1:15" s="4" customFormat="1">
      <c r="A103" s="2">
        <v>102</v>
      </c>
      <c r="B103" s="3" t="s">
        <v>265</v>
      </c>
      <c r="C103" s="3" t="s">
        <v>266</v>
      </c>
      <c r="D103" s="2" t="s">
        <v>17</v>
      </c>
      <c r="E103" s="2" t="s">
        <v>8</v>
      </c>
      <c r="F103" s="16"/>
      <c r="G103" s="16"/>
      <c r="H103" s="16">
        <f>VLOOKUP(B:B,'[1]Master Sheet'!$B:$H,7,0)</f>
        <v>100</v>
      </c>
      <c r="I103" s="16">
        <f>VLOOKUP(B:B,'[1]Master Sheet'!$B:$I,8,0)</f>
        <v>0</v>
      </c>
      <c r="J103" s="16"/>
      <c r="K103" s="3" t="s">
        <v>2982</v>
      </c>
      <c r="L103" s="3" t="s">
        <v>3060</v>
      </c>
      <c r="M103" s="3" t="s">
        <v>3058</v>
      </c>
      <c r="N103" s="3"/>
      <c r="O103" s="3"/>
    </row>
    <row r="104" spans="1:15" s="4" customFormat="1">
      <c r="A104" s="2">
        <v>103</v>
      </c>
      <c r="B104" s="3" t="s">
        <v>269</v>
      </c>
      <c r="C104" s="3" t="s">
        <v>270</v>
      </c>
      <c r="D104" s="2" t="s">
        <v>17</v>
      </c>
      <c r="E104" s="2" t="s">
        <v>8</v>
      </c>
      <c r="F104" s="16"/>
      <c r="G104" s="16"/>
      <c r="H104" s="16">
        <f>VLOOKUP(B:B,'[1]Master Sheet'!$B:$H,7,0)</f>
        <v>100</v>
      </c>
      <c r="I104" s="16">
        <f>VLOOKUP(B:B,'[1]Master Sheet'!$B:$I,8,0)</f>
        <v>0</v>
      </c>
      <c r="J104" s="16"/>
      <c r="K104" s="3" t="s">
        <v>2982</v>
      </c>
      <c r="L104" s="3" t="s">
        <v>3060</v>
      </c>
      <c r="M104" s="3" t="s">
        <v>3058</v>
      </c>
      <c r="N104" s="3"/>
      <c r="O104" s="3"/>
    </row>
    <row r="105" spans="1:15" s="4" customFormat="1">
      <c r="A105" s="2">
        <v>104</v>
      </c>
      <c r="B105" s="3" t="s">
        <v>271</v>
      </c>
      <c r="C105" s="3" t="s">
        <v>272</v>
      </c>
      <c r="D105" s="2" t="s">
        <v>17</v>
      </c>
      <c r="E105" s="2" t="s">
        <v>8</v>
      </c>
      <c r="F105" s="16"/>
      <c r="G105" s="16"/>
      <c r="H105" s="16">
        <f>VLOOKUP(B:B,'[1]Master Sheet'!$B:$H,7,0)</f>
        <v>100</v>
      </c>
      <c r="I105" s="16">
        <f>VLOOKUP(B:B,'[1]Master Sheet'!$B:$I,8,0)</f>
        <v>0</v>
      </c>
      <c r="J105" s="16"/>
      <c r="K105" s="3" t="s">
        <v>2982</v>
      </c>
      <c r="L105" s="3" t="s">
        <v>3060</v>
      </c>
      <c r="M105" s="3" t="s">
        <v>3058</v>
      </c>
      <c r="N105" s="3"/>
      <c r="O105" s="3"/>
    </row>
    <row r="106" spans="1:15" s="4" customFormat="1">
      <c r="A106" s="2">
        <v>105</v>
      </c>
      <c r="B106" s="3" t="s">
        <v>273</v>
      </c>
      <c r="C106" s="3" t="s">
        <v>274</v>
      </c>
      <c r="D106" s="2" t="s">
        <v>17</v>
      </c>
      <c r="E106" s="2" t="s">
        <v>8</v>
      </c>
      <c r="F106" s="16"/>
      <c r="G106" s="16"/>
      <c r="H106" s="16">
        <f>VLOOKUP(B:B,'[1]Master Sheet'!$B:$H,7,0)</f>
        <v>100</v>
      </c>
      <c r="I106" s="16">
        <f>VLOOKUP(B:B,'[1]Master Sheet'!$B:$I,8,0)</f>
        <v>0</v>
      </c>
      <c r="J106" s="16"/>
      <c r="K106" s="3" t="s">
        <v>2982</v>
      </c>
      <c r="L106" s="3" t="s">
        <v>3060</v>
      </c>
      <c r="M106" s="3" t="s">
        <v>3058</v>
      </c>
      <c r="N106" s="3"/>
      <c r="O106" s="3"/>
    </row>
    <row r="107" spans="1:15" s="4" customFormat="1">
      <c r="A107" s="2">
        <v>106</v>
      </c>
      <c r="B107" s="3" t="s">
        <v>3162</v>
      </c>
      <c r="C107" s="3" t="s">
        <v>3163</v>
      </c>
      <c r="D107" s="2" t="s">
        <v>17</v>
      </c>
      <c r="E107" s="2" t="s">
        <v>8</v>
      </c>
      <c r="F107" s="16"/>
      <c r="G107" s="16"/>
      <c r="H107" s="16">
        <f>VLOOKUP(B:B,'[1]Master Sheet'!$B:$H,7,0)</f>
        <v>20</v>
      </c>
      <c r="I107" s="16">
        <f>VLOOKUP(B:B,'[1]Master Sheet'!$B:$I,8,0)</f>
        <v>0</v>
      </c>
      <c r="J107" s="16"/>
      <c r="K107" s="3" t="s">
        <v>2974</v>
      </c>
      <c r="L107" s="3" t="s">
        <v>3057</v>
      </c>
      <c r="M107" s="3" t="s">
        <v>3056</v>
      </c>
      <c r="N107" s="3"/>
      <c r="O107" s="3"/>
    </row>
    <row r="108" spans="1:15" s="4" customFormat="1">
      <c r="A108" s="2">
        <v>107</v>
      </c>
      <c r="B108" s="3" t="s">
        <v>31</v>
      </c>
      <c r="C108" s="3" t="s">
        <v>32</v>
      </c>
      <c r="D108" s="2" t="s">
        <v>20</v>
      </c>
      <c r="E108" s="2" t="s">
        <v>8</v>
      </c>
      <c r="F108" s="16"/>
      <c r="G108" s="16"/>
      <c r="H108" s="16">
        <f>VLOOKUP(B:B,'[1]Master Sheet'!$B:$H,7,0)</f>
        <v>1500</v>
      </c>
      <c r="I108" s="16">
        <f>VLOOKUP(B:B,'[1]Master Sheet'!$B:$I,8,0)</f>
        <v>1250</v>
      </c>
      <c r="J108" s="16"/>
      <c r="K108" s="3" t="s">
        <v>2974</v>
      </c>
      <c r="L108" s="3" t="s">
        <v>3057</v>
      </c>
      <c r="M108" s="3" t="s">
        <v>3056</v>
      </c>
      <c r="N108" s="3"/>
      <c r="O108" s="3"/>
    </row>
    <row r="109" spans="1:15" s="4" customFormat="1">
      <c r="A109" s="2">
        <v>108</v>
      </c>
      <c r="B109" s="3" t="s">
        <v>283</v>
      </c>
      <c r="C109" s="3" t="s">
        <v>284</v>
      </c>
      <c r="D109" s="2" t="s">
        <v>17</v>
      </c>
      <c r="E109" s="2" t="s">
        <v>8</v>
      </c>
      <c r="F109" s="16"/>
      <c r="G109" s="16"/>
      <c r="H109" s="16">
        <f>VLOOKUP(B:B,'[1]Master Sheet'!$B:$H,7,0)</f>
        <v>100</v>
      </c>
      <c r="I109" s="16">
        <f>VLOOKUP(B:B,'[1]Master Sheet'!$B:$I,8,0)</f>
        <v>0</v>
      </c>
      <c r="J109" s="16"/>
      <c r="K109" s="3" t="s">
        <v>2972</v>
      </c>
      <c r="L109" s="3" t="s">
        <v>3060</v>
      </c>
      <c r="M109" s="3" t="s">
        <v>3058</v>
      </c>
      <c r="N109" s="3"/>
      <c r="O109" s="3"/>
    </row>
    <row r="110" spans="1:15" s="4" customFormat="1">
      <c r="A110" s="2">
        <v>109</v>
      </c>
      <c r="B110" s="3" t="s">
        <v>285</v>
      </c>
      <c r="C110" s="3" t="s">
        <v>286</v>
      </c>
      <c r="D110" s="2" t="s">
        <v>17</v>
      </c>
      <c r="E110" s="2" t="s">
        <v>8</v>
      </c>
      <c r="F110" s="16"/>
      <c r="G110" s="16"/>
      <c r="H110" s="16">
        <f>VLOOKUP(B:B,'[1]Master Sheet'!$B:$H,7,0)</f>
        <v>750</v>
      </c>
      <c r="I110" s="16">
        <f>VLOOKUP(B:B,'[1]Master Sheet'!$B:$I,8,0)</f>
        <v>500</v>
      </c>
      <c r="J110" s="16"/>
      <c r="K110" s="3" t="s">
        <v>2998</v>
      </c>
      <c r="L110" s="3" t="s">
        <v>3060</v>
      </c>
      <c r="M110" s="3" t="s">
        <v>3058</v>
      </c>
      <c r="N110" s="3"/>
      <c r="O110" s="3"/>
    </row>
    <row r="111" spans="1:15" s="4" customFormat="1">
      <c r="A111" s="2">
        <v>110</v>
      </c>
      <c r="B111" s="3" t="s">
        <v>290</v>
      </c>
      <c r="C111" s="3" t="s">
        <v>291</v>
      </c>
      <c r="D111" s="2" t="s">
        <v>17</v>
      </c>
      <c r="E111" s="2" t="s">
        <v>8</v>
      </c>
      <c r="F111" s="16"/>
      <c r="G111" s="16"/>
      <c r="H111" s="16">
        <f>VLOOKUP(B:B,'[1]Master Sheet'!$B:$H,7,0)</f>
        <v>30</v>
      </c>
      <c r="I111" s="16">
        <f>VLOOKUP(B:B,'[1]Master Sheet'!$B:$I,8,0)</f>
        <v>150</v>
      </c>
      <c r="J111" s="16"/>
      <c r="K111" s="3" t="s">
        <v>2982</v>
      </c>
      <c r="L111" s="3" t="s">
        <v>3060</v>
      </c>
      <c r="M111" s="3" t="s">
        <v>3058</v>
      </c>
      <c r="N111" s="3"/>
      <c r="O111" s="3"/>
    </row>
    <row r="112" spans="1:15" s="4" customFormat="1">
      <c r="A112" s="2">
        <v>111</v>
      </c>
      <c r="B112" s="3" t="s">
        <v>296</v>
      </c>
      <c r="C112" s="3" t="s">
        <v>297</v>
      </c>
      <c r="D112" s="2" t="s">
        <v>7</v>
      </c>
      <c r="E112" s="2" t="s">
        <v>8</v>
      </c>
      <c r="F112" s="16"/>
      <c r="G112" s="16"/>
      <c r="H112" s="16">
        <f>VLOOKUP(B:B,'[1]Master Sheet'!$B:$H,7,0)</f>
        <v>100</v>
      </c>
      <c r="I112" s="16">
        <f>VLOOKUP(B:B,'[1]Master Sheet'!$B:$I,8,0)</f>
        <v>0</v>
      </c>
      <c r="J112" s="16"/>
      <c r="K112" s="3" t="s">
        <v>2965</v>
      </c>
      <c r="L112" s="3" t="s">
        <v>3060</v>
      </c>
      <c r="M112" s="3" t="s">
        <v>3058</v>
      </c>
      <c r="N112" s="3"/>
      <c r="O112" s="3"/>
    </row>
    <row r="113" spans="1:15" s="4" customFormat="1">
      <c r="A113" s="2">
        <v>112</v>
      </c>
      <c r="B113" s="3" t="s">
        <v>298</v>
      </c>
      <c r="C113" s="3" t="s">
        <v>299</v>
      </c>
      <c r="D113" s="2" t="s">
        <v>7</v>
      </c>
      <c r="E113" s="2" t="s">
        <v>8</v>
      </c>
      <c r="F113" s="16"/>
      <c r="G113" s="16"/>
      <c r="H113" s="16">
        <f>VLOOKUP(B:B,'[1]Master Sheet'!$B:$H,7,0)</f>
        <v>100</v>
      </c>
      <c r="I113" s="16">
        <f>VLOOKUP(B:B,'[1]Master Sheet'!$B:$I,8,0)</f>
        <v>0</v>
      </c>
      <c r="J113" s="16"/>
      <c r="K113" s="3" t="s">
        <v>2965</v>
      </c>
      <c r="L113" s="3" t="s">
        <v>3060</v>
      </c>
      <c r="M113" s="3" t="s">
        <v>3058</v>
      </c>
      <c r="N113" s="3"/>
      <c r="O113" s="3"/>
    </row>
    <row r="114" spans="1:15" s="4" customFormat="1">
      <c r="A114" s="2">
        <v>113</v>
      </c>
      <c r="B114" s="3" t="s">
        <v>300</v>
      </c>
      <c r="C114" s="3" t="s">
        <v>301</v>
      </c>
      <c r="D114" s="2" t="s">
        <v>17</v>
      </c>
      <c r="E114" s="2" t="s">
        <v>8</v>
      </c>
      <c r="F114" s="16"/>
      <c r="G114" s="16"/>
      <c r="H114" s="16">
        <f>VLOOKUP(B:B,'[1]Master Sheet'!$B:$H,7,0)</f>
        <v>50</v>
      </c>
      <c r="I114" s="16">
        <f>VLOOKUP(B:B,'[1]Master Sheet'!$B:$I,8,0)</f>
        <v>0</v>
      </c>
      <c r="J114" s="16"/>
      <c r="K114" s="3" t="s">
        <v>2982</v>
      </c>
      <c r="L114" s="3" t="s">
        <v>3060</v>
      </c>
      <c r="M114" s="3" t="s">
        <v>3058</v>
      </c>
      <c r="N114" s="3"/>
      <c r="O114" s="3"/>
    </row>
    <row r="115" spans="1:15" s="4" customFormat="1">
      <c r="A115" s="2">
        <v>114</v>
      </c>
      <c r="B115" s="3" t="s">
        <v>45</v>
      </c>
      <c r="C115" s="3" t="s">
        <v>46</v>
      </c>
      <c r="D115" s="2" t="s">
        <v>17</v>
      </c>
      <c r="E115" s="2" t="s">
        <v>8</v>
      </c>
      <c r="F115" s="16"/>
      <c r="G115" s="16"/>
      <c r="H115" s="16">
        <f>VLOOKUP(B:B,'[1]Master Sheet'!$B:$H,7,0)</f>
        <v>0</v>
      </c>
      <c r="I115" s="16">
        <f>VLOOKUP(B:B,'[1]Master Sheet'!$B:$I,8,0)</f>
        <v>0</v>
      </c>
      <c r="J115" s="16"/>
      <c r="K115" s="3" t="s">
        <v>2991</v>
      </c>
      <c r="L115" s="3" t="s">
        <v>3057</v>
      </c>
      <c r="M115" s="3" t="s">
        <v>3056</v>
      </c>
      <c r="N115" s="3"/>
      <c r="O115" s="3"/>
    </row>
    <row r="116" spans="1:15" s="4" customFormat="1">
      <c r="A116" s="2">
        <v>115</v>
      </c>
      <c r="B116" s="3" t="s">
        <v>304</v>
      </c>
      <c r="C116" s="3" t="s">
        <v>305</v>
      </c>
      <c r="D116" s="2" t="s">
        <v>7</v>
      </c>
      <c r="E116" s="2" t="s">
        <v>8</v>
      </c>
      <c r="F116" s="16"/>
      <c r="G116" s="16"/>
      <c r="H116" s="16">
        <f>VLOOKUP(B:B,'[1]Master Sheet'!$B:$H,7,0)</f>
        <v>0</v>
      </c>
      <c r="I116" s="16">
        <f>VLOOKUP(B:B,'[1]Master Sheet'!$B:$I,8,0)</f>
        <v>0</v>
      </c>
      <c r="J116" s="16"/>
      <c r="K116" s="3" t="s">
        <v>2972</v>
      </c>
      <c r="L116" s="3" t="s">
        <v>3055</v>
      </c>
      <c r="M116" s="3" t="s">
        <v>3056</v>
      </c>
      <c r="N116" s="3"/>
      <c r="O116" s="3"/>
    </row>
    <row r="117" spans="1:15" s="4" customFormat="1">
      <c r="A117" s="2">
        <v>116</v>
      </c>
      <c r="B117" s="3" t="s">
        <v>306</v>
      </c>
      <c r="C117" s="3" t="s">
        <v>307</v>
      </c>
      <c r="D117" s="2" t="s">
        <v>17</v>
      </c>
      <c r="E117" s="2" t="s">
        <v>8</v>
      </c>
      <c r="F117" s="16"/>
      <c r="G117" s="16"/>
      <c r="H117" s="16">
        <f>VLOOKUP(B:B,'[1]Master Sheet'!$B:$H,7,0)</f>
        <v>100</v>
      </c>
      <c r="I117" s="16">
        <f>VLOOKUP(B:B,'[1]Master Sheet'!$B:$I,8,0)</f>
        <v>0</v>
      </c>
      <c r="J117" s="16"/>
      <c r="K117" s="3" t="s">
        <v>2972</v>
      </c>
      <c r="L117" s="3" t="s">
        <v>3055</v>
      </c>
      <c r="M117" s="3" t="s">
        <v>3056</v>
      </c>
      <c r="N117" s="3"/>
      <c r="O117" s="3"/>
    </row>
    <row r="118" spans="1:15" s="4" customFormat="1">
      <c r="A118" s="2">
        <v>117</v>
      </c>
      <c r="B118" s="3" t="s">
        <v>308</v>
      </c>
      <c r="C118" s="3" t="s">
        <v>309</v>
      </c>
      <c r="D118" s="2" t="s">
        <v>17</v>
      </c>
      <c r="E118" s="2" t="s">
        <v>8</v>
      </c>
      <c r="F118" s="16"/>
      <c r="G118" s="16"/>
      <c r="H118" s="16">
        <f>VLOOKUP(B:B,'[1]Master Sheet'!$B:$H,7,0)</f>
        <v>100</v>
      </c>
      <c r="I118" s="16">
        <f>VLOOKUP(B:B,'[1]Master Sheet'!$B:$I,8,0)</f>
        <v>0</v>
      </c>
      <c r="J118" s="16"/>
      <c r="K118" s="3" t="s">
        <v>2972</v>
      </c>
      <c r="L118" s="3" t="s">
        <v>3055</v>
      </c>
      <c r="M118" s="3" t="s">
        <v>3056</v>
      </c>
      <c r="N118" s="3"/>
      <c r="O118" s="3"/>
    </row>
    <row r="119" spans="1:15" s="4" customFormat="1">
      <c r="A119" s="2">
        <v>118</v>
      </c>
      <c r="B119" s="3" t="s">
        <v>310</v>
      </c>
      <c r="C119" s="3" t="s">
        <v>311</v>
      </c>
      <c r="D119" s="2" t="s">
        <v>17</v>
      </c>
      <c r="E119" s="2" t="s">
        <v>8</v>
      </c>
      <c r="F119" s="16"/>
      <c r="G119" s="16"/>
      <c r="H119" s="16">
        <f>VLOOKUP(B:B,'[1]Master Sheet'!$B:$H,7,0)</f>
        <v>0</v>
      </c>
      <c r="I119" s="16">
        <f>VLOOKUP(B:B,'[1]Master Sheet'!$B:$I,8,0)</f>
        <v>0</v>
      </c>
      <c r="J119" s="16"/>
      <c r="K119" s="3" t="s">
        <v>2972</v>
      </c>
      <c r="L119" s="3" t="s">
        <v>3055</v>
      </c>
      <c r="M119" s="3" t="s">
        <v>3056</v>
      </c>
      <c r="N119" s="3"/>
      <c r="O119" s="3"/>
    </row>
    <row r="120" spans="1:15" s="4" customFormat="1">
      <c r="A120" s="2">
        <v>119</v>
      </c>
      <c r="B120" s="3" t="s">
        <v>47</v>
      </c>
      <c r="C120" s="3" t="s">
        <v>48</v>
      </c>
      <c r="D120" s="2" t="s">
        <v>20</v>
      </c>
      <c r="E120" s="2" t="s">
        <v>8</v>
      </c>
      <c r="F120" s="16"/>
      <c r="G120" s="16"/>
      <c r="H120" s="16">
        <f>VLOOKUP(B:B,'[1]Master Sheet'!$B:$H,7,0)</f>
        <v>1500</v>
      </c>
      <c r="I120" s="16">
        <f>VLOOKUP(B:B,'[1]Master Sheet'!$B:$I,8,0)</f>
        <v>0</v>
      </c>
      <c r="J120" s="16"/>
      <c r="K120" s="3" t="s">
        <v>2991</v>
      </c>
      <c r="L120" s="3" t="s">
        <v>3057</v>
      </c>
      <c r="M120" s="3" t="s">
        <v>3056</v>
      </c>
      <c r="N120" s="3"/>
      <c r="O120" s="3"/>
    </row>
    <row r="121" spans="1:15" s="4" customFormat="1">
      <c r="A121" s="2">
        <v>120</v>
      </c>
      <c r="B121" s="3" t="s">
        <v>314</v>
      </c>
      <c r="C121" s="3" t="s">
        <v>315</v>
      </c>
      <c r="D121" s="2" t="s">
        <v>17</v>
      </c>
      <c r="E121" s="2" t="s">
        <v>8</v>
      </c>
      <c r="F121" s="16"/>
      <c r="G121" s="16"/>
      <c r="H121" s="16">
        <f>VLOOKUP(B:B,'[1]Master Sheet'!$B:$H,7,0)</f>
        <v>1000</v>
      </c>
      <c r="I121" s="16">
        <f>VLOOKUP(B:B,'[1]Master Sheet'!$B:$I,8,0)</f>
        <v>0</v>
      </c>
      <c r="J121" s="16"/>
      <c r="K121" s="3" t="s">
        <v>2991</v>
      </c>
      <c r="L121" s="3" t="s">
        <v>3060</v>
      </c>
      <c r="M121" s="3" t="s">
        <v>3058</v>
      </c>
      <c r="N121" s="3"/>
      <c r="O121" s="3"/>
    </row>
    <row r="122" spans="1:15" s="4" customFormat="1">
      <c r="A122" s="2">
        <v>121</v>
      </c>
      <c r="B122" s="3" t="s">
        <v>49</v>
      </c>
      <c r="C122" s="3" t="s">
        <v>50</v>
      </c>
      <c r="D122" s="2" t="s">
        <v>20</v>
      </c>
      <c r="E122" s="2" t="s">
        <v>8</v>
      </c>
      <c r="F122" s="16"/>
      <c r="G122" s="16"/>
      <c r="H122" s="16">
        <f>VLOOKUP(B:B,'[1]Master Sheet'!$B:$H,7,0)</f>
        <v>1000</v>
      </c>
      <c r="I122" s="16">
        <f>VLOOKUP(B:B,'[1]Master Sheet'!$B:$I,8,0)</f>
        <v>0</v>
      </c>
      <c r="J122" s="16"/>
      <c r="K122" s="3" t="s">
        <v>2991</v>
      </c>
      <c r="L122" s="3" t="s">
        <v>3057</v>
      </c>
      <c r="M122" s="3" t="s">
        <v>3056</v>
      </c>
      <c r="N122" s="3"/>
      <c r="O122" s="3"/>
    </row>
    <row r="123" spans="1:15" s="4" customFormat="1">
      <c r="A123" s="2">
        <v>122</v>
      </c>
      <c r="B123" s="3" t="s">
        <v>53</v>
      </c>
      <c r="C123" s="3" t="s">
        <v>54</v>
      </c>
      <c r="D123" s="2" t="s">
        <v>20</v>
      </c>
      <c r="E123" s="2" t="s">
        <v>8</v>
      </c>
      <c r="F123" s="16"/>
      <c r="G123" s="16"/>
      <c r="H123" s="16">
        <f>VLOOKUP(B:B,'[1]Master Sheet'!$B:$H,7,0)</f>
        <v>15000</v>
      </c>
      <c r="I123" s="16">
        <f>VLOOKUP(B:B,'[1]Master Sheet'!$B:$I,8,0)</f>
        <v>4000</v>
      </c>
      <c r="J123" s="16"/>
      <c r="K123" s="3" t="s">
        <v>2991</v>
      </c>
      <c r="L123" s="3" t="s">
        <v>3057</v>
      </c>
      <c r="M123" s="3" t="s">
        <v>3056</v>
      </c>
      <c r="N123" s="3"/>
      <c r="O123" s="3"/>
    </row>
    <row r="124" spans="1:15" s="4" customFormat="1">
      <c r="A124" s="2">
        <v>123</v>
      </c>
      <c r="B124" s="3" t="s">
        <v>61</v>
      </c>
      <c r="C124" s="3" t="s">
        <v>62</v>
      </c>
      <c r="D124" s="2" t="s">
        <v>7</v>
      </c>
      <c r="E124" s="2" t="s">
        <v>8</v>
      </c>
      <c r="F124" s="16"/>
      <c r="G124" s="16"/>
      <c r="H124" s="16">
        <f>VLOOKUP(B:B,'[1]Master Sheet'!$B:$H,7,0)</f>
        <v>0</v>
      </c>
      <c r="I124" s="16">
        <f>VLOOKUP(B:B,'[1]Master Sheet'!$B:$I,8,0)</f>
        <v>0</v>
      </c>
      <c r="J124" s="16"/>
      <c r="K124" s="3" t="s">
        <v>2972</v>
      </c>
      <c r="L124" s="3" t="s">
        <v>3057</v>
      </c>
      <c r="M124" s="3" t="s">
        <v>3056</v>
      </c>
      <c r="N124" s="3"/>
      <c r="O124" s="3"/>
    </row>
    <row r="125" spans="1:15" s="4" customFormat="1">
      <c r="A125" s="2">
        <v>124</v>
      </c>
      <c r="B125" s="3" t="s">
        <v>323</v>
      </c>
      <c r="C125" s="3" t="s">
        <v>324</v>
      </c>
      <c r="D125" s="2" t="s">
        <v>17</v>
      </c>
      <c r="E125" s="2" t="s">
        <v>8</v>
      </c>
      <c r="F125" s="16"/>
      <c r="G125" s="16"/>
      <c r="H125" s="16">
        <f>VLOOKUP(B:B,'[1]Master Sheet'!$B:$H,7,0)</f>
        <v>250</v>
      </c>
      <c r="I125" s="16">
        <f>VLOOKUP(B:B,'[1]Master Sheet'!$B:$I,8,0)</f>
        <v>0</v>
      </c>
      <c r="J125" s="16"/>
      <c r="K125" s="3" t="s">
        <v>2972</v>
      </c>
      <c r="L125" s="3" t="s">
        <v>3055</v>
      </c>
      <c r="M125" s="3" t="s">
        <v>3056</v>
      </c>
      <c r="N125" s="3"/>
      <c r="O125" s="3"/>
    </row>
    <row r="126" spans="1:15" s="4" customFormat="1">
      <c r="A126" s="2">
        <v>125</v>
      </c>
      <c r="B126" s="3" t="s">
        <v>327</v>
      </c>
      <c r="C126" s="3" t="s">
        <v>328</v>
      </c>
      <c r="D126" s="2" t="s">
        <v>17</v>
      </c>
      <c r="E126" s="2" t="s">
        <v>8</v>
      </c>
      <c r="F126" s="16"/>
      <c r="G126" s="16"/>
      <c r="H126" s="16">
        <f>VLOOKUP(B:B,'[1]Master Sheet'!$B:$H,7,0)</f>
        <v>200</v>
      </c>
      <c r="I126" s="16">
        <f>VLOOKUP(B:B,'[1]Master Sheet'!$B:$I,8,0)</f>
        <v>0</v>
      </c>
      <c r="J126" s="16"/>
      <c r="K126" s="3" t="s">
        <v>2972</v>
      </c>
      <c r="L126" s="3" t="s">
        <v>3055</v>
      </c>
      <c r="M126" s="3" t="s">
        <v>3056</v>
      </c>
      <c r="N126" s="3"/>
      <c r="O126" s="3"/>
    </row>
    <row r="127" spans="1:15" s="4" customFormat="1">
      <c r="A127" s="2">
        <v>126</v>
      </c>
      <c r="B127" s="3" t="s">
        <v>63</v>
      </c>
      <c r="C127" s="3" t="s">
        <v>64</v>
      </c>
      <c r="D127" s="2" t="s">
        <v>7</v>
      </c>
      <c r="E127" s="2" t="s">
        <v>8</v>
      </c>
      <c r="F127" s="16"/>
      <c r="G127" s="16"/>
      <c r="H127" s="16">
        <f>VLOOKUP(B:B,'[1]Master Sheet'!$B:$H,7,0)</f>
        <v>0</v>
      </c>
      <c r="I127" s="16">
        <f>VLOOKUP(B:B,'[1]Master Sheet'!$B:$I,8,0)</f>
        <v>0</v>
      </c>
      <c r="J127" s="16"/>
      <c r="K127" s="3" t="s">
        <v>2972</v>
      </c>
      <c r="L127" s="3" t="s">
        <v>3057</v>
      </c>
      <c r="M127" s="3" t="s">
        <v>3056</v>
      </c>
      <c r="N127" s="3"/>
      <c r="O127" s="3"/>
    </row>
    <row r="128" spans="1:15" s="4" customFormat="1">
      <c r="A128" s="2">
        <v>127</v>
      </c>
      <c r="B128" s="3" t="s">
        <v>78</v>
      </c>
      <c r="C128" s="3" t="s">
        <v>79</v>
      </c>
      <c r="D128" s="2" t="s">
        <v>17</v>
      </c>
      <c r="E128" s="2" t="s">
        <v>8</v>
      </c>
      <c r="F128" s="16"/>
      <c r="G128" s="16"/>
      <c r="H128" s="16">
        <f>VLOOKUP(B:B,'[1]Master Sheet'!$B:$H,7,0)</f>
        <v>0</v>
      </c>
      <c r="I128" s="16">
        <f>VLOOKUP(B:B,'[1]Master Sheet'!$B:$I,8,0)</f>
        <v>0</v>
      </c>
      <c r="J128" s="16"/>
      <c r="K128" s="3" t="s">
        <v>2972</v>
      </c>
      <c r="L128" s="3" t="s">
        <v>3057</v>
      </c>
      <c r="M128" s="3" t="s">
        <v>3058</v>
      </c>
      <c r="N128" s="3"/>
      <c r="O128" s="3"/>
    </row>
    <row r="129" spans="1:15" s="4" customFormat="1">
      <c r="A129" s="2">
        <v>128</v>
      </c>
      <c r="B129" s="3" t="s">
        <v>333</v>
      </c>
      <c r="C129" s="3" t="s">
        <v>334</v>
      </c>
      <c r="D129" s="2" t="s">
        <v>17</v>
      </c>
      <c r="E129" s="2" t="s">
        <v>8</v>
      </c>
      <c r="F129" s="16"/>
      <c r="G129" s="16"/>
      <c r="H129" s="16">
        <f>VLOOKUP(B:B,'[1]Master Sheet'!$B:$H,7,0)</f>
        <v>100</v>
      </c>
      <c r="I129" s="16">
        <f>VLOOKUP(B:B,'[1]Master Sheet'!$B:$I,8,0)</f>
        <v>0</v>
      </c>
      <c r="J129" s="16"/>
      <c r="K129" s="3" t="s">
        <v>2972</v>
      </c>
      <c r="L129" s="3" t="s">
        <v>3055</v>
      </c>
      <c r="M129" s="3" t="s">
        <v>3056</v>
      </c>
      <c r="N129" s="3"/>
      <c r="O129" s="3"/>
    </row>
    <row r="130" spans="1:15" s="4" customFormat="1">
      <c r="A130" s="2">
        <v>129</v>
      </c>
      <c r="B130" s="3" t="s">
        <v>335</v>
      </c>
      <c r="C130" s="3" t="s">
        <v>336</v>
      </c>
      <c r="D130" s="2" t="s">
        <v>17</v>
      </c>
      <c r="E130" s="2" t="s">
        <v>8</v>
      </c>
      <c r="F130" s="16"/>
      <c r="G130" s="16"/>
      <c r="H130" s="16">
        <f>VLOOKUP(B:B,'[1]Master Sheet'!$B:$H,7,0)</f>
        <v>2500</v>
      </c>
      <c r="I130" s="16">
        <f>VLOOKUP(B:B,'[1]Master Sheet'!$B:$I,8,0)</f>
        <v>0</v>
      </c>
      <c r="J130" s="16"/>
      <c r="K130" s="3" t="s">
        <v>2972</v>
      </c>
      <c r="L130" s="3" t="s">
        <v>3055</v>
      </c>
      <c r="M130" s="3" t="s">
        <v>3056</v>
      </c>
      <c r="N130" s="3"/>
      <c r="O130" s="3"/>
    </row>
    <row r="131" spans="1:15" s="4" customFormat="1">
      <c r="A131" s="2">
        <v>130</v>
      </c>
      <c r="B131" s="3" t="s">
        <v>82</v>
      </c>
      <c r="C131" s="3" t="s">
        <v>83</v>
      </c>
      <c r="D131" s="2" t="s">
        <v>17</v>
      </c>
      <c r="E131" s="2" t="s">
        <v>8</v>
      </c>
      <c r="F131" s="16"/>
      <c r="G131" s="16"/>
      <c r="H131" s="16">
        <f>VLOOKUP(B:B,'[1]Master Sheet'!$B:$H,7,0)</f>
        <v>0</v>
      </c>
      <c r="I131" s="16">
        <f>VLOOKUP(B:B,'[1]Master Sheet'!$B:$I,8,0)</f>
        <v>0</v>
      </c>
      <c r="J131" s="16"/>
      <c r="K131" s="3" t="s">
        <v>2972</v>
      </c>
      <c r="L131" s="3" t="s">
        <v>3057</v>
      </c>
      <c r="M131" s="3" t="s">
        <v>3058</v>
      </c>
      <c r="N131" s="3"/>
      <c r="O131" s="3"/>
    </row>
    <row r="132" spans="1:15" s="4" customFormat="1">
      <c r="A132" s="2">
        <v>131</v>
      </c>
      <c r="B132" s="3" t="s">
        <v>84</v>
      </c>
      <c r="C132" s="3" t="s">
        <v>85</v>
      </c>
      <c r="D132" s="2" t="s">
        <v>17</v>
      </c>
      <c r="E132" s="2" t="s">
        <v>8</v>
      </c>
      <c r="F132" s="16"/>
      <c r="G132" s="16"/>
      <c r="H132" s="16">
        <f>VLOOKUP(B:B,'[1]Master Sheet'!$B:$H,7,0)</f>
        <v>0</v>
      </c>
      <c r="I132" s="16">
        <f>VLOOKUP(B:B,'[1]Master Sheet'!$B:$I,8,0)</f>
        <v>0</v>
      </c>
      <c r="J132" s="16"/>
      <c r="K132" s="3" t="s">
        <v>2972</v>
      </c>
      <c r="L132" s="3" t="s">
        <v>3057</v>
      </c>
      <c r="M132" s="3" t="s">
        <v>3058</v>
      </c>
      <c r="N132" s="3"/>
      <c r="O132" s="3"/>
    </row>
    <row r="133" spans="1:15" s="4" customFormat="1">
      <c r="A133" s="2">
        <v>132</v>
      </c>
      <c r="B133" s="3" t="s">
        <v>343</v>
      </c>
      <c r="C133" s="3" t="s">
        <v>344</v>
      </c>
      <c r="D133" s="2" t="s">
        <v>17</v>
      </c>
      <c r="E133" s="2" t="s">
        <v>8</v>
      </c>
      <c r="F133" s="16"/>
      <c r="G133" s="16"/>
      <c r="H133" s="16">
        <f>VLOOKUP(B:B,'[1]Master Sheet'!$B:$H,7,0)</f>
        <v>10000</v>
      </c>
      <c r="I133" s="16">
        <f>VLOOKUP(B:B,'[1]Master Sheet'!$B:$I,8,0)</f>
        <v>25000</v>
      </c>
      <c r="J133" s="16"/>
      <c r="K133" s="3" t="s">
        <v>2974</v>
      </c>
      <c r="L133" s="3" t="s">
        <v>3055</v>
      </c>
      <c r="M133" s="3" t="s">
        <v>3056</v>
      </c>
      <c r="N133" s="3"/>
      <c r="O133" s="3"/>
    </row>
    <row r="134" spans="1:15" s="4" customFormat="1">
      <c r="A134" s="2">
        <v>133</v>
      </c>
      <c r="B134" s="3" t="s">
        <v>92</v>
      </c>
      <c r="C134" s="3" t="s">
        <v>93</v>
      </c>
      <c r="D134" s="2" t="s">
        <v>17</v>
      </c>
      <c r="E134" s="2" t="s">
        <v>8</v>
      </c>
      <c r="F134" s="16"/>
      <c r="G134" s="16"/>
      <c r="H134" s="16">
        <f>VLOOKUP(B:B,'[1]Master Sheet'!$B:$H,7,0)</f>
        <v>5000</v>
      </c>
      <c r="I134" s="16">
        <f>VLOOKUP(B:B,'[1]Master Sheet'!$B:$I,8,0)</f>
        <v>0</v>
      </c>
      <c r="J134" s="16"/>
      <c r="K134" s="3" t="s">
        <v>2991</v>
      </c>
      <c r="L134" s="3" t="s">
        <v>3057</v>
      </c>
      <c r="M134" s="3" t="s">
        <v>3058</v>
      </c>
      <c r="N134" s="3"/>
      <c r="O134" s="3"/>
    </row>
    <row r="135" spans="1:15" s="4" customFormat="1">
      <c r="A135" s="2">
        <v>134</v>
      </c>
      <c r="B135" s="3" t="s">
        <v>349</v>
      </c>
      <c r="C135" s="3" t="s">
        <v>350</v>
      </c>
      <c r="D135" s="2" t="s">
        <v>17</v>
      </c>
      <c r="E135" s="2" t="s">
        <v>8</v>
      </c>
      <c r="F135" s="16"/>
      <c r="G135" s="16"/>
      <c r="H135" s="16">
        <f>VLOOKUP(B:B,'[1]Master Sheet'!$B:$H,7,0)</f>
        <v>70</v>
      </c>
      <c r="I135" s="16">
        <f>VLOOKUP(B:B,'[1]Master Sheet'!$B:$I,8,0)</f>
        <v>0</v>
      </c>
      <c r="J135" s="16"/>
      <c r="K135" s="3" t="s">
        <v>2982</v>
      </c>
      <c r="L135" s="3" t="s">
        <v>3060</v>
      </c>
      <c r="M135" s="3" t="s">
        <v>3058</v>
      </c>
      <c r="N135" s="3"/>
      <c r="O135" s="3"/>
    </row>
    <row r="136" spans="1:15" s="4" customFormat="1">
      <c r="A136" s="2">
        <v>135</v>
      </c>
      <c r="B136" s="3" t="s">
        <v>351</v>
      </c>
      <c r="C136" s="3" t="s">
        <v>352</v>
      </c>
      <c r="D136" s="2" t="s">
        <v>17</v>
      </c>
      <c r="E136" s="2" t="s">
        <v>8</v>
      </c>
      <c r="F136" s="16"/>
      <c r="G136" s="16"/>
      <c r="H136" s="16">
        <f>VLOOKUP(B:B,'[1]Master Sheet'!$B:$H,7,0)</f>
        <v>70</v>
      </c>
      <c r="I136" s="16">
        <f>VLOOKUP(B:B,'[1]Master Sheet'!$B:$I,8,0)</f>
        <v>0</v>
      </c>
      <c r="J136" s="16"/>
      <c r="K136" s="3" t="s">
        <v>2982</v>
      </c>
      <c r="L136" s="3" t="s">
        <v>3060</v>
      </c>
      <c r="M136" s="3" t="s">
        <v>3058</v>
      </c>
      <c r="N136" s="3"/>
      <c r="O136" s="3"/>
    </row>
    <row r="137" spans="1:15" s="4" customFormat="1">
      <c r="A137" s="2">
        <v>136</v>
      </c>
      <c r="B137" s="3" t="s">
        <v>355</v>
      </c>
      <c r="C137" s="3" t="s">
        <v>356</v>
      </c>
      <c r="D137" s="2" t="s">
        <v>17</v>
      </c>
      <c r="E137" s="2" t="s">
        <v>8</v>
      </c>
      <c r="F137" s="16"/>
      <c r="G137" s="16"/>
      <c r="H137" s="16">
        <f>VLOOKUP(B:B,'[1]Master Sheet'!$B:$H,7,0)</f>
        <v>70</v>
      </c>
      <c r="I137" s="16">
        <f>VLOOKUP(B:B,'[1]Master Sheet'!$B:$I,8,0)</f>
        <v>0</v>
      </c>
      <c r="J137" s="16"/>
      <c r="K137" s="3" t="s">
        <v>2982</v>
      </c>
      <c r="L137" s="3" t="s">
        <v>3060</v>
      </c>
      <c r="M137" s="3" t="s">
        <v>3058</v>
      </c>
      <c r="N137" s="3"/>
      <c r="O137" s="3"/>
    </row>
    <row r="138" spans="1:15" s="4" customFormat="1">
      <c r="A138" s="2">
        <v>137</v>
      </c>
      <c r="B138" s="3" t="s">
        <v>359</v>
      </c>
      <c r="C138" s="3" t="s">
        <v>360</v>
      </c>
      <c r="D138" s="2" t="s">
        <v>17</v>
      </c>
      <c r="E138" s="2" t="s">
        <v>8</v>
      </c>
      <c r="F138" s="16"/>
      <c r="G138" s="16"/>
      <c r="H138" s="16">
        <f>VLOOKUP(B:B,'[1]Master Sheet'!$B:$H,7,0)</f>
        <v>70</v>
      </c>
      <c r="I138" s="16">
        <f>VLOOKUP(B:B,'[1]Master Sheet'!$B:$I,8,0)</f>
        <v>0</v>
      </c>
      <c r="J138" s="16"/>
      <c r="K138" s="3" t="s">
        <v>2982</v>
      </c>
      <c r="L138" s="3" t="s">
        <v>3060</v>
      </c>
      <c r="M138" s="3" t="s">
        <v>3058</v>
      </c>
      <c r="N138" s="3"/>
      <c r="O138" s="3"/>
    </row>
    <row r="139" spans="1:15" s="4" customFormat="1">
      <c r="A139" s="2">
        <v>138</v>
      </c>
      <c r="B139" s="3" t="s">
        <v>365</v>
      </c>
      <c r="C139" s="3" t="s">
        <v>366</v>
      </c>
      <c r="D139" s="2" t="s">
        <v>17</v>
      </c>
      <c r="E139" s="2" t="s">
        <v>8</v>
      </c>
      <c r="F139" s="16"/>
      <c r="G139" s="16"/>
      <c r="H139" s="16">
        <f>VLOOKUP(B:B,'[1]Master Sheet'!$B:$H,7,0)</f>
        <v>0</v>
      </c>
      <c r="I139" s="16">
        <f>VLOOKUP(B:B,'[1]Master Sheet'!$B:$I,8,0)</f>
        <v>0</v>
      </c>
      <c r="J139" s="16"/>
      <c r="K139" s="3" t="s">
        <v>2991</v>
      </c>
      <c r="L139" s="3" t="s">
        <v>3060</v>
      </c>
      <c r="M139" s="3" t="s">
        <v>3058</v>
      </c>
      <c r="N139" s="3"/>
      <c r="O139" s="3"/>
    </row>
    <row r="140" spans="1:15" s="4" customFormat="1">
      <c r="A140" s="2">
        <v>139</v>
      </c>
      <c r="B140" s="3" t="s">
        <v>367</v>
      </c>
      <c r="C140" s="3" t="s">
        <v>368</v>
      </c>
      <c r="D140" s="2" t="s">
        <v>17</v>
      </c>
      <c r="E140" s="2" t="s">
        <v>8</v>
      </c>
      <c r="F140" s="16"/>
      <c r="G140" s="16"/>
      <c r="H140" s="16">
        <f>VLOOKUP(B:B,'[1]Master Sheet'!$B:$H,7,0)</f>
        <v>0</v>
      </c>
      <c r="I140" s="16">
        <f>VLOOKUP(B:B,'[1]Master Sheet'!$B:$I,8,0)</f>
        <v>0</v>
      </c>
      <c r="J140" s="16"/>
      <c r="K140" s="3" t="s">
        <v>2991</v>
      </c>
      <c r="L140" s="3" t="s">
        <v>3060</v>
      </c>
      <c r="M140" s="3" t="s">
        <v>3058</v>
      </c>
      <c r="N140" s="3"/>
      <c r="O140" s="3"/>
    </row>
    <row r="141" spans="1:15" s="4" customFormat="1">
      <c r="A141" s="2">
        <v>140</v>
      </c>
      <c r="B141" s="3" t="s">
        <v>106</v>
      </c>
      <c r="C141" s="3" t="s">
        <v>107</v>
      </c>
      <c r="D141" s="2" t="s">
        <v>17</v>
      </c>
      <c r="E141" s="2" t="s">
        <v>8</v>
      </c>
      <c r="F141" s="16"/>
      <c r="G141" s="16"/>
      <c r="H141" s="16">
        <f>VLOOKUP(B:B,'[1]Master Sheet'!$B:$H,7,0)</f>
        <v>5000</v>
      </c>
      <c r="I141" s="16">
        <f>VLOOKUP(B:B,'[1]Master Sheet'!$B:$I,8,0)</f>
        <v>0</v>
      </c>
      <c r="J141" s="16"/>
      <c r="K141" s="3" t="s">
        <v>2972</v>
      </c>
      <c r="L141" s="3" t="s">
        <v>3057</v>
      </c>
      <c r="M141" s="3" t="s">
        <v>3058</v>
      </c>
      <c r="N141" s="3"/>
      <c r="O141" s="3"/>
    </row>
    <row r="142" spans="1:15" s="4" customFormat="1">
      <c r="A142" s="2">
        <v>141</v>
      </c>
      <c r="B142" s="3" t="s">
        <v>114</v>
      </c>
      <c r="C142" s="3" t="s">
        <v>115</v>
      </c>
      <c r="D142" s="2" t="s">
        <v>116</v>
      </c>
      <c r="E142" s="2" t="s">
        <v>8</v>
      </c>
      <c r="F142" s="16"/>
      <c r="G142" s="16"/>
      <c r="H142" s="16">
        <f>VLOOKUP(B:B,'[1]Master Sheet'!$B:$H,7,0)</f>
        <v>50</v>
      </c>
      <c r="I142" s="16">
        <f>VLOOKUP(B:B,'[1]Master Sheet'!$B:$I,8,0)</f>
        <v>0</v>
      </c>
      <c r="J142" s="16"/>
      <c r="K142" s="3" t="s">
        <v>2974</v>
      </c>
      <c r="L142" s="3" t="s">
        <v>3057</v>
      </c>
      <c r="M142" s="3" t="s">
        <v>3056</v>
      </c>
      <c r="N142" s="3"/>
      <c r="O142" s="3"/>
    </row>
    <row r="143" spans="1:15" s="4" customFormat="1">
      <c r="A143" s="2">
        <v>142</v>
      </c>
      <c r="B143" s="3" t="s">
        <v>123</v>
      </c>
      <c r="C143" s="3" t="s">
        <v>124</v>
      </c>
      <c r="D143" s="2" t="s">
        <v>20</v>
      </c>
      <c r="E143" s="2" t="s">
        <v>8</v>
      </c>
      <c r="F143" s="16"/>
      <c r="G143" s="16"/>
      <c r="H143" s="16">
        <f>VLOOKUP(B:B,'[1]Master Sheet'!$B:$H,7,0)</f>
        <v>0</v>
      </c>
      <c r="I143" s="16">
        <f>VLOOKUP(B:B,'[1]Master Sheet'!$B:$I,8,0)</f>
        <v>0</v>
      </c>
      <c r="J143" s="16"/>
      <c r="K143" s="3" t="s">
        <v>2974</v>
      </c>
      <c r="L143" s="3" t="s">
        <v>3057</v>
      </c>
      <c r="M143" s="3" t="s">
        <v>3056</v>
      </c>
      <c r="N143" s="3"/>
      <c r="O143" s="3"/>
    </row>
    <row r="144" spans="1:15" s="4" customFormat="1">
      <c r="A144" s="2">
        <v>143</v>
      </c>
      <c r="B144" s="3" t="s">
        <v>127</v>
      </c>
      <c r="C144" s="3" t="s">
        <v>128</v>
      </c>
      <c r="D144" s="2" t="s">
        <v>17</v>
      </c>
      <c r="E144" s="2" t="s">
        <v>8</v>
      </c>
      <c r="F144" s="16"/>
      <c r="G144" s="16"/>
      <c r="H144" s="16">
        <f>VLOOKUP(B:B,'[1]Master Sheet'!$B:$H,7,0)</f>
        <v>1500</v>
      </c>
      <c r="I144" s="16">
        <f>VLOOKUP(B:B,'[1]Master Sheet'!$B:$I,8,0)</f>
        <v>0</v>
      </c>
      <c r="J144" s="16"/>
      <c r="K144" s="3" t="s">
        <v>2991</v>
      </c>
      <c r="L144" s="3" t="s">
        <v>3057</v>
      </c>
      <c r="M144" s="3" t="s">
        <v>3058</v>
      </c>
      <c r="N144" s="3"/>
      <c r="O144" s="3"/>
    </row>
    <row r="145" spans="1:15" s="4" customFormat="1">
      <c r="A145" s="2">
        <v>144</v>
      </c>
      <c r="B145" s="3" t="s">
        <v>129</v>
      </c>
      <c r="C145" s="3" t="s">
        <v>130</v>
      </c>
      <c r="D145" s="2" t="s">
        <v>17</v>
      </c>
      <c r="E145" s="2" t="s">
        <v>8</v>
      </c>
      <c r="F145" s="16"/>
      <c r="G145" s="16"/>
      <c r="H145" s="16">
        <f>VLOOKUP(B:B,'[1]Master Sheet'!$B:$H,7,0)</f>
        <v>100</v>
      </c>
      <c r="I145" s="16">
        <f>VLOOKUP(B:B,'[1]Master Sheet'!$B:$I,8,0)</f>
        <v>0</v>
      </c>
      <c r="J145" s="16"/>
      <c r="K145" s="3" t="s">
        <v>2991</v>
      </c>
      <c r="L145" s="3" t="s">
        <v>3057</v>
      </c>
      <c r="M145" s="3" t="s">
        <v>3058</v>
      </c>
      <c r="N145" s="3"/>
      <c r="O145" s="3"/>
    </row>
    <row r="146" spans="1:15" s="4" customFormat="1">
      <c r="A146" s="2">
        <v>145</v>
      </c>
      <c r="B146" s="3" t="s">
        <v>131</v>
      </c>
      <c r="C146" s="3" t="s">
        <v>132</v>
      </c>
      <c r="D146" s="2" t="s">
        <v>17</v>
      </c>
      <c r="E146" s="2" t="s">
        <v>8</v>
      </c>
      <c r="F146" s="16"/>
      <c r="G146" s="16"/>
      <c r="H146" s="16">
        <f>VLOOKUP(B:B,'[1]Master Sheet'!$B:$H,7,0)</f>
        <v>1000</v>
      </c>
      <c r="I146" s="16">
        <f>VLOOKUP(B:B,'[1]Master Sheet'!$B:$I,8,0)</f>
        <v>0</v>
      </c>
      <c r="J146" s="16"/>
      <c r="K146" s="3" t="s">
        <v>2972</v>
      </c>
      <c r="L146" s="3" t="s">
        <v>3057</v>
      </c>
      <c r="M146" s="3" t="s">
        <v>3058</v>
      </c>
      <c r="N146" s="3"/>
      <c r="O146" s="3"/>
    </row>
    <row r="147" spans="1:15" s="4" customFormat="1">
      <c r="A147" s="2">
        <v>146</v>
      </c>
      <c r="B147" s="3" t="s">
        <v>133</v>
      </c>
      <c r="C147" s="3" t="s">
        <v>134</v>
      </c>
      <c r="D147" s="2" t="s">
        <v>135</v>
      </c>
      <c r="E147" s="2" t="s">
        <v>8</v>
      </c>
      <c r="F147" s="16"/>
      <c r="G147" s="16"/>
      <c r="H147" s="16">
        <f>VLOOKUP(B:B,'[1]Master Sheet'!$B:$H,7,0)</f>
        <v>25</v>
      </c>
      <c r="I147" s="16">
        <f>VLOOKUP(B:B,'[1]Master Sheet'!$B:$I,8,0)</f>
        <v>0</v>
      </c>
      <c r="J147" s="16"/>
      <c r="K147" s="3" t="s">
        <v>2998</v>
      </c>
      <c r="L147" s="3" t="s">
        <v>3057</v>
      </c>
      <c r="M147" s="3" t="s">
        <v>3056</v>
      </c>
      <c r="N147" s="3"/>
      <c r="O147" s="3"/>
    </row>
    <row r="148" spans="1:15" s="4" customFormat="1">
      <c r="A148" s="2">
        <v>147</v>
      </c>
      <c r="B148" s="3" t="s">
        <v>387</v>
      </c>
      <c r="C148" s="3" t="s">
        <v>388</v>
      </c>
      <c r="D148" s="2" t="s">
        <v>17</v>
      </c>
      <c r="E148" s="2" t="s">
        <v>8</v>
      </c>
      <c r="F148" s="16"/>
      <c r="G148" s="16"/>
      <c r="H148" s="16">
        <f>VLOOKUP(B:B,'[1]Master Sheet'!$B:$H,7,0)</f>
        <v>0</v>
      </c>
      <c r="I148" s="16">
        <f>VLOOKUP(B:B,'[1]Master Sheet'!$B:$I,8,0)</f>
        <v>0</v>
      </c>
      <c r="J148" s="16"/>
      <c r="K148" s="3" t="s">
        <v>2972</v>
      </c>
      <c r="L148" s="3" t="s">
        <v>3055</v>
      </c>
      <c r="M148" s="3" t="s">
        <v>3061</v>
      </c>
      <c r="N148" s="3"/>
      <c r="O148" s="3"/>
    </row>
    <row r="149" spans="1:15" s="4" customFormat="1">
      <c r="A149" s="2">
        <v>148</v>
      </c>
      <c r="B149" s="3" t="s">
        <v>146</v>
      </c>
      <c r="C149" s="3" t="s">
        <v>147</v>
      </c>
      <c r="D149" s="2" t="s">
        <v>148</v>
      </c>
      <c r="E149" s="2" t="s">
        <v>8</v>
      </c>
      <c r="F149" s="16"/>
      <c r="G149" s="16"/>
      <c r="H149" s="16">
        <f>VLOOKUP(B:B,'[1]Master Sheet'!$B:$H,7,0)</f>
        <v>25</v>
      </c>
      <c r="I149" s="16">
        <f>VLOOKUP(B:B,'[1]Master Sheet'!$B:$I,8,0)</f>
        <v>24</v>
      </c>
      <c r="J149" s="16"/>
      <c r="K149" s="3" t="s">
        <v>2991</v>
      </c>
      <c r="L149" s="3" t="s">
        <v>3057</v>
      </c>
      <c r="M149" s="3" t="s">
        <v>3056</v>
      </c>
      <c r="N149" s="3"/>
      <c r="O149" s="3"/>
    </row>
    <row r="150" spans="1:15" s="4" customFormat="1">
      <c r="A150" s="2">
        <v>149</v>
      </c>
      <c r="B150" s="3" t="s">
        <v>151</v>
      </c>
      <c r="C150" s="3" t="s">
        <v>152</v>
      </c>
      <c r="D150" s="2" t="s">
        <v>17</v>
      </c>
      <c r="E150" s="2" t="s">
        <v>8</v>
      </c>
      <c r="F150" s="16"/>
      <c r="G150" s="16"/>
      <c r="H150" s="16">
        <f>VLOOKUP(B:B,'[1]Master Sheet'!$B:$H,7,0)</f>
        <v>0</v>
      </c>
      <c r="I150" s="16">
        <f>VLOOKUP(B:B,'[1]Master Sheet'!$B:$I,8,0)</f>
        <v>0</v>
      </c>
      <c r="J150" s="16"/>
      <c r="K150" s="3" t="s">
        <v>2972</v>
      </c>
      <c r="L150" s="3" t="s">
        <v>3057</v>
      </c>
      <c r="M150" s="3" t="s">
        <v>3056</v>
      </c>
      <c r="N150" s="3"/>
      <c r="O150" s="3"/>
    </row>
    <row r="151" spans="1:15" s="4" customFormat="1">
      <c r="A151" s="2">
        <v>150</v>
      </c>
      <c r="B151" s="3" t="s">
        <v>393</v>
      </c>
      <c r="C151" s="3" t="s">
        <v>394</v>
      </c>
      <c r="D151" s="2" t="s">
        <v>17</v>
      </c>
      <c r="E151" s="2" t="s">
        <v>8</v>
      </c>
      <c r="F151" s="16"/>
      <c r="G151" s="16"/>
      <c r="H151" s="16">
        <f>VLOOKUP(B:B,'[1]Master Sheet'!$B:$H,7,0)</f>
        <v>0</v>
      </c>
      <c r="I151" s="16">
        <f>VLOOKUP(B:B,'[1]Master Sheet'!$B:$I,8,0)</f>
        <v>0</v>
      </c>
      <c r="J151" s="16"/>
      <c r="K151" s="3" t="s">
        <v>2982</v>
      </c>
      <c r="L151" s="3" t="s">
        <v>3060</v>
      </c>
      <c r="M151" s="3" t="s">
        <v>3058</v>
      </c>
      <c r="N151" s="3"/>
      <c r="O151" s="3"/>
    </row>
    <row r="152" spans="1:15" s="4" customFormat="1">
      <c r="A152" s="2">
        <v>151</v>
      </c>
      <c r="B152" s="3" t="s">
        <v>395</v>
      </c>
      <c r="C152" s="3" t="s">
        <v>396</v>
      </c>
      <c r="D152" s="2" t="s">
        <v>17</v>
      </c>
      <c r="E152" s="2" t="s">
        <v>8</v>
      </c>
      <c r="F152" s="16"/>
      <c r="G152" s="16"/>
      <c r="H152" s="16">
        <f>VLOOKUP(B:B,'[1]Master Sheet'!$B:$H,7,0)</f>
        <v>0</v>
      </c>
      <c r="I152" s="16">
        <f>VLOOKUP(B:B,'[1]Master Sheet'!$B:$I,8,0)</f>
        <v>0</v>
      </c>
      <c r="J152" s="16"/>
      <c r="K152" s="3" t="s">
        <v>2982</v>
      </c>
      <c r="L152" s="3" t="s">
        <v>3060</v>
      </c>
      <c r="M152" s="3" t="s">
        <v>3058</v>
      </c>
      <c r="N152" s="3"/>
      <c r="O152" s="3"/>
    </row>
    <row r="153" spans="1:15" s="4" customFormat="1">
      <c r="A153" s="2">
        <v>152</v>
      </c>
      <c r="B153" s="3" t="s">
        <v>397</v>
      </c>
      <c r="C153" s="3" t="s">
        <v>398</v>
      </c>
      <c r="D153" s="2" t="s">
        <v>17</v>
      </c>
      <c r="E153" s="2" t="s">
        <v>8</v>
      </c>
      <c r="F153" s="16"/>
      <c r="G153" s="16"/>
      <c r="H153" s="16">
        <f>VLOOKUP(B:B,'[1]Master Sheet'!$B:$H,7,0)</f>
        <v>0</v>
      </c>
      <c r="I153" s="16">
        <f>VLOOKUP(B:B,'[1]Master Sheet'!$B:$I,8,0)</f>
        <v>0</v>
      </c>
      <c r="J153" s="16"/>
      <c r="K153" s="3" t="s">
        <v>2982</v>
      </c>
      <c r="L153" s="3" t="s">
        <v>3060</v>
      </c>
      <c r="M153" s="3" t="s">
        <v>3058</v>
      </c>
      <c r="N153" s="3"/>
      <c r="O153" s="3"/>
    </row>
    <row r="154" spans="1:15" s="4" customFormat="1">
      <c r="A154" s="2">
        <v>153</v>
      </c>
      <c r="B154" s="3" t="s">
        <v>399</v>
      </c>
      <c r="C154" s="3" t="s">
        <v>400</v>
      </c>
      <c r="D154" s="2" t="s">
        <v>17</v>
      </c>
      <c r="E154" s="2" t="s">
        <v>8</v>
      </c>
      <c r="F154" s="16"/>
      <c r="G154" s="16"/>
      <c r="H154" s="16">
        <f>VLOOKUP(B:B,'[1]Master Sheet'!$B:$H,7,0)</f>
        <v>0</v>
      </c>
      <c r="I154" s="16">
        <f>VLOOKUP(B:B,'[1]Master Sheet'!$B:$I,8,0)</f>
        <v>0</v>
      </c>
      <c r="J154" s="16"/>
      <c r="K154" s="3" t="s">
        <v>2982</v>
      </c>
      <c r="L154" s="3" t="s">
        <v>3060</v>
      </c>
      <c r="M154" s="3" t="s">
        <v>3058</v>
      </c>
      <c r="N154" s="3"/>
      <c r="O154" s="3"/>
    </row>
    <row r="155" spans="1:15" s="4" customFormat="1">
      <c r="A155" s="2">
        <v>154</v>
      </c>
      <c r="B155" s="3" t="s">
        <v>401</v>
      </c>
      <c r="C155" s="3" t="s">
        <v>402</v>
      </c>
      <c r="D155" s="2" t="s">
        <v>17</v>
      </c>
      <c r="E155" s="2" t="s">
        <v>8</v>
      </c>
      <c r="F155" s="16"/>
      <c r="G155" s="16"/>
      <c r="H155" s="16">
        <f>VLOOKUP(B:B,'[1]Master Sheet'!$B:$H,7,0)</f>
        <v>0</v>
      </c>
      <c r="I155" s="16">
        <f>VLOOKUP(B:B,'[1]Master Sheet'!$B:$I,8,0)</f>
        <v>0</v>
      </c>
      <c r="J155" s="16"/>
      <c r="K155" s="3" t="s">
        <v>2972</v>
      </c>
      <c r="L155" s="3" t="s">
        <v>3055</v>
      </c>
      <c r="M155" s="3" t="s">
        <v>3056</v>
      </c>
      <c r="N155" s="3"/>
      <c r="O155" s="3"/>
    </row>
    <row r="156" spans="1:15" s="4" customFormat="1">
      <c r="A156" s="2">
        <v>155</v>
      </c>
      <c r="B156" s="3" t="s">
        <v>155</v>
      </c>
      <c r="C156" s="3" t="s">
        <v>156</v>
      </c>
      <c r="D156" s="2" t="s">
        <v>135</v>
      </c>
      <c r="E156" s="2" t="s">
        <v>8</v>
      </c>
      <c r="F156" s="16"/>
      <c r="G156" s="16"/>
      <c r="H156" s="16">
        <f>VLOOKUP(B:B,'[1]Master Sheet'!$B:$H,7,0)</f>
        <v>16</v>
      </c>
      <c r="I156" s="16">
        <f>VLOOKUP(B:B,'[1]Master Sheet'!$B:$I,8,0)</f>
        <v>0</v>
      </c>
      <c r="J156" s="16"/>
      <c r="K156" s="3" t="s">
        <v>2998</v>
      </c>
      <c r="L156" s="3" t="s">
        <v>3057</v>
      </c>
      <c r="M156" s="3" t="s">
        <v>3056</v>
      </c>
      <c r="N156" s="3"/>
      <c r="O156" s="3"/>
    </row>
    <row r="157" spans="1:15" s="4" customFormat="1">
      <c r="A157" s="2">
        <v>156</v>
      </c>
      <c r="B157" s="3" t="s">
        <v>405</v>
      </c>
      <c r="C157" s="3" t="s">
        <v>3024</v>
      </c>
      <c r="D157" s="2" t="s">
        <v>17</v>
      </c>
      <c r="E157" s="2" t="s">
        <v>8</v>
      </c>
      <c r="F157" s="16"/>
      <c r="G157" s="16"/>
      <c r="H157" s="16">
        <f>VLOOKUP(B:B,'[1]Master Sheet'!$B:$H,7,0)</f>
        <v>2000</v>
      </c>
      <c r="I157" s="16">
        <f>VLOOKUP(B:B,'[1]Master Sheet'!$B:$I,8,0)</f>
        <v>0</v>
      </c>
      <c r="J157" s="16"/>
      <c r="K157" s="3" t="s">
        <v>2972</v>
      </c>
      <c r="L157" s="3" t="s">
        <v>3055</v>
      </c>
      <c r="M157" s="3" t="s">
        <v>3056</v>
      </c>
      <c r="N157" s="3"/>
      <c r="O157" s="3"/>
    </row>
    <row r="158" spans="1:15" s="4" customFormat="1">
      <c r="A158" s="2">
        <v>157</v>
      </c>
      <c r="B158" s="3" t="s">
        <v>406</v>
      </c>
      <c r="C158" s="3" t="s">
        <v>407</v>
      </c>
      <c r="D158" s="2" t="s">
        <v>17</v>
      </c>
      <c r="E158" s="2" t="s">
        <v>8</v>
      </c>
      <c r="F158" s="16"/>
      <c r="G158" s="16"/>
      <c r="H158" s="16">
        <f>VLOOKUP(B:B,'[1]Master Sheet'!$B:$H,7,0)</f>
        <v>200</v>
      </c>
      <c r="I158" s="16">
        <f>VLOOKUP(B:B,'[1]Master Sheet'!$B:$I,8,0)</f>
        <v>500</v>
      </c>
      <c r="J158" s="16"/>
      <c r="K158" s="3" t="s">
        <v>2972</v>
      </c>
      <c r="L158" s="3" t="s">
        <v>3055</v>
      </c>
      <c r="M158" s="3" t="s">
        <v>3061</v>
      </c>
      <c r="N158" s="3"/>
      <c r="O158" s="3"/>
    </row>
    <row r="159" spans="1:15" s="4" customFormat="1">
      <c r="A159" s="2">
        <v>158</v>
      </c>
      <c r="B159" s="3" t="s">
        <v>159</v>
      </c>
      <c r="C159" s="3" t="s">
        <v>160</v>
      </c>
      <c r="D159" s="2" t="s">
        <v>17</v>
      </c>
      <c r="E159" s="2" t="s">
        <v>8</v>
      </c>
      <c r="F159" s="16"/>
      <c r="G159" s="16"/>
      <c r="H159" s="16">
        <f>VLOOKUP(B:B,'[1]Master Sheet'!$B:$H,7,0)</f>
        <v>0</v>
      </c>
      <c r="I159" s="16">
        <f>VLOOKUP(B:B,'[1]Master Sheet'!$B:$I,8,0)</f>
        <v>0</v>
      </c>
      <c r="J159" s="16"/>
      <c r="K159" s="3" t="s">
        <v>2972</v>
      </c>
      <c r="L159" s="3" t="s">
        <v>3057</v>
      </c>
      <c r="M159" s="3" t="s">
        <v>3056</v>
      </c>
      <c r="N159" s="3"/>
      <c r="O159" s="3"/>
    </row>
    <row r="160" spans="1:15" s="4" customFormat="1">
      <c r="A160" s="2">
        <v>159</v>
      </c>
      <c r="B160" s="3" t="s">
        <v>161</v>
      </c>
      <c r="C160" s="3" t="s">
        <v>162</v>
      </c>
      <c r="D160" s="2" t="s">
        <v>7</v>
      </c>
      <c r="E160" s="2" t="s">
        <v>8</v>
      </c>
      <c r="F160" s="16"/>
      <c r="G160" s="16"/>
      <c r="H160" s="16">
        <f>VLOOKUP(B:B,'[1]Master Sheet'!$B:$H,7,0)</f>
        <v>0</v>
      </c>
      <c r="I160" s="16">
        <f>VLOOKUP(B:B,'[1]Master Sheet'!$B:$I,8,0)</f>
        <v>0</v>
      </c>
      <c r="J160" s="16"/>
      <c r="K160" s="3" t="s">
        <v>2972</v>
      </c>
      <c r="L160" s="3" t="s">
        <v>3057</v>
      </c>
      <c r="M160" s="3" t="s">
        <v>3056</v>
      </c>
      <c r="N160" s="3"/>
      <c r="O160" s="3"/>
    </row>
    <row r="161" spans="1:15" s="4" customFormat="1">
      <c r="A161" s="2">
        <v>160</v>
      </c>
      <c r="B161" s="3" t="s">
        <v>163</v>
      </c>
      <c r="C161" s="3" t="s">
        <v>164</v>
      </c>
      <c r="D161" s="2" t="s">
        <v>7</v>
      </c>
      <c r="E161" s="2" t="s">
        <v>8</v>
      </c>
      <c r="F161" s="16"/>
      <c r="G161" s="16"/>
      <c r="H161" s="16">
        <f>VLOOKUP(B:B,'[1]Master Sheet'!$B:$H,7,0)</f>
        <v>36000</v>
      </c>
      <c r="I161" s="16">
        <f>VLOOKUP(B:B,'[1]Master Sheet'!$B:$I,8,0)</f>
        <v>14400</v>
      </c>
      <c r="J161" s="16"/>
      <c r="K161" s="3" t="s">
        <v>2972</v>
      </c>
      <c r="L161" s="3" t="s">
        <v>3057</v>
      </c>
      <c r="M161" s="3" t="s">
        <v>3056</v>
      </c>
      <c r="N161" s="3"/>
      <c r="O161" s="3"/>
    </row>
    <row r="162" spans="1:15" s="4" customFormat="1">
      <c r="A162" s="2">
        <v>161</v>
      </c>
      <c r="B162" s="3" t="s">
        <v>165</v>
      </c>
      <c r="C162" s="3" t="s">
        <v>166</v>
      </c>
      <c r="D162" s="2" t="s">
        <v>7</v>
      </c>
      <c r="E162" s="2" t="s">
        <v>8</v>
      </c>
      <c r="F162" s="16"/>
      <c r="G162" s="16"/>
      <c r="H162" s="16">
        <f>VLOOKUP(B:B,'[1]Master Sheet'!$B:$H,7,0)</f>
        <v>0</v>
      </c>
      <c r="I162" s="16">
        <f>VLOOKUP(B:B,'[1]Master Sheet'!$B:$I,8,0)</f>
        <v>0</v>
      </c>
      <c r="J162" s="16"/>
      <c r="K162" s="3" t="s">
        <v>2972</v>
      </c>
      <c r="L162" s="3" t="s">
        <v>3057</v>
      </c>
      <c r="M162" s="3" t="s">
        <v>3056</v>
      </c>
      <c r="N162" s="3"/>
      <c r="O162" s="3"/>
    </row>
    <row r="163" spans="1:15" s="4" customFormat="1">
      <c r="A163" s="2">
        <v>162</v>
      </c>
      <c r="B163" s="3" t="s">
        <v>169</v>
      </c>
      <c r="C163" s="3" t="s">
        <v>170</v>
      </c>
      <c r="D163" s="2" t="s">
        <v>7</v>
      </c>
      <c r="E163" s="2" t="s">
        <v>8</v>
      </c>
      <c r="F163" s="16"/>
      <c r="G163" s="16"/>
      <c r="H163" s="16">
        <f>VLOOKUP(B:B,'[1]Master Sheet'!$B:$H,7,0)</f>
        <v>0</v>
      </c>
      <c r="I163" s="16">
        <f>VLOOKUP(B:B,'[1]Master Sheet'!$B:$I,8,0)</f>
        <v>0</v>
      </c>
      <c r="J163" s="16"/>
      <c r="K163" s="3" t="s">
        <v>2972</v>
      </c>
      <c r="L163" s="3" t="s">
        <v>3057</v>
      </c>
      <c r="M163" s="3" t="s">
        <v>3056</v>
      </c>
      <c r="N163" s="3"/>
      <c r="O163" s="3"/>
    </row>
    <row r="164" spans="1:15" s="4" customFormat="1">
      <c r="A164" s="2">
        <v>163</v>
      </c>
      <c r="B164" s="3" t="s">
        <v>171</v>
      </c>
      <c r="C164" s="3" t="s">
        <v>172</v>
      </c>
      <c r="D164" s="2" t="s">
        <v>7</v>
      </c>
      <c r="E164" s="2" t="s">
        <v>8</v>
      </c>
      <c r="F164" s="16"/>
      <c r="G164" s="16"/>
      <c r="H164" s="16">
        <f>VLOOKUP(B:B,'[1]Master Sheet'!$B:$H,7,0)</f>
        <v>0</v>
      </c>
      <c r="I164" s="16">
        <f>VLOOKUP(B:B,'[1]Master Sheet'!$B:$I,8,0)</f>
        <v>0</v>
      </c>
      <c r="J164" s="16"/>
      <c r="K164" s="3" t="s">
        <v>2972</v>
      </c>
      <c r="L164" s="3" t="s">
        <v>3057</v>
      </c>
      <c r="M164" s="3" t="s">
        <v>3056</v>
      </c>
      <c r="N164" s="3"/>
      <c r="O164" s="3"/>
    </row>
    <row r="165" spans="1:15" s="4" customFormat="1">
      <c r="A165" s="2">
        <v>164</v>
      </c>
      <c r="B165" s="3" t="s">
        <v>175</v>
      </c>
      <c r="C165" s="3" t="s">
        <v>176</v>
      </c>
      <c r="D165" s="2" t="s">
        <v>7</v>
      </c>
      <c r="E165" s="2" t="s">
        <v>8</v>
      </c>
      <c r="F165" s="16"/>
      <c r="G165" s="16"/>
      <c r="H165" s="16">
        <f>VLOOKUP(B:B,'[1]Master Sheet'!$B:$H,7,0)</f>
        <v>9600</v>
      </c>
      <c r="I165" s="16">
        <f>VLOOKUP(B:B,'[1]Master Sheet'!$B:$I,8,0)</f>
        <v>12000</v>
      </c>
      <c r="J165" s="16"/>
      <c r="K165" s="3" t="s">
        <v>2972</v>
      </c>
      <c r="L165" s="3" t="s">
        <v>3057</v>
      </c>
      <c r="M165" s="3" t="s">
        <v>3056</v>
      </c>
      <c r="N165" s="3"/>
      <c r="O165" s="3"/>
    </row>
    <row r="166" spans="1:15" s="4" customFormat="1">
      <c r="A166" s="2">
        <v>165</v>
      </c>
      <c r="B166" s="3" t="s">
        <v>179</v>
      </c>
      <c r="C166" s="3" t="s">
        <v>180</v>
      </c>
      <c r="D166" s="2" t="s">
        <v>7</v>
      </c>
      <c r="E166" s="2" t="s">
        <v>8</v>
      </c>
      <c r="F166" s="16"/>
      <c r="G166" s="16"/>
      <c r="H166" s="16">
        <f>VLOOKUP(B:B,'[1]Master Sheet'!$B:$H,7,0)</f>
        <v>4800</v>
      </c>
      <c r="I166" s="16">
        <f>VLOOKUP(B:B,'[1]Master Sheet'!$B:$I,8,0)</f>
        <v>0</v>
      </c>
      <c r="J166" s="16"/>
      <c r="K166" s="3" t="s">
        <v>2972</v>
      </c>
      <c r="L166" s="3" t="s">
        <v>3057</v>
      </c>
      <c r="M166" s="3" t="s">
        <v>3056</v>
      </c>
      <c r="N166" s="3"/>
      <c r="O166" s="3"/>
    </row>
    <row r="167" spans="1:15" s="4" customFormat="1">
      <c r="A167" s="2">
        <v>166</v>
      </c>
      <c r="B167" s="3" t="s">
        <v>185</v>
      </c>
      <c r="C167" s="3" t="s">
        <v>186</v>
      </c>
      <c r="D167" s="2" t="s">
        <v>7</v>
      </c>
      <c r="E167" s="2" t="s">
        <v>8</v>
      </c>
      <c r="F167" s="16"/>
      <c r="G167" s="16"/>
      <c r="H167" s="16">
        <f>VLOOKUP(B:B,'[1]Master Sheet'!$B:$H,7,0)</f>
        <v>0</v>
      </c>
      <c r="I167" s="16">
        <f>VLOOKUP(B:B,'[1]Master Sheet'!$B:$I,8,0)</f>
        <v>0</v>
      </c>
      <c r="J167" s="16"/>
      <c r="K167" s="3" t="s">
        <v>2991</v>
      </c>
      <c r="L167" s="3" t="s">
        <v>3057</v>
      </c>
      <c r="M167" s="3" t="s">
        <v>3056</v>
      </c>
      <c r="N167" s="3"/>
      <c r="O167" s="3"/>
    </row>
    <row r="168" spans="1:15" s="4" customFormat="1">
      <c r="A168" s="2">
        <v>167</v>
      </c>
      <c r="B168" s="3" t="s">
        <v>428</v>
      </c>
      <c r="C168" s="3" t="s">
        <v>429</v>
      </c>
      <c r="D168" s="2" t="s">
        <v>17</v>
      </c>
      <c r="E168" s="2" t="s">
        <v>8</v>
      </c>
      <c r="F168" s="16"/>
      <c r="G168" s="16"/>
      <c r="H168" s="16">
        <f>VLOOKUP(B:B,'[1]Master Sheet'!$B:$H,7,0)</f>
        <v>250</v>
      </c>
      <c r="I168" s="16">
        <f>VLOOKUP(B:B,'[1]Master Sheet'!$B:$I,8,0)</f>
        <v>0</v>
      </c>
      <c r="J168" s="16"/>
      <c r="K168" s="3" t="s">
        <v>2982</v>
      </c>
      <c r="L168" s="3" t="s">
        <v>3060</v>
      </c>
      <c r="M168" s="3" t="s">
        <v>3058</v>
      </c>
      <c r="N168" s="3"/>
      <c r="O168" s="3"/>
    </row>
    <row r="169" spans="1:15" s="4" customFormat="1">
      <c r="A169" s="2">
        <v>168</v>
      </c>
      <c r="B169" s="3" t="s">
        <v>233</v>
      </c>
      <c r="C169" s="3" t="s">
        <v>234</v>
      </c>
      <c r="D169" s="2" t="s">
        <v>20</v>
      </c>
      <c r="E169" s="2" t="s">
        <v>8</v>
      </c>
      <c r="F169" s="16"/>
      <c r="G169" s="16"/>
      <c r="H169" s="16">
        <f>VLOOKUP(B:B,'[1]Master Sheet'!$B:$H,7,0)</f>
        <v>0</v>
      </c>
      <c r="I169" s="16">
        <f>VLOOKUP(B:B,'[1]Master Sheet'!$B:$I,8,0)</f>
        <v>0</v>
      </c>
      <c r="J169" s="16"/>
      <c r="K169" s="3" t="s">
        <v>3036</v>
      </c>
      <c r="L169" s="3" t="s">
        <v>3057</v>
      </c>
      <c r="M169" s="3" t="s">
        <v>3056</v>
      </c>
      <c r="N169" s="3"/>
      <c r="O169" s="3"/>
    </row>
    <row r="170" spans="1:15" s="4" customFormat="1">
      <c r="A170" s="2">
        <v>169</v>
      </c>
      <c r="B170" s="3" t="s">
        <v>239</v>
      </c>
      <c r="C170" s="3" t="s">
        <v>240</v>
      </c>
      <c r="D170" s="2" t="s">
        <v>135</v>
      </c>
      <c r="E170" s="2" t="s">
        <v>8</v>
      </c>
      <c r="F170" s="16"/>
      <c r="G170" s="16"/>
      <c r="H170" s="16">
        <f>VLOOKUP(B:B,'[1]Master Sheet'!$B:$H,7,0)</f>
        <v>200</v>
      </c>
      <c r="I170" s="16">
        <f>VLOOKUP(B:B,'[1]Master Sheet'!$B:$I,8,0)</f>
        <v>0</v>
      </c>
      <c r="J170" s="16"/>
      <c r="K170" s="3" t="s">
        <v>3008</v>
      </c>
      <c r="L170" s="3" t="s">
        <v>3057</v>
      </c>
      <c r="M170" s="3" t="s">
        <v>3056</v>
      </c>
      <c r="N170" s="3"/>
      <c r="O170" s="3"/>
    </row>
    <row r="171" spans="1:15" s="4" customFormat="1">
      <c r="A171" s="2">
        <v>170</v>
      </c>
      <c r="B171" s="3" t="s">
        <v>249</v>
      </c>
      <c r="C171" s="3" t="s">
        <v>250</v>
      </c>
      <c r="D171" s="2" t="s">
        <v>17</v>
      </c>
      <c r="E171" s="2" t="s">
        <v>8</v>
      </c>
      <c r="F171" s="16"/>
      <c r="G171" s="16"/>
      <c r="H171" s="16">
        <f>VLOOKUP(B:B,'[1]Master Sheet'!$B:$H,7,0)</f>
        <v>500</v>
      </c>
      <c r="I171" s="16">
        <f>VLOOKUP(B:B,'[1]Master Sheet'!$B:$I,8,0)</f>
        <v>0</v>
      </c>
      <c r="J171" s="16"/>
      <c r="K171" s="3" t="s">
        <v>2972</v>
      </c>
      <c r="L171" s="3" t="s">
        <v>3057</v>
      </c>
      <c r="M171" s="3" t="s">
        <v>3058</v>
      </c>
      <c r="N171" s="3"/>
      <c r="O171" s="3"/>
    </row>
    <row r="172" spans="1:15" s="4" customFormat="1">
      <c r="A172" s="2">
        <v>171</v>
      </c>
      <c r="B172" s="3" t="s">
        <v>251</v>
      </c>
      <c r="C172" s="3" t="s">
        <v>252</v>
      </c>
      <c r="D172" s="2" t="s">
        <v>17</v>
      </c>
      <c r="E172" s="2" t="s">
        <v>8</v>
      </c>
      <c r="F172" s="16"/>
      <c r="G172" s="16"/>
      <c r="H172" s="16">
        <f>VLOOKUP(B:B,'[1]Master Sheet'!$B:$H,7,0)</f>
        <v>300</v>
      </c>
      <c r="I172" s="16">
        <f>VLOOKUP(B:B,'[1]Master Sheet'!$B:$I,8,0)</f>
        <v>0</v>
      </c>
      <c r="J172" s="16"/>
      <c r="K172" s="3" t="s">
        <v>2991</v>
      </c>
      <c r="L172" s="3" t="s">
        <v>3057</v>
      </c>
      <c r="M172" s="3" t="s">
        <v>3058</v>
      </c>
      <c r="N172" s="3"/>
      <c r="O172" s="3"/>
    </row>
    <row r="173" spans="1:15" s="4" customFormat="1">
      <c r="A173" s="2">
        <v>172</v>
      </c>
      <c r="B173" s="3" t="s">
        <v>253</v>
      </c>
      <c r="C173" s="3" t="s">
        <v>254</v>
      </c>
      <c r="D173" s="2" t="s">
        <v>17</v>
      </c>
      <c r="E173" s="2" t="s">
        <v>8</v>
      </c>
      <c r="F173" s="16"/>
      <c r="G173" s="16"/>
      <c r="H173" s="16">
        <f>VLOOKUP(B:B,'[1]Master Sheet'!$B:$H,7,0)</f>
        <v>150</v>
      </c>
      <c r="I173" s="16">
        <f>VLOOKUP(B:B,'[1]Master Sheet'!$B:$I,8,0)</f>
        <v>0</v>
      </c>
      <c r="J173" s="16"/>
      <c r="K173" s="3" t="s">
        <v>2991</v>
      </c>
      <c r="L173" s="3" t="s">
        <v>3057</v>
      </c>
      <c r="M173" s="3" t="s">
        <v>3056</v>
      </c>
      <c r="N173" s="3"/>
      <c r="O173" s="3"/>
    </row>
    <row r="174" spans="1:15" s="4" customFormat="1">
      <c r="A174" s="2">
        <v>173</v>
      </c>
      <c r="B174" s="3" t="s">
        <v>255</v>
      </c>
      <c r="C174" s="3" t="s">
        <v>256</v>
      </c>
      <c r="D174" s="2" t="s">
        <v>17</v>
      </c>
      <c r="E174" s="2" t="s">
        <v>8</v>
      </c>
      <c r="F174" s="16"/>
      <c r="G174" s="16"/>
      <c r="H174" s="16">
        <f>VLOOKUP(B:B,'[1]Master Sheet'!$B:$H,7,0)</f>
        <v>0</v>
      </c>
      <c r="I174" s="16">
        <f>VLOOKUP(B:B,'[1]Master Sheet'!$B:$I,8,0)</f>
        <v>0</v>
      </c>
      <c r="J174" s="16"/>
      <c r="K174" s="3" t="s">
        <v>2972</v>
      </c>
      <c r="L174" s="3" t="s">
        <v>3057</v>
      </c>
      <c r="M174" s="3" t="s">
        <v>3056</v>
      </c>
      <c r="N174" s="3"/>
      <c r="O174" s="3"/>
    </row>
    <row r="175" spans="1:15" s="4" customFormat="1">
      <c r="A175" s="2">
        <v>174</v>
      </c>
      <c r="B175" s="3" t="s">
        <v>444</v>
      </c>
      <c r="C175" s="3" t="s">
        <v>445</v>
      </c>
      <c r="D175" s="2" t="s">
        <v>17</v>
      </c>
      <c r="E175" s="2" t="s">
        <v>8</v>
      </c>
      <c r="F175" s="16"/>
      <c r="G175" s="16"/>
      <c r="H175" s="16">
        <f>VLOOKUP(B:B,'[1]Master Sheet'!$B:$H,7,0)</f>
        <v>500</v>
      </c>
      <c r="I175" s="16">
        <f>VLOOKUP(B:B,'[1]Master Sheet'!$B:$I,8,0)</f>
        <v>0</v>
      </c>
      <c r="J175" s="16"/>
      <c r="K175" s="3" t="s">
        <v>2972</v>
      </c>
      <c r="L175" s="3" t="s">
        <v>3055</v>
      </c>
      <c r="M175" s="3" t="s">
        <v>3061</v>
      </c>
      <c r="N175" s="3"/>
      <c r="O175" s="3"/>
    </row>
    <row r="176" spans="1:15" s="4" customFormat="1">
      <c r="A176" s="2">
        <v>175</v>
      </c>
      <c r="B176" s="3" t="s">
        <v>446</v>
      </c>
      <c r="C176" s="3" t="s">
        <v>447</v>
      </c>
      <c r="D176" s="2" t="s">
        <v>17</v>
      </c>
      <c r="E176" s="2" t="s">
        <v>8</v>
      </c>
      <c r="F176" s="16"/>
      <c r="G176" s="16"/>
      <c r="H176" s="16">
        <f>VLOOKUP(B:B,'[1]Master Sheet'!$B:$H,7,0)</f>
        <v>1000</v>
      </c>
      <c r="I176" s="16">
        <f>VLOOKUP(B:B,'[1]Master Sheet'!$B:$I,8,0)</f>
        <v>0</v>
      </c>
      <c r="J176" s="16"/>
      <c r="K176" s="3" t="s">
        <v>2972</v>
      </c>
      <c r="L176" s="3" t="s">
        <v>3055</v>
      </c>
      <c r="M176" s="3" t="s">
        <v>3061</v>
      </c>
      <c r="N176" s="3"/>
      <c r="O176" s="3"/>
    </row>
    <row r="177" spans="1:15" s="4" customFormat="1">
      <c r="A177" s="2">
        <v>176</v>
      </c>
      <c r="B177" s="3" t="s">
        <v>448</v>
      </c>
      <c r="C177" s="3" t="s">
        <v>449</v>
      </c>
      <c r="D177" s="2" t="s">
        <v>17</v>
      </c>
      <c r="E177" s="2" t="s">
        <v>8</v>
      </c>
      <c r="F177" s="16"/>
      <c r="G177" s="16"/>
      <c r="H177" s="16">
        <f>VLOOKUP(B:B,'[1]Master Sheet'!$B:$H,7,0)</f>
        <v>0</v>
      </c>
      <c r="I177" s="16">
        <f>VLOOKUP(B:B,'[1]Master Sheet'!$B:$I,8,0)</f>
        <v>0</v>
      </c>
      <c r="J177" s="16"/>
      <c r="K177" s="3" t="s">
        <v>2972</v>
      </c>
      <c r="L177" s="3" t="s">
        <v>3055</v>
      </c>
      <c r="M177" s="3" t="s">
        <v>3061</v>
      </c>
      <c r="N177" s="3"/>
      <c r="O177" s="3"/>
    </row>
    <row r="178" spans="1:15" s="4" customFormat="1">
      <c r="A178" s="2">
        <v>177</v>
      </c>
      <c r="B178" s="3" t="s">
        <v>450</v>
      </c>
      <c r="C178" s="3" t="s">
        <v>451</v>
      </c>
      <c r="D178" s="2" t="s">
        <v>17</v>
      </c>
      <c r="E178" s="2" t="s">
        <v>8</v>
      </c>
      <c r="F178" s="16"/>
      <c r="G178" s="16"/>
      <c r="H178" s="16">
        <f>VLOOKUP(B:B,'[1]Master Sheet'!$B:$H,7,0)</f>
        <v>0</v>
      </c>
      <c r="I178" s="16">
        <f>VLOOKUP(B:B,'[1]Master Sheet'!$B:$I,8,0)</f>
        <v>0</v>
      </c>
      <c r="J178" s="16"/>
      <c r="K178" s="3" t="s">
        <v>2972</v>
      </c>
      <c r="L178" s="3" t="s">
        <v>3055</v>
      </c>
      <c r="M178" s="3" t="s">
        <v>3061</v>
      </c>
      <c r="N178" s="3"/>
      <c r="O178" s="3"/>
    </row>
    <row r="179" spans="1:15" s="4" customFormat="1">
      <c r="A179" s="2">
        <v>178</v>
      </c>
      <c r="B179" s="3" t="s">
        <v>452</v>
      </c>
      <c r="C179" s="3" t="s">
        <v>453</v>
      </c>
      <c r="D179" s="2" t="s">
        <v>17</v>
      </c>
      <c r="E179" s="2" t="s">
        <v>8</v>
      </c>
      <c r="F179" s="16"/>
      <c r="G179" s="16"/>
      <c r="H179" s="16">
        <f>VLOOKUP(B:B,'[1]Master Sheet'!$B:$H,7,0)</f>
        <v>0</v>
      </c>
      <c r="I179" s="16">
        <f>VLOOKUP(B:B,'[1]Master Sheet'!$B:$I,8,0)</f>
        <v>0</v>
      </c>
      <c r="J179" s="16"/>
      <c r="K179" s="3" t="s">
        <v>2972</v>
      </c>
      <c r="L179" s="3" t="s">
        <v>3055</v>
      </c>
      <c r="M179" s="3" t="s">
        <v>3061</v>
      </c>
      <c r="N179" s="3"/>
      <c r="O179" s="3"/>
    </row>
    <row r="180" spans="1:15" s="4" customFormat="1">
      <c r="A180" s="2">
        <v>179</v>
      </c>
      <c r="B180" s="3" t="s">
        <v>454</v>
      </c>
      <c r="C180" s="3" t="s">
        <v>455</v>
      </c>
      <c r="D180" s="2" t="s">
        <v>17</v>
      </c>
      <c r="E180" s="2" t="s">
        <v>8</v>
      </c>
      <c r="F180" s="16"/>
      <c r="G180" s="16"/>
      <c r="H180" s="16">
        <f>VLOOKUP(B:B,'[1]Master Sheet'!$B:$H,7,0)</f>
        <v>0</v>
      </c>
      <c r="I180" s="16">
        <f>VLOOKUP(B:B,'[1]Master Sheet'!$B:$I,8,0)</f>
        <v>0</v>
      </c>
      <c r="J180" s="16"/>
      <c r="K180" s="3" t="s">
        <v>2972</v>
      </c>
      <c r="L180" s="3" t="s">
        <v>3055</v>
      </c>
      <c r="M180" s="3" t="s">
        <v>3061</v>
      </c>
      <c r="N180" s="3"/>
      <c r="O180" s="3"/>
    </row>
    <row r="181" spans="1:15" s="4" customFormat="1">
      <c r="A181" s="2">
        <v>180</v>
      </c>
      <c r="B181" s="3" t="s">
        <v>456</v>
      </c>
      <c r="C181" s="3" t="s">
        <v>457</v>
      </c>
      <c r="D181" s="2" t="s">
        <v>17</v>
      </c>
      <c r="E181" s="2" t="s">
        <v>8</v>
      </c>
      <c r="F181" s="16"/>
      <c r="G181" s="16"/>
      <c r="H181" s="16">
        <f>VLOOKUP(B:B,'[1]Master Sheet'!$B:$H,7,0)</f>
        <v>0</v>
      </c>
      <c r="I181" s="16">
        <f>VLOOKUP(B:B,'[1]Master Sheet'!$B:$I,8,0)</f>
        <v>0</v>
      </c>
      <c r="J181" s="16"/>
      <c r="K181" s="3" t="s">
        <v>2972</v>
      </c>
      <c r="L181" s="3" t="s">
        <v>3055</v>
      </c>
      <c r="M181" s="3" t="s">
        <v>3061</v>
      </c>
      <c r="N181" s="3"/>
      <c r="O181" s="3"/>
    </row>
    <row r="182" spans="1:15" s="4" customFormat="1">
      <c r="A182" s="2">
        <v>181</v>
      </c>
      <c r="B182" s="3" t="s">
        <v>458</v>
      </c>
      <c r="C182" s="3" t="s">
        <v>459</v>
      </c>
      <c r="D182" s="2" t="s">
        <v>17</v>
      </c>
      <c r="E182" s="2" t="s">
        <v>8</v>
      </c>
      <c r="F182" s="16"/>
      <c r="G182" s="16"/>
      <c r="H182" s="16">
        <f>VLOOKUP(B:B,'[1]Master Sheet'!$B:$H,7,0)</f>
        <v>0</v>
      </c>
      <c r="I182" s="16">
        <f>VLOOKUP(B:B,'[1]Master Sheet'!$B:$I,8,0)</f>
        <v>0</v>
      </c>
      <c r="J182" s="16"/>
      <c r="K182" s="3" t="s">
        <v>2972</v>
      </c>
      <c r="L182" s="3" t="s">
        <v>3055</v>
      </c>
      <c r="M182" s="3" t="s">
        <v>3061</v>
      </c>
      <c r="N182" s="3"/>
      <c r="O182" s="3"/>
    </row>
    <row r="183" spans="1:15" s="4" customFormat="1">
      <c r="A183" s="2">
        <v>182</v>
      </c>
      <c r="B183" s="3" t="s">
        <v>460</v>
      </c>
      <c r="C183" s="3" t="s">
        <v>461</v>
      </c>
      <c r="D183" s="2" t="s">
        <v>17</v>
      </c>
      <c r="E183" s="2" t="s">
        <v>8</v>
      </c>
      <c r="F183" s="16"/>
      <c r="G183" s="16"/>
      <c r="H183" s="16">
        <f>VLOOKUP(B:B,'[1]Master Sheet'!$B:$H,7,0)</f>
        <v>0</v>
      </c>
      <c r="I183" s="16">
        <f>VLOOKUP(B:B,'[1]Master Sheet'!$B:$I,8,0)</f>
        <v>0</v>
      </c>
      <c r="J183" s="16"/>
      <c r="K183" s="3" t="s">
        <v>2972</v>
      </c>
      <c r="L183" s="3" t="s">
        <v>3055</v>
      </c>
      <c r="M183" s="3" t="s">
        <v>3061</v>
      </c>
      <c r="N183" s="3"/>
      <c r="O183" s="3"/>
    </row>
    <row r="184" spans="1:15" s="4" customFormat="1">
      <c r="A184" s="2">
        <v>183</v>
      </c>
      <c r="B184" s="3" t="s">
        <v>462</v>
      </c>
      <c r="C184" s="3" t="s">
        <v>463</v>
      </c>
      <c r="D184" s="2" t="s">
        <v>17</v>
      </c>
      <c r="E184" s="2" t="s">
        <v>8</v>
      </c>
      <c r="F184" s="16"/>
      <c r="G184" s="16"/>
      <c r="H184" s="16">
        <f>VLOOKUP(B:B,'[1]Master Sheet'!$B:$H,7,0)</f>
        <v>0</v>
      </c>
      <c r="I184" s="16">
        <f>VLOOKUP(B:B,'[1]Master Sheet'!$B:$I,8,0)</f>
        <v>0</v>
      </c>
      <c r="J184" s="16"/>
      <c r="K184" s="3" t="s">
        <v>2972</v>
      </c>
      <c r="L184" s="3" t="s">
        <v>3055</v>
      </c>
      <c r="M184" s="3" t="s">
        <v>3061</v>
      </c>
      <c r="N184" s="3"/>
      <c r="O184" s="3"/>
    </row>
    <row r="185" spans="1:15" s="4" customFormat="1">
      <c r="A185" s="2">
        <v>184</v>
      </c>
      <c r="B185" s="3" t="s">
        <v>464</v>
      </c>
      <c r="C185" s="3" t="s">
        <v>465</v>
      </c>
      <c r="D185" s="2" t="s">
        <v>17</v>
      </c>
      <c r="E185" s="2" t="s">
        <v>8</v>
      </c>
      <c r="F185" s="16"/>
      <c r="G185" s="16"/>
      <c r="H185" s="16">
        <f>VLOOKUP(B:B,'[1]Master Sheet'!$B:$H,7,0)</f>
        <v>0</v>
      </c>
      <c r="I185" s="16">
        <f>VLOOKUP(B:B,'[1]Master Sheet'!$B:$I,8,0)</f>
        <v>0</v>
      </c>
      <c r="J185" s="16"/>
      <c r="K185" s="3" t="s">
        <v>2972</v>
      </c>
      <c r="L185" s="3" t="s">
        <v>3055</v>
      </c>
      <c r="M185" s="3" t="s">
        <v>3061</v>
      </c>
      <c r="N185" s="3"/>
      <c r="O185" s="3"/>
    </row>
    <row r="186" spans="1:15" s="4" customFormat="1">
      <c r="A186" s="2">
        <v>185</v>
      </c>
      <c r="B186" s="3" t="s">
        <v>466</v>
      </c>
      <c r="C186" s="3" t="s">
        <v>467</v>
      </c>
      <c r="D186" s="2" t="s">
        <v>17</v>
      </c>
      <c r="E186" s="2" t="s">
        <v>8</v>
      </c>
      <c r="F186" s="16"/>
      <c r="G186" s="16"/>
      <c r="H186" s="16">
        <f>VLOOKUP(B:B,'[1]Master Sheet'!$B:$H,7,0)</f>
        <v>0</v>
      </c>
      <c r="I186" s="16">
        <f>VLOOKUP(B:B,'[1]Master Sheet'!$B:$I,8,0)</f>
        <v>0</v>
      </c>
      <c r="J186" s="16"/>
      <c r="K186" s="3" t="s">
        <v>2972</v>
      </c>
      <c r="L186" s="3" t="s">
        <v>3055</v>
      </c>
      <c r="M186" s="3" t="s">
        <v>3061</v>
      </c>
      <c r="N186" s="3"/>
      <c r="O186" s="3"/>
    </row>
    <row r="187" spans="1:15" s="4" customFormat="1">
      <c r="A187" s="2">
        <v>186</v>
      </c>
      <c r="B187" s="3" t="s">
        <v>468</v>
      </c>
      <c r="C187" s="3" t="s">
        <v>469</v>
      </c>
      <c r="D187" s="2" t="s">
        <v>17</v>
      </c>
      <c r="E187" s="2" t="s">
        <v>8</v>
      </c>
      <c r="F187" s="16"/>
      <c r="G187" s="16"/>
      <c r="H187" s="16">
        <f>VLOOKUP(B:B,'[1]Master Sheet'!$B:$H,7,0)</f>
        <v>0</v>
      </c>
      <c r="I187" s="16">
        <f>VLOOKUP(B:B,'[1]Master Sheet'!$B:$I,8,0)</f>
        <v>0</v>
      </c>
      <c r="J187" s="16"/>
      <c r="K187" s="3" t="s">
        <v>2972</v>
      </c>
      <c r="L187" s="3" t="s">
        <v>3055</v>
      </c>
      <c r="M187" s="3" t="s">
        <v>3061</v>
      </c>
      <c r="N187" s="3"/>
      <c r="O187" s="3"/>
    </row>
    <row r="188" spans="1:15" s="4" customFormat="1">
      <c r="A188" s="2">
        <v>187</v>
      </c>
      <c r="B188" s="3" t="s">
        <v>470</v>
      </c>
      <c r="C188" s="3" t="s">
        <v>471</v>
      </c>
      <c r="D188" s="2" t="s">
        <v>17</v>
      </c>
      <c r="E188" s="2" t="s">
        <v>8</v>
      </c>
      <c r="F188" s="16"/>
      <c r="G188" s="16"/>
      <c r="H188" s="16">
        <f>VLOOKUP(B:B,'[1]Master Sheet'!$B:$H,7,0)</f>
        <v>0</v>
      </c>
      <c r="I188" s="16">
        <f>VLOOKUP(B:B,'[1]Master Sheet'!$B:$I,8,0)</f>
        <v>0</v>
      </c>
      <c r="J188" s="16"/>
      <c r="K188" s="3" t="s">
        <v>2972</v>
      </c>
      <c r="L188" s="3" t="s">
        <v>3055</v>
      </c>
      <c r="M188" s="3" t="s">
        <v>3061</v>
      </c>
      <c r="N188" s="3"/>
      <c r="O188" s="3"/>
    </row>
    <row r="189" spans="1:15" s="4" customFormat="1">
      <c r="A189" s="2">
        <v>188</v>
      </c>
      <c r="B189" s="3" t="s">
        <v>257</v>
      </c>
      <c r="C189" s="3" t="s">
        <v>258</v>
      </c>
      <c r="D189" s="2" t="s">
        <v>17</v>
      </c>
      <c r="E189" s="2" t="s">
        <v>8</v>
      </c>
      <c r="F189" s="16"/>
      <c r="G189" s="16"/>
      <c r="H189" s="16">
        <f>VLOOKUP(B:B,'[1]Master Sheet'!$B:$H,7,0)</f>
        <v>0</v>
      </c>
      <c r="I189" s="16">
        <f>VLOOKUP(B:B,'[1]Master Sheet'!$B:$I,8,0)</f>
        <v>0</v>
      </c>
      <c r="J189" s="16"/>
      <c r="K189" s="3" t="s">
        <v>2998</v>
      </c>
      <c r="L189" s="3" t="s">
        <v>3057</v>
      </c>
      <c r="M189" s="3" t="s">
        <v>3056</v>
      </c>
      <c r="N189" s="3"/>
      <c r="O189" s="3"/>
    </row>
    <row r="190" spans="1:15" s="4" customFormat="1">
      <c r="A190" s="2">
        <v>189</v>
      </c>
      <c r="B190" s="3" t="s">
        <v>474</v>
      </c>
      <c r="C190" s="3" t="s">
        <v>475</v>
      </c>
      <c r="D190" s="2" t="s">
        <v>20</v>
      </c>
      <c r="E190" s="2" t="s">
        <v>8</v>
      </c>
      <c r="F190" s="16"/>
      <c r="G190" s="16"/>
      <c r="H190" s="16">
        <f>VLOOKUP(B:B,'[1]Master Sheet'!$B:$H,7,0)</f>
        <v>6000</v>
      </c>
      <c r="I190" s="16">
        <f>VLOOKUP(B:B,'[1]Master Sheet'!$B:$I,8,0)</f>
        <v>15000</v>
      </c>
      <c r="J190" s="16"/>
      <c r="K190" s="3" t="s">
        <v>2965</v>
      </c>
      <c r="L190" s="3" t="s">
        <v>3060</v>
      </c>
      <c r="M190" s="3" t="s">
        <v>3058</v>
      </c>
      <c r="N190" s="3"/>
      <c r="O190" s="3"/>
    </row>
    <row r="191" spans="1:15" s="4" customFormat="1">
      <c r="A191" s="2">
        <v>190</v>
      </c>
      <c r="B191" s="3" t="s">
        <v>478</v>
      </c>
      <c r="C191" s="3" t="s">
        <v>479</v>
      </c>
      <c r="D191" s="2" t="s">
        <v>20</v>
      </c>
      <c r="E191" s="2" t="s">
        <v>8</v>
      </c>
      <c r="F191" s="16"/>
      <c r="G191" s="16"/>
      <c r="H191" s="16">
        <f>VLOOKUP(B:B,'[1]Master Sheet'!$B:$H,7,0)</f>
        <v>0</v>
      </c>
      <c r="I191" s="16">
        <f>VLOOKUP(B:B,'[1]Master Sheet'!$B:$I,8,0)</f>
        <v>0</v>
      </c>
      <c r="J191" s="16"/>
      <c r="K191" s="3" t="s">
        <v>3006</v>
      </c>
      <c r="L191" s="3" t="s">
        <v>3060</v>
      </c>
      <c r="M191" s="3" t="s">
        <v>3058</v>
      </c>
      <c r="N191" s="3"/>
      <c r="O191" s="3"/>
    </row>
    <row r="192" spans="1:15" s="4" customFormat="1">
      <c r="A192" s="2">
        <v>191</v>
      </c>
      <c r="B192" s="3" t="s">
        <v>259</v>
      </c>
      <c r="C192" s="3" t="s">
        <v>260</v>
      </c>
      <c r="D192" s="2" t="s">
        <v>17</v>
      </c>
      <c r="E192" s="2" t="s">
        <v>8</v>
      </c>
      <c r="F192" s="16"/>
      <c r="G192" s="16"/>
      <c r="H192" s="16">
        <f>VLOOKUP(B:B,'[1]Master Sheet'!$B:$H,7,0)</f>
        <v>100</v>
      </c>
      <c r="I192" s="16">
        <f>VLOOKUP(B:B,'[1]Master Sheet'!$B:$I,8,0)</f>
        <v>0</v>
      </c>
      <c r="J192" s="16"/>
      <c r="K192" s="3" t="s">
        <v>2972</v>
      </c>
      <c r="L192" s="3" t="s">
        <v>3057</v>
      </c>
      <c r="M192" s="3" t="s">
        <v>3058</v>
      </c>
      <c r="N192" s="3"/>
      <c r="O192" s="3"/>
    </row>
    <row r="193" spans="1:15" s="4" customFormat="1">
      <c r="A193" s="2">
        <v>192</v>
      </c>
      <c r="B193" s="3" t="s">
        <v>275</v>
      </c>
      <c r="C193" s="3" t="s">
        <v>276</v>
      </c>
      <c r="D193" s="2" t="s">
        <v>17</v>
      </c>
      <c r="E193" s="2" t="s">
        <v>8</v>
      </c>
      <c r="F193" s="16"/>
      <c r="G193" s="16"/>
      <c r="H193" s="16">
        <f>VLOOKUP(B:B,'[1]Master Sheet'!$B:$H,7,0)</f>
        <v>1500</v>
      </c>
      <c r="I193" s="16">
        <f>VLOOKUP(B:B,'[1]Master Sheet'!$B:$I,8,0)</f>
        <v>0</v>
      </c>
      <c r="J193" s="16"/>
      <c r="K193" s="3" t="s">
        <v>2972</v>
      </c>
      <c r="L193" s="3" t="s">
        <v>3057</v>
      </c>
      <c r="M193" s="3" t="s">
        <v>3058</v>
      </c>
      <c r="N193" s="3"/>
      <c r="O193" s="3"/>
    </row>
    <row r="194" spans="1:15" s="4" customFormat="1">
      <c r="A194" s="2">
        <v>193</v>
      </c>
      <c r="B194" s="3" t="s">
        <v>277</v>
      </c>
      <c r="C194" s="3" t="s">
        <v>278</v>
      </c>
      <c r="D194" s="2" t="s">
        <v>17</v>
      </c>
      <c r="E194" s="2" t="s">
        <v>8</v>
      </c>
      <c r="F194" s="16"/>
      <c r="G194" s="16"/>
      <c r="H194" s="16">
        <f>VLOOKUP(B:B,'[1]Master Sheet'!$B:$H,7,0)</f>
        <v>0</v>
      </c>
      <c r="I194" s="16">
        <f>VLOOKUP(B:B,'[1]Master Sheet'!$B:$I,8,0)</f>
        <v>0</v>
      </c>
      <c r="J194" s="16"/>
      <c r="K194" s="3" t="s">
        <v>2991</v>
      </c>
      <c r="L194" s="3" t="s">
        <v>3057</v>
      </c>
      <c r="M194" s="3" t="s">
        <v>3056</v>
      </c>
      <c r="N194" s="3"/>
      <c r="O194" s="3"/>
    </row>
    <row r="195" spans="1:15" s="4" customFormat="1">
      <c r="A195" s="2">
        <v>194</v>
      </c>
      <c r="B195" s="3" t="s">
        <v>488</v>
      </c>
      <c r="C195" s="3" t="s">
        <v>489</v>
      </c>
      <c r="D195" s="2" t="s">
        <v>17</v>
      </c>
      <c r="E195" s="2" t="s">
        <v>8</v>
      </c>
      <c r="F195" s="16"/>
      <c r="G195" s="16"/>
      <c r="H195" s="16">
        <f>VLOOKUP(B:B,'[1]Master Sheet'!$B:$H,7,0)</f>
        <v>0</v>
      </c>
      <c r="I195" s="16">
        <f>VLOOKUP(B:B,'[1]Master Sheet'!$B:$I,8,0)</f>
        <v>0</v>
      </c>
      <c r="J195" s="16"/>
      <c r="K195" s="3" t="s">
        <v>2972</v>
      </c>
      <c r="L195" s="3" t="s">
        <v>3055</v>
      </c>
      <c r="M195" s="3" t="s">
        <v>3056</v>
      </c>
      <c r="N195" s="3"/>
      <c r="O195" s="3"/>
    </row>
    <row r="196" spans="1:15" s="4" customFormat="1">
      <c r="A196" s="2">
        <v>195</v>
      </c>
      <c r="B196" s="3" t="s">
        <v>281</v>
      </c>
      <c r="C196" s="3" t="s">
        <v>282</v>
      </c>
      <c r="D196" s="2" t="s">
        <v>17</v>
      </c>
      <c r="E196" s="2" t="s">
        <v>8</v>
      </c>
      <c r="F196" s="16"/>
      <c r="G196" s="16"/>
      <c r="H196" s="16">
        <f>VLOOKUP(B:B,'[1]Master Sheet'!$B:$H,7,0)</f>
        <v>1000</v>
      </c>
      <c r="I196" s="16">
        <f>VLOOKUP(B:B,'[1]Master Sheet'!$B:$I,8,0)</f>
        <v>0</v>
      </c>
      <c r="J196" s="16"/>
      <c r="K196" s="3" t="s">
        <v>2991</v>
      </c>
      <c r="L196" s="3" t="s">
        <v>3057</v>
      </c>
      <c r="M196" s="3" t="s">
        <v>3058</v>
      </c>
      <c r="N196" s="3"/>
      <c r="O196" s="3"/>
    </row>
    <row r="197" spans="1:15" s="4" customFormat="1">
      <c r="A197" s="2">
        <v>196</v>
      </c>
      <c r="B197" s="3" t="s">
        <v>302</v>
      </c>
      <c r="C197" s="3" t="s">
        <v>303</v>
      </c>
      <c r="D197" s="2" t="s">
        <v>17</v>
      </c>
      <c r="E197" s="2" t="s">
        <v>8</v>
      </c>
      <c r="F197" s="16"/>
      <c r="G197" s="16"/>
      <c r="H197" s="16">
        <f>VLOOKUP(B:B,'[1]Master Sheet'!$B:$H,7,0)</f>
        <v>0</v>
      </c>
      <c r="I197" s="16">
        <f>VLOOKUP(B:B,'[1]Master Sheet'!$B:$I,8,0)</f>
        <v>0</v>
      </c>
      <c r="J197" s="16"/>
      <c r="K197" s="3" t="s">
        <v>2991</v>
      </c>
      <c r="L197" s="3" t="s">
        <v>3057</v>
      </c>
      <c r="M197" s="3" t="s">
        <v>3056</v>
      </c>
      <c r="N197" s="3"/>
      <c r="O197" s="3"/>
    </row>
    <row r="198" spans="1:15" s="4" customFormat="1">
      <c r="A198" s="2">
        <v>197</v>
      </c>
      <c r="B198" s="3" t="s">
        <v>494</v>
      </c>
      <c r="C198" s="3" t="s">
        <v>495</v>
      </c>
      <c r="D198" s="2" t="s">
        <v>17</v>
      </c>
      <c r="E198" s="2" t="s">
        <v>8</v>
      </c>
      <c r="F198" s="16"/>
      <c r="G198" s="16"/>
      <c r="H198" s="16">
        <f>VLOOKUP(B:B,'[1]Master Sheet'!$B:$H,7,0)</f>
        <v>0</v>
      </c>
      <c r="I198" s="16">
        <f>VLOOKUP(B:B,'[1]Master Sheet'!$B:$I,8,0)</f>
        <v>0</v>
      </c>
      <c r="J198" s="16"/>
      <c r="K198" s="3" t="s">
        <v>2972</v>
      </c>
      <c r="L198" s="3" t="s">
        <v>3055</v>
      </c>
      <c r="M198" s="3" t="s">
        <v>3056</v>
      </c>
      <c r="N198" s="3"/>
      <c r="O198" s="3"/>
    </row>
    <row r="199" spans="1:15" s="4" customFormat="1">
      <c r="A199" s="2">
        <v>198</v>
      </c>
      <c r="B199" s="3" t="s">
        <v>317</v>
      </c>
      <c r="C199" s="3" t="s">
        <v>318</v>
      </c>
      <c r="D199" s="2" t="s">
        <v>17</v>
      </c>
      <c r="E199" s="2" t="s">
        <v>8</v>
      </c>
      <c r="F199" s="16"/>
      <c r="G199" s="16"/>
      <c r="H199" s="16">
        <f>VLOOKUP(B:B,'[1]Master Sheet'!$B:$H,7,0)</f>
        <v>24</v>
      </c>
      <c r="I199" s="16">
        <f>VLOOKUP(B:B,'[1]Master Sheet'!$B:$I,8,0)</f>
        <v>0</v>
      </c>
      <c r="J199" s="16"/>
      <c r="K199" s="3" t="s">
        <v>2991</v>
      </c>
      <c r="L199" s="3" t="s">
        <v>3057</v>
      </c>
      <c r="M199" s="3" t="s">
        <v>3056</v>
      </c>
      <c r="N199" s="3"/>
      <c r="O199" s="3"/>
    </row>
    <row r="200" spans="1:15" s="4" customFormat="1">
      <c r="A200" s="2">
        <v>199</v>
      </c>
      <c r="B200" s="3" t="s">
        <v>319</v>
      </c>
      <c r="C200" s="3" t="s">
        <v>320</v>
      </c>
      <c r="D200" s="2" t="s">
        <v>17</v>
      </c>
      <c r="E200" s="2" t="s">
        <v>8</v>
      </c>
      <c r="F200" s="16"/>
      <c r="G200" s="16"/>
      <c r="H200" s="16">
        <f>VLOOKUP(B:B,'[1]Master Sheet'!$B:$H,7,0)</f>
        <v>350</v>
      </c>
      <c r="I200" s="16">
        <f>VLOOKUP(B:B,'[1]Master Sheet'!$B:$I,8,0)</f>
        <v>320</v>
      </c>
      <c r="J200" s="16"/>
      <c r="K200" s="3" t="s">
        <v>2991</v>
      </c>
      <c r="L200" s="3" t="s">
        <v>3057</v>
      </c>
      <c r="M200" s="3" t="s">
        <v>3056</v>
      </c>
      <c r="N200" s="3"/>
      <c r="O200" s="3"/>
    </row>
    <row r="201" spans="1:15" s="4" customFormat="1">
      <c r="A201" s="2">
        <v>200</v>
      </c>
      <c r="B201" s="3" t="s">
        <v>502</v>
      </c>
      <c r="C201" s="3" t="s">
        <v>503</v>
      </c>
      <c r="D201" s="2" t="s">
        <v>17</v>
      </c>
      <c r="E201" s="2" t="s">
        <v>8</v>
      </c>
      <c r="F201" s="16"/>
      <c r="G201" s="16"/>
      <c r="H201" s="16">
        <f>VLOOKUP(B:B,'[1]Master Sheet'!$B:$H,7,0)</f>
        <v>0</v>
      </c>
      <c r="I201" s="16">
        <f>VLOOKUP(B:B,'[1]Master Sheet'!$B:$I,8,0)</f>
        <v>0</v>
      </c>
      <c r="J201" s="16"/>
      <c r="K201" s="3" t="s">
        <v>2972</v>
      </c>
      <c r="L201" s="3" t="s">
        <v>3055</v>
      </c>
      <c r="M201" s="3" t="s">
        <v>3056</v>
      </c>
      <c r="N201" s="3"/>
      <c r="O201" s="3"/>
    </row>
    <row r="202" spans="1:15" s="4" customFormat="1">
      <c r="A202" s="2">
        <v>201</v>
      </c>
      <c r="B202" s="3" t="s">
        <v>321</v>
      </c>
      <c r="C202" s="3" t="s">
        <v>322</v>
      </c>
      <c r="D202" s="2" t="s">
        <v>17</v>
      </c>
      <c r="E202" s="2" t="s">
        <v>8</v>
      </c>
      <c r="F202" s="16"/>
      <c r="G202" s="16"/>
      <c r="H202" s="16">
        <f>VLOOKUP(B:B,'[1]Master Sheet'!$B:$H,7,0)</f>
        <v>80</v>
      </c>
      <c r="I202" s="16">
        <f>VLOOKUP(B:B,'[1]Master Sheet'!$B:$I,8,0)</f>
        <v>80</v>
      </c>
      <c r="J202" s="16"/>
      <c r="K202" s="3" t="s">
        <v>2972</v>
      </c>
      <c r="L202" s="3" t="s">
        <v>3057</v>
      </c>
      <c r="M202" s="3" t="s">
        <v>3056</v>
      </c>
      <c r="N202" s="3"/>
      <c r="O202" s="3"/>
    </row>
    <row r="203" spans="1:15" s="4" customFormat="1">
      <c r="A203" s="2">
        <v>202</v>
      </c>
      <c r="B203" s="3" t="s">
        <v>329</v>
      </c>
      <c r="C203" s="3" t="s">
        <v>330</v>
      </c>
      <c r="D203" s="2" t="s">
        <v>17</v>
      </c>
      <c r="E203" s="2" t="s">
        <v>8</v>
      </c>
      <c r="F203" s="16"/>
      <c r="G203" s="16"/>
      <c r="H203" s="16">
        <f>VLOOKUP(B:B,'[1]Master Sheet'!$B:$H,7,0)</f>
        <v>0</v>
      </c>
      <c r="I203" s="16">
        <f>VLOOKUP(B:B,'[1]Master Sheet'!$B:$I,8,0)</f>
        <v>0</v>
      </c>
      <c r="J203" s="16"/>
      <c r="K203" s="3" t="s">
        <v>2972</v>
      </c>
      <c r="L203" s="3" t="s">
        <v>3057</v>
      </c>
      <c r="M203" s="3" t="s">
        <v>3056</v>
      </c>
      <c r="N203" s="3"/>
      <c r="O203" s="3"/>
    </row>
    <row r="204" spans="1:15" s="4" customFormat="1">
      <c r="A204" s="2">
        <v>203</v>
      </c>
      <c r="B204" s="3" t="s">
        <v>508</v>
      </c>
      <c r="C204" s="3" t="s">
        <v>509</v>
      </c>
      <c r="D204" s="2" t="s">
        <v>17</v>
      </c>
      <c r="E204" s="2" t="s">
        <v>8</v>
      </c>
      <c r="F204" s="16"/>
      <c r="G204" s="16"/>
      <c r="H204" s="16">
        <f>VLOOKUP(B:B,'[1]Master Sheet'!$B:$H,7,0)</f>
        <v>0</v>
      </c>
      <c r="I204" s="16">
        <f>VLOOKUP(B:B,'[1]Master Sheet'!$B:$I,8,0)</f>
        <v>0</v>
      </c>
      <c r="J204" s="16"/>
      <c r="K204" s="3" t="s">
        <v>2972</v>
      </c>
      <c r="L204" s="3" t="s">
        <v>3055</v>
      </c>
      <c r="M204" s="3" t="s">
        <v>3056</v>
      </c>
      <c r="N204" s="3"/>
      <c r="O204" s="3"/>
    </row>
    <row r="205" spans="1:15" s="4" customFormat="1">
      <c r="A205" s="2">
        <v>204</v>
      </c>
      <c r="B205" s="3" t="s">
        <v>510</v>
      </c>
      <c r="C205" s="3" t="s">
        <v>511</v>
      </c>
      <c r="D205" s="2" t="s">
        <v>17</v>
      </c>
      <c r="E205" s="2" t="s">
        <v>8</v>
      </c>
      <c r="F205" s="16"/>
      <c r="G205" s="16"/>
      <c r="H205" s="16">
        <f>VLOOKUP(B:B,'[1]Master Sheet'!$B:$H,7,0)</f>
        <v>0</v>
      </c>
      <c r="I205" s="16">
        <f>VLOOKUP(B:B,'[1]Master Sheet'!$B:$I,8,0)</f>
        <v>0</v>
      </c>
      <c r="J205" s="16"/>
      <c r="K205" s="3" t="s">
        <v>2982</v>
      </c>
      <c r="L205" s="3" t="s">
        <v>3060</v>
      </c>
      <c r="M205" s="3" t="s">
        <v>3061</v>
      </c>
      <c r="N205" s="3"/>
      <c r="O205" s="3"/>
    </row>
    <row r="206" spans="1:15" s="4" customFormat="1">
      <c r="A206" s="2">
        <v>205</v>
      </c>
      <c r="B206" s="3" t="s">
        <v>512</v>
      </c>
      <c r="C206" s="3" t="s">
        <v>513</v>
      </c>
      <c r="D206" s="2" t="s">
        <v>17</v>
      </c>
      <c r="E206" s="2" t="s">
        <v>8</v>
      </c>
      <c r="F206" s="16"/>
      <c r="G206" s="16"/>
      <c r="H206" s="16">
        <f>VLOOKUP(B:B,'[1]Master Sheet'!$B:$H,7,0)</f>
        <v>300</v>
      </c>
      <c r="I206" s="16">
        <f>VLOOKUP(B:B,'[1]Master Sheet'!$B:$I,8,0)</f>
        <v>0</v>
      </c>
      <c r="J206" s="16"/>
      <c r="K206" s="3" t="s">
        <v>2982</v>
      </c>
      <c r="L206" s="3" t="s">
        <v>3060</v>
      </c>
      <c r="M206" s="3" t="s">
        <v>3061</v>
      </c>
      <c r="N206" s="3"/>
      <c r="O206" s="3"/>
    </row>
    <row r="207" spans="1:15" s="4" customFormat="1">
      <c r="A207" s="2">
        <v>206</v>
      </c>
      <c r="B207" s="3" t="s">
        <v>514</v>
      </c>
      <c r="C207" s="3" t="s">
        <v>515</v>
      </c>
      <c r="D207" s="2" t="s">
        <v>17</v>
      </c>
      <c r="E207" s="2" t="s">
        <v>8</v>
      </c>
      <c r="F207" s="16"/>
      <c r="G207" s="16"/>
      <c r="H207" s="16">
        <f>VLOOKUP(B:B,'[1]Master Sheet'!$B:$H,7,0)</f>
        <v>300</v>
      </c>
      <c r="I207" s="16">
        <f>VLOOKUP(B:B,'[1]Master Sheet'!$B:$I,8,0)</f>
        <v>1000</v>
      </c>
      <c r="J207" s="16"/>
      <c r="K207" s="3" t="s">
        <v>2982</v>
      </c>
      <c r="L207" s="3" t="s">
        <v>3060</v>
      </c>
      <c r="M207" s="3" t="s">
        <v>3061</v>
      </c>
      <c r="N207" s="3"/>
      <c r="O207" s="3"/>
    </row>
    <row r="208" spans="1:15" s="4" customFormat="1">
      <c r="A208" s="2">
        <v>207</v>
      </c>
      <c r="B208" s="3" t="s">
        <v>331</v>
      </c>
      <c r="C208" s="3" t="s">
        <v>332</v>
      </c>
      <c r="D208" s="2" t="s">
        <v>17</v>
      </c>
      <c r="E208" s="2" t="s">
        <v>8</v>
      </c>
      <c r="F208" s="16"/>
      <c r="G208" s="16"/>
      <c r="H208" s="16">
        <f>VLOOKUP(B:B,'[1]Master Sheet'!$B:$H,7,0)</f>
        <v>0</v>
      </c>
      <c r="I208" s="16">
        <f>VLOOKUP(B:B,'[1]Master Sheet'!$B:$I,8,0)</f>
        <v>0</v>
      </c>
      <c r="J208" s="16"/>
      <c r="K208" s="3" t="s">
        <v>2972</v>
      </c>
      <c r="L208" s="3" t="s">
        <v>3057</v>
      </c>
      <c r="M208" s="3" t="s">
        <v>3056</v>
      </c>
      <c r="N208" s="3"/>
      <c r="O208" s="3"/>
    </row>
    <row r="209" spans="1:15" s="4" customFormat="1">
      <c r="A209" s="2">
        <v>208</v>
      </c>
      <c r="B209" s="3" t="s">
        <v>341</v>
      </c>
      <c r="C209" s="3" t="s">
        <v>342</v>
      </c>
      <c r="D209" s="2" t="s">
        <v>17</v>
      </c>
      <c r="E209" s="2" t="s">
        <v>8</v>
      </c>
      <c r="F209" s="16"/>
      <c r="G209" s="16"/>
      <c r="H209" s="16">
        <f>VLOOKUP(B:B,'[1]Master Sheet'!$B:$H,7,0)</f>
        <v>150</v>
      </c>
      <c r="I209" s="16">
        <f>VLOOKUP(B:B,'[1]Master Sheet'!$B:$I,8,0)</f>
        <v>400</v>
      </c>
      <c r="J209" s="16"/>
      <c r="K209" s="3" t="s">
        <v>2974</v>
      </c>
      <c r="L209" s="3" t="s">
        <v>3057</v>
      </c>
      <c r="M209" s="3" t="s">
        <v>3058</v>
      </c>
      <c r="N209" s="3"/>
      <c r="O209" s="3"/>
    </row>
    <row r="210" spans="1:15" s="4" customFormat="1">
      <c r="A210" s="2">
        <v>209</v>
      </c>
      <c r="B210" s="3" t="s">
        <v>345</v>
      </c>
      <c r="C210" s="3" t="s">
        <v>346</v>
      </c>
      <c r="D210" s="2" t="s">
        <v>17</v>
      </c>
      <c r="E210" s="2" t="s">
        <v>8</v>
      </c>
      <c r="F210" s="16"/>
      <c r="G210" s="16"/>
      <c r="H210" s="16">
        <f>VLOOKUP(B:B,'[1]Master Sheet'!$B:$H,7,0)</f>
        <v>100</v>
      </c>
      <c r="I210" s="16">
        <f>VLOOKUP(B:B,'[1]Master Sheet'!$B:$I,8,0)</f>
        <v>400</v>
      </c>
      <c r="J210" s="16"/>
      <c r="K210" s="3" t="s">
        <v>2963</v>
      </c>
      <c r="L210" s="3" t="s">
        <v>3057</v>
      </c>
      <c r="M210" s="3" t="s">
        <v>3056</v>
      </c>
      <c r="N210" s="3"/>
      <c r="O210" s="3"/>
    </row>
    <row r="211" spans="1:15" s="4" customFormat="1">
      <c r="A211" s="2">
        <v>210</v>
      </c>
      <c r="B211" s="3" t="s">
        <v>347</v>
      </c>
      <c r="C211" s="3" t="s">
        <v>348</v>
      </c>
      <c r="D211" s="2" t="s">
        <v>20</v>
      </c>
      <c r="E211" s="2" t="s">
        <v>8</v>
      </c>
      <c r="F211" s="16"/>
      <c r="G211" s="16"/>
      <c r="H211" s="16">
        <f>VLOOKUP(B:B,'[1]Master Sheet'!$B:$H,7,0)</f>
        <v>0</v>
      </c>
      <c r="I211" s="16">
        <f>VLOOKUP(B:B,'[1]Master Sheet'!$B:$I,8,0)</f>
        <v>0</v>
      </c>
      <c r="J211" s="16"/>
      <c r="K211" s="3" t="s">
        <v>2963</v>
      </c>
      <c r="L211" s="3" t="s">
        <v>3063</v>
      </c>
      <c r="M211" s="3" t="s">
        <v>3056</v>
      </c>
      <c r="N211" s="3"/>
      <c r="O211" s="3"/>
    </row>
    <row r="212" spans="1:15" s="4" customFormat="1">
      <c r="A212" s="2">
        <v>211</v>
      </c>
      <c r="B212" s="3" t="s">
        <v>369</v>
      </c>
      <c r="C212" s="3" t="s">
        <v>370</v>
      </c>
      <c r="D212" s="2" t="s">
        <v>17</v>
      </c>
      <c r="E212" s="2" t="s">
        <v>8</v>
      </c>
      <c r="F212" s="16"/>
      <c r="G212" s="16"/>
      <c r="H212" s="16">
        <f>VLOOKUP(B:B,'[1]Master Sheet'!$B:$H,7,0)</f>
        <v>0</v>
      </c>
      <c r="I212" s="16">
        <f>VLOOKUP(B:B,'[1]Master Sheet'!$B:$I,8,0)</f>
        <v>0</v>
      </c>
      <c r="J212" s="16"/>
      <c r="K212" s="3" t="s">
        <v>2991</v>
      </c>
      <c r="L212" s="3" t="s">
        <v>3057</v>
      </c>
      <c r="M212" s="3" t="s">
        <v>3056</v>
      </c>
      <c r="N212" s="3"/>
      <c r="O212" s="3"/>
    </row>
    <row r="213" spans="1:15" s="4" customFormat="1">
      <c r="A213" s="2">
        <v>212</v>
      </c>
      <c r="B213" s="3" t="s">
        <v>371</v>
      </c>
      <c r="C213" s="3" t="s">
        <v>372</v>
      </c>
      <c r="D213" s="2" t="s">
        <v>17</v>
      </c>
      <c r="E213" s="2" t="s">
        <v>8</v>
      </c>
      <c r="F213" s="16"/>
      <c r="G213" s="16"/>
      <c r="H213" s="16">
        <f>VLOOKUP(B:B,'[1]Master Sheet'!$B:$H,7,0)</f>
        <v>0</v>
      </c>
      <c r="I213" s="16">
        <f>VLOOKUP(B:B,'[1]Master Sheet'!$B:$I,8,0)</f>
        <v>0</v>
      </c>
      <c r="J213" s="16"/>
      <c r="K213" s="3" t="s">
        <v>2991</v>
      </c>
      <c r="L213" s="3" t="s">
        <v>3057</v>
      </c>
      <c r="M213" s="3" t="s">
        <v>3058</v>
      </c>
      <c r="N213" s="3"/>
      <c r="O213" s="3"/>
    </row>
    <row r="214" spans="1:15" s="4" customFormat="1">
      <c r="A214" s="2">
        <v>213</v>
      </c>
      <c r="B214" s="3" t="s">
        <v>532</v>
      </c>
      <c r="C214" s="3" t="s">
        <v>533</v>
      </c>
      <c r="D214" s="2" t="s">
        <v>7</v>
      </c>
      <c r="E214" s="2" t="s">
        <v>8</v>
      </c>
      <c r="F214" s="16"/>
      <c r="G214" s="16"/>
      <c r="H214" s="16">
        <f>VLOOKUP(B:B,'[1]Master Sheet'!$B:$H,7,0)</f>
        <v>150</v>
      </c>
      <c r="I214" s="16">
        <f>VLOOKUP(B:B,'[1]Master Sheet'!$B:$I,8,0)</f>
        <v>300</v>
      </c>
      <c r="J214" s="16"/>
      <c r="K214" s="3" t="s">
        <v>2965</v>
      </c>
      <c r="L214" s="3" t="s">
        <v>3055</v>
      </c>
      <c r="M214" s="3" t="s">
        <v>3056</v>
      </c>
      <c r="N214" s="3"/>
      <c r="O214" s="3"/>
    </row>
    <row r="215" spans="1:15" s="4" customFormat="1">
      <c r="A215" s="2">
        <v>214</v>
      </c>
      <c r="B215" s="3" t="s">
        <v>534</v>
      </c>
      <c r="C215" s="3" t="s">
        <v>3032</v>
      </c>
      <c r="D215" s="2" t="s">
        <v>7</v>
      </c>
      <c r="E215" s="2" t="s">
        <v>8</v>
      </c>
      <c r="F215" s="16"/>
      <c r="G215" s="16"/>
      <c r="H215" s="16">
        <f>VLOOKUP(B:B,'[1]Master Sheet'!$B:$H,7,0)</f>
        <v>150</v>
      </c>
      <c r="I215" s="16">
        <f>VLOOKUP(B:B,'[1]Master Sheet'!$B:$I,8,0)</f>
        <v>0</v>
      </c>
      <c r="J215" s="16"/>
      <c r="K215" s="3" t="s">
        <v>2965</v>
      </c>
      <c r="L215" s="3" t="s">
        <v>3055</v>
      </c>
      <c r="M215" s="3" t="s">
        <v>3056</v>
      </c>
      <c r="N215" s="3"/>
      <c r="O215" s="3"/>
    </row>
    <row r="216" spans="1:15" s="4" customFormat="1">
      <c r="A216" s="2">
        <v>215</v>
      </c>
      <c r="B216" s="3" t="s">
        <v>535</v>
      </c>
      <c r="C216" s="3" t="s">
        <v>536</v>
      </c>
      <c r="D216" s="2" t="s">
        <v>7</v>
      </c>
      <c r="E216" s="2" t="s">
        <v>8</v>
      </c>
      <c r="F216" s="16"/>
      <c r="G216" s="16"/>
      <c r="H216" s="16">
        <f>VLOOKUP(B:B,'[1]Master Sheet'!$B:$H,7,0)</f>
        <v>0</v>
      </c>
      <c r="I216" s="16">
        <f>VLOOKUP(B:B,'[1]Master Sheet'!$B:$I,8,0)</f>
        <v>0</v>
      </c>
      <c r="J216" s="16"/>
      <c r="K216" s="3" t="s">
        <v>2965</v>
      </c>
      <c r="L216" s="3" t="s">
        <v>3055</v>
      </c>
      <c r="M216" s="3" t="s">
        <v>3056</v>
      </c>
      <c r="N216" s="3"/>
      <c r="O216" s="3"/>
    </row>
    <row r="217" spans="1:15" s="4" customFormat="1">
      <c r="A217" s="2">
        <v>216</v>
      </c>
      <c r="B217" s="3" t="s">
        <v>537</v>
      </c>
      <c r="C217" s="3" t="s">
        <v>538</v>
      </c>
      <c r="D217" s="2" t="s">
        <v>7</v>
      </c>
      <c r="E217" s="2" t="s">
        <v>8</v>
      </c>
      <c r="F217" s="16"/>
      <c r="G217" s="16"/>
      <c r="H217" s="16">
        <f>VLOOKUP(B:B,'[1]Master Sheet'!$B:$H,7,0)</f>
        <v>0</v>
      </c>
      <c r="I217" s="16">
        <f>VLOOKUP(B:B,'[1]Master Sheet'!$B:$I,8,0)</f>
        <v>0</v>
      </c>
      <c r="J217" s="16"/>
      <c r="K217" s="3" t="s">
        <v>2965</v>
      </c>
      <c r="L217" s="3" t="s">
        <v>3055</v>
      </c>
      <c r="M217" s="3" t="s">
        <v>3056</v>
      </c>
      <c r="N217" s="3"/>
      <c r="O217" s="3"/>
    </row>
    <row r="218" spans="1:15" s="4" customFormat="1">
      <c r="A218" s="2">
        <v>217</v>
      </c>
      <c r="B218" s="3" t="s">
        <v>539</v>
      </c>
      <c r="C218" s="3" t="s">
        <v>540</v>
      </c>
      <c r="D218" s="2" t="s">
        <v>7</v>
      </c>
      <c r="E218" s="2" t="s">
        <v>8</v>
      </c>
      <c r="F218" s="16"/>
      <c r="G218" s="16"/>
      <c r="H218" s="16">
        <f>VLOOKUP(B:B,'[1]Master Sheet'!$B:$H,7,0)</f>
        <v>150</v>
      </c>
      <c r="I218" s="16">
        <f>VLOOKUP(B:B,'[1]Master Sheet'!$B:$I,8,0)</f>
        <v>0</v>
      </c>
      <c r="J218" s="16"/>
      <c r="K218" s="3" t="s">
        <v>2965</v>
      </c>
      <c r="L218" s="3" t="s">
        <v>3055</v>
      </c>
      <c r="M218" s="3" t="s">
        <v>3056</v>
      </c>
      <c r="N218" s="3"/>
      <c r="O218" s="3"/>
    </row>
    <row r="219" spans="1:15" s="4" customFormat="1">
      <c r="A219" s="2">
        <v>218</v>
      </c>
      <c r="B219" s="3" t="s">
        <v>373</v>
      </c>
      <c r="C219" s="3" t="s">
        <v>374</v>
      </c>
      <c r="D219" s="2" t="s">
        <v>17</v>
      </c>
      <c r="E219" s="2" t="s">
        <v>8</v>
      </c>
      <c r="F219" s="16"/>
      <c r="G219" s="16"/>
      <c r="H219" s="16">
        <f>VLOOKUP(B:B,'[1]Master Sheet'!$B:$H,7,0)</f>
        <v>0</v>
      </c>
      <c r="I219" s="16">
        <f>VLOOKUP(B:B,'[1]Master Sheet'!$B:$I,8,0)</f>
        <v>0</v>
      </c>
      <c r="J219" s="16"/>
      <c r="K219" s="3" t="s">
        <v>2972</v>
      </c>
      <c r="L219" s="3" t="s">
        <v>3057</v>
      </c>
      <c r="M219" s="3" t="s">
        <v>3058</v>
      </c>
      <c r="N219" s="3"/>
      <c r="O219" s="3"/>
    </row>
    <row r="220" spans="1:15" s="4" customFormat="1">
      <c r="A220" s="2">
        <v>219</v>
      </c>
      <c r="B220" s="3" t="s">
        <v>375</v>
      </c>
      <c r="C220" s="3" t="s">
        <v>376</v>
      </c>
      <c r="D220" s="2" t="s">
        <v>17</v>
      </c>
      <c r="E220" s="2" t="s">
        <v>8</v>
      </c>
      <c r="F220" s="16"/>
      <c r="G220" s="16"/>
      <c r="H220" s="16">
        <f>VLOOKUP(B:B,'[1]Master Sheet'!$B:$H,7,0)</f>
        <v>0</v>
      </c>
      <c r="I220" s="16">
        <f>VLOOKUP(B:B,'[1]Master Sheet'!$B:$I,8,0)</f>
        <v>0</v>
      </c>
      <c r="J220" s="16"/>
      <c r="K220" s="3" t="s">
        <v>2991</v>
      </c>
      <c r="L220" s="3" t="s">
        <v>3057</v>
      </c>
      <c r="M220" s="3" t="s">
        <v>3058</v>
      </c>
      <c r="N220" s="3"/>
      <c r="O220" s="3"/>
    </row>
    <row r="221" spans="1:15" s="4" customFormat="1">
      <c r="A221" s="2">
        <v>220</v>
      </c>
      <c r="B221" s="3" t="s">
        <v>381</v>
      </c>
      <c r="C221" s="3" t="s">
        <v>382</v>
      </c>
      <c r="D221" s="2" t="s">
        <v>17</v>
      </c>
      <c r="E221" s="2" t="s">
        <v>8</v>
      </c>
      <c r="F221" s="16"/>
      <c r="G221" s="16"/>
      <c r="H221" s="16">
        <f>VLOOKUP(B:B,'[1]Master Sheet'!$B:$H,7,0)</f>
        <v>500</v>
      </c>
      <c r="I221" s="16">
        <f>VLOOKUP(B:B,'[1]Master Sheet'!$B:$I,8,0)</f>
        <v>0</v>
      </c>
      <c r="J221" s="16"/>
      <c r="K221" s="3" t="s">
        <v>2974</v>
      </c>
      <c r="L221" s="3" t="s">
        <v>3057</v>
      </c>
      <c r="M221" s="3" t="s">
        <v>3058</v>
      </c>
      <c r="N221" s="3"/>
      <c r="O221" s="3"/>
    </row>
    <row r="222" spans="1:15" s="4" customFormat="1">
      <c r="A222" s="2">
        <v>221</v>
      </c>
      <c r="B222" s="3" t="s">
        <v>383</v>
      </c>
      <c r="C222" s="3" t="s">
        <v>384</v>
      </c>
      <c r="D222" s="2" t="s">
        <v>7</v>
      </c>
      <c r="E222" s="2" t="s">
        <v>8</v>
      </c>
      <c r="F222" s="16"/>
      <c r="G222" s="16"/>
      <c r="H222" s="16">
        <f>VLOOKUP(B:B,'[1]Master Sheet'!$B:$H,7,0)</f>
        <v>100</v>
      </c>
      <c r="I222" s="16">
        <f>VLOOKUP(B:B,'[1]Master Sheet'!$B:$I,8,0)</f>
        <v>0</v>
      </c>
      <c r="J222" s="16"/>
      <c r="K222" s="3" t="s">
        <v>2991</v>
      </c>
      <c r="L222" s="3" t="s">
        <v>3057</v>
      </c>
      <c r="M222" s="3" t="s">
        <v>3058</v>
      </c>
      <c r="N222" s="3"/>
      <c r="O222" s="3"/>
    </row>
    <row r="223" spans="1:15" s="4" customFormat="1">
      <c r="A223" s="2">
        <v>222</v>
      </c>
      <c r="B223" s="3" t="s">
        <v>385</v>
      </c>
      <c r="C223" s="3" t="s">
        <v>386</v>
      </c>
      <c r="D223" s="2" t="s">
        <v>7</v>
      </c>
      <c r="E223" s="2" t="s">
        <v>8</v>
      </c>
      <c r="F223" s="16"/>
      <c r="G223" s="16"/>
      <c r="H223" s="16">
        <f>VLOOKUP(B:B,'[1]Master Sheet'!$B:$H,7,0)</f>
        <v>100</v>
      </c>
      <c r="I223" s="16">
        <f>VLOOKUP(B:B,'[1]Master Sheet'!$B:$I,8,0)</f>
        <v>0</v>
      </c>
      <c r="J223" s="16"/>
      <c r="K223" s="3" t="s">
        <v>2991</v>
      </c>
      <c r="L223" s="3" t="s">
        <v>3057</v>
      </c>
      <c r="M223" s="3" t="s">
        <v>3058</v>
      </c>
      <c r="N223" s="3"/>
      <c r="O223" s="3"/>
    </row>
    <row r="224" spans="1:15" s="4" customFormat="1">
      <c r="A224" s="2">
        <v>223</v>
      </c>
      <c r="B224" s="3" t="s">
        <v>389</v>
      </c>
      <c r="C224" s="3" t="s">
        <v>390</v>
      </c>
      <c r="D224" s="2" t="s">
        <v>17</v>
      </c>
      <c r="E224" s="2" t="s">
        <v>8</v>
      </c>
      <c r="F224" s="16"/>
      <c r="G224" s="16"/>
      <c r="H224" s="16">
        <f>VLOOKUP(B:B,'[1]Master Sheet'!$B:$H,7,0)</f>
        <v>0</v>
      </c>
      <c r="I224" s="16">
        <f>VLOOKUP(B:B,'[1]Master Sheet'!$B:$I,8,0)</f>
        <v>0</v>
      </c>
      <c r="J224" s="16"/>
      <c r="K224" s="3" t="s">
        <v>2972</v>
      </c>
      <c r="L224" s="3" t="s">
        <v>3057</v>
      </c>
      <c r="M224" s="3" t="s">
        <v>3056</v>
      </c>
      <c r="N224" s="3"/>
      <c r="O224" s="3"/>
    </row>
    <row r="225" spans="1:15" s="4" customFormat="1">
      <c r="A225" s="2">
        <v>224</v>
      </c>
      <c r="B225" s="3" t="s">
        <v>403</v>
      </c>
      <c r="C225" s="3" t="s">
        <v>404</v>
      </c>
      <c r="D225" s="2" t="s">
        <v>17</v>
      </c>
      <c r="E225" s="2" t="s">
        <v>8</v>
      </c>
      <c r="F225" s="16"/>
      <c r="G225" s="16"/>
      <c r="H225" s="16">
        <f>VLOOKUP(B:B,'[1]Master Sheet'!$B:$H,7,0)</f>
        <v>0</v>
      </c>
      <c r="I225" s="16">
        <f>VLOOKUP(B:B,'[1]Master Sheet'!$B:$I,8,0)</f>
        <v>0</v>
      </c>
      <c r="J225" s="16"/>
      <c r="K225" s="3" t="s">
        <v>2972</v>
      </c>
      <c r="L225" s="3" t="s">
        <v>3057</v>
      </c>
      <c r="M225" s="3" t="s">
        <v>3056</v>
      </c>
      <c r="N225" s="3"/>
      <c r="O225" s="3"/>
    </row>
    <row r="226" spans="1:15" s="4" customFormat="1">
      <c r="A226" s="2">
        <v>225</v>
      </c>
      <c r="B226" s="3" t="s">
        <v>557</v>
      </c>
      <c r="C226" s="3" t="s">
        <v>558</v>
      </c>
      <c r="D226" s="2" t="s">
        <v>20</v>
      </c>
      <c r="E226" s="2" t="s">
        <v>8</v>
      </c>
      <c r="F226" s="16"/>
      <c r="G226" s="16"/>
      <c r="H226" s="16">
        <f>VLOOKUP(B:B,'[1]Master Sheet'!$B:$H,7,0)</f>
        <v>0</v>
      </c>
      <c r="I226" s="16">
        <f>VLOOKUP(B:B,'[1]Master Sheet'!$B:$I,8,0)</f>
        <v>0</v>
      </c>
      <c r="J226" s="16"/>
      <c r="K226" s="3" t="s">
        <v>3006</v>
      </c>
      <c r="L226" s="3" t="s">
        <v>3060</v>
      </c>
      <c r="M226" s="3" t="s">
        <v>3058</v>
      </c>
      <c r="N226" s="3"/>
      <c r="O226" s="3"/>
    </row>
    <row r="227" spans="1:15" s="4" customFormat="1">
      <c r="A227" s="2">
        <v>226</v>
      </c>
      <c r="B227" s="3" t="s">
        <v>408</v>
      </c>
      <c r="C227" s="3" t="s">
        <v>409</v>
      </c>
      <c r="D227" s="2" t="s">
        <v>17</v>
      </c>
      <c r="E227" s="2" t="s">
        <v>8</v>
      </c>
      <c r="F227" s="16"/>
      <c r="G227" s="16"/>
      <c r="H227" s="16">
        <f>VLOOKUP(B:B,'[1]Master Sheet'!$B:$H,7,0)</f>
        <v>0</v>
      </c>
      <c r="I227" s="16">
        <f>VLOOKUP(B:B,'[1]Master Sheet'!$B:$I,8,0)</f>
        <v>0</v>
      </c>
      <c r="J227" s="16"/>
      <c r="K227" s="3" t="s">
        <v>2972</v>
      </c>
      <c r="L227" s="3" t="s">
        <v>3057</v>
      </c>
      <c r="M227" s="3" t="s">
        <v>3056</v>
      </c>
      <c r="N227" s="3"/>
      <c r="O227" s="3"/>
    </row>
    <row r="228" spans="1:15" s="4" customFormat="1">
      <c r="A228" s="2">
        <v>227</v>
      </c>
      <c r="B228" s="3" t="s">
        <v>410</v>
      </c>
      <c r="C228" s="3" t="s">
        <v>411</v>
      </c>
      <c r="D228" s="2" t="s">
        <v>17</v>
      </c>
      <c r="E228" s="2" t="s">
        <v>8</v>
      </c>
      <c r="F228" s="16"/>
      <c r="G228" s="16"/>
      <c r="H228" s="16">
        <f>VLOOKUP(B:B,'[1]Master Sheet'!$B:$H,7,0)</f>
        <v>0</v>
      </c>
      <c r="I228" s="16">
        <f>VLOOKUP(B:B,'[1]Master Sheet'!$B:$I,8,0)</f>
        <v>0</v>
      </c>
      <c r="J228" s="16"/>
      <c r="K228" s="3" t="s">
        <v>2972</v>
      </c>
      <c r="L228" s="3" t="s">
        <v>3057</v>
      </c>
      <c r="M228" s="3" t="s">
        <v>3056</v>
      </c>
      <c r="N228" s="3"/>
      <c r="O228" s="3"/>
    </row>
    <row r="229" spans="1:15" s="4" customFormat="1">
      <c r="A229" s="2">
        <v>228</v>
      </c>
      <c r="B229" s="3" t="s">
        <v>412</v>
      </c>
      <c r="C229" s="3" t="s">
        <v>413</v>
      </c>
      <c r="D229" s="2" t="s">
        <v>17</v>
      </c>
      <c r="E229" s="2" t="s">
        <v>8</v>
      </c>
      <c r="F229" s="16"/>
      <c r="G229" s="16"/>
      <c r="H229" s="16">
        <f>VLOOKUP(B:B,'[1]Master Sheet'!$B:$H,7,0)</f>
        <v>100</v>
      </c>
      <c r="I229" s="16">
        <f>VLOOKUP(B:B,'[1]Master Sheet'!$B:$I,8,0)</f>
        <v>0</v>
      </c>
      <c r="J229" s="16"/>
      <c r="K229" s="3" t="s">
        <v>2991</v>
      </c>
      <c r="L229" s="3" t="s">
        <v>3057</v>
      </c>
      <c r="M229" s="3" t="s">
        <v>3058</v>
      </c>
      <c r="N229" s="3"/>
      <c r="O229" s="3"/>
    </row>
    <row r="230" spans="1:15" s="4" customFormat="1">
      <c r="A230" s="2">
        <v>229</v>
      </c>
      <c r="B230" s="3" t="s">
        <v>414</v>
      </c>
      <c r="C230" s="3" t="s">
        <v>415</v>
      </c>
      <c r="D230" s="2" t="s">
        <v>17</v>
      </c>
      <c r="E230" s="2" t="s">
        <v>8</v>
      </c>
      <c r="F230" s="16"/>
      <c r="G230" s="16"/>
      <c r="H230" s="16">
        <f>VLOOKUP(B:B,'[1]Master Sheet'!$B:$H,7,0)</f>
        <v>500</v>
      </c>
      <c r="I230" s="16">
        <f>VLOOKUP(B:B,'[1]Master Sheet'!$B:$I,8,0)</f>
        <v>1000</v>
      </c>
      <c r="J230" s="16"/>
      <c r="K230" s="3" t="s">
        <v>2972</v>
      </c>
      <c r="L230" s="3" t="s">
        <v>3057</v>
      </c>
      <c r="M230" s="3" t="s">
        <v>3056</v>
      </c>
      <c r="N230" s="3"/>
      <c r="O230" s="3"/>
    </row>
    <row r="231" spans="1:15" s="4" customFormat="1">
      <c r="A231" s="2">
        <v>230</v>
      </c>
      <c r="B231" s="3" t="s">
        <v>416</v>
      </c>
      <c r="C231" s="3" t="s">
        <v>417</v>
      </c>
      <c r="D231" s="2" t="s">
        <v>17</v>
      </c>
      <c r="E231" s="2" t="s">
        <v>8</v>
      </c>
      <c r="F231" s="16"/>
      <c r="G231" s="16"/>
      <c r="H231" s="16">
        <f>VLOOKUP(B:B,'[1]Master Sheet'!$B:$H,7,0)</f>
        <v>1008</v>
      </c>
      <c r="I231" s="16">
        <f>VLOOKUP(B:B,'[1]Master Sheet'!$B:$I,8,0)</f>
        <v>1008</v>
      </c>
      <c r="J231" s="16"/>
      <c r="K231" s="3" t="s">
        <v>2991</v>
      </c>
      <c r="L231" s="3" t="s">
        <v>3057</v>
      </c>
      <c r="M231" s="3" t="s">
        <v>3056</v>
      </c>
      <c r="N231" s="3"/>
      <c r="O231" s="3"/>
    </row>
    <row r="232" spans="1:15" s="4" customFormat="1">
      <c r="A232" s="2">
        <v>231</v>
      </c>
      <c r="B232" s="3" t="s">
        <v>418</v>
      </c>
      <c r="C232" s="3" t="s">
        <v>419</v>
      </c>
      <c r="D232" s="2" t="s">
        <v>17</v>
      </c>
      <c r="E232" s="2" t="s">
        <v>8</v>
      </c>
      <c r="F232" s="16"/>
      <c r="G232" s="16"/>
      <c r="H232" s="16">
        <f>VLOOKUP(B:B,'[1]Master Sheet'!$B:$H,7,0)</f>
        <v>144</v>
      </c>
      <c r="I232" s="16">
        <f>VLOOKUP(B:B,'[1]Master Sheet'!$B:$I,8,0)</f>
        <v>0</v>
      </c>
      <c r="J232" s="16"/>
      <c r="K232" s="3" t="s">
        <v>2991</v>
      </c>
      <c r="L232" s="3" t="s">
        <v>3057</v>
      </c>
      <c r="M232" s="3" t="s">
        <v>3056</v>
      </c>
      <c r="N232" s="3"/>
      <c r="O232" s="3"/>
    </row>
    <row r="233" spans="1:15" s="4" customFormat="1">
      <c r="A233" s="2">
        <v>232</v>
      </c>
      <c r="B233" s="3" t="s">
        <v>420</v>
      </c>
      <c r="C233" s="3" t="s">
        <v>421</v>
      </c>
      <c r="D233" s="2" t="s">
        <v>17</v>
      </c>
      <c r="E233" s="2" t="s">
        <v>8</v>
      </c>
      <c r="F233" s="16"/>
      <c r="G233" s="16"/>
      <c r="H233" s="16">
        <f>VLOOKUP(B:B,'[1]Master Sheet'!$B:$H,7,0)</f>
        <v>144</v>
      </c>
      <c r="I233" s="16">
        <f>VLOOKUP(B:B,'[1]Master Sheet'!$B:$I,8,0)</f>
        <v>0</v>
      </c>
      <c r="J233" s="16"/>
      <c r="K233" s="3" t="s">
        <v>2991</v>
      </c>
      <c r="L233" s="3" t="s">
        <v>3057</v>
      </c>
      <c r="M233" s="3" t="s">
        <v>3056</v>
      </c>
      <c r="N233" s="3"/>
      <c r="O233" s="3"/>
    </row>
    <row r="234" spans="1:15" s="4" customFormat="1">
      <c r="A234" s="2">
        <v>233</v>
      </c>
      <c r="B234" s="3" t="s">
        <v>573</v>
      </c>
      <c r="C234" s="3" t="s">
        <v>574</v>
      </c>
      <c r="D234" s="2" t="s">
        <v>17</v>
      </c>
      <c r="E234" s="2" t="s">
        <v>8</v>
      </c>
      <c r="F234" s="16"/>
      <c r="G234" s="16"/>
      <c r="H234" s="16">
        <f>VLOOKUP(B:B,'[1]Master Sheet'!$B:$H,7,0)</f>
        <v>250</v>
      </c>
      <c r="I234" s="16">
        <f>VLOOKUP(B:B,'[1]Master Sheet'!$B:$I,8,0)</f>
        <v>0</v>
      </c>
      <c r="J234" s="16"/>
      <c r="K234" s="3" t="s">
        <v>2972</v>
      </c>
      <c r="L234" s="3" t="s">
        <v>3055</v>
      </c>
      <c r="M234" s="3" t="s">
        <v>3056</v>
      </c>
      <c r="N234" s="3"/>
      <c r="O234" s="3"/>
    </row>
    <row r="235" spans="1:15" s="4" customFormat="1">
      <c r="A235" s="2">
        <v>234</v>
      </c>
      <c r="B235" s="3" t="s">
        <v>422</v>
      </c>
      <c r="C235" s="3" t="s">
        <v>423</v>
      </c>
      <c r="D235" s="2" t="s">
        <v>17</v>
      </c>
      <c r="E235" s="2" t="s">
        <v>8</v>
      </c>
      <c r="F235" s="16"/>
      <c r="G235" s="16"/>
      <c r="H235" s="16">
        <f>VLOOKUP(B:B,'[1]Master Sheet'!$B:$H,7,0)</f>
        <v>50</v>
      </c>
      <c r="I235" s="16">
        <f>VLOOKUP(B:B,'[1]Master Sheet'!$B:$I,8,0)</f>
        <v>0</v>
      </c>
      <c r="J235" s="16"/>
      <c r="K235" s="3" t="s">
        <v>2972</v>
      </c>
      <c r="L235" s="3" t="s">
        <v>3057</v>
      </c>
      <c r="M235" s="3" t="s">
        <v>3056</v>
      </c>
      <c r="N235" s="3"/>
      <c r="O235" s="3"/>
    </row>
    <row r="236" spans="1:15" s="4" customFormat="1">
      <c r="A236" s="2">
        <v>235</v>
      </c>
      <c r="B236" s="3" t="s">
        <v>577</v>
      </c>
      <c r="C236" s="3" t="s">
        <v>578</v>
      </c>
      <c r="D236" s="2" t="s">
        <v>17</v>
      </c>
      <c r="E236" s="2" t="s">
        <v>8</v>
      </c>
      <c r="F236" s="16"/>
      <c r="G236" s="16"/>
      <c r="H236" s="16">
        <f>VLOOKUP(B:B,'[1]Master Sheet'!$B:$H,7,0)</f>
        <v>0</v>
      </c>
      <c r="I236" s="16">
        <f>VLOOKUP(B:B,'[1]Master Sheet'!$B:$I,8,0)</f>
        <v>0</v>
      </c>
      <c r="J236" s="16"/>
      <c r="K236" s="3" t="s">
        <v>2972</v>
      </c>
      <c r="L236" s="3" t="s">
        <v>3055</v>
      </c>
      <c r="M236" s="3" t="s">
        <v>3064</v>
      </c>
      <c r="N236" s="3"/>
      <c r="O236" s="3"/>
    </row>
    <row r="237" spans="1:15" s="4" customFormat="1">
      <c r="A237" s="2">
        <v>236</v>
      </c>
      <c r="B237" s="3" t="s">
        <v>424</v>
      </c>
      <c r="C237" s="3" t="s">
        <v>425</v>
      </c>
      <c r="D237" s="2" t="s">
        <v>148</v>
      </c>
      <c r="E237" s="2" t="s">
        <v>8</v>
      </c>
      <c r="F237" s="16"/>
      <c r="G237" s="16"/>
      <c r="H237" s="16">
        <f>VLOOKUP(B:B,'[1]Master Sheet'!$B:$H,7,0)</f>
        <v>500</v>
      </c>
      <c r="I237" s="16">
        <f>VLOOKUP(B:B,'[1]Master Sheet'!$B:$I,8,0)</f>
        <v>408</v>
      </c>
      <c r="J237" s="16"/>
      <c r="K237" s="3" t="s">
        <v>2991</v>
      </c>
      <c r="L237" s="3" t="s">
        <v>3057</v>
      </c>
      <c r="M237" s="3" t="s">
        <v>3056</v>
      </c>
      <c r="N237" s="3"/>
      <c r="O237" s="3"/>
    </row>
    <row r="238" spans="1:15" s="4" customFormat="1">
      <c r="A238" s="2">
        <v>237</v>
      </c>
      <c r="B238" s="3" t="s">
        <v>581</v>
      </c>
      <c r="C238" s="3" t="s">
        <v>582</v>
      </c>
      <c r="D238" s="2" t="s">
        <v>17</v>
      </c>
      <c r="E238" s="2" t="s">
        <v>8</v>
      </c>
      <c r="F238" s="16"/>
      <c r="G238" s="16"/>
      <c r="H238" s="16">
        <f>VLOOKUP(B:B,'[1]Master Sheet'!$B:$H,7,0)</f>
        <v>300</v>
      </c>
      <c r="I238" s="16">
        <f>VLOOKUP(B:B,'[1]Master Sheet'!$B:$I,8,0)</f>
        <v>0</v>
      </c>
      <c r="J238" s="16"/>
      <c r="K238" s="3" t="s">
        <v>2972</v>
      </c>
      <c r="L238" s="3" t="s">
        <v>3055</v>
      </c>
      <c r="M238" s="3" t="s">
        <v>3056</v>
      </c>
      <c r="N238" s="3"/>
      <c r="O238" s="3"/>
    </row>
    <row r="239" spans="1:15" s="4" customFormat="1">
      <c r="A239" s="2">
        <v>238</v>
      </c>
      <c r="B239" s="3" t="s">
        <v>426</v>
      </c>
      <c r="C239" s="3" t="s">
        <v>427</v>
      </c>
      <c r="D239" s="2" t="s">
        <v>148</v>
      </c>
      <c r="E239" s="2" t="s">
        <v>8</v>
      </c>
      <c r="F239" s="16"/>
      <c r="G239" s="16"/>
      <c r="H239" s="16">
        <f>VLOOKUP(B:B,'[1]Master Sheet'!$B:$H,7,0)</f>
        <v>10</v>
      </c>
      <c r="I239" s="16">
        <f>VLOOKUP(B:B,'[1]Master Sheet'!$B:$I,8,0)</f>
        <v>0</v>
      </c>
      <c r="J239" s="16"/>
      <c r="K239" s="3" t="s">
        <v>2991</v>
      </c>
      <c r="L239" s="3" t="s">
        <v>3057</v>
      </c>
      <c r="M239" s="3" t="s">
        <v>3056</v>
      </c>
      <c r="N239" s="3"/>
      <c r="O239" s="3"/>
    </row>
    <row r="240" spans="1:15" s="4" customFormat="1">
      <c r="A240" s="2">
        <v>239</v>
      </c>
      <c r="B240" s="3" t="s">
        <v>430</v>
      </c>
      <c r="C240" s="3" t="s">
        <v>431</v>
      </c>
      <c r="D240" s="2" t="s">
        <v>17</v>
      </c>
      <c r="E240" s="2" t="s">
        <v>8</v>
      </c>
      <c r="F240" s="16"/>
      <c r="G240" s="16"/>
      <c r="H240" s="16">
        <f>VLOOKUP(B:B,'[1]Master Sheet'!$B:$H,7,0)</f>
        <v>500</v>
      </c>
      <c r="I240" s="16">
        <f>VLOOKUP(B:B,'[1]Master Sheet'!$B:$I,8,0)</f>
        <v>0</v>
      </c>
      <c r="J240" s="16"/>
      <c r="K240" s="3" t="s">
        <v>2974</v>
      </c>
      <c r="L240" s="3" t="s">
        <v>3057</v>
      </c>
      <c r="M240" s="3" t="s">
        <v>3056</v>
      </c>
      <c r="N240" s="3"/>
      <c r="O240" s="3"/>
    </row>
    <row r="241" spans="1:15" s="4" customFormat="1">
      <c r="A241" s="2">
        <v>240</v>
      </c>
      <c r="B241" s="3" t="s">
        <v>589</v>
      </c>
      <c r="C241" s="3" t="s">
        <v>590</v>
      </c>
      <c r="D241" s="2" t="s">
        <v>17</v>
      </c>
      <c r="E241" s="2" t="s">
        <v>8</v>
      </c>
      <c r="F241" s="16"/>
      <c r="G241" s="16"/>
      <c r="H241" s="16">
        <f>VLOOKUP(B:B,'[1]Master Sheet'!$B:$H,7,0)</f>
        <v>1000</v>
      </c>
      <c r="I241" s="16">
        <f>VLOOKUP(B:B,'[1]Master Sheet'!$B:$I,8,0)</f>
        <v>0</v>
      </c>
      <c r="J241" s="16"/>
      <c r="K241" s="3" t="s">
        <v>2972</v>
      </c>
      <c r="L241" s="3" t="s">
        <v>3055</v>
      </c>
      <c r="M241" s="3" t="s">
        <v>3056</v>
      </c>
      <c r="N241" s="3"/>
      <c r="O241" s="3"/>
    </row>
    <row r="242" spans="1:15" s="4" customFormat="1">
      <c r="A242" s="2">
        <v>241</v>
      </c>
      <c r="B242" s="3" t="s">
        <v>434</v>
      </c>
      <c r="C242" s="3" t="s">
        <v>435</v>
      </c>
      <c r="D242" s="2" t="s">
        <v>20</v>
      </c>
      <c r="E242" s="2" t="s">
        <v>8</v>
      </c>
      <c r="F242" s="16"/>
      <c r="G242" s="16"/>
      <c r="H242" s="16">
        <f>VLOOKUP(B:B,'[1]Master Sheet'!$B:$H,7,0)</f>
        <v>25</v>
      </c>
      <c r="I242" s="16">
        <f>VLOOKUP(B:B,'[1]Master Sheet'!$B:$I,8,0)</f>
        <v>50</v>
      </c>
      <c r="J242" s="16"/>
      <c r="K242" s="3" t="s">
        <v>2991</v>
      </c>
      <c r="L242" s="3" t="s">
        <v>3057</v>
      </c>
      <c r="M242" s="3" t="s">
        <v>3056</v>
      </c>
      <c r="N242" s="3"/>
      <c r="O242" s="3"/>
    </row>
    <row r="243" spans="1:15" s="4" customFormat="1">
      <c r="A243" s="2">
        <v>242</v>
      </c>
      <c r="B243" s="3" t="s">
        <v>436</v>
      </c>
      <c r="C243" s="3" t="s">
        <v>437</v>
      </c>
      <c r="D243" s="2" t="s">
        <v>20</v>
      </c>
      <c r="E243" s="2" t="s">
        <v>8</v>
      </c>
      <c r="F243" s="16"/>
      <c r="G243" s="16"/>
      <c r="H243" s="16">
        <f>VLOOKUP(B:B,'[1]Master Sheet'!$B:$H,7,0)</f>
        <v>50</v>
      </c>
      <c r="I243" s="16">
        <f>VLOOKUP(B:B,'[1]Master Sheet'!$B:$I,8,0)</f>
        <v>0</v>
      </c>
      <c r="J243" s="16"/>
      <c r="K243" s="3" t="s">
        <v>2991</v>
      </c>
      <c r="L243" s="3" t="s">
        <v>3057</v>
      </c>
      <c r="M243" s="3" t="s">
        <v>3056</v>
      </c>
      <c r="N243" s="3"/>
      <c r="O243" s="3"/>
    </row>
    <row r="244" spans="1:15" s="4" customFormat="1">
      <c r="A244" s="2">
        <v>243</v>
      </c>
      <c r="B244" s="3" t="s">
        <v>438</v>
      </c>
      <c r="C244" s="3" t="s">
        <v>439</v>
      </c>
      <c r="D244" s="2" t="s">
        <v>20</v>
      </c>
      <c r="E244" s="2" t="s">
        <v>8</v>
      </c>
      <c r="F244" s="16"/>
      <c r="G244" s="16"/>
      <c r="H244" s="16">
        <f>VLOOKUP(B:B,'[1]Master Sheet'!$B:$H,7,0)</f>
        <v>50</v>
      </c>
      <c r="I244" s="16">
        <f>VLOOKUP(B:B,'[1]Master Sheet'!$B:$I,8,0)</f>
        <v>0</v>
      </c>
      <c r="J244" s="16"/>
      <c r="K244" s="3" t="s">
        <v>2991</v>
      </c>
      <c r="L244" s="3" t="s">
        <v>3057</v>
      </c>
      <c r="M244" s="3" t="s">
        <v>3056</v>
      </c>
      <c r="N244" s="3"/>
      <c r="O244" s="3"/>
    </row>
    <row r="245" spans="1:15" s="4" customFormat="1">
      <c r="A245" s="2">
        <v>244</v>
      </c>
      <c r="B245" s="3" t="s">
        <v>440</v>
      </c>
      <c r="C245" s="3" t="s">
        <v>441</v>
      </c>
      <c r="D245" s="2" t="s">
        <v>20</v>
      </c>
      <c r="E245" s="2" t="s">
        <v>8</v>
      </c>
      <c r="F245" s="16"/>
      <c r="G245" s="16"/>
      <c r="H245" s="16">
        <f>VLOOKUP(B:B,'[1]Master Sheet'!$B:$H,7,0)</f>
        <v>50</v>
      </c>
      <c r="I245" s="16">
        <f>VLOOKUP(B:B,'[1]Master Sheet'!$B:$I,8,0)</f>
        <v>0</v>
      </c>
      <c r="J245" s="16"/>
      <c r="K245" s="3" t="s">
        <v>2991</v>
      </c>
      <c r="L245" s="3" t="s">
        <v>3057</v>
      </c>
      <c r="M245" s="3" t="s">
        <v>3056</v>
      </c>
      <c r="N245" s="3"/>
      <c r="O245" s="3"/>
    </row>
    <row r="246" spans="1:15" s="4" customFormat="1">
      <c r="A246" s="2">
        <v>245</v>
      </c>
      <c r="B246" s="3" t="s">
        <v>599</v>
      </c>
      <c r="C246" s="3" t="s">
        <v>600</v>
      </c>
      <c r="D246" s="2" t="s">
        <v>7</v>
      </c>
      <c r="E246" s="2" t="s">
        <v>8</v>
      </c>
      <c r="F246" s="16"/>
      <c r="G246" s="16"/>
      <c r="H246" s="16">
        <f>VLOOKUP(B:B,'[1]Master Sheet'!$B:$H,7,0)</f>
        <v>0</v>
      </c>
      <c r="I246" s="16">
        <f>VLOOKUP(B:B,'[1]Master Sheet'!$B:$I,8,0)</f>
        <v>0</v>
      </c>
      <c r="J246" s="16"/>
      <c r="K246" s="3" t="s">
        <v>2965</v>
      </c>
      <c r="L246" s="3" t="s">
        <v>3055</v>
      </c>
      <c r="M246" s="3" t="s">
        <v>3056</v>
      </c>
      <c r="N246" s="3"/>
      <c r="O246" s="3"/>
    </row>
    <row r="247" spans="1:15" s="4" customFormat="1">
      <c r="A247" s="2">
        <v>246</v>
      </c>
      <c r="B247" s="3" t="s">
        <v>442</v>
      </c>
      <c r="C247" s="3" t="s">
        <v>443</v>
      </c>
      <c r="D247" s="2" t="s">
        <v>20</v>
      </c>
      <c r="E247" s="2" t="s">
        <v>8</v>
      </c>
      <c r="F247" s="16"/>
      <c r="G247" s="16"/>
      <c r="H247" s="16">
        <f>VLOOKUP(B:B,'[1]Master Sheet'!$B:$H,7,0)</f>
        <v>50</v>
      </c>
      <c r="I247" s="16">
        <f>VLOOKUP(B:B,'[1]Master Sheet'!$B:$I,8,0)</f>
        <v>100</v>
      </c>
      <c r="J247" s="16"/>
      <c r="K247" s="3" t="s">
        <v>2991</v>
      </c>
      <c r="L247" s="3" t="s">
        <v>3057</v>
      </c>
      <c r="M247" s="3" t="s">
        <v>3056</v>
      </c>
      <c r="N247" s="3"/>
      <c r="O247" s="3"/>
    </row>
    <row r="248" spans="1:15" s="4" customFormat="1">
      <c r="A248" s="2">
        <v>247</v>
      </c>
      <c r="B248" s="3" t="s">
        <v>480</v>
      </c>
      <c r="C248" s="3" t="s">
        <v>481</v>
      </c>
      <c r="D248" s="2" t="s">
        <v>17</v>
      </c>
      <c r="E248" s="2" t="s">
        <v>8</v>
      </c>
      <c r="F248" s="16"/>
      <c r="G248" s="16"/>
      <c r="H248" s="16">
        <f>VLOOKUP(B:B,'[1]Master Sheet'!$B:$H,7,0)</f>
        <v>150</v>
      </c>
      <c r="I248" s="16">
        <f>VLOOKUP(B:B,'[1]Master Sheet'!$B:$I,8,0)</f>
        <v>0</v>
      </c>
      <c r="J248" s="16"/>
      <c r="K248" s="3" t="s">
        <v>2991</v>
      </c>
      <c r="L248" s="3" t="s">
        <v>3057</v>
      </c>
      <c r="M248" s="3" t="s">
        <v>3056</v>
      </c>
      <c r="N248" s="3"/>
      <c r="O248" s="3"/>
    </row>
    <row r="249" spans="1:15" s="4" customFormat="1">
      <c r="A249" s="2">
        <v>248</v>
      </c>
      <c r="B249" s="3" t="s">
        <v>482</v>
      </c>
      <c r="C249" s="3" t="s">
        <v>483</v>
      </c>
      <c r="D249" s="2" t="s">
        <v>17</v>
      </c>
      <c r="E249" s="2" t="s">
        <v>8</v>
      </c>
      <c r="F249" s="16"/>
      <c r="G249" s="16"/>
      <c r="H249" s="16">
        <f>VLOOKUP(B:B,'[1]Master Sheet'!$B:$H,7,0)</f>
        <v>150</v>
      </c>
      <c r="I249" s="16">
        <f>VLOOKUP(B:B,'[1]Master Sheet'!$B:$I,8,0)</f>
        <v>0</v>
      </c>
      <c r="J249" s="16"/>
      <c r="K249" s="3" t="s">
        <v>2991</v>
      </c>
      <c r="L249" s="3" t="s">
        <v>3057</v>
      </c>
      <c r="M249" s="3" t="s">
        <v>3056</v>
      </c>
      <c r="N249" s="3"/>
      <c r="O249" s="3"/>
    </row>
    <row r="250" spans="1:15" s="4" customFormat="1">
      <c r="A250" s="2">
        <v>249</v>
      </c>
      <c r="B250" s="3" t="s">
        <v>484</v>
      </c>
      <c r="C250" s="3" t="s">
        <v>485</v>
      </c>
      <c r="D250" s="2" t="s">
        <v>17</v>
      </c>
      <c r="E250" s="2" t="s">
        <v>8</v>
      </c>
      <c r="F250" s="16"/>
      <c r="G250" s="16"/>
      <c r="H250" s="16">
        <f>VLOOKUP(B:B,'[1]Master Sheet'!$B:$H,7,0)</f>
        <v>150</v>
      </c>
      <c r="I250" s="16">
        <f>VLOOKUP(B:B,'[1]Master Sheet'!$B:$I,8,0)</f>
        <v>0</v>
      </c>
      <c r="J250" s="16"/>
      <c r="K250" s="3" t="s">
        <v>2991</v>
      </c>
      <c r="L250" s="3" t="s">
        <v>3057</v>
      </c>
      <c r="M250" s="3" t="s">
        <v>3056</v>
      </c>
      <c r="N250" s="3"/>
      <c r="O250" s="3"/>
    </row>
    <row r="251" spans="1:15" s="4" customFormat="1">
      <c r="A251" s="2">
        <v>250</v>
      </c>
      <c r="B251" s="3" t="s">
        <v>486</v>
      </c>
      <c r="C251" s="3" t="s">
        <v>487</v>
      </c>
      <c r="D251" s="2" t="s">
        <v>17</v>
      </c>
      <c r="E251" s="2" t="s">
        <v>8</v>
      </c>
      <c r="F251" s="16"/>
      <c r="G251" s="16"/>
      <c r="H251" s="16">
        <f>VLOOKUP(B:B,'[1]Master Sheet'!$B:$H,7,0)</f>
        <v>150</v>
      </c>
      <c r="I251" s="16">
        <f>VLOOKUP(B:B,'[1]Master Sheet'!$B:$I,8,0)</f>
        <v>0</v>
      </c>
      <c r="J251" s="16"/>
      <c r="K251" s="3" t="s">
        <v>2991</v>
      </c>
      <c r="L251" s="3" t="s">
        <v>3057</v>
      </c>
      <c r="M251" s="3" t="s">
        <v>3056</v>
      </c>
      <c r="N251" s="3"/>
      <c r="O251" s="3"/>
    </row>
    <row r="252" spans="1:15" s="4" customFormat="1">
      <c r="A252" s="2">
        <v>251</v>
      </c>
      <c r="B252" s="3" t="s">
        <v>490</v>
      </c>
      <c r="C252" s="3" t="s">
        <v>491</v>
      </c>
      <c r="D252" s="2" t="s">
        <v>17</v>
      </c>
      <c r="E252" s="2" t="s">
        <v>8</v>
      </c>
      <c r="F252" s="16"/>
      <c r="G252" s="16"/>
      <c r="H252" s="16">
        <f>VLOOKUP(B:B,'[1]Master Sheet'!$B:$H,7,0)</f>
        <v>0</v>
      </c>
      <c r="I252" s="16">
        <f>VLOOKUP(B:B,'[1]Master Sheet'!$B:$I,8,0)</f>
        <v>0</v>
      </c>
      <c r="J252" s="16"/>
      <c r="K252" s="3" t="s">
        <v>2972</v>
      </c>
      <c r="L252" s="3" t="s">
        <v>3057</v>
      </c>
      <c r="M252" s="3" t="s">
        <v>3056</v>
      </c>
      <c r="N252" s="3"/>
      <c r="O252" s="3"/>
    </row>
    <row r="253" spans="1:15" s="4" customFormat="1">
      <c r="A253" s="2">
        <v>252</v>
      </c>
      <c r="B253" s="3" t="s">
        <v>492</v>
      </c>
      <c r="C253" s="3" t="s">
        <v>493</v>
      </c>
      <c r="D253" s="2" t="s">
        <v>17</v>
      </c>
      <c r="E253" s="2" t="s">
        <v>8</v>
      </c>
      <c r="F253" s="16"/>
      <c r="G253" s="16"/>
      <c r="H253" s="16">
        <f>VLOOKUP(B:B,'[1]Master Sheet'!$B:$H,7,0)</f>
        <v>0</v>
      </c>
      <c r="I253" s="16">
        <f>VLOOKUP(B:B,'[1]Master Sheet'!$B:$I,8,0)</f>
        <v>0</v>
      </c>
      <c r="J253" s="16"/>
      <c r="K253" s="3" t="s">
        <v>2991</v>
      </c>
      <c r="L253" s="3" t="s">
        <v>3057</v>
      </c>
      <c r="M253" s="3" t="s">
        <v>3056</v>
      </c>
      <c r="N253" s="3"/>
      <c r="O253" s="3"/>
    </row>
    <row r="254" spans="1:15" s="4" customFormat="1">
      <c r="A254" s="2">
        <v>253</v>
      </c>
      <c r="B254" s="3" t="s">
        <v>496</v>
      </c>
      <c r="C254" s="3" t="s">
        <v>497</v>
      </c>
      <c r="D254" s="2" t="s">
        <v>17</v>
      </c>
      <c r="E254" s="2" t="s">
        <v>8</v>
      </c>
      <c r="F254" s="16"/>
      <c r="G254" s="16"/>
      <c r="H254" s="16">
        <f>VLOOKUP(B:B,'[1]Master Sheet'!$B:$H,7,0)</f>
        <v>0</v>
      </c>
      <c r="I254" s="16">
        <f>VLOOKUP(B:B,'[1]Master Sheet'!$B:$I,8,0)</f>
        <v>0</v>
      </c>
      <c r="J254" s="16"/>
      <c r="K254" s="3" t="s">
        <v>2972</v>
      </c>
      <c r="L254" s="3" t="s">
        <v>3057</v>
      </c>
      <c r="M254" s="3" t="s">
        <v>3056</v>
      </c>
      <c r="N254" s="3"/>
      <c r="O254" s="3"/>
    </row>
    <row r="255" spans="1:15" s="4" customFormat="1">
      <c r="A255" s="2">
        <v>254</v>
      </c>
      <c r="B255" s="3" t="s">
        <v>623</v>
      </c>
      <c r="C255" s="3" t="s">
        <v>624</v>
      </c>
      <c r="D255" s="2" t="s">
        <v>17</v>
      </c>
      <c r="E255" s="2" t="s">
        <v>8</v>
      </c>
      <c r="F255" s="16"/>
      <c r="G255" s="16"/>
      <c r="H255" s="16">
        <f>VLOOKUP(B:B,'[1]Master Sheet'!$B:$H,7,0)</f>
        <v>2000</v>
      </c>
      <c r="I255" s="16">
        <f>VLOOKUP(B:B,'[1]Master Sheet'!$B:$I,8,0)</f>
        <v>0</v>
      </c>
      <c r="J255" s="16"/>
      <c r="K255" s="3" t="s">
        <v>2972</v>
      </c>
      <c r="L255" s="3" t="s">
        <v>3060</v>
      </c>
      <c r="M255" s="3" t="s">
        <v>3058</v>
      </c>
      <c r="N255" s="3"/>
      <c r="O255" s="3"/>
    </row>
    <row r="256" spans="1:15" s="4" customFormat="1">
      <c r="A256" s="2">
        <v>255</v>
      </c>
      <c r="B256" s="3" t="s">
        <v>625</v>
      </c>
      <c r="C256" s="3" t="s">
        <v>626</v>
      </c>
      <c r="D256" s="2" t="s">
        <v>17</v>
      </c>
      <c r="E256" s="2" t="s">
        <v>8</v>
      </c>
      <c r="F256" s="16"/>
      <c r="G256" s="16"/>
      <c r="H256" s="16">
        <f>VLOOKUP(B:B,'[1]Master Sheet'!$B:$H,7,0)</f>
        <v>2000</v>
      </c>
      <c r="I256" s="16">
        <f>VLOOKUP(B:B,'[1]Master Sheet'!$B:$I,8,0)</f>
        <v>5000</v>
      </c>
      <c r="J256" s="16"/>
      <c r="K256" s="3" t="s">
        <v>2972</v>
      </c>
      <c r="L256" s="3" t="s">
        <v>3060</v>
      </c>
      <c r="M256" s="3" t="s">
        <v>3058</v>
      </c>
      <c r="N256" s="3"/>
      <c r="O256" s="3"/>
    </row>
    <row r="257" spans="1:15" s="4" customFormat="1">
      <c r="A257" s="2">
        <v>256</v>
      </c>
      <c r="B257" s="3" t="s">
        <v>627</v>
      </c>
      <c r="C257" s="3" t="s">
        <v>628</v>
      </c>
      <c r="D257" s="2" t="s">
        <v>17</v>
      </c>
      <c r="E257" s="2" t="s">
        <v>8</v>
      </c>
      <c r="F257" s="16"/>
      <c r="G257" s="16"/>
      <c r="H257" s="16">
        <f>VLOOKUP(B:B,'[1]Master Sheet'!$B:$H,7,0)</f>
        <v>3000</v>
      </c>
      <c r="I257" s="16">
        <f>VLOOKUP(B:B,'[1]Master Sheet'!$B:$I,8,0)</f>
        <v>0</v>
      </c>
      <c r="J257" s="16"/>
      <c r="K257" s="3" t="s">
        <v>2972</v>
      </c>
      <c r="L257" s="3" t="s">
        <v>3060</v>
      </c>
      <c r="M257" s="3" t="s">
        <v>3058</v>
      </c>
      <c r="N257" s="3"/>
      <c r="O257" s="3"/>
    </row>
    <row r="258" spans="1:15" s="4" customFormat="1">
      <c r="A258" s="2">
        <v>257</v>
      </c>
      <c r="B258" s="3" t="s">
        <v>629</v>
      </c>
      <c r="C258" s="3" t="s">
        <v>630</v>
      </c>
      <c r="D258" s="2" t="s">
        <v>17</v>
      </c>
      <c r="E258" s="2" t="s">
        <v>8</v>
      </c>
      <c r="F258" s="16"/>
      <c r="G258" s="16"/>
      <c r="H258" s="16">
        <f>VLOOKUP(B:B,'[1]Master Sheet'!$B:$H,7,0)</f>
        <v>3500</v>
      </c>
      <c r="I258" s="16">
        <f>VLOOKUP(B:B,'[1]Master Sheet'!$B:$I,8,0)</f>
        <v>0</v>
      </c>
      <c r="J258" s="16"/>
      <c r="K258" s="3" t="s">
        <v>2972</v>
      </c>
      <c r="L258" s="3" t="s">
        <v>3060</v>
      </c>
      <c r="M258" s="3" t="s">
        <v>3058</v>
      </c>
      <c r="N258" s="3"/>
      <c r="O258" s="3"/>
    </row>
    <row r="259" spans="1:15" s="4" customFormat="1">
      <c r="A259" s="2">
        <v>258</v>
      </c>
      <c r="B259" s="3" t="s">
        <v>633</v>
      </c>
      <c r="C259" s="3" t="s">
        <v>634</v>
      </c>
      <c r="D259" s="2" t="s">
        <v>20</v>
      </c>
      <c r="E259" s="2" t="s">
        <v>8</v>
      </c>
      <c r="F259" s="16"/>
      <c r="G259" s="16"/>
      <c r="H259" s="16">
        <f>VLOOKUP(B:B,'[1]Master Sheet'!$B:$H,7,0)</f>
        <v>200</v>
      </c>
      <c r="I259" s="16">
        <f>VLOOKUP(B:B,'[1]Master Sheet'!$B:$I,8,0)</f>
        <v>0</v>
      </c>
      <c r="J259" s="16"/>
      <c r="K259" s="3" t="s">
        <v>3034</v>
      </c>
      <c r="L259" s="3" t="s">
        <v>3059</v>
      </c>
      <c r="M259" s="3" t="s">
        <v>3056</v>
      </c>
      <c r="N259" s="3"/>
      <c r="O259" s="3"/>
    </row>
    <row r="260" spans="1:15" s="4" customFormat="1">
      <c r="A260" s="2">
        <v>259</v>
      </c>
      <c r="B260" s="3" t="s">
        <v>635</v>
      </c>
      <c r="C260" s="3" t="s">
        <v>636</v>
      </c>
      <c r="D260" s="2" t="s">
        <v>20</v>
      </c>
      <c r="E260" s="2" t="s">
        <v>8</v>
      </c>
      <c r="F260" s="16">
        <f>9926+24958</f>
        <v>34884</v>
      </c>
      <c r="G260" s="16"/>
      <c r="H260" s="16">
        <f>VLOOKUP(B:B,'[1]Master Sheet'!$B:$H,7,0)</f>
        <v>50000</v>
      </c>
      <c r="I260" s="16">
        <f>VLOOKUP(B:B,'[1]Master Sheet'!$B:$I,8,0)</f>
        <v>110000</v>
      </c>
      <c r="J260" s="16"/>
      <c r="K260" s="3" t="s">
        <v>3034</v>
      </c>
      <c r="L260" s="3" t="s">
        <v>3059</v>
      </c>
      <c r="M260" s="3" t="s">
        <v>3056</v>
      </c>
      <c r="N260" s="3"/>
      <c r="O260" s="3"/>
    </row>
    <row r="261" spans="1:15" s="4" customFormat="1">
      <c r="A261" s="2">
        <v>260</v>
      </c>
      <c r="B261" s="3" t="s">
        <v>498</v>
      </c>
      <c r="C261" s="3" t="s">
        <v>499</v>
      </c>
      <c r="D261" s="2" t="s">
        <v>17</v>
      </c>
      <c r="E261" s="2" t="s">
        <v>8</v>
      </c>
      <c r="F261" s="16"/>
      <c r="G261" s="16"/>
      <c r="H261" s="16">
        <f>VLOOKUP(B:B,'[1]Master Sheet'!$B:$H,7,0)</f>
        <v>0</v>
      </c>
      <c r="I261" s="16">
        <f>VLOOKUP(B:B,'[1]Master Sheet'!$B:$I,8,0)</f>
        <v>0</v>
      </c>
      <c r="J261" s="16"/>
      <c r="K261" s="3" t="s">
        <v>2972</v>
      </c>
      <c r="L261" s="3" t="s">
        <v>3057</v>
      </c>
      <c r="M261" s="3" t="s">
        <v>3056</v>
      </c>
      <c r="N261" s="3"/>
      <c r="O261" s="3"/>
    </row>
    <row r="262" spans="1:15" s="4" customFormat="1">
      <c r="A262" s="2">
        <v>261</v>
      </c>
      <c r="B262" s="3" t="s">
        <v>500</v>
      </c>
      <c r="C262" s="3" t="s">
        <v>501</v>
      </c>
      <c r="D262" s="2" t="s">
        <v>17</v>
      </c>
      <c r="E262" s="2" t="s">
        <v>8</v>
      </c>
      <c r="F262" s="16"/>
      <c r="G262" s="16"/>
      <c r="H262" s="16">
        <f>VLOOKUP(B:B,'[1]Master Sheet'!$B:$H,7,0)</f>
        <v>0</v>
      </c>
      <c r="I262" s="16">
        <f>VLOOKUP(B:B,'[1]Master Sheet'!$B:$I,8,0)</f>
        <v>0</v>
      </c>
      <c r="J262" s="16"/>
      <c r="K262" s="3" t="s">
        <v>2972</v>
      </c>
      <c r="L262" s="3" t="s">
        <v>3057</v>
      </c>
      <c r="M262" s="3" t="s">
        <v>3056</v>
      </c>
      <c r="N262" s="3"/>
      <c r="O262" s="3"/>
    </row>
    <row r="263" spans="1:15" s="4" customFormat="1">
      <c r="A263" s="2">
        <v>262</v>
      </c>
      <c r="B263" s="3" t="s">
        <v>504</v>
      </c>
      <c r="C263" s="3" t="s">
        <v>505</v>
      </c>
      <c r="D263" s="2" t="s">
        <v>17</v>
      </c>
      <c r="E263" s="2" t="s">
        <v>8</v>
      </c>
      <c r="F263" s="16"/>
      <c r="G263" s="16"/>
      <c r="H263" s="16">
        <f>VLOOKUP(B:B,'[1]Master Sheet'!$B:$H,7,0)</f>
        <v>150</v>
      </c>
      <c r="I263" s="16">
        <f>VLOOKUP(B:B,'[1]Master Sheet'!$B:$I,8,0)</f>
        <v>0</v>
      </c>
      <c r="J263" s="16"/>
      <c r="K263" s="3" t="s">
        <v>2972</v>
      </c>
      <c r="L263" s="3" t="s">
        <v>3057</v>
      </c>
      <c r="M263" s="3" t="s">
        <v>3056</v>
      </c>
      <c r="N263" s="3"/>
      <c r="O263" s="3"/>
    </row>
    <row r="264" spans="1:15" s="4" customFormat="1">
      <c r="A264" s="2">
        <v>263</v>
      </c>
      <c r="B264" s="3" t="s">
        <v>642</v>
      </c>
      <c r="C264" s="3" t="s">
        <v>643</v>
      </c>
      <c r="D264" s="2" t="s">
        <v>17</v>
      </c>
      <c r="E264" s="2" t="s">
        <v>8</v>
      </c>
      <c r="F264" s="16"/>
      <c r="G264" s="16"/>
      <c r="H264" s="16">
        <f>VLOOKUP(B:B,'[1]Master Sheet'!$B:$H,7,0)</f>
        <v>0</v>
      </c>
      <c r="I264" s="16">
        <f>VLOOKUP(B:B,'[1]Master Sheet'!$B:$I,8,0)</f>
        <v>0</v>
      </c>
      <c r="J264" s="16"/>
      <c r="K264" s="3" t="s">
        <v>3050</v>
      </c>
      <c r="L264" s="3" t="s">
        <v>3055</v>
      </c>
      <c r="M264" s="3" t="s">
        <v>3061</v>
      </c>
      <c r="N264" s="3"/>
      <c r="O264" s="3"/>
    </row>
    <row r="265" spans="1:15" s="4" customFormat="1">
      <c r="A265" s="2">
        <v>264</v>
      </c>
      <c r="B265" s="3" t="s">
        <v>644</v>
      </c>
      <c r="C265" s="3" t="s">
        <v>645</v>
      </c>
      <c r="D265" s="2" t="s">
        <v>17</v>
      </c>
      <c r="E265" s="2" t="s">
        <v>8</v>
      </c>
      <c r="F265" s="16"/>
      <c r="G265" s="16"/>
      <c r="H265" s="16">
        <f>VLOOKUP(B:B,'[1]Master Sheet'!$B:$H,7,0)</f>
        <v>0</v>
      </c>
      <c r="I265" s="16">
        <f>VLOOKUP(B:B,'[1]Master Sheet'!$B:$I,8,0)</f>
        <v>0</v>
      </c>
      <c r="J265" s="16"/>
      <c r="K265" s="3" t="s">
        <v>3050</v>
      </c>
      <c r="L265" s="3" t="s">
        <v>3055</v>
      </c>
      <c r="M265" s="3" t="s">
        <v>3061</v>
      </c>
      <c r="N265" s="3"/>
      <c r="O265" s="3"/>
    </row>
    <row r="266" spans="1:15" s="4" customFormat="1">
      <c r="A266" s="2">
        <v>265</v>
      </c>
      <c r="B266" s="3" t="s">
        <v>646</v>
      </c>
      <c r="C266" s="3" t="s">
        <v>647</v>
      </c>
      <c r="D266" s="2" t="s">
        <v>7</v>
      </c>
      <c r="E266" s="2" t="s">
        <v>8</v>
      </c>
      <c r="F266" s="16"/>
      <c r="G266" s="16"/>
      <c r="H266" s="16">
        <f>VLOOKUP(B:B,'[1]Master Sheet'!$B:$H,7,0)</f>
        <v>8000</v>
      </c>
      <c r="I266" s="16">
        <f>VLOOKUP(B:B,'[1]Master Sheet'!$B:$I,8,0)</f>
        <v>0</v>
      </c>
      <c r="J266" s="16"/>
      <c r="K266" s="3" t="s">
        <v>2965</v>
      </c>
      <c r="L266" s="3" t="s">
        <v>3055</v>
      </c>
      <c r="M266" s="3" t="s">
        <v>3056</v>
      </c>
      <c r="N266" s="3"/>
      <c r="O266" s="3"/>
    </row>
    <row r="267" spans="1:15" s="4" customFormat="1">
      <c r="A267" s="2">
        <v>266</v>
      </c>
      <c r="B267" s="3" t="s">
        <v>648</v>
      </c>
      <c r="C267" s="3" t="s">
        <v>649</v>
      </c>
      <c r="D267" s="2" t="s">
        <v>7</v>
      </c>
      <c r="E267" s="2" t="s">
        <v>8</v>
      </c>
      <c r="F267" s="16"/>
      <c r="G267" s="16"/>
      <c r="H267" s="16">
        <f>VLOOKUP(B:B,'[1]Master Sheet'!$B:$H,7,0)</f>
        <v>500</v>
      </c>
      <c r="I267" s="16">
        <f>VLOOKUP(B:B,'[1]Master Sheet'!$B:$I,8,0)</f>
        <v>0</v>
      </c>
      <c r="J267" s="16"/>
      <c r="K267" s="3" t="s">
        <v>2965</v>
      </c>
      <c r="L267" s="3" t="s">
        <v>3055</v>
      </c>
      <c r="M267" s="3" t="s">
        <v>3056</v>
      </c>
      <c r="N267" s="3"/>
      <c r="O267" s="3"/>
    </row>
    <row r="268" spans="1:15" s="4" customFormat="1">
      <c r="A268" s="2">
        <v>267</v>
      </c>
      <c r="B268" s="3" t="s">
        <v>650</v>
      </c>
      <c r="C268" s="3" t="s">
        <v>651</v>
      </c>
      <c r="D268" s="2" t="s">
        <v>7</v>
      </c>
      <c r="E268" s="2" t="s">
        <v>8</v>
      </c>
      <c r="F268" s="16"/>
      <c r="G268" s="16"/>
      <c r="H268" s="16">
        <f>VLOOKUP(B:B,'[1]Master Sheet'!$B:$H,7,0)</f>
        <v>500</v>
      </c>
      <c r="I268" s="16">
        <f>VLOOKUP(B:B,'[1]Master Sheet'!$B:$I,8,0)</f>
        <v>0</v>
      </c>
      <c r="J268" s="16"/>
      <c r="K268" s="3" t="s">
        <v>2965</v>
      </c>
      <c r="L268" s="3" t="s">
        <v>3055</v>
      </c>
      <c r="M268" s="3" t="s">
        <v>3056</v>
      </c>
      <c r="N268" s="3"/>
      <c r="O268" s="3"/>
    </row>
    <row r="269" spans="1:15" s="4" customFormat="1">
      <c r="A269" s="2">
        <v>268</v>
      </c>
      <c r="B269" s="3" t="s">
        <v>652</v>
      </c>
      <c r="C269" s="3" t="s">
        <v>653</v>
      </c>
      <c r="D269" s="2" t="s">
        <v>7</v>
      </c>
      <c r="E269" s="2" t="s">
        <v>8</v>
      </c>
      <c r="F269" s="16"/>
      <c r="G269" s="16"/>
      <c r="H269" s="16">
        <f>VLOOKUP(B:B,'[1]Master Sheet'!$B:$H,7,0)</f>
        <v>500</v>
      </c>
      <c r="I269" s="16">
        <f>VLOOKUP(B:B,'[1]Master Sheet'!$B:$I,8,0)</f>
        <v>0</v>
      </c>
      <c r="J269" s="16"/>
      <c r="K269" s="3" t="s">
        <v>2965</v>
      </c>
      <c r="L269" s="3" t="s">
        <v>3055</v>
      </c>
      <c r="M269" s="3" t="s">
        <v>3056</v>
      </c>
      <c r="N269" s="3"/>
      <c r="O269" s="3"/>
    </row>
    <row r="270" spans="1:15" s="4" customFormat="1">
      <c r="A270" s="2">
        <v>269</v>
      </c>
      <c r="B270" s="3" t="s">
        <v>654</v>
      </c>
      <c r="C270" s="3" t="s">
        <v>655</v>
      </c>
      <c r="D270" s="2" t="s">
        <v>7</v>
      </c>
      <c r="E270" s="2" t="s">
        <v>8</v>
      </c>
      <c r="F270" s="16"/>
      <c r="G270" s="16"/>
      <c r="H270" s="16">
        <f>VLOOKUP(B:B,'[1]Master Sheet'!$B:$H,7,0)</f>
        <v>500</v>
      </c>
      <c r="I270" s="16">
        <f>VLOOKUP(B:B,'[1]Master Sheet'!$B:$I,8,0)</f>
        <v>1000</v>
      </c>
      <c r="J270" s="16"/>
      <c r="K270" s="3" t="s">
        <v>2965</v>
      </c>
      <c r="L270" s="3" t="s">
        <v>3055</v>
      </c>
      <c r="M270" s="3" t="s">
        <v>3056</v>
      </c>
      <c r="N270" s="3"/>
      <c r="O270" s="3"/>
    </row>
    <row r="271" spans="1:15" s="4" customFormat="1">
      <c r="A271" s="2">
        <v>270</v>
      </c>
      <c r="B271" s="3" t="s">
        <v>656</v>
      </c>
      <c r="C271" s="3" t="s">
        <v>657</v>
      </c>
      <c r="D271" s="2" t="s">
        <v>7</v>
      </c>
      <c r="E271" s="2" t="s">
        <v>8</v>
      </c>
      <c r="F271" s="16"/>
      <c r="G271" s="16"/>
      <c r="H271" s="16">
        <f>VLOOKUP(B:B,'[1]Master Sheet'!$B:$H,7,0)</f>
        <v>100</v>
      </c>
      <c r="I271" s="16">
        <f>VLOOKUP(B:B,'[1]Master Sheet'!$B:$I,8,0)</f>
        <v>300</v>
      </c>
      <c r="J271" s="16"/>
      <c r="K271" s="3" t="s">
        <v>2965</v>
      </c>
      <c r="L271" s="3" t="s">
        <v>3055</v>
      </c>
      <c r="M271" s="3" t="s">
        <v>3056</v>
      </c>
      <c r="N271" s="3"/>
      <c r="O271" s="3"/>
    </row>
    <row r="272" spans="1:15" s="4" customFormat="1">
      <c r="A272" s="2">
        <v>271</v>
      </c>
      <c r="B272" s="3" t="s">
        <v>660</v>
      </c>
      <c r="C272" s="3" t="s">
        <v>661</v>
      </c>
      <c r="D272" s="2" t="s">
        <v>7</v>
      </c>
      <c r="E272" s="2" t="s">
        <v>8</v>
      </c>
      <c r="F272" s="16"/>
      <c r="G272" s="16"/>
      <c r="H272" s="16">
        <f>VLOOKUP(B:B,'[1]Master Sheet'!$B:$H,7,0)</f>
        <v>0</v>
      </c>
      <c r="I272" s="16">
        <f>VLOOKUP(B:B,'[1]Master Sheet'!$B:$I,8,0)</f>
        <v>0</v>
      </c>
      <c r="J272" s="16"/>
      <c r="K272" s="3" t="s">
        <v>2965</v>
      </c>
      <c r="L272" s="3" t="s">
        <v>3055</v>
      </c>
      <c r="M272" s="3" t="s">
        <v>3056</v>
      </c>
      <c r="N272" s="3"/>
      <c r="O272" s="3"/>
    </row>
    <row r="273" spans="1:15" s="4" customFormat="1">
      <c r="A273" s="2">
        <v>272</v>
      </c>
      <c r="B273" s="3" t="s">
        <v>662</v>
      </c>
      <c r="C273" s="3" t="s">
        <v>663</v>
      </c>
      <c r="D273" s="2" t="s">
        <v>7</v>
      </c>
      <c r="E273" s="2" t="s">
        <v>8</v>
      </c>
      <c r="F273" s="16"/>
      <c r="G273" s="16"/>
      <c r="H273" s="16">
        <f>VLOOKUP(B:B,'[1]Master Sheet'!$B:$H,7,0)</f>
        <v>0</v>
      </c>
      <c r="I273" s="16">
        <f>VLOOKUP(B:B,'[1]Master Sheet'!$B:$I,8,0)</f>
        <v>0</v>
      </c>
      <c r="J273" s="16"/>
      <c r="K273" s="3" t="s">
        <v>2965</v>
      </c>
      <c r="L273" s="3" t="s">
        <v>3055</v>
      </c>
      <c r="M273" s="3" t="s">
        <v>3056</v>
      </c>
      <c r="N273" s="3"/>
      <c r="O273" s="3"/>
    </row>
    <row r="274" spans="1:15" s="4" customFormat="1">
      <c r="A274" s="2">
        <v>273</v>
      </c>
      <c r="B274" s="3" t="s">
        <v>664</v>
      </c>
      <c r="C274" s="3" t="s">
        <v>665</v>
      </c>
      <c r="D274" s="2" t="s">
        <v>7</v>
      </c>
      <c r="E274" s="2" t="s">
        <v>8</v>
      </c>
      <c r="F274" s="16"/>
      <c r="G274" s="16"/>
      <c r="H274" s="16">
        <f>VLOOKUP(B:B,'[1]Master Sheet'!$B:$H,7,0)</f>
        <v>0</v>
      </c>
      <c r="I274" s="16">
        <f>VLOOKUP(B:B,'[1]Master Sheet'!$B:$I,8,0)</f>
        <v>0</v>
      </c>
      <c r="J274" s="16"/>
      <c r="K274" s="3" t="s">
        <v>2965</v>
      </c>
      <c r="L274" s="3" t="s">
        <v>3055</v>
      </c>
      <c r="M274" s="3" t="s">
        <v>3056</v>
      </c>
      <c r="N274" s="3"/>
      <c r="O274" s="3"/>
    </row>
    <row r="275" spans="1:15" s="4" customFormat="1">
      <c r="A275" s="2">
        <v>274</v>
      </c>
      <c r="B275" s="3" t="s">
        <v>666</v>
      </c>
      <c r="C275" s="3" t="s">
        <v>667</v>
      </c>
      <c r="D275" s="2" t="s">
        <v>7</v>
      </c>
      <c r="E275" s="2" t="s">
        <v>8</v>
      </c>
      <c r="F275" s="16"/>
      <c r="G275" s="16"/>
      <c r="H275" s="16">
        <f>VLOOKUP(B:B,'[1]Master Sheet'!$B:$H,7,0)</f>
        <v>0</v>
      </c>
      <c r="I275" s="16">
        <f>VLOOKUP(B:B,'[1]Master Sheet'!$B:$I,8,0)</f>
        <v>0</v>
      </c>
      <c r="J275" s="16"/>
      <c r="K275" s="3" t="s">
        <v>2965</v>
      </c>
      <c r="L275" s="3" t="s">
        <v>3055</v>
      </c>
      <c r="M275" s="3" t="s">
        <v>3056</v>
      </c>
      <c r="N275" s="3"/>
      <c r="O275" s="3"/>
    </row>
    <row r="276" spans="1:15" s="4" customFormat="1">
      <c r="A276" s="2">
        <v>275</v>
      </c>
      <c r="B276" s="3" t="s">
        <v>668</v>
      </c>
      <c r="C276" s="3" t="s">
        <v>669</v>
      </c>
      <c r="D276" s="2" t="s">
        <v>7</v>
      </c>
      <c r="E276" s="2" t="s">
        <v>8</v>
      </c>
      <c r="F276" s="16"/>
      <c r="G276" s="16"/>
      <c r="H276" s="16">
        <f>VLOOKUP(B:B,'[1]Master Sheet'!$B:$H,7,0)</f>
        <v>120</v>
      </c>
      <c r="I276" s="16">
        <f>VLOOKUP(B:B,'[1]Master Sheet'!$B:$I,8,0)</f>
        <v>0</v>
      </c>
      <c r="J276" s="16"/>
      <c r="K276" s="3" t="s">
        <v>2965</v>
      </c>
      <c r="L276" s="3" t="s">
        <v>3055</v>
      </c>
      <c r="M276" s="3" t="s">
        <v>3056</v>
      </c>
      <c r="N276" s="3"/>
      <c r="O276" s="3"/>
    </row>
    <row r="277" spans="1:15" s="4" customFormat="1">
      <c r="A277" s="2">
        <v>276</v>
      </c>
      <c r="B277" s="3" t="s">
        <v>670</v>
      </c>
      <c r="C277" s="3" t="s">
        <v>671</v>
      </c>
      <c r="D277" s="2" t="s">
        <v>7</v>
      </c>
      <c r="E277" s="2" t="s">
        <v>8</v>
      </c>
      <c r="F277" s="16"/>
      <c r="G277" s="16"/>
      <c r="H277" s="16">
        <f>VLOOKUP(B:B,'[1]Master Sheet'!$B:$H,7,0)</f>
        <v>200</v>
      </c>
      <c r="I277" s="16">
        <f>VLOOKUP(B:B,'[1]Master Sheet'!$B:$I,8,0)</f>
        <v>0</v>
      </c>
      <c r="J277" s="16"/>
      <c r="K277" s="3" t="s">
        <v>2965</v>
      </c>
      <c r="L277" s="3" t="s">
        <v>3055</v>
      </c>
      <c r="M277" s="3" t="s">
        <v>3056</v>
      </c>
      <c r="N277" s="3"/>
      <c r="O277" s="3"/>
    </row>
    <row r="278" spans="1:15" s="4" customFormat="1">
      <c r="A278" s="2">
        <v>277</v>
      </c>
      <c r="B278" s="3" t="s">
        <v>672</v>
      </c>
      <c r="C278" s="3" t="s">
        <v>673</v>
      </c>
      <c r="D278" s="2" t="s">
        <v>7</v>
      </c>
      <c r="E278" s="2" t="s">
        <v>8</v>
      </c>
      <c r="F278" s="16"/>
      <c r="G278" s="16"/>
      <c r="H278" s="16">
        <f>VLOOKUP(B:B,'[1]Master Sheet'!$B:$H,7,0)</f>
        <v>0</v>
      </c>
      <c r="I278" s="16">
        <f>VLOOKUP(B:B,'[1]Master Sheet'!$B:$I,8,0)</f>
        <v>0</v>
      </c>
      <c r="J278" s="16"/>
      <c r="K278" s="3" t="s">
        <v>2965</v>
      </c>
      <c r="L278" s="3" t="s">
        <v>3055</v>
      </c>
      <c r="M278" s="3" t="s">
        <v>3056</v>
      </c>
      <c r="N278" s="3"/>
      <c r="O278" s="3"/>
    </row>
    <row r="279" spans="1:15" s="4" customFormat="1">
      <c r="A279" s="2">
        <v>278</v>
      </c>
      <c r="B279" s="3" t="s">
        <v>674</v>
      </c>
      <c r="C279" s="3" t="s">
        <v>675</v>
      </c>
      <c r="D279" s="2" t="s">
        <v>7</v>
      </c>
      <c r="E279" s="2" t="s">
        <v>8</v>
      </c>
      <c r="F279" s="16"/>
      <c r="G279" s="16"/>
      <c r="H279" s="16">
        <f>VLOOKUP(B:B,'[1]Master Sheet'!$B:$H,7,0)</f>
        <v>0</v>
      </c>
      <c r="I279" s="16">
        <f>VLOOKUP(B:B,'[1]Master Sheet'!$B:$I,8,0)</f>
        <v>0</v>
      </c>
      <c r="J279" s="16"/>
      <c r="K279" s="3" t="s">
        <v>2965</v>
      </c>
      <c r="L279" s="3" t="s">
        <v>3055</v>
      </c>
      <c r="M279" s="3" t="s">
        <v>3056</v>
      </c>
      <c r="N279" s="3"/>
      <c r="O279" s="3"/>
    </row>
    <row r="280" spans="1:15" s="4" customFormat="1">
      <c r="A280" s="2">
        <v>279</v>
      </c>
      <c r="B280" s="3" t="s">
        <v>680</v>
      </c>
      <c r="C280" s="3" t="s">
        <v>681</v>
      </c>
      <c r="D280" s="2" t="s">
        <v>7</v>
      </c>
      <c r="E280" s="2" t="s">
        <v>8</v>
      </c>
      <c r="F280" s="16"/>
      <c r="G280" s="16"/>
      <c r="H280" s="16">
        <f>VLOOKUP(B:B,'[1]Master Sheet'!$B:$H,7,0)</f>
        <v>300</v>
      </c>
      <c r="I280" s="16">
        <f>VLOOKUP(B:B,'[1]Master Sheet'!$B:$I,8,0)</f>
        <v>0</v>
      </c>
      <c r="J280" s="16"/>
      <c r="K280" s="3" t="s">
        <v>2965</v>
      </c>
      <c r="L280" s="3" t="s">
        <v>3055</v>
      </c>
      <c r="M280" s="3" t="s">
        <v>3058</v>
      </c>
      <c r="N280" s="3"/>
      <c r="O280" s="3"/>
    </row>
    <row r="281" spans="1:15" s="4" customFormat="1">
      <c r="A281" s="2">
        <v>280</v>
      </c>
      <c r="B281" s="3" t="s">
        <v>682</v>
      </c>
      <c r="C281" s="3" t="s">
        <v>683</v>
      </c>
      <c r="D281" s="2" t="s">
        <v>7</v>
      </c>
      <c r="E281" s="2" t="s">
        <v>8</v>
      </c>
      <c r="F281" s="16"/>
      <c r="G281" s="16"/>
      <c r="H281" s="16">
        <f>VLOOKUP(B:B,'[1]Master Sheet'!$B:$H,7,0)</f>
        <v>300</v>
      </c>
      <c r="I281" s="16">
        <f>VLOOKUP(B:B,'[1]Master Sheet'!$B:$I,8,0)</f>
        <v>0</v>
      </c>
      <c r="J281" s="16"/>
      <c r="K281" s="3" t="s">
        <v>2965</v>
      </c>
      <c r="L281" s="3" t="s">
        <v>3055</v>
      </c>
      <c r="M281" s="3" t="s">
        <v>3058</v>
      </c>
      <c r="N281" s="3"/>
      <c r="O281" s="3"/>
    </row>
    <row r="282" spans="1:15" s="4" customFormat="1">
      <c r="A282" s="2">
        <v>281</v>
      </c>
      <c r="B282" s="3" t="s">
        <v>684</v>
      </c>
      <c r="C282" s="3" t="s">
        <v>685</v>
      </c>
      <c r="D282" s="2" t="s">
        <v>7</v>
      </c>
      <c r="E282" s="2" t="s">
        <v>8</v>
      </c>
      <c r="F282" s="16"/>
      <c r="G282" s="16"/>
      <c r="H282" s="16">
        <f>VLOOKUP(B:B,'[1]Master Sheet'!$B:$H,7,0)</f>
        <v>0</v>
      </c>
      <c r="I282" s="16">
        <f>VLOOKUP(B:B,'[1]Master Sheet'!$B:$I,8,0)</f>
        <v>0</v>
      </c>
      <c r="J282" s="16"/>
      <c r="K282" s="3" t="s">
        <v>2965</v>
      </c>
      <c r="L282" s="3" t="s">
        <v>3055</v>
      </c>
      <c r="M282" s="3" t="s">
        <v>3058</v>
      </c>
      <c r="N282" s="3"/>
      <c r="O282" s="3"/>
    </row>
    <row r="283" spans="1:15" s="4" customFormat="1">
      <c r="A283" s="2">
        <v>282</v>
      </c>
      <c r="B283" s="3" t="s">
        <v>688</v>
      </c>
      <c r="C283" s="3" t="s">
        <v>689</v>
      </c>
      <c r="D283" s="2" t="s">
        <v>7</v>
      </c>
      <c r="E283" s="2" t="s">
        <v>8</v>
      </c>
      <c r="F283" s="16"/>
      <c r="G283" s="16"/>
      <c r="H283" s="16">
        <f>VLOOKUP(B:B,'[1]Master Sheet'!$B:$H,7,0)</f>
        <v>0</v>
      </c>
      <c r="I283" s="16">
        <f>VLOOKUP(B:B,'[1]Master Sheet'!$B:$I,8,0)</f>
        <v>0</v>
      </c>
      <c r="J283" s="16"/>
      <c r="K283" s="3" t="s">
        <v>2965</v>
      </c>
      <c r="L283" s="3" t="s">
        <v>3055</v>
      </c>
      <c r="M283" s="3" t="s">
        <v>3058</v>
      </c>
      <c r="N283" s="3"/>
      <c r="O283" s="3"/>
    </row>
    <row r="284" spans="1:15" s="4" customFormat="1">
      <c r="A284" s="2">
        <v>283</v>
      </c>
      <c r="B284" s="3" t="s">
        <v>690</v>
      </c>
      <c r="C284" s="3" t="s">
        <v>691</v>
      </c>
      <c r="D284" s="2" t="s">
        <v>7</v>
      </c>
      <c r="E284" s="2" t="s">
        <v>8</v>
      </c>
      <c r="F284" s="16"/>
      <c r="G284" s="16"/>
      <c r="H284" s="16">
        <f>VLOOKUP(B:B,'[1]Master Sheet'!$B:$H,7,0)</f>
        <v>0</v>
      </c>
      <c r="I284" s="16">
        <f>VLOOKUP(B:B,'[1]Master Sheet'!$B:$I,8,0)</f>
        <v>0</v>
      </c>
      <c r="J284" s="16"/>
      <c r="K284" s="3" t="s">
        <v>2965</v>
      </c>
      <c r="L284" s="3" t="s">
        <v>3055</v>
      </c>
      <c r="M284" s="3" t="s">
        <v>3056</v>
      </c>
      <c r="N284" s="3"/>
      <c r="O284" s="3"/>
    </row>
    <row r="285" spans="1:15" s="4" customFormat="1">
      <c r="A285" s="2">
        <v>284</v>
      </c>
      <c r="B285" s="3" t="s">
        <v>692</v>
      </c>
      <c r="C285" s="3" t="s">
        <v>693</v>
      </c>
      <c r="D285" s="2" t="s">
        <v>7</v>
      </c>
      <c r="E285" s="2" t="s">
        <v>8</v>
      </c>
      <c r="F285" s="16"/>
      <c r="G285" s="16"/>
      <c r="H285" s="16">
        <f>VLOOKUP(B:B,'[1]Master Sheet'!$B:$H,7,0)</f>
        <v>0</v>
      </c>
      <c r="I285" s="16">
        <f>VLOOKUP(B:B,'[1]Master Sheet'!$B:$I,8,0)</f>
        <v>0</v>
      </c>
      <c r="J285" s="16"/>
      <c r="K285" s="3" t="s">
        <v>2965</v>
      </c>
      <c r="L285" s="3" t="s">
        <v>3055</v>
      </c>
      <c r="M285" s="3" t="s">
        <v>3056</v>
      </c>
      <c r="N285" s="3"/>
      <c r="O285" s="3"/>
    </row>
    <row r="286" spans="1:15" s="4" customFormat="1">
      <c r="A286" s="2">
        <v>285</v>
      </c>
      <c r="B286" s="3" t="s">
        <v>694</v>
      </c>
      <c r="C286" s="3" t="s">
        <v>695</v>
      </c>
      <c r="D286" s="2" t="s">
        <v>7</v>
      </c>
      <c r="E286" s="2" t="s">
        <v>8</v>
      </c>
      <c r="F286" s="16"/>
      <c r="G286" s="16"/>
      <c r="H286" s="16">
        <f>VLOOKUP(B:B,'[1]Master Sheet'!$B:$H,7,0)</f>
        <v>0</v>
      </c>
      <c r="I286" s="16">
        <f>VLOOKUP(B:B,'[1]Master Sheet'!$B:$I,8,0)</f>
        <v>0</v>
      </c>
      <c r="J286" s="16"/>
      <c r="K286" s="3" t="s">
        <v>2965</v>
      </c>
      <c r="L286" s="3" t="s">
        <v>3055</v>
      </c>
      <c r="M286" s="3" t="s">
        <v>3056</v>
      </c>
      <c r="N286" s="3"/>
      <c r="O286" s="3"/>
    </row>
    <row r="287" spans="1:15" s="4" customFormat="1">
      <c r="A287" s="2">
        <v>286</v>
      </c>
      <c r="B287" s="3" t="s">
        <v>696</v>
      </c>
      <c r="C287" s="3" t="s">
        <v>697</v>
      </c>
      <c r="D287" s="2" t="s">
        <v>7</v>
      </c>
      <c r="E287" s="2" t="s">
        <v>8</v>
      </c>
      <c r="F287" s="16"/>
      <c r="G287" s="16"/>
      <c r="H287" s="16">
        <f>VLOOKUP(B:B,'[1]Master Sheet'!$B:$H,7,0)</f>
        <v>0</v>
      </c>
      <c r="I287" s="16">
        <f>VLOOKUP(B:B,'[1]Master Sheet'!$B:$I,8,0)</f>
        <v>0</v>
      </c>
      <c r="J287" s="16"/>
      <c r="K287" s="3" t="s">
        <v>2965</v>
      </c>
      <c r="L287" s="3" t="s">
        <v>3055</v>
      </c>
      <c r="M287" s="3" t="s">
        <v>3056</v>
      </c>
      <c r="N287" s="3"/>
      <c r="O287" s="3"/>
    </row>
    <row r="288" spans="1:15" s="4" customFormat="1">
      <c r="A288" s="2">
        <v>287</v>
      </c>
      <c r="B288" s="3" t="s">
        <v>698</v>
      </c>
      <c r="C288" s="3" t="s">
        <v>699</v>
      </c>
      <c r="D288" s="2" t="s">
        <v>7</v>
      </c>
      <c r="E288" s="2" t="s">
        <v>8</v>
      </c>
      <c r="F288" s="16"/>
      <c r="G288" s="16"/>
      <c r="H288" s="16">
        <f>VLOOKUP(B:B,'[1]Master Sheet'!$B:$H,7,0)</f>
        <v>0</v>
      </c>
      <c r="I288" s="16">
        <f>VLOOKUP(B:B,'[1]Master Sheet'!$B:$I,8,0)</f>
        <v>0</v>
      </c>
      <c r="J288" s="16"/>
      <c r="K288" s="3" t="s">
        <v>2965</v>
      </c>
      <c r="L288" s="3" t="s">
        <v>3055</v>
      </c>
      <c r="M288" s="3" t="s">
        <v>3056</v>
      </c>
      <c r="N288" s="3"/>
      <c r="O288" s="3"/>
    </row>
    <row r="289" spans="1:15" s="4" customFormat="1">
      <c r="A289" s="2">
        <v>288</v>
      </c>
      <c r="B289" s="3" t="s">
        <v>700</v>
      </c>
      <c r="C289" s="3" t="s">
        <v>701</v>
      </c>
      <c r="D289" s="2" t="s">
        <v>7</v>
      </c>
      <c r="E289" s="2" t="s">
        <v>8</v>
      </c>
      <c r="F289" s="16"/>
      <c r="G289" s="16"/>
      <c r="H289" s="16">
        <f>VLOOKUP(B:B,'[1]Master Sheet'!$B:$H,7,0)</f>
        <v>0</v>
      </c>
      <c r="I289" s="16">
        <f>VLOOKUP(B:B,'[1]Master Sheet'!$B:$I,8,0)</f>
        <v>0</v>
      </c>
      <c r="J289" s="16"/>
      <c r="K289" s="3" t="s">
        <v>2965</v>
      </c>
      <c r="L289" s="3" t="s">
        <v>3055</v>
      </c>
      <c r="M289" s="3" t="s">
        <v>3056</v>
      </c>
      <c r="N289" s="3"/>
      <c r="O289" s="3"/>
    </row>
    <row r="290" spans="1:15" s="4" customFormat="1">
      <c r="A290" s="2">
        <v>289</v>
      </c>
      <c r="B290" s="3" t="s">
        <v>702</v>
      </c>
      <c r="C290" s="3" t="s">
        <v>703</v>
      </c>
      <c r="D290" s="2" t="s">
        <v>7</v>
      </c>
      <c r="E290" s="2" t="s">
        <v>8</v>
      </c>
      <c r="F290" s="16"/>
      <c r="G290" s="16"/>
      <c r="H290" s="16">
        <f>VLOOKUP(B:B,'[1]Master Sheet'!$B:$H,7,0)</f>
        <v>0</v>
      </c>
      <c r="I290" s="16">
        <f>VLOOKUP(B:B,'[1]Master Sheet'!$B:$I,8,0)</f>
        <v>0</v>
      </c>
      <c r="J290" s="16"/>
      <c r="K290" s="3" t="s">
        <v>2965</v>
      </c>
      <c r="L290" s="3" t="s">
        <v>3055</v>
      </c>
      <c r="M290" s="3" t="s">
        <v>3056</v>
      </c>
      <c r="N290" s="3"/>
      <c r="O290" s="3"/>
    </row>
    <row r="291" spans="1:15" s="4" customFormat="1">
      <c r="A291" s="2">
        <v>290</v>
      </c>
      <c r="B291" s="3" t="s">
        <v>704</v>
      </c>
      <c r="C291" s="3" t="s">
        <v>705</v>
      </c>
      <c r="D291" s="2" t="s">
        <v>7</v>
      </c>
      <c r="E291" s="2" t="s">
        <v>8</v>
      </c>
      <c r="F291" s="16"/>
      <c r="G291" s="16"/>
      <c r="H291" s="16">
        <f>VLOOKUP(B:B,'[1]Master Sheet'!$B:$H,7,0)</f>
        <v>0</v>
      </c>
      <c r="I291" s="16">
        <f>VLOOKUP(B:B,'[1]Master Sheet'!$B:$I,8,0)</f>
        <v>0</v>
      </c>
      <c r="J291" s="16"/>
      <c r="K291" s="3" t="s">
        <v>2965</v>
      </c>
      <c r="L291" s="3" t="s">
        <v>3055</v>
      </c>
      <c r="M291" s="3" t="s">
        <v>3056</v>
      </c>
      <c r="N291" s="3"/>
      <c r="O291" s="3"/>
    </row>
    <row r="292" spans="1:15" s="4" customFormat="1">
      <c r="A292" s="2">
        <v>291</v>
      </c>
      <c r="B292" s="3" t="s">
        <v>706</v>
      </c>
      <c r="C292" s="3" t="s">
        <v>707</v>
      </c>
      <c r="D292" s="2" t="s">
        <v>7</v>
      </c>
      <c r="E292" s="2" t="s">
        <v>8</v>
      </c>
      <c r="F292" s="16"/>
      <c r="G292" s="16"/>
      <c r="H292" s="16">
        <f>VLOOKUP(B:B,'[1]Master Sheet'!$B:$H,7,0)</f>
        <v>0</v>
      </c>
      <c r="I292" s="16">
        <f>VLOOKUP(B:B,'[1]Master Sheet'!$B:$I,8,0)</f>
        <v>0</v>
      </c>
      <c r="J292" s="16"/>
      <c r="K292" s="3" t="s">
        <v>2965</v>
      </c>
      <c r="L292" s="3" t="s">
        <v>3055</v>
      </c>
      <c r="M292" s="3" t="s">
        <v>3056</v>
      </c>
      <c r="N292" s="3"/>
      <c r="O292" s="3"/>
    </row>
    <row r="293" spans="1:15" s="4" customFormat="1">
      <c r="A293" s="2">
        <v>292</v>
      </c>
      <c r="B293" s="3" t="s">
        <v>708</v>
      </c>
      <c r="C293" s="3" t="s">
        <v>709</v>
      </c>
      <c r="D293" s="2" t="s">
        <v>7</v>
      </c>
      <c r="E293" s="2" t="s">
        <v>8</v>
      </c>
      <c r="F293" s="16"/>
      <c r="G293" s="16"/>
      <c r="H293" s="16">
        <f>VLOOKUP(B:B,'[1]Master Sheet'!$B:$H,7,0)</f>
        <v>100</v>
      </c>
      <c r="I293" s="16">
        <f>VLOOKUP(B:B,'[1]Master Sheet'!$B:$I,8,0)</f>
        <v>0</v>
      </c>
      <c r="J293" s="16"/>
      <c r="K293" s="3" t="s">
        <v>2965</v>
      </c>
      <c r="L293" s="3" t="s">
        <v>3055</v>
      </c>
      <c r="M293" s="3" t="s">
        <v>3056</v>
      </c>
      <c r="N293" s="3"/>
      <c r="O293" s="3"/>
    </row>
    <row r="294" spans="1:15" s="4" customFormat="1">
      <c r="A294" s="2">
        <v>293</v>
      </c>
      <c r="B294" s="3" t="s">
        <v>710</v>
      </c>
      <c r="C294" s="3" t="s">
        <v>711</v>
      </c>
      <c r="D294" s="2" t="s">
        <v>7</v>
      </c>
      <c r="E294" s="2" t="s">
        <v>8</v>
      </c>
      <c r="F294" s="16"/>
      <c r="G294" s="16"/>
      <c r="H294" s="16">
        <f>VLOOKUP(B:B,'[1]Master Sheet'!$B:$H,7,0)</f>
        <v>100</v>
      </c>
      <c r="I294" s="16">
        <f>VLOOKUP(B:B,'[1]Master Sheet'!$B:$I,8,0)</f>
        <v>0</v>
      </c>
      <c r="J294" s="16"/>
      <c r="K294" s="3" t="s">
        <v>2965</v>
      </c>
      <c r="L294" s="3" t="s">
        <v>3055</v>
      </c>
      <c r="M294" s="3" t="s">
        <v>3056</v>
      </c>
      <c r="N294" s="3"/>
      <c r="O294" s="3"/>
    </row>
    <row r="295" spans="1:15" s="4" customFormat="1">
      <c r="A295" s="2">
        <v>294</v>
      </c>
      <c r="B295" s="3" t="s">
        <v>712</v>
      </c>
      <c r="C295" s="3" t="s">
        <v>713</v>
      </c>
      <c r="D295" s="2" t="s">
        <v>7</v>
      </c>
      <c r="E295" s="2" t="s">
        <v>8</v>
      </c>
      <c r="F295" s="16"/>
      <c r="G295" s="16"/>
      <c r="H295" s="16">
        <f>VLOOKUP(B:B,'[1]Master Sheet'!$B:$H,7,0)</f>
        <v>0</v>
      </c>
      <c r="I295" s="16">
        <f>VLOOKUP(B:B,'[1]Master Sheet'!$B:$I,8,0)</f>
        <v>0</v>
      </c>
      <c r="J295" s="16"/>
      <c r="K295" s="3" t="s">
        <v>2965</v>
      </c>
      <c r="L295" s="3" t="s">
        <v>3055</v>
      </c>
      <c r="M295" s="3" t="s">
        <v>3058</v>
      </c>
      <c r="N295" s="3"/>
      <c r="O295" s="3"/>
    </row>
    <row r="296" spans="1:15" s="4" customFormat="1">
      <c r="A296" s="2">
        <v>295</v>
      </c>
      <c r="B296" s="3" t="s">
        <v>714</v>
      </c>
      <c r="C296" s="3" t="s">
        <v>715</v>
      </c>
      <c r="D296" s="2" t="s">
        <v>7</v>
      </c>
      <c r="E296" s="2" t="s">
        <v>8</v>
      </c>
      <c r="F296" s="16"/>
      <c r="G296" s="16"/>
      <c r="H296" s="16">
        <f>VLOOKUP(B:B,'[1]Master Sheet'!$B:$H,7,0)</f>
        <v>100</v>
      </c>
      <c r="I296" s="16">
        <f>VLOOKUP(B:B,'[1]Master Sheet'!$B:$I,8,0)</f>
        <v>0</v>
      </c>
      <c r="J296" s="16"/>
      <c r="K296" s="3" t="s">
        <v>2965</v>
      </c>
      <c r="L296" s="3" t="s">
        <v>3055</v>
      </c>
      <c r="M296" s="3" t="s">
        <v>3056</v>
      </c>
      <c r="N296" s="3"/>
      <c r="O296" s="3"/>
    </row>
    <row r="297" spans="1:15" s="4" customFormat="1">
      <c r="A297" s="2">
        <v>296</v>
      </c>
      <c r="B297" s="3" t="s">
        <v>716</v>
      </c>
      <c r="C297" s="3" t="s">
        <v>717</v>
      </c>
      <c r="D297" s="2" t="s">
        <v>7</v>
      </c>
      <c r="E297" s="2" t="s">
        <v>8</v>
      </c>
      <c r="F297" s="16"/>
      <c r="G297" s="16"/>
      <c r="H297" s="16">
        <f>VLOOKUP(B:B,'[1]Master Sheet'!$B:$H,7,0)</f>
        <v>300</v>
      </c>
      <c r="I297" s="16">
        <f>VLOOKUP(B:B,'[1]Master Sheet'!$B:$I,8,0)</f>
        <v>0</v>
      </c>
      <c r="J297" s="16"/>
      <c r="K297" s="3" t="s">
        <v>2965</v>
      </c>
      <c r="L297" s="3" t="s">
        <v>3055</v>
      </c>
      <c r="M297" s="3" t="s">
        <v>3056</v>
      </c>
      <c r="N297" s="3"/>
      <c r="O297" s="3"/>
    </row>
    <row r="298" spans="1:15" s="4" customFormat="1">
      <c r="A298" s="2">
        <v>297</v>
      </c>
      <c r="B298" s="3" t="s">
        <v>718</v>
      </c>
      <c r="C298" s="3" t="s">
        <v>719</v>
      </c>
      <c r="D298" s="2" t="s">
        <v>7</v>
      </c>
      <c r="E298" s="2" t="s">
        <v>8</v>
      </c>
      <c r="F298" s="16"/>
      <c r="G298" s="16"/>
      <c r="H298" s="16">
        <f>VLOOKUP(B:B,'[1]Master Sheet'!$B:$H,7,0)</f>
        <v>250</v>
      </c>
      <c r="I298" s="16">
        <f>VLOOKUP(B:B,'[1]Master Sheet'!$B:$I,8,0)</f>
        <v>0</v>
      </c>
      <c r="J298" s="16"/>
      <c r="K298" s="3" t="s">
        <v>2965</v>
      </c>
      <c r="L298" s="3" t="s">
        <v>3055</v>
      </c>
      <c r="M298" s="3" t="s">
        <v>3056</v>
      </c>
      <c r="N298" s="3"/>
      <c r="O298" s="3"/>
    </row>
    <row r="299" spans="1:15" s="4" customFormat="1">
      <c r="A299" s="2">
        <v>298</v>
      </c>
      <c r="B299" s="3" t="s">
        <v>720</v>
      </c>
      <c r="C299" s="3" t="s">
        <v>721</v>
      </c>
      <c r="D299" s="2" t="s">
        <v>7</v>
      </c>
      <c r="E299" s="2" t="s">
        <v>8</v>
      </c>
      <c r="F299" s="16"/>
      <c r="G299" s="16"/>
      <c r="H299" s="16">
        <f>VLOOKUP(B:B,'[1]Master Sheet'!$B:$H,7,0)</f>
        <v>500</v>
      </c>
      <c r="I299" s="16">
        <f>VLOOKUP(B:B,'[1]Master Sheet'!$B:$I,8,0)</f>
        <v>0</v>
      </c>
      <c r="J299" s="16"/>
      <c r="K299" s="3" t="s">
        <v>2965</v>
      </c>
      <c r="L299" s="3" t="s">
        <v>3055</v>
      </c>
      <c r="M299" s="3" t="s">
        <v>3056</v>
      </c>
      <c r="N299" s="3"/>
      <c r="O299" s="3"/>
    </row>
    <row r="300" spans="1:15" s="4" customFormat="1">
      <c r="A300" s="2">
        <v>299</v>
      </c>
      <c r="B300" s="3" t="s">
        <v>722</v>
      </c>
      <c r="C300" s="3" t="s">
        <v>723</v>
      </c>
      <c r="D300" s="2" t="s">
        <v>7</v>
      </c>
      <c r="E300" s="2" t="s">
        <v>8</v>
      </c>
      <c r="F300" s="16"/>
      <c r="G300" s="16"/>
      <c r="H300" s="16">
        <f>VLOOKUP(B:B,'[1]Master Sheet'!$B:$H,7,0)</f>
        <v>2000</v>
      </c>
      <c r="I300" s="16">
        <f>VLOOKUP(B:B,'[1]Master Sheet'!$B:$I,8,0)</f>
        <v>2000</v>
      </c>
      <c r="J300" s="16"/>
      <c r="K300" s="3" t="s">
        <v>2965</v>
      </c>
      <c r="L300" s="3" t="s">
        <v>3055</v>
      </c>
      <c r="M300" s="3" t="s">
        <v>3056</v>
      </c>
      <c r="N300" s="3"/>
      <c r="O300" s="3"/>
    </row>
    <row r="301" spans="1:15" s="4" customFormat="1">
      <c r="A301" s="2">
        <v>300</v>
      </c>
      <c r="B301" s="3" t="s">
        <v>724</v>
      </c>
      <c r="C301" s="3" t="s">
        <v>725</v>
      </c>
      <c r="D301" s="2" t="s">
        <v>7</v>
      </c>
      <c r="E301" s="2" t="s">
        <v>8</v>
      </c>
      <c r="F301" s="16"/>
      <c r="G301" s="16"/>
      <c r="H301" s="16">
        <f>VLOOKUP(B:B,'[1]Master Sheet'!$B:$H,7,0)</f>
        <v>2000</v>
      </c>
      <c r="I301" s="16">
        <f>VLOOKUP(B:B,'[1]Master Sheet'!$B:$I,8,0)</f>
        <v>2000</v>
      </c>
      <c r="J301" s="16"/>
      <c r="K301" s="3" t="s">
        <v>2965</v>
      </c>
      <c r="L301" s="3" t="s">
        <v>3055</v>
      </c>
      <c r="M301" s="3" t="s">
        <v>3056</v>
      </c>
      <c r="N301" s="3"/>
      <c r="O301" s="3"/>
    </row>
    <row r="302" spans="1:15" s="4" customFormat="1">
      <c r="A302" s="2">
        <v>301</v>
      </c>
      <c r="B302" s="3" t="s">
        <v>726</v>
      </c>
      <c r="C302" s="3" t="s">
        <v>727</v>
      </c>
      <c r="D302" s="2" t="s">
        <v>7</v>
      </c>
      <c r="E302" s="2" t="s">
        <v>8</v>
      </c>
      <c r="F302" s="16"/>
      <c r="G302" s="16"/>
      <c r="H302" s="16">
        <f>VLOOKUP(B:B,'[1]Master Sheet'!$B:$H,7,0)</f>
        <v>2000</v>
      </c>
      <c r="I302" s="16">
        <v>2500</v>
      </c>
      <c r="J302" s="16"/>
      <c r="K302" s="3" t="s">
        <v>2965</v>
      </c>
      <c r="L302" s="3" t="s">
        <v>3055</v>
      </c>
      <c r="M302" s="3" t="s">
        <v>3056</v>
      </c>
      <c r="N302" s="3"/>
      <c r="O302" s="3"/>
    </row>
    <row r="303" spans="1:15" s="4" customFormat="1">
      <c r="A303" s="2">
        <v>302</v>
      </c>
      <c r="B303" s="3" t="s">
        <v>728</v>
      </c>
      <c r="C303" s="3" t="s">
        <v>729</v>
      </c>
      <c r="D303" s="2" t="s">
        <v>7</v>
      </c>
      <c r="E303" s="2" t="s">
        <v>8</v>
      </c>
      <c r="F303" s="16"/>
      <c r="G303" s="16"/>
      <c r="H303" s="16">
        <f>VLOOKUP(B:B,'[1]Master Sheet'!$B:$H,7,0)</f>
        <v>2000</v>
      </c>
      <c r="I303" s="16">
        <v>2500</v>
      </c>
      <c r="J303" s="16"/>
      <c r="K303" s="3" t="s">
        <v>2965</v>
      </c>
      <c r="L303" s="3" t="s">
        <v>3055</v>
      </c>
      <c r="M303" s="3" t="s">
        <v>3056</v>
      </c>
      <c r="N303" s="3"/>
      <c r="O303" s="3"/>
    </row>
    <row r="304" spans="1:15" s="4" customFormat="1">
      <c r="A304" s="2">
        <v>303</v>
      </c>
      <c r="B304" s="3" t="s">
        <v>730</v>
      </c>
      <c r="C304" s="3" t="s">
        <v>731</v>
      </c>
      <c r="D304" s="2" t="s">
        <v>7</v>
      </c>
      <c r="E304" s="2" t="s">
        <v>8</v>
      </c>
      <c r="F304" s="16"/>
      <c r="G304" s="16"/>
      <c r="H304" s="16">
        <f>VLOOKUP(B:B,'[1]Master Sheet'!$B:$H,7,0)</f>
        <v>500</v>
      </c>
      <c r="I304" s="16">
        <f>VLOOKUP(B:B,'[1]Master Sheet'!$B:$I,8,0)</f>
        <v>0</v>
      </c>
      <c r="J304" s="16"/>
      <c r="K304" s="3" t="s">
        <v>2965</v>
      </c>
      <c r="L304" s="3" t="s">
        <v>3055</v>
      </c>
      <c r="M304" s="3" t="s">
        <v>3056</v>
      </c>
      <c r="N304" s="3"/>
      <c r="O304" s="3"/>
    </row>
    <row r="305" spans="1:15" s="4" customFormat="1">
      <c r="A305" s="2">
        <v>304</v>
      </c>
      <c r="B305" s="3" t="s">
        <v>732</v>
      </c>
      <c r="C305" s="3" t="s">
        <v>733</v>
      </c>
      <c r="D305" s="2" t="s">
        <v>7</v>
      </c>
      <c r="E305" s="2" t="s">
        <v>8</v>
      </c>
      <c r="F305" s="16"/>
      <c r="G305" s="16"/>
      <c r="H305" s="16">
        <f>VLOOKUP(B:B,'[1]Master Sheet'!$B:$H,7,0)</f>
        <v>200</v>
      </c>
      <c r="I305" s="16">
        <f>VLOOKUP(B:B,'[1]Master Sheet'!$B:$I,8,0)</f>
        <v>200</v>
      </c>
      <c r="J305" s="16"/>
      <c r="K305" s="3" t="s">
        <v>2965</v>
      </c>
      <c r="L305" s="3" t="s">
        <v>3055</v>
      </c>
      <c r="M305" s="3" t="s">
        <v>3056</v>
      </c>
      <c r="N305" s="3"/>
      <c r="O305" s="3"/>
    </row>
    <row r="306" spans="1:15" s="4" customFormat="1">
      <c r="A306" s="2">
        <v>305</v>
      </c>
      <c r="B306" s="3" t="s">
        <v>740</v>
      </c>
      <c r="C306" s="3" t="s">
        <v>741</v>
      </c>
      <c r="D306" s="2" t="s">
        <v>7</v>
      </c>
      <c r="E306" s="2" t="s">
        <v>8</v>
      </c>
      <c r="F306" s="16"/>
      <c r="G306" s="16"/>
      <c r="H306" s="16">
        <f>VLOOKUP(B:B,'[1]Master Sheet'!$B:$H,7,0)</f>
        <v>500</v>
      </c>
      <c r="I306" s="16">
        <f>VLOOKUP(B:B,'[1]Master Sheet'!$B:$I,8,0)</f>
        <v>0</v>
      </c>
      <c r="J306" s="16"/>
      <c r="K306" s="3" t="s">
        <v>2965</v>
      </c>
      <c r="L306" s="3" t="s">
        <v>3055</v>
      </c>
      <c r="M306" s="3" t="s">
        <v>3056</v>
      </c>
      <c r="N306" s="3"/>
      <c r="O306" s="3"/>
    </row>
    <row r="307" spans="1:15" s="4" customFormat="1">
      <c r="A307" s="2">
        <v>306</v>
      </c>
      <c r="B307" s="3" t="s">
        <v>742</v>
      </c>
      <c r="C307" s="3" t="s">
        <v>743</v>
      </c>
      <c r="D307" s="2" t="s">
        <v>7</v>
      </c>
      <c r="E307" s="2" t="s">
        <v>8</v>
      </c>
      <c r="F307" s="16"/>
      <c r="G307" s="16"/>
      <c r="H307" s="16">
        <f>VLOOKUP(B:B,'[1]Master Sheet'!$B:$H,7,0)</f>
        <v>0</v>
      </c>
      <c r="I307" s="16">
        <f>VLOOKUP(B:B,'[1]Master Sheet'!$B:$I,8,0)</f>
        <v>0</v>
      </c>
      <c r="J307" s="16"/>
      <c r="K307" s="3" t="s">
        <v>2965</v>
      </c>
      <c r="L307" s="3" t="s">
        <v>3055</v>
      </c>
      <c r="M307" s="3" t="s">
        <v>3056</v>
      </c>
      <c r="N307" s="3"/>
      <c r="O307" s="3"/>
    </row>
    <row r="308" spans="1:15" s="4" customFormat="1">
      <c r="A308" s="2">
        <v>307</v>
      </c>
      <c r="B308" s="3" t="s">
        <v>744</v>
      </c>
      <c r="C308" s="3" t="s">
        <v>745</v>
      </c>
      <c r="D308" s="2" t="s">
        <v>7</v>
      </c>
      <c r="E308" s="2" t="s">
        <v>8</v>
      </c>
      <c r="F308" s="16"/>
      <c r="G308" s="16"/>
      <c r="H308" s="16">
        <f>VLOOKUP(B:B,'[1]Master Sheet'!$B:$H,7,0)</f>
        <v>200</v>
      </c>
      <c r="I308" s="16">
        <f>VLOOKUP(B:B,'[1]Master Sheet'!$B:$I,8,0)</f>
        <v>150</v>
      </c>
      <c r="J308" s="16"/>
      <c r="K308" s="3" t="s">
        <v>2965</v>
      </c>
      <c r="L308" s="3" t="s">
        <v>3055</v>
      </c>
      <c r="M308" s="3" t="s">
        <v>3056</v>
      </c>
      <c r="N308" s="3"/>
      <c r="O308" s="3"/>
    </row>
    <row r="309" spans="1:15" s="4" customFormat="1">
      <c r="A309" s="2">
        <v>308</v>
      </c>
      <c r="B309" s="3" t="s">
        <v>746</v>
      </c>
      <c r="C309" s="3" t="s">
        <v>747</v>
      </c>
      <c r="D309" s="2" t="s">
        <v>7</v>
      </c>
      <c r="E309" s="2" t="s">
        <v>8</v>
      </c>
      <c r="F309" s="16"/>
      <c r="G309" s="16"/>
      <c r="H309" s="16">
        <f>VLOOKUP(B:B,'[1]Master Sheet'!$B:$H,7,0)</f>
        <v>250</v>
      </c>
      <c r="I309" s="16">
        <f>VLOOKUP(B:B,'[1]Master Sheet'!$B:$I,8,0)</f>
        <v>0</v>
      </c>
      <c r="J309" s="16"/>
      <c r="K309" s="3" t="s">
        <v>2965</v>
      </c>
      <c r="L309" s="3" t="s">
        <v>3055</v>
      </c>
      <c r="M309" s="3" t="s">
        <v>3056</v>
      </c>
      <c r="N309" s="3"/>
      <c r="O309" s="3"/>
    </row>
    <row r="310" spans="1:15" s="4" customFormat="1">
      <c r="A310" s="2">
        <v>309</v>
      </c>
      <c r="B310" s="3" t="s">
        <v>748</v>
      </c>
      <c r="C310" s="3" t="s">
        <v>749</v>
      </c>
      <c r="D310" s="2" t="s">
        <v>7</v>
      </c>
      <c r="E310" s="2" t="s">
        <v>8</v>
      </c>
      <c r="F310" s="16"/>
      <c r="G310" s="16"/>
      <c r="H310" s="16">
        <f>VLOOKUP(B:B,'[1]Master Sheet'!$B:$H,7,0)</f>
        <v>0</v>
      </c>
      <c r="I310" s="16">
        <f>VLOOKUP(B:B,'[1]Master Sheet'!$B:$I,8,0)</f>
        <v>0</v>
      </c>
      <c r="J310" s="16"/>
      <c r="K310" s="3" t="s">
        <v>2965</v>
      </c>
      <c r="L310" s="3" t="s">
        <v>3055</v>
      </c>
      <c r="M310" s="3" t="s">
        <v>3056</v>
      </c>
      <c r="N310" s="3"/>
      <c r="O310" s="3"/>
    </row>
    <row r="311" spans="1:15" s="4" customFormat="1">
      <c r="A311" s="2">
        <v>310</v>
      </c>
      <c r="B311" s="3" t="s">
        <v>750</v>
      </c>
      <c r="C311" s="3" t="s">
        <v>751</v>
      </c>
      <c r="D311" s="2" t="s">
        <v>7</v>
      </c>
      <c r="E311" s="2" t="s">
        <v>8</v>
      </c>
      <c r="F311" s="16"/>
      <c r="G311" s="16"/>
      <c r="H311" s="16">
        <f>VLOOKUP(B:B,'[1]Master Sheet'!$B:$H,7,0)</f>
        <v>0</v>
      </c>
      <c r="I311" s="16">
        <f>VLOOKUP(B:B,'[1]Master Sheet'!$B:$I,8,0)</f>
        <v>0</v>
      </c>
      <c r="J311" s="16"/>
      <c r="K311" s="3" t="s">
        <v>2965</v>
      </c>
      <c r="L311" s="3" t="s">
        <v>3055</v>
      </c>
      <c r="M311" s="3" t="s">
        <v>3056</v>
      </c>
      <c r="N311" s="3"/>
      <c r="O311" s="3"/>
    </row>
    <row r="312" spans="1:15" s="4" customFormat="1">
      <c r="A312" s="2">
        <v>311</v>
      </c>
      <c r="B312" s="3" t="s">
        <v>752</v>
      </c>
      <c r="C312" s="3" t="s">
        <v>753</v>
      </c>
      <c r="D312" s="2" t="s">
        <v>7</v>
      </c>
      <c r="E312" s="2" t="s">
        <v>8</v>
      </c>
      <c r="F312" s="16"/>
      <c r="G312" s="16"/>
      <c r="H312" s="16">
        <f>VLOOKUP(B:B,'[1]Master Sheet'!$B:$H,7,0)</f>
        <v>1000</v>
      </c>
      <c r="I312" s="16">
        <f>VLOOKUP(B:B,'[1]Master Sheet'!$B:$I,8,0)</f>
        <v>500</v>
      </c>
      <c r="J312" s="16"/>
      <c r="K312" s="3" t="s">
        <v>2965</v>
      </c>
      <c r="L312" s="3" t="s">
        <v>3055</v>
      </c>
      <c r="M312" s="3" t="s">
        <v>3056</v>
      </c>
      <c r="N312" s="3"/>
      <c r="O312" s="3"/>
    </row>
    <row r="313" spans="1:15" s="4" customFormat="1">
      <c r="A313" s="2">
        <v>312</v>
      </c>
      <c r="B313" s="3" t="s">
        <v>754</v>
      </c>
      <c r="C313" s="3" t="s">
        <v>755</v>
      </c>
      <c r="D313" s="2" t="s">
        <v>7</v>
      </c>
      <c r="E313" s="2" t="s">
        <v>8</v>
      </c>
      <c r="F313" s="16"/>
      <c r="G313" s="16"/>
      <c r="H313" s="16">
        <f>VLOOKUP(B:B,'[1]Master Sheet'!$B:$H,7,0)</f>
        <v>1000</v>
      </c>
      <c r="I313" s="16">
        <f>VLOOKUP(B:B,'[1]Master Sheet'!$B:$I,8,0)</f>
        <v>0</v>
      </c>
      <c r="J313" s="16"/>
      <c r="K313" s="3" t="s">
        <v>2965</v>
      </c>
      <c r="L313" s="3" t="s">
        <v>3055</v>
      </c>
      <c r="M313" s="3" t="s">
        <v>3056</v>
      </c>
      <c r="N313" s="3"/>
      <c r="O313" s="3"/>
    </row>
    <row r="314" spans="1:15" s="4" customFormat="1">
      <c r="A314" s="2">
        <v>313</v>
      </c>
      <c r="B314" s="3" t="s">
        <v>756</v>
      </c>
      <c r="C314" s="3" t="s">
        <v>757</v>
      </c>
      <c r="D314" s="2" t="s">
        <v>7</v>
      </c>
      <c r="E314" s="2" t="s">
        <v>8</v>
      </c>
      <c r="F314" s="16"/>
      <c r="G314" s="16"/>
      <c r="H314" s="16">
        <f>VLOOKUP(B:B,'[1]Master Sheet'!$B:$H,7,0)</f>
        <v>1000</v>
      </c>
      <c r="I314" s="16">
        <f>VLOOKUP(B:B,'[1]Master Sheet'!$B:$I,8,0)</f>
        <v>0</v>
      </c>
      <c r="J314" s="16"/>
      <c r="K314" s="3" t="s">
        <v>2965</v>
      </c>
      <c r="L314" s="3" t="s">
        <v>3055</v>
      </c>
      <c r="M314" s="3" t="s">
        <v>3056</v>
      </c>
      <c r="N314" s="3"/>
      <c r="O314" s="3"/>
    </row>
    <row r="315" spans="1:15" s="4" customFormat="1">
      <c r="A315" s="2">
        <v>314</v>
      </c>
      <c r="B315" s="3" t="s">
        <v>758</v>
      </c>
      <c r="C315" s="3" t="s">
        <v>759</v>
      </c>
      <c r="D315" s="2" t="s">
        <v>7</v>
      </c>
      <c r="E315" s="2" t="s">
        <v>8</v>
      </c>
      <c r="F315" s="16"/>
      <c r="G315" s="16"/>
      <c r="H315" s="16">
        <f>VLOOKUP(B:B,'[1]Master Sheet'!$B:$H,7,0)</f>
        <v>0</v>
      </c>
      <c r="I315" s="16">
        <f>VLOOKUP(B:B,'[1]Master Sheet'!$B:$I,8,0)</f>
        <v>0</v>
      </c>
      <c r="J315" s="16"/>
      <c r="K315" s="3" t="s">
        <v>2965</v>
      </c>
      <c r="L315" s="3" t="s">
        <v>3055</v>
      </c>
      <c r="M315" s="3" t="s">
        <v>3058</v>
      </c>
      <c r="N315" s="3"/>
      <c r="O315" s="3"/>
    </row>
    <row r="316" spans="1:15" s="4" customFormat="1">
      <c r="A316" s="2">
        <v>315</v>
      </c>
      <c r="B316" s="3" t="s">
        <v>760</v>
      </c>
      <c r="C316" s="3" t="s">
        <v>761</v>
      </c>
      <c r="D316" s="2" t="s">
        <v>7</v>
      </c>
      <c r="E316" s="2" t="s">
        <v>8</v>
      </c>
      <c r="F316" s="16"/>
      <c r="G316" s="16"/>
      <c r="H316" s="16">
        <f>VLOOKUP(B:B,'[1]Master Sheet'!$B:$H,7,0)</f>
        <v>0</v>
      </c>
      <c r="I316" s="16">
        <f>VLOOKUP(B:B,'[1]Master Sheet'!$B:$I,8,0)</f>
        <v>0</v>
      </c>
      <c r="J316" s="16"/>
      <c r="K316" s="3" t="s">
        <v>2965</v>
      </c>
      <c r="L316" s="3" t="s">
        <v>3055</v>
      </c>
      <c r="M316" s="3" t="s">
        <v>3058</v>
      </c>
      <c r="N316" s="3"/>
      <c r="O316" s="3"/>
    </row>
    <row r="317" spans="1:15" s="4" customFormat="1">
      <c r="A317" s="2">
        <v>316</v>
      </c>
      <c r="B317" s="3" t="s">
        <v>762</v>
      </c>
      <c r="C317" s="3" t="s">
        <v>763</v>
      </c>
      <c r="D317" s="2" t="s">
        <v>7</v>
      </c>
      <c r="E317" s="2" t="s">
        <v>8</v>
      </c>
      <c r="F317" s="16"/>
      <c r="G317" s="16"/>
      <c r="H317" s="16">
        <f>VLOOKUP(B:B,'[1]Master Sheet'!$B:$H,7,0)</f>
        <v>0</v>
      </c>
      <c r="I317" s="16">
        <f>VLOOKUP(B:B,'[1]Master Sheet'!$B:$I,8,0)</f>
        <v>0</v>
      </c>
      <c r="J317" s="16"/>
      <c r="K317" s="3" t="s">
        <v>2965</v>
      </c>
      <c r="L317" s="3" t="s">
        <v>3055</v>
      </c>
      <c r="M317" s="3" t="s">
        <v>3058</v>
      </c>
      <c r="N317" s="3"/>
      <c r="O317" s="3"/>
    </row>
    <row r="318" spans="1:15" s="4" customFormat="1">
      <c r="A318" s="2">
        <v>317</v>
      </c>
      <c r="B318" s="3" t="s">
        <v>764</v>
      </c>
      <c r="C318" s="3" t="s">
        <v>765</v>
      </c>
      <c r="D318" s="2" t="s">
        <v>7</v>
      </c>
      <c r="E318" s="2" t="s">
        <v>8</v>
      </c>
      <c r="F318" s="16"/>
      <c r="G318" s="16"/>
      <c r="H318" s="16">
        <f>VLOOKUP(B:B,'[1]Master Sheet'!$B:$H,7,0)</f>
        <v>0</v>
      </c>
      <c r="I318" s="16">
        <f>VLOOKUP(B:B,'[1]Master Sheet'!$B:$I,8,0)</f>
        <v>0</v>
      </c>
      <c r="J318" s="16"/>
      <c r="K318" s="3" t="s">
        <v>2965</v>
      </c>
      <c r="L318" s="3" t="s">
        <v>3055</v>
      </c>
      <c r="M318" s="3" t="s">
        <v>3058</v>
      </c>
      <c r="N318" s="3"/>
      <c r="O318" s="3"/>
    </row>
    <row r="319" spans="1:15" s="4" customFormat="1">
      <c r="A319" s="2">
        <v>318</v>
      </c>
      <c r="B319" s="3" t="s">
        <v>766</v>
      </c>
      <c r="C319" s="3" t="s">
        <v>767</v>
      </c>
      <c r="D319" s="2" t="s">
        <v>7</v>
      </c>
      <c r="E319" s="2" t="s">
        <v>8</v>
      </c>
      <c r="F319" s="16"/>
      <c r="G319" s="16"/>
      <c r="H319" s="16">
        <f>VLOOKUP(B:B,'[1]Master Sheet'!$B:$H,7,0)</f>
        <v>0</v>
      </c>
      <c r="I319" s="16">
        <f>VLOOKUP(B:B,'[1]Master Sheet'!$B:$I,8,0)</f>
        <v>0</v>
      </c>
      <c r="J319" s="16"/>
      <c r="K319" s="3" t="s">
        <v>2965</v>
      </c>
      <c r="L319" s="3" t="s">
        <v>3055</v>
      </c>
      <c r="M319" s="3" t="s">
        <v>3058</v>
      </c>
      <c r="N319" s="3"/>
      <c r="O319" s="3"/>
    </row>
    <row r="320" spans="1:15" s="4" customFormat="1">
      <c r="A320" s="2">
        <v>319</v>
      </c>
      <c r="B320" s="3" t="s">
        <v>768</v>
      </c>
      <c r="C320" s="3" t="s">
        <v>769</v>
      </c>
      <c r="D320" s="2" t="s">
        <v>7</v>
      </c>
      <c r="E320" s="2" t="s">
        <v>8</v>
      </c>
      <c r="F320" s="16"/>
      <c r="G320" s="16"/>
      <c r="H320" s="16">
        <f>VLOOKUP(B:B,'[1]Master Sheet'!$B:$H,7,0)</f>
        <v>0</v>
      </c>
      <c r="I320" s="16">
        <f>VLOOKUP(B:B,'[1]Master Sheet'!$B:$I,8,0)</f>
        <v>0</v>
      </c>
      <c r="J320" s="16"/>
      <c r="K320" s="3" t="s">
        <v>2965</v>
      </c>
      <c r="L320" s="3" t="s">
        <v>3055</v>
      </c>
      <c r="M320" s="3" t="s">
        <v>3058</v>
      </c>
      <c r="N320" s="3"/>
      <c r="O320" s="3"/>
    </row>
    <row r="321" spans="1:15" s="4" customFormat="1">
      <c r="A321" s="2">
        <v>320</v>
      </c>
      <c r="B321" s="3" t="s">
        <v>770</v>
      </c>
      <c r="C321" s="3" t="s">
        <v>771</v>
      </c>
      <c r="D321" s="2" t="s">
        <v>7</v>
      </c>
      <c r="E321" s="2" t="s">
        <v>8</v>
      </c>
      <c r="F321" s="16"/>
      <c r="G321" s="16"/>
      <c r="H321" s="16">
        <f>VLOOKUP(B:B,'[1]Master Sheet'!$B:$H,7,0)</f>
        <v>0</v>
      </c>
      <c r="I321" s="16">
        <f>VLOOKUP(B:B,'[1]Master Sheet'!$B:$I,8,0)</f>
        <v>0</v>
      </c>
      <c r="J321" s="16"/>
      <c r="K321" s="3" t="s">
        <v>2965</v>
      </c>
      <c r="L321" s="3" t="s">
        <v>3055</v>
      </c>
      <c r="M321" s="3" t="s">
        <v>3058</v>
      </c>
      <c r="N321" s="3"/>
      <c r="O321" s="3"/>
    </row>
    <row r="322" spans="1:15" s="4" customFormat="1">
      <c r="A322" s="2">
        <v>321</v>
      </c>
      <c r="B322" s="3" t="s">
        <v>772</v>
      </c>
      <c r="C322" s="3" t="s">
        <v>773</v>
      </c>
      <c r="D322" s="2" t="s">
        <v>7</v>
      </c>
      <c r="E322" s="2" t="s">
        <v>8</v>
      </c>
      <c r="F322" s="16"/>
      <c r="G322" s="16"/>
      <c r="H322" s="16">
        <f>VLOOKUP(B:B,'[1]Master Sheet'!$B:$H,7,0)</f>
        <v>0</v>
      </c>
      <c r="I322" s="16">
        <f>VLOOKUP(B:B,'[1]Master Sheet'!$B:$I,8,0)</f>
        <v>0</v>
      </c>
      <c r="J322" s="16"/>
      <c r="K322" s="3" t="s">
        <v>2965</v>
      </c>
      <c r="L322" s="3" t="s">
        <v>3055</v>
      </c>
      <c r="M322" s="3" t="s">
        <v>3058</v>
      </c>
      <c r="N322" s="3"/>
      <c r="O322" s="3"/>
    </row>
    <row r="323" spans="1:15" s="4" customFormat="1">
      <c r="A323" s="2">
        <v>322</v>
      </c>
      <c r="B323" s="3" t="s">
        <v>774</v>
      </c>
      <c r="C323" s="3" t="s">
        <v>775</v>
      </c>
      <c r="D323" s="2" t="s">
        <v>7</v>
      </c>
      <c r="E323" s="2" t="s">
        <v>8</v>
      </c>
      <c r="F323" s="16"/>
      <c r="G323" s="16"/>
      <c r="H323" s="16">
        <f>VLOOKUP(B:B,'[1]Master Sheet'!$B:$H,7,0)</f>
        <v>400</v>
      </c>
      <c r="I323" s="16">
        <f>VLOOKUP(B:B,'[1]Master Sheet'!$B:$I,8,0)</f>
        <v>0</v>
      </c>
      <c r="J323" s="16"/>
      <c r="K323" s="3" t="s">
        <v>2965</v>
      </c>
      <c r="L323" s="3" t="s">
        <v>3055</v>
      </c>
      <c r="M323" s="3" t="s">
        <v>3056</v>
      </c>
      <c r="N323" s="3"/>
      <c r="O323" s="3"/>
    </row>
    <row r="324" spans="1:15" s="4" customFormat="1">
      <c r="A324" s="2">
        <v>323</v>
      </c>
      <c r="B324" s="3" t="s">
        <v>776</v>
      </c>
      <c r="C324" s="3" t="s">
        <v>777</v>
      </c>
      <c r="D324" s="2" t="s">
        <v>7</v>
      </c>
      <c r="E324" s="2" t="s">
        <v>8</v>
      </c>
      <c r="F324" s="16"/>
      <c r="G324" s="16"/>
      <c r="H324" s="16">
        <f>VLOOKUP(B:B,'[1]Master Sheet'!$B:$H,7,0)</f>
        <v>400</v>
      </c>
      <c r="I324" s="16">
        <f>VLOOKUP(B:B,'[1]Master Sheet'!$B:$I,8,0)</f>
        <v>0</v>
      </c>
      <c r="J324" s="16"/>
      <c r="K324" s="3" t="s">
        <v>2965</v>
      </c>
      <c r="L324" s="3" t="s">
        <v>3055</v>
      </c>
      <c r="M324" s="3" t="s">
        <v>3056</v>
      </c>
      <c r="N324" s="3"/>
      <c r="O324" s="3"/>
    </row>
    <row r="325" spans="1:15" s="4" customFormat="1">
      <c r="A325" s="2">
        <v>324</v>
      </c>
      <c r="B325" s="3" t="s">
        <v>778</v>
      </c>
      <c r="C325" s="3" t="s">
        <v>779</v>
      </c>
      <c r="D325" s="2" t="s">
        <v>7</v>
      </c>
      <c r="E325" s="2" t="s">
        <v>8</v>
      </c>
      <c r="F325" s="16"/>
      <c r="G325" s="16"/>
      <c r="H325" s="16">
        <f>VLOOKUP(B:B,'[1]Master Sheet'!$B:$H,7,0)</f>
        <v>400</v>
      </c>
      <c r="I325" s="16">
        <f>VLOOKUP(B:B,'[1]Master Sheet'!$B:$I,8,0)</f>
        <v>0</v>
      </c>
      <c r="J325" s="16"/>
      <c r="K325" s="3" t="s">
        <v>2965</v>
      </c>
      <c r="L325" s="3" t="s">
        <v>3055</v>
      </c>
      <c r="M325" s="3" t="s">
        <v>3056</v>
      </c>
      <c r="N325" s="3"/>
      <c r="O325" s="3"/>
    </row>
    <row r="326" spans="1:15" s="4" customFormat="1">
      <c r="A326" s="2">
        <v>325</v>
      </c>
      <c r="B326" s="3" t="s">
        <v>780</v>
      </c>
      <c r="C326" s="3" t="s">
        <v>781</v>
      </c>
      <c r="D326" s="2" t="s">
        <v>7</v>
      </c>
      <c r="E326" s="2" t="s">
        <v>8</v>
      </c>
      <c r="F326" s="16"/>
      <c r="G326" s="16"/>
      <c r="H326" s="16">
        <f>VLOOKUP(B:B,'[1]Master Sheet'!$B:$H,7,0)</f>
        <v>0</v>
      </c>
      <c r="I326" s="16">
        <f>VLOOKUP(B:B,'[1]Master Sheet'!$B:$I,8,0)</f>
        <v>0</v>
      </c>
      <c r="J326" s="16"/>
      <c r="K326" s="3" t="s">
        <v>2965</v>
      </c>
      <c r="L326" s="3" t="s">
        <v>3055</v>
      </c>
      <c r="M326" s="3" t="s">
        <v>3056</v>
      </c>
      <c r="N326" s="3"/>
      <c r="O326" s="3"/>
    </row>
    <row r="327" spans="1:15" s="4" customFormat="1">
      <c r="A327" s="2">
        <v>326</v>
      </c>
      <c r="B327" s="3" t="s">
        <v>782</v>
      </c>
      <c r="C327" s="3" t="s">
        <v>783</v>
      </c>
      <c r="D327" s="2" t="s">
        <v>7</v>
      </c>
      <c r="E327" s="2" t="s">
        <v>8</v>
      </c>
      <c r="F327" s="16"/>
      <c r="G327" s="16"/>
      <c r="H327" s="16">
        <f>VLOOKUP(B:B,'[1]Master Sheet'!$B:$H,7,0)</f>
        <v>0</v>
      </c>
      <c r="I327" s="16">
        <f>VLOOKUP(B:B,'[1]Master Sheet'!$B:$I,8,0)</f>
        <v>0</v>
      </c>
      <c r="J327" s="16"/>
      <c r="K327" s="3" t="s">
        <v>2965</v>
      </c>
      <c r="L327" s="3" t="s">
        <v>3055</v>
      </c>
      <c r="M327" s="3" t="s">
        <v>3056</v>
      </c>
      <c r="N327" s="3"/>
      <c r="O327" s="3"/>
    </row>
    <row r="328" spans="1:15" s="4" customFormat="1">
      <c r="A328" s="2">
        <v>327</v>
      </c>
      <c r="B328" s="3" t="s">
        <v>784</v>
      </c>
      <c r="C328" s="3" t="s">
        <v>785</v>
      </c>
      <c r="D328" s="2" t="s">
        <v>7</v>
      </c>
      <c r="E328" s="2" t="s">
        <v>8</v>
      </c>
      <c r="F328" s="16"/>
      <c r="G328" s="16"/>
      <c r="H328" s="16">
        <f>VLOOKUP(B:B,'[1]Master Sheet'!$B:$H,7,0)</f>
        <v>0</v>
      </c>
      <c r="I328" s="16">
        <f>VLOOKUP(B:B,'[1]Master Sheet'!$B:$I,8,0)</f>
        <v>0</v>
      </c>
      <c r="J328" s="16"/>
      <c r="K328" s="3" t="s">
        <v>2965</v>
      </c>
      <c r="L328" s="3" t="s">
        <v>3055</v>
      </c>
      <c r="M328" s="3" t="s">
        <v>3056</v>
      </c>
      <c r="N328" s="3"/>
      <c r="O328" s="3"/>
    </row>
    <row r="329" spans="1:15" s="4" customFormat="1">
      <c r="A329" s="2">
        <v>328</v>
      </c>
      <c r="B329" s="3" t="s">
        <v>786</v>
      </c>
      <c r="C329" s="3" t="s">
        <v>787</v>
      </c>
      <c r="D329" s="2" t="s">
        <v>7</v>
      </c>
      <c r="E329" s="2" t="s">
        <v>8</v>
      </c>
      <c r="F329" s="16"/>
      <c r="G329" s="16"/>
      <c r="H329" s="16">
        <f>VLOOKUP(B:B,'[1]Master Sheet'!$B:$H,7,0)</f>
        <v>0</v>
      </c>
      <c r="I329" s="16">
        <f>VLOOKUP(B:B,'[1]Master Sheet'!$B:$I,8,0)</f>
        <v>0</v>
      </c>
      <c r="J329" s="16"/>
      <c r="K329" s="3" t="s">
        <v>2965</v>
      </c>
      <c r="L329" s="3" t="s">
        <v>3055</v>
      </c>
      <c r="M329" s="3" t="s">
        <v>3056</v>
      </c>
      <c r="N329" s="3"/>
      <c r="O329" s="3"/>
    </row>
    <row r="330" spans="1:15" s="4" customFormat="1">
      <c r="A330" s="2">
        <v>329</v>
      </c>
      <c r="B330" s="3" t="s">
        <v>788</v>
      </c>
      <c r="C330" s="3" t="s">
        <v>789</v>
      </c>
      <c r="D330" s="2" t="s">
        <v>7</v>
      </c>
      <c r="E330" s="2" t="s">
        <v>8</v>
      </c>
      <c r="F330" s="16"/>
      <c r="G330" s="16"/>
      <c r="H330" s="16">
        <f>VLOOKUP(B:B,'[1]Master Sheet'!$B:$H,7,0)</f>
        <v>0</v>
      </c>
      <c r="I330" s="16">
        <f>VLOOKUP(B:B,'[1]Master Sheet'!$B:$I,8,0)</f>
        <v>0</v>
      </c>
      <c r="J330" s="16"/>
      <c r="K330" s="3" t="s">
        <v>2965</v>
      </c>
      <c r="L330" s="3" t="s">
        <v>3055</v>
      </c>
      <c r="M330" s="3" t="s">
        <v>3056</v>
      </c>
      <c r="N330" s="3"/>
      <c r="O330" s="3"/>
    </row>
    <row r="331" spans="1:15" s="4" customFormat="1">
      <c r="A331" s="2">
        <v>330</v>
      </c>
      <c r="B331" s="3" t="s">
        <v>790</v>
      </c>
      <c r="C331" s="3" t="s">
        <v>791</v>
      </c>
      <c r="D331" s="2" t="s">
        <v>7</v>
      </c>
      <c r="E331" s="2" t="s">
        <v>8</v>
      </c>
      <c r="F331" s="16"/>
      <c r="G331" s="16"/>
      <c r="H331" s="16">
        <f>VLOOKUP(B:B,'[1]Master Sheet'!$B:$H,7,0)</f>
        <v>3000</v>
      </c>
      <c r="I331" s="16">
        <f>VLOOKUP(B:B,'[1]Master Sheet'!$B:$I,8,0)</f>
        <v>1000</v>
      </c>
      <c r="J331" s="16"/>
      <c r="K331" s="3" t="s">
        <v>2965</v>
      </c>
      <c r="L331" s="3" t="s">
        <v>3055</v>
      </c>
      <c r="M331" s="3" t="s">
        <v>3056</v>
      </c>
      <c r="N331" s="3"/>
      <c r="O331" s="3"/>
    </row>
    <row r="332" spans="1:15" s="4" customFormat="1">
      <c r="A332" s="2">
        <v>331</v>
      </c>
      <c r="B332" s="3" t="s">
        <v>792</v>
      </c>
      <c r="C332" s="3" t="s">
        <v>793</v>
      </c>
      <c r="D332" s="2" t="s">
        <v>7</v>
      </c>
      <c r="E332" s="2" t="s">
        <v>8</v>
      </c>
      <c r="F332" s="16"/>
      <c r="G332" s="16"/>
      <c r="H332" s="16">
        <f>VLOOKUP(B:B,'[1]Master Sheet'!$B:$H,7,0)</f>
        <v>1500</v>
      </c>
      <c r="I332" s="16">
        <f>VLOOKUP(B:B,'[1]Master Sheet'!$B:$I,8,0)</f>
        <v>0</v>
      </c>
      <c r="J332" s="16"/>
      <c r="K332" s="3" t="s">
        <v>2965</v>
      </c>
      <c r="L332" s="3" t="s">
        <v>3055</v>
      </c>
      <c r="M332" s="3" t="s">
        <v>3056</v>
      </c>
      <c r="N332" s="3"/>
      <c r="O332" s="3"/>
    </row>
    <row r="333" spans="1:15" s="4" customFormat="1">
      <c r="A333" s="2">
        <v>332</v>
      </c>
      <c r="B333" s="3" t="s">
        <v>796</v>
      </c>
      <c r="C333" s="3" t="s">
        <v>797</v>
      </c>
      <c r="D333" s="2" t="s">
        <v>7</v>
      </c>
      <c r="E333" s="2" t="s">
        <v>8</v>
      </c>
      <c r="F333" s="16"/>
      <c r="G333" s="16"/>
      <c r="H333" s="16">
        <f>VLOOKUP(B:B,'[1]Master Sheet'!$B:$H,7,0)</f>
        <v>0</v>
      </c>
      <c r="I333" s="16">
        <f>VLOOKUP(B:B,'[1]Master Sheet'!$B:$I,8,0)</f>
        <v>0</v>
      </c>
      <c r="J333" s="16"/>
      <c r="K333" s="3" t="s">
        <v>2965</v>
      </c>
      <c r="L333" s="3" t="s">
        <v>3055</v>
      </c>
      <c r="M333" s="3" t="s">
        <v>3056</v>
      </c>
      <c r="N333" s="3"/>
      <c r="O333" s="3"/>
    </row>
    <row r="334" spans="1:15" s="4" customFormat="1">
      <c r="A334" s="2">
        <v>333</v>
      </c>
      <c r="B334" s="3" t="s">
        <v>798</v>
      </c>
      <c r="C334" s="3" t="s">
        <v>799</v>
      </c>
      <c r="D334" s="2" t="s">
        <v>7</v>
      </c>
      <c r="E334" s="2" t="s">
        <v>8</v>
      </c>
      <c r="F334" s="16"/>
      <c r="G334" s="16"/>
      <c r="H334" s="16">
        <f>VLOOKUP(B:B,'[1]Master Sheet'!$B:$H,7,0)</f>
        <v>600</v>
      </c>
      <c r="I334" s="16">
        <f>VLOOKUP(B:B,'[1]Master Sheet'!$B:$I,8,0)</f>
        <v>0</v>
      </c>
      <c r="J334" s="16"/>
      <c r="K334" s="3" t="s">
        <v>2965</v>
      </c>
      <c r="L334" s="3" t="s">
        <v>3055</v>
      </c>
      <c r="M334" s="3" t="s">
        <v>3056</v>
      </c>
      <c r="N334" s="3"/>
      <c r="O334" s="3"/>
    </row>
    <row r="335" spans="1:15" s="4" customFormat="1">
      <c r="A335" s="2">
        <v>334</v>
      </c>
      <c r="B335" s="3" t="s">
        <v>800</v>
      </c>
      <c r="C335" s="3" t="s">
        <v>801</v>
      </c>
      <c r="D335" s="2" t="s">
        <v>7</v>
      </c>
      <c r="E335" s="2" t="s">
        <v>8</v>
      </c>
      <c r="F335" s="16"/>
      <c r="G335" s="16"/>
      <c r="H335" s="16">
        <f>VLOOKUP(B:B,'[1]Master Sheet'!$B:$H,7,0)</f>
        <v>1000</v>
      </c>
      <c r="I335" s="16">
        <f>VLOOKUP(B:B,'[1]Master Sheet'!$B:$I,8,0)</f>
        <v>0</v>
      </c>
      <c r="J335" s="16"/>
      <c r="K335" s="3" t="s">
        <v>2965</v>
      </c>
      <c r="L335" s="3" t="s">
        <v>3055</v>
      </c>
      <c r="M335" s="3" t="s">
        <v>3056</v>
      </c>
      <c r="N335" s="3"/>
      <c r="O335" s="3"/>
    </row>
    <row r="336" spans="1:15" s="4" customFormat="1">
      <c r="A336" s="2">
        <v>335</v>
      </c>
      <c r="B336" s="3" t="s">
        <v>802</v>
      </c>
      <c r="C336" s="3" t="s">
        <v>803</v>
      </c>
      <c r="D336" s="2" t="s">
        <v>7</v>
      </c>
      <c r="E336" s="2" t="s">
        <v>8</v>
      </c>
      <c r="F336" s="16"/>
      <c r="G336" s="16"/>
      <c r="H336" s="16">
        <f>VLOOKUP(B:B,'[1]Master Sheet'!$B:$H,7,0)</f>
        <v>1000</v>
      </c>
      <c r="I336" s="16">
        <f>VLOOKUP(B:B,'[1]Master Sheet'!$B:$I,8,0)</f>
        <v>0</v>
      </c>
      <c r="J336" s="16"/>
      <c r="K336" s="3" t="s">
        <v>2965</v>
      </c>
      <c r="L336" s="3" t="s">
        <v>3055</v>
      </c>
      <c r="M336" s="3" t="s">
        <v>3056</v>
      </c>
      <c r="N336" s="3"/>
      <c r="O336" s="3"/>
    </row>
    <row r="337" spans="1:15" s="4" customFormat="1">
      <c r="A337" s="2">
        <v>336</v>
      </c>
      <c r="B337" s="3" t="s">
        <v>804</v>
      </c>
      <c r="C337" s="3" t="s">
        <v>805</v>
      </c>
      <c r="D337" s="2" t="s">
        <v>7</v>
      </c>
      <c r="E337" s="2" t="s">
        <v>8</v>
      </c>
      <c r="F337" s="16"/>
      <c r="G337" s="16"/>
      <c r="H337" s="16">
        <f>VLOOKUP(B:B,'[1]Master Sheet'!$B:$H,7,0)</f>
        <v>0</v>
      </c>
      <c r="I337" s="16">
        <f>VLOOKUP(B:B,'[1]Master Sheet'!$B:$I,8,0)</f>
        <v>0</v>
      </c>
      <c r="J337" s="16"/>
      <c r="K337" s="3" t="s">
        <v>2965</v>
      </c>
      <c r="L337" s="3" t="s">
        <v>3055</v>
      </c>
      <c r="M337" s="3" t="s">
        <v>3056</v>
      </c>
      <c r="N337" s="3"/>
      <c r="O337" s="3"/>
    </row>
    <row r="338" spans="1:15" s="4" customFormat="1">
      <c r="A338" s="2">
        <v>337</v>
      </c>
      <c r="B338" s="3" t="s">
        <v>806</v>
      </c>
      <c r="C338" s="3" t="s">
        <v>807</v>
      </c>
      <c r="D338" s="2" t="s">
        <v>7</v>
      </c>
      <c r="E338" s="2" t="s">
        <v>8</v>
      </c>
      <c r="F338" s="16"/>
      <c r="G338" s="16"/>
      <c r="H338" s="16">
        <f>VLOOKUP(B:B,'[1]Master Sheet'!$B:$H,7,0)</f>
        <v>0</v>
      </c>
      <c r="I338" s="16">
        <f>VLOOKUP(B:B,'[1]Master Sheet'!$B:$I,8,0)</f>
        <v>0</v>
      </c>
      <c r="J338" s="16"/>
      <c r="K338" s="3" t="s">
        <v>2965</v>
      </c>
      <c r="L338" s="3" t="s">
        <v>3055</v>
      </c>
      <c r="M338" s="3" t="s">
        <v>3056</v>
      </c>
      <c r="N338" s="3"/>
      <c r="O338" s="3"/>
    </row>
    <row r="339" spans="1:15" s="4" customFormat="1">
      <c r="A339" s="2">
        <v>338</v>
      </c>
      <c r="B339" s="3" t="s">
        <v>808</v>
      </c>
      <c r="C339" s="3" t="s">
        <v>809</v>
      </c>
      <c r="D339" s="2" t="s">
        <v>7</v>
      </c>
      <c r="E339" s="2" t="s">
        <v>8</v>
      </c>
      <c r="F339" s="16"/>
      <c r="G339" s="16"/>
      <c r="H339" s="16">
        <f>VLOOKUP(B:B,'[1]Master Sheet'!$B:$H,7,0)</f>
        <v>0</v>
      </c>
      <c r="I339" s="16">
        <f>VLOOKUP(B:B,'[1]Master Sheet'!$B:$I,8,0)</f>
        <v>0</v>
      </c>
      <c r="J339" s="16"/>
      <c r="K339" s="3" t="s">
        <v>2965</v>
      </c>
      <c r="L339" s="3" t="s">
        <v>3055</v>
      </c>
      <c r="M339" s="3" t="s">
        <v>3056</v>
      </c>
      <c r="N339" s="3"/>
      <c r="O339" s="3"/>
    </row>
    <row r="340" spans="1:15" s="4" customFormat="1">
      <c r="A340" s="2">
        <v>339</v>
      </c>
      <c r="B340" s="3" t="s">
        <v>810</v>
      </c>
      <c r="C340" s="3" t="s">
        <v>811</v>
      </c>
      <c r="D340" s="2" t="s">
        <v>7</v>
      </c>
      <c r="E340" s="2" t="s">
        <v>8</v>
      </c>
      <c r="F340" s="16"/>
      <c r="G340" s="16"/>
      <c r="H340" s="16">
        <f>VLOOKUP(B:B,'[1]Master Sheet'!$B:$H,7,0)</f>
        <v>0</v>
      </c>
      <c r="I340" s="16">
        <f>VLOOKUP(B:B,'[1]Master Sheet'!$B:$I,8,0)</f>
        <v>0</v>
      </c>
      <c r="J340" s="16"/>
      <c r="K340" s="3" t="s">
        <v>2965</v>
      </c>
      <c r="L340" s="3" t="s">
        <v>3055</v>
      </c>
      <c r="M340" s="3" t="s">
        <v>3056</v>
      </c>
      <c r="N340" s="3"/>
      <c r="O340" s="3"/>
    </row>
    <row r="341" spans="1:15" s="4" customFormat="1">
      <c r="A341" s="2">
        <v>340</v>
      </c>
      <c r="B341" s="3" t="s">
        <v>814</v>
      </c>
      <c r="C341" s="3" t="s">
        <v>815</v>
      </c>
      <c r="D341" s="2" t="s">
        <v>7</v>
      </c>
      <c r="E341" s="2" t="s">
        <v>8</v>
      </c>
      <c r="F341" s="16"/>
      <c r="G341" s="16"/>
      <c r="H341" s="16">
        <f>VLOOKUP(B:B,'[1]Master Sheet'!$B:$H,7,0)</f>
        <v>500</v>
      </c>
      <c r="I341" s="16">
        <f>VLOOKUP(B:B,'[1]Master Sheet'!$B:$I,8,0)</f>
        <v>500</v>
      </c>
      <c r="J341" s="16"/>
      <c r="K341" s="3" t="s">
        <v>2965</v>
      </c>
      <c r="L341" s="3" t="s">
        <v>3055</v>
      </c>
      <c r="M341" s="3" t="s">
        <v>3056</v>
      </c>
      <c r="N341" s="3"/>
      <c r="O341" s="3"/>
    </row>
    <row r="342" spans="1:15" s="4" customFormat="1">
      <c r="A342" s="2">
        <v>341</v>
      </c>
      <c r="B342" s="3" t="s">
        <v>816</v>
      </c>
      <c r="C342" s="3" t="s">
        <v>817</v>
      </c>
      <c r="D342" s="2" t="s">
        <v>7</v>
      </c>
      <c r="E342" s="2" t="s">
        <v>8</v>
      </c>
      <c r="F342" s="16"/>
      <c r="G342" s="16"/>
      <c r="H342" s="16">
        <f>VLOOKUP(B:B,'[1]Master Sheet'!$B:$H,7,0)</f>
        <v>0</v>
      </c>
      <c r="I342" s="16">
        <f>VLOOKUP(B:B,'[1]Master Sheet'!$B:$I,8,0)</f>
        <v>0</v>
      </c>
      <c r="J342" s="16"/>
      <c r="K342" s="3" t="s">
        <v>2965</v>
      </c>
      <c r="L342" s="3" t="s">
        <v>3055</v>
      </c>
      <c r="M342" s="3" t="s">
        <v>3056</v>
      </c>
      <c r="N342" s="3"/>
      <c r="O342" s="3"/>
    </row>
    <row r="343" spans="1:15" s="4" customFormat="1">
      <c r="A343" s="2">
        <v>342</v>
      </c>
      <c r="B343" s="3" t="s">
        <v>818</v>
      </c>
      <c r="C343" s="3" t="s">
        <v>819</v>
      </c>
      <c r="D343" s="2" t="s">
        <v>7</v>
      </c>
      <c r="E343" s="2" t="s">
        <v>8</v>
      </c>
      <c r="F343" s="16"/>
      <c r="G343" s="16"/>
      <c r="H343" s="16">
        <f>VLOOKUP(B:B,'[1]Master Sheet'!$B:$H,7,0)</f>
        <v>200</v>
      </c>
      <c r="I343" s="16">
        <f>VLOOKUP(B:B,'[1]Master Sheet'!$B:$I,8,0)</f>
        <v>0</v>
      </c>
      <c r="J343" s="16"/>
      <c r="K343" s="3" t="s">
        <v>2965</v>
      </c>
      <c r="L343" s="3" t="s">
        <v>3055</v>
      </c>
      <c r="M343" s="3" t="s">
        <v>3056</v>
      </c>
      <c r="N343" s="3"/>
      <c r="O343" s="3"/>
    </row>
    <row r="344" spans="1:15" s="4" customFormat="1">
      <c r="A344" s="2">
        <v>343</v>
      </c>
      <c r="B344" s="3" t="s">
        <v>820</v>
      </c>
      <c r="C344" s="3" t="s">
        <v>821</v>
      </c>
      <c r="D344" s="2" t="s">
        <v>7</v>
      </c>
      <c r="E344" s="2" t="s">
        <v>8</v>
      </c>
      <c r="F344" s="16"/>
      <c r="G344" s="16"/>
      <c r="H344" s="16">
        <f>VLOOKUP(B:B,'[1]Master Sheet'!$B:$H,7,0)</f>
        <v>200</v>
      </c>
      <c r="I344" s="16">
        <f>VLOOKUP(B:B,'[1]Master Sheet'!$B:$I,8,0)</f>
        <v>0</v>
      </c>
      <c r="J344" s="16"/>
      <c r="K344" s="3" t="s">
        <v>2965</v>
      </c>
      <c r="L344" s="3" t="s">
        <v>3055</v>
      </c>
      <c r="M344" s="3" t="s">
        <v>3056</v>
      </c>
      <c r="N344" s="3"/>
      <c r="O344" s="3"/>
    </row>
    <row r="345" spans="1:15" s="4" customFormat="1">
      <c r="A345" s="2">
        <v>344</v>
      </c>
      <c r="B345" s="3" t="s">
        <v>822</v>
      </c>
      <c r="C345" s="3" t="s">
        <v>823</v>
      </c>
      <c r="D345" s="2" t="s">
        <v>7</v>
      </c>
      <c r="E345" s="2" t="s">
        <v>8</v>
      </c>
      <c r="F345" s="16"/>
      <c r="G345" s="16"/>
      <c r="H345" s="16">
        <f>VLOOKUP(B:B,'[1]Master Sheet'!$B:$H,7,0)</f>
        <v>200</v>
      </c>
      <c r="I345" s="16">
        <f>VLOOKUP(B:B,'[1]Master Sheet'!$B:$I,8,0)</f>
        <v>200</v>
      </c>
      <c r="J345" s="16"/>
      <c r="K345" s="3" t="s">
        <v>2965</v>
      </c>
      <c r="L345" s="3" t="s">
        <v>3055</v>
      </c>
      <c r="M345" s="3" t="s">
        <v>3056</v>
      </c>
      <c r="N345" s="3"/>
      <c r="O345" s="3"/>
    </row>
    <row r="346" spans="1:15" s="4" customFormat="1">
      <c r="A346" s="2">
        <v>345</v>
      </c>
      <c r="B346" s="3" t="s">
        <v>824</v>
      </c>
      <c r="C346" s="3" t="s">
        <v>825</v>
      </c>
      <c r="D346" s="2" t="s">
        <v>7</v>
      </c>
      <c r="E346" s="2" t="s">
        <v>8</v>
      </c>
      <c r="F346" s="16"/>
      <c r="G346" s="16"/>
      <c r="H346" s="16">
        <f>VLOOKUP(B:B,'[1]Master Sheet'!$B:$H,7,0)</f>
        <v>200</v>
      </c>
      <c r="I346" s="16">
        <f>VLOOKUP(B:B,'[1]Master Sheet'!$B:$I,8,0)</f>
        <v>0</v>
      </c>
      <c r="J346" s="16"/>
      <c r="K346" s="3" t="s">
        <v>2965</v>
      </c>
      <c r="L346" s="3" t="s">
        <v>3055</v>
      </c>
      <c r="M346" s="3" t="s">
        <v>3056</v>
      </c>
      <c r="N346" s="3"/>
      <c r="O346" s="3"/>
    </row>
    <row r="347" spans="1:15" s="4" customFormat="1">
      <c r="A347" s="2">
        <v>346</v>
      </c>
      <c r="B347" s="3" t="s">
        <v>826</v>
      </c>
      <c r="C347" s="3" t="s">
        <v>827</v>
      </c>
      <c r="D347" s="2" t="s">
        <v>20</v>
      </c>
      <c r="E347" s="2" t="s">
        <v>8</v>
      </c>
      <c r="F347" s="16"/>
      <c r="G347" s="16"/>
      <c r="H347" s="16">
        <f>VLOOKUP(B:B,'[1]Master Sheet'!$B:$H,7,0)</f>
        <v>40</v>
      </c>
      <c r="I347" s="16">
        <f>VLOOKUP(B:B,'[1]Master Sheet'!$B:$I,8,0)</f>
        <v>0</v>
      </c>
      <c r="J347" s="16"/>
      <c r="K347" s="3" t="s">
        <v>2965</v>
      </c>
      <c r="L347" s="3" t="s">
        <v>3055</v>
      </c>
      <c r="M347" s="3" t="s">
        <v>3058</v>
      </c>
      <c r="N347" s="3"/>
      <c r="O347" s="3"/>
    </row>
    <row r="348" spans="1:15" s="4" customFormat="1">
      <c r="A348" s="2">
        <v>347</v>
      </c>
      <c r="B348" s="3" t="s">
        <v>828</v>
      </c>
      <c r="C348" s="3" t="s">
        <v>829</v>
      </c>
      <c r="D348" s="2" t="s">
        <v>17</v>
      </c>
      <c r="E348" s="2" t="s">
        <v>8</v>
      </c>
      <c r="F348" s="16"/>
      <c r="G348" s="16"/>
      <c r="H348" s="16">
        <f>VLOOKUP(B:B,'[1]Master Sheet'!$B:$H,7,0)</f>
        <v>0</v>
      </c>
      <c r="I348" s="16">
        <f>VLOOKUP(B:B,'[1]Master Sheet'!$B:$I,8,0)</f>
        <v>0</v>
      </c>
      <c r="J348" s="16"/>
      <c r="K348" s="3" t="s">
        <v>2965</v>
      </c>
      <c r="L348" s="3" t="s">
        <v>3055</v>
      </c>
      <c r="M348" s="3" t="s">
        <v>3058</v>
      </c>
      <c r="N348" s="3"/>
      <c r="O348" s="3"/>
    </row>
    <row r="349" spans="1:15" s="4" customFormat="1">
      <c r="A349" s="2">
        <v>348</v>
      </c>
      <c r="B349" s="3" t="s">
        <v>830</v>
      </c>
      <c r="C349" s="3" t="s">
        <v>831</v>
      </c>
      <c r="D349" s="2" t="s">
        <v>20</v>
      </c>
      <c r="E349" s="2" t="s">
        <v>8</v>
      </c>
      <c r="F349" s="16"/>
      <c r="G349" s="16"/>
      <c r="H349" s="16">
        <f>VLOOKUP(B:B,'[1]Master Sheet'!$B:$H,7,0)</f>
        <v>100</v>
      </c>
      <c r="I349" s="16">
        <f>VLOOKUP(B:B,'[1]Master Sheet'!$B:$I,8,0)</f>
        <v>0</v>
      </c>
      <c r="J349" s="16"/>
      <c r="K349" s="3" t="s">
        <v>2965</v>
      </c>
      <c r="L349" s="3" t="s">
        <v>3055</v>
      </c>
      <c r="M349" s="3" t="s">
        <v>3058</v>
      </c>
      <c r="N349" s="3"/>
      <c r="O349" s="3"/>
    </row>
    <row r="350" spans="1:15" s="4" customFormat="1">
      <c r="A350" s="2">
        <v>349</v>
      </c>
      <c r="B350" s="3" t="s">
        <v>834</v>
      </c>
      <c r="C350" s="3" t="s">
        <v>835</v>
      </c>
      <c r="D350" s="2" t="s">
        <v>7</v>
      </c>
      <c r="E350" s="2" t="s">
        <v>8</v>
      </c>
      <c r="F350" s="16"/>
      <c r="G350" s="16"/>
      <c r="H350" s="16">
        <f>VLOOKUP(B:B,'[1]Master Sheet'!$B:$H,7,0)</f>
        <v>50</v>
      </c>
      <c r="I350" s="16">
        <f>VLOOKUP(B:B,'[1]Master Sheet'!$B:$I,8,0)</f>
        <v>0</v>
      </c>
      <c r="J350" s="16"/>
      <c r="K350" s="3" t="s">
        <v>2965</v>
      </c>
      <c r="L350" s="3" t="s">
        <v>3055</v>
      </c>
      <c r="M350" s="3" t="s">
        <v>3056</v>
      </c>
      <c r="N350" s="3"/>
      <c r="O350" s="3"/>
    </row>
    <row r="351" spans="1:15" s="4" customFormat="1">
      <c r="A351" s="2">
        <v>350</v>
      </c>
      <c r="B351" s="3" t="s">
        <v>836</v>
      </c>
      <c r="C351" s="3" t="s">
        <v>837</v>
      </c>
      <c r="D351" s="2" t="s">
        <v>7</v>
      </c>
      <c r="E351" s="2" t="s">
        <v>8</v>
      </c>
      <c r="F351" s="16"/>
      <c r="G351" s="16"/>
      <c r="H351" s="16">
        <f>VLOOKUP(B:B,'[1]Master Sheet'!$B:$H,7,0)</f>
        <v>350</v>
      </c>
      <c r="I351" s="16">
        <f>VLOOKUP(B:B,'[1]Master Sheet'!$B:$I,8,0)</f>
        <v>1000</v>
      </c>
      <c r="J351" s="16"/>
      <c r="K351" s="3" t="s">
        <v>2965</v>
      </c>
      <c r="L351" s="3" t="s">
        <v>3055</v>
      </c>
      <c r="M351" s="3" t="s">
        <v>3056</v>
      </c>
      <c r="N351" s="3"/>
      <c r="O351" s="3"/>
    </row>
    <row r="352" spans="1:15" s="4" customFormat="1">
      <c r="A352" s="2">
        <v>351</v>
      </c>
      <c r="B352" s="3" t="s">
        <v>516</v>
      </c>
      <c r="C352" s="3" t="s">
        <v>517</v>
      </c>
      <c r="D352" s="2" t="s">
        <v>17</v>
      </c>
      <c r="E352" s="2" t="s">
        <v>8</v>
      </c>
      <c r="F352" s="16"/>
      <c r="G352" s="16"/>
      <c r="H352" s="16">
        <f>VLOOKUP(B:B,'[1]Master Sheet'!$B:$H,7,0)</f>
        <v>0</v>
      </c>
      <c r="I352" s="16">
        <f>VLOOKUP(B:B,'[1]Master Sheet'!$B:$I,8,0)</f>
        <v>0</v>
      </c>
      <c r="J352" s="16"/>
      <c r="K352" s="3" t="s">
        <v>2972</v>
      </c>
      <c r="L352" s="3" t="s">
        <v>3057</v>
      </c>
      <c r="M352" s="3" t="s">
        <v>3056</v>
      </c>
      <c r="N352" s="3"/>
      <c r="O352" s="3"/>
    </row>
    <row r="353" spans="1:15" s="4" customFormat="1">
      <c r="A353" s="2">
        <v>352</v>
      </c>
      <c r="B353" s="3" t="s">
        <v>840</v>
      </c>
      <c r="C353" s="3" t="s">
        <v>841</v>
      </c>
      <c r="D353" s="2" t="s">
        <v>17</v>
      </c>
      <c r="E353" s="2" t="s">
        <v>8</v>
      </c>
      <c r="F353" s="16"/>
      <c r="G353" s="16"/>
      <c r="H353" s="16">
        <f>VLOOKUP(B:B,'[1]Master Sheet'!$B:$H,7,0)</f>
        <v>1100</v>
      </c>
      <c r="I353" s="16">
        <f>VLOOKUP(B:B,'[1]Master Sheet'!$B:$I,8,0)</f>
        <v>3000</v>
      </c>
      <c r="J353" s="16"/>
      <c r="K353" s="3" t="s">
        <v>2972</v>
      </c>
      <c r="L353" s="3" t="s">
        <v>3055</v>
      </c>
      <c r="M353" s="3" t="s">
        <v>3056</v>
      </c>
      <c r="N353" s="3"/>
      <c r="O353" s="3"/>
    </row>
    <row r="354" spans="1:15" s="4" customFormat="1">
      <c r="A354" s="2">
        <v>353</v>
      </c>
      <c r="B354" s="3" t="s">
        <v>844</v>
      </c>
      <c r="C354" s="3" t="s">
        <v>845</v>
      </c>
      <c r="D354" s="2" t="s">
        <v>17</v>
      </c>
      <c r="E354" s="2" t="s">
        <v>8</v>
      </c>
      <c r="F354" s="16"/>
      <c r="G354" s="16"/>
      <c r="H354" s="16">
        <f>VLOOKUP(B:B,'[1]Master Sheet'!$B:$H,7,0)</f>
        <v>0</v>
      </c>
      <c r="I354" s="16">
        <f>VLOOKUP(B:B,'[1]Master Sheet'!$B:$I,8,0)</f>
        <v>0</v>
      </c>
      <c r="J354" s="16"/>
      <c r="K354" s="3" t="s">
        <v>2972</v>
      </c>
      <c r="L354" s="3" t="s">
        <v>3055</v>
      </c>
      <c r="M354" s="3" t="s">
        <v>3056</v>
      </c>
      <c r="N354" s="3"/>
      <c r="O354" s="3"/>
    </row>
    <row r="355" spans="1:15" s="4" customFormat="1">
      <c r="A355" s="2">
        <v>354</v>
      </c>
      <c r="B355" s="3" t="s">
        <v>518</v>
      </c>
      <c r="C355" s="3" t="s">
        <v>519</v>
      </c>
      <c r="D355" s="2" t="s">
        <v>7</v>
      </c>
      <c r="E355" s="2" t="s">
        <v>8</v>
      </c>
      <c r="F355" s="16"/>
      <c r="G355" s="16"/>
      <c r="H355" s="16">
        <f>VLOOKUP(B:B,'[1]Master Sheet'!$B:$H,7,0)</f>
        <v>740</v>
      </c>
      <c r="I355" s="16">
        <f>VLOOKUP(B:B,'[1]Master Sheet'!$B:$I,8,0)</f>
        <v>0</v>
      </c>
      <c r="J355" s="16"/>
      <c r="K355" s="3" t="s">
        <v>2972</v>
      </c>
      <c r="L355" s="3" t="s">
        <v>3057</v>
      </c>
      <c r="M355" s="3" t="s">
        <v>3058</v>
      </c>
      <c r="N355" s="3"/>
      <c r="O355" s="3"/>
    </row>
    <row r="356" spans="1:15" s="4" customFormat="1">
      <c r="A356" s="2">
        <v>355</v>
      </c>
      <c r="B356" s="3" t="s">
        <v>848</v>
      </c>
      <c r="C356" s="3" t="s">
        <v>849</v>
      </c>
      <c r="D356" s="2" t="s">
        <v>17</v>
      </c>
      <c r="E356" s="2" t="s">
        <v>8</v>
      </c>
      <c r="F356" s="16"/>
      <c r="G356" s="16"/>
      <c r="H356" s="16">
        <f>VLOOKUP(B:B,'[1]Master Sheet'!$B:$H,7,0)</f>
        <v>200</v>
      </c>
      <c r="I356" s="16">
        <f>VLOOKUP(B:B,'[1]Master Sheet'!$B:$I,8,0)</f>
        <v>0</v>
      </c>
      <c r="J356" s="16"/>
      <c r="K356" s="3" t="s">
        <v>2972</v>
      </c>
      <c r="L356" s="3" t="s">
        <v>3055</v>
      </c>
      <c r="M356" s="3" t="s">
        <v>3056</v>
      </c>
      <c r="N356" s="3"/>
      <c r="O356" s="3"/>
    </row>
    <row r="357" spans="1:15" s="4" customFormat="1">
      <c r="A357" s="2">
        <v>356</v>
      </c>
      <c r="B357" s="3" t="s">
        <v>854</v>
      </c>
      <c r="C357" s="3" t="s">
        <v>855</v>
      </c>
      <c r="D357" s="2" t="s">
        <v>17</v>
      </c>
      <c r="E357" s="2" t="s">
        <v>8</v>
      </c>
      <c r="F357" s="16"/>
      <c r="G357" s="16"/>
      <c r="H357" s="16">
        <f>VLOOKUP(B:B,'[1]Master Sheet'!$B:$H,7,0)</f>
        <v>0</v>
      </c>
      <c r="I357" s="16">
        <f>VLOOKUP(B:B,'[1]Master Sheet'!$B:$I,8,0)</f>
        <v>0</v>
      </c>
      <c r="J357" s="16"/>
      <c r="K357" s="3" t="s">
        <v>2982</v>
      </c>
      <c r="L357" s="3" t="s">
        <v>3060</v>
      </c>
      <c r="M357" s="3" t="s">
        <v>3058</v>
      </c>
      <c r="N357" s="3"/>
      <c r="O357" s="3"/>
    </row>
    <row r="358" spans="1:15" s="4" customFormat="1">
      <c r="A358" s="2">
        <v>357</v>
      </c>
      <c r="B358" s="3" t="s">
        <v>856</v>
      </c>
      <c r="C358" s="3" t="s">
        <v>857</v>
      </c>
      <c r="D358" s="2" t="s">
        <v>17</v>
      </c>
      <c r="E358" s="2" t="s">
        <v>8</v>
      </c>
      <c r="F358" s="16"/>
      <c r="G358" s="16"/>
      <c r="H358" s="16">
        <f>VLOOKUP(B:B,'[1]Master Sheet'!$B:$H,7,0)</f>
        <v>200</v>
      </c>
      <c r="I358" s="16">
        <f>VLOOKUP(B:B,'[1]Master Sheet'!$B:$I,8,0)</f>
        <v>500</v>
      </c>
      <c r="J358" s="16"/>
      <c r="K358" s="3" t="s">
        <v>2965</v>
      </c>
      <c r="L358" s="3" t="s">
        <v>3055</v>
      </c>
      <c r="M358" s="3" t="s">
        <v>3056</v>
      </c>
      <c r="N358" s="3"/>
      <c r="O358" s="3"/>
    </row>
    <row r="359" spans="1:15" s="4" customFormat="1">
      <c r="A359" s="2">
        <v>358</v>
      </c>
      <c r="B359" s="3" t="s">
        <v>858</v>
      </c>
      <c r="C359" s="3" t="s">
        <v>859</v>
      </c>
      <c r="D359" s="2" t="s">
        <v>135</v>
      </c>
      <c r="E359" s="2" t="s">
        <v>8</v>
      </c>
      <c r="F359" s="16"/>
      <c r="G359" s="16"/>
      <c r="H359" s="16">
        <f>VLOOKUP(B:B,'[1]Master Sheet'!$B:$H,7,0)</f>
        <v>0</v>
      </c>
      <c r="I359" s="16">
        <f>VLOOKUP(B:B,'[1]Master Sheet'!$B:$I,8,0)</f>
        <v>0</v>
      </c>
      <c r="J359" s="16"/>
      <c r="K359" s="3" t="s">
        <v>2974</v>
      </c>
      <c r="L359" s="3" t="s">
        <v>3055</v>
      </c>
      <c r="M359" s="3" t="s">
        <v>3056</v>
      </c>
      <c r="N359" s="3"/>
      <c r="O359" s="3"/>
    </row>
    <row r="360" spans="1:15" s="4" customFormat="1">
      <c r="A360" s="2">
        <v>359</v>
      </c>
      <c r="B360" s="3" t="s">
        <v>860</v>
      </c>
      <c r="C360" s="3" t="s">
        <v>861</v>
      </c>
      <c r="D360" s="2" t="s">
        <v>135</v>
      </c>
      <c r="E360" s="2" t="s">
        <v>8</v>
      </c>
      <c r="F360" s="16"/>
      <c r="G360" s="16"/>
      <c r="H360" s="16">
        <f>VLOOKUP(B:B,'[1]Master Sheet'!$B:$H,7,0)</f>
        <v>0</v>
      </c>
      <c r="I360" s="16">
        <f>VLOOKUP(B:B,'[1]Master Sheet'!$B:$I,8,0)</f>
        <v>0</v>
      </c>
      <c r="J360" s="16"/>
      <c r="K360" s="3" t="s">
        <v>2974</v>
      </c>
      <c r="L360" s="3" t="s">
        <v>3055</v>
      </c>
      <c r="M360" s="3" t="s">
        <v>3056</v>
      </c>
      <c r="N360" s="3"/>
      <c r="O360" s="3"/>
    </row>
    <row r="361" spans="1:15" s="4" customFormat="1">
      <c r="A361" s="2">
        <v>360</v>
      </c>
      <c r="B361" s="3" t="s">
        <v>862</v>
      </c>
      <c r="C361" s="3" t="s">
        <v>863</v>
      </c>
      <c r="D361" s="2" t="s">
        <v>17</v>
      </c>
      <c r="E361" s="2" t="s">
        <v>8</v>
      </c>
      <c r="F361" s="16"/>
      <c r="G361" s="16"/>
      <c r="H361" s="16">
        <f>VLOOKUP(B:B,'[1]Master Sheet'!$B:$H,7,0)</f>
        <v>100</v>
      </c>
      <c r="I361" s="16">
        <f>VLOOKUP(B:B,'[1]Master Sheet'!$B:$I,8,0)</f>
        <v>0</v>
      </c>
      <c r="J361" s="16"/>
      <c r="K361" s="3" t="s">
        <v>2972</v>
      </c>
      <c r="L361" s="3" t="s">
        <v>3055</v>
      </c>
      <c r="M361" s="3" t="s">
        <v>3056</v>
      </c>
      <c r="N361" s="3"/>
      <c r="O361" s="3"/>
    </row>
    <row r="362" spans="1:15" s="4" customFormat="1">
      <c r="A362" s="2">
        <v>361</v>
      </c>
      <c r="B362" s="3" t="s">
        <v>520</v>
      </c>
      <c r="C362" s="3" t="s">
        <v>521</v>
      </c>
      <c r="D362" s="2" t="s">
        <v>7</v>
      </c>
      <c r="E362" s="2" t="s">
        <v>8</v>
      </c>
      <c r="F362" s="16"/>
      <c r="G362" s="16"/>
      <c r="H362" s="16">
        <f>VLOOKUP(B:B,'[1]Master Sheet'!$B:$H,7,0)</f>
        <v>0</v>
      </c>
      <c r="I362" s="16">
        <f>VLOOKUP(B:B,'[1]Master Sheet'!$B:$I,8,0)</f>
        <v>0</v>
      </c>
      <c r="J362" s="16"/>
      <c r="K362" s="3" t="s">
        <v>2972</v>
      </c>
      <c r="L362" s="3" t="s">
        <v>3057</v>
      </c>
      <c r="M362" s="3" t="s">
        <v>3058</v>
      </c>
      <c r="N362" s="3"/>
      <c r="O362" s="3"/>
    </row>
    <row r="363" spans="1:15" s="4" customFormat="1">
      <c r="A363" s="2">
        <v>362</v>
      </c>
      <c r="B363" s="3" t="s">
        <v>522</v>
      </c>
      <c r="C363" s="3" t="s">
        <v>523</v>
      </c>
      <c r="D363" s="2" t="s">
        <v>7</v>
      </c>
      <c r="E363" s="2" t="s">
        <v>8</v>
      </c>
      <c r="F363" s="16"/>
      <c r="G363" s="16"/>
      <c r="H363" s="16">
        <f>VLOOKUP(B:B,'[1]Master Sheet'!$B:$H,7,0)</f>
        <v>360</v>
      </c>
      <c r="I363" s="16">
        <f>VLOOKUP(B:B,'[1]Master Sheet'!$B:$I,8,0)</f>
        <v>0</v>
      </c>
      <c r="J363" s="16"/>
      <c r="K363" s="3" t="s">
        <v>2972</v>
      </c>
      <c r="L363" s="3" t="s">
        <v>3057</v>
      </c>
      <c r="M363" s="3" t="s">
        <v>3058</v>
      </c>
      <c r="N363" s="3"/>
      <c r="O363" s="3"/>
    </row>
    <row r="364" spans="1:15" s="4" customFormat="1">
      <c r="A364" s="2">
        <v>363</v>
      </c>
      <c r="B364" s="3" t="s">
        <v>524</v>
      </c>
      <c r="C364" s="3" t="s">
        <v>525</v>
      </c>
      <c r="D364" s="2" t="s">
        <v>7</v>
      </c>
      <c r="E364" s="2" t="s">
        <v>8</v>
      </c>
      <c r="F364" s="16"/>
      <c r="G364" s="16"/>
      <c r="H364" s="16">
        <f>VLOOKUP(B:B,'[1]Master Sheet'!$B:$H,7,0)</f>
        <v>360</v>
      </c>
      <c r="I364" s="16">
        <f>VLOOKUP(B:B,'[1]Master Sheet'!$B:$I,8,0)</f>
        <v>0</v>
      </c>
      <c r="J364" s="16"/>
      <c r="K364" s="3" t="s">
        <v>2972</v>
      </c>
      <c r="L364" s="3" t="s">
        <v>3057</v>
      </c>
      <c r="M364" s="3" t="s">
        <v>3058</v>
      </c>
      <c r="N364" s="3"/>
      <c r="O364" s="3"/>
    </row>
    <row r="365" spans="1:15" s="4" customFormat="1">
      <c r="A365" s="2">
        <v>364</v>
      </c>
      <c r="B365" s="3" t="s">
        <v>526</v>
      </c>
      <c r="C365" s="3" t="s">
        <v>527</v>
      </c>
      <c r="D365" s="2" t="s">
        <v>17</v>
      </c>
      <c r="E365" s="2" t="s">
        <v>8</v>
      </c>
      <c r="F365" s="16"/>
      <c r="G365" s="16"/>
      <c r="H365" s="16">
        <f>VLOOKUP(B:B,'[1]Master Sheet'!$B:$H,7,0)</f>
        <v>400</v>
      </c>
      <c r="I365" s="16">
        <f>VLOOKUP(B:B,'[1]Master Sheet'!$B:$I,8,0)</f>
        <v>0</v>
      </c>
      <c r="J365" s="16"/>
      <c r="K365" s="3" t="s">
        <v>2972</v>
      </c>
      <c r="L365" s="3" t="s">
        <v>3057</v>
      </c>
      <c r="M365" s="3" t="s">
        <v>3058</v>
      </c>
      <c r="N365" s="3"/>
      <c r="O365" s="3"/>
    </row>
    <row r="366" spans="1:15" s="4" customFormat="1">
      <c r="A366" s="2">
        <v>365</v>
      </c>
      <c r="B366" s="3" t="s">
        <v>530</v>
      </c>
      <c r="C366" s="3" t="s">
        <v>531</v>
      </c>
      <c r="D366" s="2" t="s">
        <v>17</v>
      </c>
      <c r="E366" s="2" t="s">
        <v>8</v>
      </c>
      <c r="F366" s="16"/>
      <c r="G366" s="16"/>
      <c r="H366" s="16">
        <f>VLOOKUP(B:B,'[1]Master Sheet'!$B:$H,7,0)</f>
        <v>0</v>
      </c>
      <c r="I366" s="16">
        <f>VLOOKUP(B:B,'[1]Master Sheet'!$B:$I,8,0)</f>
        <v>0</v>
      </c>
      <c r="J366" s="16"/>
      <c r="K366" s="3" t="s">
        <v>2972</v>
      </c>
      <c r="L366" s="3" t="s">
        <v>3057</v>
      </c>
      <c r="M366" s="3" t="s">
        <v>3056</v>
      </c>
      <c r="N366" s="3"/>
      <c r="O366" s="3"/>
    </row>
    <row r="367" spans="1:15" s="4" customFormat="1">
      <c r="A367" s="2">
        <v>366</v>
      </c>
      <c r="B367" s="3" t="s">
        <v>541</v>
      </c>
      <c r="C367" s="3" t="s">
        <v>542</v>
      </c>
      <c r="D367" s="2" t="s">
        <v>7</v>
      </c>
      <c r="E367" s="2" t="s">
        <v>8</v>
      </c>
      <c r="F367" s="16"/>
      <c r="G367" s="16"/>
      <c r="H367" s="16">
        <f>VLOOKUP(B:B,'[1]Master Sheet'!$B:$H,7,0)</f>
        <v>500</v>
      </c>
      <c r="I367" s="16">
        <f>VLOOKUP(B:B,'[1]Master Sheet'!$B:$I,8,0)</f>
        <v>0</v>
      </c>
      <c r="J367" s="16"/>
      <c r="K367" s="3" t="s">
        <v>2972</v>
      </c>
      <c r="L367" s="3" t="s">
        <v>3057</v>
      </c>
      <c r="M367" s="3" t="s">
        <v>3056</v>
      </c>
      <c r="N367" s="3"/>
      <c r="O367" s="3"/>
    </row>
    <row r="368" spans="1:15" s="4" customFormat="1">
      <c r="A368" s="2">
        <v>367</v>
      </c>
      <c r="B368" s="3" t="s">
        <v>543</v>
      </c>
      <c r="C368" s="3" t="s">
        <v>544</v>
      </c>
      <c r="D368" s="2" t="s">
        <v>17</v>
      </c>
      <c r="E368" s="2" t="s">
        <v>8</v>
      </c>
      <c r="F368" s="16"/>
      <c r="G368" s="16"/>
      <c r="H368" s="16">
        <f>VLOOKUP(B:B,'[1]Master Sheet'!$B:$H,7,0)</f>
        <v>10000</v>
      </c>
      <c r="I368" s="16">
        <f>VLOOKUP(B:B,'[1]Master Sheet'!$B:$I,8,0)</f>
        <v>0</v>
      </c>
      <c r="J368" s="16"/>
      <c r="K368" s="3" t="s">
        <v>2972</v>
      </c>
      <c r="L368" s="3" t="s">
        <v>3057</v>
      </c>
      <c r="M368" s="3" t="s">
        <v>3056</v>
      </c>
      <c r="N368" s="3"/>
      <c r="O368" s="3"/>
    </row>
    <row r="369" spans="1:15" s="4" customFormat="1">
      <c r="A369" s="2">
        <v>368</v>
      </c>
      <c r="B369" s="3" t="s">
        <v>878</v>
      </c>
      <c r="C369" s="3" t="s">
        <v>879</v>
      </c>
      <c r="D369" s="2" t="s">
        <v>17</v>
      </c>
      <c r="E369" s="2" t="s">
        <v>8</v>
      </c>
      <c r="F369" s="16"/>
      <c r="G369" s="16"/>
      <c r="H369" s="16">
        <f>VLOOKUP(B:B,'[1]Master Sheet'!$B:$H,7,0)</f>
        <v>0</v>
      </c>
      <c r="I369" s="16">
        <f>VLOOKUP(B:B,'[1]Master Sheet'!$B:$I,8,0)</f>
        <v>0</v>
      </c>
      <c r="J369" s="16"/>
      <c r="K369" s="3" t="s">
        <v>3006</v>
      </c>
      <c r="L369" s="3" t="s">
        <v>3060</v>
      </c>
      <c r="M369" s="3" t="s">
        <v>3058</v>
      </c>
      <c r="N369" s="3"/>
      <c r="O369" s="3"/>
    </row>
    <row r="370" spans="1:15" s="4" customFormat="1">
      <c r="A370" s="2">
        <v>369</v>
      </c>
      <c r="B370" s="3" t="s">
        <v>880</v>
      </c>
      <c r="C370" s="3" t="s">
        <v>881</v>
      </c>
      <c r="D370" s="2" t="s">
        <v>7</v>
      </c>
      <c r="E370" s="2" t="s">
        <v>8</v>
      </c>
      <c r="F370" s="16"/>
      <c r="G370" s="16"/>
      <c r="H370" s="16">
        <f>VLOOKUP(B:B,'[1]Master Sheet'!$B:$H,7,0)</f>
        <v>0</v>
      </c>
      <c r="I370" s="16">
        <f>VLOOKUP(B:B,'[1]Master Sheet'!$B:$I,8,0)</f>
        <v>0</v>
      </c>
      <c r="J370" s="16"/>
      <c r="K370" s="3" t="s">
        <v>2972</v>
      </c>
      <c r="L370" s="3" t="s">
        <v>3060</v>
      </c>
      <c r="M370" s="3" t="s">
        <v>3058</v>
      </c>
      <c r="N370" s="3"/>
      <c r="O370" s="3"/>
    </row>
    <row r="371" spans="1:15" s="4" customFormat="1">
      <c r="A371" s="2">
        <v>370</v>
      </c>
      <c r="B371" s="3" t="s">
        <v>882</v>
      </c>
      <c r="C371" s="3" t="s">
        <v>883</v>
      </c>
      <c r="D371" s="2" t="s">
        <v>17</v>
      </c>
      <c r="E371" s="2" t="s">
        <v>8</v>
      </c>
      <c r="F371" s="16"/>
      <c r="G371" s="16"/>
      <c r="H371" s="16">
        <f>VLOOKUP(B:B,'[1]Master Sheet'!$B:$H,7,0)</f>
        <v>0</v>
      </c>
      <c r="I371" s="16">
        <f>VLOOKUP(B:B,'[1]Master Sheet'!$B:$I,8,0)</f>
        <v>0</v>
      </c>
      <c r="J371" s="16"/>
      <c r="K371" s="3" t="s">
        <v>2982</v>
      </c>
      <c r="L371" s="3" t="s">
        <v>3060</v>
      </c>
      <c r="M371" s="3" t="s">
        <v>3058</v>
      </c>
      <c r="N371" s="3"/>
      <c r="O371" s="3"/>
    </row>
    <row r="372" spans="1:15" s="4" customFormat="1">
      <c r="A372" s="2">
        <v>371</v>
      </c>
      <c r="B372" s="3" t="s">
        <v>545</v>
      </c>
      <c r="C372" s="3" t="s">
        <v>546</v>
      </c>
      <c r="D372" s="2" t="s">
        <v>7</v>
      </c>
      <c r="E372" s="2" t="s">
        <v>8</v>
      </c>
      <c r="F372" s="16"/>
      <c r="G372" s="16"/>
      <c r="H372" s="16">
        <f>VLOOKUP(B:B,'[1]Master Sheet'!$B:$H,7,0)</f>
        <v>4800</v>
      </c>
      <c r="I372" s="16">
        <f>VLOOKUP(B:B,'[1]Master Sheet'!$B:$I,8,0)</f>
        <v>0</v>
      </c>
      <c r="J372" s="16"/>
      <c r="K372" s="3" t="s">
        <v>2972</v>
      </c>
      <c r="L372" s="3" t="s">
        <v>3057</v>
      </c>
      <c r="M372" s="3" t="s">
        <v>3056</v>
      </c>
      <c r="N372" s="3"/>
      <c r="O372" s="3"/>
    </row>
    <row r="373" spans="1:15" s="4" customFormat="1">
      <c r="A373" s="2">
        <v>372</v>
      </c>
      <c r="B373" s="3" t="s">
        <v>547</v>
      </c>
      <c r="C373" s="3" t="s">
        <v>548</v>
      </c>
      <c r="D373" s="2" t="s">
        <v>17</v>
      </c>
      <c r="E373" s="2" t="s">
        <v>8</v>
      </c>
      <c r="F373" s="16"/>
      <c r="G373" s="16"/>
      <c r="H373" s="16">
        <f>VLOOKUP(B:B,'[1]Master Sheet'!$B:$H,7,0)</f>
        <v>0</v>
      </c>
      <c r="I373" s="16">
        <f>VLOOKUP(B:B,'[1]Master Sheet'!$B:$I,8,0)</f>
        <v>0</v>
      </c>
      <c r="J373" s="16"/>
      <c r="K373" s="3" t="s">
        <v>2972</v>
      </c>
      <c r="L373" s="3" t="s">
        <v>3057</v>
      </c>
      <c r="M373" s="3" t="s">
        <v>3056</v>
      </c>
      <c r="N373" s="3"/>
      <c r="O373" s="3"/>
    </row>
    <row r="374" spans="1:15" s="4" customFormat="1">
      <c r="A374" s="2">
        <v>373</v>
      </c>
      <c r="B374" s="3" t="s">
        <v>549</v>
      </c>
      <c r="C374" s="3" t="s">
        <v>550</v>
      </c>
      <c r="D374" s="2" t="s">
        <v>17</v>
      </c>
      <c r="E374" s="2" t="s">
        <v>8</v>
      </c>
      <c r="F374" s="16"/>
      <c r="G374" s="16"/>
      <c r="H374" s="16">
        <f>VLOOKUP(B:B,'[1]Master Sheet'!$B:$H,7,0)</f>
        <v>0</v>
      </c>
      <c r="I374" s="16">
        <f>VLOOKUP(B:B,'[1]Master Sheet'!$B:$I,8,0)</f>
        <v>0</v>
      </c>
      <c r="J374" s="16"/>
      <c r="K374" s="3" t="s">
        <v>2972</v>
      </c>
      <c r="L374" s="3" t="s">
        <v>3057</v>
      </c>
      <c r="M374" s="3" t="s">
        <v>3056</v>
      </c>
      <c r="N374" s="3"/>
      <c r="O374" s="3"/>
    </row>
    <row r="375" spans="1:15" s="4" customFormat="1">
      <c r="A375" s="2">
        <v>374</v>
      </c>
      <c r="B375" s="3" t="s">
        <v>551</v>
      </c>
      <c r="C375" s="3" t="s">
        <v>552</v>
      </c>
      <c r="D375" s="2" t="s">
        <v>17</v>
      </c>
      <c r="E375" s="2" t="s">
        <v>8</v>
      </c>
      <c r="F375" s="16"/>
      <c r="G375" s="16"/>
      <c r="H375" s="16">
        <f>VLOOKUP(B:B,'[1]Master Sheet'!$B:$H,7,0)</f>
        <v>0</v>
      </c>
      <c r="I375" s="16">
        <f>VLOOKUP(B:B,'[1]Master Sheet'!$B:$I,8,0)</f>
        <v>0</v>
      </c>
      <c r="J375" s="16"/>
      <c r="K375" s="3" t="s">
        <v>2972</v>
      </c>
      <c r="L375" s="3" t="s">
        <v>3057</v>
      </c>
      <c r="M375" s="3" t="s">
        <v>3056</v>
      </c>
      <c r="N375" s="3"/>
      <c r="O375" s="3"/>
    </row>
    <row r="376" spans="1:15" s="4" customFormat="1">
      <c r="A376" s="2">
        <v>375</v>
      </c>
      <c r="B376" s="3" t="s">
        <v>896</v>
      </c>
      <c r="C376" s="3" t="s">
        <v>897</v>
      </c>
      <c r="D376" s="2" t="s">
        <v>17</v>
      </c>
      <c r="E376" s="2" t="s">
        <v>8</v>
      </c>
      <c r="F376" s="16"/>
      <c r="G376" s="16"/>
      <c r="H376" s="16">
        <f>VLOOKUP(B:B,'[1]Master Sheet'!$B:$H,7,0)</f>
        <v>0</v>
      </c>
      <c r="I376" s="16">
        <f>VLOOKUP(B:B,'[1]Master Sheet'!$B:$I,8,0)</f>
        <v>0</v>
      </c>
      <c r="J376" s="16"/>
      <c r="K376" s="3" t="s">
        <v>2972</v>
      </c>
      <c r="L376" s="3" t="s">
        <v>3060</v>
      </c>
      <c r="M376" s="3" t="s">
        <v>3058</v>
      </c>
      <c r="N376" s="3"/>
      <c r="O376" s="3"/>
    </row>
    <row r="377" spans="1:15" s="4" customFormat="1">
      <c r="A377" s="2">
        <v>376</v>
      </c>
      <c r="B377" s="3" t="s">
        <v>553</v>
      </c>
      <c r="C377" s="3" t="s">
        <v>554</v>
      </c>
      <c r="D377" s="2" t="s">
        <v>17</v>
      </c>
      <c r="E377" s="2" t="s">
        <v>8</v>
      </c>
      <c r="F377" s="16">
        <v>2000</v>
      </c>
      <c r="G377" s="16"/>
      <c r="H377" s="16">
        <f>VLOOKUP(B:B,'[1]Master Sheet'!$B:$H,7,0)</f>
        <v>2000</v>
      </c>
      <c r="I377" s="16">
        <f>VLOOKUP(B:B,'[1]Master Sheet'!$B:$I,8,0)</f>
        <v>1000</v>
      </c>
      <c r="J377" s="16"/>
      <c r="K377" s="3" t="s">
        <v>2972</v>
      </c>
      <c r="L377" s="3" t="s">
        <v>3057</v>
      </c>
      <c r="M377" s="3" t="s">
        <v>3058</v>
      </c>
      <c r="N377" s="3"/>
      <c r="O377" s="3"/>
    </row>
    <row r="378" spans="1:15" s="4" customFormat="1">
      <c r="A378" s="2">
        <v>377</v>
      </c>
      <c r="B378" s="3" t="s">
        <v>555</v>
      </c>
      <c r="C378" s="3" t="s">
        <v>556</v>
      </c>
      <c r="D378" s="2" t="s">
        <v>17</v>
      </c>
      <c r="E378" s="2" t="s">
        <v>8</v>
      </c>
      <c r="F378" s="16"/>
      <c r="G378" s="16"/>
      <c r="H378" s="16">
        <f>VLOOKUP(B:B,'[1]Master Sheet'!$B:$H,7,0)</f>
        <v>500</v>
      </c>
      <c r="I378" s="16">
        <f>VLOOKUP(B:B,'[1]Master Sheet'!$B:$I,8,0)</f>
        <v>0</v>
      </c>
      <c r="J378" s="16"/>
      <c r="K378" s="3" t="s">
        <v>2972</v>
      </c>
      <c r="L378" s="3" t="s">
        <v>3057</v>
      </c>
      <c r="M378" s="3" t="s">
        <v>3058</v>
      </c>
      <c r="N378" s="3"/>
      <c r="O378" s="3"/>
    </row>
    <row r="379" spans="1:15" s="4" customFormat="1">
      <c r="A379" s="2">
        <v>378</v>
      </c>
      <c r="B379" s="3" t="s">
        <v>902</v>
      </c>
      <c r="C379" s="3" t="s">
        <v>903</v>
      </c>
      <c r="D379" s="2" t="s">
        <v>17</v>
      </c>
      <c r="E379" s="2" t="s">
        <v>8</v>
      </c>
      <c r="F379" s="16"/>
      <c r="G379" s="16"/>
      <c r="H379" s="16">
        <f>VLOOKUP(B:B,'[1]Master Sheet'!$B:$H,7,0)</f>
        <v>250</v>
      </c>
      <c r="I379" s="16">
        <f>VLOOKUP(B:B,'[1]Master Sheet'!$B:$I,8,0)</f>
        <v>0</v>
      </c>
      <c r="J379" s="16"/>
      <c r="K379" s="3" t="s">
        <v>2991</v>
      </c>
      <c r="L379" s="3" t="s">
        <v>3060</v>
      </c>
      <c r="M379" s="3" t="s">
        <v>3058</v>
      </c>
      <c r="N379" s="3"/>
      <c r="O379" s="3"/>
    </row>
    <row r="380" spans="1:15" s="4" customFormat="1">
      <c r="A380" s="2">
        <v>379</v>
      </c>
      <c r="B380" s="3" t="s">
        <v>559</v>
      </c>
      <c r="C380" s="3" t="s">
        <v>560</v>
      </c>
      <c r="D380" s="2" t="s">
        <v>17</v>
      </c>
      <c r="E380" s="2" t="s">
        <v>8</v>
      </c>
      <c r="F380" s="16"/>
      <c r="G380" s="16"/>
      <c r="H380" s="16">
        <f>VLOOKUP(B:B,'[1]Master Sheet'!$B:$H,7,0)</f>
        <v>0</v>
      </c>
      <c r="I380" s="16">
        <f>VLOOKUP(B:B,'[1]Master Sheet'!$B:$I,8,0)</f>
        <v>0</v>
      </c>
      <c r="J380" s="16"/>
      <c r="K380" s="3" t="s">
        <v>2972</v>
      </c>
      <c r="L380" s="3" t="s">
        <v>3057</v>
      </c>
      <c r="M380" s="3" t="s">
        <v>3056</v>
      </c>
      <c r="N380" s="3"/>
      <c r="O380" s="3"/>
    </row>
    <row r="381" spans="1:15" s="4" customFormat="1">
      <c r="A381" s="2">
        <v>380</v>
      </c>
      <c r="B381" s="3" t="s">
        <v>561</v>
      </c>
      <c r="C381" s="3" t="s">
        <v>562</v>
      </c>
      <c r="D381" s="2" t="s">
        <v>17</v>
      </c>
      <c r="E381" s="2" t="s">
        <v>8</v>
      </c>
      <c r="F381" s="16"/>
      <c r="G381" s="16"/>
      <c r="H381" s="16">
        <f>VLOOKUP(B:B,'[1]Master Sheet'!$B:$H,7,0)</f>
        <v>2100</v>
      </c>
      <c r="I381" s="16">
        <f>VLOOKUP(B:B,'[1]Master Sheet'!$B:$I,8,0)</f>
        <v>0</v>
      </c>
      <c r="J381" s="16"/>
      <c r="K381" s="3" t="s">
        <v>2998</v>
      </c>
      <c r="L381" s="3" t="s">
        <v>3057</v>
      </c>
      <c r="M381" s="3" t="s">
        <v>3056</v>
      </c>
      <c r="N381" s="3"/>
      <c r="O381" s="3"/>
    </row>
    <row r="382" spans="1:15" s="4" customFormat="1">
      <c r="A382" s="2">
        <v>381</v>
      </c>
      <c r="B382" s="3" t="s">
        <v>908</v>
      </c>
      <c r="C382" s="3" t="s">
        <v>909</v>
      </c>
      <c r="D382" s="2" t="s">
        <v>17</v>
      </c>
      <c r="E382" s="2" t="s">
        <v>8</v>
      </c>
      <c r="F382" s="16"/>
      <c r="G382" s="16"/>
      <c r="H382" s="16">
        <f>VLOOKUP(B:B,'[1]Master Sheet'!$B:$H,7,0)</f>
        <v>70</v>
      </c>
      <c r="I382" s="16">
        <f>VLOOKUP(B:B,'[1]Master Sheet'!$B:$I,8,0)</f>
        <v>0</v>
      </c>
      <c r="J382" s="16"/>
      <c r="K382" s="3" t="s">
        <v>2972</v>
      </c>
      <c r="L382" s="3" t="s">
        <v>3060</v>
      </c>
      <c r="M382" s="3" t="s">
        <v>3058</v>
      </c>
      <c r="N382" s="3"/>
      <c r="O382" s="3"/>
    </row>
    <row r="383" spans="1:15" s="4" customFormat="1">
      <c r="A383" s="2">
        <v>382</v>
      </c>
      <c r="B383" s="3" t="s">
        <v>563</v>
      </c>
      <c r="C383" s="3" t="s">
        <v>564</v>
      </c>
      <c r="D383" s="2" t="s">
        <v>17</v>
      </c>
      <c r="E383" s="2" t="s">
        <v>8</v>
      </c>
      <c r="F383" s="16"/>
      <c r="G383" s="16"/>
      <c r="H383" s="16">
        <f>VLOOKUP(B:B,'[1]Master Sheet'!$B:$H,7,0)</f>
        <v>2100</v>
      </c>
      <c r="I383" s="16">
        <f>VLOOKUP(B:B,'[1]Master Sheet'!$B:$I,8,0)</f>
        <v>0</v>
      </c>
      <c r="J383" s="16"/>
      <c r="K383" s="3" t="s">
        <v>2998</v>
      </c>
      <c r="L383" s="3" t="s">
        <v>3057</v>
      </c>
      <c r="M383" s="3" t="s">
        <v>3056</v>
      </c>
      <c r="N383" s="3"/>
      <c r="O383" s="3"/>
    </row>
    <row r="384" spans="1:15" s="4" customFormat="1">
      <c r="A384" s="2">
        <v>383</v>
      </c>
      <c r="B384" s="3" t="s">
        <v>565</v>
      </c>
      <c r="C384" s="3" t="s">
        <v>566</v>
      </c>
      <c r="D384" s="2" t="s">
        <v>17</v>
      </c>
      <c r="E384" s="2" t="s">
        <v>8</v>
      </c>
      <c r="F384" s="16"/>
      <c r="G384" s="16"/>
      <c r="H384" s="16">
        <f>VLOOKUP(B:B,'[1]Master Sheet'!$B:$H,7,0)</f>
        <v>2100</v>
      </c>
      <c r="I384" s="16">
        <f>VLOOKUP(B:B,'[1]Master Sheet'!$B:$I,8,0)</f>
        <v>0</v>
      </c>
      <c r="J384" s="16"/>
      <c r="K384" s="3" t="s">
        <v>2998</v>
      </c>
      <c r="L384" s="3" t="s">
        <v>3057</v>
      </c>
      <c r="M384" s="3" t="s">
        <v>3056</v>
      </c>
      <c r="N384" s="3"/>
      <c r="O384" s="3"/>
    </row>
    <row r="385" spans="1:15" s="4" customFormat="1">
      <c r="A385" s="2">
        <v>384</v>
      </c>
      <c r="B385" s="3" t="s">
        <v>567</v>
      </c>
      <c r="C385" s="3" t="s">
        <v>568</v>
      </c>
      <c r="D385" s="2" t="s">
        <v>17</v>
      </c>
      <c r="E385" s="2" t="s">
        <v>8</v>
      </c>
      <c r="F385" s="16"/>
      <c r="G385" s="16"/>
      <c r="H385" s="16">
        <f>VLOOKUP(B:B,'[1]Master Sheet'!$B:$H,7,0)</f>
        <v>4000</v>
      </c>
      <c r="I385" s="16">
        <f>VLOOKUP(B:B,'[1]Master Sheet'!$B:$I,8,0)</f>
        <v>5000</v>
      </c>
      <c r="J385" s="16"/>
      <c r="K385" s="3" t="s">
        <v>2998</v>
      </c>
      <c r="L385" s="3" t="s">
        <v>3057</v>
      </c>
      <c r="M385" s="3" t="s">
        <v>3056</v>
      </c>
      <c r="N385" s="3"/>
      <c r="O385" s="3"/>
    </row>
    <row r="386" spans="1:15" s="4" customFormat="1">
      <c r="A386" s="2">
        <v>385</v>
      </c>
      <c r="B386" s="3" t="s">
        <v>571</v>
      </c>
      <c r="C386" s="3" t="s">
        <v>572</v>
      </c>
      <c r="D386" s="2" t="s">
        <v>17</v>
      </c>
      <c r="E386" s="2" t="s">
        <v>8</v>
      </c>
      <c r="F386" s="16"/>
      <c r="G386" s="16"/>
      <c r="H386" s="16">
        <f>VLOOKUP(B:B,'[1]Master Sheet'!$B:$H,7,0)</f>
        <v>150</v>
      </c>
      <c r="I386" s="16">
        <f>VLOOKUP(B:B,'[1]Master Sheet'!$B:$I,8,0)</f>
        <v>0</v>
      </c>
      <c r="J386" s="16"/>
      <c r="K386" s="3" t="s">
        <v>2972</v>
      </c>
      <c r="L386" s="3" t="s">
        <v>3057</v>
      </c>
      <c r="M386" s="3" t="s">
        <v>3056</v>
      </c>
      <c r="N386" s="3"/>
      <c r="O386" s="3"/>
    </row>
    <row r="387" spans="1:15" s="4" customFormat="1">
      <c r="A387" s="2">
        <v>386</v>
      </c>
      <c r="B387" s="3" t="s">
        <v>575</v>
      </c>
      <c r="C387" s="3" t="s">
        <v>576</v>
      </c>
      <c r="D387" s="2" t="s">
        <v>17</v>
      </c>
      <c r="E387" s="2" t="s">
        <v>8</v>
      </c>
      <c r="F387" s="16"/>
      <c r="G387" s="16"/>
      <c r="H387" s="16">
        <f>VLOOKUP(B:B,'[1]Master Sheet'!$B:$H,7,0)</f>
        <v>0</v>
      </c>
      <c r="I387" s="16">
        <f>VLOOKUP(B:B,'[1]Master Sheet'!$B:$I,8,0)</f>
        <v>0</v>
      </c>
      <c r="J387" s="16"/>
      <c r="K387" s="3" t="s">
        <v>2972</v>
      </c>
      <c r="L387" s="3" t="s">
        <v>3057</v>
      </c>
      <c r="M387" s="3" t="s">
        <v>3056</v>
      </c>
      <c r="N387" s="3"/>
      <c r="O387" s="3"/>
    </row>
    <row r="388" spans="1:15" s="4" customFormat="1">
      <c r="A388" s="2">
        <v>387</v>
      </c>
      <c r="B388" s="3" t="s">
        <v>579</v>
      </c>
      <c r="C388" s="3" t="s">
        <v>580</v>
      </c>
      <c r="D388" s="2" t="s">
        <v>17</v>
      </c>
      <c r="E388" s="2" t="s">
        <v>8</v>
      </c>
      <c r="F388" s="16"/>
      <c r="G388" s="16"/>
      <c r="H388" s="16">
        <f>VLOOKUP(B:B,'[1]Master Sheet'!$B:$H,7,0)</f>
        <v>0</v>
      </c>
      <c r="I388" s="16">
        <f>VLOOKUP(B:B,'[1]Master Sheet'!$B:$I,8,0)</f>
        <v>0</v>
      </c>
      <c r="J388" s="16"/>
      <c r="K388" s="3" t="s">
        <v>2972</v>
      </c>
      <c r="L388" s="3" t="s">
        <v>3057</v>
      </c>
      <c r="M388" s="3" t="s">
        <v>3056</v>
      </c>
      <c r="N388" s="3"/>
      <c r="O388" s="3"/>
    </row>
    <row r="389" spans="1:15" s="4" customFormat="1">
      <c r="A389" s="2">
        <v>388</v>
      </c>
      <c r="B389" s="3" t="s">
        <v>583</v>
      </c>
      <c r="C389" s="3" t="s">
        <v>584</v>
      </c>
      <c r="D389" s="2" t="s">
        <v>17</v>
      </c>
      <c r="E389" s="2" t="s">
        <v>8</v>
      </c>
      <c r="F389" s="16"/>
      <c r="G389" s="16"/>
      <c r="H389" s="16">
        <f>VLOOKUP(B:B,'[1]Master Sheet'!$B:$H,7,0)</f>
        <v>0</v>
      </c>
      <c r="I389" s="16">
        <f>VLOOKUP(B:B,'[1]Master Sheet'!$B:$I,8,0)</f>
        <v>0</v>
      </c>
      <c r="J389" s="16"/>
      <c r="K389" s="3" t="s">
        <v>2972</v>
      </c>
      <c r="L389" s="3" t="s">
        <v>3057</v>
      </c>
      <c r="M389" s="3" t="s">
        <v>3056</v>
      </c>
      <c r="N389" s="3"/>
      <c r="O389" s="3"/>
    </row>
    <row r="390" spans="1:15" s="4" customFormat="1">
      <c r="A390" s="2">
        <v>389</v>
      </c>
      <c r="B390" s="3" t="s">
        <v>585</v>
      </c>
      <c r="C390" s="3" t="s">
        <v>586</v>
      </c>
      <c r="D390" s="2" t="s">
        <v>17</v>
      </c>
      <c r="E390" s="2" t="s">
        <v>8</v>
      </c>
      <c r="F390" s="16"/>
      <c r="G390" s="16"/>
      <c r="H390" s="16">
        <f>VLOOKUP(B:B,'[1]Master Sheet'!$B:$H,7,0)</f>
        <v>0</v>
      </c>
      <c r="I390" s="16">
        <f>VLOOKUP(B:B,'[1]Master Sheet'!$B:$I,8,0)</f>
        <v>0</v>
      </c>
      <c r="J390" s="16"/>
      <c r="K390" s="3" t="s">
        <v>2972</v>
      </c>
      <c r="L390" s="3" t="s">
        <v>3057</v>
      </c>
      <c r="M390" s="3" t="s">
        <v>3056</v>
      </c>
      <c r="N390" s="3"/>
      <c r="O390" s="3"/>
    </row>
    <row r="391" spans="1:15" s="4" customFormat="1">
      <c r="A391" s="2">
        <v>390</v>
      </c>
      <c r="B391" s="3" t="s">
        <v>587</v>
      </c>
      <c r="C391" s="3" t="s">
        <v>588</v>
      </c>
      <c r="D391" s="2" t="s">
        <v>17</v>
      </c>
      <c r="E391" s="2" t="s">
        <v>8</v>
      </c>
      <c r="F391" s="16"/>
      <c r="G391" s="16"/>
      <c r="H391" s="16">
        <f>VLOOKUP(B:B,'[1]Master Sheet'!$B:$H,7,0)</f>
        <v>250</v>
      </c>
      <c r="I391" s="16">
        <f>VLOOKUP(B:B,'[1]Master Sheet'!$B:$I,8,0)</f>
        <v>0</v>
      </c>
      <c r="J391" s="16"/>
      <c r="K391" s="3" t="s">
        <v>2972</v>
      </c>
      <c r="L391" s="3" t="s">
        <v>3057</v>
      </c>
      <c r="M391" s="3" t="s">
        <v>3056</v>
      </c>
      <c r="N391" s="3"/>
      <c r="O391" s="3"/>
    </row>
    <row r="392" spans="1:15" s="4" customFormat="1">
      <c r="A392" s="2">
        <v>391</v>
      </c>
      <c r="B392" s="3" t="s">
        <v>591</v>
      </c>
      <c r="C392" s="3" t="s">
        <v>592</v>
      </c>
      <c r="D392" s="2" t="s">
        <v>17</v>
      </c>
      <c r="E392" s="2" t="s">
        <v>8</v>
      </c>
      <c r="F392" s="16"/>
      <c r="G392" s="16"/>
      <c r="H392" s="16">
        <f>VLOOKUP(B:B,'[1]Master Sheet'!$B:$H,7,0)</f>
        <v>0</v>
      </c>
      <c r="I392" s="16">
        <f>VLOOKUP(B:B,'[1]Master Sheet'!$B:$I,8,0)</f>
        <v>0</v>
      </c>
      <c r="J392" s="16"/>
      <c r="K392" s="3" t="s">
        <v>2972</v>
      </c>
      <c r="L392" s="3" t="s">
        <v>3057</v>
      </c>
      <c r="M392" s="3" t="s">
        <v>3056</v>
      </c>
      <c r="N392" s="3"/>
      <c r="O392" s="3"/>
    </row>
    <row r="393" spans="1:15" s="4" customFormat="1">
      <c r="A393" s="2">
        <v>392</v>
      </c>
      <c r="B393" s="3" t="s">
        <v>593</v>
      </c>
      <c r="C393" s="3" t="s">
        <v>594</v>
      </c>
      <c r="D393" s="2" t="s">
        <v>7</v>
      </c>
      <c r="E393" s="2" t="s">
        <v>8</v>
      </c>
      <c r="F393" s="16"/>
      <c r="G393" s="16"/>
      <c r="H393" s="16">
        <f>VLOOKUP(B:B,'[1]Master Sheet'!$B:$H,7,0)</f>
        <v>0</v>
      </c>
      <c r="I393" s="16">
        <f>VLOOKUP(B:B,'[1]Master Sheet'!$B:$I,8,0)</f>
        <v>0</v>
      </c>
      <c r="J393" s="16"/>
      <c r="K393" s="3" t="s">
        <v>2972</v>
      </c>
      <c r="L393" s="3" t="s">
        <v>3057</v>
      </c>
      <c r="M393" s="3" t="s">
        <v>3056</v>
      </c>
      <c r="N393" s="3"/>
      <c r="O393" s="3"/>
    </row>
    <row r="394" spans="1:15" s="4" customFormat="1">
      <c r="A394" s="2">
        <v>393</v>
      </c>
      <c r="B394" s="3" t="s">
        <v>595</v>
      </c>
      <c r="C394" s="3" t="s">
        <v>596</v>
      </c>
      <c r="D394" s="2" t="s">
        <v>17</v>
      </c>
      <c r="E394" s="2" t="s">
        <v>8</v>
      </c>
      <c r="F394" s="16"/>
      <c r="G394" s="16"/>
      <c r="H394" s="16">
        <f>VLOOKUP(B:B,'[1]Master Sheet'!$B:$H,7,0)</f>
        <v>0</v>
      </c>
      <c r="I394" s="16">
        <f>VLOOKUP(B:B,'[1]Master Sheet'!$B:$I,8,0)</f>
        <v>0</v>
      </c>
      <c r="J394" s="16"/>
      <c r="K394" s="3" t="s">
        <v>2972</v>
      </c>
      <c r="L394" s="3" t="s">
        <v>3057</v>
      </c>
      <c r="M394" s="3" t="s">
        <v>3056</v>
      </c>
      <c r="N394" s="3"/>
      <c r="O394" s="3"/>
    </row>
    <row r="395" spans="1:15" s="4" customFormat="1">
      <c r="A395" s="2">
        <v>394</v>
      </c>
      <c r="B395" s="3" t="s">
        <v>597</v>
      </c>
      <c r="C395" s="3" t="s">
        <v>598</v>
      </c>
      <c r="D395" s="2" t="s">
        <v>17</v>
      </c>
      <c r="E395" s="2" t="s">
        <v>8</v>
      </c>
      <c r="F395" s="16"/>
      <c r="G395" s="16"/>
      <c r="H395" s="16">
        <f>VLOOKUP(B:B,'[1]Master Sheet'!$B:$H,7,0)</f>
        <v>250</v>
      </c>
      <c r="I395" s="16">
        <f>VLOOKUP(B:B,'[1]Master Sheet'!$B:$I,8,0)</f>
        <v>0</v>
      </c>
      <c r="J395" s="16"/>
      <c r="K395" s="3" t="s">
        <v>2972</v>
      </c>
      <c r="L395" s="3" t="s">
        <v>3057</v>
      </c>
      <c r="M395" s="3" t="s">
        <v>3056</v>
      </c>
      <c r="N395" s="3"/>
      <c r="O395" s="3"/>
    </row>
    <row r="396" spans="1:15" s="4" customFormat="1">
      <c r="A396" s="2">
        <v>395</v>
      </c>
      <c r="B396" s="3" t="s">
        <v>601</v>
      </c>
      <c r="C396" s="3" t="s">
        <v>602</v>
      </c>
      <c r="D396" s="2" t="s">
        <v>7</v>
      </c>
      <c r="E396" s="2" t="s">
        <v>8</v>
      </c>
      <c r="F396" s="16"/>
      <c r="G396" s="16"/>
      <c r="H396" s="16">
        <f>VLOOKUP(B:B,'[1]Master Sheet'!$B:$H,7,0)</f>
        <v>10000</v>
      </c>
      <c r="I396" s="16">
        <f>VLOOKUP(B:B,'[1]Master Sheet'!$B:$I,8,0)</f>
        <v>0</v>
      </c>
      <c r="J396" s="16"/>
      <c r="K396" s="3" t="s">
        <v>2972</v>
      </c>
      <c r="L396" s="3" t="s">
        <v>3057</v>
      </c>
      <c r="M396" s="3" t="s">
        <v>3056</v>
      </c>
      <c r="N396" s="3"/>
      <c r="O396" s="3"/>
    </row>
    <row r="397" spans="1:15" s="4" customFormat="1">
      <c r="A397" s="2">
        <v>396</v>
      </c>
      <c r="B397" s="3" t="s">
        <v>938</v>
      </c>
      <c r="C397" s="3" t="s">
        <v>939</v>
      </c>
      <c r="D397" s="2" t="s">
        <v>17</v>
      </c>
      <c r="E397" s="2" t="s">
        <v>8</v>
      </c>
      <c r="F397" s="16"/>
      <c r="G397" s="16"/>
      <c r="H397" s="16">
        <f>VLOOKUP(B:B,'[1]Master Sheet'!$B:$H,7,0)</f>
        <v>70</v>
      </c>
      <c r="I397" s="16">
        <f>VLOOKUP(B:B,'[1]Master Sheet'!$B:$I,8,0)</f>
        <v>0</v>
      </c>
      <c r="J397" s="16"/>
      <c r="K397" s="3" t="s">
        <v>2982</v>
      </c>
      <c r="L397" s="3" t="s">
        <v>3060</v>
      </c>
      <c r="M397" s="3" t="s">
        <v>3058</v>
      </c>
      <c r="N397" s="3"/>
      <c r="O397" s="3"/>
    </row>
    <row r="398" spans="1:15" s="4" customFormat="1">
      <c r="A398" s="2">
        <v>397</v>
      </c>
      <c r="B398" s="3" t="s">
        <v>942</v>
      </c>
      <c r="C398" s="3" t="s">
        <v>943</v>
      </c>
      <c r="D398" s="2" t="s">
        <v>17</v>
      </c>
      <c r="E398" s="2" t="s">
        <v>8</v>
      </c>
      <c r="F398" s="16"/>
      <c r="G398" s="16"/>
      <c r="H398" s="16">
        <f>VLOOKUP(B:B,'[1]Master Sheet'!$B:$H,7,0)</f>
        <v>100</v>
      </c>
      <c r="I398" s="16">
        <f>VLOOKUP(B:B,'[1]Master Sheet'!$B:$I,8,0)</f>
        <v>150</v>
      </c>
      <c r="J398" s="16"/>
      <c r="K398" s="3" t="s">
        <v>2982</v>
      </c>
      <c r="L398" s="3" t="s">
        <v>3060</v>
      </c>
      <c r="M398" s="3" t="s">
        <v>3058</v>
      </c>
      <c r="N398" s="3"/>
      <c r="O398" s="3"/>
    </row>
    <row r="399" spans="1:15" s="4" customFormat="1">
      <c r="A399" s="2">
        <v>398</v>
      </c>
      <c r="B399" s="3" t="s">
        <v>944</v>
      </c>
      <c r="C399" s="3" t="s">
        <v>945</v>
      </c>
      <c r="D399" s="2" t="s">
        <v>17</v>
      </c>
      <c r="E399" s="2" t="s">
        <v>8</v>
      </c>
      <c r="F399" s="16"/>
      <c r="G399" s="16"/>
      <c r="H399" s="16">
        <f>VLOOKUP(B:B,'[1]Master Sheet'!$B:$H,7,0)</f>
        <v>100</v>
      </c>
      <c r="I399" s="16">
        <f>VLOOKUP(B:B,'[1]Master Sheet'!$B:$I,8,0)</f>
        <v>0</v>
      </c>
      <c r="J399" s="16"/>
      <c r="K399" s="3" t="s">
        <v>2982</v>
      </c>
      <c r="L399" s="3" t="s">
        <v>3060</v>
      </c>
      <c r="M399" s="3" t="s">
        <v>3058</v>
      </c>
      <c r="N399" s="3"/>
      <c r="O399" s="3"/>
    </row>
    <row r="400" spans="1:15" s="4" customFormat="1">
      <c r="A400" s="2">
        <v>399</v>
      </c>
      <c r="B400" s="3" t="s">
        <v>946</v>
      </c>
      <c r="C400" s="3" t="s">
        <v>947</v>
      </c>
      <c r="D400" s="2" t="s">
        <v>17</v>
      </c>
      <c r="E400" s="2" t="s">
        <v>8</v>
      </c>
      <c r="F400" s="16"/>
      <c r="G400" s="16"/>
      <c r="H400" s="16">
        <f>VLOOKUP(B:B,'[1]Master Sheet'!$B:$H,7,0)</f>
        <v>0</v>
      </c>
      <c r="I400" s="16">
        <f>VLOOKUP(B:B,'[1]Master Sheet'!$B:$I,8,0)</f>
        <v>0</v>
      </c>
      <c r="J400" s="16"/>
      <c r="K400" s="3" t="s">
        <v>2982</v>
      </c>
      <c r="L400" s="3" t="s">
        <v>3060</v>
      </c>
      <c r="M400" s="3" t="s">
        <v>3058</v>
      </c>
      <c r="N400" s="3"/>
      <c r="O400" s="3"/>
    </row>
    <row r="401" spans="1:15" s="4" customFormat="1">
      <c r="A401" s="2">
        <v>400</v>
      </c>
      <c r="B401" s="3" t="s">
        <v>603</v>
      </c>
      <c r="C401" s="3" t="s">
        <v>604</v>
      </c>
      <c r="D401" s="2" t="s">
        <v>17</v>
      </c>
      <c r="E401" s="2" t="s">
        <v>8</v>
      </c>
      <c r="F401" s="16"/>
      <c r="G401" s="16"/>
      <c r="H401" s="16">
        <f>VLOOKUP(B:B,'[1]Master Sheet'!$B:$H,7,0)</f>
        <v>0</v>
      </c>
      <c r="I401" s="16">
        <f>VLOOKUP(B:B,'[1]Master Sheet'!$B:$I,8,0)</f>
        <v>0</v>
      </c>
      <c r="J401" s="16"/>
      <c r="K401" s="3" t="s">
        <v>2972</v>
      </c>
      <c r="L401" s="3" t="s">
        <v>3057</v>
      </c>
      <c r="M401" s="3" t="s">
        <v>3056</v>
      </c>
      <c r="N401" s="3"/>
      <c r="O401" s="3"/>
    </row>
    <row r="402" spans="1:15" s="4" customFormat="1">
      <c r="A402" s="2">
        <v>401</v>
      </c>
      <c r="B402" s="3" t="s">
        <v>605</v>
      </c>
      <c r="C402" s="3" t="s">
        <v>606</v>
      </c>
      <c r="D402" s="2" t="s">
        <v>116</v>
      </c>
      <c r="E402" s="2" t="s">
        <v>8</v>
      </c>
      <c r="F402" s="16"/>
      <c r="G402" s="16"/>
      <c r="H402" s="16">
        <f>VLOOKUP(B:B,'[1]Master Sheet'!$B:$H,7,0)</f>
        <v>2</v>
      </c>
      <c r="I402" s="16">
        <f>VLOOKUP(B:B,'[1]Master Sheet'!$B:$I,8,0)</f>
        <v>0</v>
      </c>
      <c r="J402" s="16"/>
      <c r="K402" s="3" t="s">
        <v>2974</v>
      </c>
      <c r="L402" s="3" t="s">
        <v>3057</v>
      </c>
      <c r="M402" s="3" t="s">
        <v>3056</v>
      </c>
      <c r="N402" s="3"/>
      <c r="O402" s="3"/>
    </row>
    <row r="403" spans="1:15" s="4" customFormat="1">
      <c r="A403" s="2">
        <v>402</v>
      </c>
      <c r="B403" s="3" t="s">
        <v>607</v>
      </c>
      <c r="C403" s="3" t="s">
        <v>608</v>
      </c>
      <c r="D403" s="2" t="s">
        <v>116</v>
      </c>
      <c r="E403" s="2" t="s">
        <v>8</v>
      </c>
      <c r="F403" s="16"/>
      <c r="G403" s="16"/>
      <c r="H403" s="16">
        <f>VLOOKUP(B:B,'[1]Master Sheet'!$B:$H,7,0)</f>
        <v>2</v>
      </c>
      <c r="I403" s="16">
        <f>VLOOKUP(B:B,'[1]Master Sheet'!$B:$I,8,0)</f>
        <v>0</v>
      </c>
      <c r="J403" s="16"/>
      <c r="K403" s="3" t="s">
        <v>2974</v>
      </c>
      <c r="L403" s="3" t="s">
        <v>3057</v>
      </c>
      <c r="M403" s="3" t="s">
        <v>3056</v>
      </c>
      <c r="N403" s="3"/>
      <c r="O403" s="3"/>
    </row>
    <row r="404" spans="1:15" s="4" customFormat="1">
      <c r="A404" s="2">
        <v>403</v>
      </c>
      <c r="B404" s="3" t="s">
        <v>609</v>
      </c>
      <c r="C404" s="3" t="s">
        <v>610</v>
      </c>
      <c r="D404" s="2" t="s">
        <v>116</v>
      </c>
      <c r="E404" s="2" t="s">
        <v>8</v>
      </c>
      <c r="F404" s="16"/>
      <c r="G404" s="16"/>
      <c r="H404" s="16">
        <f>VLOOKUP(B:B,'[1]Master Sheet'!$B:$H,7,0)</f>
        <v>2</v>
      </c>
      <c r="I404" s="16">
        <f>VLOOKUP(B:B,'[1]Master Sheet'!$B:$I,8,0)</f>
        <v>0</v>
      </c>
      <c r="J404" s="16"/>
      <c r="K404" s="3" t="s">
        <v>2974</v>
      </c>
      <c r="L404" s="3" t="s">
        <v>3057</v>
      </c>
      <c r="M404" s="3" t="s">
        <v>3056</v>
      </c>
      <c r="N404" s="3"/>
      <c r="O404" s="3"/>
    </row>
    <row r="405" spans="1:15" s="4" customFormat="1">
      <c r="A405" s="2">
        <v>404</v>
      </c>
      <c r="B405" s="3" t="s">
        <v>611</v>
      </c>
      <c r="C405" s="3" t="s">
        <v>612</v>
      </c>
      <c r="D405" s="2" t="s">
        <v>116</v>
      </c>
      <c r="E405" s="2" t="s">
        <v>8</v>
      </c>
      <c r="F405" s="16"/>
      <c r="G405" s="16"/>
      <c r="H405" s="16">
        <f>VLOOKUP(B:B,'[1]Master Sheet'!$B:$H,7,0)</f>
        <v>3</v>
      </c>
      <c r="I405" s="16">
        <f>VLOOKUP(B:B,'[1]Master Sheet'!$B:$I,8,0)</f>
        <v>2</v>
      </c>
      <c r="J405" s="16"/>
      <c r="K405" s="3" t="s">
        <v>2974</v>
      </c>
      <c r="L405" s="3" t="s">
        <v>3057</v>
      </c>
      <c r="M405" s="3" t="s">
        <v>3056</v>
      </c>
      <c r="N405" s="3"/>
      <c r="O405" s="3"/>
    </row>
    <row r="406" spans="1:15" s="4" customFormat="1">
      <c r="A406" s="2">
        <v>405</v>
      </c>
      <c r="B406" s="3" t="s">
        <v>613</v>
      </c>
      <c r="C406" s="3" t="s">
        <v>614</v>
      </c>
      <c r="D406" s="2" t="s">
        <v>17</v>
      </c>
      <c r="E406" s="2" t="s">
        <v>8</v>
      </c>
      <c r="F406" s="16"/>
      <c r="G406" s="16"/>
      <c r="H406" s="16">
        <f>VLOOKUP(B:B,'[1]Master Sheet'!$B:$H,7,0)</f>
        <v>15</v>
      </c>
      <c r="I406" s="16">
        <f>VLOOKUP(B:B,'[1]Master Sheet'!$B:$I,8,0)</f>
        <v>0</v>
      </c>
      <c r="J406" s="16"/>
      <c r="K406" s="3" t="s">
        <v>2991</v>
      </c>
      <c r="L406" s="3" t="s">
        <v>3057</v>
      </c>
      <c r="M406" s="3" t="s">
        <v>3056</v>
      </c>
      <c r="N406" s="3"/>
      <c r="O406" s="3"/>
    </row>
    <row r="407" spans="1:15" s="4" customFormat="1">
      <c r="A407" s="2">
        <v>406</v>
      </c>
      <c r="B407" s="3" t="s">
        <v>615</v>
      </c>
      <c r="C407" s="3" t="s">
        <v>616</v>
      </c>
      <c r="D407" s="2" t="s">
        <v>20</v>
      </c>
      <c r="E407" s="2" t="s">
        <v>8</v>
      </c>
      <c r="F407" s="16"/>
      <c r="G407" s="16"/>
      <c r="H407" s="16">
        <f>VLOOKUP(B:B,'[1]Master Sheet'!$B:$H,7,0)</f>
        <v>150</v>
      </c>
      <c r="I407" s="16">
        <f>VLOOKUP(B:B,'[1]Master Sheet'!$B:$I,8,0)</f>
        <v>0</v>
      </c>
      <c r="J407" s="16"/>
      <c r="K407" s="3" t="s">
        <v>2991</v>
      </c>
      <c r="L407" s="3" t="s">
        <v>3057</v>
      </c>
      <c r="M407" s="3" t="s">
        <v>3056</v>
      </c>
      <c r="N407" s="3"/>
      <c r="O407" s="3"/>
    </row>
    <row r="408" spans="1:15" s="4" customFormat="1">
      <c r="A408" s="2">
        <v>407</v>
      </c>
      <c r="B408" s="3" t="s">
        <v>964</v>
      </c>
      <c r="C408" s="3" t="s">
        <v>965</v>
      </c>
      <c r="D408" s="2" t="s">
        <v>17</v>
      </c>
      <c r="E408" s="2" t="s">
        <v>8</v>
      </c>
      <c r="F408" s="16"/>
      <c r="G408" s="16"/>
      <c r="H408" s="16">
        <f>VLOOKUP(B:B,'[1]Master Sheet'!$B:$H,7,0)</f>
        <v>250</v>
      </c>
      <c r="I408" s="16">
        <f>VLOOKUP(B:B,'[1]Master Sheet'!$B:$I,8,0)</f>
        <v>0</v>
      </c>
      <c r="J408" s="16"/>
      <c r="K408" s="3" t="s">
        <v>2991</v>
      </c>
      <c r="L408" s="3" t="s">
        <v>3060</v>
      </c>
      <c r="M408" s="3" t="s">
        <v>3058</v>
      </c>
      <c r="N408" s="3"/>
      <c r="O408" s="3"/>
    </row>
    <row r="409" spans="1:15" s="4" customFormat="1">
      <c r="A409" s="2">
        <v>408</v>
      </c>
      <c r="B409" s="3" t="s">
        <v>966</v>
      </c>
      <c r="C409" s="3" t="s">
        <v>967</v>
      </c>
      <c r="D409" s="2" t="s">
        <v>17</v>
      </c>
      <c r="E409" s="2" t="s">
        <v>8</v>
      </c>
      <c r="F409" s="16"/>
      <c r="G409" s="16"/>
      <c r="H409" s="16">
        <f>VLOOKUP(B:B,'[1]Master Sheet'!$B:$H,7,0)</f>
        <v>150</v>
      </c>
      <c r="I409" s="16">
        <f>VLOOKUP(B:B,'[1]Master Sheet'!$B:$I,8,0)</f>
        <v>0</v>
      </c>
      <c r="J409" s="16"/>
      <c r="K409" s="3" t="s">
        <v>3006</v>
      </c>
      <c r="L409" s="3" t="s">
        <v>3060</v>
      </c>
      <c r="M409" s="3" t="s">
        <v>3058</v>
      </c>
      <c r="N409" s="3"/>
      <c r="O409" s="3"/>
    </row>
    <row r="410" spans="1:15" s="4" customFormat="1">
      <c r="A410" s="2">
        <v>409</v>
      </c>
      <c r="B410" s="3" t="s">
        <v>968</v>
      </c>
      <c r="C410" s="3" t="s">
        <v>969</v>
      </c>
      <c r="D410" s="2" t="s">
        <v>17</v>
      </c>
      <c r="E410" s="2" t="s">
        <v>8</v>
      </c>
      <c r="F410" s="16"/>
      <c r="G410" s="16"/>
      <c r="H410" s="16">
        <f>VLOOKUP(B:B,'[1]Master Sheet'!$B:$H,7,0)</f>
        <v>750</v>
      </c>
      <c r="I410" s="16">
        <f>VLOOKUP(B:B,'[1]Master Sheet'!$B:$I,8,0)</f>
        <v>0</v>
      </c>
      <c r="J410" s="16"/>
      <c r="K410" s="3" t="s">
        <v>3006</v>
      </c>
      <c r="L410" s="3" t="s">
        <v>3060</v>
      </c>
      <c r="M410" s="3" t="s">
        <v>3058</v>
      </c>
      <c r="N410" s="3"/>
      <c r="O410" s="3"/>
    </row>
    <row r="411" spans="1:15" s="4" customFormat="1">
      <c r="A411" s="2">
        <v>410</v>
      </c>
      <c r="B411" s="3" t="s">
        <v>970</v>
      </c>
      <c r="C411" s="3" t="s">
        <v>971</v>
      </c>
      <c r="D411" s="2" t="s">
        <v>17</v>
      </c>
      <c r="E411" s="2" t="s">
        <v>8</v>
      </c>
      <c r="F411" s="16"/>
      <c r="G411" s="16"/>
      <c r="H411" s="16">
        <f>VLOOKUP(B:B,'[1]Master Sheet'!$B:$H,7,0)</f>
        <v>0</v>
      </c>
      <c r="I411" s="16">
        <f>VLOOKUP(B:B,'[1]Master Sheet'!$B:$I,8,0)</f>
        <v>0</v>
      </c>
      <c r="J411" s="16"/>
      <c r="K411" s="3" t="s">
        <v>2972</v>
      </c>
      <c r="L411" s="3" t="s">
        <v>3060</v>
      </c>
      <c r="M411" s="3" t="s">
        <v>3058</v>
      </c>
      <c r="N411" s="3"/>
      <c r="O411" s="3"/>
    </row>
    <row r="412" spans="1:15" s="4" customFormat="1">
      <c r="A412" s="2">
        <v>411</v>
      </c>
      <c r="B412" s="3" t="s">
        <v>972</v>
      </c>
      <c r="C412" s="3" t="s">
        <v>973</v>
      </c>
      <c r="D412" s="2" t="s">
        <v>17</v>
      </c>
      <c r="E412" s="2" t="s">
        <v>8</v>
      </c>
      <c r="F412" s="16"/>
      <c r="G412" s="16"/>
      <c r="H412" s="16">
        <f>VLOOKUP(B:B,'[1]Master Sheet'!$B:$H,7,0)</f>
        <v>5000</v>
      </c>
      <c r="I412" s="16">
        <f>VLOOKUP(B:B,'[1]Master Sheet'!$B:$I,8,0)</f>
        <v>0</v>
      </c>
      <c r="J412" s="16"/>
      <c r="K412" s="3" t="s">
        <v>2991</v>
      </c>
      <c r="L412" s="3" t="s">
        <v>3060</v>
      </c>
      <c r="M412" s="3" t="s">
        <v>3058</v>
      </c>
      <c r="N412" s="3"/>
      <c r="O412" s="3"/>
    </row>
    <row r="413" spans="1:15" s="4" customFormat="1">
      <c r="A413" s="2">
        <v>412</v>
      </c>
      <c r="B413" s="3" t="s">
        <v>617</v>
      </c>
      <c r="C413" s="3" t="s">
        <v>618</v>
      </c>
      <c r="D413" s="2" t="s">
        <v>20</v>
      </c>
      <c r="E413" s="2" t="s">
        <v>8</v>
      </c>
      <c r="F413" s="16">
        <v>484.33</v>
      </c>
      <c r="G413" s="16"/>
      <c r="H413" s="16">
        <f>VLOOKUP(B:B,'[1]Master Sheet'!$B:$H,7,0)</f>
        <v>250</v>
      </c>
      <c r="I413" s="16">
        <f>VLOOKUP(B:B,'[1]Master Sheet'!$B:$I,8,0)</f>
        <v>250</v>
      </c>
      <c r="J413" s="16"/>
      <c r="K413" s="3" t="s">
        <v>2991</v>
      </c>
      <c r="L413" s="3" t="s">
        <v>3057</v>
      </c>
      <c r="M413" s="3" t="s">
        <v>3056</v>
      </c>
      <c r="N413" s="3"/>
      <c r="O413" s="3"/>
    </row>
    <row r="414" spans="1:15" s="4" customFormat="1">
      <c r="A414" s="2">
        <v>413</v>
      </c>
      <c r="B414" s="3" t="s">
        <v>637</v>
      </c>
      <c r="C414" s="3" t="s">
        <v>638</v>
      </c>
      <c r="D414" s="2" t="s">
        <v>17</v>
      </c>
      <c r="E414" s="2" t="s">
        <v>8</v>
      </c>
      <c r="F414" s="16"/>
      <c r="G414" s="16"/>
      <c r="H414" s="16">
        <f>VLOOKUP(B:B,'[1]Master Sheet'!$B:$H,7,0)</f>
        <v>0</v>
      </c>
      <c r="I414" s="16">
        <f>VLOOKUP(B:B,'[1]Master Sheet'!$B:$I,8,0)</f>
        <v>0</v>
      </c>
      <c r="J414" s="16"/>
      <c r="K414" s="3" t="s">
        <v>2972</v>
      </c>
      <c r="L414" s="3" t="s">
        <v>3057</v>
      </c>
      <c r="M414" s="3" t="s">
        <v>3056</v>
      </c>
      <c r="N414" s="3"/>
      <c r="O414" s="3"/>
    </row>
    <row r="415" spans="1:15" s="4" customFormat="1">
      <c r="A415" s="2">
        <v>414</v>
      </c>
      <c r="B415" s="3" t="s">
        <v>639</v>
      </c>
      <c r="C415" s="3" t="s">
        <v>640</v>
      </c>
      <c r="D415" s="2" t="s">
        <v>17</v>
      </c>
      <c r="E415" s="2" t="s">
        <v>8</v>
      </c>
      <c r="F415" s="16"/>
      <c r="G415" s="16"/>
      <c r="H415" s="16">
        <f>VLOOKUP(B:B,'[1]Master Sheet'!$B:$H,7,0)</f>
        <v>20</v>
      </c>
      <c r="I415" s="16">
        <f>VLOOKUP(B:B,'[1]Master Sheet'!$B:$I,8,0)</f>
        <v>0</v>
      </c>
      <c r="J415" s="16"/>
      <c r="K415" s="3" t="s">
        <v>2972</v>
      </c>
      <c r="L415" s="3" t="s">
        <v>3057</v>
      </c>
      <c r="M415" s="3" t="s">
        <v>3056</v>
      </c>
      <c r="N415" s="3"/>
      <c r="O415" s="3"/>
    </row>
    <row r="416" spans="1:15" s="4" customFormat="1">
      <c r="A416" s="2">
        <v>415</v>
      </c>
      <c r="B416" s="3" t="s">
        <v>980</v>
      </c>
      <c r="C416" s="3" t="s">
        <v>981</v>
      </c>
      <c r="D416" s="2" t="s">
        <v>17</v>
      </c>
      <c r="E416" s="2" t="s">
        <v>8</v>
      </c>
      <c r="F416" s="16"/>
      <c r="G416" s="16"/>
      <c r="H416" s="16">
        <f>VLOOKUP(B:B,'[1]Master Sheet'!$B:$H,7,0)</f>
        <v>1500</v>
      </c>
      <c r="I416" s="16">
        <f>VLOOKUP(B:B,'[1]Master Sheet'!$B:$I,8,0)</f>
        <v>0</v>
      </c>
      <c r="J416" s="16"/>
      <c r="K416" s="3" t="s">
        <v>3006</v>
      </c>
      <c r="L416" s="3" t="s">
        <v>3060</v>
      </c>
      <c r="M416" s="3" t="s">
        <v>3061</v>
      </c>
      <c r="N416" s="3"/>
      <c r="O416" s="3"/>
    </row>
    <row r="417" spans="1:15" s="4" customFormat="1">
      <c r="A417" s="2">
        <v>416</v>
      </c>
      <c r="B417" s="3" t="s">
        <v>838</v>
      </c>
      <c r="C417" s="3" t="s">
        <v>839</v>
      </c>
      <c r="D417" s="2" t="s">
        <v>17</v>
      </c>
      <c r="E417" s="2" t="s">
        <v>8</v>
      </c>
      <c r="F417" s="16"/>
      <c r="G417" s="16"/>
      <c r="H417" s="16">
        <f>VLOOKUP(B:B,'[1]Master Sheet'!$B:$H,7,0)</f>
        <v>0</v>
      </c>
      <c r="I417" s="16">
        <f>VLOOKUP(B:B,'[1]Master Sheet'!$B:$I,8,0)</f>
        <v>0</v>
      </c>
      <c r="J417" s="16"/>
      <c r="K417" s="3" t="s">
        <v>2974</v>
      </c>
      <c r="L417" s="3" t="s">
        <v>3057</v>
      </c>
      <c r="M417" s="3" t="s">
        <v>3058</v>
      </c>
      <c r="N417" s="3"/>
      <c r="O417" s="3"/>
    </row>
    <row r="418" spans="1:15" s="4" customFormat="1">
      <c r="A418" s="2">
        <v>417</v>
      </c>
      <c r="B418" s="3" t="s">
        <v>984</v>
      </c>
      <c r="C418" s="3" t="s">
        <v>985</v>
      </c>
      <c r="D418" s="2" t="s">
        <v>17</v>
      </c>
      <c r="E418" s="2" t="s">
        <v>8</v>
      </c>
      <c r="F418" s="16"/>
      <c r="G418" s="16"/>
      <c r="H418" s="16">
        <f>VLOOKUP(B:B,'[1]Master Sheet'!$B:$H,7,0)</f>
        <v>500</v>
      </c>
      <c r="I418" s="16">
        <f>VLOOKUP(B:B,'[1]Master Sheet'!$B:$I,8,0)</f>
        <v>0</v>
      </c>
      <c r="J418" s="16"/>
      <c r="K418" s="3" t="s">
        <v>3006</v>
      </c>
      <c r="L418" s="3" t="s">
        <v>3060</v>
      </c>
      <c r="M418" s="3" t="s">
        <v>3061</v>
      </c>
      <c r="N418" s="3"/>
      <c r="O418" s="3"/>
    </row>
    <row r="419" spans="1:15" s="4" customFormat="1">
      <c r="A419" s="2">
        <v>418</v>
      </c>
      <c r="B419" s="3" t="s">
        <v>986</v>
      </c>
      <c r="C419" s="3" t="s">
        <v>987</v>
      </c>
      <c r="D419" s="2" t="s">
        <v>17</v>
      </c>
      <c r="E419" s="2" t="s">
        <v>8</v>
      </c>
      <c r="F419" s="16"/>
      <c r="G419" s="16"/>
      <c r="H419" s="16">
        <f>VLOOKUP(B:B,'[1]Master Sheet'!$B:$H,7,0)</f>
        <v>0</v>
      </c>
      <c r="I419" s="16">
        <f>VLOOKUP(B:B,'[1]Master Sheet'!$B:$I,8,0)</f>
        <v>0</v>
      </c>
      <c r="J419" s="16"/>
      <c r="K419" s="3" t="s">
        <v>3006</v>
      </c>
      <c r="L419" s="3" t="s">
        <v>3060</v>
      </c>
      <c r="M419" s="3" t="s">
        <v>3058</v>
      </c>
      <c r="N419" s="3"/>
      <c r="O419" s="3"/>
    </row>
    <row r="420" spans="1:15" s="4" customFormat="1">
      <c r="A420" s="2">
        <v>419</v>
      </c>
      <c r="B420" s="3" t="s">
        <v>988</v>
      </c>
      <c r="C420" s="3" t="s">
        <v>989</v>
      </c>
      <c r="D420" s="2" t="s">
        <v>17</v>
      </c>
      <c r="E420" s="2" t="s">
        <v>8</v>
      </c>
      <c r="F420" s="16"/>
      <c r="G420" s="16"/>
      <c r="H420" s="16">
        <f>VLOOKUP(B:B,'[1]Master Sheet'!$B:$H,7,0)</f>
        <v>0</v>
      </c>
      <c r="I420" s="16">
        <f>VLOOKUP(B:B,'[1]Master Sheet'!$B:$I,8,0)</f>
        <v>0</v>
      </c>
      <c r="J420" s="16"/>
      <c r="K420" s="3" t="s">
        <v>3006</v>
      </c>
      <c r="L420" s="3" t="s">
        <v>3060</v>
      </c>
      <c r="M420" s="3" t="s">
        <v>3058</v>
      </c>
      <c r="N420" s="3"/>
      <c r="O420" s="3"/>
    </row>
    <row r="421" spans="1:15" s="4" customFormat="1">
      <c r="A421" s="2">
        <v>420</v>
      </c>
      <c r="B421" s="3" t="s">
        <v>990</v>
      </c>
      <c r="C421" s="3" t="s">
        <v>991</v>
      </c>
      <c r="D421" s="2" t="s">
        <v>17</v>
      </c>
      <c r="E421" s="2" t="s">
        <v>8</v>
      </c>
      <c r="F421" s="16"/>
      <c r="G421" s="16"/>
      <c r="H421" s="16">
        <f>VLOOKUP(B:B,'[1]Master Sheet'!$B:$H,7,0)</f>
        <v>0</v>
      </c>
      <c r="I421" s="16">
        <f>VLOOKUP(B:B,'[1]Master Sheet'!$B:$I,8,0)</f>
        <v>0</v>
      </c>
      <c r="J421" s="16"/>
      <c r="K421" s="3" t="s">
        <v>3006</v>
      </c>
      <c r="L421" s="3" t="s">
        <v>3060</v>
      </c>
      <c r="M421" s="3" t="s">
        <v>3058</v>
      </c>
      <c r="N421" s="3"/>
      <c r="O421" s="3"/>
    </row>
    <row r="422" spans="1:15" s="4" customFormat="1">
      <c r="A422" s="2">
        <v>421</v>
      </c>
      <c r="B422" s="3" t="s">
        <v>992</v>
      </c>
      <c r="C422" s="3" t="s">
        <v>993</v>
      </c>
      <c r="D422" s="2" t="s">
        <v>17</v>
      </c>
      <c r="E422" s="2" t="s">
        <v>8</v>
      </c>
      <c r="F422" s="16"/>
      <c r="G422" s="16"/>
      <c r="H422" s="16">
        <f>VLOOKUP(B:B,'[1]Master Sheet'!$B:$H,7,0)</f>
        <v>0</v>
      </c>
      <c r="I422" s="16">
        <f>VLOOKUP(B:B,'[1]Master Sheet'!$B:$I,8,0)</f>
        <v>0</v>
      </c>
      <c r="J422" s="16"/>
      <c r="K422" s="3" t="s">
        <v>3006</v>
      </c>
      <c r="L422" s="3" t="s">
        <v>3060</v>
      </c>
      <c r="M422" s="3" t="s">
        <v>3058</v>
      </c>
      <c r="N422" s="3"/>
      <c r="O422" s="3"/>
    </row>
    <row r="423" spans="1:15" s="4" customFormat="1">
      <c r="A423" s="2">
        <v>422</v>
      </c>
      <c r="B423" s="3" t="s">
        <v>994</v>
      </c>
      <c r="C423" s="3" t="s">
        <v>995</v>
      </c>
      <c r="D423" s="2" t="s">
        <v>17</v>
      </c>
      <c r="E423" s="2" t="s">
        <v>8</v>
      </c>
      <c r="F423" s="16"/>
      <c r="G423" s="16"/>
      <c r="H423" s="16">
        <f>VLOOKUP(B:B,'[1]Master Sheet'!$B:$H,7,0)</f>
        <v>0</v>
      </c>
      <c r="I423" s="16">
        <f>VLOOKUP(B:B,'[1]Master Sheet'!$B:$I,8,0)</f>
        <v>0</v>
      </c>
      <c r="J423" s="16"/>
      <c r="K423" s="3" t="s">
        <v>3006</v>
      </c>
      <c r="L423" s="3" t="s">
        <v>3060</v>
      </c>
      <c r="M423" s="3" t="s">
        <v>3058</v>
      </c>
      <c r="N423" s="3"/>
      <c r="O423" s="3"/>
    </row>
    <row r="424" spans="1:15" s="4" customFormat="1">
      <c r="A424" s="2">
        <v>423</v>
      </c>
      <c r="B424" s="3" t="s">
        <v>996</v>
      </c>
      <c r="C424" s="3" t="s">
        <v>997</v>
      </c>
      <c r="D424" s="2" t="s">
        <v>17</v>
      </c>
      <c r="E424" s="2" t="s">
        <v>8</v>
      </c>
      <c r="F424" s="16"/>
      <c r="G424" s="16"/>
      <c r="H424" s="16">
        <f>VLOOKUP(B:B,'[1]Master Sheet'!$B:$H,7,0)</f>
        <v>0</v>
      </c>
      <c r="I424" s="16">
        <f>VLOOKUP(B:B,'[1]Master Sheet'!$B:$I,8,0)</f>
        <v>0</v>
      </c>
      <c r="J424" s="16"/>
      <c r="K424" s="3" t="s">
        <v>3006</v>
      </c>
      <c r="L424" s="3" t="s">
        <v>3060</v>
      </c>
      <c r="M424" s="3" t="s">
        <v>3058</v>
      </c>
      <c r="N424" s="3"/>
      <c r="O424" s="3"/>
    </row>
    <row r="425" spans="1:15" s="4" customFormat="1">
      <c r="A425" s="2">
        <v>424</v>
      </c>
      <c r="B425" s="3" t="s">
        <v>998</v>
      </c>
      <c r="C425" s="3" t="s">
        <v>999</v>
      </c>
      <c r="D425" s="2" t="s">
        <v>17</v>
      </c>
      <c r="E425" s="2" t="s">
        <v>8</v>
      </c>
      <c r="F425" s="16"/>
      <c r="G425" s="16"/>
      <c r="H425" s="16">
        <f>VLOOKUP(B:B,'[1]Master Sheet'!$B:$H,7,0)</f>
        <v>0</v>
      </c>
      <c r="I425" s="16">
        <f>VLOOKUP(B:B,'[1]Master Sheet'!$B:$I,8,0)</f>
        <v>0</v>
      </c>
      <c r="J425" s="16"/>
      <c r="K425" s="3" t="s">
        <v>3006</v>
      </c>
      <c r="L425" s="3" t="s">
        <v>3060</v>
      </c>
      <c r="M425" s="3" t="s">
        <v>3058</v>
      </c>
      <c r="N425" s="3"/>
      <c r="O425" s="3"/>
    </row>
    <row r="426" spans="1:15" s="4" customFormat="1">
      <c r="A426" s="2">
        <v>425</v>
      </c>
      <c r="B426" s="3" t="s">
        <v>1000</v>
      </c>
      <c r="C426" s="3" t="s">
        <v>1001</v>
      </c>
      <c r="D426" s="2" t="s">
        <v>17</v>
      </c>
      <c r="E426" s="2" t="s">
        <v>8</v>
      </c>
      <c r="F426" s="16"/>
      <c r="G426" s="16"/>
      <c r="H426" s="16">
        <f>VLOOKUP(B:B,'[1]Master Sheet'!$B:$H,7,0)</f>
        <v>0</v>
      </c>
      <c r="I426" s="16">
        <f>VLOOKUP(B:B,'[1]Master Sheet'!$B:$I,8,0)</f>
        <v>0</v>
      </c>
      <c r="J426" s="16"/>
      <c r="K426" s="3" t="s">
        <v>3006</v>
      </c>
      <c r="L426" s="3" t="s">
        <v>3060</v>
      </c>
      <c r="M426" s="3" t="s">
        <v>3058</v>
      </c>
      <c r="N426" s="3"/>
      <c r="O426" s="3"/>
    </row>
    <row r="427" spans="1:15" s="4" customFormat="1">
      <c r="A427" s="2">
        <v>426</v>
      </c>
      <c r="B427" s="3" t="s">
        <v>1002</v>
      </c>
      <c r="C427" s="3" t="s">
        <v>1003</v>
      </c>
      <c r="D427" s="2" t="s">
        <v>17</v>
      </c>
      <c r="E427" s="2" t="s">
        <v>8</v>
      </c>
      <c r="F427" s="16"/>
      <c r="G427" s="16"/>
      <c r="H427" s="16">
        <f>VLOOKUP(B:B,'[1]Master Sheet'!$B:$H,7,0)</f>
        <v>0</v>
      </c>
      <c r="I427" s="16">
        <f>VLOOKUP(B:B,'[1]Master Sheet'!$B:$I,8,0)</f>
        <v>0</v>
      </c>
      <c r="J427" s="16"/>
      <c r="K427" s="3" t="s">
        <v>3006</v>
      </c>
      <c r="L427" s="3" t="s">
        <v>3060</v>
      </c>
      <c r="M427" s="3" t="s">
        <v>3058</v>
      </c>
      <c r="N427" s="3"/>
      <c r="O427" s="3"/>
    </row>
    <row r="428" spans="1:15" s="4" customFormat="1">
      <c r="A428" s="2">
        <v>427</v>
      </c>
      <c r="B428" s="3" t="s">
        <v>1004</v>
      </c>
      <c r="C428" s="3" t="s">
        <v>1005</v>
      </c>
      <c r="D428" s="2" t="s">
        <v>17</v>
      </c>
      <c r="E428" s="2" t="s">
        <v>8</v>
      </c>
      <c r="F428" s="16"/>
      <c r="G428" s="16"/>
      <c r="H428" s="16">
        <f>VLOOKUP(B:B,'[1]Master Sheet'!$B:$H,7,0)</f>
        <v>0</v>
      </c>
      <c r="I428" s="16">
        <f>VLOOKUP(B:B,'[1]Master Sheet'!$B:$I,8,0)</f>
        <v>0</v>
      </c>
      <c r="J428" s="16"/>
      <c r="K428" s="3" t="s">
        <v>3006</v>
      </c>
      <c r="L428" s="3" t="s">
        <v>3060</v>
      </c>
      <c r="M428" s="3" t="s">
        <v>3058</v>
      </c>
      <c r="N428" s="3"/>
      <c r="O428" s="3"/>
    </row>
    <row r="429" spans="1:15" s="4" customFormat="1">
      <c r="A429" s="2">
        <v>428</v>
      </c>
      <c r="B429" s="3" t="s">
        <v>1006</v>
      </c>
      <c r="C429" s="3" t="s">
        <v>1007</v>
      </c>
      <c r="D429" s="2" t="s">
        <v>17</v>
      </c>
      <c r="E429" s="2" t="s">
        <v>8</v>
      </c>
      <c r="F429" s="16"/>
      <c r="G429" s="16"/>
      <c r="H429" s="16">
        <f>VLOOKUP(B:B,'[1]Master Sheet'!$B:$H,7,0)</f>
        <v>0</v>
      </c>
      <c r="I429" s="16">
        <f>VLOOKUP(B:B,'[1]Master Sheet'!$B:$I,8,0)</f>
        <v>0</v>
      </c>
      <c r="J429" s="16"/>
      <c r="K429" s="3" t="s">
        <v>3006</v>
      </c>
      <c r="L429" s="3" t="s">
        <v>3060</v>
      </c>
      <c r="M429" s="3" t="s">
        <v>3058</v>
      </c>
      <c r="N429" s="3"/>
      <c r="O429" s="3"/>
    </row>
    <row r="430" spans="1:15" s="4" customFormat="1">
      <c r="A430" s="2">
        <v>429</v>
      </c>
      <c r="B430" s="3" t="s">
        <v>1008</v>
      </c>
      <c r="C430" s="3" t="s">
        <v>1009</v>
      </c>
      <c r="D430" s="2" t="s">
        <v>17</v>
      </c>
      <c r="E430" s="2" t="s">
        <v>8</v>
      </c>
      <c r="F430" s="16"/>
      <c r="G430" s="16"/>
      <c r="H430" s="16">
        <f>VLOOKUP(B:B,'[1]Master Sheet'!$B:$H,7,0)</f>
        <v>0</v>
      </c>
      <c r="I430" s="16">
        <f>VLOOKUP(B:B,'[1]Master Sheet'!$B:$I,8,0)</f>
        <v>0</v>
      </c>
      <c r="J430" s="16"/>
      <c r="K430" s="3" t="s">
        <v>3006</v>
      </c>
      <c r="L430" s="3" t="s">
        <v>3060</v>
      </c>
      <c r="M430" s="3" t="s">
        <v>3058</v>
      </c>
      <c r="N430" s="3"/>
      <c r="O430" s="3"/>
    </row>
    <row r="431" spans="1:15" s="4" customFormat="1">
      <c r="A431" s="2">
        <v>430</v>
      </c>
      <c r="B431" s="3" t="s">
        <v>1010</v>
      </c>
      <c r="C431" s="3" t="s">
        <v>1011</v>
      </c>
      <c r="D431" s="2" t="s">
        <v>17</v>
      </c>
      <c r="E431" s="2" t="s">
        <v>8</v>
      </c>
      <c r="F431" s="16"/>
      <c r="G431" s="16"/>
      <c r="H431" s="16">
        <f>VLOOKUP(B:B,'[1]Master Sheet'!$B:$H,7,0)</f>
        <v>0</v>
      </c>
      <c r="I431" s="16">
        <f>VLOOKUP(B:B,'[1]Master Sheet'!$B:$I,8,0)</f>
        <v>0</v>
      </c>
      <c r="J431" s="16"/>
      <c r="K431" s="3" t="s">
        <v>3006</v>
      </c>
      <c r="L431" s="3" t="s">
        <v>3060</v>
      </c>
      <c r="M431" s="3" t="s">
        <v>3058</v>
      </c>
      <c r="N431" s="3"/>
      <c r="O431" s="3"/>
    </row>
    <row r="432" spans="1:15" s="4" customFormat="1">
      <c r="A432" s="2">
        <v>431</v>
      </c>
      <c r="B432" s="3" t="s">
        <v>1012</v>
      </c>
      <c r="C432" s="3" t="s">
        <v>1013</v>
      </c>
      <c r="D432" s="2" t="s">
        <v>17</v>
      </c>
      <c r="E432" s="2" t="s">
        <v>8</v>
      </c>
      <c r="F432" s="16"/>
      <c r="G432" s="16"/>
      <c r="H432" s="16">
        <f>VLOOKUP(B:B,'[1]Master Sheet'!$B:$H,7,0)</f>
        <v>0</v>
      </c>
      <c r="I432" s="16">
        <f>VLOOKUP(B:B,'[1]Master Sheet'!$B:$I,8,0)</f>
        <v>0</v>
      </c>
      <c r="J432" s="16"/>
      <c r="K432" s="3" t="s">
        <v>3006</v>
      </c>
      <c r="L432" s="3" t="s">
        <v>3060</v>
      </c>
      <c r="M432" s="3" t="s">
        <v>3058</v>
      </c>
      <c r="N432" s="3"/>
      <c r="O432" s="3"/>
    </row>
    <row r="433" spans="1:15" s="4" customFormat="1">
      <c r="A433" s="2">
        <v>432</v>
      </c>
      <c r="B433" s="3" t="s">
        <v>1014</v>
      </c>
      <c r="C433" s="3" t="s">
        <v>1015</v>
      </c>
      <c r="D433" s="2" t="s">
        <v>17</v>
      </c>
      <c r="E433" s="2" t="s">
        <v>8</v>
      </c>
      <c r="F433" s="16"/>
      <c r="G433" s="16"/>
      <c r="H433" s="16">
        <f>VLOOKUP(B:B,'[1]Master Sheet'!$B:$H,7,0)</f>
        <v>0</v>
      </c>
      <c r="I433" s="16">
        <f>VLOOKUP(B:B,'[1]Master Sheet'!$B:$I,8,0)</f>
        <v>0</v>
      </c>
      <c r="J433" s="16"/>
      <c r="K433" s="3" t="s">
        <v>3006</v>
      </c>
      <c r="L433" s="3" t="s">
        <v>3060</v>
      </c>
      <c r="M433" s="3" t="s">
        <v>3058</v>
      </c>
      <c r="N433" s="3"/>
      <c r="O433" s="3"/>
    </row>
    <row r="434" spans="1:15" s="4" customFormat="1">
      <c r="A434" s="2">
        <v>433</v>
      </c>
      <c r="B434" s="3" t="s">
        <v>1016</v>
      </c>
      <c r="C434" s="3" t="s">
        <v>1017</v>
      </c>
      <c r="D434" s="2" t="s">
        <v>17</v>
      </c>
      <c r="E434" s="2" t="s">
        <v>8</v>
      </c>
      <c r="F434" s="16"/>
      <c r="G434" s="16"/>
      <c r="H434" s="16">
        <f>VLOOKUP(B:B,'[1]Master Sheet'!$B:$H,7,0)</f>
        <v>0</v>
      </c>
      <c r="I434" s="16">
        <f>VLOOKUP(B:B,'[1]Master Sheet'!$B:$I,8,0)</f>
        <v>0</v>
      </c>
      <c r="J434" s="16"/>
      <c r="K434" s="3" t="s">
        <v>3006</v>
      </c>
      <c r="L434" s="3" t="s">
        <v>3060</v>
      </c>
      <c r="M434" s="3" t="s">
        <v>3058</v>
      </c>
      <c r="N434" s="3"/>
      <c r="O434" s="3"/>
    </row>
    <row r="435" spans="1:15" s="4" customFormat="1">
      <c r="A435" s="2">
        <v>434</v>
      </c>
      <c r="B435" s="3" t="s">
        <v>1018</v>
      </c>
      <c r="C435" s="3" t="s">
        <v>1019</v>
      </c>
      <c r="D435" s="2" t="s">
        <v>17</v>
      </c>
      <c r="E435" s="2" t="s">
        <v>8</v>
      </c>
      <c r="F435" s="16"/>
      <c r="G435" s="16"/>
      <c r="H435" s="16">
        <f>VLOOKUP(B:B,'[1]Master Sheet'!$B:$H,7,0)</f>
        <v>0</v>
      </c>
      <c r="I435" s="16">
        <f>VLOOKUP(B:B,'[1]Master Sheet'!$B:$I,8,0)</f>
        <v>0</v>
      </c>
      <c r="J435" s="16"/>
      <c r="K435" s="3" t="s">
        <v>3006</v>
      </c>
      <c r="L435" s="3" t="s">
        <v>3060</v>
      </c>
      <c r="M435" s="3" t="s">
        <v>3058</v>
      </c>
      <c r="N435" s="3"/>
      <c r="O435" s="3"/>
    </row>
    <row r="436" spans="1:15" s="4" customFormat="1">
      <c r="A436" s="2">
        <v>435</v>
      </c>
      <c r="B436" s="3" t="s">
        <v>1020</v>
      </c>
      <c r="C436" s="3" t="s">
        <v>1021</v>
      </c>
      <c r="D436" s="2" t="s">
        <v>17</v>
      </c>
      <c r="E436" s="2" t="s">
        <v>8</v>
      </c>
      <c r="F436" s="16"/>
      <c r="G436" s="16"/>
      <c r="H436" s="16">
        <f>VLOOKUP(B:B,'[1]Master Sheet'!$B:$H,7,0)</f>
        <v>0</v>
      </c>
      <c r="I436" s="16">
        <f>VLOOKUP(B:B,'[1]Master Sheet'!$B:$I,8,0)</f>
        <v>0</v>
      </c>
      <c r="J436" s="16"/>
      <c r="K436" s="3" t="s">
        <v>3006</v>
      </c>
      <c r="L436" s="3" t="s">
        <v>3060</v>
      </c>
      <c r="M436" s="3" t="s">
        <v>3058</v>
      </c>
      <c r="N436" s="3"/>
      <c r="O436" s="3"/>
    </row>
    <row r="437" spans="1:15" s="4" customFormat="1">
      <c r="A437" s="2">
        <v>436</v>
      </c>
      <c r="B437" s="3" t="s">
        <v>1022</v>
      </c>
      <c r="C437" s="3" t="s">
        <v>1023</v>
      </c>
      <c r="D437" s="2" t="s">
        <v>17</v>
      </c>
      <c r="E437" s="2" t="s">
        <v>8</v>
      </c>
      <c r="F437" s="16"/>
      <c r="G437" s="16"/>
      <c r="H437" s="16">
        <f>VLOOKUP(B:B,'[1]Master Sheet'!$B:$H,7,0)</f>
        <v>500</v>
      </c>
      <c r="I437" s="16">
        <f>VLOOKUP(B:B,'[1]Master Sheet'!$B:$I,8,0)</f>
        <v>0</v>
      </c>
      <c r="J437" s="16"/>
      <c r="K437" s="3" t="s">
        <v>2972</v>
      </c>
      <c r="L437" s="3" t="s">
        <v>3060</v>
      </c>
      <c r="M437" s="3" t="s">
        <v>3058</v>
      </c>
      <c r="N437" s="3"/>
      <c r="O437" s="3"/>
    </row>
    <row r="438" spans="1:15" s="4" customFormat="1">
      <c r="A438" s="2">
        <v>437</v>
      </c>
      <c r="B438" s="3" t="s">
        <v>1024</v>
      </c>
      <c r="C438" s="3" t="s">
        <v>1025</v>
      </c>
      <c r="D438" s="2" t="s">
        <v>20</v>
      </c>
      <c r="E438" s="2" t="s">
        <v>8</v>
      </c>
      <c r="F438" s="16"/>
      <c r="G438" s="16"/>
      <c r="H438" s="16">
        <f>VLOOKUP(B:B,'[1]Master Sheet'!$B:$H,7,0)</f>
        <v>0</v>
      </c>
      <c r="I438" s="16">
        <f>VLOOKUP(B:B,'[1]Master Sheet'!$B:$I,8,0)</f>
        <v>0</v>
      </c>
      <c r="J438" s="16"/>
      <c r="K438" s="3" t="s">
        <v>3034</v>
      </c>
      <c r="L438" s="3" t="s">
        <v>3059</v>
      </c>
      <c r="M438" s="3" t="s">
        <v>3056</v>
      </c>
      <c r="N438" s="3"/>
      <c r="O438" s="3"/>
    </row>
    <row r="439" spans="1:15" s="4" customFormat="1">
      <c r="A439" s="2">
        <v>438</v>
      </c>
      <c r="B439" s="3" t="s">
        <v>1026</v>
      </c>
      <c r="C439" s="3" t="s">
        <v>1027</v>
      </c>
      <c r="D439" s="2" t="s">
        <v>20</v>
      </c>
      <c r="E439" s="2" t="s">
        <v>8</v>
      </c>
      <c r="F439" s="16"/>
      <c r="G439" s="16"/>
      <c r="H439" s="16">
        <f>VLOOKUP(B:B,'[1]Master Sheet'!$B:$H,7,0)</f>
        <v>60000</v>
      </c>
      <c r="I439" s="16">
        <f>VLOOKUP(B:B,'[1]Master Sheet'!$B:$I,8,0)</f>
        <v>60000</v>
      </c>
      <c r="J439" s="16"/>
      <c r="K439" s="3" t="s">
        <v>3034</v>
      </c>
      <c r="L439" s="3" t="s">
        <v>3059</v>
      </c>
      <c r="M439" s="3" t="s">
        <v>3056</v>
      </c>
      <c r="N439" s="3"/>
      <c r="O439" s="3"/>
    </row>
    <row r="440" spans="1:15" s="4" customFormat="1">
      <c r="A440" s="2">
        <v>439</v>
      </c>
      <c r="B440" s="3" t="s">
        <v>1028</v>
      </c>
      <c r="C440" s="3" t="s">
        <v>1029</v>
      </c>
      <c r="D440" s="2" t="s">
        <v>20</v>
      </c>
      <c r="E440" s="2" t="s">
        <v>8</v>
      </c>
      <c r="F440" s="16"/>
      <c r="G440" s="16"/>
      <c r="H440" s="16">
        <f>VLOOKUP(B:B,'[1]Master Sheet'!$B:$H,7,0)</f>
        <v>10000</v>
      </c>
      <c r="I440" s="16">
        <f>VLOOKUP(B:B,'[1]Master Sheet'!$B:$I,8,0)</f>
        <v>10000</v>
      </c>
      <c r="J440" s="16"/>
      <c r="K440" s="3" t="s">
        <v>3034</v>
      </c>
      <c r="L440" s="3" t="s">
        <v>3059</v>
      </c>
      <c r="M440" s="3" t="s">
        <v>3056</v>
      </c>
      <c r="N440" s="3"/>
      <c r="O440" s="3"/>
    </row>
    <row r="441" spans="1:15" s="4" customFormat="1">
      <c r="A441" s="2">
        <v>440</v>
      </c>
      <c r="B441" s="3" t="s">
        <v>1030</v>
      </c>
      <c r="C441" s="3" t="s">
        <v>1031</v>
      </c>
      <c r="D441" s="2" t="s">
        <v>20</v>
      </c>
      <c r="E441" s="2" t="s">
        <v>8</v>
      </c>
      <c r="F441" s="16"/>
      <c r="G441" s="16"/>
      <c r="H441" s="16">
        <f>VLOOKUP(B:B,'[1]Master Sheet'!$B:$H,7,0)</f>
        <v>5000</v>
      </c>
      <c r="I441" s="16">
        <f>VLOOKUP(B:B,'[1]Master Sheet'!$B:$I,8,0)</f>
        <v>0</v>
      </c>
      <c r="J441" s="16"/>
      <c r="K441" s="3" t="s">
        <v>3034</v>
      </c>
      <c r="L441" s="3" t="s">
        <v>3059</v>
      </c>
      <c r="M441" s="3" t="s">
        <v>3056</v>
      </c>
      <c r="N441" s="3"/>
      <c r="O441" s="3"/>
    </row>
    <row r="442" spans="1:15" s="4" customFormat="1">
      <c r="A442" s="2">
        <v>441</v>
      </c>
      <c r="B442" s="3" t="s">
        <v>846</v>
      </c>
      <c r="C442" s="3" t="s">
        <v>847</v>
      </c>
      <c r="D442" s="2" t="s">
        <v>17</v>
      </c>
      <c r="E442" s="2" t="s">
        <v>8</v>
      </c>
      <c r="F442" s="16"/>
      <c r="G442" s="16"/>
      <c r="H442" s="16">
        <f>VLOOKUP(B:B,'[1]Master Sheet'!$B:$H,7,0)</f>
        <v>0</v>
      </c>
      <c r="I442" s="16">
        <f>VLOOKUP(B:B,'[1]Master Sheet'!$B:$I,8,0)</f>
        <v>0</v>
      </c>
      <c r="J442" s="16"/>
      <c r="K442" s="3" t="s">
        <v>2972</v>
      </c>
      <c r="L442" s="3" t="s">
        <v>3057</v>
      </c>
      <c r="M442" s="3" t="s">
        <v>3056</v>
      </c>
      <c r="N442" s="3"/>
      <c r="O442" s="3"/>
    </row>
    <row r="443" spans="1:15" s="4" customFormat="1">
      <c r="A443" s="2">
        <v>442</v>
      </c>
      <c r="B443" s="3" t="s">
        <v>864</v>
      </c>
      <c r="C443" s="3" t="s">
        <v>865</v>
      </c>
      <c r="D443" s="2" t="s">
        <v>20</v>
      </c>
      <c r="E443" s="2" t="s">
        <v>8</v>
      </c>
      <c r="F443" s="16"/>
      <c r="G443" s="16"/>
      <c r="H443" s="16">
        <f>VLOOKUP(B:B,'[1]Master Sheet'!$B:$H,7,0)</f>
        <v>10</v>
      </c>
      <c r="I443" s="16">
        <f>VLOOKUP(B:B,'[1]Master Sheet'!$B:$I,8,0)</f>
        <v>10</v>
      </c>
      <c r="J443" s="16"/>
      <c r="K443" s="3" t="s">
        <v>2991</v>
      </c>
      <c r="L443" s="3" t="s">
        <v>3057</v>
      </c>
      <c r="M443" s="3" t="s">
        <v>3056</v>
      </c>
      <c r="N443" s="3"/>
      <c r="O443" s="3"/>
    </row>
    <row r="444" spans="1:15" s="4" customFormat="1">
      <c r="A444" s="2">
        <v>443</v>
      </c>
      <c r="B444" s="3" t="s">
        <v>866</v>
      </c>
      <c r="C444" s="3" t="s">
        <v>867</v>
      </c>
      <c r="D444" s="2" t="s">
        <v>17</v>
      </c>
      <c r="E444" s="2" t="s">
        <v>8</v>
      </c>
      <c r="F444" s="16"/>
      <c r="G444" s="16"/>
      <c r="H444" s="16">
        <f>VLOOKUP(B:B,'[1]Master Sheet'!$B:$H,7,0)</f>
        <v>1500</v>
      </c>
      <c r="I444" s="16">
        <f>VLOOKUP(B:B,'[1]Master Sheet'!$B:$I,8,0)</f>
        <v>0</v>
      </c>
      <c r="J444" s="16"/>
      <c r="K444" s="3" t="s">
        <v>2972</v>
      </c>
      <c r="L444" s="3" t="s">
        <v>3057</v>
      </c>
      <c r="M444" s="3" t="s">
        <v>3056</v>
      </c>
      <c r="N444" s="3"/>
      <c r="O444" s="3"/>
    </row>
    <row r="445" spans="1:15" s="4" customFormat="1">
      <c r="A445" s="2">
        <v>444</v>
      </c>
      <c r="B445" s="3" t="s">
        <v>870</v>
      </c>
      <c r="C445" s="3" t="s">
        <v>871</v>
      </c>
      <c r="D445" s="2" t="s">
        <v>17</v>
      </c>
      <c r="E445" s="2" t="s">
        <v>8</v>
      </c>
      <c r="F445" s="16"/>
      <c r="G445" s="16"/>
      <c r="H445" s="16">
        <f>VLOOKUP(B:B,'[1]Master Sheet'!$B:$H,7,0)</f>
        <v>250</v>
      </c>
      <c r="I445" s="16">
        <f>VLOOKUP(B:B,'[1]Master Sheet'!$B:$I,8,0)</f>
        <v>450</v>
      </c>
      <c r="J445" s="16"/>
      <c r="K445" s="3" t="s">
        <v>2974</v>
      </c>
      <c r="L445" s="3" t="s">
        <v>3057</v>
      </c>
      <c r="M445" s="3" t="s">
        <v>3056</v>
      </c>
      <c r="N445" s="3"/>
      <c r="O445" s="3"/>
    </row>
    <row r="446" spans="1:15" s="4" customFormat="1">
      <c r="A446" s="2">
        <v>445</v>
      </c>
      <c r="B446" s="3" t="s">
        <v>872</v>
      </c>
      <c r="C446" s="3" t="s">
        <v>873</v>
      </c>
      <c r="D446" s="2" t="s">
        <v>17</v>
      </c>
      <c r="E446" s="2" t="s">
        <v>8</v>
      </c>
      <c r="F446" s="16"/>
      <c r="G446" s="16"/>
      <c r="H446" s="16">
        <f>VLOOKUP(B:B,'[1]Master Sheet'!$B:$H,7,0)</f>
        <v>500</v>
      </c>
      <c r="I446" s="16">
        <f>VLOOKUP(B:B,'[1]Master Sheet'!$B:$I,8,0)</f>
        <v>0</v>
      </c>
      <c r="J446" s="16"/>
      <c r="K446" s="3" t="s">
        <v>3008</v>
      </c>
      <c r="L446" s="3" t="s">
        <v>3057</v>
      </c>
      <c r="M446" s="3" t="s">
        <v>3056</v>
      </c>
      <c r="N446" s="3"/>
      <c r="O446" s="3"/>
    </row>
    <row r="447" spans="1:15" s="4" customFormat="1">
      <c r="A447" s="2">
        <v>446</v>
      </c>
      <c r="B447" s="3" t="s">
        <v>1044</v>
      </c>
      <c r="C447" s="3" t="s">
        <v>1045</v>
      </c>
      <c r="D447" s="2" t="s">
        <v>17</v>
      </c>
      <c r="E447" s="2" t="s">
        <v>8</v>
      </c>
      <c r="F447" s="16"/>
      <c r="G447" s="16"/>
      <c r="H447" s="16">
        <f>VLOOKUP(B:B,'[1]Master Sheet'!$B:$H,7,0)</f>
        <v>0</v>
      </c>
      <c r="I447" s="16">
        <f>VLOOKUP(B:B,'[1]Master Sheet'!$B:$I,8,0)</f>
        <v>0</v>
      </c>
      <c r="J447" s="16"/>
      <c r="K447" s="3" t="s">
        <v>2982</v>
      </c>
      <c r="L447" s="3" t="s">
        <v>3060</v>
      </c>
      <c r="M447" s="3" t="s">
        <v>3061</v>
      </c>
      <c r="N447" s="3"/>
      <c r="O447" s="3"/>
    </row>
    <row r="448" spans="1:15" s="4" customFormat="1">
      <c r="A448" s="2">
        <v>447</v>
      </c>
      <c r="B448" s="3" t="s">
        <v>1046</v>
      </c>
      <c r="C448" s="3" t="s">
        <v>1047</v>
      </c>
      <c r="D448" s="2" t="s">
        <v>17</v>
      </c>
      <c r="E448" s="2" t="s">
        <v>8</v>
      </c>
      <c r="F448" s="16"/>
      <c r="G448" s="16"/>
      <c r="H448" s="16">
        <f>VLOOKUP(B:B,'[1]Master Sheet'!$B:$H,7,0)</f>
        <v>200</v>
      </c>
      <c r="I448" s="16">
        <f>VLOOKUP(B:B,'[1]Master Sheet'!$B:$I,8,0)</f>
        <v>100</v>
      </c>
      <c r="J448" s="16"/>
      <c r="K448" s="3" t="s">
        <v>2982</v>
      </c>
      <c r="L448" s="3" t="s">
        <v>3060</v>
      </c>
      <c r="M448" s="3" t="s">
        <v>3061</v>
      </c>
      <c r="N448" s="3"/>
      <c r="O448" s="3"/>
    </row>
    <row r="449" spans="1:15" s="4" customFormat="1">
      <c r="A449" s="2">
        <v>448</v>
      </c>
      <c r="B449" s="3" t="s">
        <v>1048</v>
      </c>
      <c r="C449" s="3" t="s">
        <v>1049</v>
      </c>
      <c r="D449" s="2" t="s">
        <v>17</v>
      </c>
      <c r="E449" s="2" t="s">
        <v>8</v>
      </c>
      <c r="F449" s="16"/>
      <c r="G449" s="16"/>
      <c r="H449" s="16">
        <f>VLOOKUP(B:B,'[1]Master Sheet'!$B:$H,7,0)</f>
        <v>500</v>
      </c>
      <c r="I449" s="16">
        <f>VLOOKUP(B:B,'[1]Master Sheet'!$B:$I,8,0)</f>
        <v>0</v>
      </c>
      <c r="J449" s="16"/>
      <c r="K449" s="3" t="s">
        <v>2972</v>
      </c>
      <c r="L449" s="3" t="s">
        <v>3060</v>
      </c>
      <c r="M449" s="3" t="s">
        <v>3058</v>
      </c>
      <c r="N449" s="3"/>
      <c r="O449" s="3"/>
    </row>
    <row r="450" spans="1:15" s="4" customFormat="1">
      <c r="A450" s="2">
        <v>449</v>
      </c>
      <c r="B450" s="3" t="s">
        <v>874</v>
      </c>
      <c r="C450" s="3" t="s">
        <v>875</v>
      </c>
      <c r="D450" s="2" t="s">
        <v>17</v>
      </c>
      <c r="E450" s="2" t="s">
        <v>8</v>
      </c>
      <c r="F450" s="16"/>
      <c r="G450" s="16"/>
      <c r="H450" s="16">
        <f>VLOOKUP(B:B,'[1]Master Sheet'!$B:$H,7,0)</f>
        <v>15000</v>
      </c>
      <c r="I450" s="16">
        <f>VLOOKUP(B:B,'[1]Master Sheet'!$B:$I,8,0)</f>
        <v>12000</v>
      </c>
      <c r="J450" s="16"/>
      <c r="K450" s="3" t="s">
        <v>2972</v>
      </c>
      <c r="L450" s="3" t="s">
        <v>3057</v>
      </c>
      <c r="M450" s="3" t="s">
        <v>3056</v>
      </c>
      <c r="N450" s="3"/>
      <c r="O450" s="3"/>
    </row>
    <row r="451" spans="1:15" s="4" customFormat="1">
      <c r="A451" s="2">
        <v>450</v>
      </c>
      <c r="B451" s="3" t="s">
        <v>1052</v>
      </c>
      <c r="C451" s="3" t="s">
        <v>1053</v>
      </c>
      <c r="D451" s="2" t="s">
        <v>17</v>
      </c>
      <c r="E451" s="2" t="s">
        <v>8</v>
      </c>
      <c r="F451" s="16"/>
      <c r="G451" s="16"/>
      <c r="H451" s="16">
        <f>VLOOKUP(B:B,'[1]Master Sheet'!$B:$H,7,0)</f>
        <v>25</v>
      </c>
      <c r="I451" s="16">
        <f>VLOOKUP(B:B,'[1]Master Sheet'!$B:$I,8,0)</f>
        <v>0</v>
      </c>
      <c r="J451" s="16"/>
      <c r="K451" s="3" t="s">
        <v>2974</v>
      </c>
      <c r="L451" s="3" t="s">
        <v>3060</v>
      </c>
      <c r="M451" s="3" t="s">
        <v>3058</v>
      </c>
      <c r="N451" s="3"/>
      <c r="O451" s="3"/>
    </row>
    <row r="452" spans="1:15" s="4" customFormat="1">
      <c r="A452" s="2">
        <v>451</v>
      </c>
      <c r="B452" s="3" t="s">
        <v>1056</v>
      </c>
      <c r="C452" s="3" t="s">
        <v>1057</v>
      </c>
      <c r="D452" s="2" t="s">
        <v>17</v>
      </c>
      <c r="E452" s="2" t="s">
        <v>8</v>
      </c>
      <c r="F452" s="16"/>
      <c r="G452" s="16"/>
      <c r="H452" s="16">
        <f>VLOOKUP(B:B,'[1]Master Sheet'!$B:$H,7,0)</f>
        <v>0</v>
      </c>
      <c r="I452" s="16">
        <f>VLOOKUP(B:B,'[1]Master Sheet'!$B:$I,8,0)</f>
        <v>0</v>
      </c>
      <c r="J452" s="16"/>
      <c r="K452" s="3" t="s">
        <v>2974</v>
      </c>
      <c r="L452" s="3" t="s">
        <v>3060</v>
      </c>
      <c r="M452" s="3" t="s">
        <v>3058</v>
      </c>
      <c r="N452" s="3"/>
      <c r="O452" s="3"/>
    </row>
    <row r="453" spans="1:15" s="4" customFormat="1">
      <c r="A453" s="2">
        <v>452</v>
      </c>
      <c r="B453" s="3" t="s">
        <v>1058</v>
      </c>
      <c r="C453" s="3" t="s">
        <v>1059</v>
      </c>
      <c r="D453" s="2" t="s">
        <v>17</v>
      </c>
      <c r="E453" s="2" t="s">
        <v>8</v>
      </c>
      <c r="F453" s="16"/>
      <c r="G453" s="16"/>
      <c r="H453" s="16">
        <f>VLOOKUP(B:B,'[1]Master Sheet'!$B:$H,7,0)</f>
        <v>25</v>
      </c>
      <c r="I453" s="16">
        <f>VLOOKUP(B:B,'[1]Master Sheet'!$B:$I,8,0)</f>
        <v>0</v>
      </c>
      <c r="J453" s="16"/>
      <c r="K453" s="3" t="s">
        <v>2974</v>
      </c>
      <c r="L453" s="3" t="s">
        <v>3060</v>
      </c>
      <c r="M453" s="3" t="s">
        <v>3058</v>
      </c>
      <c r="N453" s="3"/>
      <c r="O453" s="3"/>
    </row>
    <row r="454" spans="1:15" s="4" customFormat="1">
      <c r="A454" s="2">
        <v>453</v>
      </c>
      <c r="B454" s="3" t="s">
        <v>1060</v>
      </c>
      <c r="C454" s="3" t="s">
        <v>1061</v>
      </c>
      <c r="D454" s="2" t="s">
        <v>17</v>
      </c>
      <c r="E454" s="2" t="s">
        <v>8</v>
      </c>
      <c r="F454" s="16"/>
      <c r="G454" s="16"/>
      <c r="H454" s="16">
        <f>VLOOKUP(B:B,'[1]Master Sheet'!$B:$H,7,0)</f>
        <v>25</v>
      </c>
      <c r="I454" s="16">
        <f>VLOOKUP(B:B,'[1]Master Sheet'!$B:$I,8,0)</f>
        <v>0</v>
      </c>
      <c r="J454" s="16"/>
      <c r="K454" s="3" t="s">
        <v>2974</v>
      </c>
      <c r="L454" s="3" t="s">
        <v>3060</v>
      </c>
      <c r="M454" s="3" t="s">
        <v>3058</v>
      </c>
      <c r="N454" s="3"/>
      <c r="O454" s="3"/>
    </row>
    <row r="455" spans="1:15" s="4" customFormat="1">
      <c r="A455" s="2">
        <v>454</v>
      </c>
      <c r="B455" s="3" t="s">
        <v>876</v>
      </c>
      <c r="C455" s="3" t="s">
        <v>877</v>
      </c>
      <c r="D455" s="2" t="s">
        <v>17</v>
      </c>
      <c r="E455" s="2" t="s">
        <v>8</v>
      </c>
      <c r="F455" s="16"/>
      <c r="G455" s="16"/>
      <c r="H455" s="16">
        <f>VLOOKUP(B:B,'[1]Master Sheet'!$B:$H,7,0)</f>
        <v>20</v>
      </c>
      <c r="I455" s="16">
        <f>VLOOKUP(B:B,'[1]Master Sheet'!$B:$I,8,0)</f>
        <v>10</v>
      </c>
      <c r="J455" s="16"/>
      <c r="K455" s="3" t="s">
        <v>2972</v>
      </c>
      <c r="L455" s="3" t="s">
        <v>3057</v>
      </c>
      <c r="M455" s="3" t="s">
        <v>3056</v>
      </c>
      <c r="N455" s="3"/>
      <c r="O455" s="3"/>
    </row>
    <row r="456" spans="1:15" s="4" customFormat="1">
      <c r="A456" s="2">
        <v>455</v>
      </c>
      <c r="B456" s="3" t="s">
        <v>884</v>
      </c>
      <c r="C456" s="3" t="s">
        <v>885</v>
      </c>
      <c r="D456" s="2" t="s">
        <v>17</v>
      </c>
      <c r="E456" s="2" t="s">
        <v>8</v>
      </c>
      <c r="F456" s="16"/>
      <c r="G456" s="16"/>
      <c r="H456" s="16">
        <f>VLOOKUP(B:B,'[1]Master Sheet'!$B:$H,7,0)</f>
        <v>2000</v>
      </c>
      <c r="I456" s="16">
        <f>VLOOKUP(B:B,'[1]Master Sheet'!$B:$I,8,0)</f>
        <v>0</v>
      </c>
      <c r="J456" s="16"/>
      <c r="K456" s="3" t="s">
        <v>2963</v>
      </c>
      <c r="L456" s="3" t="s">
        <v>3057</v>
      </c>
      <c r="M456" s="3" t="s">
        <v>3058</v>
      </c>
      <c r="N456" s="3"/>
      <c r="O456" s="3"/>
    </row>
    <row r="457" spans="1:15" s="4" customFormat="1">
      <c r="A457" s="2">
        <v>456</v>
      </c>
      <c r="B457" s="3" t="s">
        <v>886</v>
      </c>
      <c r="C457" s="3" t="s">
        <v>887</v>
      </c>
      <c r="D457" s="2" t="s">
        <v>7</v>
      </c>
      <c r="E457" s="2" t="s">
        <v>8</v>
      </c>
      <c r="F457" s="16"/>
      <c r="G457" s="16"/>
      <c r="H457" s="16">
        <f>VLOOKUP(B:B,'[1]Master Sheet'!$B:$H,7,0)</f>
        <v>0</v>
      </c>
      <c r="I457" s="16">
        <f>VLOOKUP(B:B,'[1]Master Sheet'!$B:$I,8,0)</f>
        <v>0</v>
      </c>
      <c r="J457" s="16"/>
      <c r="K457" s="3" t="s">
        <v>2972</v>
      </c>
      <c r="L457" s="3" t="s">
        <v>3057</v>
      </c>
      <c r="M457" s="3" t="s">
        <v>3058</v>
      </c>
      <c r="N457" s="3"/>
      <c r="O457" s="3"/>
    </row>
    <row r="458" spans="1:15" s="4" customFormat="1">
      <c r="A458" s="2">
        <v>457</v>
      </c>
      <c r="B458" s="3" t="s">
        <v>888</v>
      </c>
      <c r="C458" s="3" t="s">
        <v>889</v>
      </c>
      <c r="D458" s="2" t="s">
        <v>7</v>
      </c>
      <c r="E458" s="2" t="s">
        <v>8</v>
      </c>
      <c r="F458" s="16">
        <v>5040</v>
      </c>
      <c r="G458" s="16"/>
      <c r="H458" s="16">
        <f>VLOOKUP(B:B,'[1]Master Sheet'!$B:$H,7,0)</f>
        <v>1280</v>
      </c>
      <c r="I458" s="16">
        <f>VLOOKUP(B:B,'[1]Master Sheet'!$B:$I,8,0)</f>
        <v>0</v>
      </c>
      <c r="J458" s="16"/>
      <c r="K458" s="3" t="s">
        <v>2972</v>
      </c>
      <c r="L458" s="3" t="s">
        <v>3057</v>
      </c>
      <c r="M458" s="3" t="s">
        <v>3058</v>
      </c>
      <c r="N458" s="3"/>
      <c r="O458" s="3"/>
    </row>
    <row r="459" spans="1:15" s="4" customFormat="1">
      <c r="A459" s="2">
        <v>458</v>
      </c>
      <c r="B459" s="3" t="s">
        <v>894</v>
      </c>
      <c r="C459" s="3" t="s">
        <v>895</v>
      </c>
      <c r="D459" s="2" t="s">
        <v>17</v>
      </c>
      <c r="E459" s="2" t="s">
        <v>8</v>
      </c>
      <c r="F459" s="16"/>
      <c r="G459" s="16"/>
      <c r="H459" s="16">
        <f>VLOOKUP(B:B,'[1]Master Sheet'!$B:$H,7,0)</f>
        <v>1000</v>
      </c>
      <c r="I459" s="16">
        <f>VLOOKUP(B:B,'[1]Master Sheet'!$B:$I,8,0)</f>
        <v>0</v>
      </c>
      <c r="J459" s="16"/>
      <c r="K459" s="3" t="s">
        <v>2972</v>
      </c>
      <c r="L459" s="3" t="s">
        <v>3057</v>
      </c>
      <c r="M459" s="3" t="s">
        <v>3058</v>
      </c>
      <c r="N459" s="3"/>
      <c r="O459" s="3"/>
    </row>
    <row r="460" spans="1:15" s="4" customFormat="1">
      <c r="A460" s="2">
        <v>459</v>
      </c>
      <c r="B460" s="3" t="s">
        <v>900</v>
      </c>
      <c r="C460" s="3" t="s">
        <v>901</v>
      </c>
      <c r="D460" s="2" t="s">
        <v>20</v>
      </c>
      <c r="E460" s="2" t="s">
        <v>8</v>
      </c>
      <c r="F460" s="16"/>
      <c r="G460" s="16"/>
      <c r="H460" s="16">
        <f>VLOOKUP(B:B,'[1]Master Sheet'!$B:$H,7,0)</f>
        <v>5</v>
      </c>
      <c r="I460" s="16">
        <f>VLOOKUP(B:B,'[1]Master Sheet'!$B:$I,8,0)</f>
        <v>0</v>
      </c>
      <c r="J460" s="16"/>
      <c r="K460" s="3" t="s">
        <v>2972</v>
      </c>
      <c r="L460" s="3" t="s">
        <v>3057</v>
      </c>
      <c r="M460" s="3" t="s">
        <v>3058</v>
      </c>
      <c r="N460" s="3"/>
      <c r="O460" s="3"/>
    </row>
    <row r="461" spans="1:15" s="4" customFormat="1">
      <c r="A461" s="2">
        <v>460</v>
      </c>
      <c r="B461" s="3" t="s">
        <v>904</v>
      </c>
      <c r="C461" s="3" t="s">
        <v>905</v>
      </c>
      <c r="D461" s="2" t="s">
        <v>17</v>
      </c>
      <c r="E461" s="2" t="s">
        <v>8</v>
      </c>
      <c r="F461" s="16"/>
      <c r="G461" s="16"/>
      <c r="H461" s="16">
        <f>VLOOKUP(B:B,'[1]Master Sheet'!$B:$H,7,0)</f>
        <v>4000</v>
      </c>
      <c r="I461" s="16">
        <f>VLOOKUP(B:B,'[1]Master Sheet'!$B:$I,8,0)</f>
        <v>3000</v>
      </c>
      <c r="J461" s="16"/>
      <c r="K461" s="3" t="s">
        <v>2974</v>
      </c>
      <c r="L461" s="3" t="s">
        <v>3057</v>
      </c>
      <c r="M461" s="3" t="s">
        <v>3056</v>
      </c>
      <c r="N461" s="3"/>
      <c r="O461" s="3"/>
    </row>
    <row r="462" spans="1:15" s="4" customFormat="1">
      <c r="A462" s="2">
        <v>461</v>
      </c>
      <c r="B462" s="3" t="s">
        <v>906</v>
      </c>
      <c r="C462" s="3" t="s">
        <v>907</v>
      </c>
      <c r="D462" s="2" t="s">
        <v>17</v>
      </c>
      <c r="E462" s="2" t="s">
        <v>8</v>
      </c>
      <c r="F462" s="16"/>
      <c r="G462" s="16"/>
      <c r="H462" s="16">
        <f>VLOOKUP(B:B,'[1]Master Sheet'!$B:$H,7,0)</f>
        <v>60</v>
      </c>
      <c r="I462" s="16">
        <f>VLOOKUP(B:B,'[1]Master Sheet'!$B:$I,8,0)</f>
        <v>0</v>
      </c>
      <c r="J462" s="16"/>
      <c r="K462" s="3" t="s">
        <v>2972</v>
      </c>
      <c r="L462" s="3" t="s">
        <v>3057</v>
      </c>
      <c r="M462" s="3" t="s">
        <v>3056</v>
      </c>
      <c r="N462" s="3"/>
      <c r="O462" s="3"/>
    </row>
    <row r="463" spans="1:15" s="4" customFormat="1">
      <c r="A463" s="2">
        <v>462</v>
      </c>
      <c r="B463" s="3" t="s">
        <v>910</v>
      </c>
      <c r="C463" s="3" t="s">
        <v>911</v>
      </c>
      <c r="D463" s="2" t="s">
        <v>17</v>
      </c>
      <c r="E463" s="2" t="s">
        <v>8</v>
      </c>
      <c r="F463" s="16"/>
      <c r="G463" s="16"/>
      <c r="H463" s="16">
        <f>VLOOKUP(B:B,'[1]Master Sheet'!$B:$H,7,0)</f>
        <v>100</v>
      </c>
      <c r="I463" s="16">
        <f>VLOOKUP(B:B,'[1]Master Sheet'!$B:$I,8,0)</f>
        <v>0</v>
      </c>
      <c r="J463" s="16"/>
      <c r="K463" s="3" t="s">
        <v>2991</v>
      </c>
      <c r="L463" s="3" t="s">
        <v>3057</v>
      </c>
      <c r="M463" s="3" t="s">
        <v>3058</v>
      </c>
      <c r="N463" s="3"/>
      <c r="O463" s="3"/>
    </row>
    <row r="464" spans="1:15" s="4" customFormat="1">
      <c r="A464" s="2">
        <v>463</v>
      </c>
      <c r="B464" s="3" t="s">
        <v>912</v>
      </c>
      <c r="C464" s="3" t="s">
        <v>913</v>
      </c>
      <c r="D464" s="2" t="s">
        <v>20</v>
      </c>
      <c r="E464" s="2" t="s">
        <v>8</v>
      </c>
      <c r="F464" s="16"/>
      <c r="G464" s="16"/>
      <c r="H464" s="16">
        <f>VLOOKUP(B:B,'[1]Master Sheet'!$B:$H,7,0)</f>
        <v>0</v>
      </c>
      <c r="I464" s="16">
        <f>VLOOKUP(B:B,'[1]Master Sheet'!$B:$I,8,0)</f>
        <v>0</v>
      </c>
      <c r="J464" s="16"/>
      <c r="K464" s="3" t="s">
        <v>2972</v>
      </c>
      <c r="L464" s="3" t="s">
        <v>3057</v>
      </c>
      <c r="M464" s="3" t="s">
        <v>3056</v>
      </c>
      <c r="N464" s="3"/>
      <c r="O464" s="3"/>
    </row>
    <row r="465" spans="1:15" s="4" customFormat="1">
      <c r="A465" s="2">
        <v>464</v>
      </c>
      <c r="B465" s="3" t="s">
        <v>914</v>
      </c>
      <c r="C465" s="3" t="s">
        <v>915</v>
      </c>
      <c r="D465" s="2" t="s">
        <v>20</v>
      </c>
      <c r="E465" s="2" t="s">
        <v>8</v>
      </c>
      <c r="F465" s="16"/>
      <c r="G465" s="16"/>
      <c r="H465" s="16">
        <f>VLOOKUP(B:B,'[1]Master Sheet'!$B:$H,7,0)</f>
        <v>120</v>
      </c>
      <c r="I465" s="16">
        <f>VLOOKUP(B:B,'[1]Master Sheet'!$B:$I,8,0)</f>
        <v>0</v>
      </c>
      <c r="J465" s="16"/>
      <c r="K465" s="3" t="s">
        <v>2972</v>
      </c>
      <c r="L465" s="3" t="s">
        <v>3057</v>
      </c>
      <c r="M465" s="3" t="s">
        <v>3056</v>
      </c>
      <c r="N465" s="3"/>
      <c r="O465" s="3"/>
    </row>
    <row r="466" spans="1:15" s="4" customFormat="1">
      <c r="A466" s="2">
        <v>465</v>
      </c>
      <c r="B466" s="3" t="s">
        <v>916</v>
      </c>
      <c r="C466" s="3" t="s">
        <v>917</v>
      </c>
      <c r="D466" s="2" t="s">
        <v>20</v>
      </c>
      <c r="E466" s="2" t="s">
        <v>8</v>
      </c>
      <c r="F466" s="16"/>
      <c r="G466" s="16"/>
      <c r="H466" s="16">
        <f>VLOOKUP(B:B,'[1]Master Sheet'!$B:$H,7,0)</f>
        <v>0</v>
      </c>
      <c r="I466" s="16">
        <f>VLOOKUP(B:B,'[1]Master Sheet'!$B:$I,8,0)</f>
        <v>0</v>
      </c>
      <c r="J466" s="16"/>
      <c r="K466" s="3" t="s">
        <v>2972</v>
      </c>
      <c r="L466" s="3" t="s">
        <v>3057</v>
      </c>
      <c r="M466" s="3" t="s">
        <v>3056</v>
      </c>
      <c r="N466" s="3"/>
      <c r="O466" s="3"/>
    </row>
    <row r="467" spans="1:15" s="4" customFormat="1">
      <c r="A467" s="2">
        <v>466</v>
      </c>
      <c r="B467" s="3" t="s">
        <v>918</v>
      </c>
      <c r="C467" s="3" t="s">
        <v>919</v>
      </c>
      <c r="D467" s="2" t="s">
        <v>20</v>
      </c>
      <c r="E467" s="2" t="s">
        <v>8</v>
      </c>
      <c r="F467" s="16"/>
      <c r="G467" s="16"/>
      <c r="H467" s="16">
        <f>VLOOKUP(B:B,'[1]Master Sheet'!$B:$H,7,0)</f>
        <v>1000</v>
      </c>
      <c r="I467" s="16">
        <f>VLOOKUP(B:B,'[1]Master Sheet'!$B:$I,8,0)</f>
        <v>1250</v>
      </c>
      <c r="J467" s="16"/>
      <c r="K467" s="3" t="s">
        <v>2972</v>
      </c>
      <c r="L467" s="3" t="s">
        <v>3057</v>
      </c>
      <c r="M467" s="3" t="s">
        <v>3056</v>
      </c>
      <c r="N467" s="3"/>
      <c r="O467" s="3"/>
    </row>
    <row r="468" spans="1:15" s="4" customFormat="1">
      <c r="A468" s="2">
        <v>467</v>
      </c>
      <c r="B468" s="3" t="s">
        <v>922</v>
      </c>
      <c r="C468" s="3" t="s">
        <v>923</v>
      </c>
      <c r="D468" s="2" t="s">
        <v>20</v>
      </c>
      <c r="E468" s="2" t="s">
        <v>8</v>
      </c>
      <c r="F468" s="16"/>
      <c r="G468" s="16"/>
      <c r="H468" s="16">
        <f>VLOOKUP(B:B,'[1]Master Sheet'!$B:$H,7,0)</f>
        <v>100</v>
      </c>
      <c r="I468" s="16">
        <f>VLOOKUP(B:B,'[1]Master Sheet'!$B:$I,8,0)</f>
        <v>0</v>
      </c>
      <c r="J468" s="16"/>
      <c r="K468" s="3" t="s">
        <v>2972</v>
      </c>
      <c r="L468" s="3" t="s">
        <v>3057</v>
      </c>
      <c r="M468" s="3" t="s">
        <v>3056</v>
      </c>
      <c r="N468" s="3"/>
      <c r="O468" s="3"/>
    </row>
    <row r="469" spans="1:15" s="4" customFormat="1">
      <c r="A469" s="2">
        <v>468</v>
      </c>
      <c r="B469" s="3" t="s">
        <v>924</v>
      </c>
      <c r="C469" s="3" t="s">
        <v>925</v>
      </c>
      <c r="D469" s="2" t="s">
        <v>20</v>
      </c>
      <c r="E469" s="2" t="s">
        <v>8</v>
      </c>
      <c r="F469" s="16"/>
      <c r="G469" s="16"/>
      <c r="H469" s="16">
        <f>VLOOKUP(B:B,'[1]Master Sheet'!$B:$H,7,0)</f>
        <v>120</v>
      </c>
      <c r="I469" s="16">
        <f>VLOOKUP(B:B,'[1]Master Sheet'!$B:$I,8,0)</f>
        <v>0</v>
      </c>
      <c r="J469" s="16"/>
      <c r="K469" s="3" t="s">
        <v>2972</v>
      </c>
      <c r="L469" s="3" t="s">
        <v>3057</v>
      </c>
      <c r="M469" s="3" t="s">
        <v>3056</v>
      </c>
      <c r="N469" s="3"/>
      <c r="O469" s="3"/>
    </row>
    <row r="470" spans="1:15" s="4" customFormat="1">
      <c r="A470" s="2">
        <v>469</v>
      </c>
      <c r="B470" s="3" t="s">
        <v>928</v>
      </c>
      <c r="C470" s="3" t="s">
        <v>929</v>
      </c>
      <c r="D470" s="2" t="s">
        <v>20</v>
      </c>
      <c r="E470" s="2" t="s">
        <v>8</v>
      </c>
      <c r="F470" s="16"/>
      <c r="G470" s="16"/>
      <c r="H470" s="16">
        <f>VLOOKUP(B:B,'[1]Master Sheet'!$B:$H,7,0)</f>
        <v>250</v>
      </c>
      <c r="I470" s="16">
        <f>VLOOKUP(B:B,'[1]Master Sheet'!$B:$I,8,0)</f>
        <v>0</v>
      </c>
      <c r="J470" s="16"/>
      <c r="K470" s="3" t="s">
        <v>2972</v>
      </c>
      <c r="L470" s="3" t="s">
        <v>3057</v>
      </c>
      <c r="M470" s="3" t="s">
        <v>3056</v>
      </c>
      <c r="N470" s="3"/>
      <c r="O470" s="3"/>
    </row>
    <row r="471" spans="1:15" s="4" customFormat="1">
      <c r="A471" s="2">
        <v>470</v>
      </c>
      <c r="B471" s="3" t="s">
        <v>930</v>
      </c>
      <c r="C471" s="3" t="s">
        <v>931</v>
      </c>
      <c r="D471" s="2" t="s">
        <v>20</v>
      </c>
      <c r="E471" s="2" t="s">
        <v>8</v>
      </c>
      <c r="F471" s="16"/>
      <c r="G471" s="16"/>
      <c r="H471" s="16">
        <f>VLOOKUP(B:B,'[1]Master Sheet'!$B:$H,7,0)</f>
        <v>0</v>
      </c>
      <c r="I471" s="16">
        <f>VLOOKUP(B:B,'[1]Master Sheet'!$B:$I,8,0)</f>
        <v>0</v>
      </c>
      <c r="J471" s="16"/>
      <c r="K471" s="3" t="s">
        <v>2972</v>
      </c>
      <c r="L471" s="3" t="s">
        <v>3057</v>
      </c>
      <c r="M471" s="3" t="s">
        <v>3056</v>
      </c>
      <c r="N471" s="3"/>
      <c r="O471" s="3"/>
    </row>
    <row r="472" spans="1:15" s="4" customFormat="1">
      <c r="A472" s="2">
        <v>471</v>
      </c>
      <c r="B472" s="3" t="s">
        <v>932</v>
      </c>
      <c r="C472" s="3" t="s">
        <v>933</v>
      </c>
      <c r="D472" s="2" t="s">
        <v>20</v>
      </c>
      <c r="E472" s="2" t="s">
        <v>8</v>
      </c>
      <c r="F472" s="16"/>
      <c r="G472" s="16"/>
      <c r="H472" s="16">
        <f>VLOOKUP(B:B,'[1]Master Sheet'!$B:$H,7,0)</f>
        <v>150</v>
      </c>
      <c r="I472" s="16">
        <f>VLOOKUP(B:B,'[1]Master Sheet'!$B:$I,8,0)</f>
        <v>0</v>
      </c>
      <c r="J472" s="16"/>
      <c r="K472" s="3" t="s">
        <v>2972</v>
      </c>
      <c r="L472" s="3" t="s">
        <v>3057</v>
      </c>
      <c r="M472" s="3" t="s">
        <v>3056</v>
      </c>
      <c r="N472" s="3"/>
      <c r="O472" s="3"/>
    </row>
    <row r="473" spans="1:15" s="4" customFormat="1">
      <c r="A473" s="2">
        <v>472</v>
      </c>
      <c r="B473" s="3" t="s">
        <v>934</v>
      </c>
      <c r="C473" s="3" t="s">
        <v>935</v>
      </c>
      <c r="D473" s="2" t="s">
        <v>20</v>
      </c>
      <c r="E473" s="2" t="s">
        <v>8</v>
      </c>
      <c r="F473" s="16"/>
      <c r="G473" s="16"/>
      <c r="H473" s="16">
        <f>VLOOKUP(B:B,'[1]Master Sheet'!$B:$H,7,0)</f>
        <v>100</v>
      </c>
      <c r="I473" s="16">
        <f>VLOOKUP(B:B,'[1]Master Sheet'!$B:$I,8,0)</f>
        <v>0</v>
      </c>
      <c r="J473" s="16"/>
      <c r="K473" s="3" t="s">
        <v>2991</v>
      </c>
      <c r="L473" s="3" t="s">
        <v>3057</v>
      </c>
      <c r="M473" s="3" t="s">
        <v>3056</v>
      </c>
      <c r="N473" s="3"/>
      <c r="O473" s="3"/>
    </row>
    <row r="474" spans="1:15" s="4" customFormat="1">
      <c r="A474" s="2">
        <v>473</v>
      </c>
      <c r="B474" s="3" t="s">
        <v>1106</v>
      </c>
      <c r="C474" s="3" t="s">
        <v>1107</v>
      </c>
      <c r="D474" s="2" t="s">
        <v>20</v>
      </c>
      <c r="E474" s="2" t="s">
        <v>8</v>
      </c>
      <c r="F474" s="16"/>
      <c r="G474" s="16"/>
      <c r="H474" s="16">
        <f>VLOOKUP(B:B,'[1]Master Sheet'!$B:$H,7,0)</f>
        <v>0</v>
      </c>
      <c r="I474" s="16">
        <f>VLOOKUP(B:B,'[1]Master Sheet'!$B:$I,8,0)</f>
        <v>0</v>
      </c>
      <c r="J474" s="16"/>
      <c r="K474" s="3" t="s">
        <v>2965</v>
      </c>
      <c r="L474" s="3" t="s">
        <v>3055</v>
      </c>
      <c r="M474" s="3" t="s">
        <v>3056</v>
      </c>
      <c r="N474" s="3"/>
      <c r="O474" s="3"/>
    </row>
    <row r="475" spans="1:15" s="4" customFormat="1">
      <c r="A475" s="2">
        <v>474</v>
      </c>
      <c r="B475" s="3" t="s">
        <v>1108</v>
      </c>
      <c r="C475" s="3" t="s">
        <v>1109</v>
      </c>
      <c r="D475" s="2" t="s">
        <v>17</v>
      </c>
      <c r="E475" s="2" t="s">
        <v>8</v>
      </c>
      <c r="F475" s="16"/>
      <c r="G475" s="16"/>
      <c r="H475" s="16">
        <f>VLOOKUP(B:B,'[1]Master Sheet'!$B:$H,7,0)</f>
        <v>250</v>
      </c>
      <c r="I475" s="16">
        <f>VLOOKUP(B:B,'[1]Master Sheet'!$B:$I,8,0)</f>
        <v>500</v>
      </c>
      <c r="J475" s="16"/>
      <c r="K475" s="3" t="s">
        <v>2972</v>
      </c>
      <c r="L475" s="3" t="s">
        <v>3055</v>
      </c>
      <c r="M475" s="3" t="s">
        <v>3056</v>
      </c>
      <c r="N475" s="3"/>
      <c r="O475" s="3"/>
    </row>
    <row r="476" spans="1:15" s="4" customFormat="1">
      <c r="A476" s="2">
        <v>475</v>
      </c>
      <c r="B476" s="3" t="s">
        <v>936</v>
      </c>
      <c r="C476" s="3" t="s">
        <v>937</v>
      </c>
      <c r="D476" s="2" t="s">
        <v>20</v>
      </c>
      <c r="E476" s="2" t="s">
        <v>8</v>
      </c>
      <c r="F476" s="16"/>
      <c r="G476" s="16"/>
      <c r="H476" s="16">
        <f>VLOOKUP(B:B,'[1]Master Sheet'!$B:$H,7,0)</f>
        <v>120</v>
      </c>
      <c r="I476" s="16">
        <f>VLOOKUP(B:B,'[1]Master Sheet'!$B:$I,8,0)</f>
        <v>0</v>
      </c>
      <c r="J476" s="16"/>
      <c r="K476" s="3" t="s">
        <v>2972</v>
      </c>
      <c r="L476" s="3" t="s">
        <v>3057</v>
      </c>
      <c r="M476" s="3" t="s">
        <v>3056</v>
      </c>
      <c r="N476" s="3"/>
      <c r="O476" s="3"/>
    </row>
    <row r="477" spans="1:15" s="4" customFormat="1">
      <c r="A477" s="2">
        <v>476</v>
      </c>
      <c r="B477" s="3" t="s">
        <v>948</v>
      </c>
      <c r="C477" s="3" t="s">
        <v>949</v>
      </c>
      <c r="D477" s="2" t="s">
        <v>148</v>
      </c>
      <c r="E477" s="2" t="s">
        <v>8</v>
      </c>
      <c r="F477" s="16"/>
      <c r="G477" s="16"/>
      <c r="H477" s="16">
        <f>VLOOKUP(B:B,'[1]Master Sheet'!$B:$H,7,0)</f>
        <v>0</v>
      </c>
      <c r="I477" s="16">
        <f>VLOOKUP(B:B,'[1]Master Sheet'!$B:$I,8,0)</f>
        <v>0</v>
      </c>
      <c r="J477" s="16"/>
      <c r="K477" s="3" t="s">
        <v>2991</v>
      </c>
      <c r="L477" s="3" t="s">
        <v>3057</v>
      </c>
      <c r="M477" s="3" t="s">
        <v>3056</v>
      </c>
      <c r="N477" s="3"/>
      <c r="O477" s="3"/>
    </row>
    <row r="478" spans="1:15" s="4" customFormat="1">
      <c r="A478" s="2">
        <v>477</v>
      </c>
      <c r="B478" s="3" t="s">
        <v>952</v>
      </c>
      <c r="C478" s="3" t="s">
        <v>953</v>
      </c>
      <c r="D478" s="2" t="s">
        <v>17</v>
      </c>
      <c r="E478" s="2" t="s">
        <v>8</v>
      </c>
      <c r="F478" s="16"/>
      <c r="G478" s="16"/>
      <c r="H478" s="16">
        <f>VLOOKUP(B:B,'[1]Master Sheet'!$B:$H,7,0)</f>
        <v>0</v>
      </c>
      <c r="I478" s="16">
        <f>VLOOKUP(B:B,'[1]Master Sheet'!$B:$I,8,0)</f>
        <v>0</v>
      </c>
      <c r="J478" s="16"/>
      <c r="K478" s="3" t="s">
        <v>2972</v>
      </c>
      <c r="L478" s="3" t="s">
        <v>3057</v>
      </c>
      <c r="M478" s="3" t="s">
        <v>3058</v>
      </c>
      <c r="N478" s="3"/>
      <c r="O478" s="3"/>
    </row>
    <row r="479" spans="1:15" s="4" customFormat="1">
      <c r="A479" s="2">
        <v>478</v>
      </c>
      <c r="B479" s="3" t="s">
        <v>954</v>
      </c>
      <c r="C479" s="3" t="s">
        <v>955</v>
      </c>
      <c r="D479" s="2" t="s">
        <v>17</v>
      </c>
      <c r="E479" s="2" t="s">
        <v>8</v>
      </c>
      <c r="F479" s="16"/>
      <c r="G479" s="16"/>
      <c r="H479" s="16">
        <f>VLOOKUP(B:B,'[1]Master Sheet'!$B:$H,7,0)</f>
        <v>500</v>
      </c>
      <c r="I479" s="16">
        <f>VLOOKUP(B:B,'[1]Master Sheet'!$B:$I,8,0)</f>
        <v>0</v>
      </c>
      <c r="J479" s="16"/>
      <c r="K479" s="3" t="s">
        <v>2972</v>
      </c>
      <c r="L479" s="3" t="s">
        <v>3057</v>
      </c>
      <c r="M479" s="3" t="s">
        <v>3058</v>
      </c>
      <c r="N479" s="3"/>
      <c r="O479" s="3"/>
    </row>
    <row r="480" spans="1:15" s="4" customFormat="1">
      <c r="A480" s="2">
        <v>479</v>
      </c>
      <c r="B480" s="3" t="s">
        <v>956</v>
      </c>
      <c r="C480" s="3" t="s">
        <v>957</v>
      </c>
      <c r="D480" s="2" t="s">
        <v>17</v>
      </c>
      <c r="E480" s="2" t="s">
        <v>8</v>
      </c>
      <c r="F480" s="16"/>
      <c r="G480" s="16"/>
      <c r="H480" s="16">
        <f>VLOOKUP(B:B,'[1]Master Sheet'!$B:$H,7,0)</f>
        <v>500</v>
      </c>
      <c r="I480" s="16">
        <f>VLOOKUP(B:B,'[1]Master Sheet'!$B:$I,8,0)</f>
        <v>0</v>
      </c>
      <c r="J480" s="16"/>
      <c r="K480" s="3" t="s">
        <v>2972</v>
      </c>
      <c r="L480" s="3" t="s">
        <v>3057</v>
      </c>
      <c r="M480" s="3" t="s">
        <v>3058</v>
      </c>
      <c r="N480" s="3"/>
      <c r="O480" s="3"/>
    </row>
    <row r="481" spans="1:15" s="4" customFormat="1">
      <c r="A481" s="2">
        <v>480</v>
      </c>
      <c r="B481" s="3" t="s">
        <v>958</v>
      </c>
      <c r="C481" s="3" t="s">
        <v>959</v>
      </c>
      <c r="D481" s="2" t="s">
        <v>17</v>
      </c>
      <c r="E481" s="2" t="s">
        <v>8</v>
      </c>
      <c r="F481" s="16">
        <v>1000</v>
      </c>
      <c r="G481" s="16"/>
      <c r="H481" s="16">
        <f>VLOOKUP(B:B,'[1]Master Sheet'!$B:$H,7,0)</f>
        <v>750</v>
      </c>
      <c r="I481" s="16">
        <f>VLOOKUP(B:B,'[1]Master Sheet'!$B:$I,8,0)</f>
        <v>0</v>
      </c>
      <c r="J481" s="16"/>
      <c r="K481" s="3" t="s">
        <v>2972</v>
      </c>
      <c r="L481" s="3" t="s">
        <v>3057</v>
      </c>
      <c r="M481" s="3" t="s">
        <v>3058</v>
      </c>
      <c r="N481" s="3"/>
      <c r="O481" s="3"/>
    </row>
    <row r="482" spans="1:15" s="4" customFormat="1">
      <c r="A482" s="2">
        <v>481</v>
      </c>
      <c r="B482" s="3" t="s">
        <v>960</v>
      </c>
      <c r="C482" s="3" t="s">
        <v>961</v>
      </c>
      <c r="D482" s="2" t="s">
        <v>7</v>
      </c>
      <c r="E482" s="2" t="s">
        <v>8</v>
      </c>
      <c r="F482" s="16"/>
      <c r="G482" s="16"/>
      <c r="H482" s="16">
        <f>VLOOKUP(B:B,'[1]Master Sheet'!$B:$H,7,0)</f>
        <v>720</v>
      </c>
      <c r="I482" s="16">
        <f>VLOOKUP(B:B,'[1]Master Sheet'!$B:$I,8,0)</f>
        <v>900</v>
      </c>
      <c r="J482" s="16"/>
      <c r="K482" s="3" t="s">
        <v>2972</v>
      </c>
      <c r="L482" s="3" t="s">
        <v>3057</v>
      </c>
      <c r="M482" s="3" t="s">
        <v>3058</v>
      </c>
      <c r="N482" s="3"/>
      <c r="O482" s="3"/>
    </row>
    <row r="483" spans="1:15" s="4" customFormat="1">
      <c r="A483" s="2">
        <v>482</v>
      </c>
      <c r="B483" s="3" t="s">
        <v>962</v>
      </c>
      <c r="C483" s="3" t="s">
        <v>963</v>
      </c>
      <c r="D483" s="2" t="s">
        <v>17</v>
      </c>
      <c r="E483" s="2" t="s">
        <v>8</v>
      </c>
      <c r="F483" s="16"/>
      <c r="G483" s="16"/>
      <c r="H483" s="16">
        <f>VLOOKUP(B:B,'[1]Master Sheet'!$B:$H,7,0)</f>
        <v>1000</v>
      </c>
      <c r="I483" s="16">
        <f>VLOOKUP(B:B,'[1]Master Sheet'!$B:$I,8,0)</f>
        <v>0</v>
      </c>
      <c r="J483" s="16"/>
      <c r="K483" s="3" t="s">
        <v>2972</v>
      </c>
      <c r="L483" s="3" t="s">
        <v>3057</v>
      </c>
      <c r="M483" s="3" t="s">
        <v>3058</v>
      </c>
      <c r="N483" s="3"/>
      <c r="O483" s="3"/>
    </row>
    <row r="484" spans="1:15" s="4" customFormat="1">
      <c r="A484" s="2">
        <v>483</v>
      </c>
      <c r="B484" s="3" t="s">
        <v>974</v>
      </c>
      <c r="C484" s="3" t="s">
        <v>975</v>
      </c>
      <c r="D484" s="2" t="s">
        <v>17</v>
      </c>
      <c r="E484" s="2" t="s">
        <v>8</v>
      </c>
      <c r="F484" s="16"/>
      <c r="G484" s="16"/>
      <c r="H484" s="16">
        <f>VLOOKUP(B:B,'[1]Master Sheet'!$B:$H,7,0)</f>
        <v>150</v>
      </c>
      <c r="I484" s="16">
        <f>VLOOKUP(B:B,'[1]Master Sheet'!$B:$I,8,0)</f>
        <v>0</v>
      </c>
      <c r="J484" s="16"/>
      <c r="K484" s="3" t="s">
        <v>2972</v>
      </c>
      <c r="L484" s="3" t="s">
        <v>3057</v>
      </c>
      <c r="M484" s="3" t="s">
        <v>3058</v>
      </c>
      <c r="N484" s="3"/>
      <c r="O484" s="3"/>
    </row>
    <row r="485" spans="1:15" s="4" customFormat="1">
      <c r="A485" s="2">
        <v>484</v>
      </c>
      <c r="B485" s="3" t="s">
        <v>976</v>
      </c>
      <c r="C485" s="3" t="s">
        <v>977</v>
      </c>
      <c r="D485" s="2" t="s">
        <v>17</v>
      </c>
      <c r="E485" s="2" t="s">
        <v>8</v>
      </c>
      <c r="F485" s="16"/>
      <c r="G485" s="16"/>
      <c r="H485" s="16">
        <f>VLOOKUP(B:B,'[1]Master Sheet'!$B:$H,7,0)</f>
        <v>150</v>
      </c>
      <c r="I485" s="16">
        <f>VLOOKUP(B:B,'[1]Master Sheet'!$B:$I,8,0)</f>
        <v>0</v>
      </c>
      <c r="J485" s="16"/>
      <c r="K485" s="3" t="s">
        <v>2972</v>
      </c>
      <c r="L485" s="3" t="s">
        <v>3057</v>
      </c>
      <c r="M485" s="3" t="s">
        <v>3058</v>
      </c>
      <c r="N485" s="3"/>
      <c r="O485" s="3"/>
    </row>
    <row r="486" spans="1:15" s="4" customFormat="1">
      <c r="A486" s="2">
        <v>485</v>
      </c>
      <c r="B486" s="3" t="s">
        <v>978</v>
      </c>
      <c r="C486" s="3" t="s">
        <v>979</v>
      </c>
      <c r="D486" s="2" t="s">
        <v>17</v>
      </c>
      <c r="E486" s="2" t="s">
        <v>8</v>
      </c>
      <c r="F486" s="16"/>
      <c r="G486" s="16"/>
      <c r="H486" s="16">
        <f>VLOOKUP(B:B,'[1]Master Sheet'!$B:$H,7,0)</f>
        <v>250</v>
      </c>
      <c r="I486" s="16">
        <f>VLOOKUP(B:B,'[1]Master Sheet'!$B:$I,8,0)</f>
        <v>0</v>
      </c>
      <c r="J486" s="16"/>
      <c r="K486" s="3" t="s">
        <v>2972</v>
      </c>
      <c r="L486" s="3" t="s">
        <v>3057</v>
      </c>
      <c r="M486" s="3" t="s">
        <v>3058</v>
      </c>
      <c r="N486" s="3"/>
      <c r="O486" s="3"/>
    </row>
    <row r="487" spans="1:15" s="4" customFormat="1">
      <c r="A487" s="2">
        <v>486</v>
      </c>
      <c r="B487" s="3" t="s">
        <v>982</v>
      </c>
      <c r="C487" s="3" t="s">
        <v>983</v>
      </c>
      <c r="D487" s="2" t="s">
        <v>17</v>
      </c>
      <c r="E487" s="2" t="s">
        <v>8</v>
      </c>
      <c r="F487" s="16"/>
      <c r="G487" s="16"/>
      <c r="H487" s="16">
        <f>VLOOKUP(B:B,'[1]Master Sheet'!$B:$H,7,0)</f>
        <v>3000</v>
      </c>
      <c r="I487" s="16">
        <f>VLOOKUP(B:B,'[1]Master Sheet'!$B:$I,8,0)</f>
        <v>0</v>
      </c>
      <c r="J487" s="16"/>
      <c r="K487" s="3" t="s">
        <v>2991</v>
      </c>
      <c r="L487" s="3" t="s">
        <v>3057</v>
      </c>
      <c r="M487" s="3" t="s">
        <v>3058</v>
      </c>
      <c r="N487" s="3"/>
      <c r="O487" s="3"/>
    </row>
    <row r="488" spans="1:15" s="4" customFormat="1">
      <c r="A488" s="2">
        <v>487</v>
      </c>
      <c r="B488" s="3" t="s">
        <v>1135</v>
      </c>
      <c r="C488" s="3" t="s">
        <v>1136</v>
      </c>
      <c r="D488" s="2" t="s">
        <v>17</v>
      </c>
      <c r="E488" s="2" t="s">
        <v>8</v>
      </c>
      <c r="F488" s="16"/>
      <c r="G488" s="16"/>
      <c r="H488" s="16">
        <f>VLOOKUP(B:B,'[1]Master Sheet'!$B:$H,7,0)</f>
        <v>0</v>
      </c>
      <c r="I488" s="16">
        <f>VLOOKUP(B:B,'[1]Master Sheet'!$B:$I,8,0)</f>
        <v>0</v>
      </c>
      <c r="J488" s="16"/>
      <c r="K488" s="3" t="s">
        <v>2972</v>
      </c>
      <c r="L488" s="3" t="s">
        <v>3055</v>
      </c>
      <c r="M488" s="3" t="s">
        <v>3056</v>
      </c>
      <c r="N488" s="3"/>
      <c r="O488" s="3"/>
    </row>
    <row r="489" spans="1:15" s="4" customFormat="1">
      <c r="A489" s="2">
        <v>488</v>
      </c>
      <c r="B489" s="3" t="s">
        <v>1032</v>
      </c>
      <c r="C489" s="3" t="s">
        <v>1033</v>
      </c>
      <c r="D489" s="2" t="s">
        <v>17</v>
      </c>
      <c r="E489" s="2" t="s">
        <v>8</v>
      </c>
      <c r="F489" s="16"/>
      <c r="G489" s="16"/>
      <c r="H489" s="16">
        <f>VLOOKUP(B:B,'[1]Master Sheet'!$B:$H,7,0)</f>
        <v>10</v>
      </c>
      <c r="I489" s="16">
        <f>VLOOKUP(B:B,'[1]Master Sheet'!$B:$I,8,0)</f>
        <v>10</v>
      </c>
      <c r="J489" s="16"/>
      <c r="K489" s="3" t="s">
        <v>2974</v>
      </c>
      <c r="L489" s="3" t="s">
        <v>3057</v>
      </c>
      <c r="M489" s="3" t="s">
        <v>3056</v>
      </c>
      <c r="N489" s="3"/>
      <c r="O489" s="3"/>
    </row>
    <row r="490" spans="1:15" s="4" customFormat="1">
      <c r="A490" s="2">
        <v>489</v>
      </c>
      <c r="B490" s="3" t="s">
        <v>1034</v>
      </c>
      <c r="C490" s="3" t="s">
        <v>1035</v>
      </c>
      <c r="D490" s="2" t="s">
        <v>17</v>
      </c>
      <c r="E490" s="2" t="s">
        <v>8</v>
      </c>
      <c r="F490" s="16"/>
      <c r="G490" s="16"/>
      <c r="H490" s="16">
        <f>VLOOKUP(B:B,'[1]Master Sheet'!$B:$H,7,0)</f>
        <v>500</v>
      </c>
      <c r="I490" s="16">
        <f>VLOOKUP(B:B,'[1]Master Sheet'!$B:$I,8,0)</f>
        <v>0</v>
      </c>
      <c r="J490" s="16"/>
      <c r="K490" s="3" t="s">
        <v>2991</v>
      </c>
      <c r="L490" s="3" t="s">
        <v>3057</v>
      </c>
      <c r="M490" s="3" t="s">
        <v>3056</v>
      </c>
      <c r="N490" s="3"/>
      <c r="O490" s="3"/>
    </row>
    <row r="491" spans="1:15" s="4" customFormat="1">
      <c r="A491" s="2">
        <v>490</v>
      </c>
      <c r="B491" s="3" t="s">
        <v>1036</v>
      </c>
      <c r="C491" s="3" t="s">
        <v>1037</v>
      </c>
      <c r="D491" s="2" t="s">
        <v>17</v>
      </c>
      <c r="E491" s="2" t="s">
        <v>8</v>
      </c>
      <c r="F491" s="16"/>
      <c r="G491" s="16"/>
      <c r="H491" s="16">
        <f>VLOOKUP(B:B,'[1]Master Sheet'!$B:$H,7,0)</f>
        <v>5000</v>
      </c>
      <c r="I491" s="16">
        <f>VLOOKUP(B:B,'[1]Master Sheet'!$B:$I,8,0)</f>
        <v>0</v>
      </c>
      <c r="J491" s="16"/>
      <c r="K491" s="3" t="s">
        <v>2972</v>
      </c>
      <c r="L491" s="3" t="s">
        <v>3057</v>
      </c>
      <c r="M491" s="3" t="s">
        <v>3056</v>
      </c>
      <c r="N491" s="3"/>
      <c r="O491" s="3"/>
    </row>
    <row r="492" spans="1:15" s="4" customFormat="1">
      <c r="A492" s="2">
        <v>491</v>
      </c>
      <c r="B492" s="3" t="s">
        <v>1143</v>
      </c>
      <c r="C492" s="3" t="s">
        <v>1144</v>
      </c>
      <c r="D492" s="2" t="s">
        <v>17</v>
      </c>
      <c r="E492" s="2" t="s">
        <v>8</v>
      </c>
      <c r="F492" s="16"/>
      <c r="G492" s="16"/>
      <c r="H492" s="16">
        <f>VLOOKUP(B:B,'[1]Master Sheet'!$B:$H,7,0)</f>
        <v>0</v>
      </c>
      <c r="I492" s="16">
        <f>VLOOKUP(B:B,'[1]Master Sheet'!$B:$I,8,0)</f>
        <v>0</v>
      </c>
      <c r="J492" s="16"/>
      <c r="K492" s="3" t="s">
        <v>2972</v>
      </c>
      <c r="L492" s="3" t="s">
        <v>3055</v>
      </c>
      <c r="M492" s="3" t="s">
        <v>3056</v>
      </c>
      <c r="N492" s="3"/>
      <c r="O492" s="3"/>
    </row>
    <row r="493" spans="1:15" s="4" customFormat="1">
      <c r="A493" s="2">
        <v>492</v>
      </c>
      <c r="B493" s="3" t="s">
        <v>1145</v>
      </c>
      <c r="C493" s="3" t="s">
        <v>1146</v>
      </c>
      <c r="D493" s="2" t="s">
        <v>17</v>
      </c>
      <c r="E493" s="2" t="s">
        <v>8</v>
      </c>
      <c r="F493" s="16"/>
      <c r="G493" s="16"/>
      <c r="H493" s="16">
        <f>VLOOKUP(B:B,'[1]Master Sheet'!$B:$H,7,0)</f>
        <v>0</v>
      </c>
      <c r="I493" s="16">
        <f>VLOOKUP(B:B,'[1]Master Sheet'!$B:$I,8,0)</f>
        <v>0</v>
      </c>
      <c r="J493" s="16"/>
      <c r="K493" s="3" t="s">
        <v>2972</v>
      </c>
      <c r="L493" s="3" t="s">
        <v>3060</v>
      </c>
      <c r="M493" s="3" t="s">
        <v>3058</v>
      </c>
      <c r="N493" s="3"/>
      <c r="O493" s="3"/>
    </row>
    <row r="494" spans="1:15" s="4" customFormat="1">
      <c r="A494" s="2">
        <v>493</v>
      </c>
      <c r="B494" s="3" t="s">
        <v>1147</v>
      </c>
      <c r="C494" s="3" t="s">
        <v>1148</v>
      </c>
      <c r="D494" s="2" t="s">
        <v>17</v>
      </c>
      <c r="E494" s="2" t="s">
        <v>8</v>
      </c>
      <c r="F494" s="16"/>
      <c r="G494" s="16"/>
      <c r="H494" s="16">
        <f>VLOOKUP(B:B,'[1]Master Sheet'!$B:$H,7,0)</f>
        <v>150</v>
      </c>
      <c r="I494" s="16">
        <f>VLOOKUP(B:B,'[1]Master Sheet'!$B:$I,8,0)</f>
        <v>0</v>
      </c>
      <c r="J494" s="16"/>
      <c r="K494" s="3" t="s">
        <v>2991</v>
      </c>
      <c r="L494" s="3" t="s">
        <v>3060</v>
      </c>
      <c r="M494" s="3" t="s">
        <v>3058</v>
      </c>
      <c r="N494" s="3"/>
      <c r="O494" s="3"/>
    </row>
    <row r="495" spans="1:15" s="4" customFormat="1">
      <c r="A495" s="2">
        <v>494</v>
      </c>
      <c r="B495" s="3" t="s">
        <v>1038</v>
      </c>
      <c r="C495" s="3" t="s">
        <v>1039</v>
      </c>
      <c r="D495" s="2" t="s">
        <v>17</v>
      </c>
      <c r="E495" s="2" t="s">
        <v>8</v>
      </c>
      <c r="F495" s="16"/>
      <c r="G495" s="16"/>
      <c r="H495" s="16">
        <f>VLOOKUP(B:B,'[1]Master Sheet'!$B:$H,7,0)</f>
        <v>3000</v>
      </c>
      <c r="I495" s="16">
        <f>VLOOKUP(B:B,'[1]Master Sheet'!$B:$I,8,0)</f>
        <v>0</v>
      </c>
      <c r="J495" s="16"/>
      <c r="K495" s="3" t="s">
        <v>2972</v>
      </c>
      <c r="L495" s="3" t="s">
        <v>3057</v>
      </c>
      <c r="M495" s="3" t="s">
        <v>3056</v>
      </c>
      <c r="N495" s="3"/>
      <c r="O495" s="3"/>
    </row>
    <row r="496" spans="1:15" s="4" customFormat="1">
      <c r="A496" s="2">
        <v>495</v>
      </c>
      <c r="B496" s="3" t="s">
        <v>1040</v>
      </c>
      <c r="C496" s="3" t="s">
        <v>1041</v>
      </c>
      <c r="D496" s="2" t="s">
        <v>17</v>
      </c>
      <c r="E496" s="2" t="s">
        <v>8</v>
      </c>
      <c r="F496" s="16"/>
      <c r="G496" s="16"/>
      <c r="H496" s="16">
        <f>VLOOKUP(B:B,'[1]Master Sheet'!$B:$H,7,0)</f>
        <v>0</v>
      </c>
      <c r="I496" s="16">
        <f>VLOOKUP(B:B,'[1]Master Sheet'!$B:$I,8,0)</f>
        <v>0</v>
      </c>
      <c r="J496" s="16"/>
      <c r="K496" s="3" t="s">
        <v>2972</v>
      </c>
      <c r="L496" s="3" t="s">
        <v>3057</v>
      </c>
      <c r="M496" s="3" t="s">
        <v>3056</v>
      </c>
      <c r="N496" s="3"/>
      <c r="O496" s="3"/>
    </row>
    <row r="497" spans="1:15" s="4" customFormat="1">
      <c r="A497" s="2">
        <v>496</v>
      </c>
      <c r="B497" s="3" t="s">
        <v>1042</v>
      </c>
      <c r="C497" s="3" t="s">
        <v>1043</v>
      </c>
      <c r="D497" s="2" t="s">
        <v>17</v>
      </c>
      <c r="E497" s="2" t="s">
        <v>8</v>
      </c>
      <c r="F497" s="16"/>
      <c r="G497" s="16"/>
      <c r="H497" s="16">
        <f>VLOOKUP(B:B,'[1]Master Sheet'!$B:$H,7,0)</f>
        <v>4000</v>
      </c>
      <c r="I497" s="16">
        <f>VLOOKUP(B:B,'[1]Master Sheet'!$B:$I,8,0)</f>
        <v>0</v>
      </c>
      <c r="J497" s="16"/>
      <c r="K497" s="3" t="s">
        <v>2972</v>
      </c>
      <c r="L497" s="3" t="s">
        <v>3057</v>
      </c>
      <c r="M497" s="3" t="s">
        <v>3056</v>
      </c>
      <c r="N497" s="3"/>
      <c r="O497" s="3"/>
    </row>
    <row r="498" spans="1:15" s="4" customFormat="1">
      <c r="A498" s="2">
        <v>497</v>
      </c>
      <c r="B498" s="3" t="s">
        <v>1050</v>
      </c>
      <c r="C498" s="3" t="s">
        <v>1051</v>
      </c>
      <c r="D498" s="2" t="s">
        <v>289</v>
      </c>
      <c r="E498" s="2" t="s">
        <v>8</v>
      </c>
      <c r="F498" s="16"/>
      <c r="G498" s="16"/>
      <c r="H498" s="16">
        <f>VLOOKUP(B:B,'[1]Master Sheet'!$B:$H,7,0)</f>
        <v>76</v>
      </c>
      <c r="I498" s="16">
        <f>VLOOKUP(B:B,'[1]Master Sheet'!$B:$I,8,0)</f>
        <v>76</v>
      </c>
      <c r="J498" s="16"/>
      <c r="K498" s="3" t="s">
        <v>3036</v>
      </c>
      <c r="L498" s="3" t="s">
        <v>3057</v>
      </c>
      <c r="M498" s="3" t="s">
        <v>3056</v>
      </c>
      <c r="N498" s="3"/>
      <c r="O498" s="3"/>
    </row>
    <row r="499" spans="1:15" s="4" customFormat="1">
      <c r="A499" s="2">
        <v>498</v>
      </c>
      <c r="B499" s="3" t="s">
        <v>1157</v>
      </c>
      <c r="C499" s="3" t="s">
        <v>1158</v>
      </c>
      <c r="D499" s="2" t="s">
        <v>1159</v>
      </c>
      <c r="E499" s="2" t="s">
        <v>8</v>
      </c>
      <c r="F499" s="16"/>
      <c r="G499" s="16"/>
      <c r="H499" s="16">
        <f>VLOOKUP(B:B,'[1]Master Sheet'!$B:$H,7,0)</f>
        <v>2</v>
      </c>
      <c r="I499" s="16">
        <f>VLOOKUP(B:B,'[1]Master Sheet'!$B:$I,8,0)</f>
        <v>0</v>
      </c>
      <c r="J499" s="16"/>
      <c r="K499" s="3" t="s">
        <v>3052</v>
      </c>
      <c r="L499" s="3" t="s">
        <v>3062</v>
      </c>
      <c r="M499" s="3" t="s">
        <v>3056</v>
      </c>
      <c r="N499" s="3"/>
      <c r="O499" s="3"/>
    </row>
    <row r="500" spans="1:15" s="4" customFormat="1">
      <c r="A500" s="2">
        <v>499</v>
      </c>
      <c r="B500" s="3" t="s">
        <v>1160</v>
      </c>
      <c r="C500" s="3" t="s">
        <v>1161</v>
      </c>
      <c r="D500" s="2" t="s">
        <v>17</v>
      </c>
      <c r="E500" s="2" t="s">
        <v>8</v>
      </c>
      <c r="F500" s="16"/>
      <c r="G500" s="16"/>
      <c r="H500" s="16">
        <f>VLOOKUP(B:B,'[1]Master Sheet'!$B:$H,7,0)</f>
        <v>30</v>
      </c>
      <c r="I500" s="16">
        <f>VLOOKUP(B:B,'[1]Master Sheet'!$B:$I,8,0)</f>
        <v>70</v>
      </c>
      <c r="J500" s="16"/>
      <c r="K500" s="3" t="s">
        <v>3052</v>
      </c>
      <c r="L500" s="3" t="s">
        <v>3062</v>
      </c>
      <c r="M500" s="3" t="s">
        <v>3056</v>
      </c>
      <c r="N500" s="3"/>
      <c r="O500" s="3"/>
    </row>
    <row r="501" spans="1:15" s="4" customFormat="1">
      <c r="A501" s="2">
        <v>500</v>
      </c>
      <c r="B501" s="3" t="s">
        <v>1162</v>
      </c>
      <c r="C501" s="3" t="s">
        <v>1163</v>
      </c>
      <c r="D501" s="2" t="s">
        <v>17</v>
      </c>
      <c r="E501" s="2" t="s">
        <v>8</v>
      </c>
      <c r="F501" s="16"/>
      <c r="G501" s="16"/>
      <c r="H501" s="16">
        <f>VLOOKUP(B:B,'[1]Master Sheet'!$B:$H,7,0)</f>
        <v>20</v>
      </c>
      <c r="I501" s="16">
        <f>VLOOKUP(B:B,'[1]Master Sheet'!$B:$I,8,0)</f>
        <v>0</v>
      </c>
      <c r="J501" s="16"/>
      <c r="K501" s="3" t="s">
        <v>3052</v>
      </c>
      <c r="L501" s="3" t="s">
        <v>3062</v>
      </c>
      <c r="M501" s="3" t="s">
        <v>3056</v>
      </c>
      <c r="N501" s="3"/>
      <c r="O501" s="3"/>
    </row>
    <row r="502" spans="1:15" s="4" customFormat="1">
      <c r="A502" s="2">
        <v>501</v>
      </c>
      <c r="B502" s="3" t="s">
        <v>1164</v>
      </c>
      <c r="C502" s="3" t="s">
        <v>1165</v>
      </c>
      <c r="D502" s="2" t="s">
        <v>1159</v>
      </c>
      <c r="E502" s="2" t="s">
        <v>8</v>
      </c>
      <c r="F502" s="16"/>
      <c r="G502" s="16"/>
      <c r="H502" s="16">
        <f>VLOOKUP(B:B,'[1]Master Sheet'!$B:$H,7,0)</f>
        <v>50</v>
      </c>
      <c r="I502" s="16">
        <f>VLOOKUP(B:B,'[1]Master Sheet'!$B:$I,8,0)</f>
        <v>100</v>
      </c>
      <c r="J502" s="16"/>
      <c r="K502" s="3" t="s">
        <v>3052</v>
      </c>
      <c r="L502" s="3" t="s">
        <v>3062</v>
      </c>
      <c r="M502" s="3" t="s">
        <v>3056</v>
      </c>
      <c r="N502" s="3"/>
      <c r="O502" s="3"/>
    </row>
    <row r="503" spans="1:15" s="4" customFormat="1">
      <c r="A503" s="2">
        <v>502</v>
      </c>
      <c r="B503" s="3" t="s">
        <v>1166</v>
      </c>
      <c r="C503" s="3" t="s">
        <v>1167</v>
      </c>
      <c r="D503" s="2" t="s">
        <v>17</v>
      </c>
      <c r="E503" s="2" t="s">
        <v>8</v>
      </c>
      <c r="F503" s="16"/>
      <c r="G503" s="16"/>
      <c r="H503" s="16">
        <f>VLOOKUP(B:B,'[1]Master Sheet'!$B:$H,7,0)</f>
        <v>2</v>
      </c>
      <c r="I503" s="16">
        <f>VLOOKUP(B:B,'[1]Master Sheet'!$B:$I,8,0)</f>
        <v>0</v>
      </c>
      <c r="J503" s="16"/>
      <c r="K503" s="3" t="s">
        <v>3052</v>
      </c>
      <c r="L503" s="3" t="s">
        <v>3062</v>
      </c>
      <c r="M503" s="3" t="s">
        <v>3056</v>
      </c>
      <c r="N503" s="3"/>
      <c r="O503" s="3"/>
    </row>
    <row r="504" spans="1:15" s="4" customFormat="1">
      <c r="A504" s="2">
        <v>503</v>
      </c>
      <c r="B504" s="3" t="s">
        <v>1168</v>
      </c>
      <c r="C504" s="3" t="s">
        <v>1169</v>
      </c>
      <c r="D504" s="2" t="s">
        <v>1170</v>
      </c>
      <c r="E504" s="2" t="s">
        <v>8</v>
      </c>
      <c r="F504" s="16"/>
      <c r="G504" s="16"/>
      <c r="H504" s="16">
        <f>VLOOKUP(B:B,'[1]Master Sheet'!$B:$H,7,0)</f>
        <v>0</v>
      </c>
      <c r="I504" s="16">
        <f>VLOOKUP(B:B,'[1]Master Sheet'!$B:$I,8,0)</f>
        <v>0</v>
      </c>
      <c r="J504" s="16"/>
      <c r="K504" s="3" t="s">
        <v>3052</v>
      </c>
      <c r="L504" s="3" t="s">
        <v>3062</v>
      </c>
      <c r="M504" s="3" t="s">
        <v>3056</v>
      </c>
      <c r="N504" s="3"/>
      <c r="O504" s="3"/>
    </row>
    <row r="505" spans="1:15" s="4" customFormat="1">
      <c r="A505" s="2">
        <v>504</v>
      </c>
      <c r="B505" s="3" t="s">
        <v>1171</v>
      </c>
      <c r="C505" s="3" t="s">
        <v>1172</v>
      </c>
      <c r="D505" s="2" t="s">
        <v>1170</v>
      </c>
      <c r="E505" s="2" t="s">
        <v>8</v>
      </c>
      <c r="F505" s="16"/>
      <c r="G505" s="16"/>
      <c r="H505" s="16">
        <f>VLOOKUP(B:B,'[1]Master Sheet'!$B:$H,7,0)</f>
        <v>0</v>
      </c>
      <c r="I505" s="16">
        <f>VLOOKUP(B:B,'[1]Master Sheet'!$B:$I,8,0)</f>
        <v>0</v>
      </c>
      <c r="J505" s="16"/>
      <c r="K505" s="3" t="s">
        <v>3052</v>
      </c>
      <c r="L505" s="3" t="s">
        <v>3062</v>
      </c>
      <c r="M505" s="3" t="s">
        <v>3056</v>
      </c>
      <c r="N505" s="3"/>
      <c r="O505" s="3"/>
    </row>
    <row r="506" spans="1:15" s="4" customFormat="1">
      <c r="A506" s="2">
        <v>505</v>
      </c>
      <c r="B506" s="3" t="s">
        <v>1173</v>
      </c>
      <c r="C506" s="3" t="s">
        <v>1174</v>
      </c>
      <c r="D506" s="2" t="s">
        <v>17</v>
      </c>
      <c r="E506" s="2" t="s">
        <v>8</v>
      </c>
      <c r="F506" s="16"/>
      <c r="G506" s="16"/>
      <c r="H506" s="16">
        <f>VLOOKUP(B:B,'[1]Master Sheet'!$B:$H,7,0)</f>
        <v>20</v>
      </c>
      <c r="I506" s="16">
        <f>VLOOKUP(B:B,'[1]Master Sheet'!$B:$I,8,0)</f>
        <v>60</v>
      </c>
      <c r="J506" s="16"/>
      <c r="K506" s="3" t="s">
        <v>3052</v>
      </c>
      <c r="L506" s="3" t="s">
        <v>3062</v>
      </c>
      <c r="M506" s="3" t="s">
        <v>3056</v>
      </c>
      <c r="N506" s="3"/>
      <c r="O506" s="3"/>
    </row>
    <row r="507" spans="1:15" s="4" customFormat="1">
      <c r="A507" s="2">
        <v>506</v>
      </c>
      <c r="B507" s="3" t="s">
        <v>1175</v>
      </c>
      <c r="C507" s="3" t="s">
        <v>1176</v>
      </c>
      <c r="D507" s="2" t="s">
        <v>17</v>
      </c>
      <c r="E507" s="2" t="s">
        <v>8</v>
      </c>
      <c r="F507" s="16"/>
      <c r="G507" s="16"/>
      <c r="H507" s="16">
        <f>VLOOKUP(B:B,'[1]Master Sheet'!$B:$H,7,0)</f>
        <v>15</v>
      </c>
      <c r="I507" s="16">
        <f>VLOOKUP(B:B,'[1]Master Sheet'!$B:$I,8,0)</f>
        <v>0</v>
      </c>
      <c r="J507" s="16"/>
      <c r="K507" s="3" t="s">
        <v>3052</v>
      </c>
      <c r="L507" s="3" t="s">
        <v>3062</v>
      </c>
      <c r="M507" s="3" t="s">
        <v>3056</v>
      </c>
      <c r="N507" s="3"/>
      <c r="O507" s="3"/>
    </row>
    <row r="508" spans="1:15" s="4" customFormat="1">
      <c r="A508" s="2">
        <v>507</v>
      </c>
      <c r="B508" s="3" t="s">
        <v>1177</v>
      </c>
      <c r="C508" s="3" t="s">
        <v>1178</v>
      </c>
      <c r="D508" s="2" t="s">
        <v>17</v>
      </c>
      <c r="E508" s="2" t="s">
        <v>8</v>
      </c>
      <c r="F508" s="16"/>
      <c r="G508" s="16"/>
      <c r="H508" s="16">
        <f>VLOOKUP(B:B,'[1]Master Sheet'!$B:$H,7,0)</f>
        <v>40</v>
      </c>
      <c r="I508" s="16">
        <f>VLOOKUP(B:B,'[1]Master Sheet'!$B:$I,8,0)</f>
        <v>200</v>
      </c>
      <c r="J508" s="16"/>
      <c r="K508" s="3" t="s">
        <v>3052</v>
      </c>
      <c r="L508" s="3" t="s">
        <v>3062</v>
      </c>
      <c r="M508" s="3" t="s">
        <v>3056</v>
      </c>
      <c r="N508" s="3"/>
      <c r="O508" s="3"/>
    </row>
    <row r="509" spans="1:15" s="4" customFormat="1">
      <c r="A509" s="2">
        <v>508</v>
      </c>
      <c r="B509" s="3" t="s">
        <v>1179</v>
      </c>
      <c r="C509" s="3" t="s">
        <v>1180</v>
      </c>
      <c r="D509" s="2" t="s">
        <v>17</v>
      </c>
      <c r="E509" s="2" t="s">
        <v>8</v>
      </c>
      <c r="F509" s="16"/>
      <c r="G509" s="16"/>
      <c r="H509" s="16">
        <f>VLOOKUP(B:B,'[1]Master Sheet'!$B:$H,7,0)</f>
        <v>20</v>
      </c>
      <c r="I509" s="16">
        <f>VLOOKUP(B:B,'[1]Master Sheet'!$B:$I,8,0)</f>
        <v>0</v>
      </c>
      <c r="J509" s="16"/>
      <c r="K509" s="3" t="s">
        <v>3052</v>
      </c>
      <c r="L509" s="3" t="s">
        <v>3062</v>
      </c>
      <c r="M509" s="3" t="s">
        <v>3056</v>
      </c>
      <c r="N509" s="3"/>
      <c r="O509" s="3"/>
    </row>
    <row r="510" spans="1:15" s="4" customFormat="1">
      <c r="A510" s="2">
        <v>509</v>
      </c>
      <c r="B510" s="3" t="s">
        <v>1181</v>
      </c>
      <c r="C510" s="3" t="s">
        <v>1182</v>
      </c>
      <c r="D510" s="2" t="s">
        <v>116</v>
      </c>
      <c r="E510" s="2" t="s">
        <v>8</v>
      </c>
      <c r="F510" s="16"/>
      <c r="G510" s="16"/>
      <c r="H510" s="16">
        <f>VLOOKUP(B:B,'[1]Master Sheet'!$B:$H,7,0)</f>
        <v>0</v>
      </c>
      <c r="I510" s="16">
        <f>VLOOKUP(B:B,'[1]Master Sheet'!$B:$I,8,0)</f>
        <v>0</v>
      </c>
      <c r="J510" s="16"/>
      <c r="K510" s="3" t="s">
        <v>3052</v>
      </c>
      <c r="L510" s="3" t="s">
        <v>3062</v>
      </c>
      <c r="M510" s="3" t="s">
        <v>3056</v>
      </c>
      <c r="N510" s="3"/>
      <c r="O510" s="3"/>
    </row>
    <row r="511" spans="1:15" s="4" customFormat="1">
      <c r="A511" s="2">
        <v>510</v>
      </c>
      <c r="B511" s="3" t="s">
        <v>1183</v>
      </c>
      <c r="C511" s="3" t="s">
        <v>1184</v>
      </c>
      <c r="D511" s="2" t="s">
        <v>17</v>
      </c>
      <c r="E511" s="2" t="s">
        <v>8</v>
      </c>
      <c r="F511" s="16"/>
      <c r="G511" s="16"/>
      <c r="H511" s="16">
        <f>VLOOKUP(B:B,'[1]Master Sheet'!$B:$H,7,0)</f>
        <v>1</v>
      </c>
      <c r="I511" s="16">
        <f>VLOOKUP(B:B,'[1]Master Sheet'!$B:$I,8,0)</f>
        <v>0</v>
      </c>
      <c r="J511" s="16"/>
      <c r="K511" s="3" t="s">
        <v>3052</v>
      </c>
      <c r="L511" s="3" t="s">
        <v>3062</v>
      </c>
      <c r="M511" s="3" t="s">
        <v>3056</v>
      </c>
      <c r="N511" s="3"/>
      <c r="O511" s="3"/>
    </row>
    <row r="512" spans="1:15" s="4" customFormat="1">
      <c r="A512" s="2">
        <v>511</v>
      </c>
      <c r="B512" s="3" t="s">
        <v>1185</v>
      </c>
      <c r="C512" s="3" t="s">
        <v>1186</v>
      </c>
      <c r="D512" s="2" t="s">
        <v>17</v>
      </c>
      <c r="E512" s="2" t="s">
        <v>8</v>
      </c>
      <c r="F512" s="16"/>
      <c r="G512" s="16"/>
      <c r="H512" s="16">
        <f>VLOOKUP(B:B,'[1]Master Sheet'!$B:$H,7,0)</f>
        <v>0</v>
      </c>
      <c r="I512" s="16">
        <f>VLOOKUP(B:B,'[1]Master Sheet'!$B:$I,8,0)</f>
        <v>0</v>
      </c>
      <c r="J512" s="16"/>
      <c r="K512" s="3" t="s">
        <v>3052</v>
      </c>
      <c r="L512" s="3" t="s">
        <v>3062</v>
      </c>
      <c r="M512" s="3" t="s">
        <v>3056</v>
      </c>
      <c r="N512" s="3"/>
      <c r="O512" s="3"/>
    </row>
    <row r="513" spans="1:15" s="4" customFormat="1">
      <c r="A513" s="2">
        <v>512</v>
      </c>
      <c r="B513" s="3" t="s">
        <v>1187</v>
      </c>
      <c r="C513" s="3" t="s">
        <v>1188</v>
      </c>
      <c r="D513" s="2" t="s">
        <v>17</v>
      </c>
      <c r="E513" s="2" t="s">
        <v>8</v>
      </c>
      <c r="F513" s="16"/>
      <c r="G513" s="16"/>
      <c r="H513" s="16">
        <f>VLOOKUP(B:B,'[1]Master Sheet'!$B:$H,7,0)</f>
        <v>0</v>
      </c>
      <c r="I513" s="16">
        <f>VLOOKUP(B:B,'[1]Master Sheet'!$B:$I,8,0)</f>
        <v>0</v>
      </c>
      <c r="J513" s="16"/>
      <c r="K513" s="3" t="s">
        <v>3052</v>
      </c>
      <c r="L513" s="3" t="s">
        <v>3062</v>
      </c>
      <c r="M513" s="3" t="s">
        <v>3056</v>
      </c>
      <c r="N513" s="3"/>
      <c r="O513" s="3"/>
    </row>
    <row r="514" spans="1:15" s="4" customFormat="1">
      <c r="A514" s="2">
        <v>513</v>
      </c>
      <c r="B514" s="3" t="s">
        <v>1189</v>
      </c>
      <c r="C514" s="3" t="s">
        <v>1190</v>
      </c>
      <c r="D514" s="2" t="s">
        <v>17</v>
      </c>
      <c r="E514" s="2" t="s">
        <v>8</v>
      </c>
      <c r="F514" s="16"/>
      <c r="G514" s="16"/>
      <c r="H514" s="16">
        <f>VLOOKUP(B:B,'[1]Master Sheet'!$B:$H,7,0)</f>
        <v>0</v>
      </c>
      <c r="I514" s="16">
        <f>VLOOKUP(B:B,'[1]Master Sheet'!$B:$I,8,0)</f>
        <v>0</v>
      </c>
      <c r="J514" s="16"/>
      <c r="K514" s="3" t="s">
        <v>3052</v>
      </c>
      <c r="L514" s="3" t="s">
        <v>3062</v>
      </c>
      <c r="M514" s="3" t="s">
        <v>3056</v>
      </c>
      <c r="N514" s="3"/>
      <c r="O514" s="3"/>
    </row>
    <row r="515" spans="1:15" s="4" customFormat="1">
      <c r="A515" s="2">
        <v>514</v>
      </c>
      <c r="B515" s="3" t="s">
        <v>1191</v>
      </c>
      <c r="C515" s="3" t="s">
        <v>1192</v>
      </c>
      <c r="D515" s="2" t="s">
        <v>17</v>
      </c>
      <c r="E515" s="2" t="s">
        <v>8</v>
      </c>
      <c r="F515" s="16"/>
      <c r="G515" s="16"/>
      <c r="H515" s="16">
        <f>VLOOKUP(B:B,'[1]Master Sheet'!$B:$H,7,0)</f>
        <v>0</v>
      </c>
      <c r="I515" s="16">
        <f>VLOOKUP(B:B,'[1]Master Sheet'!$B:$I,8,0)</f>
        <v>0</v>
      </c>
      <c r="J515" s="16"/>
      <c r="K515" s="3" t="s">
        <v>3052</v>
      </c>
      <c r="L515" s="3" t="s">
        <v>3062</v>
      </c>
      <c r="M515" s="3" t="s">
        <v>3056</v>
      </c>
      <c r="N515" s="3"/>
      <c r="O515" s="3"/>
    </row>
    <row r="516" spans="1:15" s="4" customFormat="1">
      <c r="A516" s="2">
        <v>515</v>
      </c>
      <c r="B516" s="3" t="s">
        <v>1193</v>
      </c>
      <c r="C516" s="3" t="s">
        <v>1194</v>
      </c>
      <c r="D516" s="2" t="s">
        <v>17</v>
      </c>
      <c r="E516" s="2" t="s">
        <v>8</v>
      </c>
      <c r="F516" s="16"/>
      <c r="G516" s="16"/>
      <c r="H516" s="16">
        <f>VLOOKUP(B:B,'[1]Master Sheet'!$B:$H,7,0)</f>
        <v>100</v>
      </c>
      <c r="I516" s="16">
        <f>VLOOKUP(B:B,'[1]Master Sheet'!$B:$I,8,0)</f>
        <v>0</v>
      </c>
      <c r="J516" s="16"/>
      <c r="K516" s="3" t="s">
        <v>3052</v>
      </c>
      <c r="L516" s="3" t="s">
        <v>3062</v>
      </c>
      <c r="M516" s="3" t="s">
        <v>3056</v>
      </c>
      <c r="N516" s="3"/>
      <c r="O516" s="3"/>
    </row>
    <row r="517" spans="1:15" s="4" customFormat="1">
      <c r="A517" s="2">
        <v>516</v>
      </c>
      <c r="B517" s="3" t="s">
        <v>1195</v>
      </c>
      <c r="C517" s="3" t="s">
        <v>1196</v>
      </c>
      <c r="D517" s="2" t="s">
        <v>17</v>
      </c>
      <c r="E517" s="2" t="s">
        <v>8</v>
      </c>
      <c r="F517" s="16"/>
      <c r="G517" s="16"/>
      <c r="H517" s="16">
        <f>VLOOKUP(B:B,'[1]Master Sheet'!$B:$H,7,0)</f>
        <v>200</v>
      </c>
      <c r="I517" s="16">
        <f>VLOOKUP(B:B,'[1]Master Sheet'!$B:$I,8,0)</f>
        <v>0</v>
      </c>
      <c r="J517" s="16"/>
      <c r="K517" s="3" t="s">
        <v>3052</v>
      </c>
      <c r="L517" s="3" t="s">
        <v>3062</v>
      </c>
      <c r="M517" s="3" t="s">
        <v>3056</v>
      </c>
      <c r="N517" s="3"/>
      <c r="O517" s="3"/>
    </row>
    <row r="518" spans="1:15" s="4" customFormat="1">
      <c r="A518" s="2">
        <v>517</v>
      </c>
      <c r="B518" s="3" t="s">
        <v>1197</v>
      </c>
      <c r="C518" s="3" t="s">
        <v>1198</v>
      </c>
      <c r="D518" s="2" t="s">
        <v>1199</v>
      </c>
      <c r="E518" s="2" t="s">
        <v>8</v>
      </c>
      <c r="F518" s="16"/>
      <c r="G518" s="16"/>
      <c r="H518" s="16">
        <f>VLOOKUP(B:B,'[1]Master Sheet'!$B:$H,7,0)</f>
        <v>1</v>
      </c>
      <c r="I518" s="16">
        <f>VLOOKUP(B:B,'[1]Master Sheet'!$B:$I,8,0)</f>
        <v>0</v>
      </c>
      <c r="J518" s="16"/>
      <c r="K518" s="3" t="s">
        <v>3052</v>
      </c>
      <c r="L518" s="3" t="s">
        <v>3062</v>
      </c>
      <c r="M518" s="3" t="s">
        <v>3056</v>
      </c>
      <c r="N518" s="3"/>
      <c r="O518" s="3"/>
    </row>
    <row r="519" spans="1:15" s="4" customFormat="1">
      <c r="A519" s="2">
        <v>518</v>
      </c>
      <c r="B519" s="3" t="s">
        <v>1200</v>
      </c>
      <c r="C519" s="3" t="s">
        <v>1201</v>
      </c>
      <c r="D519" s="2" t="s">
        <v>1202</v>
      </c>
      <c r="E519" s="2" t="s">
        <v>8</v>
      </c>
      <c r="F519" s="16"/>
      <c r="G519" s="16"/>
      <c r="H519" s="16">
        <f>VLOOKUP(B:B,'[1]Master Sheet'!$B:$H,7,0)</f>
        <v>2</v>
      </c>
      <c r="I519" s="16">
        <f>VLOOKUP(B:B,'[1]Master Sheet'!$B:$I,8,0)</f>
        <v>0</v>
      </c>
      <c r="J519" s="16"/>
      <c r="K519" s="3" t="s">
        <v>3052</v>
      </c>
      <c r="L519" s="3" t="s">
        <v>3062</v>
      </c>
      <c r="M519" s="3" t="s">
        <v>3056</v>
      </c>
      <c r="N519" s="3"/>
      <c r="O519" s="3"/>
    </row>
    <row r="520" spans="1:15" s="4" customFormat="1">
      <c r="A520" s="2">
        <v>519</v>
      </c>
      <c r="B520" s="3" t="s">
        <v>1062</v>
      </c>
      <c r="C520" s="3" t="s">
        <v>1063</v>
      </c>
      <c r="D520" s="2" t="s">
        <v>17</v>
      </c>
      <c r="E520" s="2" t="s">
        <v>8</v>
      </c>
      <c r="F520" s="16"/>
      <c r="G520" s="16"/>
      <c r="H520" s="16">
        <f>VLOOKUP(B:B,'[1]Master Sheet'!$B:$H,7,0)</f>
        <v>80</v>
      </c>
      <c r="I520" s="16">
        <f>VLOOKUP(B:B,'[1]Master Sheet'!$B:$I,8,0)</f>
        <v>0</v>
      </c>
      <c r="J520" s="16"/>
      <c r="K520" s="3" t="s">
        <v>2974</v>
      </c>
      <c r="L520" s="3" t="s">
        <v>3057</v>
      </c>
      <c r="M520" s="3" t="s">
        <v>3056</v>
      </c>
      <c r="N520" s="3"/>
      <c r="O520" s="3"/>
    </row>
    <row r="521" spans="1:15" s="4" customFormat="1">
      <c r="A521" s="2">
        <v>520</v>
      </c>
      <c r="B521" s="3" t="s">
        <v>1064</v>
      </c>
      <c r="C521" s="3" t="s">
        <v>1065</v>
      </c>
      <c r="D521" s="2" t="s">
        <v>17</v>
      </c>
      <c r="E521" s="2" t="s">
        <v>8</v>
      </c>
      <c r="F521" s="16"/>
      <c r="G521" s="16"/>
      <c r="H521" s="16">
        <f>VLOOKUP(B:B,'[1]Master Sheet'!$B:$H,7,0)</f>
        <v>80</v>
      </c>
      <c r="I521" s="16">
        <f>VLOOKUP(B:B,'[1]Master Sheet'!$B:$I,8,0)</f>
        <v>40</v>
      </c>
      <c r="J521" s="16"/>
      <c r="K521" s="3" t="s">
        <v>2974</v>
      </c>
      <c r="L521" s="3" t="s">
        <v>3057</v>
      </c>
      <c r="M521" s="3" t="s">
        <v>3056</v>
      </c>
      <c r="N521" s="3"/>
      <c r="O521" s="3"/>
    </row>
    <row r="522" spans="1:15" s="4" customFormat="1">
      <c r="A522" s="2">
        <v>521</v>
      </c>
      <c r="B522" s="3" t="s">
        <v>1207</v>
      </c>
      <c r="C522" s="3" t="s">
        <v>1208</v>
      </c>
      <c r="D522" s="2" t="s">
        <v>17</v>
      </c>
      <c r="E522" s="2" t="s">
        <v>8</v>
      </c>
      <c r="F522" s="16"/>
      <c r="G522" s="16"/>
      <c r="H522" s="16">
        <f>VLOOKUP(B:B,'[1]Master Sheet'!$B:$H,7,0)</f>
        <v>0</v>
      </c>
      <c r="I522" s="16">
        <f>VLOOKUP(B:B,'[1]Master Sheet'!$B:$I,8,0)</f>
        <v>0</v>
      </c>
      <c r="J522" s="16"/>
      <c r="K522" s="3" t="s">
        <v>3052</v>
      </c>
      <c r="L522" s="3" t="s">
        <v>3062</v>
      </c>
      <c r="M522" s="3" t="s">
        <v>3056</v>
      </c>
      <c r="N522" s="3"/>
      <c r="O522" s="3"/>
    </row>
    <row r="523" spans="1:15" s="4" customFormat="1">
      <c r="A523" s="2">
        <v>522</v>
      </c>
      <c r="B523" s="3" t="s">
        <v>1209</v>
      </c>
      <c r="C523" s="3" t="s">
        <v>1210</v>
      </c>
      <c r="D523" s="2" t="s">
        <v>17</v>
      </c>
      <c r="E523" s="2" t="s">
        <v>8</v>
      </c>
      <c r="F523" s="16"/>
      <c r="G523" s="16"/>
      <c r="H523" s="16">
        <f>VLOOKUP(B:B,'[1]Master Sheet'!$B:$H,7,0)</f>
        <v>0</v>
      </c>
      <c r="I523" s="16">
        <f>VLOOKUP(B:B,'[1]Master Sheet'!$B:$I,8,0)</f>
        <v>2</v>
      </c>
      <c r="J523" s="16"/>
      <c r="K523" s="3" t="s">
        <v>3052</v>
      </c>
      <c r="L523" s="3" t="s">
        <v>3062</v>
      </c>
      <c r="M523" s="3" t="s">
        <v>3056</v>
      </c>
      <c r="N523" s="3"/>
      <c r="O523" s="3"/>
    </row>
    <row r="524" spans="1:15" s="4" customFormat="1">
      <c r="A524" s="2">
        <v>523</v>
      </c>
      <c r="B524" s="3" t="s">
        <v>1211</v>
      </c>
      <c r="C524" s="3" t="s">
        <v>1212</v>
      </c>
      <c r="D524" s="2" t="s">
        <v>17</v>
      </c>
      <c r="E524" s="2" t="s">
        <v>8</v>
      </c>
      <c r="F524" s="16"/>
      <c r="G524" s="16"/>
      <c r="H524" s="16">
        <f>VLOOKUP(B:B,'[1]Master Sheet'!$B:$H,7,0)</f>
        <v>50</v>
      </c>
      <c r="I524" s="16">
        <f>VLOOKUP(B:B,'[1]Master Sheet'!$B:$I,8,0)</f>
        <v>0</v>
      </c>
      <c r="J524" s="16"/>
      <c r="K524" s="3" t="s">
        <v>3052</v>
      </c>
      <c r="L524" s="3" t="s">
        <v>3062</v>
      </c>
      <c r="M524" s="3" t="s">
        <v>3056</v>
      </c>
      <c r="N524" s="3"/>
      <c r="O524" s="3"/>
    </row>
    <row r="525" spans="1:15" s="4" customFormat="1">
      <c r="A525" s="2">
        <v>524</v>
      </c>
      <c r="B525" s="3" t="s">
        <v>1066</v>
      </c>
      <c r="C525" s="3" t="s">
        <v>1067</v>
      </c>
      <c r="D525" s="2" t="s">
        <v>17</v>
      </c>
      <c r="E525" s="2" t="s">
        <v>8</v>
      </c>
      <c r="F525" s="16"/>
      <c r="G525" s="16"/>
      <c r="H525" s="16">
        <f>VLOOKUP(B:B,'[1]Master Sheet'!$B:$H,7,0)</f>
        <v>80</v>
      </c>
      <c r="I525" s="16">
        <f>VLOOKUP(B:B,'[1]Master Sheet'!$B:$I,8,0)</f>
        <v>40</v>
      </c>
      <c r="J525" s="16"/>
      <c r="K525" s="3" t="s">
        <v>2974</v>
      </c>
      <c r="L525" s="3" t="s">
        <v>3057</v>
      </c>
      <c r="M525" s="3" t="s">
        <v>3056</v>
      </c>
      <c r="N525" s="3"/>
      <c r="O525" s="3"/>
    </row>
    <row r="526" spans="1:15" s="4" customFormat="1">
      <c r="A526" s="2">
        <v>525</v>
      </c>
      <c r="B526" s="3" t="s">
        <v>1215</v>
      </c>
      <c r="C526" s="3" t="s">
        <v>1216</v>
      </c>
      <c r="D526" s="2" t="s">
        <v>17</v>
      </c>
      <c r="E526" s="2" t="s">
        <v>8</v>
      </c>
      <c r="F526" s="16"/>
      <c r="G526" s="16"/>
      <c r="H526" s="16">
        <f>VLOOKUP(B:B,'[1]Master Sheet'!$B:$H,7,0)</f>
        <v>0</v>
      </c>
      <c r="I526" s="16">
        <f>VLOOKUP(B:B,'[1]Master Sheet'!$B:$I,8,0)</f>
        <v>0</v>
      </c>
      <c r="J526" s="16"/>
      <c r="K526" s="3" t="s">
        <v>3052</v>
      </c>
      <c r="L526" s="3" t="s">
        <v>3062</v>
      </c>
      <c r="M526" s="3" t="s">
        <v>3056</v>
      </c>
      <c r="N526" s="3"/>
      <c r="O526" s="3"/>
    </row>
    <row r="527" spans="1:15" s="4" customFormat="1">
      <c r="A527" s="2">
        <v>526</v>
      </c>
      <c r="B527" s="3" t="s">
        <v>1217</v>
      </c>
      <c r="C527" s="3" t="s">
        <v>1218</v>
      </c>
      <c r="D527" s="2" t="s">
        <v>17</v>
      </c>
      <c r="E527" s="2" t="s">
        <v>8</v>
      </c>
      <c r="F527" s="16"/>
      <c r="G527" s="16"/>
      <c r="H527" s="16">
        <f>VLOOKUP(B:B,'[1]Master Sheet'!$B:$H,7,0)</f>
        <v>50</v>
      </c>
      <c r="I527" s="16">
        <f>VLOOKUP(B:B,'[1]Master Sheet'!$B:$I,8,0)</f>
        <v>0</v>
      </c>
      <c r="J527" s="16"/>
      <c r="K527" s="3" t="s">
        <v>3052</v>
      </c>
      <c r="L527" s="3" t="s">
        <v>3062</v>
      </c>
      <c r="M527" s="3" t="s">
        <v>3056</v>
      </c>
      <c r="N527" s="3"/>
      <c r="O527" s="3"/>
    </row>
    <row r="528" spans="1:15" s="4" customFormat="1">
      <c r="A528" s="2">
        <v>527</v>
      </c>
      <c r="B528" s="3" t="s">
        <v>1219</v>
      </c>
      <c r="C528" s="3" t="s">
        <v>1220</v>
      </c>
      <c r="D528" s="2" t="s">
        <v>17</v>
      </c>
      <c r="E528" s="2" t="s">
        <v>8</v>
      </c>
      <c r="F528" s="16"/>
      <c r="G528" s="16"/>
      <c r="H528" s="16">
        <f>VLOOKUP(B:B,'[1]Master Sheet'!$B:$H,7,0)</f>
        <v>5</v>
      </c>
      <c r="I528" s="16">
        <f>VLOOKUP(B:B,'[1]Master Sheet'!$B:$I,8,0)</f>
        <v>0</v>
      </c>
      <c r="J528" s="16"/>
      <c r="K528" s="3" t="s">
        <v>3052</v>
      </c>
      <c r="L528" s="3" t="s">
        <v>3062</v>
      </c>
      <c r="M528" s="3" t="s">
        <v>3056</v>
      </c>
      <c r="N528" s="3"/>
      <c r="O528" s="3"/>
    </row>
    <row r="529" spans="1:15" s="4" customFormat="1">
      <c r="A529" s="2">
        <v>528</v>
      </c>
      <c r="B529" s="3" t="s">
        <v>1221</v>
      </c>
      <c r="C529" s="3" t="s">
        <v>1222</v>
      </c>
      <c r="D529" s="2" t="s">
        <v>17</v>
      </c>
      <c r="E529" s="2" t="s">
        <v>8</v>
      </c>
      <c r="F529" s="16"/>
      <c r="G529" s="16"/>
      <c r="H529" s="16">
        <f>VLOOKUP(B:B,'[1]Master Sheet'!$B:$H,7,0)</f>
        <v>1</v>
      </c>
      <c r="I529" s="16">
        <f>VLOOKUP(B:B,'[1]Master Sheet'!$B:$I,8,0)</f>
        <v>0</v>
      </c>
      <c r="J529" s="16"/>
      <c r="K529" s="3" t="s">
        <v>3052</v>
      </c>
      <c r="L529" s="3" t="s">
        <v>3062</v>
      </c>
      <c r="M529" s="3" t="s">
        <v>3056</v>
      </c>
      <c r="N529" s="3"/>
      <c r="O529" s="3"/>
    </row>
    <row r="530" spans="1:15" s="4" customFormat="1">
      <c r="A530" s="2">
        <v>529</v>
      </c>
      <c r="B530" s="3" t="s">
        <v>1223</v>
      </c>
      <c r="C530" s="3" t="s">
        <v>1224</v>
      </c>
      <c r="D530" s="2" t="s">
        <v>17</v>
      </c>
      <c r="E530" s="2" t="s">
        <v>8</v>
      </c>
      <c r="F530" s="16"/>
      <c r="G530" s="16"/>
      <c r="H530" s="16">
        <f>VLOOKUP(B:B,'[1]Master Sheet'!$B:$H,7,0)</f>
        <v>1</v>
      </c>
      <c r="I530" s="16">
        <f>VLOOKUP(B:B,'[1]Master Sheet'!$B:$I,8,0)</f>
        <v>2</v>
      </c>
      <c r="J530" s="16"/>
      <c r="K530" s="3" t="s">
        <v>3052</v>
      </c>
      <c r="L530" s="3" t="s">
        <v>3062</v>
      </c>
      <c r="M530" s="3" t="s">
        <v>3056</v>
      </c>
      <c r="N530" s="3"/>
      <c r="O530" s="3"/>
    </row>
    <row r="531" spans="1:15" s="4" customFormat="1">
      <c r="A531" s="2">
        <v>530</v>
      </c>
      <c r="B531" s="3" t="s">
        <v>1225</v>
      </c>
      <c r="C531" s="3" t="s">
        <v>1226</v>
      </c>
      <c r="D531" s="2" t="s">
        <v>17</v>
      </c>
      <c r="E531" s="2" t="s">
        <v>8</v>
      </c>
      <c r="F531" s="16"/>
      <c r="G531" s="16"/>
      <c r="H531" s="16">
        <f>VLOOKUP(B:B,'[1]Master Sheet'!$B:$H,7,0)</f>
        <v>0</v>
      </c>
      <c r="I531" s="16">
        <f>VLOOKUP(B:B,'[1]Master Sheet'!$B:$I,8,0)</f>
        <v>0</v>
      </c>
      <c r="J531" s="16"/>
      <c r="K531" s="3" t="s">
        <v>3052</v>
      </c>
      <c r="L531" s="3" t="s">
        <v>3062</v>
      </c>
      <c r="M531" s="3" t="s">
        <v>3056</v>
      </c>
      <c r="N531" s="3"/>
      <c r="O531" s="3"/>
    </row>
    <row r="532" spans="1:15" s="4" customFormat="1">
      <c r="A532" s="2">
        <v>531</v>
      </c>
      <c r="B532" s="3" t="s">
        <v>1227</v>
      </c>
      <c r="C532" s="3" t="s">
        <v>1228</v>
      </c>
      <c r="D532" s="2" t="s">
        <v>17</v>
      </c>
      <c r="E532" s="2" t="s">
        <v>8</v>
      </c>
      <c r="F532" s="16"/>
      <c r="G532" s="16"/>
      <c r="H532" s="16">
        <f>VLOOKUP(B:B,'[1]Master Sheet'!$B:$H,7,0)</f>
        <v>0</v>
      </c>
      <c r="I532" s="16">
        <f>VLOOKUP(B:B,'[1]Master Sheet'!$B:$I,8,0)</f>
        <v>0</v>
      </c>
      <c r="J532" s="16"/>
      <c r="K532" s="3" t="s">
        <v>3052</v>
      </c>
      <c r="L532" s="3" t="s">
        <v>3062</v>
      </c>
      <c r="M532" s="3" t="s">
        <v>3056</v>
      </c>
      <c r="N532" s="3"/>
      <c r="O532" s="3"/>
    </row>
    <row r="533" spans="1:15" s="4" customFormat="1">
      <c r="A533" s="2">
        <v>532</v>
      </c>
      <c r="B533" s="3" t="s">
        <v>1229</v>
      </c>
      <c r="C533" s="3" t="s">
        <v>1230</v>
      </c>
      <c r="D533" s="2" t="s">
        <v>17</v>
      </c>
      <c r="E533" s="2" t="s">
        <v>8</v>
      </c>
      <c r="F533" s="16"/>
      <c r="G533" s="16"/>
      <c r="H533" s="16">
        <f>VLOOKUP(B:B,'[1]Master Sheet'!$B:$H,7,0)</f>
        <v>0</v>
      </c>
      <c r="I533" s="16">
        <f>VLOOKUP(B:B,'[1]Master Sheet'!$B:$I,8,0)</f>
        <v>0</v>
      </c>
      <c r="J533" s="16"/>
      <c r="K533" s="3" t="s">
        <v>3052</v>
      </c>
      <c r="L533" s="3" t="s">
        <v>3062</v>
      </c>
      <c r="M533" s="3" t="s">
        <v>3056</v>
      </c>
      <c r="N533" s="3"/>
      <c r="O533" s="3"/>
    </row>
    <row r="534" spans="1:15" s="4" customFormat="1">
      <c r="A534" s="2">
        <v>533</v>
      </c>
      <c r="B534" s="3" t="s">
        <v>1233</v>
      </c>
      <c r="C534" s="3" t="s">
        <v>1234</v>
      </c>
      <c r="D534" s="2" t="s">
        <v>17</v>
      </c>
      <c r="E534" s="2" t="s">
        <v>8</v>
      </c>
      <c r="F534" s="16"/>
      <c r="G534" s="16"/>
      <c r="H534" s="16">
        <f>VLOOKUP(B:B,'[1]Master Sheet'!$B:$H,7,0)</f>
        <v>1</v>
      </c>
      <c r="I534" s="16">
        <f>VLOOKUP(B:B,'[1]Master Sheet'!$B:$I,8,0)</f>
        <v>0</v>
      </c>
      <c r="J534" s="16"/>
      <c r="K534" s="3" t="s">
        <v>3052</v>
      </c>
      <c r="L534" s="3" t="s">
        <v>3062</v>
      </c>
      <c r="M534" s="3" t="s">
        <v>3056</v>
      </c>
      <c r="N534" s="3"/>
      <c r="O534" s="3"/>
    </row>
    <row r="535" spans="1:15" s="4" customFormat="1">
      <c r="A535" s="2">
        <v>534</v>
      </c>
      <c r="B535" s="3" t="s">
        <v>1235</v>
      </c>
      <c r="C535" s="3" t="s">
        <v>1236</v>
      </c>
      <c r="D535" s="2" t="s">
        <v>17</v>
      </c>
      <c r="E535" s="2" t="s">
        <v>8</v>
      </c>
      <c r="F535" s="16"/>
      <c r="G535" s="16"/>
      <c r="H535" s="16">
        <f>VLOOKUP(B:B,'[1]Master Sheet'!$B:$H,7,0)</f>
        <v>1</v>
      </c>
      <c r="I535" s="16">
        <f>VLOOKUP(B:B,'[1]Master Sheet'!$B:$I,8,0)</f>
        <v>0</v>
      </c>
      <c r="J535" s="16"/>
      <c r="K535" s="3" t="s">
        <v>3052</v>
      </c>
      <c r="L535" s="3" t="s">
        <v>3062</v>
      </c>
      <c r="M535" s="3" t="s">
        <v>3056</v>
      </c>
      <c r="N535" s="3"/>
      <c r="O535" s="3"/>
    </row>
    <row r="536" spans="1:15" s="4" customFormat="1">
      <c r="A536" s="2">
        <v>535</v>
      </c>
      <c r="B536" s="3" t="s">
        <v>1237</v>
      </c>
      <c r="C536" s="3" t="s">
        <v>1238</v>
      </c>
      <c r="D536" s="2" t="s">
        <v>17</v>
      </c>
      <c r="E536" s="2" t="s">
        <v>8</v>
      </c>
      <c r="F536" s="16"/>
      <c r="G536" s="16"/>
      <c r="H536" s="16">
        <f>VLOOKUP(B:B,'[1]Master Sheet'!$B:$H,7,0)</f>
        <v>10</v>
      </c>
      <c r="I536" s="16">
        <f>VLOOKUP(B:B,'[1]Master Sheet'!$B:$I,8,0)</f>
        <v>0</v>
      </c>
      <c r="J536" s="16"/>
      <c r="K536" s="3" t="s">
        <v>3052</v>
      </c>
      <c r="L536" s="3" t="s">
        <v>3062</v>
      </c>
      <c r="M536" s="3" t="s">
        <v>3056</v>
      </c>
      <c r="N536" s="3"/>
      <c r="O536" s="3"/>
    </row>
    <row r="537" spans="1:15" s="4" customFormat="1">
      <c r="A537" s="2">
        <v>536</v>
      </c>
      <c r="B537" s="3" t="s">
        <v>1239</v>
      </c>
      <c r="C537" s="3" t="s">
        <v>1240</v>
      </c>
      <c r="D537" s="2" t="s">
        <v>17</v>
      </c>
      <c r="E537" s="2" t="s">
        <v>8</v>
      </c>
      <c r="F537" s="16"/>
      <c r="G537" s="16"/>
      <c r="H537" s="16">
        <f>VLOOKUP(B:B,'[1]Master Sheet'!$B:$H,7,0)</f>
        <v>0</v>
      </c>
      <c r="I537" s="16">
        <f>VLOOKUP(B:B,'[1]Master Sheet'!$B:$I,8,0)</f>
        <v>0</v>
      </c>
      <c r="J537" s="16"/>
      <c r="K537" s="3" t="s">
        <v>3052</v>
      </c>
      <c r="L537" s="3" t="s">
        <v>3062</v>
      </c>
      <c r="M537" s="3" t="s">
        <v>3056</v>
      </c>
      <c r="N537" s="3"/>
      <c r="O537" s="3"/>
    </row>
    <row r="538" spans="1:15" s="4" customFormat="1">
      <c r="A538" s="2">
        <v>537</v>
      </c>
      <c r="B538" s="3" t="s">
        <v>1241</v>
      </c>
      <c r="C538" s="3" t="s">
        <v>1242</v>
      </c>
      <c r="D538" s="2" t="s">
        <v>17</v>
      </c>
      <c r="E538" s="2" t="s">
        <v>8</v>
      </c>
      <c r="F538" s="16"/>
      <c r="G538" s="16"/>
      <c r="H538" s="16">
        <f>VLOOKUP(B:B,'[1]Master Sheet'!$B:$H,7,0)</f>
        <v>200</v>
      </c>
      <c r="I538" s="16">
        <f>VLOOKUP(B:B,'[1]Master Sheet'!$B:$I,8,0)</f>
        <v>0</v>
      </c>
      <c r="J538" s="16"/>
      <c r="K538" s="3" t="s">
        <v>3052</v>
      </c>
      <c r="L538" s="3" t="s">
        <v>3062</v>
      </c>
      <c r="M538" s="3" t="s">
        <v>3056</v>
      </c>
      <c r="N538" s="3"/>
      <c r="O538" s="3"/>
    </row>
    <row r="539" spans="1:15" s="4" customFormat="1">
      <c r="A539" s="2">
        <v>538</v>
      </c>
      <c r="B539" s="3" t="s">
        <v>1243</v>
      </c>
      <c r="C539" s="3" t="s">
        <v>1244</v>
      </c>
      <c r="D539" s="2" t="s">
        <v>116</v>
      </c>
      <c r="E539" s="2" t="s">
        <v>8</v>
      </c>
      <c r="F539" s="16"/>
      <c r="G539" s="16"/>
      <c r="H539" s="16">
        <f>VLOOKUP(B:B,'[1]Master Sheet'!$B:$H,7,0)</f>
        <v>0</v>
      </c>
      <c r="I539" s="16">
        <f>VLOOKUP(B:B,'[1]Master Sheet'!$B:$I,8,0)</f>
        <v>0</v>
      </c>
      <c r="J539" s="16"/>
      <c r="K539" s="3" t="s">
        <v>3052</v>
      </c>
      <c r="L539" s="3" t="s">
        <v>3062</v>
      </c>
      <c r="M539" s="3" t="s">
        <v>3056</v>
      </c>
      <c r="N539" s="3"/>
      <c r="O539" s="3"/>
    </row>
    <row r="540" spans="1:15" s="4" customFormat="1">
      <c r="A540" s="2">
        <v>539</v>
      </c>
      <c r="B540" s="3" t="s">
        <v>1245</v>
      </c>
      <c r="C540" s="3" t="s">
        <v>1246</v>
      </c>
      <c r="D540" s="2" t="s">
        <v>116</v>
      </c>
      <c r="E540" s="2" t="s">
        <v>8</v>
      </c>
      <c r="F540" s="16"/>
      <c r="G540" s="16"/>
      <c r="H540" s="16">
        <f>VLOOKUP(B:B,'[1]Master Sheet'!$B:$H,7,0)</f>
        <v>0</v>
      </c>
      <c r="I540" s="16">
        <f>VLOOKUP(B:B,'[1]Master Sheet'!$B:$I,8,0)</f>
        <v>0</v>
      </c>
      <c r="J540" s="16"/>
      <c r="K540" s="3" t="s">
        <v>3052</v>
      </c>
      <c r="L540" s="3" t="s">
        <v>3062</v>
      </c>
      <c r="M540" s="3" t="s">
        <v>3056</v>
      </c>
      <c r="N540" s="3"/>
      <c r="O540" s="3"/>
    </row>
    <row r="541" spans="1:15" s="4" customFormat="1">
      <c r="A541" s="2">
        <v>540</v>
      </c>
      <c r="B541" s="3" t="s">
        <v>1247</v>
      </c>
      <c r="C541" s="3" t="s">
        <v>1248</v>
      </c>
      <c r="D541" s="2" t="s">
        <v>17</v>
      </c>
      <c r="E541" s="2" t="s">
        <v>8</v>
      </c>
      <c r="F541" s="16"/>
      <c r="G541" s="16"/>
      <c r="H541" s="16">
        <f>VLOOKUP(B:B,'[1]Master Sheet'!$B:$H,7,0)</f>
        <v>5</v>
      </c>
      <c r="I541" s="16">
        <f>VLOOKUP(B:B,'[1]Master Sheet'!$B:$I,8,0)</f>
        <v>0</v>
      </c>
      <c r="J541" s="16"/>
      <c r="K541" s="3" t="s">
        <v>3052</v>
      </c>
      <c r="L541" s="3" t="s">
        <v>3062</v>
      </c>
      <c r="M541" s="3" t="s">
        <v>3056</v>
      </c>
      <c r="N541" s="3"/>
      <c r="O541" s="3"/>
    </row>
    <row r="542" spans="1:15" s="4" customFormat="1">
      <c r="A542" s="2">
        <v>541</v>
      </c>
      <c r="B542" s="3" t="s">
        <v>1249</v>
      </c>
      <c r="C542" s="3" t="s">
        <v>1250</v>
      </c>
      <c r="D542" s="2" t="s">
        <v>17</v>
      </c>
      <c r="E542" s="2" t="s">
        <v>8</v>
      </c>
      <c r="F542" s="16"/>
      <c r="G542" s="16"/>
      <c r="H542" s="16">
        <f>VLOOKUP(B:B,'[1]Master Sheet'!$B:$H,7,0)</f>
        <v>10</v>
      </c>
      <c r="I542" s="16">
        <f>VLOOKUP(B:B,'[1]Master Sheet'!$B:$I,8,0)</f>
        <v>50</v>
      </c>
      <c r="J542" s="16"/>
      <c r="K542" s="3" t="s">
        <v>3052</v>
      </c>
      <c r="L542" s="3" t="s">
        <v>3062</v>
      </c>
      <c r="M542" s="3" t="s">
        <v>3056</v>
      </c>
      <c r="N542" s="3"/>
      <c r="O542" s="3"/>
    </row>
    <row r="543" spans="1:15" s="4" customFormat="1">
      <c r="A543" s="2">
        <v>542</v>
      </c>
      <c r="B543" s="3" t="s">
        <v>1251</v>
      </c>
      <c r="C543" s="3" t="s">
        <v>1252</v>
      </c>
      <c r="D543" s="2" t="s">
        <v>17</v>
      </c>
      <c r="E543" s="2" t="s">
        <v>8</v>
      </c>
      <c r="F543" s="16"/>
      <c r="G543" s="16"/>
      <c r="H543" s="16">
        <f>VLOOKUP(B:B,'[1]Master Sheet'!$B:$H,7,0)</f>
        <v>10</v>
      </c>
      <c r="I543" s="16">
        <f>VLOOKUP(B:B,'[1]Master Sheet'!$B:$I,8,0)</f>
        <v>50</v>
      </c>
      <c r="J543" s="16"/>
      <c r="K543" s="3" t="s">
        <v>3052</v>
      </c>
      <c r="L543" s="3" t="s">
        <v>3062</v>
      </c>
      <c r="M543" s="3" t="s">
        <v>3056</v>
      </c>
      <c r="N543" s="3"/>
      <c r="O543" s="3"/>
    </row>
    <row r="544" spans="1:15" s="4" customFormat="1">
      <c r="A544" s="2">
        <v>543</v>
      </c>
      <c r="B544" s="3" t="s">
        <v>1253</v>
      </c>
      <c r="C544" s="3" t="s">
        <v>1254</v>
      </c>
      <c r="D544" s="2" t="s">
        <v>17</v>
      </c>
      <c r="E544" s="2" t="s">
        <v>8</v>
      </c>
      <c r="F544" s="16"/>
      <c r="G544" s="16"/>
      <c r="H544" s="16">
        <f>VLOOKUP(B:B,'[1]Master Sheet'!$B:$H,7,0)</f>
        <v>10</v>
      </c>
      <c r="I544" s="16">
        <f>VLOOKUP(B:B,'[1]Master Sheet'!$B:$I,8,0)</f>
        <v>0</v>
      </c>
      <c r="J544" s="16"/>
      <c r="K544" s="3" t="s">
        <v>3052</v>
      </c>
      <c r="L544" s="3" t="s">
        <v>3062</v>
      </c>
      <c r="M544" s="3" t="s">
        <v>3056</v>
      </c>
      <c r="N544" s="3"/>
      <c r="O544" s="3"/>
    </row>
    <row r="545" spans="1:15" s="4" customFormat="1">
      <c r="A545" s="2">
        <v>544</v>
      </c>
      <c r="B545" s="3" t="s">
        <v>1255</v>
      </c>
      <c r="C545" s="3" t="s">
        <v>1256</v>
      </c>
      <c r="D545" s="2" t="s">
        <v>17</v>
      </c>
      <c r="E545" s="2" t="s">
        <v>8</v>
      </c>
      <c r="F545" s="16"/>
      <c r="G545" s="16"/>
      <c r="H545" s="16">
        <f>VLOOKUP(B:B,'[1]Master Sheet'!$B:$H,7,0)</f>
        <v>0</v>
      </c>
      <c r="I545" s="16">
        <f>VLOOKUP(B:B,'[1]Master Sheet'!$B:$I,8,0)</f>
        <v>0</v>
      </c>
      <c r="J545" s="16"/>
      <c r="K545" s="3" t="s">
        <v>3052</v>
      </c>
      <c r="L545" s="3" t="s">
        <v>3062</v>
      </c>
      <c r="M545" s="3" t="s">
        <v>3056</v>
      </c>
      <c r="N545" s="3"/>
      <c r="O545" s="3"/>
    </row>
    <row r="546" spans="1:15" s="4" customFormat="1">
      <c r="A546" s="2">
        <v>545</v>
      </c>
      <c r="B546" s="3" t="s">
        <v>1257</v>
      </c>
      <c r="C546" s="3" t="s">
        <v>1258</v>
      </c>
      <c r="D546" s="2" t="s">
        <v>17</v>
      </c>
      <c r="E546" s="2" t="s">
        <v>8</v>
      </c>
      <c r="F546" s="16"/>
      <c r="G546" s="16"/>
      <c r="H546" s="16">
        <f>VLOOKUP(B:B,'[1]Master Sheet'!$B:$H,7,0)</f>
        <v>0</v>
      </c>
      <c r="I546" s="16">
        <f>VLOOKUP(B:B,'[1]Master Sheet'!$B:$I,8,0)</f>
        <v>0</v>
      </c>
      <c r="J546" s="16"/>
      <c r="K546" s="3" t="s">
        <v>3052</v>
      </c>
      <c r="L546" s="3" t="s">
        <v>3062</v>
      </c>
      <c r="M546" s="3" t="s">
        <v>3056</v>
      </c>
      <c r="N546" s="3"/>
      <c r="O546" s="3"/>
    </row>
    <row r="547" spans="1:15" s="4" customFormat="1">
      <c r="A547" s="2">
        <v>546</v>
      </c>
      <c r="B547" s="3" t="s">
        <v>1259</v>
      </c>
      <c r="C547" s="3" t="s">
        <v>1260</v>
      </c>
      <c r="D547" s="2" t="s">
        <v>17</v>
      </c>
      <c r="E547" s="2" t="s">
        <v>8</v>
      </c>
      <c r="F547" s="16"/>
      <c r="G547" s="16"/>
      <c r="H547" s="16">
        <f>VLOOKUP(B:B,'[1]Master Sheet'!$B:$H,7,0)</f>
        <v>0</v>
      </c>
      <c r="I547" s="16">
        <f>VLOOKUP(B:B,'[1]Master Sheet'!$B:$I,8,0)</f>
        <v>0</v>
      </c>
      <c r="J547" s="16"/>
      <c r="K547" s="3" t="s">
        <v>3052</v>
      </c>
      <c r="L547" s="3" t="s">
        <v>3062</v>
      </c>
      <c r="M547" s="3" t="s">
        <v>3056</v>
      </c>
      <c r="N547" s="3"/>
      <c r="O547" s="3"/>
    </row>
    <row r="548" spans="1:15" s="4" customFormat="1">
      <c r="A548" s="2">
        <v>547</v>
      </c>
      <c r="B548" s="3" t="s">
        <v>1068</v>
      </c>
      <c r="C548" s="3" t="s">
        <v>1069</v>
      </c>
      <c r="D548" s="2" t="s">
        <v>17</v>
      </c>
      <c r="E548" s="2" t="s">
        <v>8</v>
      </c>
      <c r="F548" s="16"/>
      <c r="G548" s="16"/>
      <c r="H548" s="16">
        <f>VLOOKUP(B:B,'[1]Master Sheet'!$B:$H,7,0)</f>
        <v>1000</v>
      </c>
      <c r="I548" s="16">
        <f>VLOOKUP(B:B,'[1]Master Sheet'!$B:$I,8,0)</f>
        <v>0</v>
      </c>
      <c r="J548" s="16"/>
      <c r="K548" s="3" t="s">
        <v>2972</v>
      </c>
      <c r="L548" s="3" t="s">
        <v>3057</v>
      </c>
      <c r="M548" s="3" t="s">
        <v>3058</v>
      </c>
      <c r="N548" s="3"/>
      <c r="O548" s="3"/>
    </row>
    <row r="549" spans="1:15" s="4" customFormat="1">
      <c r="A549" s="2">
        <v>548</v>
      </c>
      <c r="B549" s="3" t="s">
        <v>1263</v>
      </c>
      <c r="C549" s="3" t="s">
        <v>1264</v>
      </c>
      <c r="D549" s="2" t="s">
        <v>17</v>
      </c>
      <c r="E549" s="2" t="s">
        <v>8</v>
      </c>
      <c r="F549" s="16"/>
      <c r="G549" s="16"/>
      <c r="H549" s="16">
        <f>VLOOKUP(B:B,'[1]Master Sheet'!$B:$H,7,0)</f>
        <v>5</v>
      </c>
      <c r="I549" s="16">
        <f>VLOOKUP(B:B,'[1]Master Sheet'!$B:$I,8,0)</f>
        <v>0</v>
      </c>
      <c r="J549" s="16"/>
      <c r="K549" s="3" t="s">
        <v>3052</v>
      </c>
      <c r="L549" s="3" t="s">
        <v>3062</v>
      </c>
      <c r="M549" s="3" t="s">
        <v>3056</v>
      </c>
      <c r="N549" s="3"/>
      <c r="O549" s="3"/>
    </row>
    <row r="550" spans="1:15" s="4" customFormat="1">
      <c r="A550" s="2">
        <v>549</v>
      </c>
      <c r="B550" s="3" t="s">
        <v>1265</v>
      </c>
      <c r="C550" s="3" t="s">
        <v>1266</v>
      </c>
      <c r="D550" s="2" t="s">
        <v>116</v>
      </c>
      <c r="E550" s="2" t="s">
        <v>8</v>
      </c>
      <c r="F550" s="16"/>
      <c r="G550" s="16"/>
      <c r="H550" s="16">
        <f>VLOOKUP(B:B,'[1]Master Sheet'!$B:$H,7,0)</f>
        <v>1</v>
      </c>
      <c r="I550" s="16">
        <f>VLOOKUP(B:B,'[1]Master Sheet'!$B:$I,8,0)</f>
        <v>0</v>
      </c>
      <c r="J550" s="16"/>
      <c r="K550" s="3" t="s">
        <v>3052</v>
      </c>
      <c r="L550" s="3" t="s">
        <v>3062</v>
      </c>
      <c r="M550" s="3" t="s">
        <v>3056</v>
      </c>
      <c r="N550" s="3"/>
      <c r="O550" s="3"/>
    </row>
    <row r="551" spans="1:15" s="4" customFormat="1">
      <c r="A551" s="2">
        <v>550</v>
      </c>
      <c r="B551" s="3" t="s">
        <v>1267</v>
      </c>
      <c r="C551" s="3" t="s">
        <v>1268</v>
      </c>
      <c r="D551" s="2" t="s">
        <v>116</v>
      </c>
      <c r="E551" s="2" t="s">
        <v>8</v>
      </c>
      <c r="F551" s="16"/>
      <c r="G551" s="16"/>
      <c r="H551" s="16">
        <f>VLOOKUP(B:B,'[1]Master Sheet'!$B:$H,7,0)</f>
        <v>5</v>
      </c>
      <c r="I551" s="16">
        <f>VLOOKUP(B:B,'[1]Master Sheet'!$B:$I,8,0)</f>
        <v>5</v>
      </c>
      <c r="J551" s="16"/>
      <c r="K551" s="3" t="s">
        <v>3052</v>
      </c>
      <c r="L551" s="3" t="s">
        <v>3062</v>
      </c>
      <c r="M551" s="3" t="s">
        <v>3056</v>
      </c>
      <c r="N551" s="3"/>
      <c r="O551" s="3"/>
    </row>
    <row r="552" spans="1:15" s="4" customFormat="1">
      <c r="A552" s="2">
        <v>551</v>
      </c>
      <c r="B552" s="3" t="s">
        <v>1269</v>
      </c>
      <c r="C552" s="3" t="s">
        <v>1270</v>
      </c>
      <c r="D552" s="2" t="s">
        <v>116</v>
      </c>
      <c r="E552" s="2" t="s">
        <v>8</v>
      </c>
      <c r="F552" s="16"/>
      <c r="G552" s="16"/>
      <c r="H552" s="16">
        <f>VLOOKUP(B:B,'[1]Master Sheet'!$B:$H,7,0)</f>
        <v>1</v>
      </c>
      <c r="I552" s="16">
        <f>VLOOKUP(B:B,'[1]Master Sheet'!$B:$I,8,0)</f>
        <v>0</v>
      </c>
      <c r="J552" s="16"/>
      <c r="K552" s="3" t="s">
        <v>3052</v>
      </c>
      <c r="L552" s="3" t="s">
        <v>3062</v>
      </c>
      <c r="M552" s="3" t="s">
        <v>3056</v>
      </c>
      <c r="N552" s="3"/>
      <c r="O552" s="3"/>
    </row>
    <row r="553" spans="1:15" s="4" customFormat="1">
      <c r="A553" s="2">
        <v>552</v>
      </c>
      <c r="B553" s="3" t="s">
        <v>1070</v>
      </c>
      <c r="C553" s="3" t="s">
        <v>1071</v>
      </c>
      <c r="D553" s="2" t="s">
        <v>17</v>
      </c>
      <c r="E553" s="2" t="s">
        <v>8</v>
      </c>
      <c r="F553" s="16"/>
      <c r="G553" s="16"/>
      <c r="H553" s="16">
        <f>VLOOKUP(B:B,'[1]Master Sheet'!$B:$H,7,0)</f>
        <v>0</v>
      </c>
      <c r="I553" s="16">
        <f>VLOOKUP(B:B,'[1]Master Sheet'!$B:$I,8,0)</f>
        <v>0</v>
      </c>
      <c r="J553" s="16"/>
      <c r="K553" s="3" t="s">
        <v>2972</v>
      </c>
      <c r="L553" s="3" t="s">
        <v>3057</v>
      </c>
      <c r="M553" s="3" t="s">
        <v>3056</v>
      </c>
      <c r="N553" s="3"/>
      <c r="O553" s="3"/>
    </row>
    <row r="554" spans="1:15" s="4" customFormat="1">
      <c r="A554" s="2">
        <v>553</v>
      </c>
      <c r="B554" s="3" t="s">
        <v>1072</v>
      </c>
      <c r="C554" s="3" t="s">
        <v>1073</v>
      </c>
      <c r="D554" s="2" t="s">
        <v>17</v>
      </c>
      <c r="E554" s="2" t="s">
        <v>8</v>
      </c>
      <c r="F554" s="16"/>
      <c r="G554" s="16"/>
      <c r="H554" s="16">
        <f>VLOOKUP(B:B,'[1]Master Sheet'!$B:$H,7,0)</f>
        <v>0</v>
      </c>
      <c r="I554" s="16">
        <f>VLOOKUP(B:B,'[1]Master Sheet'!$B:$I,8,0)</f>
        <v>0</v>
      </c>
      <c r="J554" s="16"/>
      <c r="K554" s="3" t="s">
        <v>2972</v>
      </c>
      <c r="L554" s="3" t="s">
        <v>3057</v>
      </c>
      <c r="M554" s="3" t="s">
        <v>3058</v>
      </c>
      <c r="N554" s="3"/>
      <c r="O554" s="3"/>
    </row>
    <row r="555" spans="1:15" s="4" customFormat="1">
      <c r="A555" s="2">
        <v>554</v>
      </c>
      <c r="B555" s="3" t="s">
        <v>1277</v>
      </c>
      <c r="C555" s="3" t="s">
        <v>1278</v>
      </c>
      <c r="D555" s="2" t="s">
        <v>17</v>
      </c>
      <c r="E555" s="2" t="s">
        <v>8</v>
      </c>
      <c r="F555" s="16"/>
      <c r="G555" s="16"/>
      <c r="H555" s="16">
        <f>VLOOKUP(B:B,'[1]Master Sheet'!$B:$H,7,0)</f>
        <v>10</v>
      </c>
      <c r="I555" s="16">
        <f>VLOOKUP(B:B,'[1]Master Sheet'!$B:$I,8,0)</f>
        <v>0</v>
      </c>
      <c r="J555" s="16"/>
      <c r="K555" s="3" t="s">
        <v>3052</v>
      </c>
      <c r="L555" s="3" t="s">
        <v>3062</v>
      </c>
      <c r="M555" s="3" t="s">
        <v>3056</v>
      </c>
      <c r="N555" s="3"/>
      <c r="O555" s="3"/>
    </row>
    <row r="556" spans="1:15" s="4" customFormat="1">
      <c r="A556" s="2">
        <v>555</v>
      </c>
      <c r="B556" s="3" t="s">
        <v>1279</v>
      </c>
      <c r="C556" s="3" t="s">
        <v>1280</v>
      </c>
      <c r="D556" s="2" t="s">
        <v>17</v>
      </c>
      <c r="E556" s="2" t="s">
        <v>8</v>
      </c>
      <c r="F556" s="16"/>
      <c r="G556" s="16"/>
      <c r="H556" s="16">
        <f>VLOOKUP(B:B,'[1]Master Sheet'!$B:$H,7,0)</f>
        <v>0</v>
      </c>
      <c r="I556" s="16">
        <f>VLOOKUP(B:B,'[1]Master Sheet'!$B:$I,8,0)</f>
        <v>0</v>
      </c>
      <c r="J556" s="16"/>
      <c r="K556" s="3" t="s">
        <v>3052</v>
      </c>
      <c r="L556" s="3" t="s">
        <v>3062</v>
      </c>
      <c r="M556" s="3" t="s">
        <v>3056</v>
      </c>
      <c r="N556" s="3"/>
      <c r="O556" s="3"/>
    </row>
    <row r="557" spans="1:15" s="4" customFormat="1">
      <c r="A557" s="2">
        <v>556</v>
      </c>
      <c r="B557" s="3" t="s">
        <v>1283</v>
      </c>
      <c r="C557" s="3" t="s">
        <v>1284</v>
      </c>
      <c r="D557" s="2" t="s">
        <v>17</v>
      </c>
      <c r="E557" s="2" t="s">
        <v>8</v>
      </c>
      <c r="F557" s="16"/>
      <c r="G557" s="16"/>
      <c r="H557" s="16">
        <f>VLOOKUP(B:B,'[1]Master Sheet'!$B:$H,7,0)</f>
        <v>5</v>
      </c>
      <c r="I557" s="16">
        <f>VLOOKUP(B:B,'[1]Master Sheet'!$B:$I,8,0)</f>
        <v>0</v>
      </c>
      <c r="J557" s="16"/>
      <c r="K557" s="3" t="s">
        <v>3052</v>
      </c>
      <c r="L557" s="3" t="s">
        <v>3062</v>
      </c>
      <c r="M557" s="3" t="s">
        <v>3056</v>
      </c>
      <c r="N557" s="3"/>
      <c r="O557" s="3"/>
    </row>
    <row r="558" spans="1:15" s="4" customFormat="1">
      <c r="A558" s="2">
        <v>557</v>
      </c>
      <c r="B558" s="3" t="s">
        <v>1285</v>
      </c>
      <c r="C558" s="3" t="s">
        <v>1286</v>
      </c>
      <c r="D558" s="2" t="s">
        <v>7</v>
      </c>
      <c r="E558" s="2" t="s">
        <v>8</v>
      </c>
      <c r="F558" s="16"/>
      <c r="G558" s="16"/>
      <c r="H558" s="16">
        <f>VLOOKUP(B:B,'[1]Master Sheet'!$B:$H,7,0)</f>
        <v>0</v>
      </c>
      <c r="I558" s="16">
        <f>VLOOKUP(B:B,'[1]Master Sheet'!$B:$I,8,0)</f>
        <v>0</v>
      </c>
      <c r="J558" s="16"/>
      <c r="K558" s="3" t="s">
        <v>2965</v>
      </c>
      <c r="L558" s="3" t="s">
        <v>3055</v>
      </c>
      <c r="M558" s="3" t="s">
        <v>3056</v>
      </c>
      <c r="N558" s="3"/>
      <c r="O558" s="3"/>
    </row>
    <row r="559" spans="1:15" s="4" customFormat="1">
      <c r="A559" s="2">
        <v>558</v>
      </c>
      <c r="B559" s="3" t="s">
        <v>1287</v>
      </c>
      <c r="C559" s="3" t="s">
        <v>1288</v>
      </c>
      <c r="D559" s="2" t="s">
        <v>7</v>
      </c>
      <c r="E559" s="2" t="s">
        <v>8</v>
      </c>
      <c r="F559" s="16"/>
      <c r="G559" s="16"/>
      <c r="H559" s="16">
        <f>VLOOKUP(B:B,'[1]Master Sheet'!$B:$H,7,0)</f>
        <v>0</v>
      </c>
      <c r="I559" s="16">
        <f>VLOOKUP(B:B,'[1]Master Sheet'!$B:$I,8,0)</f>
        <v>0</v>
      </c>
      <c r="J559" s="16"/>
      <c r="K559" s="3" t="s">
        <v>2965</v>
      </c>
      <c r="L559" s="3" t="s">
        <v>3055</v>
      </c>
      <c r="M559" s="3" t="s">
        <v>3056</v>
      </c>
      <c r="N559" s="3"/>
      <c r="O559" s="3"/>
    </row>
    <row r="560" spans="1:15" s="4" customFormat="1">
      <c r="A560" s="2">
        <v>559</v>
      </c>
      <c r="B560" s="3" t="s">
        <v>1290</v>
      </c>
      <c r="C560" s="3" t="s">
        <v>1291</v>
      </c>
      <c r="D560" s="2" t="s">
        <v>7</v>
      </c>
      <c r="E560" s="2" t="s">
        <v>8</v>
      </c>
      <c r="F560" s="16"/>
      <c r="G560" s="16"/>
      <c r="H560" s="16">
        <f>VLOOKUP(B:B,'[1]Master Sheet'!$B:$H,7,0)</f>
        <v>0</v>
      </c>
      <c r="I560" s="16">
        <f>VLOOKUP(B:B,'[1]Master Sheet'!$B:$I,8,0)</f>
        <v>0</v>
      </c>
      <c r="J560" s="16"/>
      <c r="K560" s="3" t="s">
        <v>2965</v>
      </c>
      <c r="L560" s="3" t="s">
        <v>3055</v>
      </c>
      <c r="M560" s="3" t="s">
        <v>3056</v>
      </c>
      <c r="N560" s="3"/>
      <c r="O560" s="3"/>
    </row>
    <row r="561" spans="1:15" s="4" customFormat="1">
      <c r="A561" s="2">
        <v>560</v>
      </c>
      <c r="B561" s="3" t="s">
        <v>1292</v>
      </c>
      <c r="C561" s="3" t="s">
        <v>1293</v>
      </c>
      <c r="D561" s="2" t="s">
        <v>7</v>
      </c>
      <c r="E561" s="2" t="s">
        <v>8</v>
      </c>
      <c r="F561" s="16"/>
      <c r="G561" s="16"/>
      <c r="H561" s="16">
        <f>VLOOKUP(B:B,'[1]Master Sheet'!$B:$H,7,0)</f>
        <v>100</v>
      </c>
      <c r="I561" s="16">
        <f>VLOOKUP(B:B,'[1]Master Sheet'!$B:$I,8,0)</f>
        <v>0</v>
      </c>
      <c r="J561" s="16"/>
      <c r="K561" s="3" t="s">
        <v>2965</v>
      </c>
      <c r="L561" s="3" t="s">
        <v>3055</v>
      </c>
      <c r="M561" s="3" t="s">
        <v>3056</v>
      </c>
      <c r="N561" s="3"/>
      <c r="O561" s="3"/>
    </row>
    <row r="562" spans="1:15" s="4" customFormat="1">
      <c r="A562" s="2">
        <v>561</v>
      </c>
      <c r="B562" s="3" t="s">
        <v>1294</v>
      </c>
      <c r="C562" s="3" t="s">
        <v>1295</v>
      </c>
      <c r="D562" s="2" t="s">
        <v>7</v>
      </c>
      <c r="E562" s="2" t="s">
        <v>8</v>
      </c>
      <c r="F562" s="16"/>
      <c r="G562" s="16"/>
      <c r="H562" s="16">
        <f>VLOOKUP(B:B,'[1]Master Sheet'!$B:$H,7,0)</f>
        <v>100</v>
      </c>
      <c r="I562" s="16">
        <f>VLOOKUP(B:B,'[1]Master Sheet'!$B:$I,8,0)</f>
        <v>0</v>
      </c>
      <c r="J562" s="16"/>
      <c r="K562" s="3" t="s">
        <v>2965</v>
      </c>
      <c r="L562" s="3" t="s">
        <v>3055</v>
      </c>
      <c r="M562" s="3" t="s">
        <v>3056</v>
      </c>
      <c r="N562" s="3"/>
      <c r="O562" s="3"/>
    </row>
    <row r="563" spans="1:15" s="4" customFormat="1">
      <c r="A563" s="2">
        <v>562</v>
      </c>
      <c r="B563" s="3" t="s">
        <v>1296</v>
      </c>
      <c r="C563" s="3" t="s">
        <v>2967</v>
      </c>
      <c r="D563" s="2" t="s">
        <v>7</v>
      </c>
      <c r="E563" s="2" t="s">
        <v>8</v>
      </c>
      <c r="F563" s="16"/>
      <c r="G563" s="16"/>
      <c r="H563" s="16">
        <f>VLOOKUP(B:B,'[1]Master Sheet'!$B:$H,7,0)</f>
        <v>100</v>
      </c>
      <c r="I563" s="16">
        <f>VLOOKUP(B:B,'[1]Master Sheet'!$B:$I,8,0)</f>
        <v>0</v>
      </c>
      <c r="J563" s="16"/>
      <c r="K563" s="3" t="s">
        <v>2965</v>
      </c>
      <c r="L563" s="3" t="s">
        <v>3055</v>
      </c>
      <c r="M563" s="3" t="s">
        <v>3056</v>
      </c>
      <c r="N563" s="3"/>
      <c r="O563" s="3"/>
    </row>
    <row r="564" spans="1:15" s="4" customFormat="1">
      <c r="A564" s="2">
        <v>563</v>
      </c>
      <c r="B564" s="3" t="s">
        <v>1297</v>
      </c>
      <c r="C564" s="3" t="s">
        <v>2968</v>
      </c>
      <c r="D564" s="2" t="s">
        <v>7</v>
      </c>
      <c r="E564" s="2" t="s">
        <v>8</v>
      </c>
      <c r="F564" s="16"/>
      <c r="G564" s="16"/>
      <c r="H564" s="16">
        <f>VLOOKUP(B:B,'[1]Master Sheet'!$B:$H,7,0)</f>
        <v>250</v>
      </c>
      <c r="I564" s="16">
        <f>VLOOKUP(B:B,'[1]Master Sheet'!$B:$I,8,0)</f>
        <v>200</v>
      </c>
      <c r="J564" s="16"/>
      <c r="K564" s="3" t="s">
        <v>2965</v>
      </c>
      <c r="L564" s="3" t="s">
        <v>3055</v>
      </c>
      <c r="M564" s="3" t="s">
        <v>3056</v>
      </c>
      <c r="N564" s="3"/>
      <c r="O564" s="3"/>
    </row>
    <row r="565" spans="1:15" s="4" customFormat="1">
      <c r="A565" s="2">
        <v>564</v>
      </c>
      <c r="B565" s="3" t="s">
        <v>1298</v>
      </c>
      <c r="C565" s="3" t="s">
        <v>1299</v>
      </c>
      <c r="D565" s="2" t="s">
        <v>7</v>
      </c>
      <c r="E565" s="2" t="s">
        <v>8</v>
      </c>
      <c r="F565" s="16"/>
      <c r="G565" s="16"/>
      <c r="H565" s="16">
        <f>VLOOKUP(B:B,'[1]Master Sheet'!$B:$H,7,0)</f>
        <v>200</v>
      </c>
      <c r="I565" s="16">
        <f>VLOOKUP(B:B,'[1]Master Sheet'!$B:$I,8,0)</f>
        <v>0</v>
      </c>
      <c r="J565" s="16"/>
      <c r="K565" s="3" t="s">
        <v>2965</v>
      </c>
      <c r="L565" s="3" t="s">
        <v>3055</v>
      </c>
      <c r="M565" s="3" t="s">
        <v>3056</v>
      </c>
      <c r="N565" s="3"/>
      <c r="O565" s="3"/>
    </row>
    <row r="566" spans="1:15" s="4" customFormat="1">
      <c r="A566" s="2">
        <v>565</v>
      </c>
      <c r="B566" s="3" t="s">
        <v>2349</v>
      </c>
      <c r="C566" s="3" t="s">
        <v>3164</v>
      </c>
      <c r="D566" s="2" t="s">
        <v>7</v>
      </c>
      <c r="E566" s="2" t="s">
        <v>8</v>
      </c>
      <c r="F566" s="16"/>
      <c r="G566" s="16"/>
      <c r="H566" s="16">
        <f>VLOOKUP(B:B,'[1]Master Sheet'!$B:$H,7,0)</f>
        <v>300</v>
      </c>
      <c r="I566" s="16">
        <f>VLOOKUP(B:B,'[1]Master Sheet'!$B:$I,8,0)</f>
        <v>0</v>
      </c>
      <c r="J566" s="16"/>
      <c r="K566" s="3" t="s">
        <v>2965</v>
      </c>
      <c r="L566" s="3" t="s">
        <v>3055</v>
      </c>
      <c r="M566" s="3" t="s">
        <v>3056</v>
      </c>
      <c r="N566" s="3"/>
      <c r="O566" s="3"/>
    </row>
    <row r="567" spans="1:15" s="4" customFormat="1">
      <c r="A567" s="2">
        <v>566</v>
      </c>
      <c r="B567" s="3" t="s">
        <v>1986</v>
      </c>
      <c r="C567" s="3" t="s">
        <v>3165</v>
      </c>
      <c r="D567" s="2" t="s">
        <v>7</v>
      </c>
      <c r="E567" s="2" t="s">
        <v>8</v>
      </c>
      <c r="F567" s="16"/>
      <c r="G567" s="16"/>
      <c r="H567" s="16">
        <f>VLOOKUP(B:B,'[1]Master Sheet'!$B:$H,7,0)</f>
        <v>500</v>
      </c>
      <c r="I567" s="16">
        <f>VLOOKUP(B:B,'[1]Master Sheet'!$B:$I,8,0)</f>
        <v>0</v>
      </c>
      <c r="J567" s="16"/>
      <c r="K567" s="3" t="s">
        <v>2965</v>
      </c>
      <c r="L567" s="3" t="s">
        <v>3055</v>
      </c>
      <c r="M567" s="3" t="s">
        <v>3058</v>
      </c>
      <c r="N567" s="3"/>
      <c r="O567" s="3"/>
    </row>
    <row r="568" spans="1:15" s="4" customFormat="1">
      <c r="A568" s="2">
        <v>567</v>
      </c>
      <c r="B568" s="3" t="s">
        <v>1302</v>
      </c>
      <c r="C568" s="3" t="s">
        <v>1303</v>
      </c>
      <c r="D568" s="2" t="s">
        <v>20</v>
      </c>
      <c r="E568" s="2" t="s">
        <v>8</v>
      </c>
      <c r="F568" s="16"/>
      <c r="G568" s="16"/>
      <c r="H568" s="16">
        <f>VLOOKUP(B:B,'[1]Master Sheet'!$B:$H,7,0)</f>
        <v>25</v>
      </c>
      <c r="I568" s="16">
        <f>VLOOKUP(B:B,'[1]Master Sheet'!$B:$I,8,0)</f>
        <v>0</v>
      </c>
      <c r="J568" s="16"/>
      <c r="K568" s="3" t="s">
        <v>2965</v>
      </c>
      <c r="L568" s="3" t="s">
        <v>3060</v>
      </c>
      <c r="M568" s="3" t="s">
        <v>3058</v>
      </c>
      <c r="N568" s="3"/>
      <c r="O568" s="3"/>
    </row>
    <row r="569" spans="1:15" s="4" customFormat="1">
      <c r="A569" s="2">
        <v>568</v>
      </c>
      <c r="B569" s="3" t="s">
        <v>1304</v>
      </c>
      <c r="C569" s="3" t="s">
        <v>1305</v>
      </c>
      <c r="D569" s="2" t="s">
        <v>7</v>
      </c>
      <c r="E569" s="2" t="s">
        <v>8</v>
      </c>
      <c r="F569" s="16"/>
      <c r="G569" s="16"/>
      <c r="H569" s="16">
        <f>VLOOKUP(B:B,'[1]Master Sheet'!$B:$H,7,0)</f>
        <v>800</v>
      </c>
      <c r="I569" s="16">
        <f>VLOOKUP(B:B,'[1]Master Sheet'!$B:$I,8,0)</f>
        <v>1000</v>
      </c>
      <c r="J569" s="16"/>
      <c r="K569" s="3" t="s">
        <v>2965</v>
      </c>
      <c r="L569" s="3" t="s">
        <v>3055</v>
      </c>
      <c r="M569" s="3" t="s">
        <v>3056</v>
      </c>
      <c r="N569" s="3"/>
      <c r="O569" s="3"/>
    </row>
    <row r="570" spans="1:15" s="4" customFormat="1">
      <c r="A570" s="2">
        <v>569</v>
      </c>
      <c r="B570" s="3" t="s">
        <v>1306</v>
      </c>
      <c r="C570" s="3" t="s">
        <v>1307</v>
      </c>
      <c r="D570" s="2" t="s">
        <v>7</v>
      </c>
      <c r="E570" s="2" t="s">
        <v>8</v>
      </c>
      <c r="F570" s="16"/>
      <c r="G570" s="16"/>
      <c r="H570" s="16">
        <f>VLOOKUP(B:B,'[1]Master Sheet'!$B:$H,7,0)</f>
        <v>0</v>
      </c>
      <c r="I570" s="16">
        <f>VLOOKUP(B:B,'[1]Master Sheet'!$B:$I,8,0)</f>
        <v>0</v>
      </c>
      <c r="J570" s="16"/>
      <c r="K570" s="3" t="s">
        <v>2965</v>
      </c>
      <c r="L570" s="3" t="s">
        <v>3055</v>
      </c>
      <c r="M570" s="3" t="s">
        <v>3056</v>
      </c>
      <c r="N570" s="3"/>
      <c r="O570" s="3"/>
    </row>
    <row r="571" spans="1:15" s="4" customFormat="1">
      <c r="A571" s="2">
        <v>570</v>
      </c>
      <c r="B571" s="3" t="s">
        <v>1308</v>
      </c>
      <c r="C571" s="3" t="s">
        <v>1309</v>
      </c>
      <c r="D571" s="2" t="s">
        <v>7</v>
      </c>
      <c r="E571" s="2" t="s">
        <v>8</v>
      </c>
      <c r="F571" s="16"/>
      <c r="G571" s="16"/>
      <c r="H571" s="16">
        <f>VLOOKUP(B:B,'[1]Master Sheet'!$B:$H,7,0)</f>
        <v>500</v>
      </c>
      <c r="I571" s="16">
        <f>VLOOKUP(B:B,'[1]Master Sheet'!$B:$I,8,0)</f>
        <v>0</v>
      </c>
      <c r="J571" s="16"/>
      <c r="K571" s="3" t="s">
        <v>2965</v>
      </c>
      <c r="L571" s="3" t="s">
        <v>3055</v>
      </c>
      <c r="M571" s="3" t="s">
        <v>3058</v>
      </c>
      <c r="N571" s="3"/>
      <c r="O571" s="3"/>
    </row>
    <row r="572" spans="1:15" s="4" customFormat="1">
      <c r="A572" s="2">
        <v>571</v>
      </c>
      <c r="B572" s="3" t="s">
        <v>1310</v>
      </c>
      <c r="C572" s="3" t="s">
        <v>1311</v>
      </c>
      <c r="D572" s="2" t="s">
        <v>7</v>
      </c>
      <c r="E572" s="2" t="s">
        <v>8</v>
      </c>
      <c r="F572" s="16"/>
      <c r="G572" s="16"/>
      <c r="H572" s="16">
        <f>VLOOKUP(B:B,'[1]Master Sheet'!$B:$H,7,0)</f>
        <v>120</v>
      </c>
      <c r="I572" s="16">
        <f>VLOOKUP(B:B,'[1]Master Sheet'!$B:$I,8,0)</f>
        <v>0</v>
      </c>
      <c r="J572" s="16"/>
      <c r="K572" s="3" t="s">
        <v>2965</v>
      </c>
      <c r="L572" s="3" t="s">
        <v>3055</v>
      </c>
      <c r="M572" s="3" t="s">
        <v>3056</v>
      </c>
      <c r="N572" s="3"/>
      <c r="O572" s="3"/>
    </row>
    <row r="573" spans="1:15" s="4" customFormat="1">
      <c r="A573" s="2">
        <v>572</v>
      </c>
      <c r="B573" s="3" t="s">
        <v>1312</v>
      </c>
      <c r="C573" s="3" t="s">
        <v>1313</v>
      </c>
      <c r="D573" s="2" t="s">
        <v>7</v>
      </c>
      <c r="E573" s="2" t="s">
        <v>8</v>
      </c>
      <c r="F573" s="16"/>
      <c r="G573" s="16"/>
      <c r="H573" s="16">
        <f>VLOOKUP(B:B,'[1]Master Sheet'!$B:$H,7,0)</f>
        <v>250</v>
      </c>
      <c r="I573" s="16">
        <f>VLOOKUP(B:B,'[1]Master Sheet'!$B:$I,8,0)</f>
        <v>205</v>
      </c>
      <c r="J573" s="16"/>
      <c r="K573" s="3" t="s">
        <v>2965</v>
      </c>
      <c r="L573" s="3" t="s">
        <v>3055</v>
      </c>
      <c r="M573" s="3" t="s">
        <v>3056</v>
      </c>
      <c r="N573" s="3"/>
      <c r="O573" s="3"/>
    </row>
    <row r="574" spans="1:15" s="4" customFormat="1">
      <c r="A574" s="2">
        <v>573</v>
      </c>
      <c r="B574" s="3" t="s">
        <v>1314</v>
      </c>
      <c r="C574" s="3" t="s">
        <v>1315</v>
      </c>
      <c r="D574" s="2" t="s">
        <v>7</v>
      </c>
      <c r="E574" s="2" t="s">
        <v>8</v>
      </c>
      <c r="F574" s="16"/>
      <c r="G574" s="16"/>
      <c r="H574" s="16">
        <f>VLOOKUP(B:B,'[1]Master Sheet'!$B:$H,7,0)</f>
        <v>150</v>
      </c>
      <c r="I574" s="16">
        <f>VLOOKUP(B:B,'[1]Master Sheet'!$B:$I,8,0)</f>
        <v>0</v>
      </c>
      <c r="J574" s="16"/>
      <c r="K574" s="3" t="s">
        <v>2965</v>
      </c>
      <c r="L574" s="3" t="s">
        <v>3055</v>
      </c>
      <c r="M574" s="3" t="s">
        <v>3056</v>
      </c>
      <c r="N574" s="3"/>
      <c r="O574" s="3"/>
    </row>
    <row r="575" spans="1:15" s="4" customFormat="1">
      <c r="A575" s="2">
        <v>574</v>
      </c>
      <c r="B575" s="3" t="s">
        <v>1316</v>
      </c>
      <c r="C575" s="3" t="s">
        <v>1317</v>
      </c>
      <c r="D575" s="2" t="s">
        <v>7</v>
      </c>
      <c r="E575" s="2" t="s">
        <v>8</v>
      </c>
      <c r="F575" s="16"/>
      <c r="G575" s="16"/>
      <c r="H575" s="16">
        <f>VLOOKUP(B:B,'[1]Master Sheet'!$B:$H,7,0)</f>
        <v>150</v>
      </c>
      <c r="I575" s="16">
        <f>VLOOKUP(B:B,'[1]Master Sheet'!$B:$I,8,0)</f>
        <v>0</v>
      </c>
      <c r="J575" s="16"/>
      <c r="K575" s="3" t="s">
        <v>2965</v>
      </c>
      <c r="L575" s="3" t="s">
        <v>3055</v>
      </c>
      <c r="M575" s="3" t="s">
        <v>3056</v>
      </c>
      <c r="N575" s="3"/>
      <c r="O575" s="3"/>
    </row>
    <row r="576" spans="1:15" s="4" customFormat="1">
      <c r="A576" s="2">
        <v>575</v>
      </c>
      <c r="B576" s="3" t="s">
        <v>1318</v>
      </c>
      <c r="C576" s="3" t="s">
        <v>1319</v>
      </c>
      <c r="D576" s="2" t="s">
        <v>7</v>
      </c>
      <c r="E576" s="2" t="s">
        <v>8</v>
      </c>
      <c r="F576" s="16"/>
      <c r="G576" s="16"/>
      <c r="H576" s="16">
        <f>VLOOKUP(B:B,'[1]Master Sheet'!$B:$H,7,0)</f>
        <v>1500</v>
      </c>
      <c r="I576" s="16">
        <f>VLOOKUP(B:B,'[1]Master Sheet'!$B:$I,8,0)</f>
        <v>0</v>
      </c>
      <c r="J576" s="16"/>
      <c r="K576" s="3" t="s">
        <v>2965</v>
      </c>
      <c r="L576" s="3" t="s">
        <v>3055</v>
      </c>
      <c r="M576" s="3" t="s">
        <v>3056</v>
      </c>
      <c r="N576" s="3"/>
      <c r="O576" s="3"/>
    </row>
    <row r="577" spans="1:15" s="4" customFormat="1">
      <c r="A577" s="2">
        <v>576</v>
      </c>
      <c r="B577" s="3" t="s">
        <v>1320</v>
      </c>
      <c r="C577" s="3" t="s">
        <v>1321</v>
      </c>
      <c r="D577" s="2" t="s">
        <v>7</v>
      </c>
      <c r="E577" s="2" t="s">
        <v>8</v>
      </c>
      <c r="F577" s="16"/>
      <c r="G577" s="16"/>
      <c r="H577" s="16">
        <f>VLOOKUP(B:B,'[1]Master Sheet'!$B:$H,7,0)</f>
        <v>0</v>
      </c>
      <c r="I577" s="16">
        <f>VLOOKUP(B:B,'[1]Master Sheet'!$B:$I,8,0)</f>
        <v>0</v>
      </c>
      <c r="J577" s="16"/>
      <c r="K577" s="3" t="s">
        <v>2965</v>
      </c>
      <c r="L577" s="3" t="s">
        <v>3055</v>
      </c>
      <c r="M577" s="3" t="s">
        <v>3056</v>
      </c>
      <c r="N577" s="3"/>
      <c r="O577" s="3"/>
    </row>
    <row r="578" spans="1:15" s="4" customFormat="1">
      <c r="A578" s="2">
        <v>577</v>
      </c>
      <c r="B578" s="3" t="s">
        <v>1322</v>
      </c>
      <c r="C578" s="3" t="s">
        <v>1323</v>
      </c>
      <c r="D578" s="2" t="s">
        <v>7</v>
      </c>
      <c r="E578" s="2" t="s">
        <v>8</v>
      </c>
      <c r="F578" s="16"/>
      <c r="G578" s="16"/>
      <c r="H578" s="16">
        <f>VLOOKUP(B:B,'[1]Master Sheet'!$B:$H,7,0)</f>
        <v>1500</v>
      </c>
      <c r="I578" s="16">
        <v>1000</v>
      </c>
      <c r="J578" s="16"/>
      <c r="K578" s="3" t="s">
        <v>2965</v>
      </c>
      <c r="L578" s="3" t="s">
        <v>3055</v>
      </c>
      <c r="M578" s="3" t="s">
        <v>3056</v>
      </c>
      <c r="N578" s="3"/>
      <c r="O578" s="3"/>
    </row>
    <row r="579" spans="1:15" s="4" customFormat="1">
      <c r="A579" s="2">
        <v>578</v>
      </c>
      <c r="B579" s="3" t="s">
        <v>1324</v>
      </c>
      <c r="C579" s="3" t="s">
        <v>1325</v>
      </c>
      <c r="D579" s="2" t="s">
        <v>7</v>
      </c>
      <c r="E579" s="2" t="s">
        <v>8</v>
      </c>
      <c r="F579" s="16"/>
      <c r="G579" s="16"/>
      <c r="H579" s="16">
        <f>VLOOKUP(B:B,'[1]Master Sheet'!$B:$H,7,0)</f>
        <v>0</v>
      </c>
      <c r="I579" s="16">
        <f>VLOOKUP(B:B,'[1]Master Sheet'!$B:$I,8,0)</f>
        <v>0</v>
      </c>
      <c r="J579" s="16"/>
      <c r="K579" s="3" t="s">
        <v>2965</v>
      </c>
      <c r="L579" s="3" t="s">
        <v>3055</v>
      </c>
      <c r="M579" s="3" t="s">
        <v>3056</v>
      </c>
      <c r="N579" s="3"/>
      <c r="O579" s="3"/>
    </row>
    <row r="580" spans="1:15" s="4" customFormat="1">
      <c r="A580" s="2">
        <v>579</v>
      </c>
      <c r="B580" s="3" t="s">
        <v>1328</v>
      </c>
      <c r="C580" s="3" t="s">
        <v>1329</v>
      </c>
      <c r="D580" s="2" t="s">
        <v>7</v>
      </c>
      <c r="E580" s="2" t="s">
        <v>8</v>
      </c>
      <c r="F580" s="16"/>
      <c r="G580" s="16"/>
      <c r="H580" s="16">
        <f>VLOOKUP(B:B,'[1]Master Sheet'!$B:$H,7,0)</f>
        <v>500</v>
      </c>
      <c r="I580" s="16">
        <f>VLOOKUP(B:B,'[1]Master Sheet'!$B:$I,8,0)</f>
        <v>0</v>
      </c>
      <c r="J580" s="16"/>
      <c r="K580" s="3" t="s">
        <v>2965</v>
      </c>
      <c r="L580" s="3" t="s">
        <v>3055</v>
      </c>
      <c r="M580" s="3" t="s">
        <v>3056</v>
      </c>
      <c r="N580" s="3"/>
      <c r="O580" s="3"/>
    </row>
    <row r="581" spans="1:15" s="4" customFormat="1">
      <c r="A581" s="2">
        <v>580</v>
      </c>
      <c r="B581" s="3" t="s">
        <v>1332</v>
      </c>
      <c r="C581" s="3" t="s">
        <v>1333</v>
      </c>
      <c r="D581" s="2" t="s">
        <v>7</v>
      </c>
      <c r="E581" s="2" t="s">
        <v>8</v>
      </c>
      <c r="F581" s="16"/>
      <c r="G581" s="16"/>
      <c r="H581" s="16">
        <f>VLOOKUP(B:B,'[1]Master Sheet'!$B:$H,7,0)</f>
        <v>0</v>
      </c>
      <c r="I581" s="16">
        <f>VLOOKUP(B:B,'[1]Master Sheet'!$B:$I,8,0)</f>
        <v>0</v>
      </c>
      <c r="J581" s="16"/>
      <c r="K581" s="3" t="s">
        <v>2965</v>
      </c>
      <c r="L581" s="3" t="s">
        <v>3055</v>
      </c>
      <c r="M581" s="3" t="s">
        <v>3056</v>
      </c>
      <c r="N581" s="3"/>
      <c r="O581" s="3"/>
    </row>
    <row r="582" spans="1:15" s="4" customFormat="1">
      <c r="A582" s="2">
        <v>581</v>
      </c>
      <c r="B582" s="3" t="s">
        <v>1334</v>
      </c>
      <c r="C582" s="3" t="s">
        <v>1335</v>
      </c>
      <c r="D582" s="2" t="s">
        <v>7</v>
      </c>
      <c r="E582" s="2" t="s">
        <v>8</v>
      </c>
      <c r="F582" s="16"/>
      <c r="G582" s="16"/>
      <c r="H582" s="16">
        <f>VLOOKUP(B:B,'[1]Master Sheet'!$B:$H,7,0)</f>
        <v>0</v>
      </c>
      <c r="I582" s="16">
        <f>VLOOKUP(B:B,'[1]Master Sheet'!$B:$I,8,0)</f>
        <v>0</v>
      </c>
      <c r="J582" s="16"/>
      <c r="K582" s="3" t="s">
        <v>2965</v>
      </c>
      <c r="L582" s="3" t="s">
        <v>3055</v>
      </c>
      <c r="M582" s="3" t="s">
        <v>3056</v>
      </c>
      <c r="N582" s="3"/>
      <c r="O582" s="3"/>
    </row>
    <row r="583" spans="1:15" s="4" customFormat="1">
      <c r="A583" s="2">
        <v>582</v>
      </c>
      <c r="B583" s="3" t="s">
        <v>1338</v>
      </c>
      <c r="C583" s="3" t="s">
        <v>1339</v>
      </c>
      <c r="D583" s="2" t="s">
        <v>7</v>
      </c>
      <c r="E583" s="2" t="s">
        <v>8</v>
      </c>
      <c r="F583" s="16"/>
      <c r="G583" s="16"/>
      <c r="H583" s="16">
        <f>VLOOKUP(B:B,'[1]Master Sheet'!$B:$H,7,0)</f>
        <v>250</v>
      </c>
      <c r="I583" s="16">
        <f>VLOOKUP(B:B,'[1]Master Sheet'!$B:$I,8,0)</f>
        <v>500</v>
      </c>
      <c r="J583" s="16"/>
      <c r="K583" s="3" t="s">
        <v>2965</v>
      </c>
      <c r="L583" s="3" t="s">
        <v>3055</v>
      </c>
      <c r="M583" s="3" t="s">
        <v>3056</v>
      </c>
      <c r="N583" s="3"/>
      <c r="O583" s="3"/>
    </row>
    <row r="584" spans="1:15" s="4" customFormat="1">
      <c r="A584" s="2">
        <v>583</v>
      </c>
      <c r="B584" s="3" t="s">
        <v>1342</v>
      </c>
      <c r="C584" s="3" t="s">
        <v>1343</v>
      </c>
      <c r="D584" s="2" t="s">
        <v>7</v>
      </c>
      <c r="E584" s="2" t="s">
        <v>8</v>
      </c>
      <c r="F584" s="16"/>
      <c r="G584" s="16"/>
      <c r="H584" s="16">
        <f>VLOOKUP(B:B,'[1]Master Sheet'!$B:$H,7,0)</f>
        <v>500</v>
      </c>
      <c r="I584" s="16">
        <f>VLOOKUP(B:B,'[1]Master Sheet'!$B:$I,8,0)</f>
        <v>250</v>
      </c>
      <c r="J584" s="16"/>
      <c r="K584" s="3" t="s">
        <v>2965</v>
      </c>
      <c r="L584" s="3" t="s">
        <v>3055</v>
      </c>
      <c r="M584" s="3" t="s">
        <v>3056</v>
      </c>
      <c r="N584" s="3"/>
      <c r="O584" s="3"/>
    </row>
    <row r="585" spans="1:15" s="4" customFormat="1">
      <c r="A585" s="2">
        <v>584</v>
      </c>
      <c r="B585" s="3" t="s">
        <v>1344</v>
      </c>
      <c r="C585" s="3" t="s">
        <v>1345</v>
      </c>
      <c r="D585" s="2" t="s">
        <v>7</v>
      </c>
      <c r="E585" s="2" t="s">
        <v>8</v>
      </c>
      <c r="F585" s="16"/>
      <c r="G585" s="16"/>
      <c r="H585" s="16">
        <f>VLOOKUP(B:B,'[1]Master Sheet'!$B:$H,7,0)</f>
        <v>200</v>
      </c>
      <c r="I585" s="16">
        <f>VLOOKUP(B:B,'[1]Master Sheet'!$B:$I,8,0)</f>
        <v>0</v>
      </c>
      <c r="J585" s="16"/>
      <c r="K585" s="3" t="s">
        <v>2965</v>
      </c>
      <c r="L585" s="3" t="s">
        <v>3055</v>
      </c>
      <c r="M585" s="3" t="s">
        <v>3056</v>
      </c>
      <c r="N585" s="3"/>
      <c r="O585" s="3"/>
    </row>
    <row r="586" spans="1:15" s="4" customFormat="1">
      <c r="A586" s="2">
        <v>585</v>
      </c>
      <c r="B586" s="3" t="s">
        <v>1346</v>
      </c>
      <c r="C586" s="3" t="s">
        <v>1347</v>
      </c>
      <c r="D586" s="2" t="s">
        <v>7</v>
      </c>
      <c r="E586" s="2" t="s">
        <v>8</v>
      </c>
      <c r="F586" s="16"/>
      <c r="G586" s="16"/>
      <c r="H586" s="16">
        <f>VLOOKUP(B:B,'[1]Master Sheet'!$B:$H,7,0)</f>
        <v>350</v>
      </c>
      <c r="I586" s="16">
        <f>VLOOKUP(B:B,'[1]Master Sheet'!$B:$I,8,0)</f>
        <v>0</v>
      </c>
      <c r="J586" s="16"/>
      <c r="K586" s="3" t="s">
        <v>2965</v>
      </c>
      <c r="L586" s="3" t="s">
        <v>3055</v>
      </c>
      <c r="M586" s="3" t="s">
        <v>3056</v>
      </c>
      <c r="N586" s="3"/>
      <c r="O586" s="3"/>
    </row>
    <row r="587" spans="1:15" s="4" customFormat="1">
      <c r="A587" s="2">
        <v>586</v>
      </c>
      <c r="B587" s="3" t="s">
        <v>1348</v>
      </c>
      <c r="C587" s="3" t="s">
        <v>1349</v>
      </c>
      <c r="D587" s="2" t="s">
        <v>7</v>
      </c>
      <c r="E587" s="2" t="s">
        <v>8</v>
      </c>
      <c r="F587" s="16"/>
      <c r="G587" s="16"/>
      <c r="H587" s="16">
        <f>VLOOKUP(B:B,'[1]Master Sheet'!$B:$H,7,0)</f>
        <v>0</v>
      </c>
      <c r="I587" s="16">
        <f>VLOOKUP(B:B,'[1]Master Sheet'!$B:$I,8,0)</f>
        <v>0</v>
      </c>
      <c r="J587" s="16"/>
      <c r="K587" s="3" t="s">
        <v>2965</v>
      </c>
      <c r="L587" s="3" t="s">
        <v>3055</v>
      </c>
      <c r="M587" s="3" t="s">
        <v>3056</v>
      </c>
      <c r="N587" s="3"/>
      <c r="O587" s="3"/>
    </row>
    <row r="588" spans="1:15" s="4" customFormat="1">
      <c r="A588" s="2">
        <v>587</v>
      </c>
      <c r="B588" s="3" t="s">
        <v>1350</v>
      </c>
      <c r="C588" s="3" t="s">
        <v>1351</v>
      </c>
      <c r="D588" s="2" t="s">
        <v>20</v>
      </c>
      <c r="E588" s="2" t="s">
        <v>8</v>
      </c>
      <c r="F588" s="16"/>
      <c r="G588" s="16"/>
      <c r="H588" s="16">
        <f>VLOOKUP(B:B,'[1]Master Sheet'!$B:$H,7,0)</f>
        <v>0</v>
      </c>
      <c r="I588" s="16">
        <f>VLOOKUP(B:B,'[1]Master Sheet'!$B:$I,8,0)</f>
        <v>0</v>
      </c>
      <c r="J588" s="16"/>
      <c r="K588" s="3" t="s">
        <v>2965</v>
      </c>
      <c r="L588" s="3" t="s">
        <v>3055</v>
      </c>
      <c r="M588" s="3" t="s">
        <v>3058</v>
      </c>
      <c r="N588" s="3"/>
      <c r="O588" s="3"/>
    </row>
    <row r="589" spans="1:15" s="4" customFormat="1">
      <c r="A589" s="2">
        <v>588</v>
      </c>
      <c r="B589" s="3" t="s">
        <v>1356</v>
      </c>
      <c r="C589" s="3" t="s">
        <v>1357</v>
      </c>
      <c r="D589" s="2" t="s">
        <v>7</v>
      </c>
      <c r="E589" s="2" t="s">
        <v>8</v>
      </c>
      <c r="F589" s="16"/>
      <c r="G589" s="16"/>
      <c r="H589" s="16">
        <f>VLOOKUP(B:B,'[1]Master Sheet'!$B:$H,7,0)</f>
        <v>100</v>
      </c>
      <c r="I589" s="16">
        <f>VLOOKUP(B:B,'[1]Master Sheet'!$B:$I,8,0)</f>
        <v>0</v>
      </c>
      <c r="J589" s="16"/>
      <c r="K589" s="3" t="s">
        <v>2965</v>
      </c>
      <c r="L589" s="3" t="s">
        <v>3055</v>
      </c>
      <c r="M589" s="3" t="s">
        <v>3056</v>
      </c>
      <c r="N589" s="3"/>
      <c r="O589" s="3"/>
    </row>
    <row r="590" spans="1:15" s="4" customFormat="1">
      <c r="A590" s="2">
        <v>589</v>
      </c>
      <c r="B590" s="3" t="s">
        <v>1358</v>
      </c>
      <c r="C590" s="3" t="s">
        <v>1359</v>
      </c>
      <c r="D590" s="2" t="s">
        <v>7</v>
      </c>
      <c r="E590" s="2" t="s">
        <v>8</v>
      </c>
      <c r="F590" s="16"/>
      <c r="G590" s="16"/>
      <c r="H590" s="16">
        <f>VLOOKUP(B:B,'[1]Master Sheet'!$B:$H,7,0)</f>
        <v>0</v>
      </c>
      <c r="I590" s="16">
        <f>VLOOKUP(B:B,'[1]Master Sheet'!$B:$I,8,0)</f>
        <v>0</v>
      </c>
      <c r="J590" s="16"/>
      <c r="K590" s="3" t="s">
        <v>2965</v>
      </c>
      <c r="L590" s="3" t="s">
        <v>3055</v>
      </c>
      <c r="M590" s="3" t="s">
        <v>3056</v>
      </c>
      <c r="N590" s="3"/>
      <c r="O590" s="3"/>
    </row>
    <row r="591" spans="1:15" s="4" customFormat="1">
      <c r="A591" s="2">
        <v>590</v>
      </c>
      <c r="B591" s="3" t="s">
        <v>1360</v>
      </c>
      <c r="C591" s="3" t="s">
        <v>1361</v>
      </c>
      <c r="D591" s="2" t="s">
        <v>7</v>
      </c>
      <c r="E591" s="2" t="s">
        <v>8</v>
      </c>
      <c r="F591" s="16"/>
      <c r="G591" s="16"/>
      <c r="H591" s="16">
        <f>VLOOKUP(B:B,'[1]Master Sheet'!$B:$H,7,0)</f>
        <v>0</v>
      </c>
      <c r="I591" s="16">
        <f>VLOOKUP(B:B,'[1]Master Sheet'!$B:$I,8,0)</f>
        <v>0</v>
      </c>
      <c r="J591" s="16"/>
      <c r="K591" s="3" t="s">
        <v>2965</v>
      </c>
      <c r="L591" s="3" t="s">
        <v>3055</v>
      </c>
      <c r="M591" s="3" t="s">
        <v>3056</v>
      </c>
      <c r="N591" s="3"/>
      <c r="O591" s="3"/>
    </row>
    <row r="592" spans="1:15" s="4" customFormat="1">
      <c r="A592" s="2">
        <v>591</v>
      </c>
      <c r="B592" s="3" t="s">
        <v>1362</v>
      </c>
      <c r="C592" s="3" t="s">
        <v>1363</v>
      </c>
      <c r="D592" s="2" t="s">
        <v>7</v>
      </c>
      <c r="E592" s="2" t="s">
        <v>8</v>
      </c>
      <c r="F592" s="16"/>
      <c r="G592" s="16"/>
      <c r="H592" s="16">
        <f>VLOOKUP(B:B,'[1]Master Sheet'!$B:$H,7,0)</f>
        <v>500</v>
      </c>
      <c r="I592" s="16">
        <f>VLOOKUP(B:B,'[1]Master Sheet'!$B:$I,8,0)</f>
        <v>0</v>
      </c>
      <c r="J592" s="16"/>
      <c r="K592" s="3" t="s">
        <v>2965</v>
      </c>
      <c r="L592" s="3" t="s">
        <v>3055</v>
      </c>
      <c r="M592" s="3" t="s">
        <v>3056</v>
      </c>
      <c r="N592" s="3"/>
      <c r="O592" s="3"/>
    </row>
    <row r="593" spans="1:15" s="4" customFormat="1">
      <c r="A593" s="2">
        <v>592</v>
      </c>
      <c r="B593" s="3" t="s">
        <v>1364</v>
      </c>
      <c r="C593" s="3" t="s">
        <v>1365</v>
      </c>
      <c r="D593" s="2" t="s">
        <v>7</v>
      </c>
      <c r="E593" s="2" t="s">
        <v>8</v>
      </c>
      <c r="F593" s="16"/>
      <c r="G593" s="16"/>
      <c r="H593" s="16">
        <f>VLOOKUP(B:B,'[1]Master Sheet'!$B:$H,7,0)</f>
        <v>0</v>
      </c>
      <c r="I593" s="16">
        <f>VLOOKUP(B:B,'[1]Master Sheet'!$B:$I,8,0)</f>
        <v>0</v>
      </c>
      <c r="J593" s="16"/>
      <c r="K593" s="3" t="s">
        <v>2965</v>
      </c>
      <c r="L593" s="3" t="s">
        <v>3055</v>
      </c>
      <c r="M593" s="3" t="s">
        <v>3056</v>
      </c>
      <c r="N593" s="3"/>
      <c r="O593" s="3"/>
    </row>
    <row r="594" spans="1:15" s="4" customFormat="1">
      <c r="A594" s="2">
        <v>593</v>
      </c>
      <c r="B594" s="3" t="s">
        <v>1366</v>
      </c>
      <c r="C594" s="3" t="s">
        <v>1367</v>
      </c>
      <c r="D594" s="2" t="s">
        <v>7</v>
      </c>
      <c r="E594" s="2" t="s">
        <v>8</v>
      </c>
      <c r="F594" s="16"/>
      <c r="G594" s="16"/>
      <c r="H594" s="16">
        <f>VLOOKUP(B:B,'[1]Master Sheet'!$B:$H,7,0)</f>
        <v>0</v>
      </c>
      <c r="I594" s="16">
        <f>VLOOKUP(B:B,'[1]Master Sheet'!$B:$I,8,0)</f>
        <v>0</v>
      </c>
      <c r="J594" s="16"/>
      <c r="K594" s="3" t="s">
        <v>2965</v>
      </c>
      <c r="L594" s="3" t="s">
        <v>3055</v>
      </c>
      <c r="M594" s="3" t="s">
        <v>3056</v>
      </c>
      <c r="N594" s="3"/>
      <c r="O594" s="3"/>
    </row>
    <row r="595" spans="1:15" s="4" customFormat="1">
      <c r="A595" s="2">
        <v>594</v>
      </c>
      <c r="B595" s="3" t="s">
        <v>1368</v>
      </c>
      <c r="C595" s="3" t="s">
        <v>1369</v>
      </c>
      <c r="D595" s="2" t="s">
        <v>7</v>
      </c>
      <c r="E595" s="2" t="s">
        <v>8</v>
      </c>
      <c r="F595" s="16"/>
      <c r="G595" s="16"/>
      <c r="H595" s="16">
        <f>VLOOKUP(B:B,'[1]Master Sheet'!$B:$H,7,0)</f>
        <v>750</v>
      </c>
      <c r="I595" s="16">
        <f>VLOOKUP(B:B,'[1]Master Sheet'!$B:$I,8,0)</f>
        <v>0</v>
      </c>
      <c r="J595" s="16"/>
      <c r="K595" s="3" t="s">
        <v>2965</v>
      </c>
      <c r="L595" s="3" t="s">
        <v>3055</v>
      </c>
      <c r="M595" s="3" t="s">
        <v>3056</v>
      </c>
      <c r="N595" s="3"/>
      <c r="O595" s="3"/>
    </row>
    <row r="596" spans="1:15" s="4" customFormat="1">
      <c r="A596" s="2">
        <v>595</v>
      </c>
      <c r="B596" s="3" t="s">
        <v>1370</v>
      </c>
      <c r="C596" s="3" t="s">
        <v>1371</v>
      </c>
      <c r="D596" s="2" t="s">
        <v>7</v>
      </c>
      <c r="E596" s="2" t="s">
        <v>8</v>
      </c>
      <c r="F596" s="16"/>
      <c r="G596" s="16"/>
      <c r="H596" s="16">
        <f>VLOOKUP(B:B,'[1]Master Sheet'!$B:$H,7,0)</f>
        <v>250</v>
      </c>
      <c r="I596" s="16">
        <f>VLOOKUP(B:B,'[1]Master Sheet'!$B:$I,8,0)</f>
        <v>0</v>
      </c>
      <c r="J596" s="16"/>
      <c r="K596" s="3" t="s">
        <v>2965</v>
      </c>
      <c r="L596" s="3" t="s">
        <v>3055</v>
      </c>
      <c r="M596" s="3" t="s">
        <v>3056</v>
      </c>
      <c r="N596" s="3"/>
      <c r="O596" s="3"/>
    </row>
    <row r="597" spans="1:15" s="4" customFormat="1">
      <c r="A597" s="2">
        <v>596</v>
      </c>
      <c r="B597" s="3" t="s">
        <v>1374</v>
      </c>
      <c r="C597" s="3" t="s">
        <v>1375</v>
      </c>
      <c r="D597" s="2" t="s">
        <v>7</v>
      </c>
      <c r="E597" s="2" t="s">
        <v>8</v>
      </c>
      <c r="F597" s="16"/>
      <c r="G597" s="16"/>
      <c r="H597" s="16">
        <f>VLOOKUP(B:B,'[1]Master Sheet'!$B:$H,7,0)</f>
        <v>0</v>
      </c>
      <c r="I597" s="16">
        <f>VLOOKUP(B:B,'[1]Master Sheet'!$B:$I,8,0)</f>
        <v>0</v>
      </c>
      <c r="J597" s="16"/>
      <c r="K597" s="3" t="s">
        <v>2965</v>
      </c>
      <c r="L597" s="3" t="s">
        <v>3055</v>
      </c>
      <c r="M597" s="3" t="s">
        <v>3056</v>
      </c>
      <c r="N597" s="3"/>
      <c r="O597" s="3"/>
    </row>
    <row r="598" spans="1:15" s="4" customFormat="1">
      <c r="A598" s="2">
        <v>597</v>
      </c>
      <c r="B598" s="3" t="s">
        <v>1376</v>
      </c>
      <c r="C598" s="3" t="s">
        <v>1377</v>
      </c>
      <c r="D598" s="2" t="s">
        <v>7</v>
      </c>
      <c r="E598" s="2" t="s">
        <v>8</v>
      </c>
      <c r="F598" s="16"/>
      <c r="G598" s="16"/>
      <c r="H598" s="16">
        <f>VLOOKUP(B:B,'[1]Master Sheet'!$B:$H,7,0)</f>
        <v>650</v>
      </c>
      <c r="I598" s="16">
        <f>VLOOKUP(B:B,'[1]Master Sheet'!$B:$I,8,0)</f>
        <v>0</v>
      </c>
      <c r="J598" s="16"/>
      <c r="K598" s="3" t="s">
        <v>2965</v>
      </c>
      <c r="L598" s="3" t="s">
        <v>3055</v>
      </c>
      <c r="M598" s="3" t="s">
        <v>3056</v>
      </c>
      <c r="N598" s="3"/>
      <c r="O598" s="3"/>
    </row>
    <row r="599" spans="1:15" s="4" customFormat="1">
      <c r="A599" s="2">
        <v>598</v>
      </c>
      <c r="B599" s="3" t="s">
        <v>1382</v>
      </c>
      <c r="C599" s="3" t="s">
        <v>1383</v>
      </c>
      <c r="D599" s="2" t="s">
        <v>7</v>
      </c>
      <c r="E599" s="2" t="s">
        <v>8</v>
      </c>
      <c r="F599" s="16"/>
      <c r="G599" s="16"/>
      <c r="H599" s="16">
        <f>VLOOKUP(B:B,'[1]Master Sheet'!$B:$H,7,0)</f>
        <v>200</v>
      </c>
      <c r="I599" s="16">
        <f>VLOOKUP(B:B,'[1]Master Sheet'!$B:$I,8,0)</f>
        <v>0</v>
      </c>
      <c r="J599" s="16"/>
      <c r="K599" s="3" t="s">
        <v>2965</v>
      </c>
      <c r="L599" s="3" t="s">
        <v>3055</v>
      </c>
      <c r="M599" s="3" t="s">
        <v>3056</v>
      </c>
      <c r="N599" s="3"/>
      <c r="O599" s="3"/>
    </row>
    <row r="600" spans="1:15" s="4" customFormat="1">
      <c r="A600" s="2">
        <v>599</v>
      </c>
      <c r="B600" s="3" t="s">
        <v>1384</v>
      </c>
      <c r="C600" s="3" t="s">
        <v>1385</v>
      </c>
      <c r="D600" s="2" t="s">
        <v>20</v>
      </c>
      <c r="E600" s="2" t="s">
        <v>8</v>
      </c>
      <c r="F600" s="16">
        <v>495.2</v>
      </c>
      <c r="G600" s="16"/>
      <c r="H600" s="16">
        <f>VLOOKUP(B:B,'[1]Master Sheet'!$B:$H,7,0)</f>
        <v>500</v>
      </c>
      <c r="I600" s="16">
        <f>VLOOKUP(B:B,'[1]Master Sheet'!$B:$I,8,0)</f>
        <v>1500</v>
      </c>
      <c r="J600" s="16"/>
      <c r="K600" s="3" t="s">
        <v>2965</v>
      </c>
      <c r="L600" s="3" t="s">
        <v>3055</v>
      </c>
      <c r="M600" s="3" t="s">
        <v>3056</v>
      </c>
      <c r="N600" s="3"/>
      <c r="O600" s="3"/>
    </row>
    <row r="601" spans="1:15" s="4" customFormat="1">
      <c r="A601" s="2">
        <v>600</v>
      </c>
      <c r="B601" s="3" t="s">
        <v>1386</v>
      </c>
      <c r="C601" s="3" t="s">
        <v>1387</v>
      </c>
      <c r="D601" s="2" t="s">
        <v>7</v>
      </c>
      <c r="E601" s="2" t="s">
        <v>8</v>
      </c>
      <c r="F601" s="16"/>
      <c r="G601" s="16"/>
      <c r="H601" s="16">
        <f>VLOOKUP(B:B,'[1]Master Sheet'!$B:$H,7,0)</f>
        <v>0</v>
      </c>
      <c r="I601" s="16">
        <f>VLOOKUP(B:B,'[1]Master Sheet'!$B:$I,8,0)</f>
        <v>0</v>
      </c>
      <c r="J601" s="16"/>
      <c r="K601" s="3" t="s">
        <v>2965</v>
      </c>
      <c r="L601" s="3" t="s">
        <v>3055</v>
      </c>
      <c r="M601" s="3" t="s">
        <v>3056</v>
      </c>
      <c r="N601" s="3"/>
      <c r="O601" s="3"/>
    </row>
    <row r="602" spans="1:15" s="4" customFormat="1">
      <c r="A602" s="2">
        <v>601</v>
      </c>
      <c r="B602" s="3" t="s">
        <v>1388</v>
      </c>
      <c r="C602" s="3" t="s">
        <v>1389</v>
      </c>
      <c r="D602" s="2" t="s">
        <v>7</v>
      </c>
      <c r="E602" s="2" t="s">
        <v>8</v>
      </c>
      <c r="F602" s="16"/>
      <c r="G602" s="16"/>
      <c r="H602" s="16">
        <f>VLOOKUP(B:B,'[1]Master Sheet'!$B:$H,7,0)</f>
        <v>0</v>
      </c>
      <c r="I602" s="16">
        <f>VLOOKUP(B:B,'[1]Master Sheet'!$B:$I,8,0)</f>
        <v>0</v>
      </c>
      <c r="J602" s="16"/>
      <c r="K602" s="3" t="s">
        <v>2965</v>
      </c>
      <c r="L602" s="3" t="s">
        <v>3055</v>
      </c>
      <c r="M602" s="3" t="s">
        <v>3056</v>
      </c>
      <c r="N602" s="3"/>
      <c r="O602" s="3"/>
    </row>
    <row r="603" spans="1:15" s="4" customFormat="1">
      <c r="A603" s="2">
        <v>602</v>
      </c>
      <c r="B603" s="3" t="s">
        <v>1390</v>
      </c>
      <c r="C603" s="3" t="s">
        <v>1391</v>
      </c>
      <c r="D603" s="2" t="s">
        <v>7</v>
      </c>
      <c r="E603" s="2" t="s">
        <v>8</v>
      </c>
      <c r="F603" s="16"/>
      <c r="G603" s="16"/>
      <c r="H603" s="16">
        <f>VLOOKUP(B:B,'[1]Master Sheet'!$B:$H,7,0)</f>
        <v>0</v>
      </c>
      <c r="I603" s="16">
        <f>VLOOKUP(B:B,'[1]Master Sheet'!$B:$I,8,0)</f>
        <v>0</v>
      </c>
      <c r="J603" s="16"/>
      <c r="K603" s="3" t="s">
        <v>2965</v>
      </c>
      <c r="L603" s="3" t="s">
        <v>3055</v>
      </c>
      <c r="M603" s="3" t="s">
        <v>3056</v>
      </c>
      <c r="N603" s="3"/>
      <c r="O603" s="3"/>
    </row>
    <row r="604" spans="1:15" s="4" customFormat="1">
      <c r="A604" s="2">
        <v>603</v>
      </c>
      <c r="B604" s="3" t="s">
        <v>1392</v>
      </c>
      <c r="C604" s="3" t="s">
        <v>1393</v>
      </c>
      <c r="D604" s="2" t="s">
        <v>7</v>
      </c>
      <c r="E604" s="2" t="s">
        <v>8</v>
      </c>
      <c r="F604" s="16"/>
      <c r="G604" s="16"/>
      <c r="H604" s="16">
        <f>VLOOKUP(B:B,'[1]Master Sheet'!$B:$H,7,0)</f>
        <v>0</v>
      </c>
      <c r="I604" s="16">
        <f>VLOOKUP(B:B,'[1]Master Sheet'!$B:$I,8,0)</f>
        <v>0</v>
      </c>
      <c r="J604" s="16"/>
      <c r="K604" s="3" t="s">
        <v>2965</v>
      </c>
      <c r="L604" s="3" t="s">
        <v>3055</v>
      </c>
      <c r="M604" s="3" t="s">
        <v>3056</v>
      </c>
      <c r="N604" s="3"/>
      <c r="O604" s="3"/>
    </row>
    <row r="605" spans="1:15" s="4" customFormat="1">
      <c r="A605" s="2">
        <v>604</v>
      </c>
      <c r="B605" s="3" t="s">
        <v>1396</v>
      </c>
      <c r="C605" s="3" t="s">
        <v>1397</v>
      </c>
      <c r="D605" s="2" t="s">
        <v>7</v>
      </c>
      <c r="E605" s="2" t="s">
        <v>8</v>
      </c>
      <c r="F605" s="16"/>
      <c r="G605" s="16"/>
      <c r="H605" s="16">
        <f>VLOOKUP(B:B,'[1]Master Sheet'!$B:$H,7,0)</f>
        <v>0</v>
      </c>
      <c r="I605" s="16">
        <f>VLOOKUP(B:B,'[1]Master Sheet'!$B:$I,8,0)</f>
        <v>0</v>
      </c>
      <c r="J605" s="16"/>
      <c r="K605" s="3" t="s">
        <v>2965</v>
      </c>
      <c r="L605" s="3" t="s">
        <v>3055</v>
      </c>
      <c r="M605" s="3" t="s">
        <v>3056</v>
      </c>
      <c r="N605" s="3"/>
      <c r="O605" s="3"/>
    </row>
    <row r="606" spans="1:15" s="4" customFormat="1">
      <c r="A606" s="2">
        <v>605</v>
      </c>
      <c r="B606" s="3" t="s">
        <v>1398</v>
      </c>
      <c r="C606" s="3" t="s">
        <v>1399</v>
      </c>
      <c r="D606" s="2" t="s">
        <v>7</v>
      </c>
      <c r="E606" s="2" t="s">
        <v>8</v>
      </c>
      <c r="F606" s="16"/>
      <c r="G606" s="16"/>
      <c r="H606" s="16">
        <f>VLOOKUP(B:B,'[1]Master Sheet'!$B:$H,7,0)</f>
        <v>0</v>
      </c>
      <c r="I606" s="16">
        <f>VLOOKUP(B:B,'[1]Master Sheet'!$B:$I,8,0)</f>
        <v>0</v>
      </c>
      <c r="J606" s="16"/>
      <c r="K606" s="3" t="s">
        <v>2965</v>
      </c>
      <c r="L606" s="3" t="s">
        <v>3055</v>
      </c>
      <c r="M606" s="3" t="s">
        <v>3056</v>
      </c>
      <c r="N606" s="3"/>
      <c r="O606" s="3"/>
    </row>
    <row r="607" spans="1:15" s="4" customFormat="1">
      <c r="A607" s="2">
        <v>606</v>
      </c>
      <c r="B607" s="3" t="s">
        <v>1400</v>
      </c>
      <c r="C607" s="3" t="s">
        <v>1401</v>
      </c>
      <c r="D607" s="2" t="s">
        <v>7</v>
      </c>
      <c r="E607" s="2" t="s">
        <v>8</v>
      </c>
      <c r="F607" s="16"/>
      <c r="G607" s="16"/>
      <c r="H607" s="16">
        <f>VLOOKUP(B:B,'[1]Master Sheet'!$B:$H,7,0)</f>
        <v>500</v>
      </c>
      <c r="I607" s="16">
        <f>VLOOKUP(B:B,'[1]Master Sheet'!$B:$I,8,0)</f>
        <v>0</v>
      </c>
      <c r="J607" s="16"/>
      <c r="K607" s="3" t="s">
        <v>2965</v>
      </c>
      <c r="L607" s="3" t="s">
        <v>3055</v>
      </c>
      <c r="M607" s="3" t="s">
        <v>3056</v>
      </c>
      <c r="N607" s="3"/>
      <c r="O607" s="3"/>
    </row>
    <row r="608" spans="1:15" s="4" customFormat="1">
      <c r="A608" s="2">
        <v>607</v>
      </c>
      <c r="B608" s="3" t="s">
        <v>1402</v>
      </c>
      <c r="C608" s="3" t="s">
        <v>1403</v>
      </c>
      <c r="D608" s="2" t="s">
        <v>7</v>
      </c>
      <c r="E608" s="2" t="s">
        <v>8</v>
      </c>
      <c r="F608" s="16"/>
      <c r="G608" s="16"/>
      <c r="H608" s="16">
        <f>VLOOKUP(B:B,'[1]Master Sheet'!$B:$H,7,0)</f>
        <v>500</v>
      </c>
      <c r="I608" s="16">
        <f>VLOOKUP(B:B,'[1]Master Sheet'!$B:$I,8,0)</f>
        <v>0</v>
      </c>
      <c r="J608" s="16"/>
      <c r="K608" s="3" t="s">
        <v>2965</v>
      </c>
      <c r="L608" s="3" t="s">
        <v>3055</v>
      </c>
      <c r="M608" s="3" t="s">
        <v>3056</v>
      </c>
      <c r="N608" s="3"/>
      <c r="O608" s="3"/>
    </row>
    <row r="609" spans="1:15" s="4" customFormat="1">
      <c r="A609" s="2">
        <v>608</v>
      </c>
      <c r="B609" s="3" t="s">
        <v>1404</v>
      </c>
      <c r="C609" s="3" t="s">
        <v>1405</v>
      </c>
      <c r="D609" s="2" t="s">
        <v>7</v>
      </c>
      <c r="E609" s="2" t="s">
        <v>8</v>
      </c>
      <c r="F609" s="16"/>
      <c r="G609" s="16"/>
      <c r="H609" s="16">
        <f>VLOOKUP(B:B,'[1]Master Sheet'!$B:$H,7,0)</f>
        <v>2000</v>
      </c>
      <c r="I609" s="16">
        <f>VLOOKUP(B:B,'[1]Master Sheet'!$B:$I,8,0)</f>
        <v>1000</v>
      </c>
      <c r="J609" s="16"/>
      <c r="K609" s="3" t="s">
        <v>2965</v>
      </c>
      <c r="L609" s="3" t="s">
        <v>3055</v>
      </c>
      <c r="M609" s="3" t="s">
        <v>3056</v>
      </c>
      <c r="N609" s="3"/>
      <c r="O609" s="3"/>
    </row>
    <row r="610" spans="1:15" s="4" customFormat="1">
      <c r="A610" s="2">
        <v>609</v>
      </c>
      <c r="B610" s="3" t="s">
        <v>1406</v>
      </c>
      <c r="C610" s="3" t="s">
        <v>1407</v>
      </c>
      <c r="D610" s="2" t="s">
        <v>7</v>
      </c>
      <c r="E610" s="2" t="s">
        <v>8</v>
      </c>
      <c r="F610" s="16"/>
      <c r="G610" s="16"/>
      <c r="H610" s="16">
        <f>VLOOKUP(B:B,'[1]Master Sheet'!$B:$H,7,0)</f>
        <v>0</v>
      </c>
      <c r="I610" s="16">
        <f>VLOOKUP(B:B,'[1]Master Sheet'!$B:$I,8,0)</f>
        <v>0</v>
      </c>
      <c r="J610" s="16"/>
      <c r="K610" s="3" t="s">
        <v>2965</v>
      </c>
      <c r="L610" s="3" t="s">
        <v>3055</v>
      </c>
      <c r="M610" s="3" t="s">
        <v>3056</v>
      </c>
      <c r="N610" s="3"/>
      <c r="O610" s="3"/>
    </row>
    <row r="611" spans="1:15" s="4" customFormat="1">
      <c r="A611" s="2">
        <v>610</v>
      </c>
      <c r="B611" s="3" t="s">
        <v>1408</v>
      </c>
      <c r="C611" s="3" t="s">
        <v>1409</v>
      </c>
      <c r="D611" s="2" t="s">
        <v>7</v>
      </c>
      <c r="E611" s="2" t="s">
        <v>8</v>
      </c>
      <c r="F611" s="16"/>
      <c r="G611" s="16"/>
      <c r="H611" s="16">
        <f>VLOOKUP(B:B,'[1]Master Sheet'!$B:$H,7,0)</f>
        <v>5000</v>
      </c>
      <c r="I611" s="16">
        <f>VLOOKUP(B:B,'[1]Master Sheet'!$B:$I,8,0)</f>
        <v>0</v>
      </c>
      <c r="J611" s="16"/>
      <c r="K611" s="3" t="s">
        <v>2965</v>
      </c>
      <c r="L611" s="3" t="s">
        <v>3055</v>
      </c>
      <c r="M611" s="3" t="s">
        <v>3056</v>
      </c>
      <c r="N611" s="3"/>
      <c r="O611" s="3"/>
    </row>
    <row r="612" spans="1:15" s="4" customFormat="1">
      <c r="A612" s="2">
        <v>611</v>
      </c>
      <c r="B612" s="3" t="s">
        <v>1410</v>
      </c>
      <c r="C612" s="3" t="s">
        <v>1411</v>
      </c>
      <c r="D612" s="2" t="s">
        <v>7</v>
      </c>
      <c r="E612" s="2" t="s">
        <v>8</v>
      </c>
      <c r="F612" s="16"/>
      <c r="G612" s="16"/>
      <c r="H612" s="16">
        <f>VLOOKUP(B:B,'[1]Master Sheet'!$B:$H,7,0)</f>
        <v>0</v>
      </c>
      <c r="I612" s="16">
        <f>VLOOKUP(B:B,'[1]Master Sheet'!$B:$I,8,0)</f>
        <v>0</v>
      </c>
      <c r="J612" s="16"/>
      <c r="K612" s="3" t="s">
        <v>2965</v>
      </c>
      <c r="L612" s="3" t="s">
        <v>3055</v>
      </c>
      <c r="M612" s="3" t="s">
        <v>3056</v>
      </c>
      <c r="N612" s="3"/>
      <c r="O612" s="3"/>
    </row>
    <row r="613" spans="1:15" s="4" customFormat="1">
      <c r="A613" s="2">
        <v>612</v>
      </c>
      <c r="B613" s="3" t="s">
        <v>1412</v>
      </c>
      <c r="C613" s="3" t="s">
        <v>1413</v>
      </c>
      <c r="D613" s="2" t="s">
        <v>7</v>
      </c>
      <c r="E613" s="2" t="s">
        <v>8</v>
      </c>
      <c r="F613" s="16"/>
      <c r="G613" s="16"/>
      <c r="H613" s="16">
        <f>VLOOKUP(B:B,'[1]Master Sheet'!$B:$H,7,0)</f>
        <v>0</v>
      </c>
      <c r="I613" s="16">
        <f>VLOOKUP(B:B,'[1]Master Sheet'!$B:$I,8,0)</f>
        <v>0</v>
      </c>
      <c r="J613" s="16"/>
      <c r="K613" s="3" t="s">
        <v>2965</v>
      </c>
      <c r="L613" s="3" t="s">
        <v>3055</v>
      </c>
      <c r="M613" s="3" t="s">
        <v>3056</v>
      </c>
      <c r="N613" s="3"/>
      <c r="O613" s="3"/>
    </row>
    <row r="614" spans="1:15" s="4" customFormat="1">
      <c r="A614" s="2">
        <v>613</v>
      </c>
      <c r="B614" s="3" t="s">
        <v>1414</v>
      </c>
      <c r="C614" s="3" t="s">
        <v>1415</v>
      </c>
      <c r="D614" s="2" t="s">
        <v>7</v>
      </c>
      <c r="E614" s="2" t="s">
        <v>8</v>
      </c>
      <c r="F614" s="16"/>
      <c r="G614" s="16"/>
      <c r="H614" s="16">
        <f>VLOOKUP(B:B,'[1]Master Sheet'!$B:$H,7,0)</f>
        <v>0</v>
      </c>
      <c r="I614" s="16">
        <f>VLOOKUP(B:B,'[1]Master Sheet'!$B:$I,8,0)</f>
        <v>0</v>
      </c>
      <c r="J614" s="16"/>
      <c r="K614" s="3" t="s">
        <v>2965</v>
      </c>
      <c r="L614" s="3" t="s">
        <v>3055</v>
      </c>
      <c r="M614" s="3" t="s">
        <v>3056</v>
      </c>
      <c r="N614" s="3"/>
      <c r="O614" s="3"/>
    </row>
    <row r="615" spans="1:15" s="4" customFormat="1">
      <c r="A615" s="2">
        <v>614</v>
      </c>
      <c r="B615" s="3" t="s">
        <v>1416</v>
      </c>
      <c r="C615" s="3" t="s">
        <v>1417</v>
      </c>
      <c r="D615" s="2" t="s">
        <v>7</v>
      </c>
      <c r="E615" s="2" t="s">
        <v>8</v>
      </c>
      <c r="F615" s="16"/>
      <c r="G615" s="16"/>
      <c r="H615" s="16">
        <f>VLOOKUP(B:B,'[1]Master Sheet'!$B:$H,7,0)</f>
        <v>0</v>
      </c>
      <c r="I615" s="16">
        <f>VLOOKUP(B:B,'[1]Master Sheet'!$B:$I,8,0)</f>
        <v>0</v>
      </c>
      <c r="J615" s="16"/>
      <c r="K615" s="3" t="s">
        <v>2965</v>
      </c>
      <c r="L615" s="3" t="s">
        <v>3055</v>
      </c>
      <c r="M615" s="3" t="s">
        <v>3056</v>
      </c>
      <c r="N615" s="3"/>
      <c r="O615" s="3"/>
    </row>
    <row r="616" spans="1:15" s="4" customFormat="1">
      <c r="A616" s="2">
        <v>615</v>
      </c>
      <c r="B616" s="3" t="s">
        <v>1418</v>
      </c>
      <c r="C616" s="3" t="s">
        <v>1419</v>
      </c>
      <c r="D616" s="2" t="s">
        <v>7</v>
      </c>
      <c r="E616" s="2" t="s">
        <v>8</v>
      </c>
      <c r="F616" s="16"/>
      <c r="G616" s="16"/>
      <c r="H616" s="16">
        <f>VLOOKUP(B:B,'[1]Master Sheet'!$B:$H,7,0)</f>
        <v>0</v>
      </c>
      <c r="I616" s="16">
        <f>VLOOKUP(B:B,'[1]Master Sheet'!$B:$I,8,0)</f>
        <v>0</v>
      </c>
      <c r="J616" s="16"/>
      <c r="K616" s="3" t="s">
        <v>2965</v>
      </c>
      <c r="L616" s="3" t="s">
        <v>3055</v>
      </c>
      <c r="M616" s="3" t="s">
        <v>3056</v>
      </c>
      <c r="N616" s="3"/>
      <c r="O616" s="3"/>
    </row>
    <row r="617" spans="1:15" s="4" customFormat="1">
      <c r="A617" s="2">
        <v>616</v>
      </c>
      <c r="B617" s="3" t="s">
        <v>1420</v>
      </c>
      <c r="C617" s="3" t="s">
        <v>1421</v>
      </c>
      <c r="D617" s="2" t="s">
        <v>7</v>
      </c>
      <c r="E617" s="2" t="s">
        <v>8</v>
      </c>
      <c r="F617" s="16"/>
      <c r="G617" s="16"/>
      <c r="H617" s="16">
        <f>VLOOKUP(B:B,'[1]Master Sheet'!$B:$H,7,0)</f>
        <v>1000</v>
      </c>
      <c r="I617" s="16">
        <f>VLOOKUP(B:B,'[1]Master Sheet'!$B:$I,8,0)</f>
        <v>0</v>
      </c>
      <c r="J617" s="16"/>
      <c r="K617" s="3" t="s">
        <v>2965</v>
      </c>
      <c r="L617" s="3" t="s">
        <v>3055</v>
      </c>
      <c r="M617" s="3" t="s">
        <v>3056</v>
      </c>
      <c r="N617" s="3"/>
      <c r="O617" s="3"/>
    </row>
    <row r="618" spans="1:15" s="4" customFormat="1">
      <c r="A618" s="2">
        <v>617</v>
      </c>
      <c r="B618" s="3" t="s">
        <v>1422</v>
      </c>
      <c r="C618" s="3" t="s">
        <v>1423</v>
      </c>
      <c r="D618" s="2" t="s">
        <v>7</v>
      </c>
      <c r="E618" s="2" t="s">
        <v>8</v>
      </c>
      <c r="F618" s="16"/>
      <c r="G618" s="16"/>
      <c r="H618" s="16">
        <f>VLOOKUP(B:B,'[1]Master Sheet'!$B:$H,7,0)</f>
        <v>2500</v>
      </c>
      <c r="I618" s="16">
        <f>VLOOKUP(B:B,'[1]Master Sheet'!$B:$I,8,0)</f>
        <v>8000</v>
      </c>
      <c r="J618" s="16"/>
      <c r="K618" s="3" t="s">
        <v>2965</v>
      </c>
      <c r="L618" s="3" t="s">
        <v>3055</v>
      </c>
      <c r="M618" s="3" t="s">
        <v>3056</v>
      </c>
      <c r="N618" s="3"/>
      <c r="O618" s="3"/>
    </row>
    <row r="619" spans="1:15" s="4" customFormat="1">
      <c r="A619" s="2">
        <v>618</v>
      </c>
      <c r="B619" s="3" t="s">
        <v>1424</v>
      </c>
      <c r="C619" s="3" t="s">
        <v>1425</v>
      </c>
      <c r="D619" s="2" t="s">
        <v>7</v>
      </c>
      <c r="E619" s="2" t="s">
        <v>8</v>
      </c>
      <c r="F619" s="16"/>
      <c r="G619" s="16"/>
      <c r="H619" s="16">
        <f>VLOOKUP(B:B,'[1]Master Sheet'!$B:$H,7,0)</f>
        <v>1000</v>
      </c>
      <c r="I619" s="16">
        <f>VLOOKUP(B:B,'[1]Master Sheet'!$B:$I,8,0)</f>
        <v>0</v>
      </c>
      <c r="J619" s="16"/>
      <c r="K619" s="3" t="s">
        <v>2965</v>
      </c>
      <c r="L619" s="3" t="s">
        <v>3055</v>
      </c>
      <c r="M619" s="3" t="s">
        <v>3056</v>
      </c>
      <c r="N619" s="3"/>
      <c r="O619" s="3"/>
    </row>
    <row r="620" spans="1:15" s="4" customFormat="1">
      <c r="A620" s="2">
        <v>619</v>
      </c>
      <c r="B620" s="3" t="s">
        <v>1426</v>
      </c>
      <c r="C620" s="3" t="s">
        <v>1427</v>
      </c>
      <c r="D620" s="2" t="s">
        <v>7</v>
      </c>
      <c r="E620" s="2" t="s">
        <v>8</v>
      </c>
      <c r="F620" s="16"/>
      <c r="G620" s="16"/>
      <c r="H620" s="16">
        <f>VLOOKUP(B:B,'[1]Master Sheet'!$B:$H,7,0)</f>
        <v>250</v>
      </c>
      <c r="I620" s="16">
        <f>VLOOKUP(B:B,'[1]Master Sheet'!$B:$I,8,0)</f>
        <v>0</v>
      </c>
      <c r="J620" s="16"/>
      <c r="K620" s="3" t="s">
        <v>2965</v>
      </c>
      <c r="L620" s="3" t="s">
        <v>3055</v>
      </c>
      <c r="M620" s="3" t="s">
        <v>3056</v>
      </c>
      <c r="N620" s="3"/>
      <c r="O620" s="3"/>
    </row>
    <row r="621" spans="1:15" s="4" customFormat="1">
      <c r="A621" s="2">
        <v>620</v>
      </c>
      <c r="B621" s="3" t="s">
        <v>1428</v>
      </c>
      <c r="C621" s="3" t="s">
        <v>1429</v>
      </c>
      <c r="D621" s="2" t="s">
        <v>7</v>
      </c>
      <c r="E621" s="2" t="s">
        <v>8</v>
      </c>
      <c r="F621" s="16"/>
      <c r="G621" s="16"/>
      <c r="H621" s="16">
        <f>VLOOKUP(B:B,'[1]Master Sheet'!$B:$H,7,0)</f>
        <v>250</v>
      </c>
      <c r="I621" s="16">
        <f>VLOOKUP(B:B,'[1]Master Sheet'!$B:$I,8,0)</f>
        <v>0</v>
      </c>
      <c r="J621" s="16"/>
      <c r="K621" s="3" t="s">
        <v>2965</v>
      </c>
      <c r="L621" s="3" t="s">
        <v>3055</v>
      </c>
      <c r="M621" s="3" t="s">
        <v>3056</v>
      </c>
      <c r="N621" s="3"/>
      <c r="O621" s="3"/>
    </row>
    <row r="622" spans="1:15" s="4" customFormat="1">
      <c r="A622" s="2">
        <v>621</v>
      </c>
      <c r="B622" s="3" t="s">
        <v>1430</v>
      </c>
      <c r="C622" s="3" t="s">
        <v>1431</v>
      </c>
      <c r="D622" s="2" t="s">
        <v>7</v>
      </c>
      <c r="E622" s="2" t="s">
        <v>8</v>
      </c>
      <c r="F622" s="16"/>
      <c r="G622" s="16"/>
      <c r="H622" s="16">
        <f>VLOOKUP(B:B,'[1]Master Sheet'!$B:$H,7,0)</f>
        <v>250</v>
      </c>
      <c r="I622" s="16">
        <f>VLOOKUP(B:B,'[1]Master Sheet'!$B:$I,8,0)</f>
        <v>0</v>
      </c>
      <c r="J622" s="16"/>
      <c r="K622" s="3" t="s">
        <v>2965</v>
      </c>
      <c r="L622" s="3" t="s">
        <v>3055</v>
      </c>
      <c r="M622" s="3" t="s">
        <v>3056</v>
      </c>
      <c r="N622" s="3"/>
      <c r="O622" s="3"/>
    </row>
    <row r="623" spans="1:15" s="4" customFormat="1">
      <c r="A623" s="2">
        <v>622</v>
      </c>
      <c r="B623" s="3" t="s">
        <v>1432</v>
      </c>
      <c r="C623" s="3" t="s">
        <v>1433</v>
      </c>
      <c r="D623" s="2" t="s">
        <v>7</v>
      </c>
      <c r="E623" s="2" t="s">
        <v>8</v>
      </c>
      <c r="F623" s="16"/>
      <c r="G623" s="16"/>
      <c r="H623" s="16">
        <f>VLOOKUP(B:B,'[1]Master Sheet'!$B:$H,7,0)</f>
        <v>250</v>
      </c>
      <c r="I623" s="16">
        <f>VLOOKUP(B:B,'[1]Master Sheet'!$B:$I,8,0)</f>
        <v>0</v>
      </c>
      <c r="J623" s="16"/>
      <c r="K623" s="3" t="s">
        <v>2965</v>
      </c>
      <c r="L623" s="3" t="s">
        <v>3055</v>
      </c>
      <c r="M623" s="3" t="s">
        <v>3056</v>
      </c>
      <c r="N623" s="3"/>
      <c r="O623" s="3"/>
    </row>
    <row r="624" spans="1:15" s="4" customFormat="1">
      <c r="A624" s="2">
        <v>623</v>
      </c>
      <c r="B624" s="3" t="s">
        <v>1434</v>
      </c>
      <c r="C624" s="3" t="s">
        <v>1435</v>
      </c>
      <c r="D624" s="2" t="s">
        <v>7</v>
      </c>
      <c r="E624" s="2" t="s">
        <v>8</v>
      </c>
      <c r="F624" s="16"/>
      <c r="G624" s="16"/>
      <c r="H624" s="16">
        <f>VLOOKUP(B:B,'[1]Master Sheet'!$B:$H,7,0)</f>
        <v>250</v>
      </c>
      <c r="I624" s="16">
        <f>VLOOKUP(B:B,'[1]Master Sheet'!$B:$I,8,0)</f>
        <v>0</v>
      </c>
      <c r="J624" s="16"/>
      <c r="K624" s="3" t="s">
        <v>2965</v>
      </c>
      <c r="L624" s="3" t="s">
        <v>3055</v>
      </c>
      <c r="M624" s="3" t="s">
        <v>3056</v>
      </c>
      <c r="N624" s="3"/>
      <c r="O624" s="3"/>
    </row>
    <row r="625" spans="1:15" s="4" customFormat="1">
      <c r="A625" s="2">
        <v>624</v>
      </c>
      <c r="B625" s="3" t="s">
        <v>1436</v>
      </c>
      <c r="C625" s="3" t="s">
        <v>1437</v>
      </c>
      <c r="D625" s="2" t="s">
        <v>7</v>
      </c>
      <c r="E625" s="2" t="s">
        <v>8</v>
      </c>
      <c r="F625" s="16"/>
      <c r="G625" s="16"/>
      <c r="H625" s="16">
        <f>VLOOKUP(B:B,'[1]Master Sheet'!$B:$H,7,0)</f>
        <v>250</v>
      </c>
      <c r="I625" s="16">
        <f>VLOOKUP(B:B,'[1]Master Sheet'!$B:$I,8,0)</f>
        <v>0</v>
      </c>
      <c r="J625" s="16"/>
      <c r="K625" s="3" t="s">
        <v>2965</v>
      </c>
      <c r="L625" s="3" t="s">
        <v>3055</v>
      </c>
      <c r="M625" s="3" t="s">
        <v>3056</v>
      </c>
      <c r="N625" s="3"/>
      <c r="O625" s="3"/>
    </row>
    <row r="626" spans="1:15" s="4" customFormat="1">
      <c r="A626" s="2">
        <v>625</v>
      </c>
      <c r="B626" s="3" t="s">
        <v>1438</v>
      </c>
      <c r="C626" s="3" t="s">
        <v>1439</v>
      </c>
      <c r="D626" s="2" t="s">
        <v>20</v>
      </c>
      <c r="E626" s="2" t="s">
        <v>8</v>
      </c>
      <c r="F626" s="16"/>
      <c r="G626" s="16"/>
      <c r="H626" s="16">
        <f>VLOOKUP(B:B,'[1]Master Sheet'!$B:$H,7,0)</f>
        <v>200</v>
      </c>
      <c r="I626" s="16">
        <f>VLOOKUP(B:B,'[1]Master Sheet'!$B:$I,8,0)</f>
        <v>0</v>
      </c>
      <c r="J626" s="16"/>
      <c r="K626" s="3" t="s">
        <v>2965</v>
      </c>
      <c r="L626" s="3" t="s">
        <v>3055</v>
      </c>
      <c r="M626" s="3" t="s">
        <v>3056</v>
      </c>
      <c r="N626" s="3"/>
      <c r="O626" s="3"/>
    </row>
    <row r="627" spans="1:15" s="4" customFormat="1">
      <c r="A627" s="2">
        <v>626</v>
      </c>
      <c r="B627" s="3" t="s">
        <v>1442</v>
      </c>
      <c r="C627" s="3" t="s">
        <v>1443</v>
      </c>
      <c r="D627" s="2" t="s">
        <v>7</v>
      </c>
      <c r="E627" s="2" t="s">
        <v>8</v>
      </c>
      <c r="F627" s="16"/>
      <c r="G627" s="16"/>
      <c r="H627" s="16">
        <f>VLOOKUP(B:B,'[1]Master Sheet'!$B:$H,7,0)</f>
        <v>0</v>
      </c>
      <c r="I627" s="16">
        <f>VLOOKUP(B:B,'[1]Master Sheet'!$B:$I,8,0)</f>
        <v>0</v>
      </c>
      <c r="J627" s="16"/>
      <c r="K627" s="3" t="s">
        <v>2965</v>
      </c>
      <c r="L627" s="3" t="s">
        <v>3055</v>
      </c>
      <c r="M627" s="3" t="s">
        <v>3056</v>
      </c>
      <c r="N627" s="3"/>
      <c r="O627" s="3"/>
    </row>
    <row r="628" spans="1:15" s="4" customFormat="1">
      <c r="A628" s="2">
        <v>627</v>
      </c>
      <c r="B628" s="3" t="s">
        <v>1444</v>
      </c>
      <c r="C628" s="3" t="s">
        <v>1445</v>
      </c>
      <c r="D628" s="2" t="s">
        <v>7</v>
      </c>
      <c r="E628" s="2" t="s">
        <v>8</v>
      </c>
      <c r="F628" s="16"/>
      <c r="G628" s="16"/>
      <c r="H628" s="16">
        <f>VLOOKUP(B:B,'[1]Master Sheet'!$B:$H,7,0)</f>
        <v>400</v>
      </c>
      <c r="I628" s="16">
        <f>VLOOKUP(B:B,'[1]Master Sheet'!$B:$I,8,0)</f>
        <v>0</v>
      </c>
      <c r="J628" s="16"/>
      <c r="K628" s="3" t="s">
        <v>2965</v>
      </c>
      <c r="L628" s="3" t="s">
        <v>3055</v>
      </c>
      <c r="M628" s="3" t="s">
        <v>3056</v>
      </c>
      <c r="N628" s="3"/>
      <c r="O628" s="3"/>
    </row>
    <row r="629" spans="1:15" s="4" customFormat="1">
      <c r="A629" s="2">
        <v>628</v>
      </c>
      <c r="B629" s="3" t="s">
        <v>1446</v>
      </c>
      <c r="C629" s="3" t="s">
        <v>1447</v>
      </c>
      <c r="D629" s="2" t="s">
        <v>7</v>
      </c>
      <c r="E629" s="2" t="s">
        <v>8</v>
      </c>
      <c r="F629" s="16"/>
      <c r="G629" s="16"/>
      <c r="H629" s="16">
        <f>VLOOKUP(B:B,'[1]Master Sheet'!$B:$H,7,0)</f>
        <v>200</v>
      </c>
      <c r="I629" s="16">
        <f>VLOOKUP(B:B,'[1]Master Sheet'!$B:$I,8,0)</f>
        <v>0</v>
      </c>
      <c r="J629" s="16"/>
      <c r="K629" s="3" t="s">
        <v>2965</v>
      </c>
      <c r="L629" s="3" t="s">
        <v>3055</v>
      </c>
      <c r="M629" s="3" t="s">
        <v>3056</v>
      </c>
      <c r="N629" s="3"/>
      <c r="O629" s="3"/>
    </row>
    <row r="630" spans="1:15" s="4" customFormat="1">
      <c r="A630" s="2">
        <v>629</v>
      </c>
      <c r="B630" s="3" t="s">
        <v>1448</v>
      </c>
      <c r="C630" s="3" t="s">
        <v>1449</v>
      </c>
      <c r="D630" s="2" t="s">
        <v>7</v>
      </c>
      <c r="E630" s="2" t="s">
        <v>8</v>
      </c>
      <c r="F630" s="16"/>
      <c r="G630" s="16"/>
      <c r="H630" s="16">
        <f>VLOOKUP(B:B,'[1]Master Sheet'!$B:$H,7,0)</f>
        <v>300</v>
      </c>
      <c r="I630" s="16">
        <f>VLOOKUP(B:B,'[1]Master Sheet'!$B:$I,8,0)</f>
        <v>100</v>
      </c>
      <c r="J630" s="16"/>
      <c r="K630" s="3" t="s">
        <v>2965</v>
      </c>
      <c r="L630" s="3" t="s">
        <v>3055</v>
      </c>
      <c r="M630" s="3" t="s">
        <v>3056</v>
      </c>
      <c r="N630" s="3"/>
      <c r="O630" s="3"/>
    </row>
    <row r="631" spans="1:15" s="4" customFormat="1">
      <c r="A631" s="2">
        <v>630</v>
      </c>
      <c r="B631" s="3" t="s">
        <v>1450</v>
      </c>
      <c r="C631" s="3" t="s">
        <v>1451</v>
      </c>
      <c r="D631" s="2" t="s">
        <v>17</v>
      </c>
      <c r="E631" s="2" t="s">
        <v>8</v>
      </c>
      <c r="F631" s="16"/>
      <c r="G631" s="16"/>
      <c r="H631" s="16">
        <f>VLOOKUP(B:B,'[1]Master Sheet'!$B:$H,7,0)</f>
        <v>200</v>
      </c>
      <c r="I631" s="16">
        <f>VLOOKUP(B:B,'[1]Master Sheet'!$B:$I,8,0)</f>
        <v>0</v>
      </c>
      <c r="J631" s="16"/>
      <c r="K631" s="3" t="s">
        <v>2972</v>
      </c>
      <c r="L631" s="3" t="s">
        <v>3055</v>
      </c>
      <c r="M631" s="3" t="s">
        <v>3056</v>
      </c>
      <c r="N631" s="3"/>
      <c r="O631" s="3"/>
    </row>
    <row r="632" spans="1:15" s="4" customFormat="1">
      <c r="A632" s="2">
        <v>631</v>
      </c>
      <c r="B632" s="3" t="s">
        <v>1074</v>
      </c>
      <c r="C632" s="3" t="s">
        <v>1075</v>
      </c>
      <c r="D632" s="2" t="s">
        <v>17</v>
      </c>
      <c r="E632" s="2" t="s">
        <v>8</v>
      </c>
      <c r="F632" s="16"/>
      <c r="G632" s="16"/>
      <c r="H632" s="16">
        <f>VLOOKUP(B:B,'[1]Master Sheet'!$B:$H,7,0)</f>
        <v>0</v>
      </c>
      <c r="I632" s="16">
        <f>VLOOKUP(B:B,'[1]Master Sheet'!$B:$I,8,0)</f>
        <v>0</v>
      </c>
      <c r="J632" s="16"/>
      <c r="K632" s="3" t="s">
        <v>2972</v>
      </c>
      <c r="L632" s="3" t="s">
        <v>3057</v>
      </c>
      <c r="M632" s="3" t="s">
        <v>3058</v>
      </c>
      <c r="N632" s="3"/>
      <c r="O632" s="3"/>
    </row>
    <row r="633" spans="1:15" s="4" customFormat="1">
      <c r="A633" s="2">
        <v>632</v>
      </c>
      <c r="B633" s="3" t="s">
        <v>1076</v>
      </c>
      <c r="C633" s="3" t="s">
        <v>1077</v>
      </c>
      <c r="D633" s="2" t="s">
        <v>17</v>
      </c>
      <c r="E633" s="2" t="s">
        <v>8</v>
      </c>
      <c r="F633" s="16"/>
      <c r="G633" s="16"/>
      <c r="H633" s="16">
        <f>VLOOKUP(B:B,'[1]Master Sheet'!$B:$H,7,0)</f>
        <v>0</v>
      </c>
      <c r="I633" s="16">
        <f>VLOOKUP(B:B,'[1]Master Sheet'!$B:$I,8,0)</f>
        <v>0</v>
      </c>
      <c r="J633" s="16"/>
      <c r="K633" s="3" t="s">
        <v>2972</v>
      </c>
      <c r="L633" s="3" t="s">
        <v>3057</v>
      </c>
      <c r="M633" s="3" t="s">
        <v>3058</v>
      </c>
      <c r="N633" s="3"/>
      <c r="O633" s="3"/>
    </row>
    <row r="634" spans="1:15" s="4" customFormat="1">
      <c r="A634" s="2">
        <v>633</v>
      </c>
      <c r="B634" s="3" t="s">
        <v>1456</v>
      </c>
      <c r="C634" s="3" t="s">
        <v>1457</v>
      </c>
      <c r="D634" s="2" t="s">
        <v>17</v>
      </c>
      <c r="E634" s="2" t="s">
        <v>8</v>
      </c>
      <c r="F634" s="16"/>
      <c r="G634" s="16"/>
      <c r="H634" s="16">
        <f>VLOOKUP(B:B,'[1]Master Sheet'!$B:$H,7,0)</f>
        <v>200</v>
      </c>
      <c r="I634" s="16">
        <f>VLOOKUP(B:B,'[1]Master Sheet'!$B:$I,8,0)</f>
        <v>0</v>
      </c>
      <c r="J634" s="16"/>
      <c r="K634" s="3" t="s">
        <v>2972</v>
      </c>
      <c r="L634" s="3" t="s">
        <v>3055</v>
      </c>
      <c r="M634" s="3" t="s">
        <v>3056</v>
      </c>
      <c r="N634" s="3"/>
      <c r="O634" s="3"/>
    </row>
    <row r="635" spans="1:15" s="4" customFormat="1">
      <c r="A635" s="2">
        <v>634</v>
      </c>
      <c r="B635" s="3" t="s">
        <v>1458</v>
      </c>
      <c r="C635" s="3" t="s">
        <v>1459</v>
      </c>
      <c r="D635" s="2" t="s">
        <v>17</v>
      </c>
      <c r="E635" s="2" t="s">
        <v>8</v>
      </c>
      <c r="F635" s="16"/>
      <c r="G635" s="16"/>
      <c r="H635" s="16">
        <f>VLOOKUP(B:B,'[1]Master Sheet'!$B:$H,7,0)</f>
        <v>100</v>
      </c>
      <c r="I635" s="16">
        <f>VLOOKUP(B:B,'[1]Master Sheet'!$B:$I,8,0)</f>
        <v>0</v>
      </c>
      <c r="J635" s="16"/>
      <c r="K635" s="3" t="s">
        <v>2972</v>
      </c>
      <c r="L635" s="3" t="s">
        <v>3055</v>
      </c>
      <c r="M635" s="3" t="s">
        <v>3056</v>
      </c>
      <c r="N635" s="3"/>
      <c r="O635" s="3"/>
    </row>
    <row r="636" spans="1:15" s="4" customFormat="1">
      <c r="A636" s="2">
        <v>635</v>
      </c>
      <c r="B636" s="3" t="s">
        <v>1078</v>
      </c>
      <c r="C636" s="3" t="s">
        <v>1079</v>
      </c>
      <c r="D636" s="2" t="s">
        <v>17</v>
      </c>
      <c r="E636" s="2" t="s">
        <v>8</v>
      </c>
      <c r="F636" s="16"/>
      <c r="G636" s="16"/>
      <c r="H636" s="16">
        <f>VLOOKUP(B:B,'[1]Master Sheet'!$B:$H,7,0)</f>
        <v>0</v>
      </c>
      <c r="I636" s="16">
        <f>VLOOKUP(B:B,'[1]Master Sheet'!$B:$I,8,0)</f>
        <v>0</v>
      </c>
      <c r="J636" s="16"/>
      <c r="K636" s="3" t="s">
        <v>2972</v>
      </c>
      <c r="L636" s="3" t="s">
        <v>3057</v>
      </c>
      <c r="M636" s="3" t="s">
        <v>3058</v>
      </c>
      <c r="N636" s="3"/>
      <c r="O636" s="3"/>
    </row>
    <row r="637" spans="1:15" s="4" customFormat="1">
      <c r="A637" s="2">
        <v>636</v>
      </c>
      <c r="B637" s="3" t="s">
        <v>1080</v>
      </c>
      <c r="C637" s="3" t="s">
        <v>1081</v>
      </c>
      <c r="D637" s="2" t="s">
        <v>17</v>
      </c>
      <c r="E637" s="2" t="s">
        <v>8</v>
      </c>
      <c r="F637" s="16"/>
      <c r="G637" s="16"/>
      <c r="H637" s="16">
        <f>VLOOKUP(B:B,'[1]Master Sheet'!$B:$H,7,0)</f>
        <v>0</v>
      </c>
      <c r="I637" s="16">
        <f>VLOOKUP(B:B,'[1]Master Sheet'!$B:$I,8,0)</f>
        <v>0</v>
      </c>
      <c r="J637" s="16"/>
      <c r="K637" s="3" t="s">
        <v>3002</v>
      </c>
      <c r="L637" s="3" t="s">
        <v>3057</v>
      </c>
      <c r="M637" s="3" t="s">
        <v>3056</v>
      </c>
      <c r="N637" s="3"/>
      <c r="O637" s="3"/>
    </row>
    <row r="638" spans="1:15" s="4" customFormat="1">
      <c r="A638" s="2">
        <v>637</v>
      </c>
      <c r="B638" s="3" t="s">
        <v>1082</v>
      </c>
      <c r="C638" s="3" t="s">
        <v>1083</v>
      </c>
      <c r="D638" s="2" t="s">
        <v>17</v>
      </c>
      <c r="E638" s="2" t="s">
        <v>8</v>
      </c>
      <c r="F638" s="16"/>
      <c r="G638" s="16"/>
      <c r="H638" s="16">
        <f>VLOOKUP(B:B,'[1]Master Sheet'!$B:$H,7,0)</f>
        <v>0</v>
      </c>
      <c r="I638" s="16">
        <f>VLOOKUP(B:B,'[1]Master Sheet'!$B:$I,8,0)</f>
        <v>0</v>
      </c>
      <c r="J638" s="16"/>
      <c r="K638" s="3" t="s">
        <v>3002</v>
      </c>
      <c r="L638" s="3" t="s">
        <v>3057</v>
      </c>
      <c r="M638" s="3" t="s">
        <v>3056</v>
      </c>
      <c r="N638" s="3"/>
      <c r="O638" s="3"/>
    </row>
    <row r="639" spans="1:15" s="4" customFormat="1">
      <c r="A639" s="2">
        <v>638</v>
      </c>
      <c r="B639" s="3" t="s">
        <v>1466</v>
      </c>
      <c r="C639" s="3" t="s">
        <v>1467</v>
      </c>
      <c r="D639" s="2" t="s">
        <v>17</v>
      </c>
      <c r="E639" s="2" t="s">
        <v>8</v>
      </c>
      <c r="F639" s="16"/>
      <c r="G639" s="16"/>
      <c r="H639" s="16">
        <f>VLOOKUP(B:B,'[1]Master Sheet'!$B:$H,7,0)</f>
        <v>100</v>
      </c>
      <c r="I639" s="16">
        <f>VLOOKUP(B:B,'[1]Master Sheet'!$B:$I,8,0)</f>
        <v>0</v>
      </c>
      <c r="J639" s="16"/>
      <c r="K639" s="3" t="s">
        <v>2972</v>
      </c>
      <c r="L639" s="3" t="s">
        <v>3055</v>
      </c>
      <c r="M639" s="3" t="s">
        <v>3056</v>
      </c>
      <c r="N639" s="3"/>
      <c r="O639" s="3"/>
    </row>
    <row r="640" spans="1:15" s="4" customFormat="1">
      <c r="A640" s="2">
        <v>639</v>
      </c>
      <c r="B640" s="3" t="s">
        <v>1468</v>
      </c>
      <c r="C640" s="3" t="s">
        <v>1469</v>
      </c>
      <c r="D640" s="2" t="s">
        <v>17</v>
      </c>
      <c r="E640" s="2" t="s">
        <v>8</v>
      </c>
      <c r="F640" s="16"/>
      <c r="G640" s="16"/>
      <c r="H640" s="16">
        <f>VLOOKUP(B:B,'[1]Master Sheet'!$B:$H,7,0)</f>
        <v>50</v>
      </c>
      <c r="I640" s="16">
        <f>VLOOKUP(B:B,'[1]Master Sheet'!$B:$I,8,0)</f>
        <v>0</v>
      </c>
      <c r="J640" s="16"/>
      <c r="K640" s="3" t="s">
        <v>2982</v>
      </c>
      <c r="L640" s="3" t="s">
        <v>3060</v>
      </c>
      <c r="M640" s="3" t="s">
        <v>3064</v>
      </c>
      <c r="N640" s="3"/>
      <c r="O640" s="3"/>
    </row>
    <row r="641" spans="1:15" s="4" customFormat="1">
      <c r="A641" s="2">
        <v>640</v>
      </c>
      <c r="B641" s="3" t="s">
        <v>1470</v>
      </c>
      <c r="C641" s="3" t="s">
        <v>1471</v>
      </c>
      <c r="D641" s="2" t="s">
        <v>17</v>
      </c>
      <c r="E641" s="2" t="s">
        <v>8</v>
      </c>
      <c r="F641" s="16"/>
      <c r="G641" s="16"/>
      <c r="H641" s="16">
        <f>VLOOKUP(B:B,'[1]Master Sheet'!$B:$H,7,0)</f>
        <v>50</v>
      </c>
      <c r="I641" s="16">
        <f>VLOOKUP(B:B,'[1]Master Sheet'!$B:$I,8,0)</f>
        <v>0</v>
      </c>
      <c r="J641" s="16"/>
      <c r="K641" s="3" t="s">
        <v>2982</v>
      </c>
      <c r="L641" s="3" t="s">
        <v>3060</v>
      </c>
      <c r="M641" s="3" t="s">
        <v>3064</v>
      </c>
      <c r="N641" s="3"/>
      <c r="O641" s="3"/>
    </row>
    <row r="642" spans="1:15" s="4" customFormat="1">
      <c r="A642" s="2">
        <v>641</v>
      </c>
      <c r="B642" s="3" t="s">
        <v>1472</v>
      </c>
      <c r="C642" s="3" t="s">
        <v>1473</v>
      </c>
      <c r="D642" s="2" t="s">
        <v>17</v>
      </c>
      <c r="E642" s="2" t="s">
        <v>8</v>
      </c>
      <c r="F642" s="16"/>
      <c r="G642" s="16"/>
      <c r="H642" s="16">
        <f>VLOOKUP(B:B,'[1]Master Sheet'!$B:$H,7,0)</f>
        <v>50</v>
      </c>
      <c r="I642" s="16">
        <f>VLOOKUP(B:B,'[1]Master Sheet'!$B:$I,8,0)</f>
        <v>0</v>
      </c>
      <c r="J642" s="16"/>
      <c r="K642" s="3" t="s">
        <v>2982</v>
      </c>
      <c r="L642" s="3" t="s">
        <v>3060</v>
      </c>
      <c r="M642" s="3" t="s">
        <v>3064</v>
      </c>
      <c r="N642" s="3"/>
      <c r="O642" s="3"/>
    </row>
    <row r="643" spans="1:15" s="4" customFormat="1">
      <c r="A643" s="2">
        <v>642</v>
      </c>
      <c r="B643" s="3" t="s">
        <v>1474</v>
      </c>
      <c r="C643" s="3" t="s">
        <v>1475</v>
      </c>
      <c r="D643" s="2" t="s">
        <v>17</v>
      </c>
      <c r="E643" s="2" t="s">
        <v>8</v>
      </c>
      <c r="F643" s="16"/>
      <c r="G643" s="16"/>
      <c r="H643" s="16">
        <f>VLOOKUP(B:B,'[1]Master Sheet'!$B:$H,7,0)</f>
        <v>50</v>
      </c>
      <c r="I643" s="16">
        <f>VLOOKUP(B:B,'[1]Master Sheet'!$B:$I,8,0)</f>
        <v>0</v>
      </c>
      <c r="J643" s="16"/>
      <c r="K643" s="3" t="s">
        <v>2982</v>
      </c>
      <c r="L643" s="3" t="s">
        <v>3060</v>
      </c>
      <c r="M643" s="3" t="s">
        <v>3064</v>
      </c>
      <c r="N643" s="3"/>
      <c r="O643" s="3"/>
    </row>
    <row r="644" spans="1:15" s="4" customFormat="1">
      <c r="A644" s="2">
        <v>643</v>
      </c>
      <c r="B644" s="3" t="s">
        <v>1476</v>
      </c>
      <c r="C644" s="3" t="s">
        <v>1477</v>
      </c>
      <c r="D644" s="2" t="s">
        <v>17</v>
      </c>
      <c r="E644" s="2" t="s">
        <v>8</v>
      </c>
      <c r="F644" s="16"/>
      <c r="G644" s="16"/>
      <c r="H644" s="16">
        <f>VLOOKUP(B:B,'[1]Master Sheet'!$B:$H,7,0)</f>
        <v>20</v>
      </c>
      <c r="I644" s="16">
        <f>VLOOKUP(B:B,'[1]Master Sheet'!$B:$I,8,0)</f>
        <v>0</v>
      </c>
      <c r="J644" s="16"/>
      <c r="K644" s="3" t="s">
        <v>2982</v>
      </c>
      <c r="L644" s="3" t="s">
        <v>3060</v>
      </c>
      <c r="M644" s="3" t="s">
        <v>3061</v>
      </c>
      <c r="N644" s="3"/>
      <c r="O644" s="3"/>
    </row>
    <row r="645" spans="1:15" s="4" customFormat="1">
      <c r="A645" s="2">
        <v>644</v>
      </c>
      <c r="B645" s="3" t="s">
        <v>1478</v>
      </c>
      <c r="C645" s="3" t="s">
        <v>1479</v>
      </c>
      <c r="D645" s="2" t="s">
        <v>17</v>
      </c>
      <c r="E645" s="2" t="s">
        <v>8</v>
      </c>
      <c r="F645" s="16"/>
      <c r="G645" s="16"/>
      <c r="H645" s="16">
        <f>VLOOKUP(B:B,'[1]Master Sheet'!$B:$H,7,0)</f>
        <v>10</v>
      </c>
      <c r="I645" s="16">
        <f>VLOOKUP(B:B,'[1]Master Sheet'!$B:$I,8,0)</f>
        <v>0</v>
      </c>
      <c r="J645" s="16"/>
      <c r="K645" s="3" t="s">
        <v>2982</v>
      </c>
      <c r="L645" s="3" t="s">
        <v>3060</v>
      </c>
      <c r="M645" s="3" t="s">
        <v>3061</v>
      </c>
      <c r="N645" s="3"/>
      <c r="O645" s="3"/>
    </row>
    <row r="646" spans="1:15" s="4" customFormat="1">
      <c r="A646" s="2">
        <v>645</v>
      </c>
      <c r="B646" s="3" t="s">
        <v>1480</v>
      </c>
      <c r="C646" s="3" t="s">
        <v>1481</v>
      </c>
      <c r="D646" s="2" t="s">
        <v>17</v>
      </c>
      <c r="E646" s="2" t="s">
        <v>8</v>
      </c>
      <c r="F646" s="16"/>
      <c r="G646" s="16"/>
      <c r="H646" s="16">
        <f>VLOOKUP(B:B,'[1]Master Sheet'!$B:$H,7,0)</f>
        <v>5</v>
      </c>
      <c r="I646" s="16">
        <f>VLOOKUP(B:B,'[1]Master Sheet'!$B:$I,8,0)</f>
        <v>0</v>
      </c>
      <c r="J646" s="16"/>
      <c r="K646" s="3" t="s">
        <v>2982</v>
      </c>
      <c r="L646" s="3" t="s">
        <v>3060</v>
      </c>
      <c r="M646" s="3" t="s">
        <v>3061</v>
      </c>
      <c r="N646" s="3"/>
      <c r="O646" s="3"/>
    </row>
    <row r="647" spans="1:15" s="4" customFormat="1">
      <c r="A647" s="2">
        <v>646</v>
      </c>
      <c r="B647" s="3" t="s">
        <v>1482</v>
      </c>
      <c r="C647" s="3" t="s">
        <v>1483</v>
      </c>
      <c r="D647" s="2" t="s">
        <v>17</v>
      </c>
      <c r="E647" s="2" t="s">
        <v>8</v>
      </c>
      <c r="F647" s="16"/>
      <c r="G647" s="16"/>
      <c r="H647" s="16">
        <f>VLOOKUP(B:B,'[1]Master Sheet'!$B:$H,7,0)</f>
        <v>10</v>
      </c>
      <c r="I647" s="16">
        <f>VLOOKUP(B:B,'[1]Master Sheet'!$B:$I,8,0)</f>
        <v>0</v>
      </c>
      <c r="J647" s="16"/>
      <c r="K647" s="3" t="s">
        <v>2982</v>
      </c>
      <c r="L647" s="3" t="s">
        <v>3060</v>
      </c>
      <c r="M647" s="3" t="s">
        <v>3061</v>
      </c>
      <c r="N647" s="3"/>
      <c r="O647" s="3"/>
    </row>
    <row r="648" spans="1:15" s="4" customFormat="1">
      <c r="A648" s="2">
        <v>647</v>
      </c>
      <c r="B648" s="3" t="s">
        <v>1484</v>
      </c>
      <c r="C648" s="3" t="s">
        <v>1485</v>
      </c>
      <c r="D648" s="2" t="s">
        <v>17</v>
      </c>
      <c r="E648" s="2" t="s">
        <v>8</v>
      </c>
      <c r="F648" s="16"/>
      <c r="G648" s="16"/>
      <c r="H648" s="16">
        <f>VLOOKUP(B:B,'[1]Master Sheet'!$B:$H,7,0)</f>
        <v>50</v>
      </c>
      <c r="I648" s="16">
        <f>VLOOKUP(B:B,'[1]Master Sheet'!$B:$I,8,0)</f>
        <v>0</v>
      </c>
      <c r="J648" s="16"/>
      <c r="K648" s="3" t="s">
        <v>2972</v>
      </c>
      <c r="L648" s="3" t="s">
        <v>3055</v>
      </c>
      <c r="M648" s="3" t="s">
        <v>3056</v>
      </c>
      <c r="N648" s="3"/>
      <c r="O648" s="3"/>
    </row>
    <row r="649" spans="1:15" s="4" customFormat="1">
      <c r="A649" s="2">
        <v>648</v>
      </c>
      <c r="B649" s="3" t="s">
        <v>1084</v>
      </c>
      <c r="C649" s="3" t="s">
        <v>1085</v>
      </c>
      <c r="D649" s="2" t="s">
        <v>17</v>
      </c>
      <c r="E649" s="2" t="s">
        <v>8</v>
      </c>
      <c r="F649" s="16"/>
      <c r="G649" s="16"/>
      <c r="H649" s="16">
        <f>VLOOKUP(B:B,'[1]Master Sheet'!$B:$H,7,0)</f>
        <v>350</v>
      </c>
      <c r="I649" s="16">
        <f>VLOOKUP(B:B,'[1]Master Sheet'!$B:$I,8,0)</f>
        <v>0</v>
      </c>
      <c r="J649" s="16"/>
      <c r="K649" s="3" t="s">
        <v>2991</v>
      </c>
      <c r="L649" s="3" t="s">
        <v>3057</v>
      </c>
      <c r="M649" s="3" t="s">
        <v>3058</v>
      </c>
      <c r="N649" s="3"/>
      <c r="O649" s="3"/>
    </row>
    <row r="650" spans="1:15" s="4" customFormat="1">
      <c r="A650" s="2">
        <v>649</v>
      </c>
      <c r="B650" s="3" t="s">
        <v>1488</v>
      </c>
      <c r="C650" s="3" t="s">
        <v>1489</v>
      </c>
      <c r="D650" s="2" t="s">
        <v>17</v>
      </c>
      <c r="E650" s="2" t="s">
        <v>8</v>
      </c>
      <c r="F650" s="16"/>
      <c r="G650" s="16"/>
      <c r="H650" s="16">
        <f>VLOOKUP(B:B,'[1]Master Sheet'!$B:$H,7,0)</f>
        <v>200</v>
      </c>
      <c r="I650" s="16">
        <f>VLOOKUP(B:B,'[1]Master Sheet'!$B:$I,8,0)</f>
        <v>0</v>
      </c>
      <c r="J650" s="16"/>
      <c r="K650" s="3" t="s">
        <v>2982</v>
      </c>
      <c r="L650" s="3" t="s">
        <v>3060</v>
      </c>
      <c r="M650" s="3" t="s">
        <v>3058</v>
      </c>
      <c r="N650" s="3"/>
      <c r="O650" s="3"/>
    </row>
    <row r="651" spans="1:15" s="4" customFormat="1">
      <c r="A651" s="2">
        <v>650</v>
      </c>
      <c r="B651" s="3" t="s">
        <v>1490</v>
      </c>
      <c r="C651" s="3" t="s">
        <v>1491</v>
      </c>
      <c r="D651" s="2" t="s">
        <v>7</v>
      </c>
      <c r="E651" s="2" t="s">
        <v>8</v>
      </c>
      <c r="F651" s="16"/>
      <c r="G651" s="16"/>
      <c r="H651" s="16">
        <f>VLOOKUP(B:B,'[1]Master Sheet'!$B:$H,7,0)</f>
        <v>250</v>
      </c>
      <c r="I651" s="16">
        <f>VLOOKUP(B:B,'[1]Master Sheet'!$B:$I,8,0)</f>
        <v>0</v>
      </c>
      <c r="J651" s="16"/>
      <c r="K651" s="3" t="s">
        <v>2965</v>
      </c>
      <c r="L651" s="3" t="s">
        <v>3060</v>
      </c>
      <c r="M651" s="3" t="s">
        <v>3058</v>
      </c>
      <c r="N651" s="3"/>
      <c r="O651" s="3"/>
    </row>
    <row r="652" spans="1:15" s="4" customFormat="1">
      <c r="A652" s="2">
        <v>651</v>
      </c>
      <c r="B652" s="3" t="s">
        <v>1492</v>
      </c>
      <c r="C652" s="3" t="s">
        <v>1493</v>
      </c>
      <c r="D652" s="2" t="s">
        <v>7</v>
      </c>
      <c r="E652" s="2" t="s">
        <v>8</v>
      </c>
      <c r="F652" s="16"/>
      <c r="G652" s="16"/>
      <c r="H652" s="16">
        <f>VLOOKUP(B:B,'[1]Master Sheet'!$B:$H,7,0)</f>
        <v>250</v>
      </c>
      <c r="I652" s="16">
        <f>VLOOKUP(B:B,'[1]Master Sheet'!$B:$I,8,0)</f>
        <v>0</v>
      </c>
      <c r="J652" s="16"/>
      <c r="K652" s="3" t="s">
        <v>2965</v>
      </c>
      <c r="L652" s="3" t="s">
        <v>3060</v>
      </c>
      <c r="M652" s="3" t="s">
        <v>3058</v>
      </c>
      <c r="N652" s="3"/>
      <c r="O652" s="3"/>
    </row>
    <row r="653" spans="1:15" s="4" customFormat="1">
      <c r="A653" s="2">
        <v>652</v>
      </c>
      <c r="B653" s="3" t="s">
        <v>1494</v>
      </c>
      <c r="C653" s="3" t="s">
        <v>1495</v>
      </c>
      <c r="D653" s="2" t="s">
        <v>7</v>
      </c>
      <c r="E653" s="2" t="s">
        <v>8</v>
      </c>
      <c r="F653" s="16"/>
      <c r="G653" s="16"/>
      <c r="H653" s="16">
        <f>VLOOKUP(B:B,'[1]Master Sheet'!$B:$H,7,0)</f>
        <v>250</v>
      </c>
      <c r="I653" s="16">
        <f>VLOOKUP(B:B,'[1]Master Sheet'!$B:$I,8,0)</f>
        <v>250</v>
      </c>
      <c r="J653" s="16"/>
      <c r="K653" s="3" t="s">
        <v>2965</v>
      </c>
      <c r="L653" s="3" t="s">
        <v>3060</v>
      </c>
      <c r="M653" s="3" t="s">
        <v>3058</v>
      </c>
      <c r="N653" s="3"/>
      <c r="O653" s="3"/>
    </row>
    <row r="654" spans="1:15" s="4" customFormat="1">
      <c r="A654" s="2">
        <v>653</v>
      </c>
      <c r="B654" s="3" t="s">
        <v>1496</v>
      </c>
      <c r="C654" s="3" t="s">
        <v>1497</v>
      </c>
      <c r="D654" s="2" t="s">
        <v>7</v>
      </c>
      <c r="E654" s="2" t="s">
        <v>8</v>
      </c>
      <c r="F654" s="16"/>
      <c r="G654" s="16"/>
      <c r="H654" s="16">
        <f>VLOOKUP(B:B,'[1]Master Sheet'!$B:$H,7,0)</f>
        <v>0</v>
      </c>
      <c r="I654" s="16">
        <f>VLOOKUP(B:B,'[1]Master Sheet'!$B:$I,8,0)</f>
        <v>0</v>
      </c>
      <c r="J654" s="16"/>
      <c r="K654" s="3" t="s">
        <v>2965</v>
      </c>
      <c r="L654" s="3" t="s">
        <v>3055</v>
      </c>
      <c r="M654" s="3" t="s">
        <v>3056</v>
      </c>
      <c r="N654" s="3"/>
      <c r="O654" s="3"/>
    </row>
    <row r="655" spans="1:15" s="4" customFormat="1">
      <c r="A655" s="2">
        <v>654</v>
      </c>
      <c r="B655" s="3" t="s">
        <v>1498</v>
      </c>
      <c r="C655" s="3" t="s">
        <v>1499</v>
      </c>
      <c r="D655" s="2" t="s">
        <v>20</v>
      </c>
      <c r="E655" s="2" t="s">
        <v>8</v>
      </c>
      <c r="F655" s="16"/>
      <c r="G655" s="16"/>
      <c r="H655" s="16">
        <f>VLOOKUP(B:B,'[1]Master Sheet'!$B:$H,7,0)</f>
        <v>0</v>
      </c>
      <c r="I655" s="16">
        <f>VLOOKUP(B:B,'[1]Master Sheet'!$B:$I,8,0)</f>
        <v>0</v>
      </c>
      <c r="J655" s="16"/>
      <c r="K655" s="3" t="s">
        <v>3000</v>
      </c>
      <c r="L655" s="3" t="s">
        <v>3059</v>
      </c>
      <c r="M655" s="3" t="s">
        <v>3056</v>
      </c>
      <c r="N655" s="3"/>
      <c r="O655" s="3"/>
    </row>
    <row r="656" spans="1:15" s="4" customFormat="1">
      <c r="A656" s="2">
        <v>655</v>
      </c>
      <c r="B656" s="3" t="s">
        <v>1500</v>
      </c>
      <c r="C656" s="3" t="s">
        <v>1501</v>
      </c>
      <c r="D656" s="2" t="s">
        <v>17</v>
      </c>
      <c r="E656" s="2" t="s">
        <v>8</v>
      </c>
      <c r="F656" s="16"/>
      <c r="G656" s="16"/>
      <c r="H656" s="16">
        <f>VLOOKUP(B:B,'[1]Master Sheet'!$B:$H,7,0)</f>
        <v>0</v>
      </c>
      <c r="I656" s="16">
        <f>VLOOKUP(B:B,'[1]Master Sheet'!$B:$I,8,0)</f>
        <v>0</v>
      </c>
      <c r="J656" s="16"/>
      <c r="K656" s="3" t="s">
        <v>2972</v>
      </c>
      <c r="L656" s="3" t="s">
        <v>3055</v>
      </c>
      <c r="M656" s="3" t="s">
        <v>3056</v>
      </c>
      <c r="N656" s="3"/>
      <c r="O656" s="3"/>
    </row>
    <row r="657" spans="1:15" s="4" customFormat="1">
      <c r="A657" s="2">
        <v>656</v>
      </c>
      <c r="B657" s="3" t="s">
        <v>1502</v>
      </c>
      <c r="C657" s="3" t="s">
        <v>1503</v>
      </c>
      <c r="D657" s="2" t="s">
        <v>17</v>
      </c>
      <c r="E657" s="2" t="s">
        <v>8</v>
      </c>
      <c r="F657" s="16"/>
      <c r="G657" s="16"/>
      <c r="H657" s="16">
        <f>VLOOKUP(B:B,'[1]Master Sheet'!$B:$H,7,0)</f>
        <v>0</v>
      </c>
      <c r="I657" s="16">
        <f>VLOOKUP(B:B,'[1]Master Sheet'!$B:$I,8,0)</f>
        <v>0</v>
      </c>
      <c r="J657" s="16"/>
      <c r="K657" s="3" t="s">
        <v>2972</v>
      </c>
      <c r="L657" s="3" t="s">
        <v>3055</v>
      </c>
      <c r="M657" s="3" t="s">
        <v>3056</v>
      </c>
      <c r="N657" s="3"/>
      <c r="O657" s="3"/>
    </row>
    <row r="658" spans="1:15" s="4" customFormat="1">
      <c r="A658" s="2">
        <v>657</v>
      </c>
      <c r="B658" s="3" t="s">
        <v>1086</v>
      </c>
      <c r="C658" s="3" t="s">
        <v>1087</v>
      </c>
      <c r="D658" s="2" t="s">
        <v>7</v>
      </c>
      <c r="E658" s="2" t="s">
        <v>8</v>
      </c>
      <c r="F658" s="16"/>
      <c r="G658" s="16"/>
      <c r="H658" s="16">
        <f>VLOOKUP(B:B,'[1]Master Sheet'!$B:$H,7,0)</f>
        <v>0</v>
      </c>
      <c r="I658" s="16">
        <f>VLOOKUP(B:B,'[1]Master Sheet'!$B:$I,8,0)</f>
        <v>0</v>
      </c>
      <c r="J658" s="16"/>
      <c r="K658" s="3" t="s">
        <v>2972</v>
      </c>
      <c r="L658" s="3" t="s">
        <v>3057</v>
      </c>
      <c r="M658" s="3" t="s">
        <v>3056</v>
      </c>
      <c r="N658" s="3"/>
      <c r="O658" s="3"/>
    </row>
    <row r="659" spans="1:15" s="4" customFormat="1">
      <c r="A659" s="2">
        <v>658</v>
      </c>
      <c r="B659" s="3" t="s">
        <v>1088</v>
      </c>
      <c r="C659" s="3" t="s">
        <v>1089</v>
      </c>
      <c r="D659" s="2" t="s">
        <v>7</v>
      </c>
      <c r="E659" s="2" t="s">
        <v>8</v>
      </c>
      <c r="F659" s="16"/>
      <c r="G659" s="16"/>
      <c r="H659" s="16">
        <f>VLOOKUP(B:B,'[1]Master Sheet'!$B:$H,7,0)</f>
        <v>100</v>
      </c>
      <c r="I659" s="16">
        <f>VLOOKUP(B:B,'[1]Master Sheet'!$B:$I,8,0)</f>
        <v>0</v>
      </c>
      <c r="J659" s="16"/>
      <c r="K659" s="3" t="s">
        <v>2972</v>
      </c>
      <c r="L659" s="3" t="s">
        <v>3057</v>
      </c>
      <c r="M659" s="3" t="s">
        <v>3056</v>
      </c>
      <c r="N659" s="3"/>
      <c r="O659" s="3"/>
    </row>
    <row r="660" spans="1:15" s="4" customFormat="1">
      <c r="A660" s="2">
        <v>659</v>
      </c>
      <c r="B660" s="3" t="s">
        <v>1090</v>
      </c>
      <c r="C660" s="3" t="s">
        <v>1091</v>
      </c>
      <c r="D660" s="2" t="s">
        <v>17</v>
      </c>
      <c r="E660" s="2" t="s">
        <v>8</v>
      </c>
      <c r="F660" s="16"/>
      <c r="G660" s="16"/>
      <c r="H660" s="16">
        <f>VLOOKUP(B:B,'[1]Master Sheet'!$B:$H,7,0)</f>
        <v>0</v>
      </c>
      <c r="I660" s="16">
        <f>VLOOKUP(B:B,'[1]Master Sheet'!$B:$I,8,0)</f>
        <v>0</v>
      </c>
      <c r="J660" s="16"/>
      <c r="K660" s="3" t="s">
        <v>2972</v>
      </c>
      <c r="L660" s="3" t="s">
        <v>3057</v>
      </c>
      <c r="M660" s="3" t="s">
        <v>3056</v>
      </c>
      <c r="N660" s="3"/>
      <c r="O660" s="3"/>
    </row>
    <row r="661" spans="1:15" s="4" customFormat="1">
      <c r="A661" s="2">
        <v>660</v>
      </c>
      <c r="B661" s="3" t="s">
        <v>1094</v>
      </c>
      <c r="C661" s="3" t="s">
        <v>1095</v>
      </c>
      <c r="D661" s="2" t="s">
        <v>20</v>
      </c>
      <c r="E661" s="2" t="s">
        <v>8</v>
      </c>
      <c r="F661" s="16"/>
      <c r="G661" s="16"/>
      <c r="H661" s="16">
        <f>VLOOKUP(B:B,'[1]Master Sheet'!$B:$H,7,0)</f>
        <v>0</v>
      </c>
      <c r="I661" s="16">
        <f>VLOOKUP(B:B,'[1]Master Sheet'!$B:$I,8,0)</f>
        <v>0</v>
      </c>
      <c r="J661" s="16"/>
      <c r="K661" s="3" t="s">
        <v>2991</v>
      </c>
      <c r="L661" s="3" t="s">
        <v>3057</v>
      </c>
      <c r="M661" s="3" t="s">
        <v>3056</v>
      </c>
      <c r="N661" s="3"/>
      <c r="O661" s="3"/>
    </row>
    <row r="662" spans="1:15" s="4" customFormat="1">
      <c r="A662" s="2">
        <v>661</v>
      </c>
      <c r="B662" s="3" t="s">
        <v>1096</v>
      </c>
      <c r="C662" s="3" t="s">
        <v>1097</v>
      </c>
      <c r="D662" s="2" t="s">
        <v>20</v>
      </c>
      <c r="E662" s="2" t="s">
        <v>8</v>
      </c>
      <c r="F662" s="16"/>
      <c r="G662" s="16"/>
      <c r="H662" s="16">
        <f>VLOOKUP(B:B,'[1]Master Sheet'!$B:$H,7,0)</f>
        <v>0</v>
      </c>
      <c r="I662" s="16">
        <f>VLOOKUP(B:B,'[1]Master Sheet'!$B:$I,8,0)</f>
        <v>0</v>
      </c>
      <c r="J662" s="16"/>
      <c r="K662" s="3" t="s">
        <v>2991</v>
      </c>
      <c r="L662" s="3" t="s">
        <v>3057</v>
      </c>
      <c r="M662" s="3" t="s">
        <v>3056</v>
      </c>
      <c r="N662" s="3"/>
      <c r="O662" s="3"/>
    </row>
    <row r="663" spans="1:15" s="4" customFormat="1">
      <c r="A663" s="2">
        <v>662</v>
      </c>
      <c r="B663" s="3" t="s">
        <v>1098</v>
      </c>
      <c r="C663" s="3" t="s">
        <v>1099</v>
      </c>
      <c r="D663" s="2" t="s">
        <v>20</v>
      </c>
      <c r="E663" s="2" t="s">
        <v>8</v>
      </c>
      <c r="F663" s="16"/>
      <c r="G663" s="16"/>
      <c r="H663" s="16">
        <f>VLOOKUP(B:B,'[1]Master Sheet'!$B:$H,7,0)</f>
        <v>500</v>
      </c>
      <c r="I663" s="16">
        <f>VLOOKUP(B:B,'[1]Master Sheet'!$B:$I,8,0)+350</f>
        <v>750</v>
      </c>
      <c r="J663" s="16"/>
      <c r="K663" s="3" t="s">
        <v>2991</v>
      </c>
      <c r="L663" s="3" t="s">
        <v>3057</v>
      </c>
      <c r="M663" s="3" t="s">
        <v>3056</v>
      </c>
      <c r="N663" s="3"/>
      <c r="O663" s="3"/>
    </row>
    <row r="664" spans="1:15" s="4" customFormat="1">
      <c r="A664" s="2">
        <v>663</v>
      </c>
      <c r="B664" s="3" t="s">
        <v>1100</v>
      </c>
      <c r="C664" s="3" t="s">
        <v>1101</v>
      </c>
      <c r="D664" s="2" t="s">
        <v>20</v>
      </c>
      <c r="E664" s="2" t="s">
        <v>8</v>
      </c>
      <c r="F664" s="16"/>
      <c r="G664" s="16"/>
      <c r="H664" s="16">
        <f>VLOOKUP(B:B,'[1]Master Sheet'!$B:$H,7,0)</f>
        <v>500</v>
      </c>
      <c r="I664" s="16">
        <f>VLOOKUP(B:B,'[1]Master Sheet'!$B:$I,8,0)+600</f>
        <v>1100</v>
      </c>
      <c r="J664" s="16"/>
      <c r="K664" s="3" t="s">
        <v>2991</v>
      </c>
      <c r="L664" s="3" t="s">
        <v>3057</v>
      </c>
      <c r="M664" s="3" t="s">
        <v>3056</v>
      </c>
      <c r="N664" s="3"/>
      <c r="O664" s="3"/>
    </row>
    <row r="665" spans="1:15" s="4" customFormat="1">
      <c r="A665" s="2">
        <v>664</v>
      </c>
      <c r="B665" s="3" t="s">
        <v>1102</v>
      </c>
      <c r="C665" s="3" t="s">
        <v>1103</v>
      </c>
      <c r="D665" s="2" t="s">
        <v>20</v>
      </c>
      <c r="E665" s="2" t="s">
        <v>8</v>
      </c>
      <c r="F665" s="16"/>
      <c r="G665" s="16"/>
      <c r="H665" s="16">
        <f>VLOOKUP(B:B,'[1]Master Sheet'!$B:$H,7,0)</f>
        <v>600</v>
      </c>
      <c r="I665" s="16">
        <v>500</v>
      </c>
      <c r="J665" s="16"/>
      <c r="K665" s="3" t="s">
        <v>2991</v>
      </c>
      <c r="L665" s="3" t="s">
        <v>3057</v>
      </c>
      <c r="M665" s="3" t="s">
        <v>3056</v>
      </c>
      <c r="N665" s="3"/>
      <c r="O665" s="3"/>
    </row>
    <row r="666" spans="1:15" s="4" customFormat="1">
      <c r="A666" s="2">
        <v>665</v>
      </c>
      <c r="B666" s="3" t="s">
        <v>1522</v>
      </c>
      <c r="C666" s="3" t="s">
        <v>1523</v>
      </c>
      <c r="D666" s="2" t="s">
        <v>135</v>
      </c>
      <c r="E666" s="2" t="s">
        <v>8</v>
      </c>
      <c r="F666" s="16"/>
      <c r="G666" s="16"/>
      <c r="H666" s="16">
        <f>VLOOKUP(B:B,'[1]Master Sheet'!$B:$H,7,0)</f>
        <v>5500</v>
      </c>
      <c r="I666" s="16">
        <f>VLOOKUP(B:B,'[1]Master Sheet'!$B:$I,8,0)</f>
        <v>0</v>
      </c>
      <c r="J666" s="16"/>
      <c r="K666" s="3" t="s">
        <v>2972</v>
      </c>
      <c r="L666" s="3" t="s">
        <v>3055</v>
      </c>
      <c r="M666" s="3" t="s">
        <v>3056</v>
      </c>
      <c r="N666" s="3"/>
      <c r="O666" s="3"/>
    </row>
    <row r="667" spans="1:15" s="4" customFormat="1">
      <c r="A667" s="2">
        <v>666</v>
      </c>
      <c r="B667" s="3" t="s">
        <v>1110</v>
      </c>
      <c r="C667" s="3" t="s">
        <v>1111</v>
      </c>
      <c r="D667" s="2" t="s">
        <v>17</v>
      </c>
      <c r="E667" s="2" t="s">
        <v>8</v>
      </c>
      <c r="F667" s="16"/>
      <c r="G667" s="16"/>
      <c r="H667" s="16">
        <f>VLOOKUP(B:B,'[1]Master Sheet'!$B:$H,7,0)</f>
        <v>1500</v>
      </c>
      <c r="I667" s="16">
        <f>VLOOKUP(B:B,'[1]Master Sheet'!$B:$I,8,0)</f>
        <v>8000</v>
      </c>
      <c r="J667" s="16"/>
      <c r="K667" s="3" t="s">
        <v>2972</v>
      </c>
      <c r="L667" s="3" t="s">
        <v>3057</v>
      </c>
      <c r="M667" s="3" t="s">
        <v>3056</v>
      </c>
      <c r="N667" s="3"/>
      <c r="O667" s="3"/>
    </row>
    <row r="668" spans="1:15" s="4" customFormat="1">
      <c r="A668" s="2">
        <v>667</v>
      </c>
      <c r="B668" s="3" t="s">
        <v>1112</v>
      </c>
      <c r="C668" s="3" t="s">
        <v>1113</v>
      </c>
      <c r="D668" s="2" t="s">
        <v>17</v>
      </c>
      <c r="E668" s="2" t="s">
        <v>8</v>
      </c>
      <c r="F668" s="16"/>
      <c r="G668" s="16"/>
      <c r="H668" s="16">
        <f>VLOOKUP(B:B,'[1]Master Sheet'!$B:$H,7,0)</f>
        <v>250</v>
      </c>
      <c r="I668" s="16">
        <f>VLOOKUP(B:B,'[1]Master Sheet'!$B:$I,8,0)</f>
        <v>500</v>
      </c>
      <c r="J668" s="16"/>
      <c r="K668" s="3" t="s">
        <v>2998</v>
      </c>
      <c r="L668" s="3" t="s">
        <v>3057</v>
      </c>
      <c r="M668" s="3" t="s">
        <v>3056</v>
      </c>
      <c r="N668" s="3"/>
      <c r="O668" s="3"/>
    </row>
    <row r="669" spans="1:15" s="4" customFormat="1">
      <c r="A669" s="2">
        <v>668</v>
      </c>
      <c r="B669" s="3" t="s">
        <v>2427</v>
      </c>
      <c r="C669" s="3" t="s">
        <v>3166</v>
      </c>
      <c r="D669" s="2" t="s">
        <v>17</v>
      </c>
      <c r="E669" s="2" t="s">
        <v>8</v>
      </c>
      <c r="F669" s="16"/>
      <c r="G669" s="16"/>
      <c r="H669" s="16">
        <f>VLOOKUP(B:B,'[1]Master Sheet'!$B:$H,7,0)</f>
        <v>2000</v>
      </c>
      <c r="I669" s="16">
        <f>VLOOKUP(B:B,'[1]Master Sheet'!$B:$I,8,0)</f>
        <v>0</v>
      </c>
      <c r="J669" s="16"/>
      <c r="K669" s="3" t="s">
        <v>2972</v>
      </c>
      <c r="L669" s="3" t="s">
        <v>3055</v>
      </c>
      <c r="M669" s="3" t="s">
        <v>3056</v>
      </c>
      <c r="N669" s="3"/>
      <c r="O669" s="3"/>
    </row>
    <row r="670" spans="1:15" s="4" customFormat="1">
      <c r="A670" s="2">
        <v>669</v>
      </c>
      <c r="B670" s="3" t="s">
        <v>1528</v>
      </c>
      <c r="C670" s="3" t="s">
        <v>1529</v>
      </c>
      <c r="D670" s="2" t="s">
        <v>17</v>
      </c>
      <c r="E670" s="2" t="s">
        <v>8</v>
      </c>
      <c r="F670" s="16"/>
      <c r="G670" s="16"/>
      <c r="H670" s="16">
        <f>VLOOKUP(B:B,'[1]Master Sheet'!$B:$H,7,0)</f>
        <v>200</v>
      </c>
      <c r="I670" s="16">
        <f>VLOOKUP(B:B,'[1]Master Sheet'!$B:$I,8,0)</f>
        <v>0</v>
      </c>
      <c r="J670" s="16"/>
      <c r="K670" s="3" t="s">
        <v>2972</v>
      </c>
      <c r="L670" s="3" t="s">
        <v>3055</v>
      </c>
      <c r="M670" s="3" t="s">
        <v>3056</v>
      </c>
      <c r="N670" s="3"/>
      <c r="O670" s="3"/>
    </row>
    <row r="671" spans="1:15" s="4" customFormat="1">
      <c r="A671" s="2">
        <v>670</v>
      </c>
      <c r="B671" s="3" t="s">
        <v>1530</v>
      </c>
      <c r="C671" s="3" t="s">
        <v>1531</v>
      </c>
      <c r="D671" s="2" t="s">
        <v>135</v>
      </c>
      <c r="E671" s="2" t="s">
        <v>8</v>
      </c>
      <c r="F671" s="16"/>
      <c r="G671" s="16"/>
      <c r="H671" s="16">
        <f>VLOOKUP(B:B,'[1]Master Sheet'!$B:$H,7,0)</f>
        <v>70000</v>
      </c>
      <c r="I671" s="16">
        <f>VLOOKUP(B:B,'[1]Master Sheet'!$B:$I,8,0)</f>
        <v>0</v>
      </c>
      <c r="J671" s="16"/>
      <c r="K671" s="3" t="s">
        <v>2974</v>
      </c>
      <c r="L671" s="3" t="s">
        <v>3055</v>
      </c>
      <c r="M671" s="3" t="s">
        <v>3056</v>
      </c>
      <c r="N671" s="3"/>
      <c r="O671" s="3"/>
    </row>
    <row r="672" spans="1:15" s="4" customFormat="1">
      <c r="A672" s="2">
        <v>671</v>
      </c>
      <c r="B672" s="3" t="s">
        <v>1532</v>
      </c>
      <c r="C672" s="3" t="s">
        <v>1533</v>
      </c>
      <c r="D672" s="2" t="s">
        <v>135</v>
      </c>
      <c r="E672" s="2" t="s">
        <v>8</v>
      </c>
      <c r="F672" s="16"/>
      <c r="G672" s="16"/>
      <c r="H672" s="16">
        <f>VLOOKUP(B:B,'[1]Master Sheet'!$B:$H,7,0)</f>
        <v>5000</v>
      </c>
      <c r="I672" s="16">
        <f>VLOOKUP(B:B,'[1]Master Sheet'!$B:$I,8,0)</f>
        <v>10000</v>
      </c>
      <c r="J672" s="16"/>
      <c r="K672" s="3" t="s">
        <v>2974</v>
      </c>
      <c r="L672" s="3" t="s">
        <v>3055</v>
      </c>
      <c r="M672" s="3" t="s">
        <v>3058</v>
      </c>
      <c r="N672" s="3"/>
      <c r="O672" s="3"/>
    </row>
    <row r="673" spans="1:15" s="4" customFormat="1">
      <c r="A673" s="2">
        <v>672</v>
      </c>
      <c r="B673" s="3" t="s">
        <v>1534</v>
      </c>
      <c r="C673" s="3" t="s">
        <v>1535</v>
      </c>
      <c r="D673" s="2" t="s">
        <v>135</v>
      </c>
      <c r="E673" s="2" t="s">
        <v>8</v>
      </c>
      <c r="F673" s="16"/>
      <c r="G673" s="16"/>
      <c r="H673" s="16">
        <f>VLOOKUP(B:B,'[1]Master Sheet'!$B:$H,7,0)</f>
        <v>3000</v>
      </c>
      <c r="I673" s="16">
        <f>VLOOKUP(B:B,'[1]Master Sheet'!$B:$I,8,0)</f>
        <v>0</v>
      </c>
      <c r="J673" s="16"/>
      <c r="K673" s="3" t="s">
        <v>2974</v>
      </c>
      <c r="L673" s="3" t="s">
        <v>3055</v>
      </c>
      <c r="M673" s="3" t="s">
        <v>3058</v>
      </c>
      <c r="N673" s="3"/>
      <c r="O673" s="3"/>
    </row>
    <row r="674" spans="1:15" s="4" customFormat="1">
      <c r="A674" s="2">
        <v>673</v>
      </c>
      <c r="B674" s="3" t="s">
        <v>1536</v>
      </c>
      <c r="C674" s="3" t="s">
        <v>1537</v>
      </c>
      <c r="D674" s="2" t="s">
        <v>135</v>
      </c>
      <c r="E674" s="2" t="s">
        <v>8</v>
      </c>
      <c r="F674" s="16"/>
      <c r="G674" s="16"/>
      <c r="H674" s="16">
        <f>VLOOKUP(B:B,'[1]Master Sheet'!$B:$H,7,0)</f>
        <v>5000</v>
      </c>
      <c r="I674" s="16">
        <f>VLOOKUP(B:B,'[1]Master Sheet'!$B:$I,8,0)</f>
        <v>10000</v>
      </c>
      <c r="J674" s="16"/>
      <c r="K674" s="3" t="s">
        <v>2974</v>
      </c>
      <c r="L674" s="3" t="s">
        <v>3055</v>
      </c>
      <c r="M674" s="3" t="s">
        <v>3058</v>
      </c>
      <c r="N674" s="3"/>
      <c r="O674" s="3"/>
    </row>
    <row r="675" spans="1:15" s="4" customFormat="1">
      <c r="A675" s="2">
        <v>674</v>
      </c>
      <c r="B675" s="3" t="s">
        <v>1114</v>
      </c>
      <c r="C675" s="3" t="s">
        <v>1115</v>
      </c>
      <c r="D675" s="2" t="s">
        <v>1116</v>
      </c>
      <c r="E675" s="2" t="s">
        <v>8</v>
      </c>
      <c r="F675" s="16"/>
      <c r="G675" s="16"/>
      <c r="H675" s="16">
        <f>VLOOKUP(B:B,'[1]Master Sheet'!$B:$H,7,0)</f>
        <v>800</v>
      </c>
      <c r="I675" s="16">
        <f>VLOOKUP(B:B,'[1]Master Sheet'!$B:$I,8,0)</f>
        <v>0</v>
      </c>
      <c r="J675" s="16"/>
      <c r="K675" s="3" t="s">
        <v>3029</v>
      </c>
      <c r="L675" s="3" t="s">
        <v>3057</v>
      </c>
      <c r="M675" s="3" t="s">
        <v>3056</v>
      </c>
      <c r="N675" s="3"/>
      <c r="O675" s="3"/>
    </row>
    <row r="676" spans="1:15" s="4" customFormat="1">
      <c r="A676" s="2">
        <v>675</v>
      </c>
      <c r="B676" s="3" t="s">
        <v>1540</v>
      </c>
      <c r="C676" s="3" t="s">
        <v>1541</v>
      </c>
      <c r="D676" s="2" t="s">
        <v>17</v>
      </c>
      <c r="E676" s="2" t="s">
        <v>8</v>
      </c>
      <c r="F676" s="16"/>
      <c r="G676" s="16"/>
      <c r="H676" s="16">
        <f>VLOOKUP(B:B,'[1]Master Sheet'!$B:$H,7,0)</f>
        <v>500</v>
      </c>
      <c r="I676" s="16">
        <f>VLOOKUP(B:B,'[1]Master Sheet'!$B:$I,8,0)</f>
        <v>0</v>
      </c>
      <c r="J676" s="16"/>
      <c r="K676" s="3" t="s">
        <v>2972</v>
      </c>
      <c r="L676" s="3" t="s">
        <v>3055</v>
      </c>
      <c r="M676" s="3" t="s">
        <v>3056</v>
      </c>
      <c r="N676" s="3"/>
      <c r="O676" s="3"/>
    </row>
    <row r="677" spans="1:15" s="4" customFormat="1">
      <c r="A677" s="2">
        <v>676</v>
      </c>
      <c r="B677" s="3" t="s">
        <v>1542</v>
      </c>
      <c r="C677" s="3" t="s">
        <v>1543</v>
      </c>
      <c r="D677" s="2" t="s">
        <v>20</v>
      </c>
      <c r="E677" s="2" t="s">
        <v>8</v>
      </c>
      <c r="F677" s="16"/>
      <c r="G677" s="16"/>
      <c r="H677" s="16">
        <f>VLOOKUP(B:B,'[1]Master Sheet'!$B:$H,7,0)</f>
        <v>0</v>
      </c>
      <c r="I677" s="16">
        <f>VLOOKUP(B:B,'[1]Master Sheet'!$B:$I,8,0)</f>
        <v>0</v>
      </c>
      <c r="J677" s="16"/>
      <c r="K677" s="3" t="s">
        <v>3000</v>
      </c>
      <c r="L677" s="3" t="s">
        <v>3059</v>
      </c>
      <c r="M677" s="3" t="s">
        <v>3056</v>
      </c>
      <c r="N677" s="3"/>
      <c r="O677" s="3"/>
    </row>
    <row r="678" spans="1:15" s="4" customFormat="1">
      <c r="A678" s="2">
        <v>677</v>
      </c>
      <c r="B678" s="3" t="s">
        <v>1544</v>
      </c>
      <c r="C678" s="3" t="s">
        <v>1545</v>
      </c>
      <c r="D678" s="2" t="s">
        <v>20</v>
      </c>
      <c r="E678" s="2" t="s">
        <v>8</v>
      </c>
      <c r="F678" s="16"/>
      <c r="G678" s="16"/>
      <c r="H678" s="16">
        <f>VLOOKUP(B:B,'[1]Master Sheet'!$B:$H,7,0)</f>
        <v>0</v>
      </c>
      <c r="I678" s="16">
        <f>VLOOKUP(B:B,'[1]Master Sheet'!$B:$I,8,0)</f>
        <v>0</v>
      </c>
      <c r="J678" s="16"/>
      <c r="K678" s="3" t="s">
        <v>3000</v>
      </c>
      <c r="L678" s="3" t="s">
        <v>3059</v>
      </c>
      <c r="M678" s="3" t="s">
        <v>3056</v>
      </c>
      <c r="N678" s="3"/>
      <c r="O678" s="3"/>
    </row>
    <row r="679" spans="1:15" s="4" customFormat="1">
      <c r="A679" s="2">
        <v>678</v>
      </c>
      <c r="B679" s="3" t="s">
        <v>1548</v>
      </c>
      <c r="C679" s="3" t="s">
        <v>1549</v>
      </c>
      <c r="D679" s="2" t="s">
        <v>17</v>
      </c>
      <c r="E679" s="2" t="s">
        <v>8</v>
      </c>
      <c r="F679" s="16"/>
      <c r="G679" s="16"/>
      <c r="H679" s="16">
        <f>VLOOKUP(B:B,'[1]Master Sheet'!$B:$H,7,0)</f>
        <v>25</v>
      </c>
      <c r="I679" s="16">
        <f>VLOOKUP(B:B,'[1]Master Sheet'!$B:$I,8,0)</f>
        <v>0</v>
      </c>
      <c r="J679" s="16"/>
      <c r="K679" s="3" t="s">
        <v>2972</v>
      </c>
      <c r="L679" s="3" t="s">
        <v>3055</v>
      </c>
      <c r="M679" s="3" t="s">
        <v>3056</v>
      </c>
      <c r="N679" s="3"/>
      <c r="O679" s="3"/>
    </row>
    <row r="680" spans="1:15" s="4" customFormat="1">
      <c r="A680" s="2">
        <v>679</v>
      </c>
      <c r="B680" s="3" t="s">
        <v>1117</v>
      </c>
      <c r="C680" s="3" t="s">
        <v>1118</v>
      </c>
      <c r="D680" s="2" t="s">
        <v>17</v>
      </c>
      <c r="E680" s="2" t="s">
        <v>8</v>
      </c>
      <c r="F680" s="16"/>
      <c r="G680" s="16"/>
      <c r="H680" s="16">
        <f>VLOOKUP(B:B,'[1]Master Sheet'!$B:$H,7,0)</f>
        <v>1000</v>
      </c>
      <c r="I680" s="16">
        <f>VLOOKUP(B:B,'[1]Master Sheet'!$B:$I,8,0)</f>
        <v>0</v>
      </c>
      <c r="J680" s="16"/>
      <c r="K680" s="3" t="s">
        <v>2972</v>
      </c>
      <c r="L680" s="3" t="s">
        <v>3057</v>
      </c>
      <c r="M680" s="3" t="s">
        <v>3058</v>
      </c>
      <c r="N680" s="3"/>
      <c r="O680" s="3"/>
    </row>
    <row r="681" spans="1:15" s="4" customFormat="1">
      <c r="A681" s="2">
        <v>680</v>
      </c>
      <c r="B681" s="3" t="s">
        <v>1552</v>
      </c>
      <c r="C681" s="3" t="s">
        <v>1553</v>
      </c>
      <c r="D681" s="2" t="s">
        <v>17</v>
      </c>
      <c r="E681" s="2" t="s">
        <v>8</v>
      </c>
      <c r="F681" s="16"/>
      <c r="G681" s="16"/>
      <c r="H681" s="16">
        <f>VLOOKUP(B:B,'[1]Master Sheet'!$B:$H,7,0)</f>
        <v>250</v>
      </c>
      <c r="I681" s="16">
        <f>VLOOKUP(B:B,'[1]Master Sheet'!$B:$I,8,0)</f>
        <v>0</v>
      </c>
      <c r="J681" s="16"/>
      <c r="K681" s="3" t="s">
        <v>2972</v>
      </c>
      <c r="L681" s="3" t="s">
        <v>3055</v>
      </c>
      <c r="M681" s="3" t="s">
        <v>3056</v>
      </c>
      <c r="N681" s="3"/>
      <c r="O681" s="3"/>
    </row>
    <row r="682" spans="1:15" s="4" customFormat="1">
      <c r="A682" s="2">
        <v>681</v>
      </c>
      <c r="B682" s="3" t="s">
        <v>1554</v>
      </c>
      <c r="C682" s="3" t="s">
        <v>1555</v>
      </c>
      <c r="D682" s="2" t="s">
        <v>17</v>
      </c>
      <c r="E682" s="2" t="s">
        <v>8</v>
      </c>
      <c r="F682" s="16"/>
      <c r="G682" s="16"/>
      <c r="H682" s="16">
        <f>VLOOKUP(B:B,'[1]Master Sheet'!$B:$H,7,0)</f>
        <v>250</v>
      </c>
      <c r="I682" s="16">
        <f>VLOOKUP(B:B,'[1]Master Sheet'!$B:$I,8,0)</f>
        <v>0</v>
      </c>
      <c r="J682" s="16"/>
      <c r="K682" s="3" t="s">
        <v>2972</v>
      </c>
      <c r="L682" s="3" t="s">
        <v>3055</v>
      </c>
      <c r="M682" s="3" t="s">
        <v>3056</v>
      </c>
      <c r="N682" s="3"/>
      <c r="O682" s="3"/>
    </row>
    <row r="683" spans="1:15" s="4" customFormat="1">
      <c r="A683" s="2">
        <v>682</v>
      </c>
      <c r="B683" s="3" t="s">
        <v>1556</v>
      </c>
      <c r="C683" s="3" t="s">
        <v>1557</v>
      </c>
      <c r="D683" s="2" t="s">
        <v>17</v>
      </c>
      <c r="E683" s="2" t="s">
        <v>8</v>
      </c>
      <c r="F683" s="16"/>
      <c r="G683" s="16"/>
      <c r="H683" s="16">
        <f>VLOOKUP(B:B,'[1]Master Sheet'!$B:$H,7,0)</f>
        <v>500</v>
      </c>
      <c r="I683" s="16">
        <f>VLOOKUP(B:B,'[1]Master Sheet'!$B:$I,8,0)</f>
        <v>0</v>
      </c>
      <c r="J683" s="16"/>
      <c r="K683" s="3" t="s">
        <v>2972</v>
      </c>
      <c r="L683" s="3" t="s">
        <v>3055</v>
      </c>
      <c r="M683" s="3" t="s">
        <v>3058</v>
      </c>
      <c r="N683" s="3"/>
      <c r="O683" s="3"/>
    </row>
    <row r="684" spans="1:15" s="4" customFormat="1">
      <c r="A684" s="2">
        <v>683</v>
      </c>
      <c r="B684" s="3" t="s">
        <v>1558</v>
      </c>
      <c r="C684" s="3" t="s">
        <v>1559</v>
      </c>
      <c r="D684" s="2" t="s">
        <v>17</v>
      </c>
      <c r="E684" s="2" t="s">
        <v>8</v>
      </c>
      <c r="F684" s="16"/>
      <c r="G684" s="16"/>
      <c r="H684" s="16">
        <f>VLOOKUP(B:B,'[1]Master Sheet'!$B:$H,7,0)</f>
        <v>25</v>
      </c>
      <c r="I684" s="16">
        <f>VLOOKUP(B:B,'[1]Master Sheet'!$B:$I,8,0)</f>
        <v>50</v>
      </c>
      <c r="J684" s="16"/>
      <c r="K684" s="3" t="s">
        <v>2972</v>
      </c>
      <c r="L684" s="3" t="s">
        <v>3055</v>
      </c>
      <c r="M684" s="3" t="s">
        <v>3056</v>
      </c>
      <c r="N684" s="3"/>
      <c r="O684" s="3"/>
    </row>
    <row r="685" spans="1:15" s="4" customFormat="1">
      <c r="A685" s="2">
        <v>684</v>
      </c>
      <c r="B685" s="3" t="s">
        <v>1123</v>
      </c>
      <c r="C685" s="3" t="s">
        <v>1124</v>
      </c>
      <c r="D685" s="2" t="s">
        <v>17</v>
      </c>
      <c r="E685" s="2" t="s">
        <v>8</v>
      </c>
      <c r="F685" s="16"/>
      <c r="G685" s="16"/>
      <c r="H685" s="16">
        <f>VLOOKUP(B:B,'[1]Master Sheet'!$B:$H,7,0)</f>
        <v>800</v>
      </c>
      <c r="I685" s="16">
        <f>VLOOKUP(B:B,'[1]Master Sheet'!$B:$I,8,0)</f>
        <v>0</v>
      </c>
      <c r="J685" s="16"/>
      <c r="K685" s="3" t="s">
        <v>2972</v>
      </c>
      <c r="L685" s="3" t="s">
        <v>3057</v>
      </c>
      <c r="M685" s="3" t="s">
        <v>3056</v>
      </c>
      <c r="N685" s="3"/>
      <c r="O685" s="3"/>
    </row>
    <row r="686" spans="1:15" s="4" customFormat="1">
      <c r="A686" s="2">
        <v>685</v>
      </c>
      <c r="B686" s="3" t="s">
        <v>1564</v>
      </c>
      <c r="C686" s="3" t="s">
        <v>1565</v>
      </c>
      <c r="D686" s="2" t="s">
        <v>17</v>
      </c>
      <c r="E686" s="2" t="s">
        <v>8</v>
      </c>
      <c r="F686" s="16"/>
      <c r="G686" s="16"/>
      <c r="H686" s="16">
        <f>VLOOKUP(B:B,'[1]Master Sheet'!$B:$H,7,0)</f>
        <v>2000</v>
      </c>
      <c r="I686" s="16">
        <f>VLOOKUP(B:B,'[1]Master Sheet'!$B:$I,8,0)</f>
        <v>0</v>
      </c>
      <c r="J686" s="16"/>
      <c r="K686" s="3" t="s">
        <v>2972</v>
      </c>
      <c r="L686" s="3" t="s">
        <v>3055</v>
      </c>
      <c r="M686" s="3" t="s">
        <v>3056</v>
      </c>
      <c r="N686" s="3"/>
      <c r="O686" s="3"/>
    </row>
    <row r="687" spans="1:15" s="4" customFormat="1">
      <c r="A687" s="2">
        <v>686</v>
      </c>
      <c r="B687" s="3" t="s">
        <v>1566</v>
      </c>
      <c r="C687" s="3" t="s">
        <v>1567</v>
      </c>
      <c r="D687" s="2" t="s">
        <v>20</v>
      </c>
      <c r="E687" s="2" t="s">
        <v>8</v>
      </c>
      <c r="F687" s="16"/>
      <c r="G687" s="16"/>
      <c r="H687" s="16">
        <f>VLOOKUP(B:B,'[1]Master Sheet'!$B:$H,7,0)</f>
        <v>0</v>
      </c>
      <c r="I687" s="16">
        <f>VLOOKUP(B:B,'[1]Master Sheet'!$B:$I,8,0)</f>
        <v>0</v>
      </c>
      <c r="J687" s="16"/>
      <c r="K687" s="3" t="s">
        <v>3000</v>
      </c>
      <c r="L687" s="3" t="s">
        <v>3059</v>
      </c>
      <c r="M687" s="3" t="s">
        <v>3056</v>
      </c>
      <c r="N687" s="3"/>
      <c r="O687" s="3"/>
    </row>
    <row r="688" spans="1:15" s="4" customFormat="1">
      <c r="A688" s="2">
        <v>687</v>
      </c>
      <c r="B688" s="3" t="s">
        <v>1127</v>
      </c>
      <c r="C688" s="3" t="s">
        <v>1128</v>
      </c>
      <c r="D688" s="2" t="s">
        <v>17</v>
      </c>
      <c r="E688" s="2" t="s">
        <v>8</v>
      </c>
      <c r="F688" s="16"/>
      <c r="G688" s="16"/>
      <c r="H688" s="16">
        <f>VLOOKUP(B:B,'[1]Master Sheet'!$B:$H,7,0)</f>
        <v>1500</v>
      </c>
      <c r="I688" s="16">
        <f>VLOOKUP(B:B,'[1]Master Sheet'!$B:$I,8,0)</f>
        <v>0</v>
      </c>
      <c r="J688" s="16"/>
      <c r="K688" s="3" t="s">
        <v>2972</v>
      </c>
      <c r="L688" s="3" t="s">
        <v>3057</v>
      </c>
      <c r="M688" s="3" t="s">
        <v>3058</v>
      </c>
      <c r="N688" s="3"/>
      <c r="O688" s="3"/>
    </row>
    <row r="689" spans="1:15" s="4" customFormat="1">
      <c r="A689" s="2">
        <v>688</v>
      </c>
      <c r="B689" s="3" t="s">
        <v>1129</v>
      </c>
      <c r="C689" s="3" t="s">
        <v>1130</v>
      </c>
      <c r="D689" s="2" t="s">
        <v>17</v>
      </c>
      <c r="E689" s="2" t="s">
        <v>8</v>
      </c>
      <c r="F689" s="16"/>
      <c r="G689" s="16"/>
      <c r="H689" s="16">
        <f>VLOOKUP(B:B,'[1]Master Sheet'!$B:$H,7,0)</f>
        <v>0</v>
      </c>
      <c r="I689" s="16">
        <f>VLOOKUP(B:B,'[1]Master Sheet'!$B:$I,8,0)</f>
        <v>0</v>
      </c>
      <c r="J689" s="16"/>
      <c r="K689" s="3" t="s">
        <v>2972</v>
      </c>
      <c r="L689" s="3" t="s">
        <v>3057</v>
      </c>
      <c r="M689" s="3" t="s">
        <v>3058</v>
      </c>
      <c r="N689" s="3"/>
      <c r="O689" s="3"/>
    </row>
    <row r="690" spans="1:15" s="4" customFormat="1">
      <c r="A690" s="2">
        <v>689</v>
      </c>
      <c r="B690" s="3" t="s">
        <v>1576</v>
      </c>
      <c r="C690" s="3" t="s">
        <v>1577</v>
      </c>
      <c r="D690" s="2" t="s">
        <v>17</v>
      </c>
      <c r="E690" s="2" t="s">
        <v>8</v>
      </c>
      <c r="F690" s="16"/>
      <c r="G690" s="16"/>
      <c r="H690" s="16">
        <f>VLOOKUP(B:B,'[1]Master Sheet'!$B:$H,7,0)</f>
        <v>150</v>
      </c>
      <c r="I690" s="16">
        <f>VLOOKUP(B:B,'[1]Master Sheet'!$B:$I,8,0)</f>
        <v>0</v>
      </c>
      <c r="J690" s="16"/>
      <c r="K690" s="3" t="s">
        <v>2982</v>
      </c>
      <c r="L690" s="3" t="s">
        <v>3060</v>
      </c>
      <c r="M690" s="3" t="s">
        <v>3058</v>
      </c>
      <c r="N690" s="3"/>
      <c r="O690" s="3"/>
    </row>
    <row r="691" spans="1:15" s="4" customFormat="1">
      <c r="A691" s="2">
        <v>690</v>
      </c>
      <c r="B691" s="3" t="s">
        <v>1578</v>
      </c>
      <c r="C691" s="3" t="s">
        <v>1579</v>
      </c>
      <c r="D691" s="2" t="s">
        <v>17</v>
      </c>
      <c r="E691" s="2" t="s">
        <v>8</v>
      </c>
      <c r="F691" s="16"/>
      <c r="G691" s="16"/>
      <c r="H691" s="16">
        <f>VLOOKUP(B:B,'[1]Master Sheet'!$B:$H,7,0)</f>
        <v>100</v>
      </c>
      <c r="I691" s="16">
        <f>VLOOKUP(B:B,'[1]Master Sheet'!$B:$I,8,0)</f>
        <v>0</v>
      </c>
      <c r="J691" s="16"/>
      <c r="K691" s="3" t="s">
        <v>2982</v>
      </c>
      <c r="L691" s="3" t="s">
        <v>3060</v>
      </c>
      <c r="M691" s="3" t="s">
        <v>3058</v>
      </c>
      <c r="N691" s="3"/>
      <c r="O691" s="3"/>
    </row>
    <row r="692" spans="1:15" s="4" customFormat="1">
      <c r="A692" s="2">
        <v>691</v>
      </c>
      <c r="B692" s="3" t="s">
        <v>1580</v>
      </c>
      <c r="C692" s="3" t="s">
        <v>1581</v>
      </c>
      <c r="D692" s="2" t="s">
        <v>17</v>
      </c>
      <c r="E692" s="2" t="s">
        <v>8</v>
      </c>
      <c r="F692" s="16"/>
      <c r="G692" s="16"/>
      <c r="H692" s="16">
        <f>VLOOKUP(B:B,'[1]Master Sheet'!$B:$H,7,0)</f>
        <v>150</v>
      </c>
      <c r="I692" s="16">
        <f>VLOOKUP(B:B,'[1]Master Sheet'!$B:$I,8,0)</f>
        <v>0</v>
      </c>
      <c r="J692" s="16"/>
      <c r="K692" s="3" t="s">
        <v>2972</v>
      </c>
      <c r="L692" s="3" t="s">
        <v>3060</v>
      </c>
      <c r="M692" s="3" t="s">
        <v>3058</v>
      </c>
      <c r="N692" s="3"/>
      <c r="O692" s="3"/>
    </row>
    <row r="693" spans="1:15" s="4" customFormat="1">
      <c r="A693" s="2">
        <v>692</v>
      </c>
      <c r="B693" s="3" t="s">
        <v>1584</v>
      </c>
      <c r="C693" s="3" t="s">
        <v>1585</v>
      </c>
      <c r="D693" s="2" t="s">
        <v>17</v>
      </c>
      <c r="E693" s="2" t="s">
        <v>8</v>
      </c>
      <c r="F693" s="16"/>
      <c r="G693" s="16"/>
      <c r="H693" s="16">
        <f>VLOOKUP(B:B,'[1]Master Sheet'!$B:$H,7,0)</f>
        <v>100</v>
      </c>
      <c r="I693" s="16">
        <f>VLOOKUP(B:B,'[1]Master Sheet'!$B:$I,8,0)</f>
        <v>0</v>
      </c>
      <c r="J693" s="16"/>
      <c r="K693" s="3" t="s">
        <v>2972</v>
      </c>
      <c r="L693" s="3" t="s">
        <v>3060</v>
      </c>
      <c r="M693" s="3" t="s">
        <v>3058</v>
      </c>
      <c r="N693" s="3"/>
      <c r="O693" s="3"/>
    </row>
    <row r="694" spans="1:15" s="4" customFormat="1">
      <c r="A694" s="2">
        <v>693</v>
      </c>
      <c r="B694" s="3" t="s">
        <v>1131</v>
      </c>
      <c r="C694" s="3" t="s">
        <v>1132</v>
      </c>
      <c r="D694" s="2" t="s">
        <v>17</v>
      </c>
      <c r="E694" s="2" t="s">
        <v>8</v>
      </c>
      <c r="F694" s="16"/>
      <c r="G694" s="16"/>
      <c r="H694" s="16">
        <f>VLOOKUP(B:B,'[1]Master Sheet'!$B:$H,7,0)</f>
        <v>200</v>
      </c>
      <c r="I694" s="16">
        <f>VLOOKUP(B:B,'[1]Master Sheet'!$B:$I,8,0)</f>
        <v>600</v>
      </c>
      <c r="J694" s="16"/>
      <c r="K694" s="3" t="s">
        <v>2991</v>
      </c>
      <c r="L694" s="3" t="s">
        <v>3057</v>
      </c>
      <c r="M694" s="3" t="s">
        <v>3056</v>
      </c>
      <c r="N694" s="3"/>
      <c r="O694" s="3"/>
    </row>
    <row r="695" spans="1:15" s="4" customFormat="1">
      <c r="A695" s="2">
        <v>694</v>
      </c>
      <c r="B695" s="3" t="s">
        <v>1588</v>
      </c>
      <c r="C695" s="3" t="s">
        <v>1589</v>
      </c>
      <c r="D695" s="2" t="s">
        <v>17</v>
      </c>
      <c r="E695" s="2" t="s">
        <v>8</v>
      </c>
      <c r="F695" s="16"/>
      <c r="G695" s="16"/>
      <c r="H695" s="16">
        <f>VLOOKUP(B:B,'[1]Master Sheet'!$B:$H,7,0)</f>
        <v>0</v>
      </c>
      <c r="I695" s="16">
        <f>VLOOKUP(B:B,'[1]Master Sheet'!$B:$I,8,0)</f>
        <v>0</v>
      </c>
      <c r="J695" s="16"/>
      <c r="K695" s="3" t="s">
        <v>2982</v>
      </c>
      <c r="L695" s="3" t="s">
        <v>3060</v>
      </c>
      <c r="M695" s="3" t="s">
        <v>3058</v>
      </c>
      <c r="N695" s="3"/>
      <c r="O695" s="3"/>
    </row>
    <row r="696" spans="1:15" s="4" customFormat="1">
      <c r="A696" s="2">
        <v>695</v>
      </c>
      <c r="B696" s="3" t="s">
        <v>1133</v>
      </c>
      <c r="C696" s="3" t="s">
        <v>1134</v>
      </c>
      <c r="D696" s="2" t="s">
        <v>17</v>
      </c>
      <c r="E696" s="2" t="s">
        <v>8</v>
      </c>
      <c r="F696" s="16"/>
      <c r="G696" s="16"/>
      <c r="H696" s="16">
        <f>VLOOKUP(B:B,'[1]Master Sheet'!$B:$H,7,0)</f>
        <v>1500</v>
      </c>
      <c r="I696" s="16">
        <f>VLOOKUP(B:B,'[1]Master Sheet'!$B:$I,8,0)</f>
        <v>0</v>
      </c>
      <c r="J696" s="16"/>
      <c r="K696" s="3" t="s">
        <v>2972</v>
      </c>
      <c r="L696" s="3" t="s">
        <v>3057</v>
      </c>
      <c r="M696" s="3" t="s">
        <v>3056</v>
      </c>
      <c r="N696" s="3"/>
      <c r="O696" s="3"/>
    </row>
    <row r="697" spans="1:15" s="4" customFormat="1">
      <c r="A697" s="2">
        <v>696</v>
      </c>
      <c r="B697" s="3" t="s">
        <v>1137</v>
      </c>
      <c r="C697" s="3" t="s">
        <v>1138</v>
      </c>
      <c r="D697" s="2" t="s">
        <v>17</v>
      </c>
      <c r="E697" s="2" t="s">
        <v>8</v>
      </c>
      <c r="F697" s="16"/>
      <c r="G697" s="16"/>
      <c r="H697" s="16">
        <f>VLOOKUP(B:B,'[1]Master Sheet'!$B:$H,7,0)</f>
        <v>2200</v>
      </c>
      <c r="I697" s="16">
        <f>VLOOKUP(B:B,'[1]Master Sheet'!$B:$I,8,0)</f>
        <v>0</v>
      </c>
      <c r="J697" s="16"/>
      <c r="K697" s="3" t="s">
        <v>2972</v>
      </c>
      <c r="L697" s="3" t="s">
        <v>3057</v>
      </c>
      <c r="M697" s="3" t="s">
        <v>3056</v>
      </c>
      <c r="N697" s="3"/>
      <c r="O697" s="3"/>
    </row>
    <row r="698" spans="1:15" s="4" customFormat="1">
      <c r="A698" s="2">
        <v>697</v>
      </c>
      <c r="B698" s="3" t="s">
        <v>1139</v>
      </c>
      <c r="C698" s="3" t="s">
        <v>1140</v>
      </c>
      <c r="D698" s="2" t="s">
        <v>17</v>
      </c>
      <c r="E698" s="2" t="s">
        <v>8</v>
      </c>
      <c r="F698" s="16"/>
      <c r="G698" s="16"/>
      <c r="H698" s="16">
        <f>VLOOKUP(B:B,'[1]Master Sheet'!$B:$H,7,0)</f>
        <v>2200</v>
      </c>
      <c r="I698" s="16">
        <f>VLOOKUP(B:B,'[1]Master Sheet'!$B:$I,8,0)</f>
        <v>0</v>
      </c>
      <c r="J698" s="16"/>
      <c r="K698" s="3" t="s">
        <v>2972</v>
      </c>
      <c r="L698" s="3" t="s">
        <v>3057</v>
      </c>
      <c r="M698" s="3" t="s">
        <v>3056</v>
      </c>
      <c r="N698" s="3"/>
      <c r="O698" s="3"/>
    </row>
    <row r="699" spans="1:15" s="4" customFormat="1">
      <c r="A699" s="2">
        <v>698</v>
      </c>
      <c r="B699" s="3" t="s">
        <v>1149</v>
      </c>
      <c r="C699" s="3" t="s">
        <v>1150</v>
      </c>
      <c r="D699" s="2" t="s">
        <v>20</v>
      </c>
      <c r="E699" s="2" t="s">
        <v>8</v>
      </c>
      <c r="F699" s="16"/>
      <c r="G699" s="16"/>
      <c r="H699" s="16">
        <f>VLOOKUP(B:B,'[1]Master Sheet'!$B:$H,7,0)</f>
        <v>1000</v>
      </c>
      <c r="I699" s="16">
        <f>VLOOKUP(B:B,'[1]Master Sheet'!$B:$I,8,0)</f>
        <v>1000</v>
      </c>
      <c r="J699" s="16"/>
      <c r="K699" s="3" t="s">
        <v>3031</v>
      </c>
      <c r="L699" s="3" t="s">
        <v>3057</v>
      </c>
      <c r="M699" s="3" t="s">
        <v>3056</v>
      </c>
      <c r="N699" s="3"/>
      <c r="O699" s="3"/>
    </row>
    <row r="700" spans="1:15" s="4" customFormat="1">
      <c r="A700" s="2">
        <v>699</v>
      </c>
      <c r="B700" s="3" t="s">
        <v>1151</v>
      </c>
      <c r="C700" s="3" t="s">
        <v>1152</v>
      </c>
      <c r="D700" s="2" t="s">
        <v>20</v>
      </c>
      <c r="E700" s="2" t="s">
        <v>8</v>
      </c>
      <c r="F700" s="16"/>
      <c r="G700" s="16"/>
      <c r="H700" s="16">
        <f>VLOOKUP(B:B,'[1]Master Sheet'!$B:$H,7,0)</f>
        <v>150</v>
      </c>
      <c r="I700" s="16">
        <f>VLOOKUP(B:B,'[1]Master Sheet'!$B:$I,8,0)</f>
        <v>0</v>
      </c>
      <c r="J700" s="16"/>
      <c r="K700" s="3" t="s">
        <v>3031</v>
      </c>
      <c r="L700" s="3" t="s">
        <v>3057</v>
      </c>
      <c r="M700" s="3" t="s">
        <v>3056</v>
      </c>
      <c r="N700" s="3"/>
      <c r="O700" s="3"/>
    </row>
    <row r="701" spans="1:15" s="4" customFormat="1">
      <c r="A701" s="2">
        <v>700</v>
      </c>
      <c r="B701" s="3" t="s">
        <v>1153</v>
      </c>
      <c r="C701" s="3" t="s">
        <v>1154</v>
      </c>
      <c r="D701" s="2" t="s">
        <v>20</v>
      </c>
      <c r="E701" s="2" t="s">
        <v>8</v>
      </c>
      <c r="F701" s="16"/>
      <c r="G701" s="16"/>
      <c r="H701" s="16">
        <f>VLOOKUP(B:B,'[1]Master Sheet'!$B:$H,7,0)</f>
        <v>200</v>
      </c>
      <c r="I701" s="16">
        <f>VLOOKUP(B:B,'[1]Master Sheet'!$B:$I,8,0)</f>
        <v>450</v>
      </c>
      <c r="J701" s="16"/>
      <c r="K701" s="3" t="s">
        <v>3031</v>
      </c>
      <c r="L701" s="3" t="s">
        <v>3057</v>
      </c>
      <c r="M701" s="3" t="s">
        <v>3056</v>
      </c>
      <c r="N701" s="3"/>
      <c r="O701" s="3"/>
    </row>
    <row r="702" spans="1:15" s="4" customFormat="1">
      <c r="A702" s="2">
        <v>701</v>
      </c>
      <c r="B702" s="3" t="s">
        <v>1203</v>
      </c>
      <c r="C702" s="3" t="s">
        <v>1204</v>
      </c>
      <c r="D702" s="2" t="s">
        <v>17</v>
      </c>
      <c r="E702" s="2" t="s">
        <v>8</v>
      </c>
      <c r="F702" s="16"/>
      <c r="G702" s="16"/>
      <c r="H702" s="16">
        <f>VLOOKUP(B:B,'[1]Master Sheet'!$B:$H,7,0)</f>
        <v>50</v>
      </c>
      <c r="I702" s="16">
        <f>VLOOKUP(B:B,'[1]Master Sheet'!$B:$I,8,0)</f>
        <v>0</v>
      </c>
      <c r="J702" s="16"/>
      <c r="K702" s="3" t="s">
        <v>3052</v>
      </c>
      <c r="L702" s="3" t="s">
        <v>3057</v>
      </c>
      <c r="M702" s="3" t="s">
        <v>3056</v>
      </c>
      <c r="N702" s="3"/>
      <c r="O702" s="3"/>
    </row>
    <row r="703" spans="1:15" s="4" customFormat="1">
      <c r="A703" s="2">
        <v>702</v>
      </c>
      <c r="B703" s="3" t="s">
        <v>1213</v>
      </c>
      <c r="C703" s="3" t="s">
        <v>1214</v>
      </c>
      <c r="D703" s="2" t="s">
        <v>17</v>
      </c>
      <c r="E703" s="2" t="s">
        <v>8</v>
      </c>
      <c r="F703" s="16"/>
      <c r="G703" s="16"/>
      <c r="H703" s="16">
        <f>VLOOKUP(B:B,'[1]Master Sheet'!$B:$H,7,0)</f>
        <v>5</v>
      </c>
      <c r="I703" s="16">
        <f>VLOOKUP(B:B,'[1]Master Sheet'!$B:$I,8,0)</f>
        <v>0</v>
      </c>
      <c r="J703" s="16"/>
      <c r="K703" s="3" t="s">
        <v>3052</v>
      </c>
      <c r="L703" s="3" t="s">
        <v>3057</v>
      </c>
      <c r="M703" s="3" t="s">
        <v>3056</v>
      </c>
      <c r="N703" s="3"/>
      <c r="O703" s="3"/>
    </row>
    <row r="704" spans="1:15" s="4" customFormat="1">
      <c r="A704" s="2">
        <v>703</v>
      </c>
      <c r="B704" s="3" t="s">
        <v>1261</v>
      </c>
      <c r="C704" s="3" t="s">
        <v>1262</v>
      </c>
      <c r="D704" s="2" t="s">
        <v>17</v>
      </c>
      <c r="E704" s="2" t="s">
        <v>8</v>
      </c>
      <c r="F704" s="16"/>
      <c r="G704" s="16"/>
      <c r="H704" s="16">
        <f>VLOOKUP(B:B,'[1]Master Sheet'!$B:$H,7,0)</f>
        <v>0</v>
      </c>
      <c r="I704" s="16">
        <f>VLOOKUP(B:B,'[1]Master Sheet'!$B:$I,8,0)</f>
        <v>0</v>
      </c>
      <c r="J704" s="16"/>
      <c r="K704" s="3" t="s">
        <v>3052</v>
      </c>
      <c r="L704" s="3" t="s">
        <v>3057</v>
      </c>
      <c r="M704" s="3" t="s">
        <v>3056</v>
      </c>
      <c r="N704" s="3"/>
      <c r="O704" s="3"/>
    </row>
    <row r="705" spans="1:15" s="4" customFormat="1">
      <c r="A705" s="2">
        <v>704</v>
      </c>
      <c r="B705" s="3" t="s">
        <v>1271</v>
      </c>
      <c r="C705" s="3" t="s">
        <v>1272</v>
      </c>
      <c r="D705" s="2" t="s">
        <v>116</v>
      </c>
      <c r="E705" s="2" t="s">
        <v>8</v>
      </c>
      <c r="F705" s="16"/>
      <c r="G705" s="16"/>
      <c r="H705" s="16">
        <f>VLOOKUP(B:B,'[1]Master Sheet'!$B:$H,7,0)</f>
        <v>2</v>
      </c>
      <c r="I705" s="16">
        <f>VLOOKUP(B:B,'[1]Master Sheet'!$B:$I,8,0)</f>
        <v>0</v>
      </c>
      <c r="J705" s="16"/>
      <c r="K705" s="3" t="s">
        <v>3052</v>
      </c>
      <c r="L705" s="3" t="s">
        <v>3057</v>
      </c>
      <c r="M705" s="3" t="s">
        <v>3056</v>
      </c>
      <c r="N705" s="3"/>
      <c r="O705" s="3"/>
    </row>
    <row r="706" spans="1:15" s="4" customFormat="1">
      <c r="A706" s="2">
        <v>705</v>
      </c>
      <c r="B706" s="3" t="s">
        <v>1273</v>
      </c>
      <c r="C706" s="3" t="s">
        <v>1274</v>
      </c>
      <c r="D706" s="2" t="s">
        <v>116</v>
      </c>
      <c r="E706" s="2" t="s">
        <v>8</v>
      </c>
      <c r="F706" s="16"/>
      <c r="G706" s="16"/>
      <c r="H706" s="16">
        <f>VLOOKUP(B:B,'[1]Master Sheet'!$B:$H,7,0)</f>
        <v>2</v>
      </c>
      <c r="I706" s="16">
        <f>VLOOKUP(B:B,'[1]Master Sheet'!$B:$I,8,0)</f>
        <v>0</v>
      </c>
      <c r="J706" s="16"/>
      <c r="K706" s="3" t="s">
        <v>3052</v>
      </c>
      <c r="L706" s="3" t="s">
        <v>3057</v>
      </c>
      <c r="M706" s="3" t="s">
        <v>3056</v>
      </c>
      <c r="N706" s="3"/>
      <c r="O706" s="3"/>
    </row>
    <row r="707" spans="1:15" s="4" customFormat="1">
      <c r="A707" s="2">
        <v>706</v>
      </c>
      <c r="B707" s="3" t="s">
        <v>1452</v>
      </c>
      <c r="C707" s="3" t="s">
        <v>1453</v>
      </c>
      <c r="D707" s="2" t="s">
        <v>17</v>
      </c>
      <c r="E707" s="2" t="s">
        <v>8</v>
      </c>
      <c r="F707" s="16"/>
      <c r="G707" s="16"/>
      <c r="H707" s="16">
        <f>VLOOKUP(B:B,'[1]Master Sheet'!$B:$H,7,0)</f>
        <v>0</v>
      </c>
      <c r="I707" s="16">
        <f>VLOOKUP(B:B,'[1]Master Sheet'!$B:$I,8,0)</f>
        <v>0</v>
      </c>
      <c r="J707" s="16"/>
      <c r="K707" s="3" t="s">
        <v>2972</v>
      </c>
      <c r="L707" s="3" t="s">
        <v>3057</v>
      </c>
      <c r="M707" s="3" t="s">
        <v>3056</v>
      </c>
      <c r="N707" s="3"/>
      <c r="O707" s="3"/>
    </row>
    <row r="708" spans="1:15" s="4" customFormat="1">
      <c r="A708" s="2">
        <v>707</v>
      </c>
      <c r="B708" s="3" t="s">
        <v>1454</v>
      </c>
      <c r="C708" s="3" t="s">
        <v>1455</v>
      </c>
      <c r="D708" s="2" t="s">
        <v>17</v>
      </c>
      <c r="E708" s="2" t="s">
        <v>8</v>
      </c>
      <c r="F708" s="16"/>
      <c r="G708" s="16"/>
      <c r="H708" s="16">
        <f>VLOOKUP(B:B,'[1]Master Sheet'!$B:$H,7,0)</f>
        <v>0</v>
      </c>
      <c r="I708" s="16">
        <f>VLOOKUP(B:B,'[1]Master Sheet'!$B:$I,8,0)</f>
        <v>0</v>
      </c>
      <c r="J708" s="16"/>
      <c r="K708" s="3" t="s">
        <v>2972</v>
      </c>
      <c r="L708" s="3" t="s">
        <v>3057</v>
      </c>
      <c r="M708" s="3" t="s">
        <v>3056</v>
      </c>
      <c r="N708" s="3"/>
      <c r="O708" s="3"/>
    </row>
    <row r="709" spans="1:15" s="4" customFormat="1">
      <c r="A709" s="2">
        <v>708</v>
      </c>
      <c r="B709" s="3" t="s">
        <v>1460</v>
      </c>
      <c r="C709" s="3" t="s">
        <v>1461</v>
      </c>
      <c r="D709" s="2" t="s">
        <v>17</v>
      </c>
      <c r="E709" s="2" t="s">
        <v>8</v>
      </c>
      <c r="F709" s="16"/>
      <c r="G709" s="16"/>
      <c r="H709" s="16">
        <f>VLOOKUP(B:B,'[1]Master Sheet'!$B:$H,7,0)</f>
        <v>0</v>
      </c>
      <c r="I709" s="16">
        <f>VLOOKUP(B:B,'[1]Master Sheet'!$B:$I,8,0)</f>
        <v>0</v>
      </c>
      <c r="J709" s="16"/>
      <c r="K709" s="3" t="s">
        <v>2972</v>
      </c>
      <c r="L709" s="3" t="s">
        <v>3057</v>
      </c>
      <c r="M709" s="3" t="s">
        <v>3056</v>
      </c>
      <c r="N709" s="3"/>
      <c r="O709" s="3"/>
    </row>
    <row r="710" spans="1:15" s="4" customFormat="1">
      <c r="A710" s="2">
        <v>709</v>
      </c>
      <c r="B710" s="3" t="s">
        <v>1462</v>
      </c>
      <c r="C710" s="3" t="s">
        <v>1463</v>
      </c>
      <c r="D710" s="2" t="s">
        <v>20</v>
      </c>
      <c r="E710" s="2" t="s">
        <v>8</v>
      </c>
      <c r="F710" s="16"/>
      <c r="G710" s="16"/>
      <c r="H710" s="16">
        <f>VLOOKUP(B:B,'[1]Master Sheet'!$B:$H,7,0)</f>
        <v>150</v>
      </c>
      <c r="I710" s="16">
        <f>VLOOKUP(B:B,'[1]Master Sheet'!$B:$I,8,0)</f>
        <v>0</v>
      </c>
      <c r="J710" s="16"/>
      <c r="K710" s="3" t="s">
        <v>2972</v>
      </c>
      <c r="L710" s="3" t="s">
        <v>3057</v>
      </c>
      <c r="M710" s="3" t="s">
        <v>3056</v>
      </c>
      <c r="N710" s="3"/>
      <c r="O710" s="3"/>
    </row>
    <row r="711" spans="1:15" s="4" customFormat="1">
      <c r="A711" s="2">
        <v>710</v>
      </c>
      <c r="B711" s="3" t="s">
        <v>1464</v>
      </c>
      <c r="C711" s="3" t="s">
        <v>1465</v>
      </c>
      <c r="D711" s="2" t="s">
        <v>20</v>
      </c>
      <c r="E711" s="2" t="s">
        <v>8</v>
      </c>
      <c r="F711" s="16"/>
      <c r="G711" s="16"/>
      <c r="H711" s="16">
        <f>VLOOKUP(B:B,'[1]Master Sheet'!$B:$H,7,0)</f>
        <v>100</v>
      </c>
      <c r="I711" s="16">
        <f>VLOOKUP(B:B,'[1]Master Sheet'!$B:$I,8,0)</f>
        <v>0</v>
      </c>
      <c r="J711" s="16"/>
      <c r="K711" s="3" t="s">
        <v>2972</v>
      </c>
      <c r="L711" s="3" t="s">
        <v>3057</v>
      </c>
      <c r="M711" s="3" t="s">
        <v>3056</v>
      </c>
      <c r="N711" s="3"/>
      <c r="O711" s="3"/>
    </row>
    <row r="712" spans="1:15" s="4" customFormat="1">
      <c r="A712" s="2">
        <v>711</v>
      </c>
      <c r="B712" s="3" t="s">
        <v>3167</v>
      </c>
      <c r="C712" s="3" t="s">
        <v>3168</v>
      </c>
      <c r="D712" s="2" t="s">
        <v>20</v>
      </c>
      <c r="E712" s="2" t="s">
        <v>8</v>
      </c>
      <c r="F712" s="16"/>
      <c r="G712" s="16"/>
      <c r="H712" s="16">
        <f>VLOOKUP(B:B,'[1]Master Sheet'!$B:$H,7,0)</f>
        <v>0</v>
      </c>
      <c r="I712" s="16">
        <f>VLOOKUP(B:B,'[1]Master Sheet'!$B:$I,8,0)</f>
        <v>0</v>
      </c>
      <c r="J712" s="16"/>
      <c r="K712" s="3" t="s">
        <v>2972</v>
      </c>
      <c r="L712" s="3" t="s">
        <v>3057</v>
      </c>
      <c r="M712" s="3" t="s">
        <v>3056</v>
      </c>
      <c r="N712" s="3"/>
      <c r="O712" s="3"/>
    </row>
    <row r="713" spans="1:15" s="4" customFormat="1">
      <c r="A713" s="2">
        <v>712</v>
      </c>
      <c r="B713" s="3" t="s">
        <v>1486</v>
      </c>
      <c r="C713" s="3" t="s">
        <v>1487</v>
      </c>
      <c r="D713" s="2" t="s">
        <v>17</v>
      </c>
      <c r="E713" s="2" t="s">
        <v>8</v>
      </c>
      <c r="F713" s="16"/>
      <c r="G713" s="16"/>
      <c r="H713" s="16">
        <f>VLOOKUP(B:B,'[1]Master Sheet'!$B:$H,7,0)</f>
        <v>0</v>
      </c>
      <c r="I713" s="16">
        <f>VLOOKUP(B:B,'[1]Master Sheet'!$B:$I,8,0)</f>
        <v>0</v>
      </c>
      <c r="J713" s="16"/>
      <c r="K713" s="3" t="s">
        <v>2998</v>
      </c>
      <c r="L713" s="3" t="s">
        <v>3057</v>
      </c>
      <c r="M713" s="3" t="s">
        <v>3056</v>
      </c>
      <c r="N713" s="3"/>
      <c r="O713" s="3"/>
    </row>
    <row r="714" spans="1:15" s="4" customFormat="1">
      <c r="A714" s="2">
        <v>713</v>
      </c>
      <c r="B714" s="3" t="s">
        <v>1508</v>
      </c>
      <c r="C714" s="3" t="s">
        <v>1509</v>
      </c>
      <c r="D714" s="2" t="s">
        <v>17</v>
      </c>
      <c r="E714" s="2" t="s">
        <v>8</v>
      </c>
      <c r="F714" s="16"/>
      <c r="G714" s="16"/>
      <c r="H714" s="16">
        <f>VLOOKUP(B:B,'[1]Master Sheet'!$B:$H,7,0)</f>
        <v>150</v>
      </c>
      <c r="I714" s="16">
        <f>VLOOKUP(B:B,'[1]Master Sheet'!$B:$I,8,0)</f>
        <v>0</v>
      </c>
      <c r="J714" s="16"/>
      <c r="K714" s="3" t="s">
        <v>2991</v>
      </c>
      <c r="L714" s="3" t="s">
        <v>3057</v>
      </c>
      <c r="M714" s="3" t="s">
        <v>3058</v>
      </c>
      <c r="N714" s="3"/>
      <c r="O714" s="3"/>
    </row>
    <row r="715" spans="1:15" s="4" customFormat="1">
      <c r="A715" s="2">
        <v>714</v>
      </c>
      <c r="B715" s="3" t="s">
        <v>1514</v>
      </c>
      <c r="C715" s="3" t="s">
        <v>1515</v>
      </c>
      <c r="D715" s="2" t="s">
        <v>135</v>
      </c>
      <c r="E715" s="2" t="s">
        <v>8</v>
      </c>
      <c r="F715" s="16"/>
      <c r="G715" s="16"/>
      <c r="H715" s="16">
        <f>VLOOKUP(B:B,'[1]Master Sheet'!$B:$H,7,0)</f>
        <v>6000</v>
      </c>
      <c r="I715" s="16">
        <f>VLOOKUP(B:B,'[1]Master Sheet'!$B:$I,8,0)</f>
        <v>0</v>
      </c>
      <c r="J715" s="16"/>
      <c r="K715" s="3" t="s">
        <v>2974</v>
      </c>
      <c r="L715" s="3" t="s">
        <v>3057</v>
      </c>
      <c r="M715" s="3" t="s">
        <v>3056</v>
      </c>
      <c r="N715" s="3"/>
      <c r="O715" s="3"/>
    </row>
    <row r="716" spans="1:15" s="4" customFormat="1">
      <c r="A716" s="2">
        <v>715</v>
      </c>
      <c r="B716" s="3" t="s">
        <v>1516</v>
      </c>
      <c r="C716" s="3" t="s">
        <v>1517</v>
      </c>
      <c r="D716" s="2" t="s">
        <v>17</v>
      </c>
      <c r="E716" s="2" t="s">
        <v>8</v>
      </c>
      <c r="F716" s="16"/>
      <c r="G716" s="16"/>
      <c r="H716" s="16">
        <f>VLOOKUP(B:B,'[1]Master Sheet'!$B:$H,7,0)</f>
        <v>2500</v>
      </c>
      <c r="I716" s="16">
        <f>VLOOKUP(B:B,'[1]Master Sheet'!$B:$I,8,0)</f>
        <v>0</v>
      </c>
      <c r="J716" s="16"/>
      <c r="K716" s="3" t="s">
        <v>2972</v>
      </c>
      <c r="L716" s="3" t="s">
        <v>3057</v>
      </c>
      <c r="M716" s="3" t="s">
        <v>3056</v>
      </c>
      <c r="N716" s="3"/>
      <c r="O716" s="3"/>
    </row>
    <row r="717" spans="1:15" s="4" customFormat="1">
      <c r="A717" s="2">
        <v>716</v>
      </c>
      <c r="B717" s="3" t="s">
        <v>1518</v>
      </c>
      <c r="C717" s="3" t="s">
        <v>1519</v>
      </c>
      <c r="D717" s="2" t="s">
        <v>17</v>
      </c>
      <c r="E717" s="2" t="s">
        <v>8</v>
      </c>
      <c r="F717" s="16"/>
      <c r="G717" s="16"/>
      <c r="H717" s="16">
        <f>VLOOKUP(B:B,'[1]Master Sheet'!$B:$H,7,0)</f>
        <v>0</v>
      </c>
      <c r="I717" s="16">
        <f>VLOOKUP(B:B,'[1]Master Sheet'!$B:$I,8,0)</f>
        <v>0</v>
      </c>
      <c r="J717" s="16"/>
      <c r="K717" s="3" t="s">
        <v>2972</v>
      </c>
      <c r="L717" s="3" t="s">
        <v>3057</v>
      </c>
      <c r="M717" s="3" t="s">
        <v>3056</v>
      </c>
      <c r="N717" s="3"/>
      <c r="O717" s="3"/>
    </row>
    <row r="718" spans="1:15" s="4" customFormat="1">
      <c r="A718" s="2">
        <v>717</v>
      </c>
      <c r="B718" s="3" t="s">
        <v>1520</v>
      </c>
      <c r="C718" s="3" t="s">
        <v>1521</v>
      </c>
      <c r="D718" s="2" t="s">
        <v>17</v>
      </c>
      <c r="E718" s="2" t="s">
        <v>8</v>
      </c>
      <c r="F718" s="16"/>
      <c r="G718" s="16"/>
      <c r="H718" s="16">
        <f>VLOOKUP(B:B,'[1]Master Sheet'!$B:$H,7,0)</f>
        <v>0</v>
      </c>
      <c r="I718" s="16">
        <f>VLOOKUP(B:B,'[1]Master Sheet'!$B:$I,8,0)</f>
        <v>0</v>
      </c>
      <c r="J718" s="16"/>
      <c r="K718" s="3" t="s">
        <v>2972</v>
      </c>
      <c r="L718" s="3" t="s">
        <v>3057</v>
      </c>
      <c r="M718" s="3" t="s">
        <v>3056</v>
      </c>
      <c r="N718" s="3"/>
      <c r="O718" s="3"/>
    </row>
    <row r="719" spans="1:15" s="4" customFormat="1">
      <c r="A719" s="2">
        <v>718</v>
      </c>
      <c r="B719" s="3" t="s">
        <v>1524</v>
      </c>
      <c r="C719" s="3" t="s">
        <v>1525</v>
      </c>
      <c r="D719" s="2" t="s">
        <v>17</v>
      </c>
      <c r="E719" s="2" t="s">
        <v>8</v>
      </c>
      <c r="F719" s="16"/>
      <c r="G719" s="16"/>
      <c r="H719" s="16">
        <f>VLOOKUP(B:B,'[1]Master Sheet'!$B:$H,7,0)</f>
        <v>2000</v>
      </c>
      <c r="I719" s="16">
        <f>VLOOKUP(B:B,'[1]Master Sheet'!$B:$I,8,0)</f>
        <v>0</v>
      </c>
      <c r="J719" s="16"/>
      <c r="K719" s="3" t="s">
        <v>2972</v>
      </c>
      <c r="L719" s="3" t="s">
        <v>3057</v>
      </c>
      <c r="M719" s="3" t="s">
        <v>3056</v>
      </c>
      <c r="N719" s="3"/>
      <c r="O719" s="3"/>
    </row>
    <row r="720" spans="1:15" s="4" customFormat="1">
      <c r="A720" s="2">
        <v>719</v>
      </c>
      <c r="B720" s="3" t="s">
        <v>1526</v>
      </c>
      <c r="C720" s="3" t="s">
        <v>1527</v>
      </c>
      <c r="D720" s="2" t="s">
        <v>17</v>
      </c>
      <c r="E720" s="2" t="s">
        <v>8</v>
      </c>
      <c r="F720" s="16"/>
      <c r="G720" s="16"/>
      <c r="H720" s="16">
        <f>VLOOKUP(B:B,'[1]Master Sheet'!$B:$H,7,0)</f>
        <v>0</v>
      </c>
      <c r="I720" s="16">
        <f>VLOOKUP(B:B,'[1]Master Sheet'!$B:$I,8,0)</f>
        <v>0</v>
      </c>
      <c r="J720" s="16"/>
      <c r="K720" s="3" t="s">
        <v>2972</v>
      </c>
      <c r="L720" s="3" t="s">
        <v>3057</v>
      </c>
      <c r="M720" s="3" t="s">
        <v>3056</v>
      </c>
      <c r="N720" s="3"/>
      <c r="O720" s="3"/>
    </row>
    <row r="721" spans="1:15" s="4" customFormat="1">
      <c r="A721" s="2">
        <v>720</v>
      </c>
      <c r="B721" s="3" t="s">
        <v>1538</v>
      </c>
      <c r="C721" s="3" t="s">
        <v>1539</v>
      </c>
      <c r="D721" s="2" t="s">
        <v>17</v>
      </c>
      <c r="E721" s="2" t="s">
        <v>8</v>
      </c>
      <c r="F721" s="16"/>
      <c r="G721" s="16"/>
      <c r="H721" s="16">
        <f>VLOOKUP(B:B,'[1]Master Sheet'!$B:$H,7,0)</f>
        <v>3500</v>
      </c>
      <c r="I721" s="16">
        <f>VLOOKUP(B:B,'[1]Master Sheet'!$B:$I,8,0)</f>
        <v>6000</v>
      </c>
      <c r="J721" s="16"/>
      <c r="K721" s="3" t="s">
        <v>2974</v>
      </c>
      <c r="L721" s="3" t="s">
        <v>3057</v>
      </c>
      <c r="M721" s="3" t="s">
        <v>3056</v>
      </c>
      <c r="N721" s="3"/>
      <c r="O721" s="3"/>
    </row>
    <row r="722" spans="1:15" s="4" customFormat="1">
      <c r="A722" s="2">
        <v>721</v>
      </c>
      <c r="B722" s="3" t="s">
        <v>1550</v>
      </c>
      <c r="C722" s="3" t="s">
        <v>1551</v>
      </c>
      <c r="D722" s="2" t="s">
        <v>7</v>
      </c>
      <c r="E722" s="2" t="s">
        <v>8</v>
      </c>
      <c r="F722" s="16"/>
      <c r="G722" s="16"/>
      <c r="H722" s="16">
        <f>VLOOKUP(B:B,'[1]Master Sheet'!$B:$H,7,0)</f>
        <v>1500</v>
      </c>
      <c r="I722" s="16">
        <f>VLOOKUP(B:B,'[1]Master Sheet'!$B:$I,8,0)</f>
        <v>6400</v>
      </c>
      <c r="J722" s="16"/>
      <c r="K722" s="3" t="s">
        <v>2972</v>
      </c>
      <c r="L722" s="3" t="s">
        <v>3057</v>
      </c>
      <c r="M722" s="3" t="s">
        <v>3056</v>
      </c>
      <c r="N722" s="3"/>
      <c r="O722" s="3"/>
    </row>
    <row r="723" spans="1:15" s="4" customFormat="1">
      <c r="A723" s="2">
        <v>722</v>
      </c>
      <c r="B723" s="3" t="s">
        <v>1560</v>
      </c>
      <c r="C723" s="3" t="s">
        <v>1561</v>
      </c>
      <c r="D723" s="2" t="s">
        <v>17</v>
      </c>
      <c r="E723" s="2" t="s">
        <v>8</v>
      </c>
      <c r="F723" s="16"/>
      <c r="G723" s="16"/>
      <c r="H723" s="16">
        <f>VLOOKUP(B:B,'[1]Master Sheet'!$B:$H,7,0)</f>
        <v>600</v>
      </c>
      <c r="I723" s="16">
        <f>VLOOKUP(B:B,'[1]Master Sheet'!$B:$I,8,0)</f>
        <v>0</v>
      </c>
      <c r="J723" s="16"/>
      <c r="K723" s="3" t="s">
        <v>2972</v>
      </c>
      <c r="L723" s="3" t="s">
        <v>3057</v>
      </c>
      <c r="M723" s="3" t="s">
        <v>3058</v>
      </c>
      <c r="N723" s="3"/>
      <c r="O723" s="3"/>
    </row>
    <row r="724" spans="1:15" s="4" customFormat="1">
      <c r="A724" s="2">
        <v>723</v>
      </c>
      <c r="B724" s="3" t="s">
        <v>1562</v>
      </c>
      <c r="C724" s="3" t="s">
        <v>1563</v>
      </c>
      <c r="D724" s="2" t="s">
        <v>17</v>
      </c>
      <c r="E724" s="2" t="s">
        <v>8</v>
      </c>
      <c r="F724" s="16"/>
      <c r="G724" s="16"/>
      <c r="H724" s="16">
        <f>VLOOKUP(B:B,'[1]Master Sheet'!$B:$H,7,0)</f>
        <v>150</v>
      </c>
      <c r="I724" s="16">
        <f>VLOOKUP(B:B,'[1]Master Sheet'!$B:$I,8,0)</f>
        <v>0</v>
      </c>
      <c r="J724" s="16"/>
      <c r="K724" s="3" t="s">
        <v>2972</v>
      </c>
      <c r="L724" s="3" t="s">
        <v>3057</v>
      </c>
      <c r="M724" s="3" t="s">
        <v>3056</v>
      </c>
      <c r="N724" s="3"/>
      <c r="O724" s="3"/>
    </row>
    <row r="725" spans="1:15" s="4" customFormat="1">
      <c r="A725" s="2">
        <v>724</v>
      </c>
      <c r="B725" s="3" t="s">
        <v>1572</v>
      </c>
      <c r="C725" s="3" t="s">
        <v>1573</v>
      </c>
      <c r="D725" s="2" t="s">
        <v>116</v>
      </c>
      <c r="E725" s="2" t="s">
        <v>8</v>
      </c>
      <c r="F725" s="16"/>
      <c r="G725" s="16"/>
      <c r="H725" s="16">
        <f>VLOOKUP(B:B,'[1]Master Sheet'!$B:$H,7,0)</f>
        <v>150</v>
      </c>
      <c r="I725" s="16">
        <f>VLOOKUP(B:B,'[1]Master Sheet'!$B:$I,8,0)</f>
        <v>0</v>
      </c>
      <c r="J725" s="16"/>
      <c r="K725" s="3" t="s">
        <v>2974</v>
      </c>
      <c r="L725" s="3" t="s">
        <v>3057</v>
      </c>
      <c r="M725" s="3" t="s">
        <v>3056</v>
      </c>
      <c r="N725" s="3"/>
      <c r="O725" s="3"/>
    </row>
    <row r="726" spans="1:15" s="4" customFormat="1">
      <c r="A726" s="2">
        <v>725</v>
      </c>
      <c r="B726" s="3" t="s">
        <v>1574</v>
      </c>
      <c r="C726" s="3" t="s">
        <v>1575</v>
      </c>
      <c r="D726" s="2" t="s">
        <v>116</v>
      </c>
      <c r="E726" s="2" t="s">
        <v>8</v>
      </c>
      <c r="F726" s="16"/>
      <c r="G726" s="16"/>
      <c r="H726" s="16">
        <f>VLOOKUP(B:B,'[1]Master Sheet'!$B:$H,7,0)</f>
        <v>250</v>
      </c>
      <c r="I726" s="16">
        <f>VLOOKUP(B:B,'[1]Master Sheet'!$B:$I,8,0)</f>
        <v>0</v>
      </c>
      <c r="J726" s="16"/>
      <c r="K726" s="3" t="s">
        <v>2974</v>
      </c>
      <c r="L726" s="3" t="s">
        <v>3057</v>
      </c>
      <c r="M726" s="3" t="s">
        <v>3056</v>
      </c>
      <c r="N726" s="3"/>
      <c r="O726" s="3"/>
    </row>
    <row r="727" spans="1:15" s="4" customFormat="1">
      <c r="A727" s="2">
        <v>726</v>
      </c>
      <c r="B727" s="3" t="s">
        <v>1590</v>
      </c>
      <c r="C727" s="3" t="s">
        <v>1591</v>
      </c>
      <c r="D727" s="2" t="s">
        <v>17</v>
      </c>
      <c r="E727" s="2" t="s">
        <v>8</v>
      </c>
      <c r="F727" s="16"/>
      <c r="G727" s="16"/>
      <c r="H727" s="16">
        <f>VLOOKUP(B:B,'[1]Master Sheet'!$B:$H,7,0)</f>
        <v>500</v>
      </c>
      <c r="I727" s="16">
        <f>VLOOKUP(B:B,'[1]Master Sheet'!$B:$I,8,0)</f>
        <v>500</v>
      </c>
      <c r="J727" s="16"/>
      <c r="K727" s="3" t="s">
        <v>2972</v>
      </c>
      <c r="L727" s="3" t="s">
        <v>3057</v>
      </c>
      <c r="M727" s="3" t="s">
        <v>3056</v>
      </c>
      <c r="N727" s="3"/>
      <c r="O727" s="3"/>
    </row>
    <row r="728" spans="1:15" s="4" customFormat="1">
      <c r="A728" s="2">
        <v>727</v>
      </c>
      <c r="B728" s="3" t="s">
        <v>1600</v>
      </c>
      <c r="C728" s="3" t="s">
        <v>1601</v>
      </c>
      <c r="D728" s="2" t="s">
        <v>17</v>
      </c>
      <c r="E728" s="2" t="s">
        <v>8</v>
      </c>
      <c r="F728" s="16"/>
      <c r="G728" s="16"/>
      <c r="H728" s="16">
        <f>VLOOKUP(B:B,'[1]Master Sheet'!$B:$H,7,0)</f>
        <v>50</v>
      </c>
      <c r="I728" s="16">
        <f>VLOOKUP(B:B,'[1]Master Sheet'!$B:$I,8,0)</f>
        <v>50</v>
      </c>
      <c r="J728" s="16"/>
      <c r="K728" s="3" t="s">
        <v>2972</v>
      </c>
      <c r="L728" s="3" t="s">
        <v>3057</v>
      </c>
      <c r="M728" s="3" t="s">
        <v>3056</v>
      </c>
      <c r="N728" s="3"/>
      <c r="O728" s="3"/>
    </row>
    <row r="729" spans="1:15" s="4" customFormat="1">
      <c r="A729" s="2">
        <v>728</v>
      </c>
      <c r="B729" s="3" t="s">
        <v>1602</v>
      </c>
      <c r="C729" s="3" t="s">
        <v>1603</v>
      </c>
      <c r="D729" s="2" t="s">
        <v>17</v>
      </c>
      <c r="E729" s="2" t="s">
        <v>8</v>
      </c>
      <c r="F729" s="16"/>
      <c r="G729" s="16"/>
      <c r="H729" s="16">
        <f>VLOOKUP(B:B,'[1]Master Sheet'!$B:$H,7,0)</f>
        <v>75</v>
      </c>
      <c r="I729" s="16">
        <f>VLOOKUP(B:B,'[1]Master Sheet'!$B:$I,8,0)</f>
        <v>0</v>
      </c>
      <c r="J729" s="16"/>
      <c r="K729" s="3" t="s">
        <v>2972</v>
      </c>
      <c r="L729" s="3" t="s">
        <v>3057</v>
      </c>
      <c r="M729" s="3" t="s">
        <v>3056</v>
      </c>
      <c r="N729" s="3"/>
      <c r="O729" s="3"/>
    </row>
    <row r="730" spans="1:15" s="4" customFormat="1">
      <c r="A730" s="2">
        <v>729</v>
      </c>
      <c r="B730" s="3" t="s">
        <v>1604</v>
      </c>
      <c r="C730" s="3" t="s">
        <v>1605</v>
      </c>
      <c r="D730" s="2" t="s">
        <v>17</v>
      </c>
      <c r="E730" s="2" t="s">
        <v>8</v>
      </c>
      <c r="F730" s="16"/>
      <c r="G730" s="16"/>
      <c r="H730" s="16">
        <f>VLOOKUP(B:B,'[1]Master Sheet'!$B:$H,7,0)</f>
        <v>800</v>
      </c>
      <c r="I730" s="16">
        <f>VLOOKUP(B:B,'[1]Master Sheet'!$B:$I,8,0)</f>
        <v>0</v>
      </c>
      <c r="J730" s="16"/>
      <c r="K730" s="3" t="s">
        <v>2972</v>
      </c>
      <c r="L730" s="3" t="s">
        <v>3057</v>
      </c>
      <c r="M730" s="3" t="s">
        <v>3056</v>
      </c>
      <c r="N730" s="3"/>
      <c r="O730" s="3"/>
    </row>
    <row r="731" spans="1:15" s="4" customFormat="1">
      <c r="A731" s="2">
        <v>730</v>
      </c>
      <c r="B731" s="3" t="s">
        <v>1608</v>
      </c>
      <c r="C731" s="3" t="s">
        <v>1609</v>
      </c>
      <c r="D731" s="2" t="s">
        <v>17</v>
      </c>
      <c r="E731" s="2" t="s">
        <v>8</v>
      </c>
      <c r="F731" s="16">
        <v>4400</v>
      </c>
      <c r="G731" s="16"/>
      <c r="H731" s="16">
        <f>VLOOKUP(B:B,'[1]Master Sheet'!$B:$H,7,0)</f>
        <v>15000</v>
      </c>
      <c r="I731" s="16">
        <f>VLOOKUP(B:B,'[1]Master Sheet'!$B:$I,8,0)</f>
        <v>35000</v>
      </c>
      <c r="J731" s="16"/>
      <c r="K731" s="3" t="s">
        <v>2972</v>
      </c>
      <c r="L731" s="3" t="s">
        <v>3057</v>
      </c>
      <c r="M731" s="3" t="s">
        <v>3056</v>
      </c>
      <c r="N731" s="3"/>
      <c r="O731" s="3"/>
    </row>
    <row r="732" spans="1:15" s="4" customFormat="1">
      <c r="A732" s="2">
        <v>731</v>
      </c>
      <c r="B732" s="3" t="s">
        <v>1610</v>
      </c>
      <c r="C732" s="3" t="s">
        <v>1611</v>
      </c>
      <c r="D732" s="2" t="s">
        <v>17</v>
      </c>
      <c r="E732" s="2" t="s">
        <v>8</v>
      </c>
      <c r="F732" s="16"/>
      <c r="G732" s="16"/>
      <c r="H732" s="16">
        <f>VLOOKUP(B:B,'[1]Master Sheet'!$B:$H,7,0)</f>
        <v>500</v>
      </c>
      <c r="I732" s="16">
        <f>VLOOKUP(B:B,'[1]Master Sheet'!$B:$I,8,0)</f>
        <v>0</v>
      </c>
      <c r="J732" s="16"/>
      <c r="K732" s="3" t="s">
        <v>2972</v>
      </c>
      <c r="L732" s="3" t="s">
        <v>3057</v>
      </c>
      <c r="M732" s="3" t="s">
        <v>3056</v>
      </c>
      <c r="N732" s="3"/>
      <c r="O732" s="3"/>
    </row>
    <row r="733" spans="1:15" s="4" customFormat="1">
      <c r="A733" s="2">
        <v>732</v>
      </c>
      <c r="B733" s="3" t="s">
        <v>1614</v>
      </c>
      <c r="C733" s="3" t="s">
        <v>1615</v>
      </c>
      <c r="D733" s="2" t="s">
        <v>17</v>
      </c>
      <c r="E733" s="2" t="s">
        <v>8</v>
      </c>
      <c r="F733" s="16"/>
      <c r="G733" s="16"/>
      <c r="H733" s="16">
        <f>VLOOKUP(B:B,'[1]Master Sheet'!$B:$H,7,0)</f>
        <v>75</v>
      </c>
      <c r="I733" s="16">
        <f>VLOOKUP(B:B,'[1]Master Sheet'!$B:$I,8,0)</f>
        <v>0</v>
      </c>
      <c r="J733" s="16"/>
      <c r="K733" s="3" t="s">
        <v>2972</v>
      </c>
      <c r="L733" s="3" t="s">
        <v>3057</v>
      </c>
      <c r="M733" s="3" t="s">
        <v>3056</v>
      </c>
      <c r="N733" s="3"/>
      <c r="O733" s="3"/>
    </row>
    <row r="734" spans="1:15" s="4" customFormat="1">
      <c r="A734" s="2">
        <v>733</v>
      </c>
      <c r="B734" s="3" t="s">
        <v>1616</v>
      </c>
      <c r="C734" s="3" t="s">
        <v>1617</v>
      </c>
      <c r="D734" s="2" t="s">
        <v>17</v>
      </c>
      <c r="E734" s="2" t="s">
        <v>8</v>
      </c>
      <c r="F734" s="16"/>
      <c r="G734" s="16"/>
      <c r="H734" s="16">
        <f>VLOOKUP(B:B,'[1]Master Sheet'!$B:$H,7,0)</f>
        <v>110</v>
      </c>
      <c r="I734" s="16">
        <f>VLOOKUP(B:B,'[1]Master Sheet'!$B:$I,8,0)</f>
        <v>0</v>
      </c>
      <c r="J734" s="16"/>
      <c r="K734" s="3" t="s">
        <v>2972</v>
      </c>
      <c r="L734" s="3" t="s">
        <v>3057</v>
      </c>
      <c r="M734" s="3" t="s">
        <v>3056</v>
      </c>
      <c r="N734" s="3"/>
      <c r="O734" s="3"/>
    </row>
    <row r="735" spans="1:15" s="4" customFormat="1">
      <c r="A735" s="2">
        <v>734</v>
      </c>
      <c r="B735" s="3" t="s">
        <v>1624</v>
      </c>
      <c r="C735" s="3" t="s">
        <v>1625</v>
      </c>
      <c r="D735" s="2" t="s">
        <v>17</v>
      </c>
      <c r="E735" s="2" t="s">
        <v>8</v>
      </c>
      <c r="F735" s="16"/>
      <c r="G735" s="16"/>
      <c r="H735" s="16">
        <f>VLOOKUP(B:B,'[1]Master Sheet'!$B:$H,7,0)</f>
        <v>0</v>
      </c>
      <c r="I735" s="16">
        <f>VLOOKUP(B:B,'[1]Master Sheet'!$B:$I,8,0)</f>
        <v>0</v>
      </c>
      <c r="J735" s="16"/>
      <c r="K735" s="3" t="s">
        <v>2972</v>
      </c>
      <c r="L735" s="3" t="s">
        <v>3057</v>
      </c>
      <c r="M735" s="3" t="s">
        <v>3056</v>
      </c>
      <c r="N735" s="3"/>
      <c r="O735" s="3"/>
    </row>
    <row r="736" spans="1:15" s="4" customFormat="1">
      <c r="A736" s="2">
        <v>735</v>
      </c>
      <c r="B736" s="3" t="s">
        <v>1626</v>
      </c>
      <c r="C736" s="3" t="s">
        <v>1627</v>
      </c>
      <c r="D736" s="2" t="s">
        <v>17</v>
      </c>
      <c r="E736" s="2" t="s">
        <v>8</v>
      </c>
      <c r="F736" s="16"/>
      <c r="G736" s="16"/>
      <c r="H736" s="16">
        <f>VLOOKUP(B:B,'[1]Master Sheet'!$B:$H,7,0)</f>
        <v>0</v>
      </c>
      <c r="I736" s="16">
        <f>VLOOKUP(B:B,'[1]Master Sheet'!$B:$I,8,0)</f>
        <v>0</v>
      </c>
      <c r="J736" s="16"/>
      <c r="K736" s="3" t="s">
        <v>2972</v>
      </c>
      <c r="L736" s="3" t="s">
        <v>3057</v>
      </c>
      <c r="M736" s="3" t="s">
        <v>3056</v>
      </c>
      <c r="N736" s="3"/>
      <c r="O736" s="3"/>
    </row>
    <row r="737" spans="1:15" s="4" customFormat="1">
      <c r="A737" s="2">
        <v>736</v>
      </c>
      <c r="B737" s="3" t="s">
        <v>1628</v>
      </c>
      <c r="C737" s="3" t="s">
        <v>1629</v>
      </c>
      <c r="D737" s="2" t="s">
        <v>17</v>
      </c>
      <c r="E737" s="2" t="s">
        <v>8</v>
      </c>
      <c r="F737" s="16"/>
      <c r="G737" s="16"/>
      <c r="H737" s="16">
        <f>VLOOKUP(B:B,'[1]Master Sheet'!$B:$H,7,0)</f>
        <v>500</v>
      </c>
      <c r="I737" s="16">
        <f>VLOOKUP(B:B,'[1]Master Sheet'!$B:$I,8,0)</f>
        <v>500</v>
      </c>
      <c r="J737" s="16"/>
      <c r="K737" s="3" t="s">
        <v>2972</v>
      </c>
      <c r="L737" s="3" t="s">
        <v>3057</v>
      </c>
      <c r="M737" s="3" t="s">
        <v>3056</v>
      </c>
      <c r="N737" s="3"/>
      <c r="O737" s="3"/>
    </row>
    <row r="738" spans="1:15" s="4" customFormat="1">
      <c r="A738" s="2">
        <v>737</v>
      </c>
      <c r="B738" s="3" t="s">
        <v>1630</v>
      </c>
      <c r="C738" s="3" t="s">
        <v>1631</v>
      </c>
      <c r="D738" s="2" t="s">
        <v>17</v>
      </c>
      <c r="E738" s="2" t="s">
        <v>8</v>
      </c>
      <c r="F738" s="16"/>
      <c r="G738" s="16"/>
      <c r="H738" s="16">
        <f>VLOOKUP(B:B,'[1]Master Sheet'!$B:$H,7,0)</f>
        <v>2000</v>
      </c>
      <c r="I738" s="16">
        <f>VLOOKUP(B:B,'[1]Master Sheet'!$B:$I,8,0)</f>
        <v>1500</v>
      </c>
      <c r="J738" s="16"/>
      <c r="K738" s="3" t="s">
        <v>2972</v>
      </c>
      <c r="L738" s="3" t="s">
        <v>3057</v>
      </c>
      <c r="M738" s="3" t="s">
        <v>3056</v>
      </c>
      <c r="N738" s="3"/>
      <c r="O738" s="3"/>
    </row>
    <row r="739" spans="1:15" s="4" customFormat="1">
      <c r="A739" s="2">
        <v>738</v>
      </c>
      <c r="B739" s="3" t="s">
        <v>1634</v>
      </c>
      <c r="C739" s="3" t="s">
        <v>1635</v>
      </c>
      <c r="D739" s="2" t="s">
        <v>17</v>
      </c>
      <c r="E739" s="2" t="s">
        <v>8</v>
      </c>
      <c r="F739" s="16">
        <v>800</v>
      </c>
      <c r="G739" s="16"/>
      <c r="H739" s="16">
        <f>VLOOKUP(B:B,'[1]Master Sheet'!$B:$H,7,0)</f>
        <v>2500</v>
      </c>
      <c r="I739" s="16">
        <f>VLOOKUP(B:B,'[1]Master Sheet'!$B:$I,8,0)+5000</f>
        <v>12000</v>
      </c>
      <c r="J739" s="16"/>
      <c r="K739" s="3" t="s">
        <v>2972</v>
      </c>
      <c r="L739" s="3" t="s">
        <v>3057</v>
      </c>
      <c r="M739" s="3" t="s">
        <v>3056</v>
      </c>
      <c r="N739" s="3"/>
      <c r="O739" s="3"/>
    </row>
    <row r="740" spans="1:15" s="4" customFormat="1">
      <c r="A740" s="2">
        <v>739</v>
      </c>
      <c r="B740" s="3" t="s">
        <v>1640</v>
      </c>
      <c r="C740" s="3" t="s">
        <v>1641</v>
      </c>
      <c r="D740" s="2" t="s">
        <v>17</v>
      </c>
      <c r="E740" s="2" t="s">
        <v>8</v>
      </c>
      <c r="F740" s="16"/>
      <c r="G740" s="16"/>
      <c r="H740" s="16">
        <f>VLOOKUP(B:B,'[1]Master Sheet'!$B:$H,7,0)</f>
        <v>1000</v>
      </c>
      <c r="I740" s="16">
        <f>VLOOKUP(B:B,'[1]Master Sheet'!$B:$I,8,0)</f>
        <v>0</v>
      </c>
      <c r="J740" s="16"/>
      <c r="K740" s="3" t="s">
        <v>2972</v>
      </c>
      <c r="L740" s="3" t="s">
        <v>3057</v>
      </c>
      <c r="M740" s="3" t="s">
        <v>3056</v>
      </c>
      <c r="N740" s="3"/>
      <c r="O740" s="3"/>
    </row>
    <row r="741" spans="1:15" s="4" customFormat="1">
      <c r="A741" s="2">
        <v>740</v>
      </c>
      <c r="B741" s="3" t="s">
        <v>1642</v>
      </c>
      <c r="C741" s="3" t="s">
        <v>1643</v>
      </c>
      <c r="D741" s="2" t="s">
        <v>17</v>
      </c>
      <c r="E741" s="2" t="s">
        <v>8</v>
      </c>
      <c r="F741" s="16">
        <v>800</v>
      </c>
      <c r="G741" s="16"/>
      <c r="H741" s="16">
        <f>VLOOKUP(B:B,'[1]Master Sheet'!$B:$H,7,0)</f>
        <v>2500</v>
      </c>
      <c r="I741" s="16">
        <f>VLOOKUP(B:B,'[1]Master Sheet'!$B:$I,8,0)</f>
        <v>5500</v>
      </c>
      <c r="J741" s="16"/>
      <c r="K741" s="3" t="s">
        <v>2972</v>
      </c>
      <c r="L741" s="3" t="s">
        <v>3057</v>
      </c>
      <c r="M741" s="3" t="s">
        <v>3056</v>
      </c>
      <c r="N741" s="3"/>
      <c r="O741" s="3"/>
    </row>
    <row r="742" spans="1:15" s="4" customFormat="1">
      <c r="A742" s="2">
        <v>741</v>
      </c>
      <c r="B742" s="3" t="s">
        <v>1650</v>
      </c>
      <c r="C742" s="3" t="s">
        <v>1651</v>
      </c>
      <c r="D742" s="2" t="s">
        <v>17</v>
      </c>
      <c r="E742" s="2" t="s">
        <v>8</v>
      </c>
      <c r="F742" s="16"/>
      <c r="G742" s="16"/>
      <c r="H742" s="16">
        <f>VLOOKUP(B:B,'[1]Master Sheet'!$B:$H,7,0)</f>
        <v>350</v>
      </c>
      <c r="I742" s="16">
        <f>VLOOKUP(B:B,'[1]Master Sheet'!$B:$I,8,0)</f>
        <v>0</v>
      </c>
      <c r="J742" s="16"/>
      <c r="K742" s="3" t="s">
        <v>2972</v>
      </c>
      <c r="L742" s="3" t="s">
        <v>3057</v>
      </c>
      <c r="M742" s="3" t="s">
        <v>3056</v>
      </c>
      <c r="N742" s="3"/>
      <c r="O742" s="3"/>
    </row>
    <row r="743" spans="1:15" s="4" customFormat="1">
      <c r="A743" s="2">
        <v>742</v>
      </c>
      <c r="B743" s="3" t="s">
        <v>1652</v>
      </c>
      <c r="C743" s="3" t="s">
        <v>1653</v>
      </c>
      <c r="D743" s="2" t="s">
        <v>17</v>
      </c>
      <c r="E743" s="2" t="s">
        <v>8</v>
      </c>
      <c r="F743" s="16"/>
      <c r="G743" s="16"/>
      <c r="H743" s="16">
        <f>VLOOKUP(B:B,'[1]Master Sheet'!$B:$H,7,0)</f>
        <v>350</v>
      </c>
      <c r="I743" s="16">
        <f>VLOOKUP(B:B,'[1]Master Sheet'!$B:$I,8,0)</f>
        <v>0</v>
      </c>
      <c r="J743" s="16"/>
      <c r="K743" s="3" t="s">
        <v>2972</v>
      </c>
      <c r="L743" s="3" t="s">
        <v>3057</v>
      </c>
      <c r="M743" s="3" t="s">
        <v>3056</v>
      </c>
      <c r="N743" s="3"/>
      <c r="O743" s="3"/>
    </row>
    <row r="744" spans="1:15" s="4" customFormat="1">
      <c r="A744" s="2">
        <v>743</v>
      </c>
      <c r="B744" s="3" t="s">
        <v>1654</v>
      </c>
      <c r="C744" s="3" t="s">
        <v>1655</v>
      </c>
      <c r="D744" s="2" t="s">
        <v>17</v>
      </c>
      <c r="E744" s="2" t="s">
        <v>8</v>
      </c>
      <c r="F744" s="16"/>
      <c r="G744" s="16"/>
      <c r="H744" s="16">
        <f>VLOOKUP(B:B,'[1]Master Sheet'!$B:$H,7,0)</f>
        <v>500</v>
      </c>
      <c r="I744" s="16">
        <f>VLOOKUP(B:B,'[1]Master Sheet'!$B:$I,8,0)</f>
        <v>0</v>
      </c>
      <c r="J744" s="16"/>
      <c r="K744" s="3" t="s">
        <v>2972</v>
      </c>
      <c r="L744" s="3" t="s">
        <v>3057</v>
      </c>
      <c r="M744" s="3" t="s">
        <v>3056</v>
      </c>
      <c r="N744" s="3"/>
      <c r="O744" s="3"/>
    </row>
    <row r="745" spans="1:15" s="4" customFormat="1">
      <c r="A745" s="2">
        <v>744</v>
      </c>
      <c r="B745" s="3" t="s">
        <v>1656</v>
      </c>
      <c r="C745" s="3" t="s">
        <v>1657</v>
      </c>
      <c r="D745" s="2" t="s">
        <v>17</v>
      </c>
      <c r="E745" s="2" t="s">
        <v>8</v>
      </c>
      <c r="F745" s="16"/>
      <c r="G745" s="16"/>
      <c r="H745" s="16">
        <f>VLOOKUP(B:B,'[1]Master Sheet'!$B:$H,7,0)</f>
        <v>1500</v>
      </c>
      <c r="I745" s="16">
        <f>VLOOKUP(B:B,'[1]Master Sheet'!$B:$I,8,0)</f>
        <v>1000</v>
      </c>
      <c r="J745" s="16"/>
      <c r="K745" s="3" t="s">
        <v>2972</v>
      </c>
      <c r="L745" s="3" t="s">
        <v>3057</v>
      </c>
      <c r="M745" s="3" t="s">
        <v>3056</v>
      </c>
      <c r="N745" s="3"/>
      <c r="O745" s="3"/>
    </row>
    <row r="746" spans="1:15" s="4" customFormat="1">
      <c r="A746" s="2">
        <v>745</v>
      </c>
      <c r="B746" s="3" t="s">
        <v>1660</v>
      </c>
      <c r="C746" s="3" t="s">
        <v>1661</v>
      </c>
      <c r="D746" s="2" t="s">
        <v>17</v>
      </c>
      <c r="E746" s="2" t="s">
        <v>8</v>
      </c>
      <c r="F746" s="16"/>
      <c r="G746" s="16"/>
      <c r="H746" s="16">
        <f>VLOOKUP(B:B,'[1]Master Sheet'!$B:$H,7,0)</f>
        <v>0</v>
      </c>
      <c r="I746" s="16">
        <f>VLOOKUP(B:B,'[1]Master Sheet'!$B:$I,8,0)</f>
        <v>0</v>
      </c>
      <c r="J746" s="16"/>
      <c r="K746" s="3" t="s">
        <v>2972</v>
      </c>
      <c r="L746" s="3" t="s">
        <v>3057</v>
      </c>
      <c r="M746" s="3" t="s">
        <v>3056</v>
      </c>
      <c r="N746" s="3"/>
      <c r="O746" s="3"/>
    </row>
    <row r="747" spans="1:15" s="4" customFormat="1">
      <c r="A747" s="2">
        <v>746</v>
      </c>
      <c r="B747" s="3" t="s">
        <v>1662</v>
      </c>
      <c r="C747" s="3" t="s">
        <v>1663</v>
      </c>
      <c r="D747" s="2" t="s">
        <v>17</v>
      </c>
      <c r="E747" s="2" t="s">
        <v>8</v>
      </c>
      <c r="F747" s="16"/>
      <c r="G747" s="16"/>
      <c r="H747" s="16">
        <f>VLOOKUP(B:B,'[1]Master Sheet'!$B:$H,7,0)</f>
        <v>0</v>
      </c>
      <c r="I747" s="16">
        <f>VLOOKUP(B:B,'[1]Master Sheet'!$B:$I,8,0)</f>
        <v>0</v>
      </c>
      <c r="J747" s="16"/>
      <c r="K747" s="3" t="s">
        <v>2972</v>
      </c>
      <c r="L747" s="3" t="s">
        <v>3057</v>
      </c>
      <c r="M747" s="3" t="s">
        <v>3056</v>
      </c>
      <c r="N747" s="3"/>
      <c r="O747" s="3"/>
    </row>
    <row r="748" spans="1:15" s="4" customFormat="1">
      <c r="A748" s="2">
        <v>747</v>
      </c>
      <c r="B748" s="3" t="s">
        <v>1664</v>
      </c>
      <c r="C748" s="3" t="s">
        <v>1665</v>
      </c>
      <c r="D748" s="2" t="s">
        <v>17</v>
      </c>
      <c r="E748" s="2" t="s">
        <v>8</v>
      </c>
      <c r="F748" s="16"/>
      <c r="G748" s="16"/>
      <c r="H748" s="16">
        <f>VLOOKUP(B:B,'[1]Master Sheet'!$B:$H,7,0)</f>
        <v>0</v>
      </c>
      <c r="I748" s="16">
        <f>VLOOKUP(B:B,'[1]Master Sheet'!$B:$I,8,0)</f>
        <v>0</v>
      </c>
      <c r="J748" s="16"/>
      <c r="K748" s="3" t="s">
        <v>2972</v>
      </c>
      <c r="L748" s="3" t="s">
        <v>3057</v>
      </c>
      <c r="M748" s="3" t="s">
        <v>3056</v>
      </c>
      <c r="N748" s="3"/>
      <c r="O748" s="3"/>
    </row>
    <row r="749" spans="1:15" s="4" customFormat="1">
      <c r="A749" s="2">
        <v>748</v>
      </c>
      <c r="B749" s="3" t="s">
        <v>1666</v>
      </c>
      <c r="C749" s="3" t="s">
        <v>1667</v>
      </c>
      <c r="D749" s="2" t="s">
        <v>17</v>
      </c>
      <c r="E749" s="2" t="s">
        <v>8</v>
      </c>
      <c r="F749" s="16"/>
      <c r="G749" s="16"/>
      <c r="H749" s="16">
        <f>VLOOKUP(B:B,'[1]Master Sheet'!$B:$H,7,0)</f>
        <v>0</v>
      </c>
      <c r="I749" s="16">
        <f>VLOOKUP(B:B,'[1]Master Sheet'!$B:$I,8,0)</f>
        <v>0</v>
      </c>
      <c r="J749" s="16"/>
      <c r="K749" s="3" t="s">
        <v>2972</v>
      </c>
      <c r="L749" s="3" t="s">
        <v>3057</v>
      </c>
      <c r="M749" s="3" t="s">
        <v>3056</v>
      </c>
      <c r="N749" s="3"/>
      <c r="O749" s="3"/>
    </row>
    <row r="750" spans="1:15" s="4" customFormat="1">
      <c r="A750" s="2">
        <v>749</v>
      </c>
      <c r="B750" s="3" t="s">
        <v>1668</v>
      </c>
      <c r="C750" s="3" t="s">
        <v>1669</v>
      </c>
      <c r="D750" s="2" t="s">
        <v>17</v>
      </c>
      <c r="E750" s="2" t="s">
        <v>8</v>
      </c>
      <c r="F750" s="16"/>
      <c r="G750" s="16"/>
      <c r="H750" s="16">
        <f>VLOOKUP(B:B,'[1]Master Sheet'!$B:$H,7,0)</f>
        <v>0</v>
      </c>
      <c r="I750" s="16">
        <f>VLOOKUP(B:B,'[1]Master Sheet'!$B:$I,8,0)</f>
        <v>0</v>
      </c>
      <c r="J750" s="16"/>
      <c r="K750" s="3" t="s">
        <v>2972</v>
      </c>
      <c r="L750" s="3" t="s">
        <v>3057</v>
      </c>
      <c r="M750" s="3" t="s">
        <v>3056</v>
      </c>
      <c r="N750" s="3"/>
      <c r="O750" s="3"/>
    </row>
    <row r="751" spans="1:15" s="4" customFormat="1">
      <c r="A751" s="2">
        <v>750</v>
      </c>
      <c r="B751" s="3" t="s">
        <v>1670</v>
      </c>
      <c r="C751" s="3" t="s">
        <v>1671</v>
      </c>
      <c r="D751" s="2" t="s">
        <v>17</v>
      </c>
      <c r="E751" s="2" t="s">
        <v>8</v>
      </c>
      <c r="F751" s="16"/>
      <c r="G751" s="16"/>
      <c r="H751" s="16">
        <f>VLOOKUP(B:B,'[1]Master Sheet'!$B:$H,7,0)</f>
        <v>0</v>
      </c>
      <c r="I751" s="16">
        <f>VLOOKUP(B:B,'[1]Master Sheet'!$B:$I,8,0)</f>
        <v>0</v>
      </c>
      <c r="J751" s="16"/>
      <c r="K751" s="3" t="s">
        <v>2972</v>
      </c>
      <c r="L751" s="3" t="s">
        <v>3057</v>
      </c>
      <c r="M751" s="3" t="s">
        <v>3056</v>
      </c>
      <c r="N751" s="3"/>
      <c r="O751" s="3"/>
    </row>
    <row r="752" spans="1:15" s="4" customFormat="1">
      <c r="A752" s="2">
        <v>751</v>
      </c>
      <c r="B752" s="3" t="s">
        <v>1672</v>
      </c>
      <c r="C752" s="3" t="s">
        <v>1673</v>
      </c>
      <c r="D752" s="2" t="s">
        <v>17</v>
      </c>
      <c r="E752" s="2" t="s">
        <v>8</v>
      </c>
      <c r="F752" s="16"/>
      <c r="G752" s="16"/>
      <c r="H752" s="16">
        <f>VLOOKUP(B:B,'[1]Master Sheet'!$B:$H,7,0)</f>
        <v>0</v>
      </c>
      <c r="I752" s="16">
        <f>VLOOKUP(B:B,'[1]Master Sheet'!$B:$I,8,0)</f>
        <v>0</v>
      </c>
      <c r="J752" s="16"/>
      <c r="K752" s="3" t="s">
        <v>2972</v>
      </c>
      <c r="L752" s="3" t="s">
        <v>3057</v>
      </c>
      <c r="M752" s="3" t="s">
        <v>3056</v>
      </c>
      <c r="N752" s="3"/>
      <c r="O752" s="3"/>
    </row>
    <row r="753" spans="1:15" s="4" customFormat="1">
      <c r="A753" s="2">
        <v>752</v>
      </c>
      <c r="B753" s="3" t="s">
        <v>1720</v>
      </c>
      <c r="C753" s="3" t="s">
        <v>1721</v>
      </c>
      <c r="D753" s="2" t="s">
        <v>17</v>
      </c>
      <c r="E753" s="2" t="s">
        <v>8</v>
      </c>
      <c r="F753" s="16"/>
      <c r="G753" s="16"/>
      <c r="H753" s="16">
        <f>VLOOKUP(B:B,'[1]Master Sheet'!$B:$H,7,0)</f>
        <v>500</v>
      </c>
      <c r="I753" s="16">
        <f>VLOOKUP(B:B,'[1]Master Sheet'!$B:$I,8,0)</f>
        <v>0</v>
      </c>
      <c r="J753" s="16"/>
      <c r="K753" s="3" t="s">
        <v>2972</v>
      </c>
      <c r="L753" s="3" t="s">
        <v>3060</v>
      </c>
      <c r="M753" s="3" t="s">
        <v>3058</v>
      </c>
      <c r="N753" s="3"/>
      <c r="O753" s="3"/>
    </row>
    <row r="754" spans="1:15" s="4" customFormat="1">
      <c r="A754" s="2">
        <v>753</v>
      </c>
      <c r="B754" s="3" t="s">
        <v>1722</v>
      </c>
      <c r="C754" s="3" t="s">
        <v>1723</v>
      </c>
      <c r="D754" s="2" t="s">
        <v>17</v>
      </c>
      <c r="E754" s="2" t="s">
        <v>8</v>
      </c>
      <c r="F754" s="16"/>
      <c r="G754" s="16"/>
      <c r="H754" s="16">
        <f>VLOOKUP(B:B,'[1]Master Sheet'!$B:$H,7,0)</f>
        <v>500</v>
      </c>
      <c r="I754" s="16">
        <f>VLOOKUP(B:B,'[1]Master Sheet'!$B:$I,8,0)</f>
        <v>0</v>
      </c>
      <c r="J754" s="16"/>
      <c r="K754" s="3" t="s">
        <v>3006</v>
      </c>
      <c r="L754" s="3" t="s">
        <v>3060</v>
      </c>
      <c r="M754" s="3" t="s">
        <v>3058</v>
      </c>
      <c r="N754" s="3"/>
      <c r="O754" s="3"/>
    </row>
    <row r="755" spans="1:15" s="4" customFormat="1">
      <c r="A755" s="2">
        <v>754</v>
      </c>
      <c r="B755" s="3" t="s">
        <v>1724</v>
      </c>
      <c r="C755" s="3" t="s">
        <v>1725</v>
      </c>
      <c r="D755" s="2" t="s">
        <v>17</v>
      </c>
      <c r="E755" s="2" t="s">
        <v>8</v>
      </c>
      <c r="F755" s="16"/>
      <c r="G755" s="16"/>
      <c r="H755" s="16">
        <f>VLOOKUP(B:B,'[1]Master Sheet'!$B:$H,7,0)</f>
        <v>1800</v>
      </c>
      <c r="I755" s="16">
        <f>VLOOKUP(B:B,'[1]Master Sheet'!$B:$I,8,0)</f>
        <v>0</v>
      </c>
      <c r="J755" s="16"/>
      <c r="K755" s="3" t="s">
        <v>3006</v>
      </c>
      <c r="L755" s="3" t="s">
        <v>3060</v>
      </c>
      <c r="M755" s="3" t="s">
        <v>3058</v>
      </c>
      <c r="N755" s="3"/>
      <c r="O755" s="3"/>
    </row>
    <row r="756" spans="1:15" s="4" customFormat="1">
      <c r="A756" s="2">
        <v>755</v>
      </c>
      <c r="B756" s="3" t="s">
        <v>1728</v>
      </c>
      <c r="C756" s="3" t="s">
        <v>1729</v>
      </c>
      <c r="D756" s="2" t="s">
        <v>17</v>
      </c>
      <c r="E756" s="2" t="s">
        <v>8</v>
      </c>
      <c r="F756" s="16"/>
      <c r="G756" s="16"/>
      <c r="H756" s="16">
        <f>VLOOKUP(B:B,'[1]Master Sheet'!$B:$H,7,0)</f>
        <v>3000</v>
      </c>
      <c r="I756" s="16">
        <f>VLOOKUP(B:B,'[1]Master Sheet'!$B:$I,8,0)</f>
        <v>12000</v>
      </c>
      <c r="J756" s="16"/>
      <c r="K756" s="3" t="s">
        <v>3006</v>
      </c>
      <c r="L756" s="3" t="s">
        <v>3060</v>
      </c>
      <c r="M756" s="3" t="s">
        <v>3058</v>
      </c>
      <c r="N756" s="3"/>
      <c r="O756" s="3"/>
    </row>
    <row r="757" spans="1:15" s="4" customFormat="1">
      <c r="A757" s="2">
        <v>756</v>
      </c>
      <c r="B757" s="3" t="s">
        <v>1674</v>
      </c>
      <c r="C757" s="3" t="s">
        <v>1675</v>
      </c>
      <c r="D757" s="2" t="s">
        <v>17</v>
      </c>
      <c r="E757" s="2" t="s">
        <v>8</v>
      </c>
      <c r="F757" s="16"/>
      <c r="G757" s="16"/>
      <c r="H757" s="16">
        <f>VLOOKUP(B:B,'[1]Master Sheet'!$B:$H,7,0)</f>
        <v>0</v>
      </c>
      <c r="I757" s="16">
        <f>VLOOKUP(B:B,'[1]Master Sheet'!$B:$I,8,0)</f>
        <v>0</v>
      </c>
      <c r="J757" s="16"/>
      <c r="K757" s="3" t="s">
        <v>2972</v>
      </c>
      <c r="L757" s="3" t="s">
        <v>3057</v>
      </c>
      <c r="M757" s="3" t="s">
        <v>3056</v>
      </c>
      <c r="N757" s="3"/>
      <c r="O757" s="3"/>
    </row>
    <row r="758" spans="1:15" s="4" customFormat="1">
      <c r="A758" s="2">
        <v>757</v>
      </c>
      <c r="B758" s="3" t="s">
        <v>1736</v>
      </c>
      <c r="C758" s="3" t="s">
        <v>1737</v>
      </c>
      <c r="D758" s="2" t="s">
        <v>17</v>
      </c>
      <c r="E758" s="2" t="s">
        <v>8</v>
      </c>
      <c r="F758" s="16"/>
      <c r="G758" s="16"/>
      <c r="H758" s="16">
        <f>VLOOKUP(B:B,'[1]Master Sheet'!$B:$H,7,0)</f>
        <v>0</v>
      </c>
      <c r="I758" s="16">
        <f>VLOOKUP(B:B,'[1]Master Sheet'!$B:$I,8,0)</f>
        <v>0</v>
      </c>
      <c r="J758" s="16"/>
      <c r="K758" s="3" t="s">
        <v>2972</v>
      </c>
      <c r="L758" s="3" t="s">
        <v>3055</v>
      </c>
      <c r="M758" s="3" t="s">
        <v>3056</v>
      </c>
      <c r="N758" s="3"/>
      <c r="O758" s="3"/>
    </row>
    <row r="759" spans="1:15" s="4" customFormat="1">
      <c r="A759" s="2">
        <v>758</v>
      </c>
      <c r="B759" s="3" t="s">
        <v>1676</v>
      </c>
      <c r="C759" s="3" t="s">
        <v>1677</v>
      </c>
      <c r="D759" s="2" t="s">
        <v>17</v>
      </c>
      <c r="E759" s="2" t="s">
        <v>8</v>
      </c>
      <c r="F759" s="16"/>
      <c r="G759" s="16"/>
      <c r="H759" s="16">
        <f>VLOOKUP(B:B,'[1]Master Sheet'!$B:$H,7,0)</f>
        <v>0</v>
      </c>
      <c r="I759" s="16">
        <f>VLOOKUP(B:B,'[1]Master Sheet'!$B:$I,8,0)</f>
        <v>0</v>
      </c>
      <c r="J759" s="16"/>
      <c r="K759" s="3" t="s">
        <v>2972</v>
      </c>
      <c r="L759" s="3" t="s">
        <v>3057</v>
      </c>
      <c r="M759" s="3" t="s">
        <v>3056</v>
      </c>
      <c r="N759" s="3"/>
      <c r="O759" s="3"/>
    </row>
    <row r="760" spans="1:15" s="4" customFormat="1">
      <c r="A760" s="2">
        <v>759</v>
      </c>
      <c r="B760" s="3" t="s">
        <v>1740</v>
      </c>
      <c r="C760" s="3" t="s">
        <v>1741</v>
      </c>
      <c r="D760" s="2" t="s">
        <v>17</v>
      </c>
      <c r="E760" s="2" t="s">
        <v>8</v>
      </c>
      <c r="F760" s="16"/>
      <c r="G760" s="16"/>
      <c r="H760" s="16">
        <f>VLOOKUP(B:B,'[1]Master Sheet'!$B:$H,7,0)</f>
        <v>80</v>
      </c>
      <c r="I760" s="16">
        <f>VLOOKUP(B:B,'[1]Master Sheet'!$B:$I,8,0)</f>
        <v>40</v>
      </c>
      <c r="J760" s="16"/>
      <c r="K760" s="3" t="s">
        <v>2991</v>
      </c>
      <c r="L760" s="3" t="s">
        <v>3060</v>
      </c>
      <c r="M760" s="3" t="s">
        <v>3058</v>
      </c>
      <c r="N760" s="3"/>
      <c r="O760" s="3"/>
    </row>
    <row r="761" spans="1:15" s="4" customFormat="1">
      <c r="A761" s="2">
        <v>760</v>
      </c>
      <c r="B761" s="3" t="s">
        <v>1678</v>
      </c>
      <c r="C761" s="3" t="s">
        <v>1679</v>
      </c>
      <c r="D761" s="2" t="s">
        <v>17</v>
      </c>
      <c r="E761" s="2" t="s">
        <v>8</v>
      </c>
      <c r="F761" s="16"/>
      <c r="G761" s="16"/>
      <c r="H761" s="16">
        <f>VLOOKUP(B:B,'[1]Master Sheet'!$B:$H,7,0)</f>
        <v>0</v>
      </c>
      <c r="I761" s="16">
        <f>VLOOKUP(B:B,'[1]Master Sheet'!$B:$I,8,0)</f>
        <v>0</v>
      </c>
      <c r="J761" s="16"/>
      <c r="K761" s="3" t="s">
        <v>2972</v>
      </c>
      <c r="L761" s="3" t="s">
        <v>3057</v>
      </c>
      <c r="M761" s="3" t="s">
        <v>3056</v>
      </c>
      <c r="N761" s="3"/>
      <c r="O761" s="3"/>
    </row>
    <row r="762" spans="1:15" s="4" customFormat="1">
      <c r="A762" s="2">
        <v>761</v>
      </c>
      <c r="B762" s="3" t="s">
        <v>1680</v>
      </c>
      <c r="C762" s="3" t="s">
        <v>1681</v>
      </c>
      <c r="D762" s="2" t="s">
        <v>17</v>
      </c>
      <c r="E762" s="2" t="s">
        <v>8</v>
      </c>
      <c r="F762" s="16"/>
      <c r="G762" s="16"/>
      <c r="H762" s="16">
        <f>VLOOKUP(B:B,'[1]Master Sheet'!$B:$H,7,0)</f>
        <v>0</v>
      </c>
      <c r="I762" s="16">
        <f>VLOOKUP(B:B,'[1]Master Sheet'!$B:$I,8,0)</f>
        <v>0</v>
      </c>
      <c r="J762" s="16"/>
      <c r="K762" s="3" t="s">
        <v>2972</v>
      </c>
      <c r="L762" s="3" t="s">
        <v>3057</v>
      </c>
      <c r="M762" s="3" t="s">
        <v>3056</v>
      </c>
      <c r="N762" s="3"/>
      <c r="O762" s="3"/>
    </row>
    <row r="763" spans="1:15" s="4" customFormat="1">
      <c r="A763" s="2">
        <v>762</v>
      </c>
      <c r="B763" s="3" t="s">
        <v>1746</v>
      </c>
      <c r="C763" s="3" t="s">
        <v>1747</v>
      </c>
      <c r="D763" s="2" t="s">
        <v>20</v>
      </c>
      <c r="E763" s="2" t="s">
        <v>8</v>
      </c>
      <c r="F763" s="16"/>
      <c r="G763" s="16"/>
      <c r="H763" s="16">
        <f>VLOOKUP(B:B,'[1]Master Sheet'!$B:$H,7,0)</f>
        <v>50</v>
      </c>
      <c r="I763" s="16">
        <f>VLOOKUP(B:B,'[1]Master Sheet'!$B:$I,8,0)</f>
        <v>0</v>
      </c>
      <c r="J763" s="16"/>
      <c r="K763" s="3" t="s">
        <v>2991</v>
      </c>
      <c r="L763" s="3" t="s">
        <v>3060</v>
      </c>
      <c r="M763" s="3" t="s">
        <v>3058</v>
      </c>
      <c r="N763" s="3"/>
      <c r="O763" s="3"/>
    </row>
    <row r="764" spans="1:15" s="4" customFormat="1">
      <c r="A764" s="2">
        <v>763</v>
      </c>
      <c r="B764" s="3" t="s">
        <v>1748</v>
      </c>
      <c r="C764" s="3" t="s">
        <v>1749</v>
      </c>
      <c r="D764" s="2" t="s">
        <v>20</v>
      </c>
      <c r="E764" s="2" t="s">
        <v>8</v>
      </c>
      <c r="F764" s="16"/>
      <c r="G764" s="16"/>
      <c r="H764" s="16">
        <f>VLOOKUP(B:B,'[1]Master Sheet'!$B:$H,7,0)</f>
        <v>125</v>
      </c>
      <c r="I764" s="16">
        <f>VLOOKUP(B:B,'[1]Master Sheet'!$B:$I,8,0)</f>
        <v>250</v>
      </c>
      <c r="J764" s="16"/>
      <c r="K764" s="3" t="s">
        <v>2991</v>
      </c>
      <c r="L764" s="3" t="s">
        <v>3060</v>
      </c>
      <c r="M764" s="3" t="s">
        <v>3056</v>
      </c>
      <c r="N764" s="3"/>
      <c r="O764" s="3"/>
    </row>
    <row r="765" spans="1:15" s="4" customFormat="1">
      <c r="A765" s="2">
        <v>764</v>
      </c>
      <c r="B765" s="3" t="s">
        <v>1750</v>
      </c>
      <c r="C765" s="3" t="s">
        <v>1751</v>
      </c>
      <c r="D765" s="2" t="s">
        <v>20</v>
      </c>
      <c r="E765" s="2" t="s">
        <v>8</v>
      </c>
      <c r="F765" s="16"/>
      <c r="G765" s="16"/>
      <c r="H765" s="16">
        <f>VLOOKUP(B:B,'[1]Master Sheet'!$B:$H,7,0)</f>
        <v>75</v>
      </c>
      <c r="I765" s="16">
        <f>VLOOKUP(B:B,'[1]Master Sheet'!$B:$I,8,0)</f>
        <v>0</v>
      </c>
      <c r="J765" s="16"/>
      <c r="K765" s="3" t="s">
        <v>2991</v>
      </c>
      <c r="L765" s="3" t="s">
        <v>3060</v>
      </c>
      <c r="M765" s="3" t="s">
        <v>3058</v>
      </c>
      <c r="N765" s="3"/>
      <c r="O765" s="3"/>
    </row>
    <row r="766" spans="1:15" s="4" customFormat="1">
      <c r="A766" s="2">
        <v>765</v>
      </c>
      <c r="B766" s="3" t="s">
        <v>1682</v>
      </c>
      <c r="C766" s="3" t="s">
        <v>1683</v>
      </c>
      <c r="D766" s="2" t="s">
        <v>17</v>
      </c>
      <c r="E766" s="2" t="s">
        <v>8</v>
      </c>
      <c r="F766" s="16"/>
      <c r="G766" s="16"/>
      <c r="H766" s="16">
        <f>VLOOKUP(B:B,'[1]Master Sheet'!$B:$H,7,0)</f>
        <v>0</v>
      </c>
      <c r="I766" s="16">
        <f>VLOOKUP(B:B,'[1]Master Sheet'!$B:$I,8,0)</f>
        <v>0</v>
      </c>
      <c r="J766" s="16"/>
      <c r="K766" s="3" t="s">
        <v>2972</v>
      </c>
      <c r="L766" s="3" t="s">
        <v>3057</v>
      </c>
      <c r="M766" s="3" t="s">
        <v>3056</v>
      </c>
      <c r="N766" s="3"/>
      <c r="O766" s="3"/>
    </row>
    <row r="767" spans="1:15" s="4" customFormat="1">
      <c r="A767" s="2">
        <v>766</v>
      </c>
      <c r="B767" s="3" t="s">
        <v>1684</v>
      </c>
      <c r="C767" s="3" t="s">
        <v>1685</v>
      </c>
      <c r="D767" s="2" t="s">
        <v>17</v>
      </c>
      <c r="E767" s="2" t="s">
        <v>8</v>
      </c>
      <c r="F767" s="16"/>
      <c r="G767" s="16"/>
      <c r="H767" s="16">
        <f>VLOOKUP(B:B,'[1]Master Sheet'!$B:$H,7,0)</f>
        <v>0</v>
      </c>
      <c r="I767" s="16">
        <f>VLOOKUP(B:B,'[1]Master Sheet'!$B:$I,8,0)</f>
        <v>0</v>
      </c>
      <c r="J767" s="16"/>
      <c r="K767" s="3" t="s">
        <v>2972</v>
      </c>
      <c r="L767" s="3" t="s">
        <v>3057</v>
      </c>
      <c r="M767" s="3" t="s">
        <v>3056</v>
      </c>
      <c r="N767" s="3"/>
      <c r="O767" s="3"/>
    </row>
    <row r="768" spans="1:15" s="4" customFormat="1">
      <c r="A768" s="2">
        <v>767</v>
      </c>
      <c r="B768" s="3" t="s">
        <v>1686</v>
      </c>
      <c r="C768" s="3" t="s">
        <v>1687</v>
      </c>
      <c r="D768" s="2" t="s">
        <v>17</v>
      </c>
      <c r="E768" s="2" t="s">
        <v>8</v>
      </c>
      <c r="F768" s="16"/>
      <c r="G768" s="16"/>
      <c r="H768" s="16">
        <f>VLOOKUP(B:B,'[1]Master Sheet'!$B:$H,7,0)</f>
        <v>0</v>
      </c>
      <c r="I768" s="16">
        <f>VLOOKUP(B:B,'[1]Master Sheet'!$B:$I,8,0)</f>
        <v>0</v>
      </c>
      <c r="J768" s="16"/>
      <c r="K768" s="3" t="s">
        <v>2972</v>
      </c>
      <c r="L768" s="3" t="s">
        <v>3057</v>
      </c>
      <c r="M768" s="3" t="s">
        <v>3056</v>
      </c>
      <c r="N768" s="3"/>
      <c r="O768" s="3"/>
    </row>
    <row r="769" spans="1:15" s="4" customFormat="1">
      <c r="A769" s="2">
        <v>768</v>
      </c>
      <c r="B769" s="3" t="s">
        <v>1688</v>
      </c>
      <c r="C769" s="3" t="s">
        <v>1689</v>
      </c>
      <c r="D769" s="2" t="s">
        <v>17</v>
      </c>
      <c r="E769" s="2" t="s">
        <v>8</v>
      </c>
      <c r="F769" s="16"/>
      <c r="G769" s="16"/>
      <c r="H769" s="16">
        <f>VLOOKUP(B:B,'[1]Master Sheet'!$B:$H,7,0)</f>
        <v>0</v>
      </c>
      <c r="I769" s="16">
        <f>VLOOKUP(B:B,'[1]Master Sheet'!$B:$I,8,0)</f>
        <v>0</v>
      </c>
      <c r="J769" s="16"/>
      <c r="K769" s="3" t="s">
        <v>2972</v>
      </c>
      <c r="L769" s="3" t="s">
        <v>3057</v>
      </c>
      <c r="M769" s="3" t="s">
        <v>3056</v>
      </c>
      <c r="N769" s="3"/>
      <c r="O769" s="3"/>
    </row>
    <row r="770" spans="1:15" s="4" customFormat="1">
      <c r="A770" s="2">
        <v>769</v>
      </c>
      <c r="B770" s="3" t="s">
        <v>1760</v>
      </c>
      <c r="C770" s="3" t="s">
        <v>1761</v>
      </c>
      <c r="D770" s="2" t="s">
        <v>20</v>
      </c>
      <c r="E770" s="2" t="s">
        <v>8</v>
      </c>
      <c r="F770" s="16"/>
      <c r="G770" s="16"/>
      <c r="H770" s="16">
        <f>VLOOKUP(B:B,'[1]Master Sheet'!$B:$H,7,0)</f>
        <v>75</v>
      </c>
      <c r="I770" s="16">
        <f>VLOOKUP(B:B,'[1]Master Sheet'!$B:$I,8,0)</f>
        <v>0</v>
      </c>
      <c r="J770" s="16"/>
      <c r="K770" s="3" t="s">
        <v>2991</v>
      </c>
      <c r="L770" s="3" t="s">
        <v>3060</v>
      </c>
      <c r="M770" s="3" t="s">
        <v>3058</v>
      </c>
      <c r="N770" s="3"/>
      <c r="O770" s="3"/>
    </row>
    <row r="771" spans="1:15" s="4" customFormat="1">
      <c r="A771" s="2">
        <v>770</v>
      </c>
      <c r="B771" s="3" t="s">
        <v>1690</v>
      </c>
      <c r="C771" s="3" t="s">
        <v>1691</v>
      </c>
      <c r="D771" s="2" t="s">
        <v>17</v>
      </c>
      <c r="E771" s="2" t="s">
        <v>8</v>
      </c>
      <c r="F771" s="16"/>
      <c r="G771" s="16"/>
      <c r="H771" s="16">
        <f>VLOOKUP(B:B,'[1]Master Sheet'!$B:$H,7,0)</f>
        <v>0</v>
      </c>
      <c r="I771" s="16">
        <f>VLOOKUP(B:B,'[1]Master Sheet'!$B:$I,8,0)</f>
        <v>0</v>
      </c>
      <c r="J771" s="16"/>
      <c r="K771" s="3" t="s">
        <v>2972</v>
      </c>
      <c r="L771" s="3" t="s">
        <v>3057</v>
      </c>
      <c r="M771" s="3" t="s">
        <v>3056</v>
      </c>
      <c r="N771" s="3"/>
      <c r="O771" s="3"/>
    </row>
    <row r="772" spans="1:15" s="4" customFormat="1">
      <c r="A772" s="2">
        <v>771</v>
      </c>
      <c r="B772" s="3" t="s">
        <v>1764</v>
      </c>
      <c r="C772" s="3" t="s">
        <v>1765</v>
      </c>
      <c r="D772" s="2" t="s">
        <v>17</v>
      </c>
      <c r="E772" s="2" t="s">
        <v>8</v>
      </c>
      <c r="F772" s="16">
        <v>10</v>
      </c>
      <c r="G772" s="16"/>
      <c r="H772" s="16">
        <f>VLOOKUP(B:B,'[1]Master Sheet'!$B:$H,7,0)</f>
        <v>10</v>
      </c>
      <c r="I772" s="16">
        <f>VLOOKUP(B:B,'[1]Master Sheet'!$B:$I,8,0)</f>
        <v>0</v>
      </c>
      <c r="J772" s="16"/>
      <c r="K772" s="3" t="s">
        <v>3002</v>
      </c>
      <c r="L772" s="3" t="s">
        <v>3055</v>
      </c>
      <c r="M772" s="3" t="s">
        <v>3056</v>
      </c>
      <c r="N772" s="3"/>
      <c r="O772" s="3"/>
    </row>
    <row r="773" spans="1:15" s="4" customFormat="1">
      <c r="A773" s="2">
        <v>772</v>
      </c>
      <c r="B773" s="3" t="s">
        <v>1692</v>
      </c>
      <c r="C773" s="3" t="s">
        <v>1693</v>
      </c>
      <c r="D773" s="2" t="s">
        <v>17</v>
      </c>
      <c r="E773" s="2" t="s">
        <v>8</v>
      </c>
      <c r="F773" s="16">
        <v>800</v>
      </c>
      <c r="G773" s="16"/>
      <c r="H773" s="16">
        <f>VLOOKUP(B:B,'[1]Master Sheet'!$B:$H,7,0)</f>
        <v>1800</v>
      </c>
      <c r="I773" s="16">
        <f>VLOOKUP(B:B,'[1]Master Sheet'!$B:$I,8,0)</f>
        <v>1500</v>
      </c>
      <c r="J773" s="16"/>
      <c r="K773" s="3" t="s">
        <v>2972</v>
      </c>
      <c r="L773" s="3" t="s">
        <v>3057</v>
      </c>
      <c r="M773" s="3" t="s">
        <v>3056</v>
      </c>
      <c r="N773" s="3"/>
      <c r="O773" s="3"/>
    </row>
    <row r="774" spans="1:15" s="4" customFormat="1">
      <c r="A774" s="2">
        <v>773</v>
      </c>
      <c r="B774" s="3" t="s">
        <v>1698</v>
      </c>
      <c r="C774" s="3" t="s">
        <v>1699</v>
      </c>
      <c r="D774" s="2" t="s">
        <v>17</v>
      </c>
      <c r="E774" s="2" t="s">
        <v>8</v>
      </c>
      <c r="F774" s="16"/>
      <c r="G774" s="16"/>
      <c r="H774" s="16">
        <f>VLOOKUP(B:B,'[1]Master Sheet'!$B:$H,7,0)</f>
        <v>0</v>
      </c>
      <c r="I774" s="16">
        <f>VLOOKUP(B:B,'[1]Master Sheet'!$B:$I,8,0)</f>
        <v>0</v>
      </c>
      <c r="J774" s="16"/>
      <c r="K774" s="3" t="s">
        <v>2972</v>
      </c>
      <c r="L774" s="3" t="s">
        <v>3057</v>
      </c>
      <c r="M774" s="3" t="s">
        <v>3056</v>
      </c>
      <c r="N774" s="3"/>
      <c r="O774" s="3"/>
    </row>
    <row r="775" spans="1:15" s="4" customFormat="1">
      <c r="A775" s="2">
        <v>774</v>
      </c>
      <c r="B775" s="3" t="s">
        <v>1700</v>
      </c>
      <c r="C775" s="3" t="s">
        <v>1701</v>
      </c>
      <c r="D775" s="2" t="s">
        <v>17</v>
      </c>
      <c r="E775" s="2" t="s">
        <v>8</v>
      </c>
      <c r="F775" s="16"/>
      <c r="G775" s="16"/>
      <c r="H775" s="16">
        <f>VLOOKUP(B:B,'[1]Master Sheet'!$B:$H,7,0)</f>
        <v>0</v>
      </c>
      <c r="I775" s="16">
        <f>VLOOKUP(B:B,'[1]Master Sheet'!$B:$I,8,0)</f>
        <v>0</v>
      </c>
      <c r="J775" s="16"/>
      <c r="K775" s="3" t="s">
        <v>2972</v>
      </c>
      <c r="L775" s="3" t="s">
        <v>3057</v>
      </c>
      <c r="M775" s="3" t="s">
        <v>3056</v>
      </c>
      <c r="N775" s="3"/>
      <c r="O775" s="3"/>
    </row>
    <row r="776" spans="1:15" s="4" customFormat="1">
      <c r="A776" s="2">
        <v>775</v>
      </c>
      <c r="B776" s="3" t="s">
        <v>1702</v>
      </c>
      <c r="C776" s="3" t="s">
        <v>1703</v>
      </c>
      <c r="D776" s="2" t="s">
        <v>17</v>
      </c>
      <c r="E776" s="2" t="s">
        <v>8</v>
      </c>
      <c r="F776" s="16"/>
      <c r="G776" s="16"/>
      <c r="H776" s="16">
        <f>VLOOKUP(B:B,'[1]Master Sheet'!$B:$H,7,0)</f>
        <v>0</v>
      </c>
      <c r="I776" s="16">
        <f>VLOOKUP(B:B,'[1]Master Sheet'!$B:$I,8,0)</f>
        <v>0</v>
      </c>
      <c r="J776" s="16"/>
      <c r="K776" s="3" t="s">
        <v>2972</v>
      </c>
      <c r="L776" s="3" t="s">
        <v>3057</v>
      </c>
      <c r="M776" s="3" t="s">
        <v>3056</v>
      </c>
      <c r="N776" s="3"/>
      <c r="O776" s="3"/>
    </row>
    <row r="777" spans="1:15" s="4" customFormat="1">
      <c r="A777" s="2">
        <v>776</v>
      </c>
      <c r="B777" s="3" t="s">
        <v>1776</v>
      </c>
      <c r="C777" s="3" t="s">
        <v>1777</v>
      </c>
      <c r="D777" s="2" t="s">
        <v>17</v>
      </c>
      <c r="E777" s="2" t="s">
        <v>8</v>
      </c>
      <c r="F777" s="16"/>
      <c r="G777" s="16"/>
      <c r="H777" s="16">
        <f>VLOOKUP(B:B,'[1]Master Sheet'!$B:$H,7,0)</f>
        <v>0</v>
      </c>
      <c r="I777" s="16">
        <f>VLOOKUP(B:B,'[1]Master Sheet'!$B:$I,8,0)</f>
        <v>0</v>
      </c>
      <c r="J777" s="16"/>
      <c r="K777" s="3" t="s">
        <v>2972</v>
      </c>
      <c r="L777" s="3" t="s">
        <v>3055</v>
      </c>
      <c r="M777" s="3" t="s">
        <v>3056</v>
      </c>
      <c r="N777" s="3"/>
      <c r="O777" s="3"/>
    </row>
    <row r="778" spans="1:15" s="4" customFormat="1">
      <c r="A778" s="2">
        <v>777</v>
      </c>
      <c r="B778" s="3" t="s">
        <v>1704</v>
      </c>
      <c r="C778" s="3" t="s">
        <v>1705</v>
      </c>
      <c r="D778" s="2" t="s">
        <v>17</v>
      </c>
      <c r="E778" s="2" t="s">
        <v>8</v>
      </c>
      <c r="F778" s="16"/>
      <c r="G778" s="16"/>
      <c r="H778" s="16">
        <f>VLOOKUP(B:B,'[1]Master Sheet'!$B:$H,7,0)</f>
        <v>0</v>
      </c>
      <c r="I778" s="16">
        <f>VLOOKUP(B:B,'[1]Master Sheet'!$B:$I,8,0)</f>
        <v>0</v>
      </c>
      <c r="J778" s="16"/>
      <c r="K778" s="3" t="s">
        <v>2972</v>
      </c>
      <c r="L778" s="3" t="s">
        <v>3057</v>
      </c>
      <c r="M778" s="3" t="s">
        <v>3056</v>
      </c>
      <c r="N778" s="3"/>
      <c r="O778" s="3"/>
    </row>
    <row r="779" spans="1:15" s="4" customFormat="1">
      <c r="A779" s="2">
        <v>778</v>
      </c>
      <c r="B779" s="3" t="s">
        <v>1706</v>
      </c>
      <c r="C779" s="3" t="s">
        <v>1707</v>
      </c>
      <c r="D779" s="2" t="s">
        <v>17</v>
      </c>
      <c r="E779" s="2" t="s">
        <v>8</v>
      </c>
      <c r="F779" s="16"/>
      <c r="G779" s="16"/>
      <c r="H779" s="16">
        <f>VLOOKUP(B:B,'[1]Master Sheet'!$B:$H,7,0)</f>
        <v>0</v>
      </c>
      <c r="I779" s="16">
        <f>VLOOKUP(B:B,'[1]Master Sheet'!$B:$I,8,0)</f>
        <v>0</v>
      </c>
      <c r="J779" s="16"/>
      <c r="K779" s="3" t="s">
        <v>2972</v>
      </c>
      <c r="L779" s="3" t="s">
        <v>3057</v>
      </c>
      <c r="M779" s="3" t="s">
        <v>3056</v>
      </c>
      <c r="N779" s="3"/>
      <c r="O779" s="3"/>
    </row>
    <row r="780" spans="1:15" s="4" customFormat="1">
      <c r="A780" s="2">
        <v>779</v>
      </c>
      <c r="B780" s="3" t="s">
        <v>1708</v>
      </c>
      <c r="C780" s="3" t="s">
        <v>1709</v>
      </c>
      <c r="D780" s="2" t="s">
        <v>17</v>
      </c>
      <c r="E780" s="2" t="s">
        <v>8</v>
      </c>
      <c r="F780" s="16"/>
      <c r="G780" s="16"/>
      <c r="H780" s="16">
        <f>VLOOKUP(B:B,'[1]Master Sheet'!$B:$H,7,0)</f>
        <v>0</v>
      </c>
      <c r="I780" s="16">
        <f>VLOOKUP(B:B,'[1]Master Sheet'!$B:$I,8,0)</f>
        <v>0</v>
      </c>
      <c r="J780" s="16"/>
      <c r="K780" s="3" t="s">
        <v>2972</v>
      </c>
      <c r="L780" s="3" t="s">
        <v>3057</v>
      </c>
      <c r="M780" s="3" t="s">
        <v>3056</v>
      </c>
      <c r="N780" s="3"/>
      <c r="O780" s="3"/>
    </row>
    <row r="781" spans="1:15" s="4" customFormat="1">
      <c r="A781" s="2">
        <v>780</v>
      </c>
      <c r="B781" s="3" t="s">
        <v>1710</v>
      </c>
      <c r="C781" s="3" t="s">
        <v>1711</v>
      </c>
      <c r="D781" s="2" t="s">
        <v>17</v>
      </c>
      <c r="E781" s="2" t="s">
        <v>8</v>
      </c>
      <c r="F781" s="16"/>
      <c r="G781" s="16"/>
      <c r="H781" s="16">
        <f>VLOOKUP(B:B,'[1]Master Sheet'!$B:$H,7,0)</f>
        <v>0</v>
      </c>
      <c r="I781" s="16">
        <f>VLOOKUP(B:B,'[1]Master Sheet'!$B:$I,8,0)</f>
        <v>0</v>
      </c>
      <c r="J781" s="16"/>
      <c r="K781" s="3" t="s">
        <v>2972</v>
      </c>
      <c r="L781" s="3" t="s">
        <v>3057</v>
      </c>
      <c r="M781" s="3" t="s">
        <v>3056</v>
      </c>
      <c r="N781" s="3"/>
      <c r="O781" s="3"/>
    </row>
    <row r="782" spans="1:15" s="4" customFormat="1">
      <c r="A782" s="2">
        <v>781</v>
      </c>
      <c r="B782" s="3" t="s">
        <v>1712</v>
      </c>
      <c r="C782" s="3" t="s">
        <v>1713</v>
      </c>
      <c r="D782" s="2" t="s">
        <v>17</v>
      </c>
      <c r="E782" s="2" t="s">
        <v>8</v>
      </c>
      <c r="F782" s="16"/>
      <c r="G782" s="16"/>
      <c r="H782" s="16">
        <f>VLOOKUP(B:B,'[1]Master Sheet'!$B:$H,7,0)</f>
        <v>100</v>
      </c>
      <c r="I782" s="16">
        <f>VLOOKUP(B:B,'[1]Master Sheet'!$B:$I,8,0)</f>
        <v>0</v>
      </c>
      <c r="J782" s="16"/>
      <c r="K782" s="3" t="s">
        <v>2972</v>
      </c>
      <c r="L782" s="3" t="s">
        <v>3057</v>
      </c>
      <c r="M782" s="3" t="s">
        <v>3056</v>
      </c>
      <c r="N782" s="3"/>
      <c r="O782" s="3"/>
    </row>
    <row r="783" spans="1:15" s="4" customFormat="1">
      <c r="A783" s="2">
        <v>782</v>
      </c>
      <c r="B783" s="3" t="s">
        <v>1788</v>
      </c>
      <c r="C783" s="3" t="s">
        <v>1789</v>
      </c>
      <c r="D783" s="2" t="s">
        <v>17</v>
      </c>
      <c r="E783" s="2" t="s">
        <v>8</v>
      </c>
      <c r="F783" s="16"/>
      <c r="G783" s="16"/>
      <c r="H783" s="16">
        <f>VLOOKUP(B:B,'[1]Master Sheet'!$B:$H,7,0)</f>
        <v>0</v>
      </c>
      <c r="I783" s="16">
        <f>VLOOKUP(B:B,'[1]Master Sheet'!$B:$I,8,0)</f>
        <v>0</v>
      </c>
      <c r="J783" s="16"/>
      <c r="K783" s="3" t="s">
        <v>2972</v>
      </c>
      <c r="L783" s="3" t="s">
        <v>3055</v>
      </c>
      <c r="M783" s="3" t="s">
        <v>3056</v>
      </c>
      <c r="N783" s="3"/>
      <c r="O783" s="3"/>
    </row>
    <row r="784" spans="1:15" s="4" customFormat="1">
      <c r="A784" s="2">
        <v>783</v>
      </c>
      <c r="B784" s="3" t="s">
        <v>1716</v>
      </c>
      <c r="C784" s="3" t="s">
        <v>1717</v>
      </c>
      <c r="D784" s="2" t="s">
        <v>17</v>
      </c>
      <c r="E784" s="2" t="s">
        <v>8</v>
      </c>
      <c r="F784" s="16"/>
      <c r="G784" s="16"/>
      <c r="H784" s="16">
        <f>VLOOKUP(B:B,'[1]Master Sheet'!$B:$H,7,0)</f>
        <v>400</v>
      </c>
      <c r="I784" s="16">
        <f>VLOOKUP(B:B,'[1]Master Sheet'!$B:$I,8,0)</f>
        <v>0</v>
      </c>
      <c r="J784" s="16"/>
      <c r="K784" s="3" t="s">
        <v>2972</v>
      </c>
      <c r="L784" s="3" t="s">
        <v>3057</v>
      </c>
      <c r="M784" s="3" t="s">
        <v>3056</v>
      </c>
      <c r="N784" s="3"/>
      <c r="O784" s="3"/>
    </row>
    <row r="785" spans="1:15" s="4" customFormat="1">
      <c r="A785" s="2">
        <v>784</v>
      </c>
      <c r="B785" s="3" t="s">
        <v>1792</v>
      </c>
      <c r="C785" s="3" t="s">
        <v>1793</v>
      </c>
      <c r="D785" s="2" t="s">
        <v>17</v>
      </c>
      <c r="E785" s="2" t="s">
        <v>8</v>
      </c>
      <c r="F785" s="16"/>
      <c r="G785" s="16"/>
      <c r="H785" s="16">
        <f>VLOOKUP(B:B,'[1]Master Sheet'!$B:$H,7,0)</f>
        <v>4000</v>
      </c>
      <c r="I785" s="16">
        <f>VLOOKUP(B:B,'[1]Master Sheet'!$B:$I,8,0)</f>
        <v>0</v>
      </c>
      <c r="J785" s="16"/>
      <c r="K785" s="3" t="s">
        <v>2972</v>
      </c>
      <c r="L785" s="3" t="s">
        <v>3055</v>
      </c>
      <c r="M785" s="3" t="s">
        <v>3056</v>
      </c>
      <c r="N785" s="3"/>
      <c r="O785" s="3"/>
    </row>
    <row r="786" spans="1:15" s="4" customFormat="1">
      <c r="A786" s="2">
        <v>785</v>
      </c>
      <c r="B786" s="3" t="s">
        <v>1794</v>
      </c>
      <c r="C786" s="3" t="s">
        <v>1795</v>
      </c>
      <c r="D786" s="2" t="s">
        <v>17</v>
      </c>
      <c r="E786" s="2" t="s">
        <v>8</v>
      </c>
      <c r="F786" s="16"/>
      <c r="G786" s="16"/>
      <c r="H786" s="16">
        <f>VLOOKUP(B:B,'[1]Master Sheet'!$B:$H,7,0)</f>
        <v>400</v>
      </c>
      <c r="I786" s="16">
        <f>VLOOKUP(B:B,'[1]Master Sheet'!$B:$I,8,0)</f>
        <v>0</v>
      </c>
      <c r="J786" s="16"/>
      <c r="K786" s="3" t="s">
        <v>2972</v>
      </c>
      <c r="L786" s="3" t="s">
        <v>3055</v>
      </c>
      <c r="M786" s="3" t="s">
        <v>3056</v>
      </c>
      <c r="N786" s="3"/>
      <c r="O786" s="3"/>
    </row>
    <row r="787" spans="1:15" s="4" customFormat="1">
      <c r="A787" s="2">
        <v>786</v>
      </c>
      <c r="B787" s="3" t="s">
        <v>1734</v>
      </c>
      <c r="C787" s="3" t="s">
        <v>1735</v>
      </c>
      <c r="D787" s="2" t="s">
        <v>17</v>
      </c>
      <c r="E787" s="2" t="s">
        <v>8</v>
      </c>
      <c r="F787" s="16"/>
      <c r="G787" s="16"/>
      <c r="H787" s="16">
        <f>VLOOKUP(B:B,'[1]Master Sheet'!$B:$H,7,0)</f>
        <v>2500</v>
      </c>
      <c r="I787" s="16">
        <f>VLOOKUP(B:B,'[1]Master Sheet'!$B:$I,8,0)</f>
        <v>0</v>
      </c>
      <c r="J787" s="16"/>
      <c r="K787" s="3" t="s">
        <v>2972</v>
      </c>
      <c r="L787" s="3" t="s">
        <v>3057</v>
      </c>
      <c r="M787" s="3" t="s">
        <v>3058</v>
      </c>
      <c r="N787" s="3"/>
      <c r="O787" s="3"/>
    </row>
    <row r="788" spans="1:15" s="4" customFormat="1">
      <c r="A788" s="2">
        <v>787</v>
      </c>
      <c r="B788" s="3" t="s">
        <v>1738</v>
      </c>
      <c r="C788" s="3" t="s">
        <v>1739</v>
      </c>
      <c r="D788" s="2" t="s">
        <v>17</v>
      </c>
      <c r="E788" s="2" t="s">
        <v>8</v>
      </c>
      <c r="F788" s="16"/>
      <c r="G788" s="16"/>
      <c r="H788" s="16">
        <f>VLOOKUP(B:B,'[1]Master Sheet'!$B:$H,7,0)</f>
        <v>0</v>
      </c>
      <c r="I788" s="16">
        <f>VLOOKUP(B:B,'[1]Master Sheet'!$B:$I,8,0)</f>
        <v>0</v>
      </c>
      <c r="J788" s="16"/>
      <c r="K788" s="3" t="s">
        <v>2972</v>
      </c>
      <c r="L788" s="3" t="s">
        <v>3057</v>
      </c>
      <c r="M788" s="3" t="s">
        <v>3056</v>
      </c>
      <c r="N788" s="3"/>
      <c r="O788" s="3"/>
    </row>
    <row r="789" spans="1:15" s="4" customFormat="1">
      <c r="A789" s="2">
        <v>788</v>
      </c>
      <c r="B789" s="3" t="s">
        <v>1742</v>
      </c>
      <c r="C789" s="3" t="s">
        <v>1743</v>
      </c>
      <c r="D789" s="2" t="s">
        <v>20</v>
      </c>
      <c r="E789" s="2" t="s">
        <v>8</v>
      </c>
      <c r="F789" s="16"/>
      <c r="G789" s="16"/>
      <c r="H789" s="16">
        <f>VLOOKUP(B:B,'[1]Master Sheet'!$B:$H,7,0)</f>
        <v>0</v>
      </c>
      <c r="I789" s="16">
        <f>VLOOKUP(B:B,'[1]Master Sheet'!$B:$I,8,0)</f>
        <v>0</v>
      </c>
      <c r="J789" s="16"/>
      <c r="K789" s="3" t="s">
        <v>2991</v>
      </c>
      <c r="L789" s="3" t="s">
        <v>3057</v>
      </c>
      <c r="M789" s="3" t="s">
        <v>3056</v>
      </c>
      <c r="N789" s="3"/>
      <c r="O789" s="3"/>
    </row>
    <row r="790" spans="1:15" s="4" customFormat="1">
      <c r="A790" s="2">
        <v>789</v>
      </c>
      <c r="B790" s="3" t="s">
        <v>1744</v>
      </c>
      <c r="C790" s="3" t="s">
        <v>1745</v>
      </c>
      <c r="D790" s="2" t="s">
        <v>20</v>
      </c>
      <c r="E790" s="2" t="s">
        <v>8</v>
      </c>
      <c r="F790" s="16"/>
      <c r="G790" s="16"/>
      <c r="H790" s="16">
        <f>VLOOKUP(B:B,'[1]Master Sheet'!$B:$H,7,0)</f>
        <v>0</v>
      </c>
      <c r="I790" s="16">
        <f>VLOOKUP(B:B,'[1]Master Sheet'!$B:$I,8,0)</f>
        <v>0</v>
      </c>
      <c r="J790" s="16"/>
      <c r="K790" s="3" t="s">
        <v>2972</v>
      </c>
      <c r="L790" s="3" t="s">
        <v>3057</v>
      </c>
      <c r="M790" s="3" t="s">
        <v>3056</v>
      </c>
      <c r="N790" s="3"/>
      <c r="O790" s="3"/>
    </row>
    <row r="791" spans="1:15" s="4" customFormat="1">
      <c r="A791" s="2">
        <v>790</v>
      </c>
      <c r="B791" s="3" t="s">
        <v>1752</v>
      </c>
      <c r="C791" s="3" t="s">
        <v>1753</v>
      </c>
      <c r="D791" s="2" t="s">
        <v>20</v>
      </c>
      <c r="E791" s="2" t="s">
        <v>8</v>
      </c>
      <c r="F791" s="16"/>
      <c r="G791" s="16"/>
      <c r="H791" s="16">
        <f>VLOOKUP(B:B,'[1]Master Sheet'!$B:$H,7,0)</f>
        <v>0</v>
      </c>
      <c r="I791" s="16">
        <f>VLOOKUP(B:B,'[1]Master Sheet'!$B:$I,8,0)</f>
        <v>0</v>
      </c>
      <c r="J791" s="16"/>
      <c r="K791" s="3" t="s">
        <v>2991</v>
      </c>
      <c r="L791" s="3" t="s">
        <v>3057</v>
      </c>
      <c r="M791" s="3" t="s">
        <v>3056</v>
      </c>
      <c r="N791" s="3"/>
      <c r="O791" s="3"/>
    </row>
    <row r="792" spans="1:15" s="4" customFormat="1">
      <c r="A792" s="2">
        <v>791</v>
      </c>
      <c r="B792" s="3" t="s">
        <v>1754</v>
      </c>
      <c r="C792" s="3" t="s">
        <v>1755</v>
      </c>
      <c r="D792" s="2" t="s">
        <v>20</v>
      </c>
      <c r="E792" s="2" t="s">
        <v>8</v>
      </c>
      <c r="F792" s="16"/>
      <c r="G792" s="16"/>
      <c r="H792" s="16">
        <f>VLOOKUP(B:B,'[1]Master Sheet'!$B:$H,7,0)</f>
        <v>0</v>
      </c>
      <c r="I792" s="16">
        <f>VLOOKUP(B:B,'[1]Master Sheet'!$B:$I,8,0)</f>
        <v>0</v>
      </c>
      <c r="J792" s="16"/>
      <c r="K792" s="3" t="s">
        <v>2991</v>
      </c>
      <c r="L792" s="3" t="s">
        <v>3057</v>
      </c>
      <c r="M792" s="3" t="s">
        <v>3056</v>
      </c>
      <c r="N792" s="3"/>
      <c r="O792" s="3"/>
    </row>
    <row r="793" spans="1:15" s="4" customFormat="1">
      <c r="A793" s="2">
        <v>792</v>
      </c>
      <c r="B793" s="3" t="s">
        <v>1758</v>
      </c>
      <c r="C793" s="3" t="s">
        <v>1759</v>
      </c>
      <c r="D793" s="2" t="s">
        <v>20</v>
      </c>
      <c r="E793" s="2" t="s">
        <v>8</v>
      </c>
      <c r="F793" s="16"/>
      <c r="G793" s="16"/>
      <c r="H793" s="16">
        <f>VLOOKUP(B:B,'[1]Master Sheet'!$B:$H,7,0)</f>
        <v>0</v>
      </c>
      <c r="I793" s="16">
        <f>VLOOKUP(B:B,'[1]Master Sheet'!$B:$I,8,0)</f>
        <v>0</v>
      </c>
      <c r="J793" s="16"/>
      <c r="K793" s="3" t="s">
        <v>2991</v>
      </c>
      <c r="L793" s="3" t="s">
        <v>3057</v>
      </c>
      <c r="M793" s="3" t="s">
        <v>3056</v>
      </c>
      <c r="N793" s="3"/>
      <c r="O793" s="3"/>
    </row>
    <row r="794" spans="1:15" s="4" customFormat="1">
      <c r="A794" s="2">
        <v>793</v>
      </c>
      <c r="B794" s="3" t="s">
        <v>1762</v>
      </c>
      <c r="C794" s="3" t="s">
        <v>1763</v>
      </c>
      <c r="D794" s="2" t="s">
        <v>17</v>
      </c>
      <c r="E794" s="2" t="s">
        <v>8</v>
      </c>
      <c r="F794" s="16"/>
      <c r="G794" s="16"/>
      <c r="H794" s="16">
        <f>VLOOKUP(B:B,'[1]Master Sheet'!$B:$H,7,0)</f>
        <v>0</v>
      </c>
      <c r="I794" s="16">
        <f>VLOOKUP(B:B,'[1]Master Sheet'!$B:$I,8,0)</f>
        <v>0</v>
      </c>
      <c r="J794" s="16"/>
      <c r="K794" s="3" t="s">
        <v>3002</v>
      </c>
      <c r="L794" s="3" t="s">
        <v>3057</v>
      </c>
      <c r="M794" s="3" t="s">
        <v>3056</v>
      </c>
      <c r="N794" s="3"/>
      <c r="O794" s="3"/>
    </row>
    <row r="795" spans="1:15" s="4" customFormat="1">
      <c r="A795" s="2">
        <v>794</v>
      </c>
      <c r="B795" s="3" t="s">
        <v>1768</v>
      </c>
      <c r="C795" s="3" t="s">
        <v>1769</v>
      </c>
      <c r="D795" s="2" t="s">
        <v>7</v>
      </c>
      <c r="E795" s="2" t="s">
        <v>8</v>
      </c>
      <c r="F795" s="16"/>
      <c r="G795" s="16"/>
      <c r="H795" s="16">
        <f>VLOOKUP(B:B,'[1]Master Sheet'!$B:$H,7,0)</f>
        <v>2000</v>
      </c>
      <c r="I795" s="16">
        <f>VLOOKUP(B:B,'[1]Master Sheet'!$B:$I,8,0)</f>
        <v>0</v>
      </c>
      <c r="J795" s="16"/>
      <c r="K795" s="3" t="s">
        <v>2972</v>
      </c>
      <c r="L795" s="3" t="s">
        <v>3057</v>
      </c>
      <c r="M795" s="3" t="s">
        <v>3056</v>
      </c>
      <c r="N795" s="3"/>
      <c r="O795" s="3"/>
    </row>
    <row r="796" spans="1:15" s="4" customFormat="1">
      <c r="A796" s="2">
        <v>795</v>
      </c>
      <c r="B796" s="3" t="s">
        <v>1770</v>
      </c>
      <c r="C796" s="3" t="s">
        <v>1771</v>
      </c>
      <c r="D796" s="2" t="s">
        <v>17</v>
      </c>
      <c r="E796" s="2" t="s">
        <v>8</v>
      </c>
      <c r="F796" s="16"/>
      <c r="G796" s="16"/>
      <c r="H796" s="16">
        <f>VLOOKUP(B:B,'[1]Master Sheet'!$B:$H,7,0)</f>
        <v>25</v>
      </c>
      <c r="I796" s="16">
        <f>VLOOKUP(B:B,'[1]Master Sheet'!$B:$I,8,0)</f>
        <v>0</v>
      </c>
      <c r="J796" s="16"/>
      <c r="K796" s="3" t="s">
        <v>2991</v>
      </c>
      <c r="L796" s="3" t="s">
        <v>3057</v>
      </c>
      <c r="M796" s="3" t="s">
        <v>3056</v>
      </c>
      <c r="N796" s="3"/>
      <c r="O796" s="3"/>
    </row>
    <row r="797" spans="1:15" s="4" customFormat="1">
      <c r="A797" s="2">
        <v>796</v>
      </c>
      <c r="B797" s="3" t="s">
        <v>1772</v>
      </c>
      <c r="C797" s="3" t="s">
        <v>1773</v>
      </c>
      <c r="D797" s="2" t="s">
        <v>17</v>
      </c>
      <c r="E797" s="2" t="s">
        <v>8</v>
      </c>
      <c r="F797" s="16"/>
      <c r="G797" s="16"/>
      <c r="H797" s="16">
        <f>VLOOKUP(B:B,'[1]Master Sheet'!$B:$H,7,0)</f>
        <v>0</v>
      </c>
      <c r="I797" s="16">
        <f>VLOOKUP(B:B,'[1]Master Sheet'!$B:$I,8,0)</f>
        <v>0</v>
      </c>
      <c r="J797" s="16"/>
      <c r="K797" s="3" t="s">
        <v>2972</v>
      </c>
      <c r="L797" s="3" t="s">
        <v>3057</v>
      </c>
      <c r="M797" s="3" t="s">
        <v>3056</v>
      </c>
      <c r="N797" s="3"/>
      <c r="O797" s="3"/>
    </row>
    <row r="798" spans="1:15" s="4" customFormat="1">
      <c r="A798" s="2">
        <v>797</v>
      </c>
      <c r="B798" s="3" t="s">
        <v>1822</v>
      </c>
      <c r="C798" s="3" t="s">
        <v>1823</v>
      </c>
      <c r="D798" s="2" t="s">
        <v>17</v>
      </c>
      <c r="E798" s="2" t="s">
        <v>8</v>
      </c>
      <c r="F798" s="16"/>
      <c r="G798" s="16"/>
      <c r="H798" s="16">
        <f>VLOOKUP(B:B,'[1]Master Sheet'!$B:$H,7,0)</f>
        <v>50</v>
      </c>
      <c r="I798" s="16">
        <f>VLOOKUP(B:B,'[1]Master Sheet'!$B:$I,8,0)</f>
        <v>0</v>
      </c>
      <c r="J798" s="16"/>
      <c r="K798" s="3" t="s">
        <v>2972</v>
      </c>
      <c r="L798" s="3" t="s">
        <v>3055</v>
      </c>
      <c r="M798" s="3" t="s">
        <v>3056</v>
      </c>
      <c r="N798" s="3"/>
      <c r="O798" s="3"/>
    </row>
    <row r="799" spans="1:15" s="4" customFormat="1">
      <c r="A799" s="2">
        <v>798</v>
      </c>
      <c r="B799" s="3" t="s">
        <v>1824</v>
      </c>
      <c r="C799" s="3" t="s">
        <v>1825</v>
      </c>
      <c r="D799" s="2" t="s">
        <v>17</v>
      </c>
      <c r="E799" s="2" t="s">
        <v>8</v>
      </c>
      <c r="F799" s="16"/>
      <c r="G799" s="16"/>
      <c r="H799" s="16">
        <f>VLOOKUP(B:B,'[1]Master Sheet'!$B:$H,7,0)</f>
        <v>150</v>
      </c>
      <c r="I799" s="16">
        <f>VLOOKUP(B:B,'[1]Master Sheet'!$B:$I,8,0)</f>
        <v>0</v>
      </c>
      <c r="J799" s="16"/>
      <c r="K799" s="3" t="s">
        <v>2972</v>
      </c>
      <c r="L799" s="3" t="s">
        <v>3055</v>
      </c>
      <c r="M799" s="3" t="s">
        <v>3056</v>
      </c>
      <c r="N799" s="3"/>
      <c r="O799" s="3"/>
    </row>
    <row r="800" spans="1:15" s="4" customFormat="1">
      <c r="A800" s="2">
        <v>799</v>
      </c>
      <c r="B800" s="3" t="s">
        <v>1778</v>
      </c>
      <c r="C800" s="3" t="s">
        <v>1779</v>
      </c>
      <c r="D800" s="2" t="s">
        <v>17</v>
      </c>
      <c r="E800" s="2" t="s">
        <v>8</v>
      </c>
      <c r="F800" s="16"/>
      <c r="G800" s="16"/>
      <c r="H800" s="16">
        <f>VLOOKUP(B:B,'[1]Master Sheet'!$B:$H,7,0)</f>
        <v>0</v>
      </c>
      <c r="I800" s="16">
        <f>VLOOKUP(B:B,'[1]Master Sheet'!$B:$I,8,0)</f>
        <v>0</v>
      </c>
      <c r="J800" s="16"/>
      <c r="K800" s="3" t="s">
        <v>2972</v>
      </c>
      <c r="L800" s="3" t="s">
        <v>3057</v>
      </c>
      <c r="M800" s="3" t="s">
        <v>3056</v>
      </c>
      <c r="N800" s="3"/>
      <c r="O800" s="3"/>
    </row>
    <row r="801" spans="1:15" s="4" customFormat="1">
      <c r="A801" s="2">
        <v>800</v>
      </c>
      <c r="B801" s="3" t="s">
        <v>1780</v>
      </c>
      <c r="C801" s="3" t="s">
        <v>1781</v>
      </c>
      <c r="D801" s="2" t="s">
        <v>17</v>
      </c>
      <c r="E801" s="2" t="s">
        <v>8</v>
      </c>
      <c r="F801" s="16"/>
      <c r="G801" s="16"/>
      <c r="H801" s="16">
        <f>VLOOKUP(B:B,'[1]Master Sheet'!$B:$H,7,0)</f>
        <v>150</v>
      </c>
      <c r="I801" s="16">
        <f>VLOOKUP(B:B,'[1]Master Sheet'!$B:$I,8,0)</f>
        <v>0</v>
      </c>
      <c r="J801" s="16"/>
      <c r="K801" s="3" t="s">
        <v>2991</v>
      </c>
      <c r="L801" s="3" t="s">
        <v>3057</v>
      </c>
      <c r="M801" s="3" t="s">
        <v>3056</v>
      </c>
      <c r="N801" s="3"/>
      <c r="O801" s="3"/>
    </row>
    <row r="802" spans="1:15" s="4" customFormat="1">
      <c r="A802" s="2">
        <v>801</v>
      </c>
      <c r="B802" s="3" t="s">
        <v>1782</v>
      </c>
      <c r="C802" s="3" t="s">
        <v>1783</v>
      </c>
      <c r="D802" s="2" t="s">
        <v>17</v>
      </c>
      <c r="E802" s="2" t="s">
        <v>8</v>
      </c>
      <c r="F802" s="16"/>
      <c r="G802" s="16"/>
      <c r="H802" s="16">
        <f>VLOOKUP(B:B,'[1]Master Sheet'!$B:$H,7,0)</f>
        <v>150</v>
      </c>
      <c r="I802" s="16">
        <f>VLOOKUP(B:B,'[1]Master Sheet'!$B:$I,8,0)</f>
        <v>0</v>
      </c>
      <c r="J802" s="16"/>
      <c r="K802" s="3" t="s">
        <v>2991</v>
      </c>
      <c r="L802" s="3" t="s">
        <v>3057</v>
      </c>
      <c r="M802" s="3" t="s">
        <v>3056</v>
      </c>
      <c r="N802" s="3"/>
      <c r="O802" s="3"/>
    </row>
    <row r="803" spans="1:15" s="4" customFormat="1">
      <c r="A803" s="2">
        <v>802</v>
      </c>
      <c r="B803" s="3" t="s">
        <v>1784</v>
      </c>
      <c r="C803" s="3" t="s">
        <v>1785</v>
      </c>
      <c r="D803" s="2" t="s">
        <v>17</v>
      </c>
      <c r="E803" s="2" t="s">
        <v>8</v>
      </c>
      <c r="F803" s="16"/>
      <c r="G803" s="16"/>
      <c r="H803" s="16">
        <f>VLOOKUP(B:B,'[1]Master Sheet'!$B:$H,7,0)</f>
        <v>150</v>
      </c>
      <c r="I803" s="16">
        <f>VLOOKUP(B:B,'[1]Master Sheet'!$B:$I,8,0)</f>
        <v>0</v>
      </c>
      <c r="J803" s="16"/>
      <c r="K803" s="3" t="s">
        <v>2991</v>
      </c>
      <c r="L803" s="3" t="s">
        <v>3057</v>
      </c>
      <c r="M803" s="3" t="s">
        <v>3056</v>
      </c>
      <c r="N803" s="3"/>
      <c r="O803" s="3"/>
    </row>
    <row r="804" spans="1:15" s="4" customFormat="1">
      <c r="A804" s="2">
        <v>803</v>
      </c>
      <c r="B804" s="3" t="s">
        <v>1786</v>
      </c>
      <c r="C804" s="3" t="s">
        <v>1787</v>
      </c>
      <c r="D804" s="2" t="s">
        <v>17</v>
      </c>
      <c r="E804" s="2" t="s">
        <v>8</v>
      </c>
      <c r="F804" s="16"/>
      <c r="G804" s="16"/>
      <c r="H804" s="16">
        <f>VLOOKUP(B:B,'[1]Master Sheet'!$B:$H,7,0)</f>
        <v>150</v>
      </c>
      <c r="I804" s="16">
        <f>VLOOKUP(B:B,'[1]Master Sheet'!$B:$I,8,0)</f>
        <v>0</v>
      </c>
      <c r="J804" s="16"/>
      <c r="K804" s="3" t="s">
        <v>2991</v>
      </c>
      <c r="L804" s="3" t="s">
        <v>3057</v>
      </c>
      <c r="M804" s="3" t="s">
        <v>3056</v>
      </c>
      <c r="N804" s="3"/>
      <c r="O804" s="3"/>
    </row>
    <row r="805" spans="1:15" s="4" customFormat="1">
      <c r="A805" s="2">
        <v>804</v>
      </c>
      <c r="B805" s="3" t="s">
        <v>1790</v>
      </c>
      <c r="C805" s="3" t="s">
        <v>1791</v>
      </c>
      <c r="D805" s="2" t="s">
        <v>17</v>
      </c>
      <c r="E805" s="2" t="s">
        <v>8</v>
      </c>
      <c r="F805" s="16"/>
      <c r="G805" s="16"/>
      <c r="H805" s="16">
        <f>VLOOKUP(B:B,'[1]Master Sheet'!$B:$H,7,0)</f>
        <v>0</v>
      </c>
      <c r="I805" s="16">
        <f>VLOOKUP(B:B,'[1]Master Sheet'!$B:$I,8,0)</f>
        <v>0</v>
      </c>
      <c r="J805" s="16"/>
      <c r="K805" s="3" t="s">
        <v>2972</v>
      </c>
      <c r="L805" s="3" t="s">
        <v>3057</v>
      </c>
      <c r="M805" s="3" t="s">
        <v>3056</v>
      </c>
      <c r="N805" s="3"/>
      <c r="O805" s="3"/>
    </row>
    <row r="806" spans="1:15" s="4" customFormat="1">
      <c r="A806" s="2">
        <v>805</v>
      </c>
      <c r="B806" s="3" t="s">
        <v>1796</v>
      </c>
      <c r="C806" s="3" t="s">
        <v>1797</v>
      </c>
      <c r="D806" s="2" t="s">
        <v>7</v>
      </c>
      <c r="E806" s="2" t="s">
        <v>8</v>
      </c>
      <c r="F806" s="16"/>
      <c r="G806" s="16"/>
      <c r="H806" s="16">
        <f>VLOOKUP(B:B,'[1]Master Sheet'!$B:$H,7,0)</f>
        <v>0</v>
      </c>
      <c r="I806" s="16">
        <f>VLOOKUP(B:B,'[1]Master Sheet'!$B:$I,8,0)</f>
        <v>0</v>
      </c>
      <c r="J806" s="16"/>
      <c r="K806" s="3" t="s">
        <v>3029</v>
      </c>
      <c r="L806" s="3" t="s">
        <v>3057</v>
      </c>
      <c r="M806" s="3" t="s">
        <v>3056</v>
      </c>
      <c r="N806" s="3"/>
      <c r="O806" s="3"/>
    </row>
    <row r="807" spans="1:15" s="4" customFormat="1">
      <c r="A807" s="2">
        <v>806</v>
      </c>
      <c r="B807" s="3" t="s">
        <v>1798</v>
      </c>
      <c r="C807" s="3" t="s">
        <v>1799</v>
      </c>
      <c r="D807" s="2" t="s">
        <v>7</v>
      </c>
      <c r="E807" s="2" t="s">
        <v>8</v>
      </c>
      <c r="F807" s="16"/>
      <c r="G807" s="16"/>
      <c r="H807" s="16">
        <f>VLOOKUP(B:B,'[1]Master Sheet'!$B:$H,7,0)</f>
        <v>2500</v>
      </c>
      <c r="I807" s="16">
        <f>VLOOKUP(B:B,'[1]Master Sheet'!$B:$I,8,0)</f>
        <v>0</v>
      </c>
      <c r="J807" s="16"/>
      <c r="K807" s="3" t="s">
        <v>2972</v>
      </c>
      <c r="L807" s="3" t="s">
        <v>3057</v>
      </c>
      <c r="M807" s="3" t="s">
        <v>3056</v>
      </c>
      <c r="N807" s="3"/>
      <c r="O807" s="3"/>
    </row>
    <row r="808" spans="1:15" s="4" customFormat="1">
      <c r="A808" s="2">
        <v>807</v>
      </c>
      <c r="B808" s="3" t="s">
        <v>1800</v>
      </c>
      <c r="C808" s="3" t="s">
        <v>1801</v>
      </c>
      <c r="D808" s="2" t="s">
        <v>17</v>
      </c>
      <c r="E808" s="2" t="s">
        <v>8</v>
      </c>
      <c r="F808" s="16"/>
      <c r="G808" s="16"/>
      <c r="H808" s="16">
        <f>VLOOKUP(B:B,'[1]Master Sheet'!$B:$H,7,0)</f>
        <v>1000</v>
      </c>
      <c r="I808" s="16">
        <f>VLOOKUP(B:B,'[1]Master Sheet'!$B:$I,8,0)</f>
        <v>2500</v>
      </c>
      <c r="J808" s="16"/>
      <c r="K808" s="3" t="s">
        <v>2972</v>
      </c>
      <c r="L808" s="3" t="s">
        <v>3057</v>
      </c>
      <c r="M808" s="3" t="s">
        <v>3056</v>
      </c>
      <c r="N808" s="3"/>
      <c r="O808" s="3"/>
    </row>
    <row r="809" spans="1:15" s="4" customFormat="1">
      <c r="A809" s="2">
        <v>808</v>
      </c>
      <c r="B809" s="3" t="s">
        <v>1802</v>
      </c>
      <c r="C809" s="3" t="s">
        <v>1803</v>
      </c>
      <c r="D809" s="2" t="s">
        <v>20</v>
      </c>
      <c r="E809" s="2" t="s">
        <v>8</v>
      </c>
      <c r="F809" s="16"/>
      <c r="G809" s="16"/>
      <c r="H809" s="16">
        <f>VLOOKUP(B:B,'[1]Master Sheet'!$B:$H,7,0)</f>
        <v>350</v>
      </c>
      <c r="I809" s="16">
        <f>VLOOKUP(B:B,'[1]Master Sheet'!$B:$I,8,0)</f>
        <v>1500</v>
      </c>
      <c r="J809" s="16"/>
      <c r="K809" s="3" t="s">
        <v>3031</v>
      </c>
      <c r="L809" s="3" t="s">
        <v>3057</v>
      </c>
      <c r="M809" s="3" t="s">
        <v>3056</v>
      </c>
      <c r="N809" s="3"/>
      <c r="O809" s="3"/>
    </row>
    <row r="810" spans="1:15" s="4" customFormat="1">
      <c r="A810" s="2">
        <v>809</v>
      </c>
      <c r="B810" s="3" t="s">
        <v>1804</v>
      </c>
      <c r="C810" s="3" t="s">
        <v>1805</v>
      </c>
      <c r="D810" s="2" t="s">
        <v>20</v>
      </c>
      <c r="E810" s="2" t="s">
        <v>8</v>
      </c>
      <c r="F810" s="16"/>
      <c r="G810" s="16"/>
      <c r="H810" s="16">
        <f>VLOOKUP(B:B,'[1]Master Sheet'!$B:$H,7,0)</f>
        <v>1000</v>
      </c>
      <c r="I810" s="16">
        <f>VLOOKUP(B:B,'[1]Master Sheet'!$B:$I,8,0)</f>
        <v>3000</v>
      </c>
      <c r="J810" s="16"/>
      <c r="K810" s="3" t="s">
        <v>3031</v>
      </c>
      <c r="L810" s="3" t="s">
        <v>3057</v>
      </c>
      <c r="M810" s="3" t="s">
        <v>3056</v>
      </c>
      <c r="N810" s="3"/>
      <c r="O810" s="3"/>
    </row>
    <row r="811" spans="1:15" s="4" customFormat="1">
      <c r="A811" s="2">
        <v>810</v>
      </c>
      <c r="B811" s="3" t="s">
        <v>1806</v>
      </c>
      <c r="C811" s="3" t="s">
        <v>1807</v>
      </c>
      <c r="D811" s="2" t="s">
        <v>20</v>
      </c>
      <c r="E811" s="2" t="s">
        <v>8</v>
      </c>
      <c r="F811" s="16"/>
      <c r="G811" s="16"/>
      <c r="H811" s="16">
        <f>VLOOKUP(B:B,'[1]Master Sheet'!$B:$H,7,0)</f>
        <v>100</v>
      </c>
      <c r="I811" s="16">
        <f>VLOOKUP(B:B,'[1]Master Sheet'!$B:$I,8,0)</f>
        <v>0</v>
      </c>
      <c r="J811" s="16"/>
      <c r="K811" s="3" t="s">
        <v>3031</v>
      </c>
      <c r="L811" s="3" t="s">
        <v>3057</v>
      </c>
      <c r="M811" s="3" t="s">
        <v>3056</v>
      </c>
      <c r="N811" s="3"/>
      <c r="O811" s="3"/>
    </row>
    <row r="812" spans="1:15" s="4" customFormat="1">
      <c r="A812" s="2">
        <v>811</v>
      </c>
      <c r="B812" s="3" t="s">
        <v>1808</v>
      </c>
      <c r="C812" s="3" t="s">
        <v>1809</v>
      </c>
      <c r="D812" s="2" t="s">
        <v>20</v>
      </c>
      <c r="E812" s="2" t="s">
        <v>8</v>
      </c>
      <c r="F812" s="16"/>
      <c r="G812" s="16"/>
      <c r="H812" s="16">
        <f>VLOOKUP(B:B,'[1]Master Sheet'!$B:$H,7,0)</f>
        <v>350</v>
      </c>
      <c r="I812" s="16">
        <f>VLOOKUP(B:B,'[1]Master Sheet'!$B:$I,8,0)</f>
        <v>500</v>
      </c>
      <c r="J812" s="16"/>
      <c r="K812" s="3" t="s">
        <v>3031</v>
      </c>
      <c r="L812" s="3" t="s">
        <v>3057</v>
      </c>
      <c r="M812" s="3" t="s">
        <v>3056</v>
      </c>
      <c r="N812" s="3"/>
      <c r="O812" s="3"/>
    </row>
    <row r="813" spans="1:15" s="4" customFormat="1">
      <c r="A813" s="2">
        <v>812</v>
      </c>
      <c r="B813" s="3" t="s">
        <v>1812</v>
      </c>
      <c r="C813" s="3" t="s">
        <v>1813</v>
      </c>
      <c r="D813" s="2" t="s">
        <v>17</v>
      </c>
      <c r="E813" s="2" t="s">
        <v>8</v>
      </c>
      <c r="F813" s="16"/>
      <c r="G813" s="16"/>
      <c r="H813" s="16">
        <f>VLOOKUP(B:B,'[1]Master Sheet'!$B:$H,7,0)</f>
        <v>0</v>
      </c>
      <c r="I813" s="16">
        <f>VLOOKUP(B:B,'[1]Master Sheet'!$B:$I,8,0)</f>
        <v>0</v>
      </c>
      <c r="J813" s="16"/>
      <c r="K813" s="3" t="s">
        <v>2972</v>
      </c>
      <c r="L813" s="3" t="s">
        <v>3057</v>
      </c>
      <c r="M813" s="3" t="s">
        <v>3056</v>
      </c>
      <c r="N813" s="3"/>
      <c r="O813" s="3"/>
    </row>
    <row r="814" spans="1:15" s="4" customFormat="1">
      <c r="A814" s="2">
        <v>813</v>
      </c>
      <c r="B814" s="3" t="s">
        <v>1814</v>
      </c>
      <c r="C814" s="3" t="s">
        <v>1815</v>
      </c>
      <c r="D814" s="2" t="s">
        <v>17</v>
      </c>
      <c r="E814" s="2" t="s">
        <v>8</v>
      </c>
      <c r="F814" s="16"/>
      <c r="G814" s="16"/>
      <c r="H814" s="16">
        <f>VLOOKUP(B:B,'[1]Master Sheet'!$B:$H,7,0)</f>
        <v>10000</v>
      </c>
      <c r="I814" s="16">
        <f>VLOOKUP(B:B,'[1]Master Sheet'!$B:$I,8,0)</f>
        <v>0</v>
      </c>
      <c r="J814" s="16"/>
      <c r="K814" s="3" t="s">
        <v>2972</v>
      </c>
      <c r="L814" s="3" t="s">
        <v>3057</v>
      </c>
      <c r="M814" s="3" t="s">
        <v>3056</v>
      </c>
      <c r="N814" s="3"/>
      <c r="O814" s="3"/>
    </row>
    <row r="815" spans="1:15" s="4" customFormat="1">
      <c r="A815" s="2">
        <v>814</v>
      </c>
      <c r="B815" s="3" t="s">
        <v>1816</v>
      </c>
      <c r="C815" s="3" t="s">
        <v>1817</v>
      </c>
      <c r="D815" s="2" t="s">
        <v>17</v>
      </c>
      <c r="E815" s="2" t="s">
        <v>8</v>
      </c>
      <c r="F815" s="16"/>
      <c r="G815" s="16"/>
      <c r="H815" s="16">
        <f>VLOOKUP(B:B,'[1]Master Sheet'!$B:$H,7,0)</f>
        <v>3000</v>
      </c>
      <c r="I815" s="16">
        <f>VLOOKUP(B:B,'[1]Master Sheet'!$B:$I,8,0)</f>
        <v>5000</v>
      </c>
      <c r="J815" s="16"/>
      <c r="K815" s="3" t="s">
        <v>2972</v>
      </c>
      <c r="L815" s="3" t="s">
        <v>3060</v>
      </c>
      <c r="M815" s="3" t="s">
        <v>3058</v>
      </c>
      <c r="N815" s="3"/>
      <c r="O815" s="3"/>
    </row>
    <row r="816" spans="1:15" s="4" customFormat="1">
      <c r="A816" s="2">
        <v>815</v>
      </c>
      <c r="B816" s="3" t="s">
        <v>1818</v>
      </c>
      <c r="C816" s="3" t="s">
        <v>1819</v>
      </c>
      <c r="D816" s="2" t="s">
        <v>17</v>
      </c>
      <c r="E816" s="2" t="s">
        <v>8</v>
      </c>
      <c r="F816" s="16"/>
      <c r="G816" s="16"/>
      <c r="H816" s="16">
        <f>VLOOKUP(B:B,'[1]Master Sheet'!$B:$H,7,0)</f>
        <v>750</v>
      </c>
      <c r="I816" s="16">
        <f>VLOOKUP(B:B,'[1]Master Sheet'!$B:$I,8,0)</f>
        <v>0</v>
      </c>
      <c r="J816" s="16"/>
      <c r="K816" s="3" t="s">
        <v>2972</v>
      </c>
      <c r="L816" s="3" t="s">
        <v>3057</v>
      </c>
      <c r="M816" s="3" t="s">
        <v>3058</v>
      </c>
      <c r="N816" s="3"/>
      <c r="O816" s="3"/>
    </row>
    <row r="817" spans="1:15" s="4" customFormat="1">
      <c r="A817" s="2">
        <v>816</v>
      </c>
      <c r="B817" s="3" t="s">
        <v>1826</v>
      </c>
      <c r="C817" s="3" t="s">
        <v>1827</v>
      </c>
      <c r="D817" s="2" t="s">
        <v>17</v>
      </c>
      <c r="E817" s="2" t="s">
        <v>8</v>
      </c>
      <c r="F817" s="16"/>
      <c r="G817" s="16"/>
      <c r="H817" s="16">
        <f>VLOOKUP(B:B,'[1]Master Sheet'!$B:$H,7,0)</f>
        <v>50</v>
      </c>
      <c r="I817" s="16">
        <f>VLOOKUP(B:B,'[1]Master Sheet'!$B:$I,8,0)</f>
        <v>0</v>
      </c>
      <c r="J817" s="16"/>
      <c r="K817" s="3" t="s">
        <v>2991</v>
      </c>
      <c r="L817" s="3" t="s">
        <v>3057</v>
      </c>
      <c r="M817" s="3" t="s">
        <v>3056</v>
      </c>
      <c r="N817" s="3"/>
      <c r="O817" s="3"/>
    </row>
    <row r="818" spans="1:15" s="4" customFormat="1">
      <c r="A818" s="2">
        <v>817</v>
      </c>
      <c r="B818" s="3" t="s">
        <v>1828</v>
      </c>
      <c r="C818" s="3" t="s">
        <v>1829</v>
      </c>
      <c r="D818" s="2" t="s">
        <v>7</v>
      </c>
      <c r="E818" s="2" t="s">
        <v>8</v>
      </c>
      <c r="F818" s="16"/>
      <c r="G818" s="16"/>
      <c r="H818" s="16">
        <f>VLOOKUP(B:B,'[1]Master Sheet'!$B:$H,7,0)</f>
        <v>0</v>
      </c>
      <c r="I818" s="16">
        <f>VLOOKUP(B:B,'[1]Master Sheet'!$B:$I,8,0)</f>
        <v>0</v>
      </c>
      <c r="J818" s="16"/>
      <c r="K818" s="3" t="s">
        <v>2972</v>
      </c>
      <c r="L818" s="3" t="s">
        <v>3057</v>
      </c>
      <c r="M818" s="3" t="s">
        <v>3056</v>
      </c>
      <c r="N818" s="3"/>
      <c r="O818" s="3"/>
    </row>
    <row r="819" spans="1:15" s="4" customFormat="1">
      <c r="A819" s="2">
        <v>818</v>
      </c>
      <c r="B819" s="3" t="s">
        <v>1830</v>
      </c>
      <c r="C819" s="3" t="s">
        <v>1831</v>
      </c>
      <c r="D819" s="2" t="s">
        <v>17</v>
      </c>
      <c r="E819" s="2" t="s">
        <v>8</v>
      </c>
      <c r="F819" s="16"/>
      <c r="G819" s="16"/>
      <c r="H819" s="16">
        <f>VLOOKUP(B:B,'[1]Master Sheet'!$B:$H,7,0)</f>
        <v>150</v>
      </c>
      <c r="I819" s="16">
        <f>VLOOKUP(B:B,'[1]Master Sheet'!$B:$I,8,0)</f>
        <v>0</v>
      </c>
      <c r="J819" s="16"/>
      <c r="K819" s="3" t="s">
        <v>2991</v>
      </c>
      <c r="L819" s="3" t="s">
        <v>3057</v>
      </c>
      <c r="M819" s="3" t="s">
        <v>3056</v>
      </c>
      <c r="N819" s="3"/>
      <c r="O819" s="3"/>
    </row>
    <row r="820" spans="1:15" s="4" customFormat="1">
      <c r="A820" s="2">
        <v>819</v>
      </c>
      <c r="B820" s="3" t="s">
        <v>1832</v>
      </c>
      <c r="C820" s="3" t="s">
        <v>1833</v>
      </c>
      <c r="D820" s="2" t="s">
        <v>17</v>
      </c>
      <c r="E820" s="2" t="s">
        <v>8</v>
      </c>
      <c r="F820" s="16"/>
      <c r="G820" s="16"/>
      <c r="H820" s="16">
        <f>VLOOKUP(B:B,'[1]Master Sheet'!$B:$H,7,0)</f>
        <v>150</v>
      </c>
      <c r="I820" s="16">
        <f>VLOOKUP(B:B,'[1]Master Sheet'!$B:$I,8,0)</f>
        <v>0</v>
      </c>
      <c r="J820" s="16"/>
      <c r="K820" s="3" t="s">
        <v>2991</v>
      </c>
      <c r="L820" s="3" t="s">
        <v>3057</v>
      </c>
      <c r="M820" s="3" t="s">
        <v>3056</v>
      </c>
      <c r="N820" s="3"/>
      <c r="O820" s="3"/>
    </row>
    <row r="821" spans="1:15" s="4" customFormat="1">
      <c r="A821" s="2">
        <v>820</v>
      </c>
      <c r="B821" s="3" t="s">
        <v>1870</v>
      </c>
      <c r="C821" s="3" t="s">
        <v>1871</v>
      </c>
      <c r="D821" s="2" t="s">
        <v>17</v>
      </c>
      <c r="E821" s="2" t="s">
        <v>8</v>
      </c>
      <c r="F821" s="16"/>
      <c r="G821" s="16"/>
      <c r="H821" s="16">
        <f>VLOOKUP(B:B,'[1]Master Sheet'!$B:$H,7,0)</f>
        <v>0</v>
      </c>
      <c r="I821" s="16">
        <f>VLOOKUP(B:B,'[1]Master Sheet'!$B:$I,8,0)</f>
        <v>0</v>
      </c>
      <c r="J821" s="16"/>
      <c r="K821" s="3" t="s">
        <v>2982</v>
      </c>
      <c r="L821" s="3" t="s">
        <v>3060</v>
      </c>
      <c r="M821" s="3" t="s">
        <v>3058</v>
      </c>
      <c r="N821" s="3"/>
      <c r="O821" s="3"/>
    </row>
    <row r="822" spans="1:15" s="4" customFormat="1">
      <c r="A822" s="2">
        <v>821</v>
      </c>
      <c r="B822" s="3" t="s">
        <v>1872</v>
      </c>
      <c r="C822" s="3" t="s">
        <v>1873</v>
      </c>
      <c r="D822" s="2" t="s">
        <v>17</v>
      </c>
      <c r="E822" s="2" t="s">
        <v>8</v>
      </c>
      <c r="F822" s="16"/>
      <c r="G822" s="16"/>
      <c r="H822" s="16">
        <f>VLOOKUP(B:B,'[1]Master Sheet'!$B:$H,7,0)</f>
        <v>0</v>
      </c>
      <c r="I822" s="16">
        <f>VLOOKUP(B:B,'[1]Master Sheet'!$B:$I,8,0)</f>
        <v>0</v>
      </c>
      <c r="J822" s="16"/>
      <c r="K822" s="3" t="s">
        <v>2982</v>
      </c>
      <c r="L822" s="3" t="s">
        <v>3060</v>
      </c>
      <c r="M822" s="3" t="s">
        <v>3058</v>
      </c>
      <c r="N822" s="3"/>
      <c r="O822" s="3"/>
    </row>
    <row r="823" spans="1:15" s="4" customFormat="1">
      <c r="A823" s="2">
        <v>822</v>
      </c>
      <c r="B823" s="3" t="s">
        <v>1874</v>
      </c>
      <c r="C823" s="3" t="s">
        <v>1875</v>
      </c>
      <c r="D823" s="2" t="s">
        <v>17</v>
      </c>
      <c r="E823" s="2" t="s">
        <v>8</v>
      </c>
      <c r="F823" s="16"/>
      <c r="G823" s="16"/>
      <c r="H823" s="16">
        <f>VLOOKUP(B:B,'[1]Master Sheet'!$B:$H,7,0)</f>
        <v>0</v>
      </c>
      <c r="I823" s="16">
        <f>VLOOKUP(B:B,'[1]Master Sheet'!$B:$I,8,0)</f>
        <v>0</v>
      </c>
      <c r="J823" s="16"/>
      <c r="K823" s="3" t="s">
        <v>2982</v>
      </c>
      <c r="L823" s="3" t="s">
        <v>3060</v>
      </c>
      <c r="M823" s="3" t="s">
        <v>3058</v>
      </c>
      <c r="N823" s="3"/>
      <c r="O823" s="3"/>
    </row>
    <row r="824" spans="1:15" s="4" customFormat="1">
      <c r="A824" s="2">
        <v>823</v>
      </c>
      <c r="B824" s="3" t="s">
        <v>1876</v>
      </c>
      <c r="C824" s="3" t="s">
        <v>1877</v>
      </c>
      <c r="D824" s="2" t="s">
        <v>17</v>
      </c>
      <c r="E824" s="2" t="s">
        <v>8</v>
      </c>
      <c r="F824" s="16"/>
      <c r="G824" s="16"/>
      <c r="H824" s="16">
        <f>VLOOKUP(B:B,'[1]Master Sheet'!$B:$H,7,0)</f>
        <v>0</v>
      </c>
      <c r="I824" s="16">
        <f>VLOOKUP(B:B,'[1]Master Sheet'!$B:$I,8,0)</f>
        <v>0</v>
      </c>
      <c r="J824" s="16"/>
      <c r="K824" s="3" t="s">
        <v>2982</v>
      </c>
      <c r="L824" s="3" t="s">
        <v>3060</v>
      </c>
      <c r="M824" s="3" t="s">
        <v>3058</v>
      </c>
      <c r="N824" s="3"/>
      <c r="O824" s="3"/>
    </row>
    <row r="825" spans="1:15" s="4" customFormat="1">
      <c r="A825" s="2">
        <v>824</v>
      </c>
      <c r="B825" s="3" t="s">
        <v>1878</v>
      </c>
      <c r="C825" s="3" t="s">
        <v>1879</v>
      </c>
      <c r="D825" s="2" t="s">
        <v>17</v>
      </c>
      <c r="E825" s="2" t="s">
        <v>8</v>
      </c>
      <c r="F825" s="16"/>
      <c r="G825" s="16"/>
      <c r="H825" s="16">
        <f>VLOOKUP(B:B,'[1]Master Sheet'!$B:$H,7,0)</f>
        <v>0</v>
      </c>
      <c r="I825" s="16">
        <f>VLOOKUP(B:B,'[1]Master Sheet'!$B:$I,8,0)</f>
        <v>0</v>
      </c>
      <c r="J825" s="16"/>
      <c r="K825" s="3" t="s">
        <v>2982</v>
      </c>
      <c r="L825" s="3" t="s">
        <v>3060</v>
      </c>
      <c r="M825" s="3" t="s">
        <v>3058</v>
      </c>
      <c r="N825" s="3"/>
      <c r="O825" s="3"/>
    </row>
    <row r="826" spans="1:15" s="4" customFormat="1">
      <c r="A826" s="2">
        <v>825</v>
      </c>
      <c r="B826" s="3" t="s">
        <v>1880</v>
      </c>
      <c r="C826" s="3" t="s">
        <v>1881</v>
      </c>
      <c r="D826" s="2" t="s">
        <v>17</v>
      </c>
      <c r="E826" s="2" t="s">
        <v>8</v>
      </c>
      <c r="F826" s="16"/>
      <c r="G826" s="16"/>
      <c r="H826" s="16">
        <f>VLOOKUP(B:B,'[1]Master Sheet'!$B:$H,7,0)</f>
        <v>0</v>
      </c>
      <c r="I826" s="16">
        <f>VLOOKUP(B:B,'[1]Master Sheet'!$B:$I,8,0)</f>
        <v>0</v>
      </c>
      <c r="J826" s="16"/>
      <c r="K826" s="3" t="s">
        <v>2982</v>
      </c>
      <c r="L826" s="3" t="s">
        <v>3060</v>
      </c>
      <c r="M826" s="3" t="s">
        <v>3058</v>
      </c>
      <c r="N826" s="3"/>
      <c r="O826" s="3"/>
    </row>
    <row r="827" spans="1:15" s="4" customFormat="1">
      <c r="A827" s="2">
        <v>826</v>
      </c>
      <c r="B827" s="3" t="s">
        <v>1882</v>
      </c>
      <c r="C827" s="3" t="s">
        <v>1883</v>
      </c>
      <c r="D827" s="2" t="s">
        <v>17</v>
      </c>
      <c r="E827" s="2" t="s">
        <v>8</v>
      </c>
      <c r="F827" s="16"/>
      <c r="G827" s="16"/>
      <c r="H827" s="16">
        <f>VLOOKUP(B:B,'[1]Master Sheet'!$B:$H,7,0)</f>
        <v>0</v>
      </c>
      <c r="I827" s="16">
        <f>VLOOKUP(B:B,'[1]Master Sheet'!$B:$I,8,0)</f>
        <v>0</v>
      </c>
      <c r="J827" s="16"/>
      <c r="K827" s="3" t="s">
        <v>2982</v>
      </c>
      <c r="L827" s="3" t="s">
        <v>3060</v>
      </c>
      <c r="M827" s="3" t="s">
        <v>3058</v>
      </c>
      <c r="N827" s="3"/>
      <c r="O827" s="3"/>
    </row>
    <row r="828" spans="1:15" s="4" customFormat="1">
      <c r="A828" s="2">
        <v>827</v>
      </c>
      <c r="B828" s="3" t="s">
        <v>1884</v>
      </c>
      <c r="C828" s="3" t="s">
        <v>1885</v>
      </c>
      <c r="D828" s="2" t="s">
        <v>17</v>
      </c>
      <c r="E828" s="2" t="s">
        <v>8</v>
      </c>
      <c r="F828" s="16"/>
      <c r="G828" s="16"/>
      <c r="H828" s="16">
        <f>VLOOKUP(B:B,'[1]Master Sheet'!$B:$H,7,0)</f>
        <v>0</v>
      </c>
      <c r="I828" s="16">
        <f>VLOOKUP(B:B,'[1]Master Sheet'!$B:$I,8,0)</f>
        <v>0</v>
      </c>
      <c r="J828" s="16"/>
      <c r="K828" s="3" t="s">
        <v>2982</v>
      </c>
      <c r="L828" s="3" t="s">
        <v>3060</v>
      </c>
      <c r="M828" s="3" t="s">
        <v>3058</v>
      </c>
      <c r="N828" s="3"/>
      <c r="O828" s="3"/>
    </row>
    <row r="829" spans="1:15" s="4" customFormat="1">
      <c r="A829" s="2">
        <v>828</v>
      </c>
      <c r="B829" s="3" t="s">
        <v>1886</v>
      </c>
      <c r="C829" s="3" t="s">
        <v>1887</v>
      </c>
      <c r="D829" s="2" t="s">
        <v>17</v>
      </c>
      <c r="E829" s="2" t="s">
        <v>8</v>
      </c>
      <c r="F829" s="16"/>
      <c r="G829" s="16"/>
      <c r="H829" s="16">
        <f>VLOOKUP(B:B,'[1]Master Sheet'!$B:$H,7,0)</f>
        <v>0</v>
      </c>
      <c r="I829" s="16">
        <f>VLOOKUP(B:B,'[1]Master Sheet'!$B:$I,8,0)</f>
        <v>0</v>
      </c>
      <c r="J829" s="16"/>
      <c r="K829" s="3" t="s">
        <v>2982</v>
      </c>
      <c r="L829" s="3" t="s">
        <v>3060</v>
      </c>
      <c r="M829" s="3" t="s">
        <v>3058</v>
      </c>
      <c r="N829" s="3"/>
      <c r="O829" s="3"/>
    </row>
    <row r="830" spans="1:15" s="4" customFormat="1">
      <c r="A830" s="2">
        <v>829</v>
      </c>
      <c r="B830" s="3" t="s">
        <v>1888</v>
      </c>
      <c r="C830" s="3" t="s">
        <v>1889</v>
      </c>
      <c r="D830" s="2" t="s">
        <v>17</v>
      </c>
      <c r="E830" s="2" t="s">
        <v>8</v>
      </c>
      <c r="F830" s="16"/>
      <c r="G830" s="16"/>
      <c r="H830" s="16">
        <f>VLOOKUP(B:B,'[1]Master Sheet'!$B:$H,7,0)</f>
        <v>0</v>
      </c>
      <c r="I830" s="16">
        <f>VLOOKUP(B:B,'[1]Master Sheet'!$B:$I,8,0)</f>
        <v>0</v>
      </c>
      <c r="J830" s="16"/>
      <c r="K830" s="3" t="s">
        <v>2982</v>
      </c>
      <c r="L830" s="3" t="s">
        <v>3060</v>
      </c>
      <c r="M830" s="3" t="s">
        <v>3058</v>
      </c>
      <c r="N830" s="3"/>
      <c r="O830" s="3"/>
    </row>
    <row r="831" spans="1:15" s="4" customFormat="1">
      <c r="A831" s="2">
        <v>830</v>
      </c>
      <c r="B831" s="3" t="s">
        <v>1890</v>
      </c>
      <c r="C831" s="3" t="s">
        <v>1891</v>
      </c>
      <c r="D831" s="2" t="s">
        <v>17</v>
      </c>
      <c r="E831" s="2" t="s">
        <v>8</v>
      </c>
      <c r="F831" s="16"/>
      <c r="G831" s="16"/>
      <c r="H831" s="16">
        <f>VLOOKUP(B:B,'[1]Master Sheet'!$B:$H,7,0)</f>
        <v>0</v>
      </c>
      <c r="I831" s="16">
        <f>VLOOKUP(B:B,'[1]Master Sheet'!$B:$I,8,0)</f>
        <v>0</v>
      </c>
      <c r="J831" s="16"/>
      <c r="K831" s="3" t="s">
        <v>2982</v>
      </c>
      <c r="L831" s="3" t="s">
        <v>3060</v>
      </c>
      <c r="M831" s="3" t="s">
        <v>3058</v>
      </c>
      <c r="N831" s="3"/>
      <c r="O831" s="3"/>
    </row>
    <row r="832" spans="1:15" s="4" customFormat="1">
      <c r="A832" s="2">
        <v>831</v>
      </c>
      <c r="B832" s="3" t="s">
        <v>1892</v>
      </c>
      <c r="C832" s="3" t="s">
        <v>1893</v>
      </c>
      <c r="D832" s="2" t="s">
        <v>17</v>
      </c>
      <c r="E832" s="2" t="s">
        <v>8</v>
      </c>
      <c r="F832" s="16"/>
      <c r="G832" s="16"/>
      <c r="H832" s="16">
        <f>VLOOKUP(B:B,'[1]Master Sheet'!$B:$H,7,0)</f>
        <v>0</v>
      </c>
      <c r="I832" s="16">
        <f>VLOOKUP(B:B,'[1]Master Sheet'!$B:$I,8,0)</f>
        <v>0</v>
      </c>
      <c r="J832" s="16"/>
      <c r="K832" s="3" t="s">
        <v>2982</v>
      </c>
      <c r="L832" s="3" t="s">
        <v>3060</v>
      </c>
      <c r="M832" s="3" t="s">
        <v>3058</v>
      </c>
      <c r="N832" s="3"/>
      <c r="O832" s="3"/>
    </row>
    <row r="833" spans="1:15" s="4" customFormat="1">
      <c r="A833" s="2">
        <v>832</v>
      </c>
      <c r="B833" s="3" t="s">
        <v>1894</v>
      </c>
      <c r="C833" s="3" t="s">
        <v>1895</v>
      </c>
      <c r="D833" s="2" t="s">
        <v>17</v>
      </c>
      <c r="E833" s="2" t="s">
        <v>8</v>
      </c>
      <c r="F833" s="16"/>
      <c r="G833" s="16"/>
      <c r="H833" s="16">
        <f>VLOOKUP(B:B,'[1]Master Sheet'!$B:$H,7,0)</f>
        <v>0</v>
      </c>
      <c r="I833" s="16">
        <f>VLOOKUP(B:B,'[1]Master Sheet'!$B:$I,8,0)</f>
        <v>0</v>
      </c>
      <c r="J833" s="16"/>
      <c r="K833" s="3" t="s">
        <v>2982</v>
      </c>
      <c r="L833" s="3" t="s">
        <v>3060</v>
      </c>
      <c r="M833" s="3" t="s">
        <v>3058</v>
      </c>
      <c r="N833" s="3"/>
      <c r="O833" s="3"/>
    </row>
    <row r="834" spans="1:15" s="4" customFormat="1">
      <c r="A834" s="2">
        <v>833</v>
      </c>
      <c r="B834" s="3" t="s">
        <v>1896</v>
      </c>
      <c r="C834" s="3" t="s">
        <v>1897</v>
      </c>
      <c r="D834" s="2" t="s">
        <v>17</v>
      </c>
      <c r="E834" s="2" t="s">
        <v>8</v>
      </c>
      <c r="F834" s="16"/>
      <c r="G834" s="16"/>
      <c r="H834" s="16">
        <f>VLOOKUP(B:B,'[1]Master Sheet'!$B:$H,7,0)</f>
        <v>0</v>
      </c>
      <c r="I834" s="16">
        <f>VLOOKUP(B:B,'[1]Master Sheet'!$B:$I,8,0)</f>
        <v>0</v>
      </c>
      <c r="J834" s="16"/>
      <c r="K834" s="3" t="s">
        <v>2982</v>
      </c>
      <c r="L834" s="3" t="s">
        <v>3060</v>
      </c>
      <c r="M834" s="3" t="s">
        <v>3058</v>
      </c>
      <c r="N834" s="3"/>
      <c r="O834" s="3"/>
    </row>
    <row r="835" spans="1:15" s="4" customFormat="1">
      <c r="A835" s="2">
        <v>834</v>
      </c>
      <c r="B835" s="3" t="s">
        <v>1898</v>
      </c>
      <c r="C835" s="3" t="s">
        <v>1899</v>
      </c>
      <c r="D835" s="2" t="s">
        <v>17</v>
      </c>
      <c r="E835" s="2" t="s">
        <v>8</v>
      </c>
      <c r="F835" s="16"/>
      <c r="G835" s="16"/>
      <c r="H835" s="16">
        <f>VLOOKUP(B:B,'[1]Master Sheet'!$B:$H,7,0)</f>
        <v>0</v>
      </c>
      <c r="I835" s="16">
        <f>VLOOKUP(B:B,'[1]Master Sheet'!$B:$I,8,0)</f>
        <v>0</v>
      </c>
      <c r="J835" s="16"/>
      <c r="K835" s="3" t="s">
        <v>2982</v>
      </c>
      <c r="L835" s="3" t="s">
        <v>3060</v>
      </c>
      <c r="M835" s="3" t="s">
        <v>3058</v>
      </c>
      <c r="N835" s="3"/>
      <c r="O835" s="3"/>
    </row>
    <row r="836" spans="1:15" s="4" customFormat="1">
      <c r="A836" s="2">
        <v>835</v>
      </c>
      <c r="B836" s="3" t="s">
        <v>1900</v>
      </c>
      <c r="C836" s="3" t="s">
        <v>1901</v>
      </c>
      <c r="D836" s="2" t="s">
        <v>17</v>
      </c>
      <c r="E836" s="2" t="s">
        <v>8</v>
      </c>
      <c r="F836" s="16"/>
      <c r="G836" s="16"/>
      <c r="H836" s="16">
        <f>VLOOKUP(B:B,'[1]Master Sheet'!$B:$H,7,0)</f>
        <v>0</v>
      </c>
      <c r="I836" s="16">
        <f>VLOOKUP(B:B,'[1]Master Sheet'!$B:$I,8,0)</f>
        <v>0</v>
      </c>
      <c r="J836" s="16"/>
      <c r="K836" s="3" t="s">
        <v>2982</v>
      </c>
      <c r="L836" s="3" t="s">
        <v>3060</v>
      </c>
      <c r="M836" s="3" t="s">
        <v>3058</v>
      </c>
      <c r="N836" s="3"/>
      <c r="O836" s="3"/>
    </row>
    <row r="837" spans="1:15" s="4" customFormat="1">
      <c r="A837" s="2">
        <v>836</v>
      </c>
      <c r="B837" s="3" t="s">
        <v>1902</v>
      </c>
      <c r="C837" s="3" t="s">
        <v>1903</v>
      </c>
      <c r="D837" s="2" t="s">
        <v>17</v>
      </c>
      <c r="E837" s="2" t="s">
        <v>8</v>
      </c>
      <c r="F837" s="16"/>
      <c r="G837" s="16"/>
      <c r="H837" s="16">
        <f>VLOOKUP(B:B,'[1]Master Sheet'!$B:$H,7,0)</f>
        <v>0</v>
      </c>
      <c r="I837" s="16">
        <f>VLOOKUP(B:B,'[1]Master Sheet'!$B:$I,8,0)</f>
        <v>0</v>
      </c>
      <c r="J837" s="16"/>
      <c r="K837" s="3" t="s">
        <v>2982</v>
      </c>
      <c r="L837" s="3" t="s">
        <v>3060</v>
      </c>
      <c r="M837" s="3" t="s">
        <v>3058</v>
      </c>
      <c r="N837" s="3"/>
      <c r="O837" s="3"/>
    </row>
    <row r="838" spans="1:15" s="4" customFormat="1">
      <c r="A838" s="2">
        <v>837</v>
      </c>
      <c r="B838" s="3" t="s">
        <v>1904</v>
      </c>
      <c r="C838" s="3" t="s">
        <v>1905</v>
      </c>
      <c r="D838" s="2" t="s">
        <v>17</v>
      </c>
      <c r="E838" s="2" t="s">
        <v>8</v>
      </c>
      <c r="F838" s="16"/>
      <c r="G838" s="16"/>
      <c r="H838" s="16">
        <f>VLOOKUP(B:B,'[1]Master Sheet'!$B:$H,7,0)</f>
        <v>0</v>
      </c>
      <c r="I838" s="16">
        <f>VLOOKUP(B:B,'[1]Master Sheet'!$B:$I,8,0)</f>
        <v>0</v>
      </c>
      <c r="J838" s="16"/>
      <c r="K838" s="3" t="s">
        <v>2982</v>
      </c>
      <c r="L838" s="3" t="s">
        <v>3060</v>
      </c>
      <c r="M838" s="3" t="s">
        <v>3058</v>
      </c>
      <c r="N838" s="3"/>
      <c r="O838" s="3"/>
    </row>
    <row r="839" spans="1:15" s="4" customFormat="1">
      <c r="A839" s="2">
        <v>838</v>
      </c>
      <c r="B839" s="3" t="s">
        <v>1906</v>
      </c>
      <c r="C839" s="3" t="s">
        <v>1907</v>
      </c>
      <c r="D839" s="2" t="s">
        <v>17</v>
      </c>
      <c r="E839" s="2" t="s">
        <v>8</v>
      </c>
      <c r="F839" s="16"/>
      <c r="G839" s="16"/>
      <c r="H839" s="16">
        <f>VLOOKUP(B:B,'[1]Master Sheet'!$B:$H,7,0)</f>
        <v>100</v>
      </c>
      <c r="I839" s="16">
        <f>VLOOKUP(B:B,'[1]Master Sheet'!$B:$I,8,0)</f>
        <v>0</v>
      </c>
      <c r="J839" s="16"/>
      <c r="K839" s="3" t="s">
        <v>2982</v>
      </c>
      <c r="L839" s="3" t="s">
        <v>3060</v>
      </c>
      <c r="M839" s="3" t="s">
        <v>3058</v>
      </c>
      <c r="N839" s="3"/>
      <c r="O839" s="3"/>
    </row>
    <row r="840" spans="1:15" s="4" customFormat="1">
      <c r="A840" s="2">
        <v>839</v>
      </c>
      <c r="B840" s="3" t="s">
        <v>1908</v>
      </c>
      <c r="C840" s="3" t="s">
        <v>1909</v>
      </c>
      <c r="D840" s="2" t="s">
        <v>17</v>
      </c>
      <c r="E840" s="2" t="s">
        <v>8</v>
      </c>
      <c r="F840" s="16"/>
      <c r="G840" s="16"/>
      <c r="H840" s="16">
        <f>VLOOKUP(B:B,'[1]Master Sheet'!$B:$H,7,0)</f>
        <v>100</v>
      </c>
      <c r="I840" s="16">
        <f>VLOOKUP(B:B,'[1]Master Sheet'!$B:$I,8,0)</f>
        <v>0</v>
      </c>
      <c r="J840" s="16"/>
      <c r="K840" s="3" t="s">
        <v>2982</v>
      </c>
      <c r="L840" s="3" t="s">
        <v>3060</v>
      </c>
      <c r="M840" s="3" t="s">
        <v>3058</v>
      </c>
      <c r="N840" s="3"/>
      <c r="O840" s="3"/>
    </row>
    <row r="841" spans="1:15" s="4" customFormat="1">
      <c r="A841" s="2">
        <v>840</v>
      </c>
      <c r="B841" s="3" t="s">
        <v>1910</v>
      </c>
      <c r="C841" s="3" t="s">
        <v>1911</v>
      </c>
      <c r="D841" s="2" t="s">
        <v>17</v>
      </c>
      <c r="E841" s="2" t="s">
        <v>8</v>
      </c>
      <c r="F841" s="16"/>
      <c r="G841" s="16"/>
      <c r="H841" s="16">
        <f>VLOOKUP(B:B,'[1]Master Sheet'!$B:$H,7,0)</f>
        <v>150</v>
      </c>
      <c r="I841" s="16">
        <f>VLOOKUP(B:B,'[1]Master Sheet'!$B:$I,8,0)</f>
        <v>150</v>
      </c>
      <c r="J841" s="16"/>
      <c r="K841" s="3" t="s">
        <v>2982</v>
      </c>
      <c r="L841" s="3" t="s">
        <v>3060</v>
      </c>
      <c r="M841" s="3" t="s">
        <v>3058</v>
      </c>
      <c r="N841" s="3"/>
      <c r="O841" s="3"/>
    </row>
    <row r="842" spans="1:15" s="4" customFormat="1">
      <c r="A842" s="2">
        <v>841</v>
      </c>
      <c r="B842" s="3" t="s">
        <v>1912</v>
      </c>
      <c r="C842" s="3" t="s">
        <v>1913</v>
      </c>
      <c r="D842" s="2" t="s">
        <v>17</v>
      </c>
      <c r="E842" s="2" t="s">
        <v>8</v>
      </c>
      <c r="F842" s="16"/>
      <c r="G842" s="16"/>
      <c r="H842" s="16">
        <f>VLOOKUP(B:B,'[1]Master Sheet'!$B:$H,7,0)</f>
        <v>150</v>
      </c>
      <c r="I842" s="16">
        <f>VLOOKUP(B:B,'[1]Master Sheet'!$B:$I,8,0)</f>
        <v>150</v>
      </c>
      <c r="J842" s="16"/>
      <c r="K842" s="3" t="s">
        <v>2982</v>
      </c>
      <c r="L842" s="3" t="s">
        <v>3060</v>
      </c>
      <c r="M842" s="3" t="s">
        <v>3058</v>
      </c>
      <c r="N842" s="3"/>
      <c r="O842" s="3"/>
    </row>
    <row r="843" spans="1:15" s="4" customFormat="1">
      <c r="A843" s="2">
        <v>842</v>
      </c>
      <c r="B843" s="3" t="s">
        <v>1834</v>
      </c>
      <c r="C843" s="3" t="s">
        <v>1835</v>
      </c>
      <c r="D843" s="2" t="s">
        <v>17</v>
      </c>
      <c r="E843" s="2" t="s">
        <v>8</v>
      </c>
      <c r="F843" s="16"/>
      <c r="G843" s="16"/>
      <c r="H843" s="16">
        <f>VLOOKUP(B:B,'[1]Master Sheet'!$B:$H,7,0)</f>
        <v>150</v>
      </c>
      <c r="I843" s="16">
        <f>VLOOKUP(B:B,'[1]Master Sheet'!$B:$I,8,0)</f>
        <v>0</v>
      </c>
      <c r="J843" s="16"/>
      <c r="K843" s="3" t="s">
        <v>2991</v>
      </c>
      <c r="L843" s="3" t="s">
        <v>3057</v>
      </c>
      <c r="M843" s="3" t="s">
        <v>3056</v>
      </c>
      <c r="N843" s="3"/>
      <c r="O843" s="3"/>
    </row>
    <row r="844" spans="1:15" s="4" customFormat="1">
      <c r="A844" s="2">
        <v>843</v>
      </c>
      <c r="B844" s="3" t="s">
        <v>1836</v>
      </c>
      <c r="C844" s="3" t="s">
        <v>1837</v>
      </c>
      <c r="D844" s="2" t="s">
        <v>17</v>
      </c>
      <c r="E844" s="2" t="s">
        <v>8</v>
      </c>
      <c r="F844" s="16"/>
      <c r="G844" s="16"/>
      <c r="H844" s="16">
        <f>VLOOKUP(B:B,'[1]Master Sheet'!$B:$H,7,0)</f>
        <v>150</v>
      </c>
      <c r="I844" s="16">
        <f>VLOOKUP(B:B,'[1]Master Sheet'!$B:$I,8,0)</f>
        <v>0</v>
      </c>
      <c r="J844" s="16"/>
      <c r="K844" s="3" t="s">
        <v>2991</v>
      </c>
      <c r="L844" s="3" t="s">
        <v>3057</v>
      </c>
      <c r="M844" s="3" t="s">
        <v>3056</v>
      </c>
      <c r="N844" s="3"/>
      <c r="O844" s="3"/>
    </row>
    <row r="845" spans="1:15" s="4" customFormat="1">
      <c r="A845" s="2">
        <v>844</v>
      </c>
      <c r="B845" s="3" t="s">
        <v>1838</v>
      </c>
      <c r="C845" s="3" t="s">
        <v>1839</v>
      </c>
      <c r="D845" s="2" t="s">
        <v>17</v>
      </c>
      <c r="E845" s="2" t="s">
        <v>8</v>
      </c>
      <c r="F845" s="16"/>
      <c r="G845" s="16"/>
      <c r="H845" s="16">
        <f>VLOOKUP(B:B,'[1]Master Sheet'!$B:$H,7,0)</f>
        <v>150</v>
      </c>
      <c r="I845" s="16">
        <f>VLOOKUP(B:B,'[1]Master Sheet'!$B:$I,8,0)</f>
        <v>0</v>
      </c>
      <c r="J845" s="16"/>
      <c r="K845" s="3" t="s">
        <v>2991</v>
      </c>
      <c r="L845" s="3" t="s">
        <v>3057</v>
      </c>
      <c r="M845" s="3" t="s">
        <v>3056</v>
      </c>
      <c r="N845" s="3"/>
      <c r="O845" s="3"/>
    </row>
    <row r="846" spans="1:15" s="4" customFormat="1">
      <c r="A846" s="2">
        <v>845</v>
      </c>
      <c r="B846" s="3" t="s">
        <v>1840</v>
      </c>
      <c r="C846" s="3" t="s">
        <v>1841</v>
      </c>
      <c r="D846" s="2" t="s">
        <v>17</v>
      </c>
      <c r="E846" s="2" t="s">
        <v>8</v>
      </c>
      <c r="F846" s="16"/>
      <c r="G846" s="16"/>
      <c r="H846" s="16">
        <f>VLOOKUP(B:B,'[1]Master Sheet'!$B:$H,7,0)</f>
        <v>150</v>
      </c>
      <c r="I846" s="16">
        <f>VLOOKUP(B:B,'[1]Master Sheet'!$B:$I,8,0)</f>
        <v>0</v>
      </c>
      <c r="J846" s="16"/>
      <c r="K846" s="3" t="s">
        <v>2991</v>
      </c>
      <c r="L846" s="3" t="s">
        <v>3057</v>
      </c>
      <c r="M846" s="3" t="s">
        <v>3056</v>
      </c>
      <c r="N846" s="3"/>
      <c r="O846" s="3"/>
    </row>
    <row r="847" spans="1:15" s="4" customFormat="1">
      <c r="A847" s="2">
        <v>846</v>
      </c>
      <c r="B847" s="3" t="s">
        <v>1842</v>
      </c>
      <c r="C847" s="3" t="s">
        <v>1843</v>
      </c>
      <c r="D847" s="2" t="s">
        <v>17</v>
      </c>
      <c r="E847" s="2" t="s">
        <v>8</v>
      </c>
      <c r="F847" s="16"/>
      <c r="G847" s="16"/>
      <c r="H847" s="16">
        <f>VLOOKUP(B:B,'[1]Master Sheet'!$B:$H,7,0)</f>
        <v>150</v>
      </c>
      <c r="I847" s="16">
        <f>VLOOKUP(B:B,'[1]Master Sheet'!$B:$I,8,0)</f>
        <v>0</v>
      </c>
      <c r="J847" s="16"/>
      <c r="K847" s="3" t="s">
        <v>2991</v>
      </c>
      <c r="L847" s="3" t="s">
        <v>3057</v>
      </c>
      <c r="M847" s="3" t="s">
        <v>3056</v>
      </c>
      <c r="N847" s="3"/>
      <c r="O847" s="3"/>
    </row>
    <row r="848" spans="1:15" s="4" customFormat="1">
      <c r="A848" s="2">
        <v>847</v>
      </c>
      <c r="B848" s="3" t="s">
        <v>1844</v>
      </c>
      <c r="C848" s="3" t="s">
        <v>1845</v>
      </c>
      <c r="D848" s="2" t="s">
        <v>20</v>
      </c>
      <c r="E848" s="2" t="s">
        <v>8</v>
      </c>
      <c r="F848" s="16"/>
      <c r="G848" s="16"/>
      <c r="H848" s="16">
        <f>VLOOKUP(B:B,'[1]Master Sheet'!$B:$H,7,0)</f>
        <v>100</v>
      </c>
      <c r="I848" s="16">
        <f>VLOOKUP(B:B,'[1]Master Sheet'!$B:$I,8,0)</f>
        <v>100</v>
      </c>
      <c r="J848" s="16"/>
      <c r="K848" s="3" t="s">
        <v>3031</v>
      </c>
      <c r="L848" s="3" t="s">
        <v>3057</v>
      </c>
      <c r="M848" s="3" t="s">
        <v>3056</v>
      </c>
      <c r="N848" s="3"/>
      <c r="O848" s="3"/>
    </row>
    <row r="849" spans="1:15" s="4" customFormat="1">
      <c r="A849" s="2">
        <v>848</v>
      </c>
      <c r="B849" s="3" t="s">
        <v>1848</v>
      </c>
      <c r="C849" s="3" t="s">
        <v>1849</v>
      </c>
      <c r="D849" s="2" t="s">
        <v>20</v>
      </c>
      <c r="E849" s="2" t="s">
        <v>8</v>
      </c>
      <c r="F849" s="16"/>
      <c r="G849" s="16"/>
      <c r="H849" s="16">
        <f>VLOOKUP(B:B,'[1]Master Sheet'!$B:$H,7,0)</f>
        <v>20</v>
      </c>
      <c r="I849" s="16">
        <f>VLOOKUP(B:B,'[1]Master Sheet'!$B:$I,8,0)</f>
        <v>100</v>
      </c>
      <c r="J849" s="16"/>
      <c r="K849" s="3" t="s">
        <v>3031</v>
      </c>
      <c r="L849" s="3" t="s">
        <v>3057</v>
      </c>
      <c r="M849" s="3" t="s">
        <v>3056</v>
      </c>
      <c r="N849" s="3"/>
      <c r="O849" s="3"/>
    </row>
    <row r="850" spans="1:15" s="4" customFormat="1">
      <c r="A850" s="2">
        <v>849</v>
      </c>
      <c r="B850" s="3" t="s">
        <v>1928</v>
      </c>
      <c r="C850" s="3" t="s">
        <v>1929</v>
      </c>
      <c r="D850" s="2" t="s">
        <v>17</v>
      </c>
      <c r="E850" s="2" t="s">
        <v>8</v>
      </c>
      <c r="F850" s="16"/>
      <c r="G850" s="16"/>
      <c r="H850" s="16">
        <f>VLOOKUP(B:B,'[1]Master Sheet'!$B:$H,7,0)</f>
        <v>0</v>
      </c>
      <c r="I850" s="16">
        <f>VLOOKUP(B:B,'[1]Master Sheet'!$B:$I,8,0)</f>
        <v>0</v>
      </c>
      <c r="J850" s="16"/>
      <c r="K850" s="3" t="s">
        <v>2972</v>
      </c>
      <c r="L850" s="3" t="s">
        <v>3060</v>
      </c>
      <c r="M850" s="3" t="s">
        <v>3058</v>
      </c>
      <c r="N850" s="3"/>
      <c r="O850" s="3"/>
    </row>
    <row r="851" spans="1:15" s="4" customFormat="1">
      <c r="A851" s="2">
        <v>850</v>
      </c>
      <c r="B851" s="3" t="s">
        <v>1930</v>
      </c>
      <c r="C851" s="3" t="s">
        <v>1931</v>
      </c>
      <c r="D851" s="2" t="s">
        <v>17</v>
      </c>
      <c r="E851" s="2" t="s">
        <v>8</v>
      </c>
      <c r="F851" s="16"/>
      <c r="G851" s="16"/>
      <c r="H851" s="16">
        <f>VLOOKUP(B:B,'[1]Master Sheet'!$B:$H,7,0)</f>
        <v>0</v>
      </c>
      <c r="I851" s="16">
        <f>VLOOKUP(B:B,'[1]Master Sheet'!$B:$I,8,0)</f>
        <v>0</v>
      </c>
      <c r="J851" s="16"/>
      <c r="K851" s="3" t="s">
        <v>3052</v>
      </c>
      <c r="L851" s="3" t="s">
        <v>3062</v>
      </c>
      <c r="M851" s="3" t="s">
        <v>3056</v>
      </c>
      <c r="N851" s="3"/>
      <c r="O851" s="3"/>
    </row>
    <row r="852" spans="1:15" s="4" customFormat="1">
      <c r="A852" s="2">
        <v>851</v>
      </c>
      <c r="B852" s="3" t="s">
        <v>1932</v>
      </c>
      <c r="C852" s="3" t="s">
        <v>1933</v>
      </c>
      <c r="D852" s="2" t="s">
        <v>17</v>
      </c>
      <c r="E852" s="2" t="s">
        <v>8</v>
      </c>
      <c r="F852" s="16"/>
      <c r="G852" s="16"/>
      <c r="H852" s="16">
        <f>VLOOKUP(B:B,'[1]Master Sheet'!$B:$H,7,0)</f>
        <v>0</v>
      </c>
      <c r="I852" s="16">
        <f>VLOOKUP(B:B,'[1]Master Sheet'!$B:$I,8,0)</f>
        <v>0</v>
      </c>
      <c r="J852" s="16"/>
      <c r="K852" s="3" t="s">
        <v>3052</v>
      </c>
      <c r="L852" s="3" t="s">
        <v>3062</v>
      </c>
      <c r="M852" s="3" t="s">
        <v>3056</v>
      </c>
      <c r="N852" s="3"/>
      <c r="O852" s="3"/>
    </row>
    <row r="853" spans="1:15" s="4" customFormat="1">
      <c r="A853" s="2">
        <v>852</v>
      </c>
      <c r="B853" s="3" t="s">
        <v>1934</v>
      </c>
      <c r="C853" s="3" t="s">
        <v>1935</v>
      </c>
      <c r="D853" s="2" t="s">
        <v>17</v>
      </c>
      <c r="E853" s="2" t="s">
        <v>8</v>
      </c>
      <c r="F853" s="16"/>
      <c r="G853" s="16"/>
      <c r="H853" s="16">
        <f>VLOOKUP(B:B,'[1]Master Sheet'!$B:$H,7,0)</f>
        <v>0</v>
      </c>
      <c r="I853" s="16">
        <f>VLOOKUP(B:B,'[1]Master Sheet'!$B:$I,8,0)</f>
        <v>0</v>
      </c>
      <c r="J853" s="16"/>
      <c r="K853" s="3" t="s">
        <v>3052</v>
      </c>
      <c r="L853" s="3" t="s">
        <v>3062</v>
      </c>
      <c r="M853" s="3" t="s">
        <v>3056</v>
      </c>
      <c r="N853" s="3"/>
      <c r="O853" s="3"/>
    </row>
    <row r="854" spans="1:15" s="4" customFormat="1">
      <c r="A854" s="2">
        <v>853</v>
      </c>
      <c r="B854" s="3" t="s">
        <v>1936</v>
      </c>
      <c r="C854" s="3" t="s">
        <v>1937</v>
      </c>
      <c r="D854" s="2" t="s">
        <v>17</v>
      </c>
      <c r="E854" s="2" t="s">
        <v>8</v>
      </c>
      <c r="F854" s="16"/>
      <c r="G854" s="16"/>
      <c r="H854" s="16">
        <f>VLOOKUP(B:B,'[1]Master Sheet'!$B:$H,7,0)</f>
        <v>5</v>
      </c>
      <c r="I854" s="16">
        <f>VLOOKUP(B:B,'[1]Master Sheet'!$B:$I,8,0)</f>
        <v>0</v>
      </c>
      <c r="J854" s="16"/>
      <c r="K854" s="3" t="s">
        <v>3052</v>
      </c>
      <c r="L854" s="3" t="s">
        <v>3062</v>
      </c>
      <c r="M854" s="3" t="s">
        <v>3056</v>
      </c>
      <c r="N854" s="3"/>
      <c r="O854" s="3"/>
    </row>
    <row r="855" spans="1:15" s="4" customFormat="1">
      <c r="A855" s="2">
        <v>854</v>
      </c>
      <c r="B855" s="3" t="s">
        <v>1938</v>
      </c>
      <c r="C855" s="3" t="s">
        <v>1939</v>
      </c>
      <c r="D855" s="2" t="s">
        <v>17</v>
      </c>
      <c r="E855" s="2" t="s">
        <v>8</v>
      </c>
      <c r="F855" s="16"/>
      <c r="G855" s="16"/>
      <c r="H855" s="16">
        <f>VLOOKUP(B:B,'[1]Master Sheet'!$B:$H,7,0)</f>
        <v>1</v>
      </c>
      <c r="I855" s="16">
        <f>VLOOKUP(B:B,'[1]Master Sheet'!$B:$I,8,0)</f>
        <v>0</v>
      </c>
      <c r="J855" s="16"/>
      <c r="K855" s="3" t="s">
        <v>3052</v>
      </c>
      <c r="L855" s="3" t="s">
        <v>3062</v>
      </c>
      <c r="M855" s="3" t="s">
        <v>3056</v>
      </c>
      <c r="N855" s="3"/>
      <c r="O855" s="3"/>
    </row>
    <row r="856" spans="1:15" s="4" customFormat="1">
      <c r="A856" s="2">
        <v>855</v>
      </c>
      <c r="B856" s="3" t="s">
        <v>1940</v>
      </c>
      <c r="C856" s="3" t="s">
        <v>1941</v>
      </c>
      <c r="D856" s="2" t="s">
        <v>17</v>
      </c>
      <c r="E856" s="2" t="s">
        <v>8</v>
      </c>
      <c r="F856" s="16"/>
      <c r="G856" s="16"/>
      <c r="H856" s="16">
        <f>VLOOKUP(B:B,'[1]Master Sheet'!$B:$H,7,0)</f>
        <v>0</v>
      </c>
      <c r="I856" s="16">
        <f>VLOOKUP(B:B,'[1]Master Sheet'!$B:$I,8,0)</f>
        <v>5</v>
      </c>
      <c r="J856" s="16"/>
      <c r="K856" s="3" t="s">
        <v>3052</v>
      </c>
      <c r="L856" s="3" t="s">
        <v>3062</v>
      </c>
      <c r="M856" s="3" t="s">
        <v>3056</v>
      </c>
      <c r="N856" s="3"/>
      <c r="O856" s="3"/>
    </row>
    <row r="857" spans="1:15" s="4" customFormat="1">
      <c r="A857" s="2">
        <v>856</v>
      </c>
      <c r="B857" s="3" t="s">
        <v>1942</v>
      </c>
      <c r="C857" s="3" t="s">
        <v>1943</v>
      </c>
      <c r="D857" s="2" t="s">
        <v>17</v>
      </c>
      <c r="E857" s="2" t="s">
        <v>8</v>
      </c>
      <c r="F857" s="16"/>
      <c r="G857" s="16"/>
      <c r="H857" s="16">
        <f>VLOOKUP(B:B,'[1]Master Sheet'!$B:$H,7,0)</f>
        <v>0</v>
      </c>
      <c r="I857" s="16">
        <f>VLOOKUP(B:B,'[1]Master Sheet'!$B:$I,8,0)</f>
        <v>0</v>
      </c>
      <c r="J857" s="16"/>
      <c r="K857" s="3" t="s">
        <v>3052</v>
      </c>
      <c r="L857" s="3" t="s">
        <v>3062</v>
      </c>
      <c r="M857" s="3" t="s">
        <v>3056</v>
      </c>
      <c r="N857" s="3"/>
      <c r="O857" s="3"/>
    </row>
    <row r="858" spans="1:15" s="4" customFormat="1">
      <c r="A858" s="2">
        <v>857</v>
      </c>
      <c r="B858" s="3" t="s">
        <v>1944</v>
      </c>
      <c r="C858" s="3" t="s">
        <v>1945</v>
      </c>
      <c r="D858" s="2" t="s">
        <v>116</v>
      </c>
      <c r="E858" s="2" t="s">
        <v>8</v>
      </c>
      <c r="F858" s="16"/>
      <c r="G858" s="16"/>
      <c r="H858" s="16">
        <f>VLOOKUP(B:B,'[1]Master Sheet'!$B:$H,7,0)</f>
        <v>1</v>
      </c>
      <c r="I858" s="16">
        <f>VLOOKUP(B:B,'[1]Master Sheet'!$B:$I,8,0)</f>
        <v>0</v>
      </c>
      <c r="J858" s="16"/>
      <c r="K858" s="3" t="s">
        <v>3052</v>
      </c>
      <c r="L858" s="3" t="s">
        <v>3062</v>
      </c>
      <c r="M858" s="3" t="s">
        <v>3056</v>
      </c>
      <c r="N858" s="3"/>
      <c r="O858" s="3"/>
    </row>
    <row r="859" spans="1:15" s="4" customFormat="1">
      <c r="A859" s="2">
        <v>858</v>
      </c>
      <c r="B859" s="3" t="s">
        <v>1946</v>
      </c>
      <c r="C859" s="3" t="s">
        <v>1947</v>
      </c>
      <c r="D859" s="2" t="s">
        <v>17</v>
      </c>
      <c r="E859" s="2" t="s">
        <v>8</v>
      </c>
      <c r="F859" s="16"/>
      <c r="G859" s="16"/>
      <c r="H859" s="16">
        <f>VLOOKUP(B:B,'[1]Master Sheet'!$B:$H,7,0)</f>
        <v>1</v>
      </c>
      <c r="I859" s="16">
        <f>VLOOKUP(B:B,'[1]Master Sheet'!$B:$I,8,0)</f>
        <v>0</v>
      </c>
      <c r="J859" s="16"/>
      <c r="K859" s="3" t="s">
        <v>3052</v>
      </c>
      <c r="L859" s="3" t="s">
        <v>3062</v>
      </c>
      <c r="M859" s="3" t="s">
        <v>3056</v>
      </c>
      <c r="N859" s="3"/>
      <c r="O859" s="3"/>
    </row>
    <row r="860" spans="1:15" s="4" customFormat="1">
      <c r="A860" s="2">
        <v>859</v>
      </c>
      <c r="B860" s="3" t="s">
        <v>1948</v>
      </c>
      <c r="C860" s="3" t="s">
        <v>1949</v>
      </c>
      <c r="D860" s="2" t="s">
        <v>17</v>
      </c>
      <c r="E860" s="2" t="s">
        <v>8</v>
      </c>
      <c r="F860" s="16"/>
      <c r="G860" s="16"/>
      <c r="H860" s="16">
        <f>VLOOKUP(B:B,'[1]Master Sheet'!$B:$H,7,0)</f>
        <v>5</v>
      </c>
      <c r="I860" s="16">
        <f>VLOOKUP(B:B,'[1]Master Sheet'!$B:$I,8,0)</f>
        <v>0</v>
      </c>
      <c r="J860" s="16"/>
      <c r="K860" s="3" t="s">
        <v>3052</v>
      </c>
      <c r="L860" s="3" t="s">
        <v>3062</v>
      </c>
      <c r="M860" s="3" t="s">
        <v>3056</v>
      </c>
      <c r="N860" s="3"/>
      <c r="O860" s="3"/>
    </row>
    <row r="861" spans="1:15" s="4" customFormat="1">
      <c r="A861" s="2">
        <v>860</v>
      </c>
      <c r="B861" s="3" t="s">
        <v>1950</v>
      </c>
      <c r="C861" s="3" t="s">
        <v>1951</v>
      </c>
      <c r="D861" s="2" t="s">
        <v>17</v>
      </c>
      <c r="E861" s="2" t="s">
        <v>8</v>
      </c>
      <c r="F861" s="16"/>
      <c r="G861" s="16"/>
      <c r="H861" s="16">
        <f>VLOOKUP(B:B,'[1]Master Sheet'!$B:$H,7,0)</f>
        <v>10</v>
      </c>
      <c r="I861" s="16">
        <f>VLOOKUP(B:B,'[1]Master Sheet'!$B:$I,8,0)</f>
        <v>0</v>
      </c>
      <c r="J861" s="16"/>
      <c r="K861" s="3" t="s">
        <v>3052</v>
      </c>
      <c r="L861" s="3" t="s">
        <v>3062</v>
      </c>
      <c r="M861" s="3" t="s">
        <v>3056</v>
      </c>
      <c r="N861" s="3"/>
      <c r="O861" s="3"/>
    </row>
    <row r="862" spans="1:15" s="4" customFormat="1">
      <c r="A862" s="2">
        <v>861</v>
      </c>
      <c r="B862" s="3" t="s">
        <v>1952</v>
      </c>
      <c r="C862" s="3" t="s">
        <v>1953</v>
      </c>
      <c r="D862" s="2" t="s">
        <v>17</v>
      </c>
      <c r="E862" s="2" t="s">
        <v>8</v>
      </c>
      <c r="F862" s="16"/>
      <c r="G862" s="16"/>
      <c r="H862" s="16">
        <f>VLOOKUP(B:B,'[1]Master Sheet'!$B:$H,7,0)</f>
        <v>1</v>
      </c>
      <c r="I862" s="16">
        <f>VLOOKUP(B:B,'[1]Master Sheet'!$B:$I,8,0)</f>
        <v>0</v>
      </c>
      <c r="J862" s="16"/>
      <c r="K862" s="3" t="s">
        <v>3052</v>
      </c>
      <c r="L862" s="3" t="s">
        <v>3062</v>
      </c>
      <c r="M862" s="3" t="s">
        <v>3056</v>
      </c>
      <c r="N862" s="3"/>
      <c r="O862" s="3"/>
    </row>
    <row r="863" spans="1:15" s="4" customFormat="1">
      <c r="A863" s="2">
        <v>862</v>
      </c>
      <c r="B863" s="3" t="s">
        <v>1954</v>
      </c>
      <c r="C863" s="3" t="s">
        <v>1955</v>
      </c>
      <c r="D863" s="2" t="s">
        <v>17</v>
      </c>
      <c r="E863" s="2" t="s">
        <v>8</v>
      </c>
      <c r="F863" s="16"/>
      <c r="G863" s="16"/>
      <c r="H863" s="16">
        <f>VLOOKUP(B:B,'[1]Master Sheet'!$B:$H,7,0)</f>
        <v>5</v>
      </c>
      <c r="I863" s="16">
        <f>VLOOKUP(B:B,'[1]Master Sheet'!$B:$I,8,0)</f>
        <v>0</v>
      </c>
      <c r="J863" s="16"/>
      <c r="K863" s="3" t="s">
        <v>3052</v>
      </c>
      <c r="L863" s="3" t="s">
        <v>3062</v>
      </c>
      <c r="M863" s="3" t="s">
        <v>3056</v>
      </c>
      <c r="N863" s="3"/>
      <c r="O863" s="3"/>
    </row>
    <row r="864" spans="1:15" s="4" customFormat="1">
      <c r="A864" s="2">
        <v>863</v>
      </c>
      <c r="B864" s="3" t="s">
        <v>1852</v>
      </c>
      <c r="C864" s="3" t="s">
        <v>1853</v>
      </c>
      <c r="D864" s="2" t="s">
        <v>20</v>
      </c>
      <c r="E864" s="2" t="s">
        <v>8</v>
      </c>
      <c r="F864" s="16"/>
      <c r="G864" s="16"/>
      <c r="H864" s="16">
        <f>VLOOKUP(B:B,'[1]Master Sheet'!$B:$H,7,0)</f>
        <v>350</v>
      </c>
      <c r="I864" s="16">
        <f>VLOOKUP(B:B,'[1]Master Sheet'!$B:$I,8,0)</f>
        <v>0</v>
      </c>
      <c r="J864" s="16"/>
      <c r="K864" s="3" t="s">
        <v>3031</v>
      </c>
      <c r="L864" s="3" t="s">
        <v>3057</v>
      </c>
      <c r="M864" s="3" t="s">
        <v>3056</v>
      </c>
      <c r="N864" s="3"/>
      <c r="O864" s="3"/>
    </row>
    <row r="865" spans="1:15" s="4" customFormat="1">
      <c r="A865" s="2">
        <v>864</v>
      </c>
      <c r="B865" s="3" t="s">
        <v>1958</v>
      </c>
      <c r="C865" s="3" t="s">
        <v>1959</v>
      </c>
      <c r="D865" s="2" t="s">
        <v>17</v>
      </c>
      <c r="E865" s="2" t="s">
        <v>8</v>
      </c>
      <c r="F865" s="16"/>
      <c r="G865" s="16"/>
      <c r="H865" s="16">
        <f>VLOOKUP(B:B,'[1]Master Sheet'!$B:$H,7,0)</f>
        <v>5</v>
      </c>
      <c r="I865" s="16">
        <f>VLOOKUP(B:B,'[1]Master Sheet'!$B:$I,8,0)</f>
        <v>0</v>
      </c>
      <c r="J865" s="16"/>
      <c r="K865" s="3" t="s">
        <v>3052</v>
      </c>
      <c r="L865" s="3" t="s">
        <v>3062</v>
      </c>
      <c r="M865" s="3" t="s">
        <v>3056</v>
      </c>
      <c r="N865" s="3"/>
      <c r="O865" s="3"/>
    </row>
    <row r="866" spans="1:15" s="4" customFormat="1">
      <c r="A866" s="2">
        <v>865</v>
      </c>
      <c r="B866" s="3" t="s">
        <v>1960</v>
      </c>
      <c r="C866" s="3" t="s">
        <v>1961</v>
      </c>
      <c r="D866" s="2" t="s">
        <v>17</v>
      </c>
      <c r="E866" s="2" t="s">
        <v>8</v>
      </c>
      <c r="F866" s="16"/>
      <c r="G866" s="16"/>
      <c r="H866" s="16">
        <f>VLOOKUP(B:B,'[1]Master Sheet'!$B:$H,7,0)</f>
        <v>0</v>
      </c>
      <c r="I866" s="16">
        <f>VLOOKUP(B:B,'[1]Master Sheet'!$B:$I,8,0)</f>
        <v>0</v>
      </c>
      <c r="J866" s="16"/>
      <c r="K866" s="3" t="s">
        <v>3052</v>
      </c>
      <c r="L866" s="3" t="s">
        <v>3062</v>
      </c>
      <c r="M866" s="3" t="s">
        <v>3056</v>
      </c>
      <c r="N866" s="3"/>
      <c r="O866" s="3"/>
    </row>
    <row r="867" spans="1:15" s="4" customFormat="1">
      <c r="A867" s="2">
        <v>866</v>
      </c>
      <c r="B867" s="3" t="s">
        <v>1962</v>
      </c>
      <c r="C867" s="3" t="s">
        <v>1963</v>
      </c>
      <c r="D867" s="2" t="s">
        <v>17</v>
      </c>
      <c r="E867" s="2" t="s">
        <v>8</v>
      </c>
      <c r="F867" s="16"/>
      <c r="G867" s="16"/>
      <c r="H867" s="16">
        <f>VLOOKUP(B:B,'[1]Master Sheet'!$B:$H,7,0)</f>
        <v>5</v>
      </c>
      <c r="I867" s="16">
        <f>VLOOKUP(B:B,'[1]Master Sheet'!$B:$I,8,0)</f>
        <v>10</v>
      </c>
      <c r="J867" s="16"/>
      <c r="K867" s="3" t="s">
        <v>3052</v>
      </c>
      <c r="L867" s="3" t="s">
        <v>3062</v>
      </c>
      <c r="M867" s="3" t="s">
        <v>3056</v>
      </c>
      <c r="N867" s="3"/>
      <c r="O867" s="3"/>
    </row>
    <row r="868" spans="1:15" s="4" customFormat="1">
      <c r="A868" s="2">
        <v>867</v>
      </c>
      <c r="B868" s="3" t="s">
        <v>1964</v>
      </c>
      <c r="C868" s="3" t="s">
        <v>1965</v>
      </c>
      <c r="D868" s="2" t="s">
        <v>17</v>
      </c>
      <c r="E868" s="2" t="s">
        <v>8</v>
      </c>
      <c r="F868" s="16"/>
      <c r="G868" s="16"/>
      <c r="H868" s="16">
        <f>VLOOKUP(B:B,'[1]Master Sheet'!$B:$H,7,0)</f>
        <v>5</v>
      </c>
      <c r="I868" s="16">
        <f>VLOOKUP(B:B,'[1]Master Sheet'!$B:$I,8,0)</f>
        <v>0</v>
      </c>
      <c r="J868" s="16"/>
      <c r="K868" s="3" t="s">
        <v>3052</v>
      </c>
      <c r="L868" s="3" t="s">
        <v>3062</v>
      </c>
      <c r="M868" s="3" t="s">
        <v>3056</v>
      </c>
      <c r="N868" s="3"/>
      <c r="O868" s="3"/>
    </row>
    <row r="869" spans="1:15" s="4" customFormat="1">
      <c r="A869" s="2">
        <v>868</v>
      </c>
      <c r="B869" s="3" t="s">
        <v>1966</v>
      </c>
      <c r="C869" s="3" t="s">
        <v>1967</v>
      </c>
      <c r="D869" s="2" t="s">
        <v>17</v>
      </c>
      <c r="E869" s="2" t="s">
        <v>8</v>
      </c>
      <c r="F869" s="16"/>
      <c r="G869" s="16"/>
      <c r="H869" s="16">
        <f>VLOOKUP(B:B,'[1]Master Sheet'!$B:$H,7,0)</f>
        <v>5</v>
      </c>
      <c r="I869" s="16">
        <f>VLOOKUP(B:B,'[1]Master Sheet'!$B:$I,8,0)</f>
        <v>0</v>
      </c>
      <c r="J869" s="16"/>
      <c r="K869" s="3" t="s">
        <v>3052</v>
      </c>
      <c r="L869" s="3" t="s">
        <v>3062</v>
      </c>
      <c r="M869" s="3" t="s">
        <v>3056</v>
      </c>
      <c r="N869" s="3"/>
      <c r="O869" s="3"/>
    </row>
    <row r="870" spans="1:15" s="4" customFormat="1">
      <c r="A870" s="2">
        <v>869</v>
      </c>
      <c r="B870" s="3" t="s">
        <v>1968</v>
      </c>
      <c r="C870" s="3" t="s">
        <v>1969</v>
      </c>
      <c r="D870" s="2" t="s">
        <v>17</v>
      </c>
      <c r="E870" s="2" t="s">
        <v>8</v>
      </c>
      <c r="F870" s="16"/>
      <c r="G870" s="16"/>
      <c r="H870" s="16">
        <f>VLOOKUP(B:B,'[1]Master Sheet'!$B:$H,7,0)</f>
        <v>5</v>
      </c>
      <c r="I870" s="16">
        <f>VLOOKUP(B:B,'[1]Master Sheet'!$B:$I,8,0)</f>
        <v>0</v>
      </c>
      <c r="J870" s="16"/>
      <c r="K870" s="3" t="s">
        <v>3052</v>
      </c>
      <c r="L870" s="3" t="s">
        <v>3062</v>
      </c>
      <c r="M870" s="3" t="s">
        <v>3056</v>
      </c>
      <c r="N870" s="3"/>
      <c r="O870" s="3"/>
    </row>
    <row r="871" spans="1:15" s="4" customFormat="1">
      <c r="A871" s="2">
        <v>870</v>
      </c>
      <c r="B871" s="3" t="s">
        <v>1970</v>
      </c>
      <c r="C871" s="3" t="s">
        <v>1971</v>
      </c>
      <c r="D871" s="2" t="s">
        <v>17</v>
      </c>
      <c r="E871" s="2" t="s">
        <v>8</v>
      </c>
      <c r="F871" s="16"/>
      <c r="G871" s="16"/>
      <c r="H871" s="16">
        <f>VLOOKUP(B:B,'[1]Master Sheet'!$B:$H,7,0)</f>
        <v>2</v>
      </c>
      <c r="I871" s="16">
        <f>VLOOKUP(B:B,'[1]Master Sheet'!$B:$I,8,0)</f>
        <v>10</v>
      </c>
      <c r="J871" s="16"/>
      <c r="K871" s="3" t="s">
        <v>3052</v>
      </c>
      <c r="L871" s="3" t="s">
        <v>3062</v>
      </c>
      <c r="M871" s="3" t="s">
        <v>3056</v>
      </c>
      <c r="N871" s="3"/>
      <c r="O871" s="3"/>
    </row>
    <row r="872" spans="1:15" s="4" customFormat="1">
      <c r="A872" s="2">
        <v>871</v>
      </c>
      <c r="B872" s="3" t="s">
        <v>1856</v>
      </c>
      <c r="C872" s="3" t="s">
        <v>1857</v>
      </c>
      <c r="D872" s="2" t="s">
        <v>20</v>
      </c>
      <c r="E872" s="2" t="s">
        <v>8</v>
      </c>
      <c r="F872" s="16"/>
      <c r="G872" s="16"/>
      <c r="H872" s="16">
        <f>VLOOKUP(B:B,'[1]Master Sheet'!$B:$H,7,0)</f>
        <v>0</v>
      </c>
      <c r="I872" s="16">
        <f>VLOOKUP(B:B,'[1]Master Sheet'!$B:$I,8,0)</f>
        <v>0</v>
      </c>
      <c r="J872" s="16"/>
      <c r="K872" s="3" t="s">
        <v>3031</v>
      </c>
      <c r="L872" s="3" t="s">
        <v>3057</v>
      </c>
      <c r="M872" s="3" t="s">
        <v>3056</v>
      </c>
      <c r="N872" s="3"/>
      <c r="O872" s="3"/>
    </row>
    <row r="873" spans="1:15" s="4" customFormat="1">
      <c r="A873" s="2">
        <v>872</v>
      </c>
      <c r="B873" s="3" t="s">
        <v>1974</v>
      </c>
      <c r="C873" s="3" t="s">
        <v>1975</v>
      </c>
      <c r="D873" s="2" t="s">
        <v>7</v>
      </c>
      <c r="E873" s="2" t="s">
        <v>8</v>
      </c>
      <c r="F873" s="16"/>
      <c r="G873" s="16"/>
      <c r="H873" s="16">
        <f>VLOOKUP(B:B,'[1]Master Sheet'!$B:$H,7,0)</f>
        <v>0</v>
      </c>
      <c r="I873" s="16">
        <f>VLOOKUP(B:B,'[1]Master Sheet'!$B:$I,8,0)</f>
        <v>0</v>
      </c>
      <c r="J873" s="16"/>
      <c r="K873" s="3" t="s">
        <v>2965</v>
      </c>
      <c r="L873" s="3" t="s">
        <v>3055</v>
      </c>
      <c r="M873" s="3" t="s">
        <v>3056</v>
      </c>
      <c r="N873" s="3"/>
      <c r="O873" s="3"/>
    </row>
    <row r="874" spans="1:15" s="4" customFormat="1">
      <c r="A874" s="2">
        <v>873</v>
      </c>
      <c r="B874" s="3" t="s">
        <v>1976</v>
      </c>
      <c r="C874" s="3" t="s">
        <v>1977</v>
      </c>
      <c r="D874" s="2" t="s">
        <v>7</v>
      </c>
      <c r="E874" s="2" t="s">
        <v>8</v>
      </c>
      <c r="F874" s="16"/>
      <c r="G874" s="16"/>
      <c r="H874" s="16">
        <f>VLOOKUP(B:B,'[1]Master Sheet'!$B:$H,7,0)</f>
        <v>0</v>
      </c>
      <c r="I874" s="16">
        <f>VLOOKUP(B:B,'[1]Master Sheet'!$B:$I,8,0)</f>
        <v>0</v>
      </c>
      <c r="J874" s="16"/>
      <c r="K874" s="3" t="s">
        <v>2965</v>
      </c>
      <c r="L874" s="3" t="s">
        <v>3055</v>
      </c>
      <c r="M874" s="3" t="s">
        <v>3056</v>
      </c>
      <c r="N874" s="3"/>
      <c r="O874" s="3"/>
    </row>
    <row r="875" spans="1:15" s="4" customFormat="1">
      <c r="A875" s="2">
        <v>874</v>
      </c>
      <c r="B875" s="3" t="s">
        <v>1978</v>
      </c>
      <c r="C875" s="3" t="s">
        <v>1979</v>
      </c>
      <c r="D875" s="2" t="s">
        <v>7</v>
      </c>
      <c r="E875" s="2" t="s">
        <v>8</v>
      </c>
      <c r="F875" s="16"/>
      <c r="G875" s="16"/>
      <c r="H875" s="16">
        <f>VLOOKUP(B:B,'[1]Master Sheet'!$B:$H,7,0)</f>
        <v>0</v>
      </c>
      <c r="I875" s="16">
        <f>VLOOKUP(B:B,'[1]Master Sheet'!$B:$I,8,0)</f>
        <v>0</v>
      </c>
      <c r="J875" s="16"/>
      <c r="K875" s="3" t="s">
        <v>2965</v>
      </c>
      <c r="L875" s="3" t="s">
        <v>3055</v>
      </c>
      <c r="M875" s="3" t="s">
        <v>3056</v>
      </c>
      <c r="N875" s="3"/>
      <c r="O875" s="3"/>
    </row>
    <row r="876" spans="1:15" s="4" customFormat="1">
      <c r="A876" s="2">
        <v>875</v>
      </c>
      <c r="B876" s="3" t="s">
        <v>1980</v>
      </c>
      <c r="C876" s="3" t="s">
        <v>1981</v>
      </c>
      <c r="D876" s="2" t="s">
        <v>7</v>
      </c>
      <c r="E876" s="2" t="s">
        <v>8</v>
      </c>
      <c r="F876" s="16"/>
      <c r="G876" s="16"/>
      <c r="H876" s="16">
        <f>VLOOKUP(B:B,'[1]Master Sheet'!$B:$H,7,0)</f>
        <v>100</v>
      </c>
      <c r="I876" s="16">
        <f>VLOOKUP(B:B,'[1]Master Sheet'!$B:$I,8,0)</f>
        <v>200</v>
      </c>
      <c r="J876" s="16"/>
      <c r="K876" s="3" t="s">
        <v>2965</v>
      </c>
      <c r="L876" s="3" t="s">
        <v>3055</v>
      </c>
      <c r="M876" s="3" t="s">
        <v>3056</v>
      </c>
      <c r="N876" s="3"/>
      <c r="O876" s="3"/>
    </row>
    <row r="877" spans="1:15" s="4" customFormat="1">
      <c r="A877" s="2">
        <v>876</v>
      </c>
      <c r="B877" s="3" t="s">
        <v>1982</v>
      </c>
      <c r="C877" s="3" t="s">
        <v>1983</v>
      </c>
      <c r="D877" s="2" t="s">
        <v>7</v>
      </c>
      <c r="E877" s="2" t="s">
        <v>8</v>
      </c>
      <c r="F877" s="16"/>
      <c r="G877" s="16"/>
      <c r="H877" s="16">
        <f>VLOOKUP(B:B,'[1]Master Sheet'!$B:$H,7,0)</f>
        <v>100</v>
      </c>
      <c r="I877" s="16">
        <f>VLOOKUP(B:B,'[1]Master Sheet'!$B:$I,8,0)</f>
        <v>0</v>
      </c>
      <c r="J877" s="16"/>
      <c r="K877" s="3" t="s">
        <v>2965</v>
      </c>
      <c r="L877" s="3" t="s">
        <v>3055</v>
      </c>
      <c r="M877" s="3" t="s">
        <v>3056</v>
      </c>
      <c r="N877" s="3"/>
      <c r="O877" s="3"/>
    </row>
    <row r="878" spans="1:15" s="4" customFormat="1">
      <c r="A878" s="2">
        <v>877</v>
      </c>
      <c r="B878" s="3" t="s">
        <v>1984</v>
      </c>
      <c r="C878" s="3" t="s">
        <v>1985</v>
      </c>
      <c r="D878" s="2" t="s">
        <v>7</v>
      </c>
      <c r="E878" s="2" t="s">
        <v>8</v>
      </c>
      <c r="F878" s="16"/>
      <c r="G878" s="16"/>
      <c r="H878" s="16">
        <f>VLOOKUP(B:B,'[1]Master Sheet'!$B:$H,7,0)</f>
        <v>100</v>
      </c>
      <c r="I878" s="16">
        <f>VLOOKUP(B:B,'[1]Master Sheet'!$B:$I,8,0)</f>
        <v>0</v>
      </c>
      <c r="J878" s="16"/>
      <c r="K878" s="3" t="s">
        <v>2965</v>
      </c>
      <c r="L878" s="3" t="s">
        <v>3055</v>
      </c>
      <c r="M878" s="3" t="s">
        <v>3058</v>
      </c>
      <c r="N878" s="3"/>
      <c r="O878" s="3"/>
    </row>
    <row r="879" spans="1:15" s="4" customFormat="1">
      <c r="A879" s="2">
        <v>878</v>
      </c>
      <c r="B879" s="3" t="s">
        <v>1988</v>
      </c>
      <c r="C879" s="3" t="s">
        <v>1989</v>
      </c>
      <c r="D879" s="2" t="s">
        <v>7</v>
      </c>
      <c r="E879" s="2" t="s">
        <v>8</v>
      </c>
      <c r="F879" s="16"/>
      <c r="G879" s="16"/>
      <c r="H879" s="16">
        <f>VLOOKUP(B:B,'[1]Master Sheet'!$B:$H,7,0)</f>
        <v>0</v>
      </c>
      <c r="I879" s="16">
        <f>VLOOKUP(B:B,'[1]Master Sheet'!$B:$I,8,0)</f>
        <v>0</v>
      </c>
      <c r="J879" s="16"/>
      <c r="K879" s="3" t="s">
        <v>2965</v>
      </c>
      <c r="L879" s="3" t="s">
        <v>3055</v>
      </c>
      <c r="M879" s="3" t="s">
        <v>3056</v>
      </c>
      <c r="N879" s="3"/>
      <c r="O879" s="3"/>
    </row>
    <row r="880" spans="1:15" s="4" customFormat="1">
      <c r="A880" s="2">
        <v>879</v>
      </c>
      <c r="B880" s="3" t="s">
        <v>1990</v>
      </c>
      <c r="C880" s="3" t="s">
        <v>1991</v>
      </c>
      <c r="D880" s="2" t="s">
        <v>7</v>
      </c>
      <c r="E880" s="2" t="s">
        <v>8</v>
      </c>
      <c r="F880" s="16"/>
      <c r="G880" s="16"/>
      <c r="H880" s="16">
        <f>VLOOKUP(B:B,'[1]Master Sheet'!$B:$H,7,0)</f>
        <v>0</v>
      </c>
      <c r="I880" s="16">
        <f>VLOOKUP(B:B,'[1]Master Sheet'!$B:$I,8,0)</f>
        <v>0</v>
      </c>
      <c r="J880" s="16"/>
      <c r="K880" s="3" t="s">
        <v>2965</v>
      </c>
      <c r="L880" s="3" t="s">
        <v>3055</v>
      </c>
      <c r="M880" s="3" t="s">
        <v>3056</v>
      </c>
      <c r="N880" s="3"/>
      <c r="O880" s="3"/>
    </row>
    <row r="881" spans="1:15" s="4" customFormat="1">
      <c r="A881" s="2">
        <v>880</v>
      </c>
      <c r="B881" s="3" t="s">
        <v>1992</v>
      </c>
      <c r="C881" s="3" t="s">
        <v>1993</v>
      </c>
      <c r="D881" s="2" t="s">
        <v>17</v>
      </c>
      <c r="E881" s="2" t="s">
        <v>8</v>
      </c>
      <c r="F881" s="16"/>
      <c r="G881" s="16"/>
      <c r="H881" s="16">
        <f>VLOOKUP(B:B,'[1]Master Sheet'!$B:$H,7,0)</f>
        <v>0</v>
      </c>
      <c r="I881" s="16">
        <f>VLOOKUP(B:B,'[1]Master Sheet'!$B:$I,8,0)</f>
        <v>0</v>
      </c>
      <c r="J881" s="16"/>
      <c r="K881" s="3" t="s">
        <v>2982</v>
      </c>
      <c r="L881" s="3" t="s">
        <v>3060</v>
      </c>
      <c r="M881" s="3" t="s">
        <v>3058</v>
      </c>
      <c r="N881" s="3"/>
      <c r="O881" s="3"/>
    </row>
    <row r="882" spans="1:15" s="4" customFormat="1">
      <c r="A882" s="2">
        <v>881</v>
      </c>
      <c r="B882" s="3" t="s">
        <v>1994</v>
      </c>
      <c r="C882" s="3" t="s">
        <v>1995</v>
      </c>
      <c r="D882" s="2" t="s">
        <v>17</v>
      </c>
      <c r="E882" s="2" t="s">
        <v>8</v>
      </c>
      <c r="F882" s="16"/>
      <c r="G882" s="16"/>
      <c r="H882" s="16">
        <f>VLOOKUP(B:B,'[1]Master Sheet'!$B:$H,7,0)</f>
        <v>0</v>
      </c>
      <c r="I882" s="16">
        <f>VLOOKUP(B:B,'[1]Master Sheet'!$B:$I,8,0)</f>
        <v>0</v>
      </c>
      <c r="J882" s="16"/>
      <c r="K882" s="3" t="s">
        <v>2982</v>
      </c>
      <c r="L882" s="3" t="s">
        <v>3060</v>
      </c>
      <c r="M882" s="3" t="s">
        <v>3058</v>
      </c>
      <c r="N882" s="3"/>
      <c r="O882" s="3"/>
    </row>
    <row r="883" spans="1:15" s="4" customFormat="1">
      <c r="A883" s="2">
        <v>882</v>
      </c>
      <c r="B883" s="3" t="s">
        <v>1996</v>
      </c>
      <c r="C883" s="3" t="s">
        <v>1997</v>
      </c>
      <c r="D883" s="2" t="s">
        <v>17</v>
      </c>
      <c r="E883" s="2" t="s">
        <v>8</v>
      </c>
      <c r="F883" s="16"/>
      <c r="G883" s="16"/>
      <c r="H883" s="16">
        <f>VLOOKUP(B:B,'[1]Master Sheet'!$B:$H,7,0)</f>
        <v>0</v>
      </c>
      <c r="I883" s="16">
        <f>VLOOKUP(B:B,'[1]Master Sheet'!$B:$I,8,0)</f>
        <v>0</v>
      </c>
      <c r="J883" s="16"/>
      <c r="K883" s="3" t="s">
        <v>2991</v>
      </c>
      <c r="L883" s="3" t="s">
        <v>3060</v>
      </c>
      <c r="M883" s="3" t="s">
        <v>3058</v>
      </c>
      <c r="N883" s="3"/>
      <c r="O883" s="3"/>
    </row>
    <row r="884" spans="1:15" s="4" customFormat="1">
      <c r="A884" s="2">
        <v>883</v>
      </c>
      <c r="B884" s="3" t="s">
        <v>1858</v>
      </c>
      <c r="C884" s="3" t="s">
        <v>1859</v>
      </c>
      <c r="D884" s="2" t="s">
        <v>20</v>
      </c>
      <c r="E884" s="2" t="s">
        <v>8</v>
      </c>
      <c r="F884" s="16"/>
      <c r="G884" s="16"/>
      <c r="H884" s="16">
        <f>VLOOKUP(B:B,'[1]Master Sheet'!$B:$H,7,0)</f>
        <v>500</v>
      </c>
      <c r="I884" s="16">
        <f>VLOOKUP(B:B,'[1]Master Sheet'!$B:$I,8,0)</f>
        <v>750</v>
      </c>
      <c r="J884" s="16"/>
      <c r="K884" s="3" t="s">
        <v>3031</v>
      </c>
      <c r="L884" s="3" t="s">
        <v>3057</v>
      </c>
      <c r="M884" s="3" t="s">
        <v>3056</v>
      </c>
      <c r="N884" s="3"/>
      <c r="O884" s="3"/>
    </row>
    <row r="885" spans="1:15" s="4" customFormat="1">
      <c r="A885" s="2">
        <v>884</v>
      </c>
      <c r="B885" s="3" t="s">
        <v>1862</v>
      </c>
      <c r="C885" s="3" t="s">
        <v>1863</v>
      </c>
      <c r="D885" s="2" t="s">
        <v>20</v>
      </c>
      <c r="E885" s="2" t="s">
        <v>8</v>
      </c>
      <c r="F885" s="16"/>
      <c r="G885" s="16"/>
      <c r="H885" s="16">
        <f>VLOOKUP(B:B,'[1]Master Sheet'!$B:$H,7,0)</f>
        <v>500</v>
      </c>
      <c r="I885" s="16">
        <f>VLOOKUP(B:B,'[1]Master Sheet'!$B:$I,8,0)</f>
        <v>500</v>
      </c>
      <c r="J885" s="16"/>
      <c r="K885" s="3" t="s">
        <v>3031</v>
      </c>
      <c r="L885" s="3" t="s">
        <v>3057</v>
      </c>
      <c r="M885" s="3" t="s">
        <v>3056</v>
      </c>
      <c r="N885" s="3"/>
      <c r="O885" s="3"/>
    </row>
    <row r="886" spans="1:15" s="4" customFormat="1">
      <c r="A886" s="2">
        <v>885</v>
      </c>
      <c r="B886" s="3" t="s">
        <v>1864</v>
      </c>
      <c r="C886" s="3" t="s">
        <v>1865</v>
      </c>
      <c r="D886" s="2" t="s">
        <v>20</v>
      </c>
      <c r="E886" s="2" t="s">
        <v>8</v>
      </c>
      <c r="F886" s="16"/>
      <c r="G886" s="16"/>
      <c r="H886" s="16">
        <f>VLOOKUP(B:B,'[1]Master Sheet'!$B:$H,7,0)</f>
        <v>0</v>
      </c>
      <c r="I886" s="16">
        <f>VLOOKUP(B:B,'[1]Master Sheet'!$B:$I,8,0)</f>
        <v>0</v>
      </c>
      <c r="J886" s="16"/>
      <c r="K886" s="3" t="s">
        <v>3031</v>
      </c>
      <c r="L886" s="3" t="s">
        <v>3057</v>
      </c>
      <c r="M886" s="3" t="s">
        <v>3056</v>
      </c>
      <c r="N886" s="3"/>
      <c r="O886" s="3"/>
    </row>
    <row r="887" spans="1:15" s="4" customFormat="1">
      <c r="A887" s="2">
        <v>886</v>
      </c>
      <c r="B887" s="3" t="s">
        <v>1866</v>
      </c>
      <c r="C887" s="3" t="s">
        <v>1867</v>
      </c>
      <c r="D887" s="2" t="s">
        <v>20</v>
      </c>
      <c r="E887" s="2" t="s">
        <v>8</v>
      </c>
      <c r="F887" s="16"/>
      <c r="G887" s="16"/>
      <c r="H887" s="16">
        <f>VLOOKUP(B:B,'[1]Master Sheet'!$B:$H,7,0)</f>
        <v>1500</v>
      </c>
      <c r="I887" s="16">
        <f>VLOOKUP(B:B,'[1]Master Sheet'!$B:$I,8,0)</f>
        <v>3000</v>
      </c>
      <c r="J887" s="16"/>
      <c r="K887" s="3" t="s">
        <v>3031</v>
      </c>
      <c r="L887" s="3" t="s">
        <v>3057</v>
      </c>
      <c r="M887" s="3" t="s">
        <v>3056</v>
      </c>
      <c r="N887" s="3"/>
      <c r="O887" s="3"/>
    </row>
    <row r="888" spans="1:15" s="4" customFormat="1">
      <c r="A888" s="2">
        <v>887</v>
      </c>
      <c r="B888" s="3" t="s">
        <v>1868</v>
      </c>
      <c r="C888" s="3" t="s">
        <v>1869</v>
      </c>
      <c r="D888" s="2" t="s">
        <v>20</v>
      </c>
      <c r="E888" s="2" t="s">
        <v>8</v>
      </c>
      <c r="F888" s="16"/>
      <c r="G888" s="16"/>
      <c r="H888" s="16">
        <f>VLOOKUP(B:B,'[1]Master Sheet'!$B:$H,7,0)</f>
        <v>120</v>
      </c>
      <c r="I888" s="16">
        <f>VLOOKUP(B:B,'[1]Master Sheet'!$B:$I,8,0)</f>
        <v>200</v>
      </c>
      <c r="J888" s="16"/>
      <c r="K888" s="3" t="s">
        <v>3031</v>
      </c>
      <c r="L888" s="3" t="s">
        <v>3057</v>
      </c>
      <c r="M888" s="3" t="s">
        <v>3056</v>
      </c>
      <c r="N888" s="3"/>
      <c r="O888" s="3"/>
    </row>
    <row r="889" spans="1:15" s="4" customFormat="1">
      <c r="A889" s="2">
        <v>888</v>
      </c>
      <c r="B889" s="3" t="s">
        <v>1916</v>
      </c>
      <c r="C889" s="3" t="s">
        <v>1917</v>
      </c>
      <c r="D889" s="2" t="s">
        <v>17</v>
      </c>
      <c r="E889" s="2" t="s">
        <v>8</v>
      </c>
      <c r="F889" s="16"/>
      <c r="G889" s="16"/>
      <c r="H889" s="16">
        <f>VLOOKUP(B:B,'[1]Master Sheet'!$B:$H,7,0)</f>
        <v>2500</v>
      </c>
      <c r="I889" s="16">
        <f>VLOOKUP(B:B,'[1]Master Sheet'!$B:$I,8,0)</f>
        <v>0</v>
      </c>
      <c r="J889" s="16"/>
      <c r="K889" s="3" t="s">
        <v>2972</v>
      </c>
      <c r="L889" s="3" t="s">
        <v>3057</v>
      </c>
      <c r="M889" s="3" t="s">
        <v>3056</v>
      </c>
      <c r="N889" s="3"/>
      <c r="O889" s="3"/>
    </row>
    <row r="890" spans="1:15" s="4" customFormat="1">
      <c r="A890" s="2">
        <v>889</v>
      </c>
      <c r="B890" s="3" t="s">
        <v>1918</v>
      </c>
      <c r="C890" s="3" t="s">
        <v>1919</v>
      </c>
      <c r="D890" s="2" t="s">
        <v>17</v>
      </c>
      <c r="E890" s="2" t="s">
        <v>8</v>
      </c>
      <c r="F890" s="16"/>
      <c r="G890" s="16"/>
      <c r="H890" s="16">
        <f>VLOOKUP(B:B,'[1]Master Sheet'!$B:$H,7,0)</f>
        <v>2500</v>
      </c>
      <c r="I890" s="16">
        <f>VLOOKUP(B:B,'[1]Master Sheet'!$B:$I,8,0)</f>
        <v>0</v>
      </c>
      <c r="J890" s="16"/>
      <c r="K890" s="3" t="s">
        <v>2972</v>
      </c>
      <c r="L890" s="3" t="s">
        <v>3057</v>
      </c>
      <c r="M890" s="3" t="s">
        <v>3056</v>
      </c>
      <c r="N890" s="3"/>
      <c r="O890" s="3"/>
    </row>
    <row r="891" spans="1:15" s="4" customFormat="1">
      <c r="A891" s="2">
        <v>890</v>
      </c>
      <c r="B891" s="3" t="s">
        <v>1920</v>
      </c>
      <c r="C891" s="3" t="s">
        <v>1921</v>
      </c>
      <c r="D891" s="2" t="s">
        <v>17</v>
      </c>
      <c r="E891" s="2" t="s">
        <v>8</v>
      </c>
      <c r="F891" s="16"/>
      <c r="G891" s="16"/>
      <c r="H891" s="16">
        <f>VLOOKUP(B:B,'[1]Master Sheet'!$B:$H,7,0)</f>
        <v>2500</v>
      </c>
      <c r="I891" s="16">
        <f>VLOOKUP(B:B,'[1]Master Sheet'!$B:$I,8,0)</f>
        <v>0</v>
      </c>
      <c r="J891" s="16"/>
      <c r="K891" s="3" t="s">
        <v>2972</v>
      </c>
      <c r="L891" s="3" t="s">
        <v>3057</v>
      </c>
      <c r="M891" s="3" t="s">
        <v>3056</v>
      </c>
      <c r="N891" s="3"/>
      <c r="O891" s="3"/>
    </row>
    <row r="892" spans="1:15" s="4" customFormat="1">
      <c r="A892" s="2">
        <v>891</v>
      </c>
      <c r="B892" s="3" t="s">
        <v>1922</v>
      </c>
      <c r="C892" s="3" t="s">
        <v>1923</v>
      </c>
      <c r="D892" s="2" t="s">
        <v>17</v>
      </c>
      <c r="E892" s="2" t="s">
        <v>8</v>
      </c>
      <c r="F892" s="16"/>
      <c r="G892" s="16"/>
      <c r="H892" s="16">
        <f>VLOOKUP(B:B,'[1]Master Sheet'!$B:$H,7,0)</f>
        <v>0</v>
      </c>
      <c r="I892" s="16">
        <f>VLOOKUP(B:B,'[1]Master Sheet'!$B:$I,8,0)</f>
        <v>0</v>
      </c>
      <c r="J892" s="16"/>
      <c r="K892" s="3" t="s">
        <v>2972</v>
      </c>
      <c r="L892" s="3" t="s">
        <v>3057</v>
      </c>
      <c r="M892" s="3" t="s">
        <v>3056</v>
      </c>
      <c r="N892" s="3"/>
      <c r="O892" s="3"/>
    </row>
    <row r="893" spans="1:15" s="4" customFormat="1">
      <c r="A893" s="2">
        <v>892</v>
      </c>
      <c r="B893" s="3" t="s">
        <v>1924</v>
      </c>
      <c r="C893" s="3" t="s">
        <v>1925</v>
      </c>
      <c r="D893" s="2" t="s">
        <v>17</v>
      </c>
      <c r="E893" s="2" t="s">
        <v>8</v>
      </c>
      <c r="F893" s="16"/>
      <c r="G893" s="16"/>
      <c r="H893" s="16">
        <f>VLOOKUP(B:B,'[1]Master Sheet'!$B:$H,7,0)</f>
        <v>0</v>
      </c>
      <c r="I893" s="16">
        <f>VLOOKUP(B:B,'[1]Master Sheet'!$B:$I,8,0)</f>
        <v>0</v>
      </c>
      <c r="J893" s="16"/>
      <c r="K893" s="3" t="s">
        <v>2972</v>
      </c>
      <c r="L893" s="3" t="s">
        <v>3057</v>
      </c>
      <c r="M893" s="3" t="s">
        <v>3056</v>
      </c>
      <c r="N893" s="3"/>
      <c r="O893" s="3"/>
    </row>
    <row r="894" spans="1:15" s="4" customFormat="1">
      <c r="A894" s="2">
        <v>893</v>
      </c>
      <c r="B894" s="3" t="s">
        <v>1926</v>
      </c>
      <c r="C894" s="3" t="s">
        <v>1927</v>
      </c>
      <c r="D894" s="2" t="s">
        <v>17</v>
      </c>
      <c r="E894" s="2" t="s">
        <v>8</v>
      </c>
      <c r="F894" s="16"/>
      <c r="G894" s="16"/>
      <c r="H894" s="16">
        <f>VLOOKUP(B:B,'[1]Master Sheet'!$B:$H,7,0)</f>
        <v>250</v>
      </c>
      <c r="I894" s="16">
        <f>VLOOKUP(B:B,'[1]Master Sheet'!$B:$I,8,0)</f>
        <v>0</v>
      </c>
      <c r="J894" s="16"/>
      <c r="K894" s="3" t="s">
        <v>2991</v>
      </c>
      <c r="L894" s="3" t="s">
        <v>3057</v>
      </c>
      <c r="M894" s="3" t="s">
        <v>3056</v>
      </c>
      <c r="N894" s="3"/>
      <c r="O894" s="3"/>
    </row>
    <row r="895" spans="1:15" s="4" customFormat="1">
      <c r="A895" s="2">
        <v>894</v>
      </c>
      <c r="B895" s="3" t="s">
        <v>2020</v>
      </c>
      <c r="C895" s="3" t="s">
        <v>2021</v>
      </c>
      <c r="D895" s="2" t="s">
        <v>17</v>
      </c>
      <c r="E895" s="2" t="s">
        <v>8</v>
      </c>
      <c r="F895" s="16"/>
      <c r="G895" s="16"/>
      <c r="H895" s="16">
        <f>VLOOKUP(B:B,'[1]Master Sheet'!$B:$H,7,0)</f>
        <v>0</v>
      </c>
      <c r="I895" s="16">
        <f>VLOOKUP(B:B,'[1]Master Sheet'!$B:$I,8,0)</f>
        <v>0</v>
      </c>
      <c r="J895" s="16"/>
      <c r="K895" s="3" t="s">
        <v>2991</v>
      </c>
      <c r="L895" s="3" t="s">
        <v>3060</v>
      </c>
      <c r="M895" s="3" t="s">
        <v>3058</v>
      </c>
      <c r="N895" s="3"/>
      <c r="O895" s="3"/>
    </row>
    <row r="896" spans="1:15" s="4" customFormat="1">
      <c r="A896" s="2">
        <v>895</v>
      </c>
      <c r="B896" s="3" t="s">
        <v>2022</v>
      </c>
      <c r="C896" s="3" t="s">
        <v>2023</v>
      </c>
      <c r="D896" s="2" t="s">
        <v>17</v>
      </c>
      <c r="E896" s="2" t="s">
        <v>8</v>
      </c>
      <c r="F896" s="16"/>
      <c r="G896" s="16"/>
      <c r="H896" s="16">
        <f>VLOOKUP(B:B,'[1]Master Sheet'!$B:$H,7,0)</f>
        <v>0</v>
      </c>
      <c r="I896" s="16">
        <f>VLOOKUP(B:B,'[1]Master Sheet'!$B:$I,8,0)</f>
        <v>0</v>
      </c>
      <c r="J896" s="16"/>
      <c r="K896" s="3" t="s">
        <v>2982</v>
      </c>
      <c r="L896" s="3" t="s">
        <v>3060</v>
      </c>
      <c r="M896" s="3" t="s">
        <v>3058</v>
      </c>
      <c r="N896" s="3"/>
      <c r="O896" s="3"/>
    </row>
    <row r="897" spans="1:15" s="4" customFormat="1">
      <c r="A897" s="2">
        <v>896</v>
      </c>
      <c r="B897" s="3" t="s">
        <v>2024</v>
      </c>
      <c r="C897" s="3" t="s">
        <v>2025</v>
      </c>
      <c r="D897" s="2" t="s">
        <v>17</v>
      </c>
      <c r="E897" s="2" t="s">
        <v>8</v>
      </c>
      <c r="F897" s="16"/>
      <c r="G897" s="16"/>
      <c r="H897" s="16">
        <f>VLOOKUP(B:B,'[1]Master Sheet'!$B:$H,7,0)</f>
        <v>0</v>
      </c>
      <c r="I897" s="16">
        <f>VLOOKUP(B:B,'[1]Master Sheet'!$B:$I,8,0)</f>
        <v>0</v>
      </c>
      <c r="J897" s="16"/>
      <c r="K897" s="3" t="s">
        <v>2982</v>
      </c>
      <c r="L897" s="3" t="s">
        <v>3060</v>
      </c>
      <c r="M897" s="3" t="s">
        <v>3058</v>
      </c>
      <c r="N897" s="3"/>
      <c r="O897" s="3"/>
    </row>
    <row r="898" spans="1:15" s="4" customFormat="1">
      <c r="A898" s="2">
        <v>897</v>
      </c>
      <c r="B898" s="3" t="s">
        <v>2026</v>
      </c>
      <c r="C898" s="3" t="s">
        <v>2027</v>
      </c>
      <c r="D898" s="2" t="s">
        <v>17</v>
      </c>
      <c r="E898" s="2" t="s">
        <v>8</v>
      </c>
      <c r="F898" s="16"/>
      <c r="G898" s="16"/>
      <c r="H898" s="16">
        <f>VLOOKUP(B:B,'[1]Master Sheet'!$B:$H,7,0)</f>
        <v>0</v>
      </c>
      <c r="I898" s="16">
        <f>VLOOKUP(B:B,'[1]Master Sheet'!$B:$I,8,0)</f>
        <v>0</v>
      </c>
      <c r="J898" s="16"/>
      <c r="K898" s="3" t="s">
        <v>2982</v>
      </c>
      <c r="L898" s="3" t="s">
        <v>3060</v>
      </c>
      <c r="M898" s="3" t="s">
        <v>3058</v>
      </c>
      <c r="N898" s="3"/>
      <c r="O898" s="3"/>
    </row>
    <row r="899" spans="1:15" s="4" customFormat="1">
      <c r="A899" s="2">
        <v>898</v>
      </c>
      <c r="B899" s="3" t="s">
        <v>2028</v>
      </c>
      <c r="C899" s="3" t="s">
        <v>2029</v>
      </c>
      <c r="D899" s="2" t="s">
        <v>17</v>
      </c>
      <c r="E899" s="2" t="s">
        <v>8</v>
      </c>
      <c r="F899" s="16"/>
      <c r="G899" s="16"/>
      <c r="H899" s="16">
        <f>VLOOKUP(B:B,'[1]Master Sheet'!$B:$H,7,0)</f>
        <v>0</v>
      </c>
      <c r="I899" s="16">
        <f>VLOOKUP(B:B,'[1]Master Sheet'!$B:$I,8,0)</f>
        <v>0</v>
      </c>
      <c r="J899" s="16"/>
      <c r="K899" s="3" t="s">
        <v>2982</v>
      </c>
      <c r="L899" s="3" t="s">
        <v>3060</v>
      </c>
      <c r="M899" s="3" t="s">
        <v>3058</v>
      </c>
      <c r="N899" s="3"/>
      <c r="O899" s="3"/>
    </row>
    <row r="900" spans="1:15" s="4" customFormat="1">
      <c r="A900" s="2">
        <v>899</v>
      </c>
      <c r="B900" s="3" t="s">
        <v>2030</v>
      </c>
      <c r="C900" s="3" t="s">
        <v>2031</v>
      </c>
      <c r="D900" s="2" t="s">
        <v>17</v>
      </c>
      <c r="E900" s="2" t="s">
        <v>8</v>
      </c>
      <c r="F900" s="16"/>
      <c r="G900" s="16"/>
      <c r="H900" s="16">
        <f>VLOOKUP(B:B,'[1]Master Sheet'!$B:$H,7,0)</f>
        <v>0</v>
      </c>
      <c r="I900" s="16">
        <f>VLOOKUP(B:B,'[1]Master Sheet'!$B:$I,8,0)</f>
        <v>0</v>
      </c>
      <c r="J900" s="16"/>
      <c r="K900" s="3" t="s">
        <v>2982</v>
      </c>
      <c r="L900" s="3" t="s">
        <v>3060</v>
      </c>
      <c r="M900" s="3" t="s">
        <v>3058</v>
      </c>
      <c r="N900" s="3"/>
      <c r="O900" s="3"/>
    </row>
    <row r="901" spans="1:15" s="4" customFormat="1">
      <c r="A901" s="2">
        <v>900</v>
      </c>
      <c r="B901" s="3" t="s">
        <v>2032</v>
      </c>
      <c r="C901" s="3" t="s">
        <v>2033</v>
      </c>
      <c r="D901" s="2" t="s">
        <v>17</v>
      </c>
      <c r="E901" s="2" t="s">
        <v>8</v>
      </c>
      <c r="F901" s="16"/>
      <c r="G901" s="16"/>
      <c r="H901" s="16">
        <f>VLOOKUP(B:B,'[1]Master Sheet'!$B:$H,7,0)</f>
        <v>0</v>
      </c>
      <c r="I901" s="16">
        <f>VLOOKUP(B:B,'[1]Master Sheet'!$B:$I,8,0)</f>
        <v>0</v>
      </c>
      <c r="J901" s="16"/>
      <c r="K901" s="3" t="s">
        <v>2982</v>
      </c>
      <c r="L901" s="3" t="s">
        <v>3060</v>
      </c>
      <c r="M901" s="3" t="s">
        <v>3058</v>
      </c>
      <c r="N901" s="3"/>
      <c r="O901" s="3"/>
    </row>
    <row r="902" spans="1:15" s="4" customFormat="1">
      <c r="A902" s="2">
        <v>901</v>
      </c>
      <c r="B902" s="3" t="s">
        <v>1956</v>
      </c>
      <c r="C902" s="3" t="s">
        <v>1957</v>
      </c>
      <c r="D902" s="2" t="s">
        <v>17</v>
      </c>
      <c r="E902" s="2" t="s">
        <v>8</v>
      </c>
      <c r="F902" s="16"/>
      <c r="G902" s="16"/>
      <c r="H902" s="16">
        <f>VLOOKUP(B:B,'[1]Master Sheet'!$B:$H,7,0)</f>
        <v>50</v>
      </c>
      <c r="I902" s="16">
        <f>VLOOKUP(B:B,'[1]Master Sheet'!$B:$I,8,0)</f>
        <v>0</v>
      </c>
      <c r="J902" s="16"/>
      <c r="K902" s="3" t="s">
        <v>3052</v>
      </c>
      <c r="L902" s="3" t="s">
        <v>3057</v>
      </c>
      <c r="M902" s="3" t="s">
        <v>3056</v>
      </c>
      <c r="N902" s="3"/>
      <c r="O902" s="3"/>
    </row>
    <row r="903" spans="1:15" s="4" customFormat="1">
      <c r="A903" s="2">
        <v>902</v>
      </c>
      <c r="B903" s="3" t="s">
        <v>1972</v>
      </c>
      <c r="C903" s="3" t="s">
        <v>1973</v>
      </c>
      <c r="D903" s="2" t="s">
        <v>17</v>
      </c>
      <c r="E903" s="2" t="s">
        <v>8</v>
      </c>
      <c r="F903" s="16"/>
      <c r="G903" s="16"/>
      <c r="H903" s="16">
        <f>VLOOKUP(B:B,'[1]Master Sheet'!$B:$H,7,0)</f>
        <v>10</v>
      </c>
      <c r="I903" s="16">
        <f>VLOOKUP(B:B,'[1]Master Sheet'!$B:$I,8,0)</f>
        <v>10</v>
      </c>
      <c r="J903" s="16"/>
      <c r="K903" s="3" t="s">
        <v>3052</v>
      </c>
      <c r="L903" s="3" t="s">
        <v>3057</v>
      </c>
      <c r="M903" s="3" t="s">
        <v>3056</v>
      </c>
      <c r="N903" s="3"/>
      <c r="O903" s="3"/>
    </row>
    <row r="904" spans="1:15" s="4" customFormat="1">
      <c r="A904" s="2">
        <v>903</v>
      </c>
      <c r="B904" s="3" t="s">
        <v>1998</v>
      </c>
      <c r="C904" s="3" t="s">
        <v>1999</v>
      </c>
      <c r="D904" s="2" t="s">
        <v>17</v>
      </c>
      <c r="E904" s="2" t="s">
        <v>8</v>
      </c>
      <c r="F904" s="16"/>
      <c r="G904" s="16"/>
      <c r="H904" s="16">
        <f>VLOOKUP(B:B,'[1]Master Sheet'!$B:$H,7,0)</f>
        <v>0</v>
      </c>
      <c r="I904" s="16">
        <f>VLOOKUP(B:B,'[1]Master Sheet'!$B:$I,8,0)</f>
        <v>0</v>
      </c>
      <c r="J904" s="16"/>
      <c r="K904" s="3" t="s">
        <v>2991</v>
      </c>
      <c r="L904" s="3" t="s">
        <v>3057</v>
      </c>
      <c r="M904" s="3" t="s">
        <v>3058</v>
      </c>
      <c r="N904" s="3"/>
      <c r="O904" s="3"/>
    </row>
    <row r="905" spans="1:15" s="4" customFormat="1">
      <c r="A905" s="2">
        <v>904</v>
      </c>
      <c r="B905" s="3" t="s">
        <v>2000</v>
      </c>
      <c r="C905" s="3" t="s">
        <v>2001</v>
      </c>
      <c r="D905" s="2" t="s">
        <v>17</v>
      </c>
      <c r="E905" s="2" t="s">
        <v>8</v>
      </c>
      <c r="F905" s="16"/>
      <c r="G905" s="16"/>
      <c r="H905" s="16">
        <f>VLOOKUP(B:B,'[1]Master Sheet'!$B:$H,7,0)</f>
        <v>0</v>
      </c>
      <c r="I905" s="16">
        <f>VLOOKUP(B:B,'[1]Master Sheet'!$B:$I,8,0)</f>
        <v>0</v>
      </c>
      <c r="J905" s="16"/>
      <c r="K905" s="3" t="s">
        <v>2991</v>
      </c>
      <c r="L905" s="3" t="s">
        <v>3057</v>
      </c>
      <c r="M905" s="3" t="s">
        <v>3056</v>
      </c>
      <c r="N905" s="3"/>
      <c r="O905" s="3"/>
    </row>
    <row r="906" spans="1:15" s="4" customFormat="1">
      <c r="A906" s="2">
        <v>905</v>
      </c>
      <c r="B906" s="3" t="s">
        <v>2002</v>
      </c>
      <c r="C906" s="3" t="s">
        <v>2003</v>
      </c>
      <c r="D906" s="2" t="s">
        <v>17</v>
      </c>
      <c r="E906" s="2" t="s">
        <v>8</v>
      </c>
      <c r="F906" s="16"/>
      <c r="G906" s="16"/>
      <c r="H906" s="16">
        <f>VLOOKUP(B:B,'[1]Master Sheet'!$B:$H,7,0)</f>
        <v>0</v>
      </c>
      <c r="I906" s="16">
        <f>VLOOKUP(B:B,'[1]Master Sheet'!$B:$I,8,0)</f>
        <v>0</v>
      </c>
      <c r="J906" s="16"/>
      <c r="K906" s="3" t="s">
        <v>2991</v>
      </c>
      <c r="L906" s="3" t="s">
        <v>3057</v>
      </c>
      <c r="M906" s="3" t="s">
        <v>3058</v>
      </c>
      <c r="N906" s="3"/>
      <c r="O906" s="3"/>
    </row>
    <row r="907" spans="1:15" s="4" customFormat="1">
      <c r="A907" s="2">
        <v>906</v>
      </c>
      <c r="B907" s="3" t="s">
        <v>2004</v>
      </c>
      <c r="C907" s="3" t="s">
        <v>2005</v>
      </c>
      <c r="D907" s="2" t="s">
        <v>17</v>
      </c>
      <c r="E907" s="2" t="s">
        <v>8</v>
      </c>
      <c r="F907" s="16"/>
      <c r="G907" s="16"/>
      <c r="H907" s="16">
        <f>VLOOKUP(B:B,'[1]Master Sheet'!$B:$H,7,0)</f>
        <v>0</v>
      </c>
      <c r="I907" s="16">
        <f>VLOOKUP(B:B,'[1]Master Sheet'!$B:$I,8,0)</f>
        <v>0</v>
      </c>
      <c r="J907" s="16"/>
      <c r="K907" s="3" t="s">
        <v>2991</v>
      </c>
      <c r="L907" s="3" t="s">
        <v>3057</v>
      </c>
      <c r="M907" s="3" t="s">
        <v>3056</v>
      </c>
      <c r="N907" s="3"/>
      <c r="O907" s="3"/>
    </row>
    <row r="908" spans="1:15" s="4" customFormat="1">
      <c r="A908" s="2">
        <v>907</v>
      </c>
      <c r="B908" s="3" t="s">
        <v>2006</v>
      </c>
      <c r="C908" s="3" t="s">
        <v>2007</v>
      </c>
      <c r="D908" s="2" t="s">
        <v>17</v>
      </c>
      <c r="E908" s="2" t="s">
        <v>8</v>
      </c>
      <c r="F908" s="16"/>
      <c r="G908" s="16"/>
      <c r="H908" s="16">
        <f>VLOOKUP(B:B,'[1]Master Sheet'!$B:$H,7,0)</f>
        <v>0</v>
      </c>
      <c r="I908" s="16">
        <f>VLOOKUP(B:B,'[1]Master Sheet'!$B:$I,8,0)</f>
        <v>0</v>
      </c>
      <c r="J908" s="16"/>
      <c r="K908" s="3" t="s">
        <v>2991</v>
      </c>
      <c r="L908" s="3" t="s">
        <v>3057</v>
      </c>
      <c r="M908" s="3" t="s">
        <v>3058</v>
      </c>
      <c r="N908" s="3"/>
      <c r="O908" s="3"/>
    </row>
    <row r="909" spans="1:15" s="4" customFormat="1">
      <c r="A909" s="2">
        <v>908</v>
      </c>
      <c r="B909" s="3" t="s">
        <v>2008</v>
      </c>
      <c r="C909" s="3" t="s">
        <v>2009</v>
      </c>
      <c r="D909" s="2" t="s">
        <v>17</v>
      </c>
      <c r="E909" s="2" t="s">
        <v>8</v>
      </c>
      <c r="F909" s="16"/>
      <c r="G909" s="16"/>
      <c r="H909" s="16">
        <f>VLOOKUP(B:B,'[1]Master Sheet'!$B:$H,7,0)</f>
        <v>0</v>
      </c>
      <c r="I909" s="16">
        <f>VLOOKUP(B:B,'[1]Master Sheet'!$B:$I,8,0)</f>
        <v>0</v>
      </c>
      <c r="J909" s="16"/>
      <c r="K909" s="3" t="s">
        <v>2991</v>
      </c>
      <c r="L909" s="3" t="s">
        <v>3057</v>
      </c>
      <c r="M909" s="3" t="s">
        <v>3056</v>
      </c>
      <c r="N909" s="3"/>
      <c r="O909" s="3"/>
    </row>
    <row r="910" spans="1:15" s="4" customFormat="1">
      <c r="A910" s="2">
        <v>909</v>
      </c>
      <c r="B910" s="3" t="s">
        <v>2010</v>
      </c>
      <c r="C910" s="3" t="s">
        <v>2011</v>
      </c>
      <c r="D910" s="2" t="s">
        <v>17</v>
      </c>
      <c r="E910" s="2" t="s">
        <v>8</v>
      </c>
      <c r="F910" s="16"/>
      <c r="G910" s="16"/>
      <c r="H910" s="16">
        <f>VLOOKUP(B:B,'[1]Master Sheet'!$B:$H,7,0)</f>
        <v>0</v>
      </c>
      <c r="I910" s="16">
        <f>VLOOKUP(B:B,'[1]Master Sheet'!$B:$I,8,0)</f>
        <v>0</v>
      </c>
      <c r="J910" s="16"/>
      <c r="K910" s="3" t="s">
        <v>2991</v>
      </c>
      <c r="L910" s="3" t="s">
        <v>3057</v>
      </c>
      <c r="M910" s="3" t="s">
        <v>3056</v>
      </c>
      <c r="N910" s="3"/>
      <c r="O910" s="3"/>
    </row>
    <row r="911" spans="1:15" s="4" customFormat="1">
      <c r="A911" s="2">
        <v>910</v>
      </c>
      <c r="B911" s="3" t="s">
        <v>2012</v>
      </c>
      <c r="C911" s="3" t="s">
        <v>2013</v>
      </c>
      <c r="D911" s="2" t="s">
        <v>17</v>
      </c>
      <c r="E911" s="2" t="s">
        <v>8</v>
      </c>
      <c r="F911" s="16"/>
      <c r="G911" s="16"/>
      <c r="H911" s="16">
        <f>VLOOKUP(B:B,'[1]Master Sheet'!$B:$H,7,0)</f>
        <v>0</v>
      </c>
      <c r="I911" s="16">
        <f>VLOOKUP(B:B,'[1]Master Sheet'!$B:$I,8,0)</f>
        <v>0</v>
      </c>
      <c r="J911" s="16"/>
      <c r="K911" s="3" t="s">
        <v>2991</v>
      </c>
      <c r="L911" s="3" t="s">
        <v>3057</v>
      </c>
      <c r="M911" s="3" t="s">
        <v>3058</v>
      </c>
      <c r="N911" s="3"/>
      <c r="O911" s="3"/>
    </row>
    <row r="912" spans="1:15" s="4" customFormat="1">
      <c r="A912" s="2">
        <v>911</v>
      </c>
      <c r="B912" s="3" t="s">
        <v>2014</v>
      </c>
      <c r="C912" s="3" t="s">
        <v>2015</v>
      </c>
      <c r="D912" s="2" t="s">
        <v>17</v>
      </c>
      <c r="E912" s="2" t="s">
        <v>8</v>
      </c>
      <c r="F912" s="16"/>
      <c r="G912" s="16"/>
      <c r="H912" s="16">
        <f>VLOOKUP(B:B,'[1]Master Sheet'!$B:$H,7,0)</f>
        <v>0</v>
      </c>
      <c r="I912" s="16">
        <f>VLOOKUP(B:B,'[1]Master Sheet'!$B:$I,8,0)</f>
        <v>0</v>
      </c>
      <c r="J912" s="16"/>
      <c r="K912" s="3" t="s">
        <v>2991</v>
      </c>
      <c r="L912" s="3" t="s">
        <v>3057</v>
      </c>
      <c r="M912" s="3" t="s">
        <v>3056</v>
      </c>
      <c r="N912" s="3"/>
      <c r="O912" s="3"/>
    </row>
    <row r="913" spans="1:15" s="4" customFormat="1">
      <c r="A913" s="2">
        <v>912</v>
      </c>
      <c r="B913" s="3" t="s">
        <v>2016</v>
      </c>
      <c r="C913" s="3" t="s">
        <v>2017</v>
      </c>
      <c r="D913" s="2" t="s">
        <v>17</v>
      </c>
      <c r="E913" s="2" t="s">
        <v>8</v>
      </c>
      <c r="F913" s="16"/>
      <c r="G913" s="16"/>
      <c r="H913" s="16">
        <f>VLOOKUP(B:B,'[1]Master Sheet'!$B:$H,7,0)</f>
        <v>0</v>
      </c>
      <c r="I913" s="16">
        <f>VLOOKUP(B:B,'[1]Master Sheet'!$B:$I,8,0)</f>
        <v>0</v>
      </c>
      <c r="J913" s="16"/>
      <c r="K913" s="3" t="s">
        <v>2991</v>
      </c>
      <c r="L913" s="3" t="s">
        <v>3057</v>
      </c>
      <c r="M913" s="3" t="s">
        <v>3056</v>
      </c>
      <c r="N913" s="3"/>
      <c r="O913" s="3"/>
    </row>
    <row r="914" spans="1:15" s="4" customFormat="1">
      <c r="A914" s="2">
        <v>913</v>
      </c>
      <c r="B914" s="3" t="s">
        <v>2058</v>
      </c>
      <c r="C914" s="3" t="s">
        <v>2059</v>
      </c>
      <c r="D914" s="2" t="s">
        <v>20</v>
      </c>
      <c r="E914" s="2" t="s">
        <v>8</v>
      </c>
      <c r="F914" s="16"/>
      <c r="G914" s="16"/>
      <c r="H914" s="16">
        <f>VLOOKUP(B:B,'[1]Master Sheet'!$B:$H,7,0)</f>
        <v>0</v>
      </c>
      <c r="I914" s="16">
        <f>VLOOKUP(B:B,'[1]Master Sheet'!$B:$I,8,0)</f>
        <v>0</v>
      </c>
      <c r="J914" s="16"/>
      <c r="K914" s="3" t="s">
        <v>2965</v>
      </c>
      <c r="L914" s="3" t="s">
        <v>3060</v>
      </c>
      <c r="M914" s="3" t="s">
        <v>3058</v>
      </c>
      <c r="N914" s="3"/>
      <c r="O914" s="3"/>
    </row>
    <row r="915" spans="1:15" s="4" customFormat="1">
      <c r="A915" s="2">
        <v>914</v>
      </c>
      <c r="B915" s="3" t="s">
        <v>2018</v>
      </c>
      <c r="C915" s="3" t="s">
        <v>2019</v>
      </c>
      <c r="D915" s="2" t="s">
        <v>17</v>
      </c>
      <c r="E915" s="2" t="s">
        <v>8</v>
      </c>
      <c r="F915" s="16"/>
      <c r="G915" s="16"/>
      <c r="H915" s="16">
        <f>VLOOKUP(B:B,'[1]Master Sheet'!$B:$H,7,0)</f>
        <v>0</v>
      </c>
      <c r="I915" s="16">
        <f>VLOOKUP(B:B,'[1]Master Sheet'!$B:$I,8,0)</f>
        <v>0</v>
      </c>
      <c r="J915" s="16"/>
      <c r="K915" s="3" t="s">
        <v>2991</v>
      </c>
      <c r="L915" s="3" t="s">
        <v>3057</v>
      </c>
      <c r="M915" s="3" t="s">
        <v>3058</v>
      </c>
      <c r="N915" s="3"/>
      <c r="O915" s="3"/>
    </row>
    <row r="916" spans="1:15" s="4" customFormat="1">
      <c r="A916" s="2">
        <v>915</v>
      </c>
      <c r="B916" s="3" t="s">
        <v>2060</v>
      </c>
      <c r="C916" s="3" t="s">
        <v>2061</v>
      </c>
      <c r="D916" s="2" t="s">
        <v>17</v>
      </c>
      <c r="E916" s="2" t="s">
        <v>8</v>
      </c>
      <c r="F916" s="16"/>
      <c r="G916" s="16"/>
      <c r="H916" s="16">
        <f>VLOOKUP(B:B,'[1]Master Sheet'!$B:$H,7,0)</f>
        <v>25</v>
      </c>
      <c r="I916" s="16">
        <f>VLOOKUP(B:B,'[1]Master Sheet'!$B:$I,8,0)</f>
        <v>0</v>
      </c>
      <c r="J916" s="16"/>
      <c r="K916" s="3" t="s">
        <v>2972</v>
      </c>
      <c r="L916" s="3" t="s">
        <v>3055</v>
      </c>
      <c r="M916" s="3" t="s">
        <v>3056</v>
      </c>
      <c r="N916" s="3"/>
      <c r="O916" s="3"/>
    </row>
    <row r="917" spans="1:15" s="4" customFormat="1">
      <c r="A917" s="2">
        <v>916</v>
      </c>
      <c r="B917" s="3" t="s">
        <v>2034</v>
      </c>
      <c r="C917" s="3" t="s">
        <v>2035</v>
      </c>
      <c r="D917" s="2" t="s">
        <v>17</v>
      </c>
      <c r="E917" s="2" t="s">
        <v>8</v>
      </c>
      <c r="F917" s="16"/>
      <c r="G917" s="16"/>
      <c r="H917" s="16">
        <f>VLOOKUP(B:B,'[1]Master Sheet'!$B:$H,7,0)</f>
        <v>0</v>
      </c>
      <c r="I917" s="16">
        <f>VLOOKUP(B:B,'[1]Master Sheet'!$B:$I,8,0)</f>
        <v>0</v>
      </c>
      <c r="J917" s="16"/>
      <c r="K917" s="3" t="s">
        <v>2972</v>
      </c>
      <c r="L917" s="3" t="s">
        <v>3057</v>
      </c>
      <c r="M917" s="3" t="s">
        <v>3056</v>
      </c>
      <c r="N917" s="3"/>
      <c r="O917" s="3"/>
    </row>
    <row r="918" spans="1:15" s="4" customFormat="1">
      <c r="A918" s="2">
        <v>917</v>
      </c>
      <c r="B918" s="3" t="s">
        <v>2036</v>
      </c>
      <c r="C918" s="3" t="s">
        <v>2037</v>
      </c>
      <c r="D918" s="2" t="s">
        <v>17</v>
      </c>
      <c r="E918" s="2" t="s">
        <v>8</v>
      </c>
      <c r="F918" s="16"/>
      <c r="G918" s="16"/>
      <c r="H918" s="16">
        <f>VLOOKUP(B:B,'[1]Master Sheet'!$B:$H,7,0)</f>
        <v>100</v>
      </c>
      <c r="I918" s="16">
        <f>VLOOKUP(B:B,'[1]Master Sheet'!$B:$I,8,0)</f>
        <v>0</v>
      </c>
      <c r="J918" s="16"/>
      <c r="K918" s="3" t="s">
        <v>2972</v>
      </c>
      <c r="L918" s="3" t="s">
        <v>3057</v>
      </c>
      <c r="M918" s="3" t="s">
        <v>3056</v>
      </c>
      <c r="N918" s="3"/>
      <c r="O918" s="3"/>
    </row>
    <row r="919" spans="1:15" s="4" customFormat="1">
      <c r="A919" s="2">
        <v>918</v>
      </c>
      <c r="B919" s="3" t="s">
        <v>2038</v>
      </c>
      <c r="C919" s="3" t="s">
        <v>2039</v>
      </c>
      <c r="D919" s="2" t="s">
        <v>17</v>
      </c>
      <c r="E919" s="2" t="s">
        <v>8</v>
      </c>
      <c r="F919" s="16"/>
      <c r="G919" s="16"/>
      <c r="H919" s="16">
        <f>VLOOKUP(B:B,'[1]Master Sheet'!$B:$H,7,0)</f>
        <v>100</v>
      </c>
      <c r="I919" s="16">
        <f>VLOOKUP(B:B,'[1]Master Sheet'!$B:$I,8,0)</f>
        <v>0</v>
      </c>
      <c r="J919" s="16"/>
      <c r="K919" s="3" t="s">
        <v>2972</v>
      </c>
      <c r="L919" s="3" t="s">
        <v>3057</v>
      </c>
      <c r="M919" s="3" t="s">
        <v>3056</v>
      </c>
      <c r="N919" s="3"/>
      <c r="O919" s="3"/>
    </row>
    <row r="920" spans="1:15" s="4" customFormat="1">
      <c r="A920" s="2">
        <v>919</v>
      </c>
      <c r="B920" s="3" t="s">
        <v>2068</v>
      </c>
      <c r="C920" s="3" t="s">
        <v>2069</v>
      </c>
      <c r="D920" s="2" t="s">
        <v>17</v>
      </c>
      <c r="E920" s="2" t="s">
        <v>8</v>
      </c>
      <c r="F920" s="16"/>
      <c r="G920" s="16"/>
      <c r="H920" s="16">
        <f>VLOOKUP(B:B,'[1]Master Sheet'!$B:$H,7,0)</f>
        <v>500</v>
      </c>
      <c r="I920" s="16">
        <f>VLOOKUP(B:B,'[1]Master Sheet'!$B:$I,8,0)</f>
        <v>0</v>
      </c>
      <c r="J920" s="16"/>
      <c r="K920" s="3" t="s">
        <v>2972</v>
      </c>
      <c r="L920" s="3" t="s">
        <v>3060</v>
      </c>
      <c r="M920" s="3" t="s">
        <v>3058</v>
      </c>
      <c r="N920" s="3"/>
      <c r="O920" s="3"/>
    </row>
    <row r="921" spans="1:15" s="4" customFormat="1">
      <c r="A921" s="2">
        <v>920</v>
      </c>
      <c r="B921" s="3" t="s">
        <v>2070</v>
      </c>
      <c r="C921" s="3" t="s">
        <v>2071</v>
      </c>
      <c r="D921" s="2" t="s">
        <v>17</v>
      </c>
      <c r="E921" s="2" t="s">
        <v>8</v>
      </c>
      <c r="F921" s="16"/>
      <c r="G921" s="16"/>
      <c r="H921" s="16">
        <f>VLOOKUP(B:B,'[1]Master Sheet'!$B:$H,7,0)</f>
        <v>500</v>
      </c>
      <c r="I921" s="16">
        <f>VLOOKUP(B:B,'[1]Master Sheet'!$B:$I,8,0)</f>
        <v>0</v>
      </c>
      <c r="J921" s="16"/>
      <c r="K921" s="3" t="s">
        <v>2972</v>
      </c>
      <c r="L921" s="3" t="s">
        <v>3060</v>
      </c>
      <c r="M921" s="3" t="s">
        <v>3058</v>
      </c>
      <c r="N921" s="3"/>
      <c r="O921" s="3"/>
    </row>
    <row r="922" spans="1:15" s="4" customFormat="1">
      <c r="A922" s="2">
        <v>921</v>
      </c>
      <c r="B922" s="3" t="s">
        <v>2040</v>
      </c>
      <c r="C922" s="3" t="s">
        <v>2041</v>
      </c>
      <c r="D922" s="2" t="s">
        <v>17</v>
      </c>
      <c r="E922" s="2" t="s">
        <v>8</v>
      </c>
      <c r="F922" s="16"/>
      <c r="G922" s="16"/>
      <c r="H922" s="16">
        <f>VLOOKUP(B:B,'[1]Master Sheet'!$B:$H,7,0)</f>
        <v>0</v>
      </c>
      <c r="I922" s="16">
        <f>VLOOKUP(B:B,'[1]Master Sheet'!$B:$I,8,0)</f>
        <v>0</v>
      </c>
      <c r="J922" s="16"/>
      <c r="K922" s="3" t="s">
        <v>2972</v>
      </c>
      <c r="L922" s="3" t="s">
        <v>3057</v>
      </c>
      <c r="M922" s="3" t="s">
        <v>3056</v>
      </c>
      <c r="N922" s="3"/>
      <c r="O922" s="3"/>
    </row>
    <row r="923" spans="1:15" s="4" customFormat="1">
      <c r="A923" s="2">
        <v>922</v>
      </c>
      <c r="B923" s="3" t="s">
        <v>2042</v>
      </c>
      <c r="C923" s="3" t="s">
        <v>2043</v>
      </c>
      <c r="D923" s="2" t="s">
        <v>17</v>
      </c>
      <c r="E923" s="2" t="s">
        <v>8</v>
      </c>
      <c r="F923" s="16"/>
      <c r="G923" s="16"/>
      <c r="H923" s="16">
        <f>VLOOKUP(B:B,'[1]Master Sheet'!$B:$H,7,0)</f>
        <v>0</v>
      </c>
      <c r="I923" s="16">
        <f>VLOOKUP(B:B,'[1]Master Sheet'!$B:$I,8,0)</f>
        <v>0</v>
      </c>
      <c r="J923" s="16"/>
      <c r="K923" s="3" t="s">
        <v>2972</v>
      </c>
      <c r="L923" s="3" t="s">
        <v>3057</v>
      </c>
      <c r="M923" s="3" t="s">
        <v>3056</v>
      </c>
      <c r="N923" s="3"/>
      <c r="O923" s="3"/>
    </row>
    <row r="924" spans="1:15" s="4" customFormat="1">
      <c r="A924" s="2">
        <v>923</v>
      </c>
      <c r="B924" s="3" t="s">
        <v>2044</v>
      </c>
      <c r="C924" s="3" t="s">
        <v>2045</v>
      </c>
      <c r="D924" s="2" t="s">
        <v>17</v>
      </c>
      <c r="E924" s="2" t="s">
        <v>8</v>
      </c>
      <c r="F924" s="16"/>
      <c r="G924" s="16"/>
      <c r="H924" s="16">
        <f>VLOOKUP(B:B,'[1]Master Sheet'!$B:$H,7,0)</f>
        <v>100</v>
      </c>
      <c r="I924" s="16">
        <f>VLOOKUP(B:B,'[1]Master Sheet'!$B:$I,8,0)</f>
        <v>0</v>
      </c>
      <c r="J924" s="16"/>
      <c r="K924" s="3" t="s">
        <v>2972</v>
      </c>
      <c r="L924" s="3" t="s">
        <v>3057</v>
      </c>
      <c r="M924" s="3" t="s">
        <v>3056</v>
      </c>
      <c r="N924" s="3"/>
      <c r="O924" s="3"/>
    </row>
    <row r="925" spans="1:15" s="4" customFormat="1">
      <c r="A925" s="2">
        <v>924</v>
      </c>
      <c r="B925" s="3" t="s">
        <v>2078</v>
      </c>
      <c r="C925" s="3" t="s">
        <v>2079</v>
      </c>
      <c r="D925" s="2" t="s">
        <v>17</v>
      </c>
      <c r="E925" s="2" t="s">
        <v>8</v>
      </c>
      <c r="F925" s="16"/>
      <c r="G925" s="16"/>
      <c r="H925" s="16">
        <f>VLOOKUP(B:B,'[1]Master Sheet'!$B:$H,7,0)</f>
        <v>25</v>
      </c>
      <c r="I925" s="16">
        <f>VLOOKUP(B:B,'[1]Master Sheet'!$B:$I,8,0)</f>
        <v>0</v>
      </c>
      <c r="J925" s="16"/>
      <c r="K925" s="3" t="s">
        <v>2972</v>
      </c>
      <c r="L925" s="3" t="s">
        <v>3055</v>
      </c>
      <c r="M925" s="3" t="s">
        <v>3056</v>
      </c>
      <c r="N925" s="3"/>
      <c r="O925" s="3"/>
    </row>
    <row r="926" spans="1:15" s="4" customFormat="1">
      <c r="A926" s="2">
        <v>925</v>
      </c>
      <c r="B926" s="3" t="s">
        <v>2080</v>
      </c>
      <c r="C926" s="3" t="s">
        <v>2081</v>
      </c>
      <c r="D926" s="2" t="s">
        <v>17</v>
      </c>
      <c r="E926" s="2" t="s">
        <v>8</v>
      </c>
      <c r="F926" s="16"/>
      <c r="G926" s="16"/>
      <c r="H926" s="16">
        <f>VLOOKUP(B:B,'[1]Master Sheet'!$B:$H,7,0)</f>
        <v>250</v>
      </c>
      <c r="I926" s="16">
        <f>VLOOKUP(B:B,'[1]Master Sheet'!$B:$I,8,0)</f>
        <v>0</v>
      </c>
      <c r="J926" s="16"/>
      <c r="K926" s="3" t="s">
        <v>2991</v>
      </c>
      <c r="L926" s="3" t="s">
        <v>3060</v>
      </c>
      <c r="M926" s="3" t="s">
        <v>3058</v>
      </c>
      <c r="N926" s="3"/>
      <c r="O926" s="3"/>
    </row>
    <row r="927" spans="1:15" s="4" customFormat="1">
      <c r="A927" s="2">
        <v>926</v>
      </c>
      <c r="B927" s="3" t="s">
        <v>2082</v>
      </c>
      <c r="C927" s="3" t="s">
        <v>2083</v>
      </c>
      <c r="D927" s="2" t="s">
        <v>17</v>
      </c>
      <c r="E927" s="2" t="s">
        <v>8</v>
      </c>
      <c r="F927" s="16"/>
      <c r="G927" s="16"/>
      <c r="H927" s="16">
        <f>VLOOKUP(B:B,'[1]Master Sheet'!$B:$H,7,0)</f>
        <v>400</v>
      </c>
      <c r="I927" s="16">
        <f>VLOOKUP(B:B,'[1]Master Sheet'!$B:$I,8,0)</f>
        <v>0</v>
      </c>
      <c r="J927" s="16"/>
      <c r="K927" s="3" t="s">
        <v>2991</v>
      </c>
      <c r="L927" s="3" t="s">
        <v>3060</v>
      </c>
      <c r="M927" s="3" t="s">
        <v>3058</v>
      </c>
      <c r="N927" s="3"/>
      <c r="O927" s="3"/>
    </row>
    <row r="928" spans="1:15" s="4" customFormat="1">
      <c r="A928" s="2">
        <v>927</v>
      </c>
      <c r="B928" s="3" t="s">
        <v>2046</v>
      </c>
      <c r="C928" s="3" t="s">
        <v>2047</v>
      </c>
      <c r="D928" s="2" t="s">
        <v>17</v>
      </c>
      <c r="E928" s="2" t="s">
        <v>8</v>
      </c>
      <c r="F928" s="16"/>
      <c r="G928" s="16"/>
      <c r="H928" s="16">
        <f>VLOOKUP(B:B,'[1]Master Sheet'!$B:$H,7,0)</f>
        <v>0</v>
      </c>
      <c r="I928" s="16">
        <f>VLOOKUP(B:B,'[1]Master Sheet'!$B:$I,8,0)</f>
        <v>0</v>
      </c>
      <c r="J928" s="16"/>
      <c r="K928" s="3" t="s">
        <v>2972</v>
      </c>
      <c r="L928" s="3" t="s">
        <v>3057</v>
      </c>
      <c r="M928" s="3" t="s">
        <v>3056</v>
      </c>
      <c r="N928" s="3"/>
      <c r="O928" s="3"/>
    </row>
    <row r="929" spans="1:15" s="4" customFormat="1">
      <c r="A929" s="2">
        <v>928</v>
      </c>
      <c r="B929" s="3" t="s">
        <v>2086</v>
      </c>
      <c r="C929" s="3" t="s">
        <v>2087</v>
      </c>
      <c r="D929" s="2" t="s">
        <v>17</v>
      </c>
      <c r="E929" s="2" t="s">
        <v>8</v>
      </c>
      <c r="F929" s="16"/>
      <c r="G929" s="16"/>
      <c r="H929" s="16">
        <f>VLOOKUP(B:B,'[1]Master Sheet'!$B:$H,7,0)</f>
        <v>500</v>
      </c>
      <c r="I929" s="16">
        <f>VLOOKUP(B:B,'[1]Master Sheet'!$B:$I,8,0)</f>
        <v>0</v>
      </c>
      <c r="J929" s="16"/>
      <c r="K929" s="3" t="s">
        <v>2972</v>
      </c>
      <c r="L929" s="3" t="s">
        <v>3060</v>
      </c>
      <c r="M929" s="3" t="s">
        <v>3058</v>
      </c>
      <c r="N929" s="3"/>
      <c r="O929" s="3"/>
    </row>
    <row r="930" spans="1:15" s="4" customFormat="1">
      <c r="A930" s="2">
        <v>929</v>
      </c>
      <c r="B930" s="3" t="s">
        <v>2088</v>
      </c>
      <c r="C930" s="3" t="s">
        <v>2089</v>
      </c>
      <c r="D930" s="2" t="s">
        <v>17</v>
      </c>
      <c r="E930" s="2" t="s">
        <v>8</v>
      </c>
      <c r="F930" s="16"/>
      <c r="G930" s="16"/>
      <c r="H930" s="16">
        <f>VLOOKUP(B:B,'[1]Master Sheet'!$B:$H,7,0)</f>
        <v>500</v>
      </c>
      <c r="I930" s="16">
        <f>VLOOKUP(B:B,'[1]Master Sheet'!$B:$I,8,0)</f>
        <v>0</v>
      </c>
      <c r="J930" s="16"/>
      <c r="K930" s="3" t="s">
        <v>2972</v>
      </c>
      <c r="L930" s="3" t="s">
        <v>3060</v>
      </c>
      <c r="M930" s="3" t="s">
        <v>3058</v>
      </c>
      <c r="N930" s="3"/>
      <c r="O930" s="3"/>
    </row>
    <row r="931" spans="1:15" s="4" customFormat="1">
      <c r="A931" s="2">
        <v>930</v>
      </c>
      <c r="B931" s="3" t="s">
        <v>2048</v>
      </c>
      <c r="C931" s="3" t="s">
        <v>2049</v>
      </c>
      <c r="D931" s="2" t="s">
        <v>17</v>
      </c>
      <c r="E931" s="2" t="s">
        <v>8</v>
      </c>
      <c r="F931" s="16"/>
      <c r="G931" s="16"/>
      <c r="H931" s="16">
        <f>VLOOKUP(B:B,'[1]Master Sheet'!$B:$H,7,0)</f>
        <v>0</v>
      </c>
      <c r="I931" s="16">
        <f>VLOOKUP(B:B,'[1]Master Sheet'!$B:$I,8,0)</f>
        <v>0</v>
      </c>
      <c r="J931" s="16"/>
      <c r="K931" s="3" t="s">
        <v>2972</v>
      </c>
      <c r="L931" s="3" t="s">
        <v>3057</v>
      </c>
      <c r="M931" s="3" t="s">
        <v>3056</v>
      </c>
      <c r="N931" s="3"/>
      <c r="O931" s="3"/>
    </row>
    <row r="932" spans="1:15" s="4" customFormat="1">
      <c r="A932" s="2">
        <v>931</v>
      </c>
      <c r="B932" s="3" t="s">
        <v>2050</v>
      </c>
      <c r="C932" s="3" t="s">
        <v>2051</v>
      </c>
      <c r="D932" s="2" t="s">
        <v>17</v>
      </c>
      <c r="E932" s="2" t="s">
        <v>8</v>
      </c>
      <c r="F932" s="16"/>
      <c r="G932" s="16"/>
      <c r="H932" s="16">
        <f>VLOOKUP(B:B,'[1]Master Sheet'!$B:$H,7,0)</f>
        <v>0</v>
      </c>
      <c r="I932" s="16">
        <f>VLOOKUP(B:B,'[1]Master Sheet'!$B:$I,8,0)</f>
        <v>0</v>
      </c>
      <c r="J932" s="16"/>
      <c r="K932" s="3" t="s">
        <v>2972</v>
      </c>
      <c r="L932" s="3" t="s">
        <v>3057</v>
      </c>
      <c r="M932" s="3" t="s">
        <v>3056</v>
      </c>
      <c r="N932" s="3"/>
      <c r="O932" s="3"/>
    </row>
    <row r="933" spans="1:15" s="4" customFormat="1">
      <c r="A933" s="2">
        <v>932</v>
      </c>
      <c r="B933" s="3" t="s">
        <v>2098</v>
      </c>
      <c r="C933" s="3" t="s">
        <v>2099</v>
      </c>
      <c r="D933" s="2" t="s">
        <v>17</v>
      </c>
      <c r="E933" s="2" t="s">
        <v>8</v>
      </c>
      <c r="F933" s="16"/>
      <c r="G933" s="16"/>
      <c r="H933" s="16">
        <f>VLOOKUP(B:B,'[1]Master Sheet'!$B:$H,7,0)</f>
        <v>150</v>
      </c>
      <c r="I933" s="16">
        <f>VLOOKUP(B:B,'[1]Master Sheet'!$B:$I,8,0)</f>
        <v>0</v>
      </c>
      <c r="J933" s="16"/>
      <c r="K933" s="3" t="s">
        <v>3006</v>
      </c>
      <c r="L933" s="3" t="s">
        <v>3060</v>
      </c>
      <c r="M933" s="3" t="s">
        <v>3064</v>
      </c>
      <c r="N933" s="3"/>
      <c r="O933" s="3"/>
    </row>
    <row r="934" spans="1:15" s="4" customFormat="1">
      <c r="A934" s="2">
        <v>933</v>
      </c>
      <c r="B934" s="3" t="s">
        <v>2052</v>
      </c>
      <c r="C934" s="3" t="s">
        <v>2053</v>
      </c>
      <c r="D934" s="2" t="s">
        <v>17</v>
      </c>
      <c r="E934" s="2" t="s">
        <v>8</v>
      </c>
      <c r="F934" s="16"/>
      <c r="G934" s="16"/>
      <c r="H934" s="16">
        <f>VLOOKUP(B:B,'[1]Master Sheet'!$B:$H,7,0)</f>
        <v>100</v>
      </c>
      <c r="I934" s="16">
        <f>VLOOKUP(B:B,'[1]Master Sheet'!$B:$I,8,0)</f>
        <v>0</v>
      </c>
      <c r="J934" s="16"/>
      <c r="K934" s="3" t="s">
        <v>2972</v>
      </c>
      <c r="L934" s="3" t="s">
        <v>3057</v>
      </c>
      <c r="M934" s="3" t="s">
        <v>3056</v>
      </c>
      <c r="N934" s="3"/>
      <c r="O934" s="3"/>
    </row>
    <row r="935" spans="1:15" s="4" customFormat="1">
      <c r="A935" s="2">
        <v>934</v>
      </c>
      <c r="B935" s="3" t="s">
        <v>2054</v>
      </c>
      <c r="C935" s="3" t="s">
        <v>2055</v>
      </c>
      <c r="D935" s="2" t="s">
        <v>17</v>
      </c>
      <c r="E935" s="2" t="s">
        <v>8</v>
      </c>
      <c r="F935" s="16"/>
      <c r="G935" s="16"/>
      <c r="H935" s="16">
        <f>VLOOKUP(B:B,'[1]Master Sheet'!$B:$H,7,0)</f>
        <v>0</v>
      </c>
      <c r="I935" s="16">
        <f>VLOOKUP(B:B,'[1]Master Sheet'!$B:$I,8,0)</f>
        <v>0</v>
      </c>
      <c r="J935" s="16"/>
      <c r="K935" s="3" t="s">
        <v>2972</v>
      </c>
      <c r="L935" s="3" t="s">
        <v>3057</v>
      </c>
      <c r="M935" s="3" t="s">
        <v>3056</v>
      </c>
      <c r="N935" s="3"/>
      <c r="O935" s="3"/>
    </row>
    <row r="936" spans="1:15" s="4" customFormat="1">
      <c r="A936" s="2">
        <v>935</v>
      </c>
      <c r="B936" s="3" t="s">
        <v>2056</v>
      </c>
      <c r="C936" s="3" t="s">
        <v>2057</v>
      </c>
      <c r="D936" s="2" t="s">
        <v>17</v>
      </c>
      <c r="E936" s="2" t="s">
        <v>8</v>
      </c>
      <c r="F936" s="16"/>
      <c r="G936" s="16"/>
      <c r="H936" s="16">
        <f>VLOOKUP(B:B,'[1]Master Sheet'!$B:$H,7,0)</f>
        <v>0</v>
      </c>
      <c r="I936" s="16">
        <f>VLOOKUP(B:B,'[1]Master Sheet'!$B:$I,8,0)</f>
        <v>0</v>
      </c>
      <c r="J936" s="16"/>
      <c r="K936" s="3" t="s">
        <v>2972</v>
      </c>
      <c r="L936" s="3" t="s">
        <v>3057</v>
      </c>
      <c r="M936" s="3" t="s">
        <v>3056</v>
      </c>
      <c r="N936" s="3"/>
      <c r="O936" s="3"/>
    </row>
    <row r="937" spans="1:15" s="4" customFormat="1">
      <c r="A937" s="2">
        <v>936</v>
      </c>
      <c r="B937" s="3" t="s">
        <v>2516</v>
      </c>
      <c r="C937" s="3" t="s">
        <v>2517</v>
      </c>
      <c r="D937" s="2" t="s">
        <v>17</v>
      </c>
      <c r="E937" s="2" t="s">
        <v>8</v>
      </c>
      <c r="F937" s="16"/>
      <c r="G937" s="16"/>
      <c r="H937" s="16">
        <f>VLOOKUP(B:B,'[1]Master Sheet'!$B:$H,7,0)</f>
        <v>100</v>
      </c>
      <c r="I937" s="16">
        <f>VLOOKUP(B:B,'[1]Master Sheet'!$B:$I,8,0)</f>
        <v>0</v>
      </c>
      <c r="J937" s="16"/>
      <c r="K937" s="3" t="s">
        <v>2982</v>
      </c>
      <c r="L937" s="3" t="s">
        <v>3057</v>
      </c>
      <c r="M937" s="3" t="s">
        <v>3058</v>
      </c>
      <c r="N937" s="3"/>
      <c r="O937" s="3"/>
    </row>
    <row r="938" spans="1:15" s="4" customFormat="1">
      <c r="A938" s="2">
        <v>937</v>
      </c>
      <c r="B938" s="3" t="s">
        <v>2110</v>
      </c>
      <c r="C938" s="3" t="s">
        <v>2111</v>
      </c>
      <c r="D938" s="2" t="s">
        <v>17</v>
      </c>
      <c r="E938" s="2" t="s">
        <v>8</v>
      </c>
      <c r="F938" s="16"/>
      <c r="G938" s="16"/>
      <c r="H938" s="16">
        <f>VLOOKUP(B:B,'[1]Master Sheet'!$B:$H,7,0)</f>
        <v>0</v>
      </c>
      <c r="I938" s="16">
        <f>VLOOKUP(B:B,'[1]Master Sheet'!$B:$I,8,0)</f>
        <v>0</v>
      </c>
      <c r="J938" s="16"/>
      <c r="K938" s="3" t="s">
        <v>2972</v>
      </c>
      <c r="L938" s="3" t="s">
        <v>3060</v>
      </c>
      <c r="M938" s="3" t="s">
        <v>3058</v>
      </c>
      <c r="N938" s="3"/>
      <c r="O938" s="3"/>
    </row>
    <row r="939" spans="1:15" s="4" customFormat="1">
      <c r="A939" s="2">
        <v>938</v>
      </c>
      <c r="B939" s="3" t="s">
        <v>2112</v>
      </c>
      <c r="C939" s="3" t="s">
        <v>2113</v>
      </c>
      <c r="D939" s="2" t="s">
        <v>17</v>
      </c>
      <c r="E939" s="2" t="s">
        <v>8</v>
      </c>
      <c r="F939" s="16"/>
      <c r="G939" s="16"/>
      <c r="H939" s="16">
        <f>VLOOKUP(B:B,'[1]Master Sheet'!$B:$H,7,0)</f>
        <v>0</v>
      </c>
      <c r="I939" s="16">
        <f>VLOOKUP(B:B,'[1]Master Sheet'!$B:$I,8,0)</f>
        <v>0</v>
      </c>
      <c r="J939" s="16"/>
      <c r="K939" s="3" t="s">
        <v>2982</v>
      </c>
      <c r="L939" s="3" t="s">
        <v>3060</v>
      </c>
      <c r="M939" s="3" t="s">
        <v>3058</v>
      </c>
      <c r="N939" s="3"/>
      <c r="O939" s="3"/>
    </row>
    <row r="940" spans="1:15" s="4" customFormat="1">
      <c r="A940" s="2">
        <v>939</v>
      </c>
      <c r="B940" s="3" t="s">
        <v>2114</v>
      </c>
      <c r="C940" s="3" t="s">
        <v>2115</v>
      </c>
      <c r="D940" s="2" t="s">
        <v>17</v>
      </c>
      <c r="E940" s="2" t="s">
        <v>8</v>
      </c>
      <c r="F940" s="16"/>
      <c r="G940" s="16"/>
      <c r="H940" s="16">
        <f>VLOOKUP(B:B,'[1]Master Sheet'!$B:$H,7,0)</f>
        <v>0</v>
      </c>
      <c r="I940" s="16">
        <f>VLOOKUP(B:B,'[1]Master Sheet'!$B:$I,8,0)</f>
        <v>0</v>
      </c>
      <c r="J940" s="16"/>
      <c r="K940" s="3" t="s">
        <v>2982</v>
      </c>
      <c r="L940" s="3" t="s">
        <v>3060</v>
      </c>
      <c r="M940" s="3" t="s">
        <v>3058</v>
      </c>
      <c r="N940" s="3"/>
      <c r="O940" s="3"/>
    </row>
    <row r="941" spans="1:15" s="4" customFormat="1">
      <c r="A941" s="2">
        <v>940</v>
      </c>
      <c r="B941" s="3" t="s">
        <v>2064</v>
      </c>
      <c r="C941" s="3" t="s">
        <v>2065</v>
      </c>
      <c r="D941" s="2" t="s">
        <v>17</v>
      </c>
      <c r="E941" s="2" t="s">
        <v>8</v>
      </c>
      <c r="F941" s="16"/>
      <c r="G941" s="16"/>
      <c r="H941" s="16">
        <f>VLOOKUP(B:B,'[1]Master Sheet'!$B:$H,7,0)</f>
        <v>750</v>
      </c>
      <c r="I941" s="16">
        <f>VLOOKUP(B:B,'[1]Master Sheet'!$B:$I,8,0)</f>
        <v>0</v>
      </c>
      <c r="J941" s="16"/>
      <c r="K941" s="3" t="s">
        <v>2972</v>
      </c>
      <c r="L941" s="3" t="s">
        <v>3057</v>
      </c>
      <c r="M941" s="3" t="s">
        <v>3058</v>
      </c>
      <c r="N941" s="3"/>
      <c r="O941" s="3"/>
    </row>
    <row r="942" spans="1:15" s="4" customFormat="1">
      <c r="A942" s="2">
        <v>941</v>
      </c>
      <c r="B942" s="3" t="s">
        <v>2118</v>
      </c>
      <c r="C942" s="3" t="s">
        <v>2119</v>
      </c>
      <c r="D942" s="2" t="s">
        <v>20</v>
      </c>
      <c r="E942" s="2" t="s">
        <v>8</v>
      </c>
      <c r="F942" s="16"/>
      <c r="G942" s="16"/>
      <c r="H942" s="16">
        <f>VLOOKUP(B:B,'[1]Master Sheet'!$B:$H,7,0)</f>
        <v>0</v>
      </c>
      <c r="I942" s="16">
        <f>VLOOKUP(B:B,'[1]Master Sheet'!$B:$I,8,0)</f>
        <v>0</v>
      </c>
      <c r="J942" s="16"/>
      <c r="K942" s="3" t="s">
        <v>3034</v>
      </c>
      <c r="L942" s="3" t="s">
        <v>3059</v>
      </c>
      <c r="M942" s="3" t="s">
        <v>3056</v>
      </c>
      <c r="N942" s="3"/>
      <c r="O942" s="3"/>
    </row>
    <row r="943" spans="1:15" s="4" customFormat="1">
      <c r="A943" s="2">
        <v>942</v>
      </c>
      <c r="B943" s="3" t="s">
        <v>2120</v>
      </c>
      <c r="C943" s="3" t="s">
        <v>2121</v>
      </c>
      <c r="D943" s="2" t="s">
        <v>20</v>
      </c>
      <c r="E943" s="2" t="s">
        <v>8</v>
      </c>
      <c r="F943" s="16"/>
      <c r="G943" s="16"/>
      <c r="H943" s="16">
        <f>VLOOKUP(B:B,'[1]Master Sheet'!$B:$H,7,0)</f>
        <v>5000</v>
      </c>
      <c r="I943" s="16">
        <f>VLOOKUP(B:B,'[1]Master Sheet'!$B:$I,8,0)</f>
        <v>0</v>
      </c>
      <c r="J943" s="16"/>
      <c r="K943" s="3" t="s">
        <v>3034</v>
      </c>
      <c r="L943" s="3" t="s">
        <v>3059</v>
      </c>
      <c r="M943" s="3" t="s">
        <v>3056</v>
      </c>
      <c r="N943" s="3"/>
      <c r="O943" s="3"/>
    </row>
    <row r="944" spans="1:15" s="4" customFormat="1">
      <c r="A944" s="2">
        <v>943</v>
      </c>
      <c r="B944" s="3" t="s">
        <v>2122</v>
      </c>
      <c r="C944" s="3" t="s">
        <v>2123</v>
      </c>
      <c r="D944" s="2" t="s">
        <v>20</v>
      </c>
      <c r="E944" s="2" t="s">
        <v>8</v>
      </c>
      <c r="F944" s="16"/>
      <c r="G944" s="16"/>
      <c r="H944" s="16">
        <f>VLOOKUP(B:B,'[1]Master Sheet'!$B:$H,7,0)</f>
        <v>0</v>
      </c>
      <c r="I944" s="16">
        <f>VLOOKUP(B:B,'[1]Master Sheet'!$B:$I,8,0)</f>
        <v>0</v>
      </c>
      <c r="J944" s="16"/>
      <c r="K944" s="3" t="s">
        <v>3034</v>
      </c>
      <c r="L944" s="3" t="s">
        <v>3059</v>
      </c>
      <c r="M944" s="3" t="s">
        <v>3056</v>
      </c>
      <c r="N944" s="3"/>
      <c r="O944" s="3"/>
    </row>
    <row r="945" spans="1:15" s="4" customFormat="1">
      <c r="A945" s="2">
        <v>944</v>
      </c>
      <c r="B945" s="3" t="s">
        <v>2124</v>
      </c>
      <c r="C945" s="3" t="s">
        <v>2125</v>
      </c>
      <c r="D945" s="2" t="s">
        <v>17</v>
      </c>
      <c r="E945" s="2" t="s">
        <v>8</v>
      </c>
      <c r="F945" s="16"/>
      <c r="G945" s="16"/>
      <c r="H945" s="16">
        <f>VLOOKUP(B:B,'[1]Master Sheet'!$B:$H,7,0)</f>
        <v>0</v>
      </c>
      <c r="I945" s="16">
        <f>VLOOKUP(B:B,'[1]Master Sheet'!$B:$I,8,0)</f>
        <v>0</v>
      </c>
      <c r="J945" s="16"/>
      <c r="K945" s="3" t="s">
        <v>3002</v>
      </c>
      <c r="L945" s="3" t="s">
        <v>3055</v>
      </c>
      <c r="M945" s="3" t="s">
        <v>3056</v>
      </c>
      <c r="N945" s="3"/>
      <c r="O945" s="3"/>
    </row>
    <row r="946" spans="1:15" s="4" customFormat="1">
      <c r="A946" s="2">
        <v>945</v>
      </c>
      <c r="B946" s="3" t="s">
        <v>2126</v>
      </c>
      <c r="C946" s="3" t="s">
        <v>2127</v>
      </c>
      <c r="D946" s="2" t="s">
        <v>17</v>
      </c>
      <c r="E946" s="2" t="s">
        <v>8</v>
      </c>
      <c r="F946" s="16"/>
      <c r="G946" s="16"/>
      <c r="H946" s="16">
        <f>VLOOKUP(B:B,'[1]Master Sheet'!$B:$H,7,0)</f>
        <v>0</v>
      </c>
      <c r="I946" s="16">
        <f>VLOOKUP(B:B,'[1]Master Sheet'!$B:$I,8,0)</f>
        <v>0</v>
      </c>
      <c r="J946" s="16"/>
      <c r="K946" s="3" t="s">
        <v>2982</v>
      </c>
      <c r="L946" s="3" t="s">
        <v>3060</v>
      </c>
      <c r="M946" s="3" t="s">
        <v>3058</v>
      </c>
      <c r="N946" s="3"/>
      <c r="O946" s="3"/>
    </row>
    <row r="947" spans="1:15" s="4" customFormat="1">
      <c r="A947" s="2">
        <v>946</v>
      </c>
      <c r="B947" s="3" t="s">
        <v>2072</v>
      </c>
      <c r="C947" s="3" t="s">
        <v>2073</v>
      </c>
      <c r="D947" s="2" t="s">
        <v>7</v>
      </c>
      <c r="E947" s="2" t="s">
        <v>8</v>
      </c>
      <c r="F947" s="16"/>
      <c r="G947" s="16"/>
      <c r="H947" s="16">
        <f>VLOOKUP(B:B,'[1]Master Sheet'!$B:$H,7,0)</f>
        <v>1500</v>
      </c>
      <c r="I947" s="16">
        <f>VLOOKUP(B:B,'[1]Master Sheet'!$B:$I,8,0)</f>
        <v>0</v>
      </c>
      <c r="J947" s="16"/>
      <c r="K947" s="3" t="s">
        <v>2972</v>
      </c>
      <c r="L947" s="3" t="s">
        <v>3057</v>
      </c>
      <c r="M947" s="3" t="s">
        <v>3056</v>
      </c>
      <c r="N947" s="3"/>
      <c r="O947" s="3"/>
    </row>
    <row r="948" spans="1:15" s="4" customFormat="1">
      <c r="A948" s="2">
        <v>947</v>
      </c>
      <c r="B948" s="3" t="s">
        <v>2074</v>
      </c>
      <c r="C948" s="3" t="s">
        <v>2075</v>
      </c>
      <c r="D948" s="2" t="s">
        <v>7</v>
      </c>
      <c r="E948" s="2" t="s">
        <v>8</v>
      </c>
      <c r="F948" s="16"/>
      <c r="G948" s="16"/>
      <c r="H948" s="16">
        <f>VLOOKUP(B:B,'[1]Master Sheet'!$B:$H,7,0)</f>
        <v>1500</v>
      </c>
      <c r="I948" s="16">
        <f>VLOOKUP(B:B,'[1]Master Sheet'!$B:$I,8,0)</f>
        <v>0</v>
      </c>
      <c r="J948" s="16"/>
      <c r="K948" s="3" t="s">
        <v>2972</v>
      </c>
      <c r="L948" s="3" t="s">
        <v>3057</v>
      </c>
      <c r="M948" s="3" t="s">
        <v>3056</v>
      </c>
      <c r="N948" s="3"/>
      <c r="O948" s="3"/>
    </row>
    <row r="949" spans="1:15" s="4" customFormat="1">
      <c r="A949" s="2">
        <v>948</v>
      </c>
      <c r="B949" s="3" t="s">
        <v>2076</v>
      </c>
      <c r="C949" s="3" t="s">
        <v>2077</v>
      </c>
      <c r="D949" s="2" t="s">
        <v>7</v>
      </c>
      <c r="E949" s="2" t="s">
        <v>8</v>
      </c>
      <c r="F949" s="16"/>
      <c r="G949" s="16"/>
      <c r="H949" s="16">
        <f>VLOOKUP(B:B,'[1]Master Sheet'!$B:$H,7,0)</f>
        <v>1500</v>
      </c>
      <c r="I949" s="16">
        <f>VLOOKUP(B:B,'[1]Master Sheet'!$B:$I,8,0)</f>
        <v>1600</v>
      </c>
      <c r="J949" s="16"/>
      <c r="K949" s="3" t="s">
        <v>2972</v>
      </c>
      <c r="L949" s="3" t="s">
        <v>3057</v>
      </c>
      <c r="M949" s="3" t="s">
        <v>3056</v>
      </c>
      <c r="N949" s="3"/>
      <c r="O949" s="3"/>
    </row>
    <row r="950" spans="1:15" s="4" customFormat="1">
      <c r="A950" s="2">
        <v>949</v>
      </c>
      <c r="B950" s="3" t="s">
        <v>2084</v>
      </c>
      <c r="C950" s="3" t="s">
        <v>2085</v>
      </c>
      <c r="D950" s="2" t="s">
        <v>17</v>
      </c>
      <c r="E950" s="2" t="s">
        <v>8</v>
      </c>
      <c r="F950" s="16"/>
      <c r="G950" s="16"/>
      <c r="H950" s="16">
        <f>VLOOKUP(B:B,'[1]Master Sheet'!$B:$H,7,0)</f>
        <v>0</v>
      </c>
      <c r="I950" s="16">
        <f>VLOOKUP(B:B,'[1]Master Sheet'!$B:$I,8,0)</f>
        <v>0</v>
      </c>
      <c r="J950" s="16"/>
      <c r="K950" s="3" t="s">
        <v>2972</v>
      </c>
      <c r="L950" s="3" t="s">
        <v>3057</v>
      </c>
      <c r="M950" s="3" t="s">
        <v>3056</v>
      </c>
      <c r="N950" s="3"/>
      <c r="O950" s="3"/>
    </row>
    <row r="951" spans="1:15" s="4" customFormat="1">
      <c r="A951" s="2">
        <v>950</v>
      </c>
      <c r="B951" s="3" t="s">
        <v>2090</v>
      </c>
      <c r="C951" s="3" t="s">
        <v>2091</v>
      </c>
      <c r="D951" s="2" t="s">
        <v>17</v>
      </c>
      <c r="E951" s="2" t="s">
        <v>8</v>
      </c>
      <c r="F951" s="16"/>
      <c r="G951" s="16"/>
      <c r="H951" s="16">
        <f>VLOOKUP(B:B,'[1]Master Sheet'!$B:$H,7,0)</f>
        <v>350</v>
      </c>
      <c r="I951" s="16">
        <f>VLOOKUP(B:B,'[1]Master Sheet'!$B:$I,8,0)</f>
        <v>0</v>
      </c>
      <c r="J951" s="16"/>
      <c r="K951" s="3" t="s">
        <v>2963</v>
      </c>
      <c r="L951" s="3" t="s">
        <v>3057</v>
      </c>
      <c r="M951" s="3" t="s">
        <v>3056</v>
      </c>
      <c r="N951" s="3"/>
      <c r="O951" s="3"/>
    </row>
    <row r="952" spans="1:15" s="4" customFormat="1">
      <c r="A952" s="2">
        <v>951</v>
      </c>
      <c r="B952" s="3" t="s">
        <v>2139</v>
      </c>
      <c r="C952" s="3" t="s">
        <v>2140</v>
      </c>
      <c r="D952" s="2" t="s">
        <v>7</v>
      </c>
      <c r="E952" s="2" t="s">
        <v>8</v>
      </c>
      <c r="F952" s="16"/>
      <c r="G952" s="16"/>
      <c r="H952" s="16">
        <f>VLOOKUP(B:B,'[1]Master Sheet'!$B:$H,7,0)</f>
        <v>100</v>
      </c>
      <c r="I952" s="16">
        <f>VLOOKUP(B:B,'[1]Master Sheet'!$B:$I,8,0)</f>
        <v>0</v>
      </c>
      <c r="J952" s="16"/>
      <c r="K952" s="3" t="s">
        <v>2965</v>
      </c>
      <c r="L952" s="3" t="s">
        <v>3055</v>
      </c>
      <c r="M952" s="3" t="s">
        <v>3056</v>
      </c>
      <c r="N952" s="3"/>
      <c r="O952" s="3"/>
    </row>
    <row r="953" spans="1:15" s="4" customFormat="1">
      <c r="A953" s="2">
        <v>952</v>
      </c>
      <c r="B953" s="3" t="s">
        <v>2143</v>
      </c>
      <c r="C953" s="3" t="s">
        <v>2144</v>
      </c>
      <c r="D953" s="2" t="s">
        <v>7</v>
      </c>
      <c r="E953" s="2" t="s">
        <v>8</v>
      </c>
      <c r="F953" s="16"/>
      <c r="G953" s="16"/>
      <c r="H953" s="16">
        <f>VLOOKUP(B:B,'[1]Master Sheet'!$B:$H,7,0)</f>
        <v>0</v>
      </c>
      <c r="I953" s="16">
        <f>VLOOKUP(B:B,'[1]Master Sheet'!$B:$I,8,0)</f>
        <v>0</v>
      </c>
      <c r="J953" s="16"/>
      <c r="K953" s="3" t="s">
        <v>2965</v>
      </c>
      <c r="L953" s="3" t="s">
        <v>3060</v>
      </c>
      <c r="M953" s="3" t="s">
        <v>3058</v>
      </c>
      <c r="N953" s="3"/>
      <c r="O953" s="3"/>
    </row>
    <row r="954" spans="1:15" s="4" customFormat="1">
      <c r="A954" s="2">
        <v>953</v>
      </c>
      <c r="B954" s="3" t="s">
        <v>2145</v>
      </c>
      <c r="C954" s="3" t="s">
        <v>2146</v>
      </c>
      <c r="D954" s="2" t="s">
        <v>17</v>
      </c>
      <c r="E954" s="2" t="s">
        <v>8</v>
      </c>
      <c r="F954" s="16"/>
      <c r="G954" s="16"/>
      <c r="H954" s="16">
        <f>VLOOKUP(B:B,'[1]Master Sheet'!$B:$H,7,0)</f>
        <v>0</v>
      </c>
      <c r="I954" s="16">
        <f>VLOOKUP(B:B,'[1]Master Sheet'!$B:$I,8,0)</f>
        <v>0</v>
      </c>
      <c r="J954" s="16"/>
      <c r="K954" s="3" t="s">
        <v>2982</v>
      </c>
      <c r="L954" s="3" t="s">
        <v>3060</v>
      </c>
      <c r="M954" s="3" t="s">
        <v>3058</v>
      </c>
      <c r="N954" s="3"/>
      <c r="O954" s="3"/>
    </row>
    <row r="955" spans="1:15" s="4" customFormat="1">
      <c r="A955" s="2">
        <v>954</v>
      </c>
      <c r="B955" s="3" t="s">
        <v>2147</v>
      </c>
      <c r="C955" s="3" t="s">
        <v>2148</v>
      </c>
      <c r="D955" s="2" t="s">
        <v>20</v>
      </c>
      <c r="E955" s="2" t="s">
        <v>8</v>
      </c>
      <c r="F955" s="16"/>
      <c r="G955" s="16"/>
      <c r="H955" s="16">
        <f>VLOOKUP(B:B,'[1]Master Sheet'!$B:$H,7,0)</f>
        <v>0</v>
      </c>
      <c r="I955" s="16">
        <f>VLOOKUP(B:B,'[1]Master Sheet'!$B:$I,8,0)</f>
        <v>0</v>
      </c>
      <c r="J955" s="16"/>
      <c r="K955" s="3" t="s">
        <v>3000</v>
      </c>
      <c r="L955" s="3" t="s">
        <v>3059</v>
      </c>
      <c r="M955" s="3" t="s">
        <v>3056</v>
      </c>
      <c r="N955" s="3"/>
      <c r="O955" s="3"/>
    </row>
    <row r="956" spans="1:15" s="4" customFormat="1">
      <c r="A956" s="2">
        <v>955</v>
      </c>
      <c r="B956" s="3" t="s">
        <v>2149</v>
      </c>
      <c r="C956" s="3" t="s">
        <v>2150</v>
      </c>
      <c r="D956" s="2" t="s">
        <v>20</v>
      </c>
      <c r="E956" s="2" t="s">
        <v>8</v>
      </c>
      <c r="F956" s="16"/>
      <c r="G956" s="16"/>
      <c r="H956" s="16">
        <f>VLOOKUP(B:B,'[1]Master Sheet'!$B:$H,7,0)</f>
        <v>0</v>
      </c>
      <c r="I956" s="16">
        <f>VLOOKUP(B:B,'[1]Master Sheet'!$B:$I,8,0)</f>
        <v>0</v>
      </c>
      <c r="J956" s="16"/>
      <c r="K956" s="3" t="s">
        <v>3000</v>
      </c>
      <c r="L956" s="3" t="s">
        <v>3059</v>
      </c>
      <c r="M956" s="3" t="s">
        <v>3056</v>
      </c>
      <c r="N956" s="3"/>
      <c r="O956" s="3"/>
    </row>
    <row r="957" spans="1:15" s="4" customFormat="1">
      <c r="A957" s="2">
        <v>956</v>
      </c>
      <c r="B957" s="3" t="s">
        <v>2151</v>
      </c>
      <c r="C957" s="3" t="s">
        <v>2152</v>
      </c>
      <c r="D957" s="2" t="s">
        <v>20</v>
      </c>
      <c r="E957" s="2" t="s">
        <v>8</v>
      </c>
      <c r="F957" s="16"/>
      <c r="G957" s="16"/>
      <c r="H957" s="16">
        <f>VLOOKUP(B:B,'[1]Master Sheet'!$B:$H,7,0)</f>
        <v>0</v>
      </c>
      <c r="I957" s="16">
        <f>VLOOKUP(B:B,'[1]Master Sheet'!$B:$I,8,0)</f>
        <v>0</v>
      </c>
      <c r="J957" s="16"/>
      <c r="K957" s="3" t="s">
        <v>3000</v>
      </c>
      <c r="L957" s="3" t="s">
        <v>3059</v>
      </c>
      <c r="M957" s="3" t="s">
        <v>3056</v>
      </c>
      <c r="N957" s="3"/>
      <c r="O957" s="3"/>
    </row>
    <row r="958" spans="1:15" s="4" customFormat="1">
      <c r="A958" s="2">
        <v>957</v>
      </c>
      <c r="B958" s="3" t="s">
        <v>2153</v>
      </c>
      <c r="C958" s="3" t="s">
        <v>2154</v>
      </c>
      <c r="D958" s="2" t="s">
        <v>20</v>
      </c>
      <c r="E958" s="2" t="s">
        <v>8</v>
      </c>
      <c r="F958" s="16"/>
      <c r="G958" s="16"/>
      <c r="H958" s="16">
        <f>VLOOKUP(B:B,'[1]Master Sheet'!$B:$H,7,0)</f>
        <v>0</v>
      </c>
      <c r="I958" s="16">
        <f>VLOOKUP(B:B,'[1]Master Sheet'!$B:$I,8,0)</f>
        <v>0</v>
      </c>
      <c r="J958" s="16"/>
      <c r="K958" s="3" t="s">
        <v>3000</v>
      </c>
      <c r="L958" s="3" t="s">
        <v>3059</v>
      </c>
      <c r="M958" s="3" t="s">
        <v>3056</v>
      </c>
      <c r="N958" s="3"/>
      <c r="O958" s="3"/>
    </row>
    <row r="959" spans="1:15" s="4" customFormat="1">
      <c r="A959" s="2">
        <v>958</v>
      </c>
      <c r="B959" s="3" t="s">
        <v>2092</v>
      </c>
      <c r="C959" s="3" t="s">
        <v>2093</v>
      </c>
      <c r="D959" s="2" t="s">
        <v>17</v>
      </c>
      <c r="E959" s="2" t="s">
        <v>8</v>
      </c>
      <c r="F959" s="16"/>
      <c r="G959" s="16"/>
      <c r="H959" s="16">
        <f>VLOOKUP(B:B,'[1]Master Sheet'!$B:$H,7,0)</f>
        <v>0</v>
      </c>
      <c r="I959" s="16">
        <f>VLOOKUP(B:B,'[1]Master Sheet'!$B:$I,8,0)</f>
        <v>0</v>
      </c>
      <c r="J959" s="16"/>
      <c r="K959" s="3" t="s">
        <v>2972</v>
      </c>
      <c r="L959" s="3" t="s">
        <v>3057</v>
      </c>
      <c r="M959" s="3" t="s">
        <v>3056</v>
      </c>
      <c r="N959" s="3"/>
      <c r="O959" s="3"/>
    </row>
    <row r="960" spans="1:15" s="4" customFormat="1">
      <c r="A960" s="2">
        <v>959</v>
      </c>
      <c r="B960" s="3" t="s">
        <v>2100</v>
      </c>
      <c r="C960" s="3" t="s">
        <v>2101</v>
      </c>
      <c r="D960" s="2" t="s">
        <v>17</v>
      </c>
      <c r="E960" s="2" t="s">
        <v>8</v>
      </c>
      <c r="F960" s="16"/>
      <c r="G960" s="16"/>
      <c r="H960" s="16">
        <f>VLOOKUP(B:B,'[1]Master Sheet'!$B:$H,7,0)</f>
        <v>100</v>
      </c>
      <c r="I960" s="16">
        <f>VLOOKUP(B:B,'[1]Master Sheet'!$B:$I,8,0)</f>
        <v>0</v>
      </c>
      <c r="J960" s="16"/>
      <c r="K960" s="3" t="s">
        <v>2972</v>
      </c>
      <c r="L960" s="3" t="s">
        <v>3057</v>
      </c>
      <c r="M960" s="3" t="s">
        <v>3056</v>
      </c>
      <c r="N960" s="3"/>
      <c r="O960" s="3"/>
    </row>
    <row r="961" spans="1:15" s="4" customFormat="1">
      <c r="A961" s="2">
        <v>960</v>
      </c>
      <c r="B961" s="3" t="s">
        <v>2102</v>
      </c>
      <c r="C961" s="3" t="s">
        <v>2103</v>
      </c>
      <c r="D961" s="2" t="s">
        <v>17</v>
      </c>
      <c r="E961" s="2" t="s">
        <v>8</v>
      </c>
      <c r="F961" s="16"/>
      <c r="G961" s="16"/>
      <c r="H961" s="16">
        <f>VLOOKUP(B:B,'[1]Master Sheet'!$B:$H,7,0)</f>
        <v>100</v>
      </c>
      <c r="I961" s="16">
        <f>VLOOKUP(B:B,'[1]Master Sheet'!$B:$I,8,0)</f>
        <v>0</v>
      </c>
      <c r="J961" s="16"/>
      <c r="K961" s="3" t="s">
        <v>2972</v>
      </c>
      <c r="L961" s="3" t="s">
        <v>3057</v>
      </c>
      <c r="M961" s="3" t="s">
        <v>3056</v>
      </c>
      <c r="N961" s="3"/>
      <c r="O961" s="3"/>
    </row>
    <row r="962" spans="1:15" s="4" customFormat="1">
      <c r="A962" s="2">
        <v>961</v>
      </c>
      <c r="B962" s="3" t="s">
        <v>2104</v>
      </c>
      <c r="C962" s="3" t="s">
        <v>2105</v>
      </c>
      <c r="D962" s="2" t="s">
        <v>17</v>
      </c>
      <c r="E962" s="2" t="s">
        <v>8</v>
      </c>
      <c r="F962" s="16"/>
      <c r="G962" s="16"/>
      <c r="H962" s="16">
        <f>VLOOKUP(B:B,'[1]Master Sheet'!$B:$H,7,0)</f>
        <v>0</v>
      </c>
      <c r="I962" s="16">
        <f>VLOOKUP(B:B,'[1]Master Sheet'!$B:$I,8,0)</f>
        <v>0</v>
      </c>
      <c r="J962" s="16"/>
      <c r="K962" s="3" t="s">
        <v>2991</v>
      </c>
      <c r="L962" s="3" t="s">
        <v>3057</v>
      </c>
      <c r="M962" s="3" t="s">
        <v>3056</v>
      </c>
      <c r="N962" s="3"/>
      <c r="O962" s="3"/>
    </row>
    <row r="963" spans="1:15" s="4" customFormat="1">
      <c r="A963" s="2">
        <v>962</v>
      </c>
      <c r="B963" s="3" t="s">
        <v>2106</v>
      </c>
      <c r="C963" s="3" t="s">
        <v>2107</v>
      </c>
      <c r="D963" s="2" t="s">
        <v>17</v>
      </c>
      <c r="E963" s="2" t="s">
        <v>8</v>
      </c>
      <c r="F963" s="16"/>
      <c r="G963" s="16"/>
      <c r="H963" s="16">
        <f>VLOOKUP(B:B,'[1]Master Sheet'!$B:$H,7,0)</f>
        <v>0</v>
      </c>
      <c r="I963" s="16">
        <f>VLOOKUP(B:B,'[1]Master Sheet'!$B:$I,8,0)</f>
        <v>0</v>
      </c>
      <c r="J963" s="16"/>
      <c r="K963" s="3" t="s">
        <v>2998</v>
      </c>
      <c r="L963" s="3" t="s">
        <v>3057</v>
      </c>
      <c r="M963" s="3" t="s">
        <v>3056</v>
      </c>
      <c r="N963" s="3"/>
      <c r="O963" s="3"/>
    </row>
    <row r="964" spans="1:15" s="4" customFormat="1">
      <c r="A964" s="2">
        <v>963</v>
      </c>
      <c r="B964" s="3" t="s">
        <v>2108</v>
      </c>
      <c r="C964" s="3" t="s">
        <v>2109</v>
      </c>
      <c r="D964" s="2" t="s">
        <v>17</v>
      </c>
      <c r="E964" s="2" t="s">
        <v>8</v>
      </c>
      <c r="F964" s="16"/>
      <c r="G964" s="16"/>
      <c r="H964" s="16">
        <f>VLOOKUP(B:B,'[1]Master Sheet'!$B:$H,7,0)</f>
        <v>0</v>
      </c>
      <c r="I964" s="16">
        <f>VLOOKUP(B:B,'[1]Master Sheet'!$B:$I,8,0)</f>
        <v>0</v>
      </c>
      <c r="J964" s="16"/>
      <c r="K964" s="3" t="s">
        <v>2998</v>
      </c>
      <c r="L964" s="3" t="s">
        <v>3057</v>
      </c>
      <c r="M964" s="3" t="s">
        <v>3056</v>
      </c>
      <c r="N964" s="3"/>
      <c r="O964" s="3"/>
    </row>
    <row r="965" spans="1:15" s="4" customFormat="1">
      <c r="A965" s="2">
        <v>964</v>
      </c>
      <c r="B965" s="3" t="s">
        <v>2116</v>
      </c>
      <c r="C965" s="3" t="s">
        <v>2117</v>
      </c>
      <c r="D965" s="2" t="s">
        <v>17</v>
      </c>
      <c r="E965" s="2" t="s">
        <v>8</v>
      </c>
      <c r="F965" s="16"/>
      <c r="G965" s="16"/>
      <c r="H965" s="16">
        <f>VLOOKUP(B:B,'[1]Master Sheet'!$B:$H,7,0)</f>
        <v>0</v>
      </c>
      <c r="I965" s="16">
        <f>VLOOKUP(B:B,'[1]Master Sheet'!$B:$I,8,0)</f>
        <v>0</v>
      </c>
      <c r="J965" s="16"/>
      <c r="K965" s="3" t="s">
        <v>2998</v>
      </c>
      <c r="L965" s="3" t="s">
        <v>3057</v>
      </c>
      <c r="M965" s="3" t="s">
        <v>3056</v>
      </c>
      <c r="N965" s="3"/>
      <c r="O965" s="3"/>
    </row>
    <row r="966" spans="1:15" s="4" customFormat="1">
      <c r="A966" s="2">
        <v>965</v>
      </c>
      <c r="B966" s="3" t="s">
        <v>2167</v>
      </c>
      <c r="C966" s="3" t="s">
        <v>2168</v>
      </c>
      <c r="D966" s="2" t="s">
        <v>17</v>
      </c>
      <c r="E966" s="2" t="s">
        <v>8</v>
      </c>
      <c r="F966" s="16"/>
      <c r="G966" s="16"/>
      <c r="H966" s="16">
        <f>VLOOKUP(B:B,'[1]Master Sheet'!$B:$H,7,0)</f>
        <v>0</v>
      </c>
      <c r="I966" s="16">
        <f>VLOOKUP(B:B,'[1]Master Sheet'!$B:$I,8,0)</f>
        <v>0</v>
      </c>
      <c r="J966" s="16"/>
      <c r="K966" s="3" t="s">
        <v>2982</v>
      </c>
      <c r="L966" s="3" t="s">
        <v>3060</v>
      </c>
      <c r="M966" s="3" t="s">
        <v>3064</v>
      </c>
      <c r="N966" s="3"/>
      <c r="O966" s="3"/>
    </row>
    <row r="967" spans="1:15" s="4" customFormat="1">
      <c r="A967" s="2">
        <v>966</v>
      </c>
      <c r="B967" s="3" t="s">
        <v>2128</v>
      </c>
      <c r="C967" s="3" t="s">
        <v>2129</v>
      </c>
      <c r="D967" s="2" t="s">
        <v>2130</v>
      </c>
      <c r="E967" s="2" t="s">
        <v>8</v>
      </c>
      <c r="F967" s="16"/>
      <c r="G967" s="16"/>
      <c r="H967" s="16">
        <f>VLOOKUP(B:B,'[1]Master Sheet'!$B:$H,7,0)</f>
        <v>0</v>
      </c>
      <c r="I967" s="16">
        <f>VLOOKUP(B:B,'[1]Master Sheet'!$B:$I,8,0)</f>
        <v>0</v>
      </c>
      <c r="J967" s="16"/>
      <c r="K967" s="3" t="s">
        <v>2998</v>
      </c>
      <c r="L967" s="3" t="s">
        <v>3057</v>
      </c>
      <c r="M967" s="3" t="s">
        <v>3056</v>
      </c>
      <c r="N967" s="3"/>
      <c r="O967" s="3"/>
    </row>
    <row r="968" spans="1:15" s="4" customFormat="1">
      <c r="A968" s="2">
        <v>967</v>
      </c>
      <c r="B968" s="3" t="s">
        <v>2173</v>
      </c>
      <c r="C968" s="3" t="s">
        <v>2174</v>
      </c>
      <c r="D968" s="2" t="s">
        <v>17</v>
      </c>
      <c r="E968" s="2" t="s">
        <v>8</v>
      </c>
      <c r="F968" s="16"/>
      <c r="G968" s="16"/>
      <c r="H968" s="16">
        <f>VLOOKUP(B:B,'[1]Master Sheet'!$B:$H,7,0)</f>
        <v>0</v>
      </c>
      <c r="I968" s="16">
        <f>VLOOKUP(B:B,'[1]Master Sheet'!$B:$I,8,0)</f>
        <v>0</v>
      </c>
      <c r="J968" s="16"/>
      <c r="K968" s="3" t="s">
        <v>2982</v>
      </c>
      <c r="L968" s="3" t="s">
        <v>3060</v>
      </c>
      <c r="M968" s="3" t="s">
        <v>3064</v>
      </c>
      <c r="N968" s="3"/>
      <c r="O968" s="3"/>
    </row>
    <row r="969" spans="1:15" s="4" customFormat="1">
      <c r="A969" s="2">
        <v>968</v>
      </c>
      <c r="B969" s="3" t="s">
        <v>2175</v>
      </c>
      <c r="C969" s="3" t="s">
        <v>2176</v>
      </c>
      <c r="D969" s="2" t="s">
        <v>17</v>
      </c>
      <c r="E969" s="2" t="s">
        <v>8</v>
      </c>
      <c r="F969" s="16"/>
      <c r="G969" s="16"/>
      <c r="H969" s="16">
        <f>VLOOKUP(B:B,'[1]Master Sheet'!$B:$H,7,0)</f>
        <v>200</v>
      </c>
      <c r="I969" s="16">
        <f>VLOOKUP(B:B,'[1]Master Sheet'!$B:$I,8,0)</f>
        <v>0</v>
      </c>
      <c r="J969" s="16"/>
      <c r="K969" s="3" t="s">
        <v>2972</v>
      </c>
      <c r="L969" s="3" t="s">
        <v>3060</v>
      </c>
      <c r="M969" s="3" t="s">
        <v>3058</v>
      </c>
      <c r="N969" s="3"/>
      <c r="O969" s="3"/>
    </row>
    <row r="970" spans="1:15" s="4" customFormat="1">
      <c r="A970" s="2">
        <v>969</v>
      </c>
      <c r="B970" s="3" t="s">
        <v>2177</v>
      </c>
      <c r="C970" s="3" t="s">
        <v>2178</v>
      </c>
      <c r="D970" s="2" t="s">
        <v>17</v>
      </c>
      <c r="E970" s="2" t="s">
        <v>8</v>
      </c>
      <c r="F970" s="16"/>
      <c r="G970" s="16"/>
      <c r="H970" s="16">
        <f>VLOOKUP(B:B,'[1]Master Sheet'!$B:$H,7,0)</f>
        <v>25</v>
      </c>
      <c r="I970" s="16">
        <f>VLOOKUP(B:B,'[1]Master Sheet'!$B:$I,8,0)</f>
        <v>0</v>
      </c>
      <c r="J970" s="16"/>
      <c r="K970" s="3" t="s">
        <v>2972</v>
      </c>
      <c r="L970" s="3" t="s">
        <v>3055</v>
      </c>
      <c r="M970" s="3" t="s">
        <v>3056</v>
      </c>
      <c r="N970" s="3"/>
      <c r="O970" s="3"/>
    </row>
    <row r="971" spans="1:15" s="4" customFormat="1">
      <c r="A971" s="2">
        <v>970</v>
      </c>
      <c r="B971" s="3" t="s">
        <v>2179</v>
      </c>
      <c r="C971" s="3" t="s">
        <v>2180</v>
      </c>
      <c r="D971" s="2" t="s">
        <v>17</v>
      </c>
      <c r="E971" s="2" t="s">
        <v>8</v>
      </c>
      <c r="F971" s="16"/>
      <c r="G971" s="16"/>
      <c r="H971" s="16">
        <f>VLOOKUP(B:B,'[1]Master Sheet'!$B:$H,7,0)</f>
        <v>25</v>
      </c>
      <c r="I971" s="16">
        <f>VLOOKUP(B:B,'[1]Master Sheet'!$B:$I,8,0)</f>
        <v>0</v>
      </c>
      <c r="J971" s="16"/>
      <c r="K971" s="3" t="s">
        <v>2972</v>
      </c>
      <c r="L971" s="3" t="s">
        <v>3055</v>
      </c>
      <c r="M971" s="3" t="s">
        <v>3056</v>
      </c>
      <c r="N971" s="3"/>
      <c r="O971" s="3"/>
    </row>
    <row r="972" spans="1:15" s="4" customFormat="1">
      <c r="A972" s="2">
        <v>971</v>
      </c>
      <c r="B972" s="3" t="s">
        <v>2181</v>
      </c>
      <c r="C972" s="3" t="s">
        <v>2182</v>
      </c>
      <c r="D972" s="2" t="s">
        <v>17</v>
      </c>
      <c r="E972" s="2" t="s">
        <v>8</v>
      </c>
      <c r="F972" s="16"/>
      <c r="G972" s="16"/>
      <c r="H972" s="16">
        <f>VLOOKUP(B:B,'[1]Master Sheet'!$B:$H,7,0)</f>
        <v>25</v>
      </c>
      <c r="I972" s="16">
        <f>VLOOKUP(B:B,'[1]Master Sheet'!$B:$I,8,0)</f>
        <v>0</v>
      </c>
      <c r="J972" s="16"/>
      <c r="K972" s="3" t="s">
        <v>2972</v>
      </c>
      <c r="L972" s="3" t="s">
        <v>3055</v>
      </c>
      <c r="M972" s="3" t="s">
        <v>3056</v>
      </c>
      <c r="N972" s="3"/>
      <c r="O972" s="3"/>
    </row>
    <row r="973" spans="1:15" s="4" customFormat="1">
      <c r="A973" s="2">
        <v>972</v>
      </c>
      <c r="B973" s="3" t="s">
        <v>2183</v>
      </c>
      <c r="C973" s="3" t="s">
        <v>2184</v>
      </c>
      <c r="D973" s="2" t="s">
        <v>17</v>
      </c>
      <c r="E973" s="2" t="s">
        <v>8</v>
      </c>
      <c r="F973" s="16"/>
      <c r="G973" s="16"/>
      <c r="H973" s="16">
        <f>VLOOKUP(B:B,'[1]Master Sheet'!$B:$H,7,0)</f>
        <v>200</v>
      </c>
      <c r="I973" s="16">
        <f>VLOOKUP(B:B,'[1]Master Sheet'!$B:$I,8,0)</f>
        <v>0</v>
      </c>
      <c r="J973" s="16"/>
      <c r="K973" s="3" t="s">
        <v>2972</v>
      </c>
      <c r="L973" s="3" t="s">
        <v>3060</v>
      </c>
      <c r="M973" s="3" t="s">
        <v>3058</v>
      </c>
      <c r="N973" s="3"/>
      <c r="O973" s="3"/>
    </row>
    <row r="974" spans="1:15" s="4" customFormat="1">
      <c r="A974" s="2">
        <v>973</v>
      </c>
      <c r="B974" s="3" t="s">
        <v>2185</v>
      </c>
      <c r="C974" s="3" t="s">
        <v>2186</v>
      </c>
      <c r="D974" s="2" t="s">
        <v>17</v>
      </c>
      <c r="E974" s="2" t="s">
        <v>8</v>
      </c>
      <c r="F974" s="16"/>
      <c r="G974" s="16"/>
      <c r="H974" s="16">
        <f>VLOOKUP(B:B,'[1]Master Sheet'!$B:$H,7,0)</f>
        <v>500</v>
      </c>
      <c r="I974" s="16">
        <f>VLOOKUP(B:B,'[1]Master Sheet'!$B:$I,8,0)</f>
        <v>0</v>
      </c>
      <c r="J974" s="16"/>
      <c r="K974" s="3" t="s">
        <v>2972</v>
      </c>
      <c r="L974" s="3" t="s">
        <v>3060</v>
      </c>
      <c r="M974" s="3" t="s">
        <v>3058</v>
      </c>
      <c r="N974" s="3"/>
      <c r="O974" s="3"/>
    </row>
    <row r="975" spans="1:15" s="4" customFormat="1">
      <c r="A975" s="2">
        <v>974</v>
      </c>
      <c r="B975" s="3" t="s">
        <v>2187</v>
      </c>
      <c r="C975" s="3" t="s">
        <v>2188</v>
      </c>
      <c r="D975" s="2" t="s">
        <v>17</v>
      </c>
      <c r="E975" s="2" t="s">
        <v>8</v>
      </c>
      <c r="F975" s="16"/>
      <c r="G975" s="16"/>
      <c r="H975" s="16">
        <f>VLOOKUP(B:B,'[1]Master Sheet'!$B:$H,7,0)</f>
        <v>0</v>
      </c>
      <c r="I975" s="16">
        <f>VLOOKUP(B:B,'[1]Master Sheet'!$B:$I,8,0)</f>
        <v>0</v>
      </c>
      <c r="J975" s="16"/>
      <c r="K975" s="3" t="s">
        <v>3006</v>
      </c>
      <c r="L975" s="3" t="s">
        <v>3060</v>
      </c>
      <c r="M975" s="3" t="s">
        <v>3058</v>
      </c>
      <c r="N975" s="3"/>
      <c r="O975" s="3"/>
    </row>
    <row r="976" spans="1:15" s="4" customFormat="1">
      <c r="A976" s="2">
        <v>975</v>
      </c>
      <c r="B976" s="3" t="s">
        <v>2189</v>
      </c>
      <c r="C976" s="3" t="s">
        <v>2190</v>
      </c>
      <c r="D976" s="2" t="s">
        <v>17</v>
      </c>
      <c r="E976" s="2" t="s">
        <v>8</v>
      </c>
      <c r="F976" s="16"/>
      <c r="G976" s="16"/>
      <c r="H976" s="16">
        <f>VLOOKUP(B:B,'[1]Master Sheet'!$B:$H,7,0)</f>
        <v>0</v>
      </c>
      <c r="I976" s="16">
        <f>VLOOKUP(B:B,'[1]Master Sheet'!$B:$I,8,0)</f>
        <v>0</v>
      </c>
      <c r="J976" s="16"/>
      <c r="K976" s="3" t="s">
        <v>3006</v>
      </c>
      <c r="L976" s="3" t="s">
        <v>3060</v>
      </c>
      <c r="M976" s="3" t="s">
        <v>3058</v>
      </c>
      <c r="N976" s="3"/>
      <c r="O976" s="3"/>
    </row>
    <row r="977" spans="1:15" s="4" customFormat="1">
      <c r="A977" s="2">
        <v>976</v>
      </c>
      <c r="B977" s="3" t="s">
        <v>2191</v>
      </c>
      <c r="C977" s="3" t="s">
        <v>2192</v>
      </c>
      <c r="D977" s="2" t="s">
        <v>17</v>
      </c>
      <c r="E977" s="2" t="s">
        <v>8</v>
      </c>
      <c r="F977" s="16"/>
      <c r="G977" s="16"/>
      <c r="H977" s="16">
        <f>VLOOKUP(B:B,'[1]Master Sheet'!$B:$H,7,0)</f>
        <v>0</v>
      </c>
      <c r="I977" s="16">
        <f>VLOOKUP(B:B,'[1]Master Sheet'!$B:$I,8,0)</f>
        <v>0</v>
      </c>
      <c r="J977" s="16"/>
      <c r="K977" s="3" t="s">
        <v>3006</v>
      </c>
      <c r="L977" s="3" t="s">
        <v>3060</v>
      </c>
      <c r="M977" s="3" t="s">
        <v>3058</v>
      </c>
      <c r="N977" s="3"/>
      <c r="O977" s="3"/>
    </row>
    <row r="978" spans="1:15" s="4" customFormat="1">
      <c r="A978" s="2">
        <v>977</v>
      </c>
      <c r="B978" s="3" t="s">
        <v>2193</v>
      </c>
      <c r="C978" s="3" t="s">
        <v>2194</v>
      </c>
      <c r="D978" s="2" t="s">
        <v>17</v>
      </c>
      <c r="E978" s="2" t="s">
        <v>8</v>
      </c>
      <c r="F978" s="16"/>
      <c r="G978" s="16"/>
      <c r="H978" s="16">
        <f>VLOOKUP(B:B,'[1]Master Sheet'!$B:$H,7,0)</f>
        <v>0</v>
      </c>
      <c r="I978" s="16">
        <f>VLOOKUP(B:B,'[1]Master Sheet'!$B:$I,8,0)</f>
        <v>0</v>
      </c>
      <c r="J978" s="16"/>
      <c r="K978" s="3" t="s">
        <v>3006</v>
      </c>
      <c r="L978" s="3" t="s">
        <v>3060</v>
      </c>
      <c r="M978" s="3" t="s">
        <v>3058</v>
      </c>
      <c r="N978" s="3"/>
      <c r="O978" s="3"/>
    </row>
    <row r="979" spans="1:15" s="4" customFormat="1">
      <c r="A979" s="2">
        <v>978</v>
      </c>
      <c r="B979" s="3" t="s">
        <v>2195</v>
      </c>
      <c r="C979" s="3" t="s">
        <v>2196</v>
      </c>
      <c r="D979" s="2" t="s">
        <v>17</v>
      </c>
      <c r="E979" s="2" t="s">
        <v>8</v>
      </c>
      <c r="F979" s="16"/>
      <c r="G979" s="16"/>
      <c r="H979" s="16">
        <f>VLOOKUP(B:B,'[1]Master Sheet'!$B:$H,7,0)</f>
        <v>0</v>
      </c>
      <c r="I979" s="16">
        <f>VLOOKUP(B:B,'[1]Master Sheet'!$B:$I,8,0)</f>
        <v>0</v>
      </c>
      <c r="J979" s="16"/>
      <c r="K979" s="3" t="s">
        <v>3006</v>
      </c>
      <c r="L979" s="3" t="s">
        <v>3060</v>
      </c>
      <c r="M979" s="3" t="s">
        <v>3058</v>
      </c>
      <c r="N979" s="3"/>
      <c r="O979" s="3"/>
    </row>
    <row r="980" spans="1:15" s="4" customFormat="1">
      <c r="A980" s="2">
        <v>979</v>
      </c>
      <c r="B980" s="3" t="s">
        <v>2197</v>
      </c>
      <c r="C980" s="3" t="s">
        <v>2198</v>
      </c>
      <c r="D980" s="2" t="s">
        <v>17</v>
      </c>
      <c r="E980" s="2" t="s">
        <v>8</v>
      </c>
      <c r="F980" s="16"/>
      <c r="G980" s="16"/>
      <c r="H980" s="16">
        <f>VLOOKUP(B:B,'[1]Master Sheet'!$B:$H,7,0)</f>
        <v>0</v>
      </c>
      <c r="I980" s="16">
        <f>VLOOKUP(B:B,'[1]Master Sheet'!$B:$I,8,0)</f>
        <v>0</v>
      </c>
      <c r="J980" s="16"/>
      <c r="K980" s="3" t="s">
        <v>3006</v>
      </c>
      <c r="L980" s="3" t="s">
        <v>3060</v>
      </c>
      <c r="M980" s="3" t="s">
        <v>3058</v>
      </c>
      <c r="N980" s="3"/>
      <c r="O980" s="3"/>
    </row>
    <row r="981" spans="1:15" s="4" customFormat="1">
      <c r="A981" s="2">
        <v>980</v>
      </c>
      <c r="B981" s="3" t="s">
        <v>2199</v>
      </c>
      <c r="C981" s="3" t="s">
        <v>2200</v>
      </c>
      <c r="D981" s="2" t="s">
        <v>17</v>
      </c>
      <c r="E981" s="2" t="s">
        <v>8</v>
      </c>
      <c r="F981" s="16"/>
      <c r="G981" s="16"/>
      <c r="H981" s="16">
        <f>VLOOKUP(B:B,'[1]Master Sheet'!$B:$H,7,0)</f>
        <v>0</v>
      </c>
      <c r="I981" s="16">
        <f>VLOOKUP(B:B,'[1]Master Sheet'!$B:$I,8,0)</f>
        <v>0</v>
      </c>
      <c r="J981" s="16"/>
      <c r="K981" s="3" t="s">
        <v>3006</v>
      </c>
      <c r="L981" s="3" t="s">
        <v>3060</v>
      </c>
      <c r="M981" s="3" t="s">
        <v>3058</v>
      </c>
      <c r="N981" s="3"/>
      <c r="O981" s="3"/>
    </row>
    <row r="982" spans="1:15" s="4" customFormat="1">
      <c r="A982" s="2">
        <v>981</v>
      </c>
      <c r="B982" s="3" t="s">
        <v>2201</v>
      </c>
      <c r="C982" s="3" t="s">
        <v>2202</v>
      </c>
      <c r="D982" s="2" t="s">
        <v>17</v>
      </c>
      <c r="E982" s="2" t="s">
        <v>8</v>
      </c>
      <c r="F982" s="16"/>
      <c r="G982" s="16"/>
      <c r="H982" s="16">
        <f>VLOOKUP(B:B,'[1]Master Sheet'!$B:$H,7,0)</f>
        <v>0</v>
      </c>
      <c r="I982" s="16">
        <f>VLOOKUP(B:B,'[1]Master Sheet'!$B:$I,8,0)</f>
        <v>0</v>
      </c>
      <c r="J982" s="16"/>
      <c r="K982" s="3" t="s">
        <v>3006</v>
      </c>
      <c r="L982" s="3" t="s">
        <v>3060</v>
      </c>
      <c r="M982" s="3" t="s">
        <v>3058</v>
      </c>
      <c r="N982" s="3"/>
      <c r="O982" s="3"/>
    </row>
    <row r="983" spans="1:15" s="4" customFormat="1">
      <c r="A983" s="2">
        <v>982</v>
      </c>
      <c r="B983" s="3" t="s">
        <v>2203</v>
      </c>
      <c r="C983" s="3" t="s">
        <v>2204</v>
      </c>
      <c r="D983" s="2" t="s">
        <v>17</v>
      </c>
      <c r="E983" s="2" t="s">
        <v>8</v>
      </c>
      <c r="F983" s="16"/>
      <c r="G983" s="16"/>
      <c r="H983" s="16">
        <f>VLOOKUP(B:B,'[1]Master Sheet'!$B:$H,7,0)</f>
        <v>0</v>
      </c>
      <c r="I983" s="16">
        <f>VLOOKUP(B:B,'[1]Master Sheet'!$B:$I,8,0)</f>
        <v>0</v>
      </c>
      <c r="J983" s="16"/>
      <c r="K983" s="3" t="s">
        <v>3006</v>
      </c>
      <c r="L983" s="3" t="s">
        <v>3060</v>
      </c>
      <c r="M983" s="3" t="s">
        <v>3058</v>
      </c>
      <c r="N983" s="3"/>
      <c r="O983" s="3"/>
    </row>
    <row r="984" spans="1:15" s="4" customFormat="1">
      <c r="A984" s="2">
        <v>983</v>
      </c>
      <c r="B984" s="3" t="s">
        <v>2205</v>
      </c>
      <c r="C984" s="3" t="s">
        <v>2206</v>
      </c>
      <c r="D984" s="2" t="s">
        <v>17</v>
      </c>
      <c r="E984" s="2" t="s">
        <v>8</v>
      </c>
      <c r="F984" s="16"/>
      <c r="G984" s="16"/>
      <c r="H984" s="16">
        <f>VLOOKUP(B:B,'[1]Master Sheet'!$B:$H,7,0)</f>
        <v>0</v>
      </c>
      <c r="I984" s="16">
        <f>VLOOKUP(B:B,'[1]Master Sheet'!$B:$I,8,0)</f>
        <v>0</v>
      </c>
      <c r="J984" s="16"/>
      <c r="K984" s="3" t="s">
        <v>3006</v>
      </c>
      <c r="L984" s="3" t="s">
        <v>3060</v>
      </c>
      <c r="M984" s="3" t="s">
        <v>3058</v>
      </c>
      <c r="N984" s="3"/>
      <c r="O984" s="3"/>
    </row>
    <row r="985" spans="1:15" s="4" customFormat="1">
      <c r="A985" s="2">
        <v>984</v>
      </c>
      <c r="B985" s="3" t="s">
        <v>2207</v>
      </c>
      <c r="C985" s="3" t="s">
        <v>2208</v>
      </c>
      <c r="D985" s="2" t="s">
        <v>17</v>
      </c>
      <c r="E985" s="2" t="s">
        <v>8</v>
      </c>
      <c r="F985" s="16"/>
      <c r="G985" s="16"/>
      <c r="H985" s="16">
        <f>VLOOKUP(B:B,'[1]Master Sheet'!$B:$H,7,0)</f>
        <v>0</v>
      </c>
      <c r="I985" s="16">
        <f>VLOOKUP(B:B,'[1]Master Sheet'!$B:$I,8,0)</f>
        <v>0</v>
      </c>
      <c r="J985" s="16"/>
      <c r="K985" s="3" t="s">
        <v>3006</v>
      </c>
      <c r="L985" s="3" t="s">
        <v>3060</v>
      </c>
      <c r="M985" s="3" t="s">
        <v>3058</v>
      </c>
      <c r="N985" s="3"/>
      <c r="O985" s="3"/>
    </row>
    <row r="986" spans="1:15" s="4" customFormat="1">
      <c r="A986" s="2">
        <v>985</v>
      </c>
      <c r="B986" s="3" t="s">
        <v>2209</v>
      </c>
      <c r="C986" s="3" t="s">
        <v>2210</v>
      </c>
      <c r="D986" s="2" t="s">
        <v>17</v>
      </c>
      <c r="E986" s="2" t="s">
        <v>8</v>
      </c>
      <c r="F986" s="16"/>
      <c r="G986" s="16"/>
      <c r="H986" s="16">
        <f>VLOOKUP(B:B,'[1]Master Sheet'!$B:$H,7,0)</f>
        <v>0</v>
      </c>
      <c r="I986" s="16">
        <f>VLOOKUP(B:B,'[1]Master Sheet'!$B:$I,8,0)</f>
        <v>0</v>
      </c>
      <c r="J986" s="16"/>
      <c r="K986" s="3" t="s">
        <v>3006</v>
      </c>
      <c r="L986" s="3" t="s">
        <v>3060</v>
      </c>
      <c r="M986" s="3" t="s">
        <v>3058</v>
      </c>
      <c r="N986" s="3"/>
      <c r="O986" s="3"/>
    </row>
    <row r="987" spans="1:15" s="4" customFormat="1">
      <c r="A987" s="2">
        <v>986</v>
      </c>
      <c r="B987" s="3" t="s">
        <v>2211</v>
      </c>
      <c r="C987" s="3" t="s">
        <v>2212</v>
      </c>
      <c r="D987" s="2" t="s">
        <v>17</v>
      </c>
      <c r="E987" s="2" t="s">
        <v>8</v>
      </c>
      <c r="F987" s="16"/>
      <c r="G987" s="16"/>
      <c r="H987" s="16">
        <f>VLOOKUP(B:B,'[1]Master Sheet'!$B:$H,7,0)</f>
        <v>0</v>
      </c>
      <c r="I987" s="16">
        <f>VLOOKUP(B:B,'[1]Master Sheet'!$B:$I,8,0)</f>
        <v>0</v>
      </c>
      <c r="J987" s="16"/>
      <c r="K987" s="3" t="s">
        <v>3006</v>
      </c>
      <c r="L987" s="3" t="s">
        <v>3060</v>
      </c>
      <c r="M987" s="3" t="s">
        <v>3058</v>
      </c>
      <c r="N987" s="3"/>
      <c r="O987" s="3"/>
    </row>
    <row r="988" spans="1:15" s="4" customFormat="1">
      <c r="A988" s="2">
        <v>987</v>
      </c>
      <c r="B988" s="3" t="s">
        <v>2213</v>
      </c>
      <c r="C988" s="3" t="s">
        <v>2214</v>
      </c>
      <c r="D988" s="2" t="s">
        <v>17</v>
      </c>
      <c r="E988" s="2" t="s">
        <v>8</v>
      </c>
      <c r="F988" s="16"/>
      <c r="G988" s="16"/>
      <c r="H988" s="16">
        <f>VLOOKUP(B:B,'[1]Master Sheet'!$B:$H,7,0)</f>
        <v>0</v>
      </c>
      <c r="I988" s="16">
        <f>VLOOKUP(B:B,'[1]Master Sheet'!$B:$I,8,0)</f>
        <v>0</v>
      </c>
      <c r="J988" s="16"/>
      <c r="K988" s="3" t="s">
        <v>3006</v>
      </c>
      <c r="L988" s="3" t="s">
        <v>3060</v>
      </c>
      <c r="M988" s="3" t="s">
        <v>3058</v>
      </c>
      <c r="N988" s="3"/>
      <c r="O988" s="3"/>
    </row>
    <row r="989" spans="1:15" s="4" customFormat="1">
      <c r="A989" s="2">
        <v>988</v>
      </c>
      <c r="B989" s="3" t="s">
        <v>2215</v>
      </c>
      <c r="C989" s="3" t="s">
        <v>2216</v>
      </c>
      <c r="D989" s="2" t="s">
        <v>17</v>
      </c>
      <c r="E989" s="2" t="s">
        <v>8</v>
      </c>
      <c r="F989" s="16"/>
      <c r="G989" s="16"/>
      <c r="H989" s="16">
        <f>VLOOKUP(B:B,'[1]Master Sheet'!$B:$H,7,0)</f>
        <v>0</v>
      </c>
      <c r="I989" s="16">
        <f>VLOOKUP(B:B,'[1]Master Sheet'!$B:$I,8,0)</f>
        <v>0</v>
      </c>
      <c r="J989" s="16"/>
      <c r="K989" s="3" t="s">
        <v>3006</v>
      </c>
      <c r="L989" s="3" t="s">
        <v>3060</v>
      </c>
      <c r="M989" s="3" t="s">
        <v>3058</v>
      </c>
      <c r="N989" s="3"/>
      <c r="O989" s="3"/>
    </row>
    <row r="990" spans="1:15" s="4" customFormat="1">
      <c r="A990" s="2">
        <v>989</v>
      </c>
      <c r="B990" s="3" t="s">
        <v>2217</v>
      </c>
      <c r="C990" s="3" t="s">
        <v>2218</v>
      </c>
      <c r="D990" s="2" t="s">
        <v>17</v>
      </c>
      <c r="E990" s="2" t="s">
        <v>8</v>
      </c>
      <c r="F990" s="16"/>
      <c r="G990" s="16"/>
      <c r="H990" s="16">
        <f>VLOOKUP(B:B,'[1]Master Sheet'!$B:$H,7,0)</f>
        <v>0</v>
      </c>
      <c r="I990" s="16">
        <f>VLOOKUP(B:B,'[1]Master Sheet'!$B:$I,8,0)</f>
        <v>0</v>
      </c>
      <c r="J990" s="16"/>
      <c r="K990" s="3" t="s">
        <v>3006</v>
      </c>
      <c r="L990" s="3" t="s">
        <v>3060</v>
      </c>
      <c r="M990" s="3" t="s">
        <v>3058</v>
      </c>
      <c r="N990" s="3"/>
      <c r="O990" s="3"/>
    </row>
    <row r="991" spans="1:15" s="4" customFormat="1">
      <c r="A991" s="2">
        <v>990</v>
      </c>
      <c r="B991" s="3" t="s">
        <v>2219</v>
      </c>
      <c r="C991" s="3" t="s">
        <v>2220</v>
      </c>
      <c r="D991" s="2" t="s">
        <v>17</v>
      </c>
      <c r="E991" s="2" t="s">
        <v>8</v>
      </c>
      <c r="F991" s="16"/>
      <c r="G991" s="16"/>
      <c r="H991" s="16">
        <f>VLOOKUP(B:B,'[1]Master Sheet'!$B:$H,7,0)</f>
        <v>0</v>
      </c>
      <c r="I991" s="16">
        <f>VLOOKUP(B:B,'[1]Master Sheet'!$B:$I,8,0)</f>
        <v>0</v>
      </c>
      <c r="J991" s="16"/>
      <c r="K991" s="3" t="s">
        <v>3006</v>
      </c>
      <c r="L991" s="3" t="s">
        <v>3060</v>
      </c>
      <c r="M991" s="3" t="s">
        <v>3058</v>
      </c>
      <c r="N991" s="3"/>
      <c r="O991" s="3"/>
    </row>
    <row r="992" spans="1:15" s="4" customFormat="1">
      <c r="A992" s="2">
        <v>991</v>
      </c>
      <c r="B992" s="3" t="s">
        <v>2221</v>
      </c>
      <c r="C992" s="3" t="s">
        <v>2222</v>
      </c>
      <c r="D992" s="2" t="s">
        <v>17</v>
      </c>
      <c r="E992" s="2" t="s">
        <v>8</v>
      </c>
      <c r="F992" s="16"/>
      <c r="G992" s="16"/>
      <c r="H992" s="16">
        <f>VLOOKUP(B:B,'[1]Master Sheet'!$B:$H,7,0)</f>
        <v>0</v>
      </c>
      <c r="I992" s="16">
        <f>VLOOKUP(B:B,'[1]Master Sheet'!$B:$I,8,0)</f>
        <v>0</v>
      </c>
      <c r="J992" s="16"/>
      <c r="K992" s="3" t="s">
        <v>3006</v>
      </c>
      <c r="L992" s="3" t="s">
        <v>3060</v>
      </c>
      <c r="M992" s="3" t="s">
        <v>3058</v>
      </c>
      <c r="N992" s="3"/>
      <c r="O992" s="3"/>
    </row>
    <row r="993" spans="1:15" s="4" customFormat="1">
      <c r="A993" s="2">
        <v>992</v>
      </c>
      <c r="B993" s="3" t="s">
        <v>2131</v>
      </c>
      <c r="C993" s="3" t="s">
        <v>2132</v>
      </c>
      <c r="D993" s="2" t="s">
        <v>2130</v>
      </c>
      <c r="E993" s="2" t="s">
        <v>8</v>
      </c>
      <c r="F993" s="16"/>
      <c r="G993" s="16"/>
      <c r="H993" s="16">
        <f>VLOOKUP(B:B,'[1]Master Sheet'!$B:$H,7,0)</f>
        <v>0</v>
      </c>
      <c r="I993" s="16">
        <f>VLOOKUP(B:B,'[1]Master Sheet'!$B:$I,8,0)</f>
        <v>0</v>
      </c>
      <c r="J993" s="16"/>
      <c r="K993" s="3" t="s">
        <v>2998</v>
      </c>
      <c r="L993" s="3" t="s">
        <v>3057</v>
      </c>
      <c r="M993" s="3" t="s">
        <v>3056</v>
      </c>
      <c r="N993" s="3"/>
      <c r="O993" s="3"/>
    </row>
    <row r="994" spans="1:15" s="4" customFormat="1">
      <c r="A994" s="2">
        <v>993</v>
      </c>
      <c r="B994" s="3" t="s">
        <v>2133</v>
      </c>
      <c r="C994" s="3" t="s">
        <v>2134</v>
      </c>
      <c r="D994" s="2" t="s">
        <v>2130</v>
      </c>
      <c r="E994" s="2" t="s">
        <v>8</v>
      </c>
      <c r="F994" s="16"/>
      <c r="G994" s="16"/>
      <c r="H994" s="16">
        <f>VLOOKUP(B:B,'[1]Master Sheet'!$B:$H,7,0)</f>
        <v>0</v>
      </c>
      <c r="I994" s="16">
        <f>VLOOKUP(B:B,'[1]Master Sheet'!$B:$I,8,0)</f>
        <v>0</v>
      </c>
      <c r="J994" s="16"/>
      <c r="K994" s="3" t="s">
        <v>2998</v>
      </c>
      <c r="L994" s="3" t="s">
        <v>3057</v>
      </c>
      <c r="M994" s="3" t="s">
        <v>3056</v>
      </c>
      <c r="N994" s="3"/>
      <c r="O994" s="3"/>
    </row>
    <row r="995" spans="1:15" s="4" customFormat="1">
      <c r="A995" s="2">
        <v>994</v>
      </c>
      <c r="B995" s="3" t="s">
        <v>2227</v>
      </c>
      <c r="C995" s="3" t="s">
        <v>2228</v>
      </c>
      <c r="D995" s="2" t="s">
        <v>17</v>
      </c>
      <c r="E995" s="2" t="s">
        <v>8</v>
      </c>
      <c r="F995" s="16">
        <v>25</v>
      </c>
      <c r="G995" s="16"/>
      <c r="H995" s="16">
        <f>VLOOKUP(B:B,'[1]Master Sheet'!$B:$H,7,0)</f>
        <v>40</v>
      </c>
      <c r="I995" s="16">
        <f>VLOOKUP(B:B,'[1]Master Sheet'!$B:$I,8,0)</f>
        <v>25</v>
      </c>
      <c r="J995" s="16"/>
      <c r="K995" s="3" t="s">
        <v>3002</v>
      </c>
      <c r="L995" s="3" t="s">
        <v>3055</v>
      </c>
      <c r="M995" s="3" t="s">
        <v>3056</v>
      </c>
      <c r="N995" s="3"/>
      <c r="O995" s="3"/>
    </row>
    <row r="996" spans="1:15" s="4" customFormat="1">
      <c r="A996" s="2">
        <v>995</v>
      </c>
      <c r="B996" s="3" t="s">
        <v>2229</v>
      </c>
      <c r="C996" s="3" t="s">
        <v>2230</v>
      </c>
      <c r="D996" s="2" t="s">
        <v>7</v>
      </c>
      <c r="E996" s="2" t="s">
        <v>8</v>
      </c>
      <c r="F996" s="16"/>
      <c r="G996" s="16"/>
      <c r="H996" s="16">
        <f>VLOOKUP(B:B,'[1]Master Sheet'!$B:$H,7,0)</f>
        <v>0</v>
      </c>
      <c r="I996" s="16">
        <f>VLOOKUP(B:B,'[1]Master Sheet'!$B:$I,8,0)</f>
        <v>0</v>
      </c>
      <c r="J996" s="16"/>
      <c r="K996" s="3" t="s">
        <v>2965</v>
      </c>
      <c r="L996" s="3" t="s">
        <v>3055</v>
      </c>
      <c r="M996" s="3" t="s">
        <v>3056</v>
      </c>
      <c r="N996" s="3"/>
      <c r="O996" s="3"/>
    </row>
    <row r="997" spans="1:15" s="4" customFormat="1">
      <c r="A997" s="2">
        <v>996</v>
      </c>
      <c r="B997" s="3" t="s">
        <v>2233</v>
      </c>
      <c r="C997" s="3" t="s">
        <v>2234</v>
      </c>
      <c r="D997" s="2" t="s">
        <v>17</v>
      </c>
      <c r="E997" s="2" t="s">
        <v>8</v>
      </c>
      <c r="F997" s="16"/>
      <c r="G997" s="16"/>
      <c r="H997" s="16">
        <f>VLOOKUP(B:B,'[1]Master Sheet'!$B:$H,7,0)</f>
        <v>0</v>
      </c>
      <c r="I997" s="16">
        <f>VLOOKUP(B:B,'[1]Master Sheet'!$B:$I,8,0)</f>
        <v>0</v>
      </c>
      <c r="J997" s="16"/>
      <c r="K997" s="3" t="s">
        <v>2982</v>
      </c>
      <c r="L997" s="3" t="s">
        <v>3060</v>
      </c>
      <c r="M997" s="3" t="s">
        <v>3058</v>
      </c>
      <c r="N997" s="3"/>
      <c r="O997" s="3"/>
    </row>
    <row r="998" spans="1:15" s="4" customFormat="1">
      <c r="A998" s="2">
        <v>997</v>
      </c>
      <c r="B998" s="3" t="s">
        <v>2235</v>
      </c>
      <c r="C998" s="3" t="s">
        <v>2236</v>
      </c>
      <c r="D998" s="2" t="s">
        <v>20</v>
      </c>
      <c r="E998" s="2" t="s">
        <v>8</v>
      </c>
      <c r="F998" s="16"/>
      <c r="G998" s="16"/>
      <c r="H998" s="16">
        <f>VLOOKUP(B:B,'[1]Master Sheet'!$B:$H,7,0)</f>
        <v>0</v>
      </c>
      <c r="I998" s="16">
        <f>VLOOKUP(B:B,'[1]Master Sheet'!$B:$I,8,0)</f>
        <v>0</v>
      </c>
      <c r="J998" s="16"/>
      <c r="K998" s="3" t="s">
        <v>3034</v>
      </c>
      <c r="L998" s="3" t="s">
        <v>3059</v>
      </c>
      <c r="M998" s="3" t="s">
        <v>3056</v>
      </c>
      <c r="N998" s="3"/>
      <c r="O998" s="3"/>
    </row>
    <row r="999" spans="1:15" s="4" customFormat="1">
      <c r="A999" s="2">
        <v>998</v>
      </c>
      <c r="B999" s="3" t="s">
        <v>2237</v>
      </c>
      <c r="C999" s="3" t="s">
        <v>2238</v>
      </c>
      <c r="D999" s="2" t="s">
        <v>17</v>
      </c>
      <c r="E999" s="2" t="s">
        <v>8</v>
      </c>
      <c r="F999" s="16"/>
      <c r="G999" s="16"/>
      <c r="H999" s="16">
        <f>VLOOKUP(B:B,'[1]Master Sheet'!$B:$H,7,0)</f>
        <v>5</v>
      </c>
      <c r="I999" s="16">
        <f>VLOOKUP(B:B,'[1]Master Sheet'!$B:$I,8,0)</f>
        <v>0</v>
      </c>
      <c r="J999" s="16"/>
      <c r="K999" s="3" t="s">
        <v>3052</v>
      </c>
      <c r="L999" s="3" t="s">
        <v>3062</v>
      </c>
      <c r="M999" s="3" t="s">
        <v>3056</v>
      </c>
      <c r="N999" s="3"/>
      <c r="O999" s="3"/>
    </row>
    <row r="1000" spans="1:15" s="4" customFormat="1">
      <c r="A1000" s="2">
        <v>999</v>
      </c>
      <c r="B1000" s="3" t="s">
        <v>2239</v>
      </c>
      <c r="C1000" s="3" t="s">
        <v>2240</v>
      </c>
      <c r="D1000" s="2" t="s">
        <v>17</v>
      </c>
      <c r="E1000" s="2" t="s">
        <v>8</v>
      </c>
      <c r="F1000" s="16"/>
      <c r="G1000" s="16"/>
      <c r="H1000" s="16">
        <f>VLOOKUP(B:B,'[1]Master Sheet'!$B:$H,7,0)</f>
        <v>1</v>
      </c>
      <c r="I1000" s="16">
        <f>VLOOKUP(B:B,'[1]Master Sheet'!$B:$I,8,0)</f>
        <v>0</v>
      </c>
      <c r="J1000" s="16"/>
      <c r="K1000" s="3" t="s">
        <v>3052</v>
      </c>
      <c r="L1000" s="3" t="s">
        <v>3062</v>
      </c>
      <c r="M1000" s="3" t="s">
        <v>3056</v>
      </c>
      <c r="N1000" s="3"/>
      <c r="O1000" s="3"/>
    </row>
    <row r="1001" spans="1:15" s="4" customFormat="1">
      <c r="A1001" s="2">
        <v>1000</v>
      </c>
      <c r="B1001" s="3" t="s">
        <v>2241</v>
      </c>
      <c r="C1001" s="3" t="s">
        <v>2242</v>
      </c>
      <c r="D1001" s="2" t="s">
        <v>7</v>
      </c>
      <c r="E1001" s="2" t="s">
        <v>8</v>
      </c>
      <c r="F1001" s="16"/>
      <c r="G1001" s="16"/>
      <c r="H1001" s="16">
        <f>VLOOKUP(B:B,'[1]Master Sheet'!$B:$H,7,0)</f>
        <v>400</v>
      </c>
      <c r="I1001" s="16">
        <f>VLOOKUP(B:B,'[1]Master Sheet'!$B:$I,8,0)</f>
        <v>750</v>
      </c>
      <c r="J1001" s="16"/>
      <c r="K1001" s="3" t="s">
        <v>2965</v>
      </c>
      <c r="L1001" s="3" t="s">
        <v>3055</v>
      </c>
      <c r="M1001" s="3" t="s">
        <v>3056</v>
      </c>
      <c r="N1001" s="3"/>
      <c r="O1001" s="3"/>
    </row>
    <row r="1002" spans="1:15" s="4" customFormat="1">
      <c r="A1002" s="2">
        <v>1001</v>
      </c>
      <c r="B1002" s="3" t="s">
        <v>2243</v>
      </c>
      <c r="C1002" s="3" t="s">
        <v>2244</v>
      </c>
      <c r="D1002" s="2" t="s">
        <v>7</v>
      </c>
      <c r="E1002" s="2" t="s">
        <v>8</v>
      </c>
      <c r="F1002" s="16"/>
      <c r="G1002" s="16"/>
      <c r="H1002" s="16">
        <f>VLOOKUP(B:B,'[1]Master Sheet'!$B:$H,7,0)</f>
        <v>400</v>
      </c>
      <c r="I1002" s="16">
        <f>VLOOKUP(B:B,'[1]Master Sheet'!$B:$I,8,0)</f>
        <v>0</v>
      </c>
      <c r="J1002" s="16"/>
      <c r="K1002" s="3" t="s">
        <v>2965</v>
      </c>
      <c r="L1002" s="3" t="s">
        <v>3055</v>
      </c>
      <c r="M1002" s="3" t="s">
        <v>3056</v>
      </c>
      <c r="N1002" s="3"/>
      <c r="O1002" s="3"/>
    </row>
    <row r="1003" spans="1:15" s="4" customFormat="1">
      <c r="A1003" s="2">
        <v>1002</v>
      </c>
      <c r="B1003" s="3" t="s">
        <v>2245</v>
      </c>
      <c r="C1003" s="3" t="s">
        <v>2246</v>
      </c>
      <c r="D1003" s="2" t="s">
        <v>7</v>
      </c>
      <c r="E1003" s="2" t="s">
        <v>8</v>
      </c>
      <c r="F1003" s="16"/>
      <c r="G1003" s="16"/>
      <c r="H1003" s="16">
        <f>VLOOKUP(B:B,'[1]Master Sheet'!$B:$H,7,0)</f>
        <v>800</v>
      </c>
      <c r="I1003" s="16">
        <f>VLOOKUP(B:B,'[1]Master Sheet'!$B:$I,8,0)</f>
        <v>200</v>
      </c>
      <c r="J1003" s="16"/>
      <c r="K1003" s="3" t="s">
        <v>2965</v>
      </c>
      <c r="L1003" s="3" t="s">
        <v>3055</v>
      </c>
      <c r="M1003" s="3" t="s">
        <v>3056</v>
      </c>
      <c r="N1003" s="3"/>
      <c r="O1003" s="3"/>
    </row>
    <row r="1004" spans="1:15" s="4" customFormat="1">
      <c r="A1004" s="2">
        <v>1003</v>
      </c>
      <c r="B1004" s="3" t="s">
        <v>2247</v>
      </c>
      <c r="C1004" s="3" t="s">
        <v>2248</v>
      </c>
      <c r="D1004" s="2" t="s">
        <v>7</v>
      </c>
      <c r="E1004" s="2" t="s">
        <v>8</v>
      </c>
      <c r="F1004" s="16"/>
      <c r="G1004" s="16"/>
      <c r="H1004" s="16">
        <f>VLOOKUP(B:B,'[1]Master Sheet'!$B:$H,7,0)</f>
        <v>400</v>
      </c>
      <c r="I1004" s="16">
        <f>VLOOKUP(B:B,'[1]Master Sheet'!$B:$I,8,0)</f>
        <v>300</v>
      </c>
      <c r="J1004" s="16"/>
      <c r="K1004" s="3" t="s">
        <v>2965</v>
      </c>
      <c r="L1004" s="3" t="s">
        <v>3055</v>
      </c>
      <c r="M1004" s="3" t="s">
        <v>3056</v>
      </c>
      <c r="N1004" s="3"/>
      <c r="O1004" s="3"/>
    </row>
    <row r="1005" spans="1:15" s="4" customFormat="1">
      <c r="A1005" s="2">
        <v>1004</v>
      </c>
      <c r="B1005" s="3" t="s">
        <v>2249</v>
      </c>
      <c r="C1005" s="3" t="s">
        <v>2250</v>
      </c>
      <c r="D1005" s="2" t="s">
        <v>7</v>
      </c>
      <c r="E1005" s="2" t="s">
        <v>8</v>
      </c>
      <c r="F1005" s="16"/>
      <c r="G1005" s="16"/>
      <c r="H1005" s="16">
        <f>VLOOKUP(B:B,'[1]Master Sheet'!$B:$H,7,0)</f>
        <v>800</v>
      </c>
      <c r="I1005" s="16">
        <f>VLOOKUP(B:B,'[1]Master Sheet'!$B:$I,8,0)</f>
        <v>500</v>
      </c>
      <c r="J1005" s="16"/>
      <c r="K1005" s="3" t="s">
        <v>2965</v>
      </c>
      <c r="L1005" s="3" t="s">
        <v>3055</v>
      </c>
      <c r="M1005" s="3" t="s">
        <v>3056</v>
      </c>
      <c r="N1005" s="3"/>
      <c r="O1005" s="3"/>
    </row>
    <row r="1006" spans="1:15" s="4" customFormat="1">
      <c r="A1006" s="2">
        <v>1005</v>
      </c>
      <c r="B1006" s="3" t="s">
        <v>2135</v>
      </c>
      <c r="C1006" s="3" t="s">
        <v>2136</v>
      </c>
      <c r="D1006" s="2" t="s">
        <v>2130</v>
      </c>
      <c r="E1006" s="2" t="s">
        <v>8</v>
      </c>
      <c r="F1006" s="16"/>
      <c r="G1006" s="16"/>
      <c r="H1006" s="16">
        <f>VLOOKUP(B:B,'[1]Master Sheet'!$B:$H,7,0)</f>
        <v>0</v>
      </c>
      <c r="I1006" s="16">
        <f>VLOOKUP(B:B,'[1]Master Sheet'!$B:$I,8,0)</f>
        <v>0</v>
      </c>
      <c r="J1006" s="16"/>
      <c r="K1006" s="3" t="s">
        <v>2998</v>
      </c>
      <c r="L1006" s="3" t="s">
        <v>3057</v>
      </c>
      <c r="M1006" s="3" t="s">
        <v>3056</v>
      </c>
      <c r="N1006" s="3"/>
      <c r="O1006" s="3"/>
    </row>
    <row r="1007" spans="1:15" s="4" customFormat="1">
      <c r="A1007" s="2">
        <v>1006</v>
      </c>
      <c r="B1007" s="3" t="s">
        <v>2137</v>
      </c>
      <c r="C1007" s="3" t="s">
        <v>2138</v>
      </c>
      <c r="D1007" s="2" t="s">
        <v>2130</v>
      </c>
      <c r="E1007" s="2" t="s">
        <v>8</v>
      </c>
      <c r="F1007" s="16"/>
      <c r="G1007" s="16"/>
      <c r="H1007" s="16">
        <f>VLOOKUP(B:B,'[1]Master Sheet'!$B:$H,7,0)</f>
        <v>0</v>
      </c>
      <c r="I1007" s="16">
        <f>VLOOKUP(B:B,'[1]Master Sheet'!$B:$I,8,0)</f>
        <v>0</v>
      </c>
      <c r="J1007" s="16"/>
      <c r="K1007" s="3" t="s">
        <v>2998</v>
      </c>
      <c r="L1007" s="3" t="s">
        <v>3057</v>
      </c>
      <c r="M1007" s="3" t="s">
        <v>3056</v>
      </c>
      <c r="N1007" s="3"/>
      <c r="O1007" s="3"/>
    </row>
    <row r="1008" spans="1:15" s="4" customFormat="1">
      <c r="A1008" s="2">
        <v>1007</v>
      </c>
      <c r="B1008" s="3" t="s">
        <v>2257</v>
      </c>
      <c r="C1008" s="3" t="s">
        <v>2258</v>
      </c>
      <c r="D1008" s="2" t="s">
        <v>17</v>
      </c>
      <c r="E1008" s="2" t="s">
        <v>8</v>
      </c>
      <c r="F1008" s="16"/>
      <c r="G1008" s="16"/>
      <c r="H1008" s="16">
        <f>VLOOKUP(B:B,'[1]Master Sheet'!$B:$H,7,0)</f>
        <v>0</v>
      </c>
      <c r="I1008" s="16">
        <f>VLOOKUP(B:B,'[1]Master Sheet'!$B:$I,8,0)</f>
        <v>0</v>
      </c>
      <c r="J1008" s="16"/>
      <c r="K1008" s="3" t="s">
        <v>3000</v>
      </c>
      <c r="L1008" s="3" t="s">
        <v>3059</v>
      </c>
      <c r="M1008" s="3" t="s">
        <v>3056</v>
      </c>
      <c r="N1008" s="3"/>
      <c r="O1008" s="3"/>
    </row>
    <row r="1009" spans="1:15" s="4" customFormat="1">
      <c r="A1009" s="2">
        <v>1008</v>
      </c>
      <c r="B1009" s="3" t="s">
        <v>2259</v>
      </c>
      <c r="C1009" s="3" t="s">
        <v>2260</v>
      </c>
      <c r="D1009" s="2" t="s">
        <v>17</v>
      </c>
      <c r="E1009" s="2" t="s">
        <v>8</v>
      </c>
      <c r="F1009" s="16"/>
      <c r="G1009" s="16"/>
      <c r="H1009" s="16">
        <f>VLOOKUP(B:B,'[1]Master Sheet'!$B:$H,7,0)</f>
        <v>0</v>
      </c>
      <c r="I1009" s="16">
        <f>VLOOKUP(B:B,'[1]Master Sheet'!$B:$I,8,0)</f>
        <v>0</v>
      </c>
      <c r="J1009" s="16"/>
      <c r="K1009" s="3" t="s">
        <v>2982</v>
      </c>
      <c r="L1009" s="3" t="s">
        <v>3060</v>
      </c>
      <c r="M1009" s="3" t="s">
        <v>3064</v>
      </c>
      <c r="N1009" s="3"/>
      <c r="O1009" s="3"/>
    </row>
    <row r="1010" spans="1:15" s="4" customFormat="1">
      <c r="A1010" s="2">
        <v>1009</v>
      </c>
      <c r="B1010" s="3" t="s">
        <v>2261</v>
      </c>
      <c r="C1010" s="3" t="s">
        <v>2262</v>
      </c>
      <c r="D1010" s="2" t="s">
        <v>17</v>
      </c>
      <c r="E1010" s="2" t="s">
        <v>8</v>
      </c>
      <c r="F1010" s="16"/>
      <c r="G1010" s="16"/>
      <c r="H1010" s="16">
        <f>VLOOKUP(B:B,'[1]Master Sheet'!$B:$H,7,0)</f>
        <v>0</v>
      </c>
      <c r="I1010" s="16">
        <f>VLOOKUP(B:B,'[1]Master Sheet'!$B:$I,8,0)</f>
        <v>0</v>
      </c>
      <c r="J1010" s="16"/>
      <c r="K1010" s="3" t="s">
        <v>2982</v>
      </c>
      <c r="L1010" s="3" t="s">
        <v>3060</v>
      </c>
      <c r="M1010" s="3" t="s">
        <v>3058</v>
      </c>
      <c r="N1010" s="3"/>
      <c r="O1010" s="3"/>
    </row>
    <row r="1011" spans="1:15" s="4" customFormat="1">
      <c r="A1011" s="2">
        <v>1010</v>
      </c>
      <c r="B1011" s="3" t="s">
        <v>2263</v>
      </c>
      <c r="C1011" s="3" t="s">
        <v>2264</v>
      </c>
      <c r="D1011" s="2" t="s">
        <v>17</v>
      </c>
      <c r="E1011" s="2" t="s">
        <v>8</v>
      </c>
      <c r="F1011" s="16"/>
      <c r="G1011" s="16"/>
      <c r="H1011" s="16">
        <f>VLOOKUP(B:B,'[1]Master Sheet'!$B:$H,7,0)</f>
        <v>0</v>
      </c>
      <c r="I1011" s="16">
        <f>VLOOKUP(B:B,'[1]Master Sheet'!$B:$I,8,0)</f>
        <v>0</v>
      </c>
      <c r="J1011" s="16"/>
      <c r="K1011" s="3" t="s">
        <v>2982</v>
      </c>
      <c r="L1011" s="3" t="s">
        <v>3060</v>
      </c>
      <c r="M1011" s="3" t="s">
        <v>3058</v>
      </c>
      <c r="N1011" s="3"/>
      <c r="O1011" s="3"/>
    </row>
    <row r="1012" spans="1:15" s="4" customFormat="1">
      <c r="A1012" s="2">
        <v>1011</v>
      </c>
      <c r="B1012" s="3" t="s">
        <v>2265</v>
      </c>
      <c r="C1012" s="3" t="s">
        <v>2266</v>
      </c>
      <c r="D1012" s="2" t="s">
        <v>17</v>
      </c>
      <c r="E1012" s="2" t="s">
        <v>8</v>
      </c>
      <c r="F1012" s="16"/>
      <c r="G1012" s="16"/>
      <c r="H1012" s="16">
        <f>VLOOKUP(B:B,'[1]Master Sheet'!$B:$H,7,0)</f>
        <v>0</v>
      </c>
      <c r="I1012" s="16">
        <f>VLOOKUP(B:B,'[1]Master Sheet'!$B:$I,8,0)</f>
        <v>0</v>
      </c>
      <c r="J1012" s="16"/>
      <c r="K1012" s="3" t="s">
        <v>2982</v>
      </c>
      <c r="L1012" s="3" t="s">
        <v>3060</v>
      </c>
      <c r="M1012" s="3" t="s">
        <v>3058</v>
      </c>
      <c r="N1012" s="3"/>
      <c r="O1012" s="3"/>
    </row>
    <row r="1013" spans="1:15" s="4" customFormat="1">
      <c r="A1013" s="2">
        <v>1012</v>
      </c>
      <c r="B1013" s="3" t="s">
        <v>2267</v>
      </c>
      <c r="C1013" s="3" t="s">
        <v>2268</v>
      </c>
      <c r="D1013" s="2" t="s">
        <v>17</v>
      </c>
      <c r="E1013" s="2" t="s">
        <v>8</v>
      </c>
      <c r="F1013" s="16"/>
      <c r="G1013" s="16"/>
      <c r="H1013" s="16">
        <f>VLOOKUP(B:B,'[1]Master Sheet'!$B:$H,7,0)</f>
        <v>0</v>
      </c>
      <c r="I1013" s="16">
        <f>VLOOKUP(B:B,'[1]Master Sheet'!$B:$I,8,0)</f>
        <v>0</v>
      </c>
      <c r="J1013" s="16"/>
      <c r="K1013" s="3" t="s">
        <v>2982</v>
      </c>
      <c r="L1013" s="3" t="s">
        <v>3060</v>
      </c>
      <c r="M1013" s="3" t="s">
        <v>3058</v>
      </c>
      <c r="N1013" s="3"/>
      <c r="O1013" s="3"/>
    </row>
    <row r="1014" spans="1:15" s="4" customFormat="1">
      <c r="A1014" s="2">
        <v>1013</v>
      </c>
      <c r="B1014" s="3" t="s">
        <v>2155</v>
      </c>
      <c r="C1014" s="3" t="s">
        <v>2156</v>
      </c>
      <c r="D1014" s="2" t="s">
        <v>17</v>
      </c>
      <c r="E1014" s="2" t="s">
        <v>8</v>
      </c>
      <c r="F1014" s="16"/>
      <c r="G1014" s="16"/>
      <c r="H1014" s="16">
        <f>VLOOKUP(B:B,'[1]Master Sheet'!$B:$H,7,0)</f>
        <v>0</v>
      </c>
      <c r="I1014" s="16">
        <f>VLOOKUP(B:B,'[1]Master Sheet'!$B:$I,8,0)</f>
        <v>0</v>
      </c>
      <c r="J1014" s="16"/>
      <c r="K1014" s="3" t="s">
        <v>2991</v>
      </c>
      <c r="L1014" s="3" t="s">
        <v>3057</v>
      </c>
      <c r="M1014" s="3" t="s">
        <v>3056</v>
      </c>
      <c r="N1014" s="3"/>
      <c r="O1014" s="3"/>
    </row>
    <row r="1015" spans="1:15" s="4" customFormat="1">
      <c r="A1015" s="2">
        <v>1014</v>
      </c>
      <c r="B1015" s="3" t="s">
        <v>2157</v>
      </c>
      <c r="C1015" s="3" t="s">
        <v>2158</v>
      </c>
      <c r="D1015" s="2" t="s">
        <v>17</v>
      </c>
      <c r="E1015" s="2" t="s">
        <v>8</v>
      </c>
      <c r="F1015" s="16"/>
      <c r="G1015" s="16"/>
      <c r="H1015" s="16">
        <f>VLOOKUP(B:B,'[1]Master Sheet'!$B:$H,7,0)</f>
        <v>0</v>
      </c>
      <c r="I1015" s="16">
        <f>VLOOKUP(B:B,'[1]Master Sheet'!$B:$I,8,0)</f>
        <v>0</v>
      </c>
      <c r="J1015" s="16"/>
      <c r="K1015" s="3" t="s">
        <v>2991</v>
      </c>
      <c r="L1015" s="3" t="s">
        <v>3057</v>
      </c>
      <c r="M1015" s="3" t="s">
        <v>3056</v>
      </c>
      <c r="N1015" s="3"/>
      <c r="O1015" s="3"/>
    </row>
    <row r="1016" spans="1:15" s="4" customFormat="1">
      <c r="A1016" s="2">
        <v>1015</v>
      </c>
      <c r="B1016" s="3" t="s">
        <v>2159</v>
      </c>
      <c r="C1016" s="3" t="s">
        <v>2160</v>
      </c>
      <c r="D1016" s="2" t="s">
        <v>17</v>
      </c>
      <c r="E1016" s="2" t="s">
        <v>8</v>
      </c>
      <c r="F1016" s="16"/>
      <c r="G1016" s="16"/>
      <c r="H1016" s="16">
        <f>VLOOKUP(B:B,'[1]Master Sheet'!$B:$H,7,0)</f>
        <v>0</v>
      </c>
      <c r="I1016" s="16">
        <f>VLOOKUP(B:B,'[1]Master Sheet'!$B:$I,8,0)</f>
        <v>0</v>
      </c>
      <c r="J1016" s="16"/>
      <c r="K1016" s="3" t="s">
        <v>2991</v>
      </c>
      <c r="L1016" s="3" t="s">
        <v>3057</v>
      </c>
      <c r="M1016" s="3" t="s">
        <v>3056</v>
      </c>
      <c r="N1016" s="3"/>
      <c r="O1016" s="3"/>
    </row>
    <row r="1017" spans="1:15" s="4" customFormat="1">
      <c r="A1017" s="2">
        <v>1016</v>
      </c>
      <c r="B1017" s="3" t="s">
        <v>2161</v>
      </c>
      <c r="C1017" s="3" t="s">
        <v>2162</v>
      </c>
      <c r="D1017" s="2" t="s">
        <v>17</v>
      </c>
      <c r="E1017" s="2" t="s">
        <v>8</v>
      </c>
      <c r="F1017" s="16"/>
      <c r="G1017" s="16"/>
      <c r="H1017" s="16">
        <f>VLOOKUP(B:B,'[1]Master Sheet'!$B:$H,7,0)</f>
        <v>0</v>
      </c>
      <c r="I1017" s="16">
        <f>VLOOKUP(B:B,'[1]Master Sheet'!$B:$I,8,0)</f>
        <v>0</v>
      </c>
      <c r="J1017" s="16"/>
      <c r="K1017" s="3" t="s">
        <v>2991</v>
      </c>
      <c r="L1017" s="3" t="s">
        <v>3057</v>
      </c>
      <c r="M1017" s="3" t="s">
        <v>3056</v>
      </c>
      <c r="N1017" s="3"/>
      <c r="O1017" s="3"/>
    </row>
    <row r="1018" spans="1:15" s="4" customFormat="1">
      <c r="A1018" s="2">
        <v>1017</v>
      </c>
      <c r="B1018" s="3" t="s">
        <v>2163</v>
      </c>
      <c r="C1018" s="3" t="s">
        <v>2164</v>
      </c>
      <c r="D1018" s="2" t="s">
        <v>17</v>
      </c>
      <c r="E1018" s="2" t="s">
        <v>8</v>
      </c>
      <c r="F1018" s="16"/>
      <c r="G1018" s="16"/>
      <c r="H1018" s="16">
        <f>VLOOKUP(B:B,'[1]Master Sheet'!$B:$H,7,0)</f>
        <v>0</v>
      </c>
      <c r="I1018" s="16">
        <f>VLOOKUP(B:B,'[1]Master Sheet'!$B:$I,8,0)</f>
        <v>0</v>
      </c>
      <c r="J1018" s="16"/>
      <c r="K1018" s="3" t="s">
        <v>2991</v>
      </c>
      <c r="L1018" s="3" t="s">
        <v>3057</v>
      </c>
      <c r="M1018" s="3" t="s">
        <v>3056</v>
      </c>
      <c r="N1018" s="3"/>
      <c r="O1018" s="3"/>
    </row>
    <row r="1019" spans="1:15" s="4" customFormat="1">
      <c r="A1019" s="2">
        <v>1018</v>
      </c>
      <c r="B1019" s="3" t="s">
        <v>2165</v>
      </c>
      <c r="C1019" s="3" t="s">
        <v>2166</v>
      </c>
      <c r="D1019" s="2" t="s">
        <v>17</v>
      </c>
      <c r="E1019" s="2" t="s">
        <v>8</v>
      </c>
      <c r="F1019" s="16"/>
      <c r="G1019" s="16"/>
      <c r="H1019" s="16">
        <f>VLOOKUP(B:B,'[1]Master Sheet'!$B:$H,7,0)</f>
        <v>0</v>
      </c>
      <c r="I1019" s="16">
        <f>VLOOKUP(B:B,'[1]Master Sheet'!$B:$I,8,0)</f>
        <v>0</v>
      </c>
      <c r="J1019" s="16"/>
      <c r="K1019" s="3" t="s">
        <v>2991</v>
      </c>
      <c r="L1019" s="3" t="s">
        <v>3057</v>
      </c>
      <c r="M1019" s="3" t="s">
        <v>3058</v>
      </c>
      <c r="N1019" s="3"/>
      <c r="O1019" s="3"/>
    </row>
    <row r="1020" spans="1:15" s="4" customFormat="1">
      <c r="A1020" s="2">
        <v>1019</v>
      </c>
      <c r="B1020" s="3" t="s">
        <v>2169</v>
      </c>
      <c r="C1020" s="3" t="s">
        <v>2170</v>
      </c>
      <c r="D1020" s="2" t="s">
        <v>20</v>
      </c>
      <c r="E1020" s="2" t="s">
        <v>8</v>
      </c>
      <c r="F1020" s="16"/>
      <c r="G1020" s="16"/>
      <c r="H1020" s="16">
        <f>VLOOKUP(B:B,'[1]Master Sheet'!$B:$H,7,0)</f>
        <v>0</v>
      </c>
      <c r="I1020" s="16">
        <f>VLOOKUP(B:B,'[1]Master Sheet'!$B:$I,8,0)</f>
        <v>300</v>
      </c>
      <c r="J1020" s="16"/>
      <c r="K1020" s="3" t="s">
        <v>2991</v>
      </c>
      <c r="L1020" s="3" t="s">
        <v>3057</v>
      </c>
      <c r="M1020" s="3" t="s">
        <v>3056</v>
      </c>
      <c r="N1020" s="3"/>
      <c r="O1020" s="3"/>
    </row>
    <row r="1021" spans="1:15" s="4" customFormat="1">
      <c r="A1021" s="2">
        <v>1020</v>
      </c>
      <c r="B1021" s="3" t="s">
        <v>2171</v>
      </c>
      <c r="C1021" s="3" t="s">
        <v>2172</v>
      </c>
      <c r="D1021" s="2" t="s">
        <v>17</v>
      </c>
      <c r="E1021" s="2" t="s">
        <v>8</v>
      </c>
      <c r="F1021" s="16"/>
      <c r="G1021" s="16"/>
      <c r="H1021" s="16">
        <f>VLOOKUP(B:B,'[1]Master Sheet'!$B:$H,7,0)</f>
        <v>4000</v>
      </c>
      <c r="I1021" s="16">
        <f>VLOOKUP(B:B,'[1]Master Sheet'!$B:$I,8,0)</f>
        <v>0</v>
      </c>
      <c r="J1021" s="16"/>
      <c r="K1021" s="3" t="s">
        <v>2972</v>
      </c>
      <c r="L1021" s="3" t="s">
        <v>3057</v>
      </c>
      <c r="M1021" s="3" t="s">
        <v>3056</v>
      </c>
      <c r="N1021" s="3"/>
      <c r="O1021" s="3"/>
    </row>
    <row r="1022" spans="1:15" s="4" customFormat="1">
      <c r="A1022" s="2">
        <v>1021</v>
      </c>
      <c r="B1022" s="3" t="s">
        <v>2287</v>
      </c>
      <c r="C1022" s="3" t="s">
        <v>2288</v>
      </c>
      <c r="D1022" s="2" t="s">
        <v>135</v>
      </c>
      <c r="E1022" s="2" t="s">
        <v>8</v>
      </c>
      <c r="F1022" s="16"/>
      <c r="G1022" s="16"/>
      <c r="H1022" s="16">
        <f>VLOOKUP(B:B,'[1]Master Sheet'!$B:$H,7,0)</f>
        <v>0</v>
      </c>
      <c r="I1022" s="16">
        <f>VLOOKUP(B:B,'[1]Master Sheet'!$B:$I,8,0)</f>
        <v>0</v>
      </c>
      <c r="J1022" s="16"/>
      <c r="K1022" s="3" t="s">
        <v>2982</v>
      </c>
      <c r="L1022" s="3" t="s">
        <v>3060</v>
      </c>
      <c r="M1022" s="3" t="s">
        <v>3058</v>
      </c>
      <c r="N1022" s="3"/>
      <c r="O1022" s="3"/>
    </row>
    <row r="1023" spans="1:15" s="4" customFormat="1">
      <c r="A1023" s="2">
        <v>1022</v>
      </c>
      <c r="B1023" s="3" t="s">
        <v>2253</v>
      </c>
      <c r="C1023" s="3" t="s">
        <v>2254</v>
      </c>
      <c r="D1023" s="2" t="s">
        <v>17</v>
      </c>
      <c r="E1023" s="2" t="s">
        <v>8</v>
      </c>
      <c r="F1023" s="16"/>
      <c r="G1023" s="16"/>
      <c r="H1023" s="16">
        <f>VLOOKUP(B:B,'[1]Master Sheet'!$B:$H,7,0)</f>
        <v>0</v>
      </c>
      <c r="I1023" s="16">
        <f>VLOOKUP(B:B,'[1]Master Sheet'!$B:$I,8,0)</f>
        <v>0</v>
      </c>
      <c r="J1023" s="16"/>
      <c r="K1023" s="3" t="s">
        <v>2998</v>
      </c>
      <c r="L1023" s="3" t="s">
        <v>3057</v>
      </c>
      <c r="M1023" s="3" t="s">
        <v>3056</v>
      </c>
      <c r="N1023" s="3"/>
      <c r="O1023" s="3"/>
    </row>
    <row r="1024" spans="1:15" s="4" customFormat="1">
      <c r="A1024" s="2">
        <v>1023</v>
      </c>
      <c r="B1024" s="3" t="s">
        <v>2457</v>
      </c>
      <c r="C1024" s="3" t="s">
        <v>3169</v>
      </c>
      <c r="D1024" s="2" t="s">
        <v>17</v>
      </c>
      <c r="E1024" s="2" t="s">
        <v>8</v>
      </c>
      <c r="F1024" s="16"/>
      <c r="G1024" s="16"/>
      <c r="H1024" s="16">
        <f>VLOOKUP(B:B,'[1]Master Sheet'!$B:$H,7,0)</f>
        <v>0</v>
      </c>
      <c r="I1024" s="16">
        <f>VLOOKUP(B:B,'[1]Master Sheet'!$B:$I,8,0)</f>
        <v>0</v>
      </c>
      <c r="J1024" s="16"/>
      <c r="K1024" s="3" t="s">
        <v>2972</v>
      </c>
      <c r="L1024" s="3" t="s">
        <v>3055</v>
      </c>
      <c r="M1024" s="3" t="s">
        <v>3056</v>
      </c>
      <c r="N1024" s="3"/>
      <c r="O1024" s="3"/>
    </row>
    <row r="1025" spans="1:15" s="4" customFormat="1">
      <c r="A1025" s="2">
        <v>1024</v>
      </c>
      <c r="B1025" s="3" t="s">
        <v>2291</v>
      </c>
      <c r="C1025" s="3" t="s">
        <v>2292</v>
      </c>
      <c r="D1025" s="2" t="s">
        <v>17</v>
      </c>
      <c r="E1025" s="2" t="s">
        <v>8</v>
      </c>
      <c r="F1025" s="16"/>
      <c r="G1025" s="16"/>
      <c r="H1025" s="16">
        <f>VLOOKUP(B:B,'[1]Master Sheet'!$B:$H,7,0)</f>
        <v>0</v>
      </c>
      <c r="I1025" s="16">
        <f>VLOOKUP(B:B,'[1]Master Sheet'!$B:$I,8,0)</f>
        <v>0</v>
      </c>
      <c r="J1025" s="16"/>
      <c r="K1025" s="3" t="s">
        <v>2972</v>
      </c>
      <c r="L1025" s="3" t="s">
        <v>3055</v>
      </c>
      <c r="M1025" s="3" t="s">
        <v>3056</v>
      </c>
      <c r="N1025" s="3"/>
      <c r="O1025" s="3"/>
    </row>
    <row r="1026" spans="1:15" s="4" customFormat="1">
      <c r="A1026" s="2">
        <v>1025</v>
      </c>
      <c r="B1026" s="3" t="s">
        <v>2293</v>
      </c>
      <c r="C1026" s="3" t="s">
        <v>2294</v>
      </c>
      <c r="D1026" s="2" t="s">
        <v>17</v>
      </c>
      <c r="E1026" s="2" t="s">
        <v>8</v>
      </c>
      <c r="F1026" s="16"/>
      <c r="G1026" s="16"/>
      <c r="H1026" s="16">
        <f>VLOOKUP(B:B,'[1]Master Sheet'!$B:$H,7,0)</f>
        <v>0</v>
      </c>
      <c r="I1026" s="16">
        <f>VLOOKUP(B:B,'[1]Master Sheet'!$B:$I,8,0)</f>
        <v>0</v>
      </c>
      <c r="J1026" s="16"/>
      <c r="K1026" s="3" t="s">
        <v>2982</v>
      </c>
      <c r="L1026" s="3" t="s">
        <v>3060</v>
      </c>
      <c r="M1026" s="3" t="s">
        <v>3058</v>
      </c>
      <c r="N1026" s="3"/>
      <c r="O1026" s="3"/>
    </row>
    <row r="1027" spans="1:15" s="4" customFormat="1">
      <c r="A1027" s="2">
        <v>1026</v>
      </c>
      <c r="B1027" s="3" t="s">
        <v>2255</v>
      </c>
      <c r="C1027" s="3" t="s">
        <v>2256</v>
      </c>
      <c r="D1027" s="2" t="s">
        <v>17</v>
      </c>
      <c r="E1027" s="2" t="s">
        <v>8</v>
      </c>
      <c r="F1027" s="16"/>
      <c r="G1027" s="16"/>
      <c r="H1027" s="16">
        <f>VLOOKUP(B:B,'[1]Master Sheet'!$B:$H,7,0)</f>
        <v>0</v>
      </c>
      <c r="I1027" s="16">
        <f>VLOOKUP(B:B,'[1]Master Sheet'!$B:$I,8,0)</f>
        <v>0</v>
      </c>
      <c r="J1027" s="16"/>
      <c r="K1027" s="3" t="s">
        <v>2998</v>
      </c>
      <c r="L1027" s="3" t="s">
        <v>3057</v>
      </c>
      <c r="M1027" s="3" t="s">
        <v>3056</v>
      </c>
      <c r="N1027" s="3"/>
      <c r="O1027" s="3"/>
    </row>
    <row r="1028" spans="1:15" s="4" customFormat="1">
      <c r="A1028" s="2">
        <v>1027</v>
      </c>
      <c r="B1028" s="3" t="s">
        <v>2269</v>
      </c>
      <c r="C1028" s="3" t="s">
        <v>2270</v>
      </c>
      <c r="D1028" s="2" t="s">
        <v>17</v>
      </c>
      <c r="E1028" s="2" t="s">
        <v>8</v>
      </c>
      <c r="F1028" s="16"/>
      <c r="G1028" s="16"/>
      <c r="H1028" s="16">
        <f>VLOOKUP(B:B,'[1]Master Sheet'!$B:$H,7,0)</f>
        <v>0</v>
      </c>
      <c r="I1028" s="16">
        <f>VLOOKUP(B:B,'[1]Master Sheet'!$B:$I,8,0)</f>
        <v>0</v>
      </c>
      <c r="J1028" s="16"/>
      <c r="K1028" s="3" t="s">
        <v>2972</v>
      </c>
      <c r="L1028" s="3" t="s">
        <v>3057</v>
      </c>
      <c r="M1028" s="3" t="s">
        <v>3056</v>
      </c>
      <c r="N1028" s="3"/>
      <c r="O1028" s="3"/>
    </row>
    <row r="1029" spans="1:15" s="4" customFormat="1">
      <c r="A1029" s="2">
        <v>1028</v>
      </c>
      <c r="B1029" s="3" t="s">
        <v>2271</v>
      </c>
      <c r="C1029" s="3" t="s">
        <v>2272</v>
      </c>
      <c r="D1029" s="2" t="s">
        <v>17</v>
      </c>
      <c r="E1029" s="2" t="s">
        <v>8</v>
      </c>
      <c r="F1029" s="16"/>
      <c r="G1029" s="16"/>
      <c r="H1029" s="16">
        <f>VLOOKUP(B:B,'[1]Master Sheet'!$B:$H,7,0)</f>
        <v>0</v>
      </c>
      <c r="I1029" s="16">
        <f>VLOOKUP(B:B,'[1]Master Sheet'!$B:$I,8,0)</f>
        <v>0</v>
      </c>
      <c r="J1029" s="16"/>
      <c r="K1029" s="3" t="s">
        <v>2991</v>
      </c>
      <c r="L1029" s="3" t="s">
        <v>3057</v>
      </c>
      <c r="M1029" s="3" t="s">
        <v>3058</v>
      </c>
      <c r="N1029" s="3"/>
      <c r="O1029" s="3"/>
    </row>
    <row r="1030" spans="1:15" s="4" customFormat="1">
      <c r="A1030" s="2">
        <v>1029</v>
      </c>
      <c r="B1030" s="3" t="s">
        <v>2273</v>
      </c>
      <c r="C1030" s="3" t="s">
        <v>2274</v>
      </c>
      <c r="D1030" s="2" t="s">
        <v>17</v>
      </c>
      <c r="E1030" s="2" t="s">
        <v>8</v>
      </c>
      <c r="F1030" s="16"/>
      <c r="G1030" s="16"/>
      <c r="H1030" s="16">
        <f>VLOOKUP(B:B,'[1]Master Sheet'!$B:$H,7,0)</f>
        <v>0</v>
      </c>
      <c r="I1030" s="16">
        <f>VLOOKUP(B:B,'[1]Master Sheet'!$B:$I,8,0)</f>
        <v>0</v>
      </c>
      <c r="J1030" s="16"/>
      <c r="K1030" s="3" t="s">
        <v>2991</v>
      </c>
      <c r="L1030" s="3" t="s">
        <v>3057</v>
      </c>
      <c r="M1030" s="3" t="s">
        <v>3056</v>
      </c>
      <c r="N1030" s="3"/>
      <c r="O1030" s="3"/>
    </row>
    <row r="1031" spans="1:15" s="4" customFormat="1">
      <c r="A1031" s="2">
        <v>1030</v>
      </c>
      <c r="B1031" s="3" t="s">
        <v>2275</v>
      </c>
      <c r="C1031" s="3" t="s">
        <v>2276</v>
      </c>
      <c r="D1031" s="2" t="s">
        <v>17</v>
      </c>
      <c r="E1031" s="2" t="s">
        <v>8</v>
      </c>
      <c r="F1031" s="16"/>
      <c r="G1031" s="16"/>
      <c r="H1031" s="16">
        <f>VLOOKUP(B:B,'[1]Master Sheet'!$B:$H,7,0)</f>
        <v>0</v>
      </c>
      <c r="I1031" s="16">
        <f>VLOOKUP(B:B,'[1]Master Sheet'!$B:$I,8,0)</f>
        <v>0</v>
      </c>
      <c r="J1031" s="16"/>
      <c r="K1031" s="3" t="s">
        <v>2991</v>
      </c>
      <c r="L1031" s="3" t="s">
        <v>3057</v>
      </c>
      <c r="M1031" s="3" t="s">
        <v>3056</v>
      </c>
      <c r="N1031" s="3"/>
      <c r="O1031" s="3"/>
    </row>
    <row r="1032" spans="1:15" s="4" customFormat="1">
      <c r="A1032" s="2">
        <v>1031</v>
      </c>
      <c r="B1032" s="3" t="s">
        <v>2277</v>
      </c>
      <c r="C1032" s="3" t="s">
        <v>2278</v>
      </c>
      <c r="D1032" s="2" t="s">
        <v>17</v>
      </c>
      <c r="E1032" s="2" t="s">
        <v>8</v>
      </c>
      <c r="F1032" s="16"/>
      <c r="G1032" s="16"/>
      <c r="H1032" s="16">
        <f>VLOOKUP(B:B,'[1]Master Sheet'!$B:$H,7,0)</f>
        <v>0</v>
      </c>
      <c r="I1032" s="16">
        <f>VLOOKUP(B:B,'[1]Master Sheet'!$B:$I,8,0)</f>
        <v>0</v>
      </c>
      <c r="J1032" s="16"/>
      <c r="K1032" s="3" t="s">
        <v>2991</v>
      </c>
      <c r="L1032" s="3" t="s">
        <v>3057</v>
      </c>
      <c r="M1032" s="3" t="s">
        <v>3056</v>
      </c>
      <c r="N1032" s="3"/>
      <c r="O1032" s="3"/>
    </row>
    <row r="1033" spans="1:15" s="4" customFormat="1">
      <c r="A1033" s="2">
        <v>1032</v>
      </c>
      <c r="B1033" s="3" t="s">
        <v>2279</v>
      </c>
      <c r="C1033" s="3" t="s">
        <v>2280</v>
      </c>
      <c r="D1033" s="2" t="s">
        <v>17</v>
      </c>
      <c r="E1033" s="2" t="s">
        <v>8</v>
      </c>
      <c r="F1033" s="16"/>
      <c r="G1033" s="16"/>
      <c r="H1033" s="16">
        <f>VLOOKUP(B:B,'[1]Master Sheet'!$B:$H,7,0)</f>
        <v>0</v>
      </c>
      <c r="I1033" s="16">
        <f>VLOOKUP(B:B,'[1]Master Sheet'!$B:$I,8,0)</f>
        <v>0</v>
      </c>
      <c r="J1033" s="16"/>
      <c r="K1033" s="3" t="s">
        <v>2991</v>
      </c>
      <c r="L1033" s="3" t="s">
        <v>3057</v>
      </c>
      <c r="M1033" s="3" t="s">
        <v>3058</v>
      </c>
      <c r="N1033" s="3"/>
      <c r="O1033" s="3"/>
    </row>
    <row r="1034" spans="1:15" s="4" customFormat="1">
      <c r="A1034" s="2">
        <v>1033</v>
      </c>
      <c r="B1034" s="3" t="s">
        <v>2281</v>
      </c>
      <c r="C1034" s="3" t="s">
        <v>2282</v>
      </c>
      <c r="D1034" s="2" t="s">
        <v>17</v>
      </c>
      <c r="E1034" s="2" t="s">
        <v>8</v>
      </c>
      <c r="F1034" s="16"/>
      <c r="G1034" s="16"/>
      <c r="H1034" s="16">
        <f>VLOOKUP(B:B,'[1]Master Sheet'!$B:$H,7,0)</f>
        <v>0</v>
      </c>
      <c r="I1034" s="16">
        <f>VLOOKUP(B:B,'[1]Master Sheet'!$B:$I,8,0)</f>
        <v>0</v>
      </c>
      <c r="J1034" s="16"/>
      <c r="K1034" s="3" t="s">
        <v>2991</v>
      </c>
      <c r="L1034" s="3" t="s">
        <v>3057</v>
      </c>
      <c r="M1034" s="3" t="s">
        <v>3056</v>
      </c>
      <c r="N1034" s="3"/>
      <c r="O1034" s="3"/>
    </row>
    <row r="1035" spans="1:15" s="4" customFormat="1">
      <c r="A1035" s="2">
        <v>1034</v>
      </c>
      <c r="B1035" s="3" t="s">
        <v>2283</v>
      </c>
      <c r="C1035" s="3" t="s">
        <v>2284</v>
      </c>
      <c r="D1035" s="2" t="s">
        <v>17</v>
      </c>
      <c r="E1035" s="2" t="s">
        <v>8</v>
      </c>
      <c r="F1035" s="16"/>
      <c r="G1035" s="16"/>
      <c r="H1035" s="16">
        <f>VLOOKUP(B:B,'[1]Master Sheet'!$B:$H,7,0)</f>
        <v>0</v>
      </c>
      <c r="I1035" s="16">
        <f>VLOOKUP(B:B,'[1]Master Sheet'!$B:$I,8,0)</f>
        <v>0</v>
      </c>
      <c r="J1035" s="16"/>
      <c r="K1035" s="3" t="s">
        <v>2991</v>
      </c>
      <c r="L1035" s="3" t="s">
        <v>3057</v>
      </c>
      <c r="M1035" s="3" t="s">
        <v>3056</v>
      </c>
      <c r="N1035" s="3"/>
      <c r="O1035" s="3"/>
    </row>
    <row r="1036" spans="1:15" s="4" customFormat="1">
      <c r="A1036" s="2">
        <v>1035</v>
      </c>
      <c r="B1036" s="3" t="s">
        <v>2285</v>
      </c>
      <c r="C1036" s="3" t="s">
        <v>2286</v>
      </c>
      <c r="D1036" s="2" t="s">
        <v>17</v>
      </c>
      <c r="E1036" s="2" t="s">
        <v>8</v>
      </c>
      <c r="F1036" s="16"/>
      <c r="G1036" s="16"/>
      <c r="H1036" s="16">
        <f>VLOOKUP(B:B,'[1]Master Sheet'!$B:$H,7,0)</f>
        <v>0</v>
      </c>
      <c r="I1036" s="16">
        <f>VLOOKUP(B:B,'[1]Master Sheet'!$B:$I,8,0)</f>
        <v>0</v>
      </c>
      <c r="J1036" s="16"/>
      <c r="K1036" s="3" t="s">
        <v>2991</v>
      </c>
      <c r="L1036" s="3" t="s">
        <v>3057</v>
      </c>
      <c r="M1036" s="3" t="s">
        <v>3058</v>
      </c>
      <c r="N1036" s="3"/>
      <c r="O1036" s="3"/>
    </row>
    <row r="1037" spans="1:15" s="4" customFormat="1">
      <c r="A1037" s="2">
        <v>1036</v>
      </c>
      <c r="B1037" s="3" t="s">
        <v>2289</v>
      </c>
      <c r="C1037" s="3" t="s">
        <v>2290</v>
      </c>
      <c r="D1037" s="2" t="s">
        <v>20</v>
      </c>
      <c r="E1037" s="2" t="s">
        <v>8</v>
      </c>
      <c r="F1037" s="16"/>
      <c r="G1037" s="16"/>
      <c r="H1037" s="16">
        <f>VLOOKUP(B:B,'[1]Master Sheet'!$B:$H,7,0)</f>
        <v>0</v>
      </c>
      <c r="I1037" s="16">
        <f>VLOOKUP(B:B,'[1]Master Sheet'!$B:$I,8,0)</f>
        <v>0</v>
      </c>
      <c r="J1037" s="16"/>
      <c r="K1037" s="3" t="s">
        <v>2991</v>
      </c>
      <c r="L1037" s="3" t="s">
        <v>3057</v>
      </c>
      <c r="M1037" s="3" t="s">
        <v>3056</v>
      </c>
      <c r="N1037" s="3"/>
      <c r="O1037" s="3"/>
    </row>
    <row r="1038" spans="1:15" s="4" customFormat="1">
      <c r="A1038" s="2">
        <v>1037</v>
      </c>
      <c r="B1038" s="3" t="s">
        <v>2295</v>
      </c>
      <c r="C1038" s="3" t="s">
        <v>2296</v>
      </c>
      <c r="D1038" s="2" t="s">
        <v>17</v>
      </c>
      <c r="E1038" s="2" t="s">
        <v>8</v>
      </c>
      <c r="F1038" s="16"/>
      <c r="G1038" s="16"/>
      <c r="H1038" s="16">
        <f>VLOOKUP(B:B,'[1]Master Sheet'!$B:$H,7,0)</f>
        <v>40</v>
      </c>
      <c r="I1038" s="16">
        <f>VLOOKUP(B:B,'[1]Master Sheet'!$B:$I,8,0)</f>
        <v>0</v>
      </c>
      <c r="J1038" s="16"/>
      <c r="K1038" s="3" t="s">
        <v>2972</v>
      </c>
      <c r="L1038" s="3" t="s">
        <v>3057</v>
      </c>
      <c r="M1038" s="3" t="s">
        <v>3056</v>
      </c>
      <c r="N1038" s="3"/>
      <c r="O1038" s="3"/>
    </row>
    <row r="1039" spans="1:15" s="4" customFormat="1">
      <c r="A1039" s="2">
        <v>1038</v>
      </c>
      <c r="B1039" s="3" t="s">
        <v>2297</v>
      </c>
      <c r="C1039" s="3" t="s">
        <v>2298</v>
      </c>
      <c r="D1039" s="2" t="s">
        <v>7</v>
      </c>
      <c r="E1039" s="2" t="s">
        <v>8</v>
      </c>
      <c r="F1039" s="16"/>
      <c r="G1039" s="16"/>
      <c r="H1039" s="16">
        <f>VLOOKUP(B:B,'[1]Master Sheet'!$B:$H,7,0)</f>
        <v>1500</v>
      </c>
      <c r="I1039" s="16">
        <f>VLOOKUP(B:B,'[1]Master Sheet'!$B:$I,8,0)</f>
        <v>0</v>
      </c>
      <c r="J1039" s="16"/>
      <c r="K1039" s="3" t="s">
        <v>2972</v>
      </c>
      <c r="L1039" s="3" t="s">
        <v>3057</v>
      </c>
      <c r="M1039" s="3" t="s">
        <v>3056</v>
      </c>
      <c r="N1039" s="3"/>
      <c r="O1039" s="3"/>
    </row>
    <row r="1040" spans="1:15" s="4" customFormat="1">
      <c r="A1040" s="2">
        <v>1039</v>
      </c>
      <c r="B1040" s="3" t="s">
        <v>2299</v>
      </c>
      <c r="C1040" s="3" t="s">
        <v>2300</v>
      </c>
      <c r="D1040" s="2" t="s">
        <v>7</v>
      </c>
      <c r="E1040" s="2" t="s">
        <v>8</v>
      </c>
      <c r="F1040" s="16"/>
      <c r="G1040" s="16"/>
      <c r="H1040" s="16">
        <f>VLOOKUP(B:B,'[1]Master Sheet'!$B:$H,7,0)</f>
        <v>1500</v>
      </c>
      <c r="I1040" s="16">
        <f>VLOOKUP(B:B,'[1]Master Sheet'!$B:$I,8,0)</f>
        <v>0</v>
      </c>
      <c r="J1040" s="16"/>
      <c r="K1040" s="3" t="s">
        <v>2972</v>
      </c>
      <c r="L1040" s="3" t="s">
        <v>3057</v>
      </c>
      <c r="M1040" s="3" t="s">
        <v>3056</v>
      </c>
      <c r="N1040" s="3"/>
      <c r="O1040" s="3"/>
    </row>
    <row r="1041" spans="1:15" s="4" customFormat="1">
      <c r="A1041" s="2">
        <v>1040</v>
      </c>
      <c r="B1041" s="3" t="s">
        <v>2323</v>
      </c>
      <c r="C1041" s="3" t="s">
        <v>2324</v>
      </c>
      <c r="D1041" s="2" t="s">
        <v>17</v>
      </c>
      <c r="E1041" s="2" t="s">
        <v>8</v>
      </c>
      <c r="F1041" s="16"/>
      <c r="G1041" s="16"/>
      <c r="H1041" s="16">
        <f>VLOOKUP(B:B,'[1]Master Sheet'!$B:$H,7,0)</f>
        <v>0</v>
      </c>
      <c r="I1041" s="16">
        <f>VLOOKUP(B:B,'[1]Master Sheet'!$B:$I,8,0)</f>
        <v>0</v>
      </c>
      <c r="J1041" s="16"/>
      <c r="K1041" s="3" t="s">
        <v>2982</v>
      </c>
      <c r="L1041" s="3" t="s">
        <v>3060</v>
      </c>
      <c r="M1041" s="3" t="s">
        <v>3058</v>
      </c>
      <c r="N1041" s="3"/>
      <c r="O1041" s="3"/>
    </row>
    <row r="1042" spans="1:15" s="4" customFormat="1">
      <c r="A1042" s="2">
        <v>1041</v>
      </c>
      <c r="B1042" s="3" t="s">
        <v>2325</v>
      </c>
      <c r="C1042" s="3" t="s">
        <v>2326</v>
      </c>
      <c r="D1042" s="2" t="s">
        <v>17</v>
      </c>
      <c r="E1042" s="2" t="s">
        <v>8</v>
      </c>
      <c r="F1042" s="16"/>
      <c r="G1042" s="16"/>
      <c r="H1042" s="16">
        <f>VLOOKUP(B:B,'[1]Master Sheet'!$B:$H,7,0)</f>
        <v>0</v>
      </c>
      <c r="I1042" s="16">
        <f>VLOOKUP(B:B,'[1]Master Sheet'!$B:$I,8,0)</f>
        <v>0</v>
      </c>
      <c r="J1042" s="16"/>
      <c r="K1042" s="3" t="s">
        <v>2982</v>
      </c>
      <c r="L1042" s="3" t="s">
        <v>3060</v>
      </c>
      <c r="M1042" s="3" t="s">
        <v>3058</v>
      </c>
      <c r="N1042" s="3"/>
      <c r="O1042" s="3"/>
    </row>
    <row r="1043" spans="1:15" s="4" customFormat="1">
      <c r="A1043" s="2">
        <v>1042</v>
      </c>
      <c r="B1043" s="3" t="s">
        <v>2327</v>
      </c>
      <c r="C1043" s="3" t="s">
        <v>2328</v>
      </c>
      <c r="D1043" s="2" t="s">
        <v>17</v>
      </c>
      <c r="E1043" s="2" t="s">
        <v>8</v>
      </c>
      <c r="F1043" s="16"/>
      <c r="G1043" s="16"/>
      <c r="H1043" s="16">
        <f>VLOOKUP(B:B,'[1]Master Sheet'!$B:$H,7,0)</f>
        <v>25</v>
      </c>
      <c r="I1043" s="16">
        <f>VLOOKUP(B:B,'[1]Master Sheet'!$B:$I,8,0)</f>
        <v>0</v>
      </c>
      <c r="J1043" s="16"/>
      <c r="K1043" s="3" t="s">
        <v>3052</v>
      </c>
      <c r="L1043" s="3" t="s">
        <v>3062</v>
      </c>
      <c r="M1043" s="3" t="s">
        <v>3056</v>
      </c>
      <c r="N1043" s="3"/>
      <c r="O1043" s="3"/>
    </row>
    <row r="1044" spans="1:15" s="4" customFormat="1">
      <c r="A1044" s="2">
        <v>1043</v>
      </c>
      <c r="B1044" s="3" t="s">
        <v>2329</v>
      </c>
      <c r="C1044" s="3" t="s">
        <v>2330</v>
      </c>
      <c r="D1044" s="2" t="s">
        <v>17</v>
      </c>
      <c r="E1044" s="2" t="s">
        <v>8</v>
      </c>
      <c r="F1044" s="16"/>
      <c r="G1044" s="16"/>
      <c r="H1044" s="16">
        <f>VLOOKUP(B:B,'[1]Master Sheet'!$B:$H,7,0)</f>
        <v>25</v>
      </c>
      <c r="I1044" s="16">
        <f>VLOOKUP(B:B,'[1]Master Sheet'!$B:$I,8,0)</f>
        <v>0</v>
      </c>
      <c r="J1044" s="16"/>
      <c r="K1044" s="3" t="s">
        <v>3052</v>
      </c>
      <c r="L1044" s="3" t="s">
        <v>3062</v>
      </c>
      <c r="M1044" s="3" t="s">
        <v>3056</v>
      </c>
      <c r="N1044" s="3"/>
      <c r="O1044" s="3"/>
    </row>
    <row r="1045" spans="1:15" s="4" customFormat="1">
      <c r="A1045" s="2">
        <v>1044</v>
      </c>
      <c r="B1045" s="3" t="s">
        <v>2331</v>
      </c>
      <c r="C1045" s="3" t="s">
        <v>2332</v>
      </c>
      <c r="D1045" s="2" t="s">
        <v>17</v>
      </c>
      <c r="E1045" s="2" t="s">
        <v>8</v>
      </c>
      <c r="F1045" s="16"/>
      <c r="G1045" s="16"/>
      <c r="H1045" s="16">
        <f>VLOOKUP(B:B,'[1]Master Sheet'!$B:$H,7,0)</f>
        <v>25</v>
      </c>
      <c r="I1045" s="16">
        <f>VLOOKUP(B:B,'[1]Master Sheet'!$B:$I,8,0)</f>
        <v>0</v>
      </c>
      <c r="J1045" s="16"/>
      <c r="K1045" s="3" t="s">
        <v>3052</v>
      </c>
      <c r="L1045" s="3" t="s">
        <v>3062</v>
      </c>
      <c r="M1045" s="3" t="s">
        <v>3056</v>
      </c>
      <c r="N1045" s="3"/>
      <c r="O1045" s="3"/>
    </row>
    <row r="1046" spans="1:15" s="4" customFormat="1">
      <c r="A1046" s="2">
        <v>1045</v>
      </c>
      <c r="B1046" s="3" t="s">
        <v>2333</v>
      </c>
      <c r="C1046" s="3" t="s">
        <v>2334</v>
      </c>
      <c r="D1046" s="2" t="s">
        <v>17</v>
      </c>
      <c r="E1046" s="2" t="s">
        <v>8</v>
      </c>
      <c r="F1046" s="16"/>
      <c r="G1046" s="16"/>
      <c r="H1046" s="16">
        <f>VLOOKUP(B:B,'[1]Master Sheet'!$B:$H,7,0)</f>
        <v>30</v>
      </c>
      <c r="I1046" s="16">
        <f>VLOOKUP(B:B,'[1]Master Sheet'!$B:$I,8,0)</f>
        <v>0</v>
      </c>
      <c r="J1046" s="16"/>
      <c r="K1046" s="3" t="s">
        <v>3052</v>
      </c>
      <c r="L1046" s="3" t="s">
        <v>3062</v>
      </c>
      <c r="M1046" s="3" t="s">
        <v>3056</v>
      </c>
      <c r="N1046" s="3"/>
      <c r="O1046" s="3"/>
    </row>
    <row r="1047" spans="1:15" s="4" customFormat="1">
      <c r="A1047" s="2">
        <v>1046</v>
      </c>
      <c r="B1047" s="3" t="s">
        <v>2335</v>
      </c>
      <c r="C1047" s="3" t="s">
        <v>2336</v>
      </c>
      <c r="D1047" s="2" t="s">
        <v>7</v>
      </c>
      <c r="E1047" s="2" t="s">
        <v>8</v>
      </c>
      <c r="F1047" s="16"/>
      <c r="G1047" s="16"/>
      <c r="H1047" s="16">
        <f>VLOOKUP(B:B,'[1]Master Sheet'!$B:$H,7,0)</f>
        <v>800</v>
      </c>
      <c r="I1047" s="16">
        <f>VLOOKUP(B:B,'[1]Master Sheet'!$B:$I,8,0)</f>
        <v>0</v>
      </c>
      <c r="J1047" s="16"/>
      <c r="K1047" s="3" t="s">
        <v>2965</v>
      </c>
      <c r="L1047" s="3" t="s">
        <v>3055</v>
      </c>
      <c r="M1047" s="3" t="s">
        <v>3056</v>
      </c>
      <c r="N1047" s="3"/>
      <c r="O1047" s="3"/>
    </row>
    <row r="1048" spans="1:15" s="4" customFormat="1">
      <c r="A1048" s="2">
        <v>1047</v>
      </c>
      <c r="B1048" s="3" t="s">
        <v>2337</v>
      </c>
      <c r="C1048" s="3" t="s">
        <v>2338</v>
      </c>
      <c r="D1048" s="2" t="s">
        <v>7</v>
      </c>
      <c r="E1048" s="2" t="s">
        <v>8</v>
      </c>
      <c r="F1048" s="16"/>
      <c r="G1048" s="16"/>
      <c r="H1048" s="16">
        <f>VLOOKUP(B:B,'[1]Master Sheet'!$B:$H,7,0)</f>
        <v>400</v>
      </c>
      <c r="I1048" s="16">
        <f>VLOOKUP(B:B,'[1]Master Sheet'!$B:$I,8,0)</f>
        <v>750</v>
      </c>
      <c r="J1048" s="16"/>
      <c r="K1048" s="3" t="s">
        <v>2965</v>
      </c>
      <c r="L1048" s="3" t="s">
        <v>3055</v>
      </c>
      <c r="M1048" s="3" t="s">
        <v>3056</v>
      </c>
      <c r="N1048" s="3"/>
      <c r="O1048" s="3"/>
    </row>
    <row r="1049" spans="1:15" s="4" customFormat="1">
      <c r="A1049" s="2">
        <v>1048</v>
      </c>
      <c r="B1049" s="3" t="s">
        <v>2339</v>
      </c>
      <c r="C1049" s="3" t="s">
        <v>2340</v>
      </c>
      <c r="D1049" s="2" t="s">
        <v>7</v>
      </c>
      <c r="E1049" s="2" t="s">
        <v>8</v>
      </c>
      <c r="F1049" s="16"/>
      <c r="G1049" s="16"/>
      <c r="H1049" s="16">
        <f>VLOOKUP(B:B,'[1]Master Sheet'!$B:$H,7,0)</f>
        <v>0</v>
      </c>
      <c r="I1049" s="16">
        <f>VLOOKUP(B:B,'[1]Master Sheet'!$B:$I,8,0)</f>
        <v>0</v>
      </c>
      <c r="J1049" s="16"/>
      <c r="K1049" s="3" t="s">
        <v>2965</v>
      </c>
      <c r="L1049" s="3" t="s">
        <v>3055</v>
      </c>
      <c r="M1049" s="3" t="s">
        <v>3056</v>
      </c>
      <c r="N1049" s="3"/>
      <c r="O1049" s="3"/>
    </row>
    <row r="1050" spans="1:15" s="4" customFormat="1">
      <c r="A1050" s="2">
        <v>1049</v>
      </c>
      <c r="B1050" s="3" t="s">
        <v>2341</v>
      </c>
      <c r="C1050" s="3" t="s">
        <v>2342</v>
      </c>
      <c r="D1050" s="2" t="s">
        <v>7</v>
      </c>
      <c r="E1050" s="2" t="s">
        <v>8</v>
      </c>
      <c r="F1050" s="16"/>
      <c r="G1050" s="16"/>
      <c r="H1050" s="16">
        <f>VLOOKUP(B:B,'[1]Master Sheet'!$B:$H,7,0)</f>
        <v>300</v>
      </c>
      <c r="I1050" s="16">
        <f>VLOOKUP(B:B,'[1]Master Sheet'!$B:$I,8,0)</f>
        <v>0</v>
      </c>
      <c r="J1050" s="16"/>
      <c r="K1050" s="3" t="s">
        <v>2965</v>
      </c>
      <c r="L1050" s="3" t="s">
        <v>3055</v>
      </c>
      <c r="M1050" s="3" t="s">
        <v>3056</v>
      </c>
      <c r="N1050" s="3"/>
      <c r="O1050" s="3"/>
    </row>
    <row r="1051" spans="1:15" s="4" customFormat="1">
      <c r="A1051" s="2">
        <v>1050</v>
      </c>
      <c r="B1051" s="3" t="s">
        <v>2343</v>
      </c>
      <c r="C1051" s="3" t="s">
        <v>2344</v>
      </c>
      <c r="D1051" s="2" t="s">
        <v>7</v>
      </c>
      <c r="E1051" s="2" t="s">
        <v>8</v>
      </c>
      <c r="F1051" s="16"/>
      <c r="G1051" s="16"/>
      <c r="H1051" s="16">
        <f>VLOOKUP(B:B,'[1]Master Sheet'!$B:$H,7,0)</f>
        <v>300</v>
      </c>
      <c r="I1051" s="16">
        <f>VLOOKUP(B:B,'[1]Master Sheet'!$B:$I,8,0)</f>
        <v>0</v>
      </c>
      <c r="J1051" s="16"/>
      <c r="K1051" s="3" t="s">
        <v>2965</v>
      </c>
      <c r="L1051" s="3" t="s">
        <v>3055</v>
      </c>
      <c r="M1051" s="3" t="s">
        <v>3056</v>
      </c>
      <c r="N1051" s="3"/>
      <c r="O1051" s="3"/>
    </row>
    <row r="1052" spans="1:15" s="4" customFormat="1">
      <c r="A1052" s="2">
        <v>1051</v>
      </c>
      <c r="B1052" s="3" t="s">
        <v>2345</v>
      </c>
      <c r="C1052" s="3" t="s">
        <v>2346</v>
      </c>
      <c r="D1052" s="2" t="s">
        <v>7</v>
      </c>
      <c r="E1052" s="2" t="s">
        <v>8</v>
      </c>
      <c r="F1052" s="16"/>
      <c r="G1052" s="16"/>
      <c r="H1052" s="16">
        <f>VLOOKUP(B:B,'[1]Master Sheet'!$B:$H,7,0)</f>
        <v>200</v>
      </c>
      <c r="I1052" s="16">
        <f>VLOOKUP(B:B,'[1]Master Sheet'!$B:$I,8,0)</f>
        <v>0</v>
      </c>
      <c r="J1052" s="16"/>
      <c r="K1052" s="3" t="s">
        <v>2965</v>
      </c>
      <c r="L1052" s="3" t="s">
        <v>3055</v>
      </c>
      <c r="M1052" s="3" t="s">
        <v>3056</v>
      </c>
      <c r="N1052" s="3"/>
      <c r="O1052" s="3"/>
    </row>
    <row r="1053" spans="1:15" s="4" customFormat="1">
      <c r="A1053" s="2">
        <v>1052</v>
      </c>
      <c r="B1053" s="3" t="s">
        <v>2347</v>
      </c>
      <c r="C1053" s="3" t="s">
        <v>2348</v>
      </c>
      <c r="D1053" s="2" t="s">
        <v>7</v>
      </c>
      <c r="E1053" s="2" t="s">
        <v>8</v>
      </c>
      <c r="F1053" s="16"/>
      <c r="G1053" s="16"/>
      <c r="H1053" s="16">
        <f>VLOOKUP(B:B,'[1]Master Sheet'!$B:$H,7,0)</f>
        <v>400</v>
      </c>
      <c r="I1053" s="16">
        <f>VLOOKUP(B:B,'[1]Master Sheet'!$B:$I,8,0)</f>
        <v>0</v>
      </c>
      <c r="J1053" s="16"/>
      <c r="K1053" s="3" t="s">
        <v>2965</v>
      </c>
      <c r="L1053" s="3" t="s">
        <v>3055</v>
      </c>
      <c r="M1053" s="3" t="s">
        <v>3056</v>
      </c>
      <c r="N1053" s="3"/>
      <c r="O1053" s="3"/>
    </row>
    <row r="1054" spans="1:15" s="4" customFormat="1">
      <c r="A1054" s="2">
        <v>1053</v>
      </c>
      <c r="B1054" s="3" t="s">
        <v>2351</v>
      </c>
      <c r="C1054" s="3" t="s">
        <v>2352</v>
      </c>
      <c r="D1054" s="2" t="s">
        <v>7</v>
      </c>
      <c r="E1054" s="2" t="s">
        <v>8</v>
      </c>
      <c r="F1054" s="16"/>
      <c r="G1054" s="16"/>
      <c r="H1054" s="16">
        <f>VLOOKUP(B:B,'[1]Master Sheet'!$B:$H,7,0)</f>
        <v>200</v>
      </c>
      <c r="I1054" s="16">
        <f>VLOOKUP(B:B,'[1]Master Sheet'!$B:$I,8,0)</f>
        <v>0</v>
      </c>
      <c r="J1054" s="16"/>
      <c r="K1054" s="3" t="s">
        <v>2965</v>
      </c>
      <c r="L1054" s="3" t="s">
        <v>3055</v>
      </c>
      <c r="M1054" s="3" t="s">
        <v>3056</v>
      </c>
      <c r="N1054" s="3"/>
      <c r="O1054" s="3"/>
    </row>
    <row r="1055" spans="1:15" s="4" customFormat="1">
      <c r="A1055" s="2">
        <v>1054</v>
      </c>
      <c r="B1055" s="3" t="s">
        <v>2353</v>
      </c>
      <c r="C1055" s="3" t="s">
        <v>2354</v>
      </c>
      <c r="D1055" s="2" t="s">
        <v>7</v>
      </c>
      <c r="E1055" s="2" t="s">
        <v>8</v>
      </c>
      <c r="F1055" s="16"/>
      <c r="G1055" s="16"/>
      <c r="H1055" s="16">
        <f>VLOOKUP(B:B,'[1]Master Sheet'!$B:$H,7,0)</f>
        <v>200</v>
      </c>
      <c r="I1055" s="16">
        <f>VLOOKUP(B:B,'[1]Master Sheet'!$B:$I,8,0)</f>
        <v>0</v>
      </c>
      <c r="J1055" s="16"/>
      <c r="K1055" s="3" t="s">
        <v>2965</v>
      </c>
      <c r="L1055" s="3" t="s">
        <v>3055</v>
      </c>
      <c r="M1055" s="3" t="s">
        <v>3056</v>
      </c>
      <c r="N1055" s="3"/>
      <c r="O1055" s="3"/>
    </row>
    <row r="1056" spans="1:15" s="4" customFormat="1">
      <c r="A1056" s="2">
        <v>1055</v>
      </c>
      <c r="B1056" s="3" t="s">
        <v>2355</v>
      </c>
      <c r="C1056" s="3" t="s">
        <v>2356</v>
      </c>
      <c r="D1056" s="2" t="s">
        <v>7</v>
      </c>
      <c r="E1056" s="2" t="s">
        <v>8</v>
      </c>
      <c r="F1056" s="16"/>
      <c r="G1056" s="16"/>
      <c r="H1056" s="16">
        <f>VLOOKUP(B:B,'[1]Master Sheet'!$B:$H,7,0)</f>
        <v>200</v>
      </c>
      <c r="I1056" s="16">
        <f>VLOOKUP(B:B,'[1]Master Sheet'!$B:$I,8,0)</f>
        <v>0</v>
      </c>
      <c r="J1056" s="16"/>
      <c r="K1056" s="3" t="s">
        <v>2965</v>
      </c>
      <c r="L1056" s="3" t="s">
        <v>3055</v>
      </c>
      <c r="M1056" s="3" t="s">
        <v>3056</v>
      </c>
      <c r="N1056" s="3"/>
      <c r="O1056" s="3"/>
    </row>
    <row r="1057" spans="1:15" s="4" customFormat="1">
      <c r="A1057" s="2">
        <v>1056</v>
      </c>
      <c r="B1057" s="3" t="s">
        <v>2357</v>
      </c>
      <c r="C1057" s="3" t="s">
        <v>2358</v>
      </c>
      <c r="D1057" s="2" t="s">
        <v>7</v>
      </c>
      <c r="E1057" s="2" t="s">
        <v>8</v>
      </c>
      <c r="F1057" s="16"/>
      <c r="G1057" s="16"/>
      <c r="H1057" s="16">
        <f>VLOOKUP(B:B,'[1]Master Sheet'!$B:$H,7,0)</f>
        <v>200</v>
      </c>
      <c r="I1057" s="16">
        <f>VLOOKUP(B:B,'[1]Master Sheet'!$B:$I,8,0)</f>
        <v>0</v>
      </c>
      <c r="J1057" s="16"/>
      <c r="K1057" s="3" t="s">
        <v>2965</v>
      </c>
      <c r="L1057" s="3" t="s">
        <v>3055</v>
      </c>
      <c r="M1057" s="3" t="s">
        <v>3056</v>
      </c>
      <c r="N1057" s="3"/>
      <c r="O1057" s="3"/>
    </row>
    <row r="1058" spans="1:15" s="4" customFormat="1">
      <c r="A1058" s="2">
        <v>1057</v>
      </c>
      <c r="B1058" s="3" t="s">
        <v>2359</v>
      </c>
      <c r="C1058" s="3" t="s">
        <v>2360</v>
      </c>
      <c r="D1058" s="2" t="s">
        <v>7</v>
      </c>
      <c r="E1058" s="2" t="s">
        <v>8</v>
      </c>
      <c r="F1058" s="16"/>
      <c r="G1058" s="16"/>
      <c r="H1058" s="16">
        <f>VLOOKUP(B:B,'[1]Master Sheet'!$B:$H,7,0)</f>
        <v>1500</v>
      </c>
      <c r="I1058" s="16">
        <f>VLOOKUP(B:B,'[1]Master Sheet'!$B:$I,8,0)</f>
        <v>0</v>
      </c>
      <c r="J1058" s="16"/>
      <c r="K1058" s="3" t="s">
        <v>2965</v>
      </c>
      <c r="L1058" s="3" t="s">
        <v>3055</v>
      </c>
      <c r="M1058" s="3" t="s">
        <v>3056</v>
      </c>
      <c r="N1058" s="3"/>
      <c r="O1058" s="3"/>
    </row>
    <row r="1059" spans="1:15" s="4" customFormat="1">
      <c r="A1059" s="2">
        <v>1058</v>
      </c>
      <c r="B1059" s="3" t="s">
        <v>2361</v>
      </c>
      <c r="C1059" s="3" t="s">
        <v>2362</v>
      </c>
      <c r="D1059" s="2" t="s">
        <v>7</v>
      </c>
      <c r="E1059" s="2" t="s">
        <v>8</v>
      </c>
      <c r="F1059" s="16"/>
      <c r="G1059" s="16"/>
      <c r="H1059" s="16">
        <f>VLOOKUP(B:B,'[1]Master Sheet'!$B:$H,7,0)</f>
        <v>1500</v>
      </c>
      <c r="I1059" s="16">
        <f>VLOOKUP(B:B,'[1]Master Sheet'!$B:$I,8,0)</f>
        <v>0</v>
      </c>
      <c r="J1059" s="16"/>
      <c r="K1059" s="3" t="s">
        <v>2965</v>
      </c>
      <c r="L1059" s="3" t="s">
        <v>3055</v>
      </c>
      <c r="M1059" s="3" t="s">
        <v>3056</v>
      </c>
      <c r="N1059" s="3"/>
      <c r="O1059" s="3"/>
    </row>
    <row r="1060" spans="1:15" s="4" customFormat="1">
      <c r="A1060" s="2">
        <v>1059</v>
      </c>
      <c r="B1060" s="3" t="s">
        <v>2363</v>
      </c>
      <c r="C1060" s="3" t="s">
        <v>2364</v>
      </c>
      <c r="D1060" s="2" t="s">
        <v>7</v>
      </c>
      <c r="E1060" s="2" t="s">
        <v>8</v>
      </c>
      <c r="F1060" s="16"/>
      <c r="G1060" s="16"/>
      <c r="H1060" s="16">
        <f>VLOOKUP(B:B,'[1]Master Sheet'!$B:$H,7,0)</f>
        <v>1500</v>
      </c>
      <c r="I1060" s="16">
        <f>VLOOKUP(B:B,'[1]Master Sheet'!$B:$I,8,0)</f>
        <v>0</v>
      </c>
      <c r="J1060" s="16"/>
      <c r="K1060" s="3" t="s">
        <v>2965</v>
      </c>
      <c r="L1060" s="3" t="s">
        <v>3055</v>
      </c>
      <c r="M1060" s="3" t="s">
        <v>3056</v>
      </c>
      <c r="N1060" s="3"/>
      <c r="O1060" s="3"/>
    </row>
    <row r="1061" spans="1:15" s="4" customFormat="1">
      <c r="A1061" s="2">
        <v>1060</v>
      </c>
      <c r="B1061" s="3" t="s">
        <v>2365</v>
      </c>
      <c r="C1061" s="3" t="s">
        <v>2366</v>
      </c>
      <c r="D1061" s="2" t="s">
        <v>7</v>
      </c>
      <c r="E1061" s="2" t="s">
        <v>8</v>
      </c>
      <c r="F1061" s="16"/>
      <c r="G1061" s="16"/>
      <c r="H1061" s="16">
        <f>VLOOKUP(B:B,'[1]Master Sheet'!$B:$H,7,0)</f>
        <v>1500</v>
      </c>
      <c r="I1061" s="16">
        <f>VLOOKUP(B:B,'[1]Master Sheet'!$B:$I,8,0)</f>
        <v>0</v>
      </c>
      <c r="J1061" s="16"/>
      <c r="K1061" s="3" t="s">
        <v>2965</v>
      </c>
      <c r="L1061" s="3" t="s">
        <v>3055</v>
      </c>
      <c r="M1061" s="3" t="s">
        <v>3056</v>
      </c>
      <c r="N1061" s="3"/>
      <c r="O1061" s="3"/>
    </row>
    <row r="1062" spans="1:15" s="4" customFormat="1">
      <c r="A1062" s="2">
        <v>1061</v>
      </c>
      <c r="B1062" s="3" t="s">
        <v>2367</v>
      </c>
      <c r="C1062" s="3" t="s">
        <v>2368</v>
      </c>
      <c r="D1062" s="2" t="s">
        <v>17</v>
      </c>
      <c r="E1062" s="2" t="s">
        <v>8</v>
      </c>
      <c r="F1062" s="16"/>
      <c r="G1062" s="16"/>
      <c r="H1062" s="16">
        <f>VLOOKUP(B:B,'[1]Master Sheet'!$B:$H,7,0)</f>
        <v>1000</v>
      </c>
      <c r="I1062" s="16">
        <f>VLOOKUP(B:B,'[1]Master Sheet'!$B:$I,8,0)</f>
        <v>0</v>
      </c>
      <c r="J1062" s="16"/>
      <c r="K1062" s="3" t="s">
        <v>2972</v>
      </c>
      <c r="L1062" s="3" t="s">
        <v>3055</v>
      </c>
      <c r="M1062" s="3" t="s">
        <v>3056</v>
      </c>
      <c r="N1062" s="3"/>
      <c r="O1062" s="3"/>
    </row>
    <row r="1063" spans="1:15" s="4" customFormat="1">
      <c r="A1063" s="2">
        <v>1062</v>
      </c>
      <c r="B1063" s="3" t="s">
        <v>2369</v>
      </c>
      <c r="C1063" s="3" t="s">
        <v>2370</v>
      </c>
      <c r="D1063" s="2" t="s">
        <v>17</v>
      </c>
      <c r="E1063" s="2" t="s">
        <v>8</v>
      </c>
      <c r="F1063" s="16"/>
      <c r="G1063" s="16"/>
      <c r="H1063" s="16">
        <f>VLOOKUP(B:B,'[1]Master Sheet'!$B:$H,7,0)</f>
        <v>0</v>
      </c>
      <c r="I1063" s="16">
        <f>VLOOKUP(B:B,'[1]Master Sheet'!$B:$I,8,0)</f>
        <v>0</v>
      </c>
      <c r="J1063" s="16"/>
      <c r="K1063" s="3" t="s">
        <v>2972</v>
      </c>
      <c r="L1063" s="3" t="s">
        <v>3055</v>
      </c>
      <c r="M1063" s="3" t="s">
        <v>3056</v>
      </c>
      <c r="N1063" s="3"/>
      <c r="O1063" s="3"/>
    </row>
    <row r="1064" spans="1:15" s="4" customFormat="1">
      <c r="A1064" s="2">
        <v>1063</v>
      </c>
      <c r="B1064" s="3" t="s">
        <v>2371</v>
      </c>
      <c r="C1064" s="3" t="s">
        <v>2372</v>
      </c>
      <c r="D1064" s="2" t="s">
        <v>17</v>
      </c>
      <c r="E1064" s="2" t="s">
        <v>8</v>
      </c>
      <c r="F1064" s="16"/>
      <c r="G1064" s="16"/>
      <c r="H1064" s="16">
        <f>VLOOKUP(B:B,'[1]Master Sheet'!$B:$H,7,0)</f>
        <v>0</v>
      </c>
      <c r="I1064" s="16">
        <f>VLOOKUP(B:B,'[1]Master Sheet'!$B:$I,8,0)</f>
        <v>0</v>
      </c>
      <c r="J1064" s="16"/>
      <c r="K1064" s="3" t="s">
        <v>2972</v>
      </c>
      <c r="L1064" s="3" t="s">
        <v>3055</v>
      </c>
      <c r="M1064" s="3" t="s">
        <v>3056</v>
      </c>
      <c r="N1064" s="3"/>
      <c r="O1064" s="3"/>
    </row>
    <row r="1065" spans="1:15" s="4" customFormat="1">
      <c r="A1065" s="2">
        <v>1064</v>
      </c>
      <c r="B1065" s="3" t="s">
        <v>2373</v>
      </c>
      <c r="C1065" s="3" t="s">
        <v>2374</v>
      </c>
      <c r="D1065" s="2" t="s">
        <v>17</v>
      </c>
      <c r="E1065" s="2" t="s">
        <v>8</v>
      </c>
      <c r="F1065" s="16"/>
      <c r="G1065" s="16"/>
      <c r="H1065" s="16">
        <f>VLOOKUP(B:B,'[1]Master Sheet'!$B:$H,7,0)</f>
        <v>0</v>
      </c>
      <c r="I1065" s="16">
        <f>VLOOKUP(B:B,'[1]Master Sheet'!$B:$I,8,0)</f>
        <v>0</v>
      </c>
      <c r="J1065" s="16"/>
      <c r="K1065" s="3" t="s">
        <v>2972</v>
      </c>
      <c r="L1065" s="3" t="s">
        <v>3055</v>
      </c>
      <c r="M1065" s="3" t="s">
        <v>3056</v>
      </c>
      <c r="N1065" s="3"/>
      <c r="O1065" s="3"/>
    </row>
    <row r="1066" spans="1:15" s="4" customFormat="1">
      <c r="A1066" s="2">
        <v>1065</v>
      </c>
      <c r="B1066" s="3" t="s">
        <v>2375</v>
      </c>
      <c r="C1066" s="3" t="s">
        <v>2376</v>
      </c>
      <c r="D1066" s="2" t="s">
        <v>17</v>
      </c>
      <c r="E1066" s="2" t="s">
        <v>8</v>
      </c>
      <c r="F1066" s="16"/>
      <c r="G1066" s="16"/>
      <c r="H1066" s="16">
        <f>VLOOKUP(B:B,'[1]Master Sheet'!$B:$H,7,0)</f>
        <v>0</v>
      </c>
      <c r="I1066" s="16">
        <f>VLOOKUP(B:B,'[1]Master Sheet'!$B:$I,8,0)</f>
        <v>0</v>
      </c>
      <c r="J1066" s="16"/>
      <c r="K1066" s="3" t="s">
        <v>2982</v>
      </c>
      <c r="L1066" s="3" t="s">
        <v>3060</v>
      </c>
      <c r="M1066" s="3" t="s">
        <v>3064</v>
      </c>
      <c r="N1066" s="3"/>
      <c r="O1066" s="3"/>
    </row>
    <row r="1067" spans="1:15" s="4" customFormat="1">
      <c r="A1067" s="2">
        <v>1066</v>
      </c>
      <c r="B1067" s="3" t="s">
        <v>2301</v>
      </c>
      <c r="C1067" s="3" t="s">
        <v>2302</v>
      </c>
      <c r="D1067" s="2" t="s">
        <v>17</v>
      </c>
      <c r="E1067" s="2" t="s">
        <v>8</v>
      </c>
      <c r="F1067" s="16"/>
      <c r="G1067" s="16"/>
      <c r="H1067" s="16">
        <f>VLOOKUP(B:B,'[1]Master Sheet'!$B:$H,7,0)</f>
        <v>40</v>
      </c>
      <c r="I1067" s="16">
        <f>VLOOKUP(B:B,'[1]Master Sheet'!$B:$I,8,0)</f>
        <v>0</v>
      </c>
      <c r="J1067" s="16"/>
      <c r="K1067" s="3" t="s">
        <v>2972</v>
      </c>
      <c r="L1067" s="3" t="s">
        <v>3057</v>
      </c>
      <c r="M1067" s="3" t="s">
        <v>3056</v>
      </c>
      <c r="N1067" s="3"/>
      <c r="O1067" s="3"/>
    </row>
    <row r="1068" spans="1:15" s="4" customFormat="1">
      <c r="A1068" s="2">
        <v>1067</v>
      </c>
      <c r="B1068" s="3" t="s">
        <v>2303</v>
      </c>
      <c r="C1068" s="3" t="s">
        <v>2304</v>
      </c>
      <c r="D1068" s="2" t="s">
        <v>17</v>
      </c>
      <c r="E1068" s="2" t="s">
        <v>8</v>
      </c>
      <c r="F1068" s="16"/>
      <c r="G1068" s="16"/>
      <c r="H1068" s="16">
        <f>VLOOKUP(B:B,'[1]Master Sheet'!$B:$H,7,0)</f>
        <v>40</v>
      </c>
      <c r="I1068" s="16">
        <f>VLOOKUP(B:B,'[1]Master Sheet'!$B:$I,8,0)</f>
        <v>0</v>
      </c>
      <c r="J1068" s="16"/>
      <c r="K1068" s="3" t="s">
        <v>2972</v>
      </c>
      <c r="L1068" s="3" t="s">
        <v>3057</v>
      </c>
      <c r="M1068" s="3" t="s">
        <v>3056</v>
      </c>
      <c r="N1068" s="3"/>
      <c r="O1068" s="3"/>
    </row>
    <row r="1069" spans="1:15" s="4" customFormat="1">
      <c r="A1069" s="2">
        <v>1068</v>
      </c>
      <c r="B1069" s="3" t="s">
        <v>2305</v>
      </c>
      <c r="C1069" s="3" t="s">
        <v>2306</v>
      </c>
      <c r="D1069" s="2" t="s">
        <v>17</v>
      </c>
      <c r="E1069" s="2" t="s">
        <v>8</v>
      </c>
      <c r="F1069" s="16"/>
      <c r="G1069" s="16"/>
      <c r="H1069" s="16">
        <f>VLOOKUP(B:B,'[1]Master Sheet'!$B:$H,7,0)</f>
        <v>40</v>
      </c>
      <c r="I1069" s="16">
        <f>VLOOKUP(B:B,'[1]Master Sheet'!$B:$I,8,0)</f>
        <v>0</v>
      </c>
      <c r="J1069" s="16"/>
      <c r="K1069" s="3" t="s">
        <v>2972</v>
      </c>
      <c r="L1069" s="3" t="s">
        <v>3057</v>
      </c>
      <c r="M1069" s="3" t="s">
        <v>3056</v>
      </c>
      <c r="N1069" s="3"/>
      <c r="O1069" s="3"/>
    </row>
    <row r="1070" spans="1:15" s="4" customFormat="1">
      <c r="A1070" s="2">
        <v>1069</v>
      </c>
      <c r="B1070" s="3" t="s">
        <v>2307</v>
      </c>
      <c r="C1070" s="3" t="s">
        <v>2308</v>
      </c>
      <c r="D1070" s="2" t="s">
        <v>17</v>
      </c>
      <c r="E1070" s="2" t="s">
        <v>8</v>
      </c>
      <c r="F1070" s="16"/>
      <c r="G1070" s="16"/>
      <c r="H1070" s="16">
        <f>VLOOKUP(B:B,'[1]Master Sheet'!$B:$H,7,0)</f>
        <v>40</v>
      </c>
      <c r="I1070" s="16">
        <f>VLOOKUP(B:B,'[1]Master Sheet'!$B:$I,8,0)</f>
        <v>0</v>
      </c>
      <c r="J1070" s="16"/>
      <c r="K1070" s="3" t="s">
        <v>2972</v>
      </c>
      <c r="L1070" s="3" t="s">
        <v>3057</v>
      </c>
      <c r="M1070" s="3" t="s">
        <v>3056</v>
      </c>
      <c r="N1070" s="3"/>
      <c r="O1070" s="3"/>
    </row>
    <row r="1071" spans="1:15" s="4" customFormat="1">
      <c r="A1071" s="2">
        <v>1070</v>
      </c>
      <c r="B1071" s="3" t="s">
        <v>2385</v>
      </c>
      <c r="C1071" s="3" t="s">
        <v>2386</v>
      </c>
      <c r="D1071" s="2" t="s">
        <v>17</v>
      </c>
      <c r="E1071" s="2" t="s">
        <v>8</v>
      </c>
      <c r="F1071" s="16"/>
      <c r="G1071" s="16"/>
      <c r="H1071" s="16">
        <f>VLOOKUP(B:B,'[1]Master Sheet'!$B:$H,7,0)</f>
        <v>200</v>
      </c>
      <c r="I1071" s="16">
        <f>VLOOKUP(B:B,'[1]Master Sheet'!$B:$I,8,0)</f>
        <v>0</v>
      </c>
      <c r="J1071" s="16"/>
      <c r="K1071" s="3" t="s">
        <v>2972</v>
      </c>
      <c r="L1071" s="3" t="s">
        <v>3055</v>
      </c>
      <c r="M1071" s="3" t="s">
        <v>3056</v>
      </c>
      <c r="N1071" s="3"/>
      <c r="O1071" s="3"/>
    </row>
    <row r="1072" spans="1:15" s="4" customFormat="1">
      <c r="A1072" s="2">
        <v>1071</v>
      </c>
      <c r="B1072" s="3" t="s">
        <v>2387</v>
      </c>
      <c r="C1072" s="3" t="s">
        <v>2388</v>
      </c>
      <c r="D1072" s="2" t="s">
        <v>17</v>
      </c>
      <c r="E1072" s="2" t="s">
        <v>8</v>
      </c>
      <c r="F1072" s="16"/>
      <c r="G1072" s="16"/>
      <c r="H1072" s="16">
        <f>VLOOKUP(B:B,'[1]Master Sheet'!$B:$H,7,0)</f>
        <v>200</v>
      </c>
      <c r="I1072" s="16">
        <f>VLOOKUP(B:B,'[1]Master Sheet'!$B:$I,8,0)</f>
        <v>0</v>
      </c>
      <c r="J1072" s="16"/>
      <c r="K1072" s="3" t="s">
        <v>2972</v>
      </c>
      <c r="L1072" s="3" t="s">
        <v>3055</v>
      </c>
      <c r="M1072" s="3" t="s">
        <v>3056</v>
      </c>
      <c r="N1072" s="3"/>
      <c r="O1072" s="3"/>
    </row>
    <row r="1073" spans="1:15" s="4" customFormat="1">
      <c r="A1073" s="2">
        <v>1072</v>
      </c>
      <c r="B1073" s="3" t="s">
        <v>2309</v>
      </c>
      <c r="C1073" s="3" t="s">
        <v>2310</v>
      </c>
      <c r="D1073" s="2" t="s">
        <v>17</v>
      </c>
      <c r="E1073" s="2" t="s">
        <v>8</v>
      </c>
      <c r="F1073" s="16"/>
      <c r="G1073" s="16"/>
      <c r="H1073" s="16">
        <f>VLOOKUP(B:B,'[1]Master Sheet'!$B:$H,7,0)</f>
        <v>0</v>
      </c>
      <c r="I1073" s="16">
        <f>VLOOKUP(B:B,'[1]Master Sheet'!$B:$I,8,0)</f>
        <v>0</v>
      </c>
      <c r="J1073" s="16"/>
      <c r="K1073" s="3" t="s">
        <v>2998</v>
      </c>
      <c r="L1073" s="3" t="s">
        <v>3057</v>
      </c>
      <c r="M1073" s="3" t="s">
        <v>3056</v>
      </c>
      <c r="N1073" s="3"/>
      <c r="O1073" s="3"/>
    </row>
    <row r="1074" spans="1:15" s="4" customFormat="1">
      <c r="A1074" s="2">
        <v>1073</v>
      </c>
      <c r="B1074" s="3" t="s">
        <v>2311</v>
      </c>
      <c r="C1074" s="3" t="s">
        <v>2312</v>
      </c>
      <c r="D1074" s="2" t="s">
        <v>17</v>
      </c>
      <c r="E1074" s="2" t="s">
        <v>8</v>
      </c>
      <c r="F1074" s="16"/>
      <c r="G1074" s="16"/>
      <c r="H1074" s="16">
        <f>VLOOKUP(B:B,'[1]Master Sheet'!$B:$H,7,0)</f>
        <v>0</v>
      </c>
      <c r="I1074" s="16">
        <f>VLOOKUP(B:B,'[1]Master Sheet'!$B:$I,8,0)</f>
        <v>0</v>
      </c>
      <c r="J1074" s="16"/>
      <c r="K1074" s="3" t="s">
        <v>2998</v>
      </c>
      <c r="L1074" s="3" t="s">
        <v>3057</v>
      </c>
      <c r="M1074" s="3" t="s">
        <v>3056</v>
      </c>
      <c r="N1074" s="3"/>
      <c r="O1074" s="3"/>
    </row>
    <row r="1075" spans="1:15" s="4" customFormat="1">
      <c r="A1075" s="2">
        <v>1074</v>
      </c>
      <c r="B1075" s="3" t="s">
        <v>2313</v>
      </c>
      <c r="C1075" s="3" t="s">
        <v>2314</v>
      </c>
      <c r="D1075" s="2" t="s">
        <v>17</v>
      </c>
      <c r="E1075" s="2" t="s">
        <v>8</v>
      </c>
      <c r="F1075" s="16"/>
      <c r="G1075" s="16"/>
      <c r="H1075" s="16">
        <f>VLOOKUP(B:B,'[1]Master Sheet'!$B:$H,7,0)</f>
        <v>0</v>
      </c>
      <c r="I1075" s="16">
        <f>VLOOKUP(B:B,'[1]Master Sheet'!$B:$I,8,0)</f>
        <v>0</v>
      </c>
      <c r="J1075" s="16"/>
      <c r="K1075" s="3" t="s">
        <v>2998</v>
      </c>
      <c r="L1075" s="3" t="s">
        <v>3057</v>
      </c>
      <c r="M1075" s="3" t="s">
        <v>3056</v>
      </c>
      <c r="N1075" s="3"/>
      <c r="O1075" s="3"/>
    </row>
    <row r="1076" spans="1:15" s="4" customFormat="1">
      <c r="A1076" s="2">
        <v>1075</v>
      </c>
      <c r="B1076" s="3" t="s">
        <v>2315</v>
      </c>
      <c r="C1076" s="3" t="s">
        <v>2316</v>
      </c>
      <c r="D1076" s="2" t="s">
        <v>17</v>
      </c>
      <c r="E1076" s="2" t="s">
        <v>8</v>
      </c>
      <c r="F1076" s="16"/>
      <c r="G1076" s="16"/>
      <c r="H1076" s="16">
        <f>VLOOKUP(B:B,'[1]Master Sheet'!$B:$H,7,0)</f>
        <v>1500</v>
      </c>
      <c r="I1076" s="16">
        <f>VLOOKUP(B:B,'[1]Master Sheet'!$B:$I,8,0)</f>
        <v>0</v>
      </c>
      <c r="J1076" s="16"/>
      <c r="K1076" s="3" t="s">
        <v>2972</v>
      </c>
      <c r="L1076" s="3" t="s">
        <v>3057</v>
      </c>
      <c r="M1076" s="3" t="s">
        <v>3056</v>
      </c>
      <c r="N1076" s="3"/>
      <c r="O1076" s="3"/>
    </row>
    <row r="1077" spans="1:15" s="4" customFormat="1">
      <c r="A1077" s="2">
        <v>1076</v>
      </c>
      <c r="B1077" s="3" t="s">
        <v>2397</v>
      </c>
      <c r="C1077" s="3" t="s">
        <v>2398</v>
      </c>
      <c r="D1077" s="2" t="s">
        <v>17</v>
      </c>
      <c r="E1077" s="2" t="s">
        <v>8</v>
      </c>
      <c r="F1077" s="16"/>
      <c r="G1077" s="16"/>
      <c r="H1077" s="16">
        <f>VLOOKUP(B:B,'[1]Master Sheet'!$B:$H,7,0)</f>
        <v>0</v>
      </c>
      <c r="I1077" s="16">
        <f>VLOOKUP(B:B,'[1]Master Sheet'!$B:$I,8,0)</f>
        <v>0</v>
      </c>
      <c r="J1077" s="16"/>
      <c r="K1077" s="3" t="s">
        <v>2991</v>
      </c>
      <c r="L1077" s="3" t="s">
        <v>3060</v>
      </c>
      <c r="M1077" s="3" t="s">
        <v>3058</v>
      </c>
      <c r="N1077" s="3"/>
      <c r="O1077" s="3"/>
    </row>
    <row r="1078" spans="1:15" s="4" customFormat="1">
      <c r="A1078" s="2">
        <v>1077</v>
      </c>
      <c r="B1078" s="3" t="s">
        <v>2399</v>
      </c>
      <c r="C1078" s="3" t="s">
        <v>2400</v>
      </c>
      <c r="D1078" s="2" t="s">
        <v>17</v>
      </c>
      <c r="E1078" s="2" t="s">
        <v>8</v>
      </c>
      <c r="F1078" s="16"/>
      <c r="G1078" s="16"/>
      <c r="H1078" s="16">
        <f>VLOOKUP(B:B,'[1]Master Sheet'!$B:$H,7,0)</f>
        <v>0</v>
      </c>
      <c r="I1078" s="16">
        <f>VLOOKUP(B:B,'[1]Master Sheet'!$B:$I,8,0)</f>
        <v>0</v>
      </c>
      <c r="J1078" s="16"/>
      <c r="K1078" s="3" t="s">
        <v>2982</v>
      </c>
      <c r="L1078" s="3" t="s">
        <v>3060</v>
      </c>
      <c r="M1078" s="3" t="s">
        <v>3058</v>
      </c>
      <c r="N1078" s="3"/>
      <c r="O1078" s="3"/>
    </row>
    <row r="1079" spans="1:15" s="4" customFormat="1">
      <c r="A1079" s="2">
        <v>1078</v>
      </c>
      <c r="B1079" s="3" t="s">
        <v>2401</v>
      </c>
      <c r="C1079" s="3" t="s">
        <v>2402</v>
      </c>
      <c r="D1079" s="2" t="s">
        <v>17</v>
      </c>
      <c r="E1079" s="2" t="s">
        <v>8</v>
      </c>
      <c r="F1079" s="16"/>
      <c r="G1079" s="16"/>
      <c r="H1079" s="16">
        <f>VLOOKUP(B:B,'[1]Master Sheet'!$B:$H,7,0)</f>
        <v>0</v>
      </c>
      <c r="I1079" s="16">
        <f>VLOOKUP(B:B,'[1]Master Sheet'!$B:$I,8,0)</f>
        <v>0</v>
      </c>
      <c r="J1079" s="16"/>
      <c r="K1079" s="3" t="s">
        <v>2982</v>
      </c>
      <c r="L1079" s="3" t="s">
        <v>3060</v>
      </c>
      <c r="M1079" s="3" t="s">
        <v>3058</v>
      </c>
      <c r="N1079" s="3"/>
      <c r="O1079" s="3"/>
    </row>
    <row r="1080" spans="1:15" s="4" customFormat="1">
      <c r="A1080" s="2">
        <v>1079</v>
      </c>
      <c r="B1080" s="3" t="s">
        <v>2403</v>
      </c>
      <c r="C1080" s="3" t="s">
        <v>2404</v>
      </c>
      <c r="D1080" s="2" t="s">
        <v>17</v>
      </c>
      <c r="E1080" s="2" t="s">
        <v>8</v>
      </c>
      <c r="F1080" s="16"/>
      <c r="G1080" s="16"/>
      <c r="H1080" s="16">
        <f>VLOOKUP(B:B,'[1]Master Sheet'!$B:$H,7,0)</f>
        <v>0</v>
      </c>
      <c r="I1080" s="16">
        <f>VLOOKUP(B:B,'[1]Master Sheet'!$B:$I,8,0)</f>
        <v>0</v>
      </c>
      <c r="J1080" s="16"/>
      <c r="K1080" s="3" t="s">
        <v>2982</v>
      </c>
      <c r="L1080" s="3" t="s">
        <v>3060</v>
      </c>
      <c r="M1080" s="3" t="s">
        <v>3058</v>
      </c>
      <c r="N1080" s="3"/>
      <c r="O1080" s="3"/>
    </row>
    <row r="1081" spans="1:15" s="4" customFormat="1">
      <c r="A1081" s="2">
        <v>1080</v>
      </c>
      <c r="B1081" s="3" t="s">
        <v>2405</v>
      </c>
      <c r="C1081" s="3" t="s">
        <v>2406</v>
      </c>
      <c r="D1081" s="2" t="s">
        <v>17</v>
      </c>
      <c r="E1081" s="2" t="s">
        <v>8</v>
      </c>
      <c r="F1081" s="16"/>
      <c r="G1081" s="16"/>
      <c r="H1081" s="16">
        <f>VLOOKUP(B:B,'[1]Master Sheet'!$B:$H,7,0)</f>
        <v>0</v>
      </c>
      <c r="I1081" s="16">
        <f>VLOOKUP(B:B,'[1]Master Sheet'!$B:$I,8,0)</f>
        <v>0</v>
      </c>
      <c r="J1081" s="16"/>
      <c r="K1081" s="3" t="s">
        <v>2982</v>
      </c>
      <c r="L1081" s="3" t="s">
        <v>3060</v>
      </c>
      <c r="M1081" s="3" t="s">
        <v>3058</v>
      </c>
      <c r="N1081" s="3"/>
      <c r="O1081" s="3"/>
    </row>
    <row r="1082" spans="1:15" s="4" customFormat="1">
      <c r="A1082" s="2">
        <v>1081</v>
      </c>
      <c r="B1082" s="3" t="s">
        <v>2407</v>
      </c>
      <c r="C1082" s="3" t="s">
        <v>2408</v>
      </c>
      <c r="D1082" s="2" t="s">
        <v>17</v>
      </c>
      <c r="E1082" s="2" t="s">
        <v>8</v>
      </c>
      <c r="F1082" s="16"/>
      <c r="G1082" s="16"/>
      <c r="H1082" s="16">
        <f>VLOOKUP(B:B,'[1]Master Sheet'!$B:$H,7,0)</f>
        <v>0</v>
      </c>
      <c r="I1082" s="16">
        <f>VLOOKUP(B:B,'[1]Master Sheet'!$B:$I,8,0)</f>
        <v>0</v>
      </c>
      <c r="J1082" s="16"/>
      <c r="K1082" s="3" t="s">
        <v>2982</v>
      </c>
      <c r="L1082" s="3" t="s">
        <v>3060</v>
      </c>
      <c r="M1082" s="3" t="s">
        <v>3058</v>
      </c>
      <c r="N1082" s="3"/>
      <c r="O1082" s="3"/>
    </row>
    <row r="1083" spans="1:15" s="4" customFormat="1">
      <c r="A1083" s="2">
        <v>1082</v>
      </c>
      <c r="B1083" s="3" t="s">
        <v>2409</v>
      </c>
      <c r="C1083" s="3" t="s">
        <v>2410</v>
      </c>
      <c r="D1083" s="2" t="s">
        <v>17</v>
      </c>
      <c r="E1083" s="2" t="s">
        <v>8</v>
      </c>
      <c r="F1083" s="16"/>
      <c r="G1083" s="16"/>
      <c r="H1083" s="16">
        <f>VLOOKUP(B:B,'[1]Master Sheet'!$B:$H,7,0)</f>
        <v>0</v>
      </c>
      <c r="I1083" s="16">
        <f>VLOOKUP(B:B,'[1]Master Sheet'!$B:$I,8,0)</f>
        <v>0</v>
      </c>
      <c r="J1083" s="16"/>
      <c r="K1083" s="3" t="s">
        <v>2982</v>
      </c>
      <c r="L1083" s="3" t="s">
        <v>3060</v>
      </c>
      <c r="M1083" s="3" t="s">
        <v>3058</v>
      </c>
      <c r="N1083" s="3"/>
      <c r="O1083" s="3"/>
    </row>
    <row r="1084" spans="1:15" s="4" customFormat="1">
      <c r="A1084" s="2">
        <v>1083</v>
      </c>
      <c r="B1084" s="3" t="s">
        <v>2411</v>
      </c>
      <c r="C1084" s="3" t="s">
        <v>2412</v>
      </c>
      <c r="D1084" s="2" t="s">
        <v>17</v>
      </c>
      <c r="E1084" s="2" t="s">
        <v>8</v>
      </c>
      <c r="F1084" s="16"/>
      <c r="G1084" s="16"/>
      <c r="H1084" s="16">
        <f>VLOOKUP(B:B,'[1]Master Sheet'!$B:$H,7,0)</f>
        <v>0</v>
      </c>
      <c r="I1084" s="16">
        <f>VLOOKUP(B:B,'[1]Master Sheet'!$B:$I,8,0)</f>
        <v>0</v>
      </c>
      <c r="J1084" s="16"/>
      <c r="K1084" s="3" t="s">
        <v>2982</v>
      </c>
      <c r="L1084" s="3" t="s">
        <v>3060</v>
      </c>
      <c r="M1084" s="3" t="s">
        <v>3058</v>
      </c>
      <c r="N1084" s="3"/>
      <c r="O1084" s="3"/>
    </row>
    <row r="1085" spans="1:15" s="4" customFormat="1">
      <c r="A1085" s="2">
        <v>1084</v>
      </c>
      <c r="B1085" s="3" t="s">
        <v>2413</v>
      </c>
      <c r="C1085" s="3" t="s">
        <v>2414</v>
      </c>
      <c r="D1085" s="2" t="s">
        <v>17</v>
      </c>
      <c r="E1085" s="2" t="s">
        <v>8</v>
      </c>
      <c r="F1085" s="16"/>
      <c r="G1085" s="16"/>
      <c r="H1085" s="16">
        <f>VLOOKUP(B:B,'[1]Master Sheet'!$B:$H,7,0)</f>
        <v>0</v>
      </c>
      <c r="I1085" s="16">
        <f>VLOOKUP(B:B,'[1]Master Sheet'!$B:$I,8,0)</f>
        <v>0</v>
      </c>
      <c r="J1085" s="16"/>
      <c r="K1085" s="3" t="s">
        <v>2982</v>
      </c>
      <c r="L1085" s="3" t="s">
        <v>3060</v>
      </c>
      <c r="M1085" s="3" t="s">
        <v>3058</v>
      </c>
      <c r="N1085" s="3"/>
      <c r="O1085" s="3"/>
    </row>
    <row r="1086" spans="1:15" s="4" customFormat="1">
      <c r="A1086" s="2">
        <v>1085</v>
      </c>
      <c r="B1086" s="3" t="s">
        <v>2415</v>
      </c>
      <c r="C1086" s="3" t="s">
        <v>2416</v>
      </c>
      <c r="D1086" s="2" t="s">
        <v>17</v>
      </c>
      <c r="E1086" s="2" t="s">
        <v>8</v>
      </c>
      <c r="F1086" s="16"/>
      <c r="G1086" s="16"/>
      <c r="H1086" s="16">
        <f>VLOOKUP(B:B,'[1]Master Sheet'!$B:$H,7,0)</f>
        <v>0</v>
      </c>
      <c r="I1086" s="16">
        <f>VLOOKUP(B:B,'[1]Master Sheet'!$B:$I,8,0)</f>
        <v>0</v>
      </c>
      <c r="J1086" s="16"/>
      <c r="K1086" s="3" t="s">
        <v>2982</v>
      </c>
      <c r="L1086" s="3" t="s">
        <v>3060</v>
      </c>
      <c r="M1086" s="3" t="s">
        <v>3058</v>
      </c>
      <c r="N1086" s="3"/>
      <c r="O1086" s="3"/>
    </row>
    <row r="1087" spans="1:15" s="4" customFormat="1">
      <c r="A1087" s="2">
        <v>1086</v>
      </c>
      <c r="B1087" s="3" t="s">
        <v>2417</v>
      </c>
      <c r="C1087" s="3" t="s">
        <v>2418</v>
      </c>
      <c r="D1087" s="2" t="s">
        <v>17</v>
      </c>
      <c r="E1087" s="2" t="s">
        <v>8</v>
      </c>
      <c r="F1087" s="16"/>
      <c r="G1087" s="16"/>
      <c r="H1087" s="16">
        <f>VLOOKUP(B:B,'[1]Master Sheet'!$B:$H,7,0)</f>
        <v>0</v>
      </c>
      <c r="I1087" s="16">
        <f>VLOOKUP(B:B,'[1]Master Sheet'!$B:$I,8,0)</f>
        <v>0</v>
      </c>
      <c r="J1087" s="16"/>
      <c r="K1087" s="3" t="s">
        <v>2982</v>
      </c>
      <c r="L1087" s="3" t="s">
        <v>3060</v>
      </c>
      <c r="M1087" s="3" t="s">
        <v>3058</v>
      </c>
      <c r="N1087" s="3"/>
      <c r="O1087" s="3"/>
    </row>
    <row r="1088" spans="1:15" s="4" customFormat="1">
      <c r="A1088" s="2">
        <v>1087</v>
      </c>
      <c r="B1088" s="3" t="s">
        <v>2317</v>
      </c>
      <c r="C1088" s="3" t="s">
        <v>2318</v>
      </c>
      <c r="D1088" s="2" t="s">
        <v>7</v>
      </c>
      <c r="E1088" s="2" t="s">
        <v>8</v>
      </c>
      <c r="F1088" s="16"/>
      <c r="G1088" s="16"/>
      <c r="H1088" s="16">
        <f>VLOOKUP(B:B,'[1]Master Sheet'!$B:$H,7,0)</f>
        <v>0</v>
      </c>
      <c r="I1088" s="16">
        <f>VLOOKUP(B:B,'[1]Master Sheet'!$B:$I,8,0)</f>
        <v>0</v>
      </c>
      <c r="J1088" s="16"/>
      <c r="K1088" s="3" t="s">
        <v>2972</v>
      </c>
      <c r="L1088" s="3" t="s">
        <v>3057</v>
      </c>
      <c r="M1088" s="3" t="s">
        <v>3056</v>
      </c>
      <c r="N1088" s="3"/>
      <c r="O1088" s="3"/>
    </row>
    <row r="1089" spans="1:15" s="4" customFormat="1">
      <c r="A1089" s="2">
        <v>1088</v>
      </c>
      <c r="B1089" s="3" t="s">
        <v>2421</v>
      </c>
      <c r="C1089" s="3" t="s">
        <v>2422</v>
      </c>
      <c r="D1089" s="2" t="s">
        <v>17</v>
      </c>
      <c r="E1089" s="2" t="s">
        <v>8</v>
      </c>
      <c r="F1089" s="16"/>
      <c r="G1089" s="16"/>
      <c r="H1089" s="16">
        <f>VLOOKUP(B:B,'[1]Master Sheet'!$B:$H,7,0)</f>
        <v>0</v>
      </c>
      <c r="I1089" s="16">
        <f>VLOOKUP(B:B,'[1]Master Sheet'!$B:$I,8,0)</f>
        <v>0</v>
      </c>
      <c r="J1089" s="16"/>
      <c r="K1089" s="3" t="s">
        <v>2965</v>
      </c>
      <c r="L1089" s="3" t="s">
        <v>3060</v>
      </c>
      <c r="M1089" s="3" t="s">
        <v>3058</v>
      </c>
      <c r="N1089" s="3"/>
      <c r="O1089" s="3"/>
    </row>
    <row r="1090" spans="1:15" s="4" customFormat="1">
      <c r="A1090" s="2">
        <v>1089</v>
      </c>
      <c r="B1090" s="3" t="s">
        <v>2423</v>
      </c>
      <c r="C1090" s="3" t="s">
        <v>2424</v>
      </c>
      <c r="D1090" s="2" t="s">
        <v>17</v>
      </c>
      <c r="E1090" s="2" t="s">
        <v>8</v>
      </c>
      <c r="F1090" s="16"/>
      <c r="G1090" s="16"/>
      <c r="H1090" s="16">
        <f>VLOOKUP(B:B,'[1]Master Sheet'!$B:$H,7,0)</f>
        <v>0</v>
      </c>
      <c r="I1090" s="16">
        <f>VLOOKUP(B:B,'[1]Master Sheet'!$B:$I,8,0)</f>
        <v>0</v>
      </c>
      <c r="J1090" s="16"/>
      <c r="K1090" s="3" t="s">
        <v>2982</v>
      </c>
      <c r="L1090" s="3" t="s">
        <v>3060</v>
      </c>
      <c r="M1090" s="3" t="s">
        <v>3058</v>
      </c>
      <c r="N1090" s="3"/>
      <c r="O1090" s="3"/>
    </row>
    <row r="1091" spans="1:15" s="4" customFormat="1">
      <c r="A1091" s="2">
        <v>1090</v>
      </c>
      <c r="B1091" s="3" t="s">
        <v>2321</v>
      </c>
      <c r="C1091" s="3" t="s">
        <v>2322</v>
      </c>
      <c r="D1091" s="2" t="s">
        <v>2130</v>
      </c>
      <c r="E1091" s="2" t="s">
        <v>8</v>
      </c>
      <c r="F1091" s="16"/>
      <c r="G1091" s="16"/>
      <c r="H1091" s="16">
        <f>VLOOKUP(B:B,'[1]Master Sheet'!$B:$H,7,0)</f>
        <v>0</v>
      </c>
      <c r="I1091" s="16">
        <f>VLOOKUP(B:B,'[1]Master Sheet'!$B:$I,8,0)</f>
        <v>0</v>
      </c>
      <c r="J1091" s="16"/>
      <c r="K1091" s="3" t="s">
        <v>2998</v>
      </c>
      <c r="L1091" s="3" t="s">
        <v>3057</v>
      </c>
      <c r="M1091" s="3" t="s">
        <v>3056</v>
      </c>
      <c r="N1091" s="3"/>
      <c r="O1091" s="3"/>
    </row>
    <row r="1092" spans="1:15" s="4" customFormat="1">
      <c r="A1092" s="2">
        <v>1091</v>
      </c>
      <c r="B1092" s="3" t="s">
        <v>2429</v>
      </c>
      <c r="C1092" s="3" t="s">
        <v>2430</v>
      </c>
      <c r="D1092" s="2" t="s">
        <v>17</v>
      </c>
      <c r="E1092" s="2" t="s">
        <v>8</v>
      </c>
      <c r="F1092" s="16"/>
      <c r="G1092" s="16"/>
      <c r="H1092" s="16">
        <f>VLOOKUP(B:B,'[1]Master Sheet'!$B:$H,7,0)</f>
        <v>0</v>
      </c>
      <c r="I1092" s="16">
        <f>VLOOKUP(B:B,'[1]Master Sheet'!$B:$I,8,0)</f>
        <v>0</v>
      </c>
      <c r="J1092" s="16"/>
      <c r="K1092" s="3" t="s">
        <v>2982</v>
      </c>
      <c r="L1092" s="3" t="s">
        <v>3060</v>
      </c>
      <c r="M1092" s="3" t="s">
        <v>3058</v>
      </c>
      <c r="N1092" s="3"/>
      <c r="O1092" s="3"/>
    </row>
    <row r="1093" spans="1:15" s="4" customFormat="1">
      <c r="A1093" s="2">
        <v>1092</v>
      </c>
      <c r="B1093" s="3" t="s">
        <v>2431</v>
      </c>
      <c r="C1093" s="3" t="s">
        <v>2432</v>
      </c>
      <c r="D1093" s="2" t="s">
        <v>17</v>
      </c>
      <c r="E1093" s="2" t="s">
        <v>8</v>
      </c>
      <c r="F1093" s="16"/>
      <c r="G1093" s="16"/>
      <c r="H1093" s="16">
        <f>VLOOKUP(B:B,'[1]Master Sheet'!$B:$H,7,0)</f>
        <v>0</v>
      </c>
      <c r="I1093" s="16">
        <f>VLOOKUP(B:B,'[1]Master Sheet'!$B:$I,8,0)</f>
        <v>0</v>
      </c>
      <c r="J1093" s="16"/>
      <c r="K1093" s="3" t="s">
        <v>2982</v>
      </c>
      <c r="L1093" s="3" t="s">
        <v>3060</v>
      </c>
      <c r="M1093" s="3" t="s">
        <v>3058</v>
      </c>
      <c r="N1093" s="3"/>
      <c r="O1093" s="3"/>
    </row>
    <row r="1094" spans="1:15" s="4" customFormat="1">
      <c r="A1094" s="2">
        <v>1093</v>
      </c>
      <c r="B1094" s="3" t="s">
        <v>2433</v>
      </c>
      <c r="C1094" s="3" t="s">
        <v>2434</v>
      </c>
      <c r="D1094" s="2" t="s">
        <v>17</v>
      </c>
      <c r="E1094" s="2" t="s">
        <v>8</v>
      </c>
      <c r="F1094" s="16"/>
      <c r="G1094" s="16"/>
      <c r="H1094" s="16">
        <f>VLOOKUP(B:B,'[1]Master Sheet'!$B:$H,7,0)</f>
        <v>0</v>
      </c>
      <c r="I1094" s="16">
        <f>VLOOKUP(B:B,'[1]Master Sheet'!$B:$I,8,0)</f>
        <v>0</v>
      </c>
      <c r="J1094" s="16"/>
      <c r="K1094" s="3" t="s">
        <v>2982</v>
      </c>
      <c r="L1094" s="3" t="s">
        <v>3060</v>
      </c>
      <c r="M1094" s="3" t="s">
        <v>3058</v>
      </c>
      <c r="N1094" s="3"/>
      <c r="O1094" s="3"/>
    </row>
    <row r="1095" spans="1:15" s="4" customFormat="1">
      <c r="A1095" s="2">
        <v>1094</v>
      </c>
      <c r="B1095" s="3" t="s">
        <v>2435</v>
      </c>
      <c r="C1095" s="3" t="s">
        <v>2436</v>
      </c>
      <c r="D1095" s="2" t="s">
        <v>17</v>
      </c>
      <c r="E1095" s="2" t="s">
        <v>8</v>
      </c>
      <c r="F1095" s="16"/>
      <c r="G1095" s="16"/>
      <c r="H1095" s="16">
        <f>VLOOKUP(B:B,'[1]Master Sheet'!$B:$H,7,0)</f>
        <v>0</v>
      </c>
      <c r="I1095" s="16">
        <f>VLOOKUP(B:B,'[1]Master Sheet'!$B:$I,8,0)</f>
        <v>0</v>
      </c>
      <c r="J1095" s="16"/>
      <c r="K1095" s="3" t="s">
        <v>2982</v>
      </c>
      <c r="L1095" s="3" t="s">
        <v>3060</v>
      </c>
      <c r="M1095" s="3" t="s">
        <v>3058</v>
      </c>
      <c r="N1095" s="3"/>
      <c r="O1095" s="3"/>
    </row>
    <row r="1096" spans="1:15" s="4" customFormat="1">
      <c r="A1096" s="2">
        <v>1095</v>
      </c>
      <c r="B1096" s="3" t="s">
        <v>2437</v>
      </c>
      <c r="C1096" s="3" t="s">
        <v>2438</v>
      </c>
      <c r="D1096" s="2" t="s">
        <v>17</v>
      </c>
      <c r="E1096" s="2" t="s">
        <v>8</v>
      </c>
      <c r="F1096" s="16"/>
      <c r="G1096" s="16"/>
      <c r="H1096" s="16">
        <f>VLOOKUP(B:B,'[1]Master Sheet'!$B:$H,7,0)</f>
        <v>0</v>
      </c>
      <c r="I1096" s="16">
        <f>VLOOKUP(B:B,'[1]Master Sheet'!$B:$I,8,0)</f>
        <v>0</v>
      </c>
      <c r="J1096" s="16"/>
      <c r="K1096" s="3" t="s">
        <v>2982</v>
      </c>
      <c r="L1096" s="3" t="s">
        <v>3060</v>
      </c>
      <c r="M1096" s="3" t="s">
        <v>3058</v>
      </c>
      <c r="N1096" s="3"/>
      <c r="O1096" s="3"/>
    </row>
    <row r="1097" spans="1:15" s="4" customFormat="1">
      <c r="A1097" s="2">
        <v>1096</v>
      </c>
      <c r="B1097" s="3" t="s">
        <v>2439</v>
      </c>
      <c r="C1097" s="3" t="s">
        <v>2440</v>
      </c>
      <c r="D1097" s="2" t="s">
        <v>17</v>
      </c>
      <c r="E1097" s="2" t="s">
        <v>8</v>
      </c>
      <c r="F1097" s="16"/>
      <c r="G1097" s="16"/>
      <c r="H1097" s="16">
        <f>VLOOKUP(B:B,'[1]Master Sheet'!$B:$H,7,0)</f>
        <v>0</v>
      </c>
      <c r="I1097" s="16">
        <f>VLOOKUP(B:B,'[1]Master Sheet'!$B:$I,8,0)</f>
        <v>0</v>
      </c>
      <c r="J1097" s="16"/>
      <c r="K1097" s="3" t="s">
        <v>2982</v>
      </c>
      <c r="L1097" s="3" t="s">
        <v>3060</v>
      </c>
      <c r="M1097" s="3" t="s">
        <v>3058</v>
      </c>
      <c r="N1097" s="3"/>
      <c r="O1097" s="3"/>
    </row>
    <row r="1098" spans="1:15" s="4" customFormat="1">
      <c r="A1098" s="2">
        <v>1097</v>
      </c>
      <c r="B1098" s="3" t="s">
        <v>2377</v>
      </c>
      <c r="C1098" s="3" t="s">
        <v>2378</v>
      </c>
      <c r="D1098" s="2" t="s">
        <v>17</v>
      </c>
      <c r="E1098" s="2" t="s">
        <v>8</v>
      </c>
      <c r="F1098" s="16"/>
      <c r="G1098" s="16"/>
      <c r="H1098" s="16">
        <f>VLOOKUP(B:B,'[1]Master Sheet'!$B:$H,7,0)</f>
        <v>100</v>
      </c>
      <c r="I1098" s="16">
        <f>VLOOKUP(B:B,'[1]Master Sheet'!$B:$I,8,0)</f>
        <v>0</v>
      </c>
      <c r="J1098" s="16"/>
      <c r="K1098" s="3" t="s">
        <v>2972</v>
      </c>
      <c r="L1098" s="3" t="s">
        <v>3057</v>
      </c>
      <c r="M1098" s="3" t="s">
        <v>3056</v>
      </c>
      <c r="N1098" s="3"/>
      <c r="O1098" s="3"/>
    </row>
    <row r="1099" spans="1:15" s="4" customFormat="1">
      <c r="A1099" s="2">
        <v>1098</v>
      </c>
      <c r="B1099" s="3" t="s">
        <v>2443</v>
      </c>
      <c r="C1099" s="3" t="s">
        <v>2444</v>
      </c>
      <c r="D1099" s="2" t="s">
        <v>17</v>
      </c>
      <c r="E1099" s="2" t="s">
        <v>8</v>
      </c>
      <c r="F1099" s="16"/>
      <c r="G1099" s="16"/>
      <c r="H1099" s="16">
        <f>VLOOKUP(B:B,'[1]Master Sheet'!$B:$H,7,0)</f>
        <v>0</v>
      </c>
      <c r="I1099" s="16">
        <f>VLOOKUP(B:B,'[1]Master Sheet'!$B:$I,8,0)</f>
        <v>0</v>
      </c>
      <c r="J1099" s="16"/>
      <c r="K1099" s="3" t="s">
        <v>2982</v>
      </c>
      <c r="L1099" s="3" t="s">
        <v>3060</v>
      </c>
      <c r="M1099" s="3" t="s">
        <v>3064</v>
      </c>
      <c r="N1099" s="3"/>
      <c r="O1099" s="3"/>
    </row>
    <row r="1100" spans="1:15" s="4" customFormat="1">
      <c r="A1100" s="2">
        <v>1099</v>
      </c>
      <c r="B1100" s="3" t="s">
        <v>2445</v>
      </c>
      <c r="C1100" s="3" t="s">
        <v>2446</v>
      </c>
      <c r="D1100" s="2" t="s">
        <v>17</v>
      </c>
      <c r="E1100" s="2" t="s">
        <v>8</v>
      </c>
      <c r="F1100" s="16"/>
      <c r="G1100" s="16"/>
      <c r="H1100" s="16">
        <f>VLOOKUP(B:B,'[1]Master Sheet'!$B:$H,7,0)</f>
        <v>0</v>
      </c>
      <c r="I1100" s="16">
        <f>VLOOKUP(B:B,'[1]Master Sheet'!$B:$I,8,0)</f>
        <v>0</v>
      </c>
      <c r="J1100" s="16"/>
      <c r="K1100" s="3" t="s">
        <v>2982</v>
      </c>
      <c r="L1100" s="3" t="s">
        <v>3060</v>
      </c>
      <c r="M1100" s="3" t="s">
        <v>3058</v>
      </c>
      <c r="N1100" s="3"/>
      <c r="O1100" s="3"/>
    </row>
    <row r="1101" spans="1:15" s="4" customFormat="1">
      <c r="A1101" s="2">
        <v>1100</v>
      </c>
      <c r="B1101" s="3" t="s">
        <v>2447</v>
      </c>
      <c r="C1101" s="3" t="s">
        <v>2448</v>
      </c>
      <c r="D1101" s="2" t="s">
        <v>17</v>
      </c>
      <c r="E1101" s="2" t="s">
        <v>8</v>
      </c>
      <c r="F1101" s="16"/>
      <c r="G1101" s="16"/>
      <c r="H1101" s="16">
        <f>VLOOKUP(B:B,'[1]Master Sheet'!$B:$H,7,0)</f>
        <v>0</v>
      </c>
      <c r="I1101" s="16">
        <f>VLOOKUP(B:B,'[1]Master Sheet'!$B:$I,8,0)</f>
        <v>0</v>
      </c>
      <c r="J1101" s="16"/>
      <c r="K1101" s="3" t="s">
        <v>2982</v>
      </c>
      <c r="L1101" s="3" t="s">
        <v>3060</v>
      </c>
      <c r="M1101" s="3" t="s">
        <v>3058</v>
      </c>
      <c r="N1101" s="3"/>
      <c r="O1101" s="3"/>
    </row>
    <row r="1102" spans="1:15" s="4" customFormat="1">
      <c r="A1102" s="2">
        <v>1101</v>
      </c>
      <c r="B1102" s="3" t="s">
        <v>2449</v>
      </c>
      <c r="C1102" s="3" t="s">
        <v>2450</v>
      </c>
      <c r="D1102" s="2" t="s">
        <v>17</v>
      </c>
      <c r="E1102" s="2" t="s">
        <v>8</v>
      </c>
      <c r="F1102" s="16"/>
      <c r="G1102" s="16"/>
      <c r="H1102" s="16">
        <f>VLOOKUP(B:B,'[1]Master Sheet'!$B:$H,7,0)</f>
        <v>0</v>
      </c>
      <c r="I1102" s="16">
        <f>VLOOKUP(B:B,'[1]Master Sheet'!$B:$I,8,0)</f>
        <v>0</v>
      </c>
      <c r="J1102" s="16"/>
      <c r="K1102" s="3" t="s">
        <v>2982</v>
      </c>
      <c r="L1102" s="3" t="s">
        <v>3060</v>
      </c>
      <c r="M1102" s="3" t="s">
        <v>3058</v>
      </c>
      <c r="N1102" s="3"/>
      <c r="O1102" s="3"/>
    </row>
    <row r="1103" spans="1:15" s="4" customFormat="1">
      <c r="A1103" s="2">
        <v>1102</v>
      </c>
      <c r="B1103" s="3" t="s">
        <v>2451</v>
      </c>
      <c r="C1103" s="3" t="s">
        <v>2452</v>
      </c>
      <c r="D1103" s="2" t="s">
        <v>17</v>
      </c>
      <c r="E1103" s="2" t="s">
        <v>8</v>
      </c>
      <c r="F1103" s="16"/>
      <c r="G1103" s="16"/>
      <c r="H1103" s="16">
        <f>VLOOKUP(B:B,'[1]Master Sheet'!$B:$H,7,0)</f>
        <v>0</v>
      </c>
      <c r="I1103" s="16">
        <f>VLOOKUP(B:B,'[1]Master Sheet'!$B:$I,8,0)</f>
        <v>0</v>
      </c>
      <c r="J1103" s="16"/>
      <c r="K1103" s="3" t="s">
        <v>2982</v>
      </c>
      <c r="L1103" s="3" t="s">
        <v>3060</v>
      </c>
      <c r="M1103" s="3" t="s">
        <v>3058</v>
      </c>
      <c r="N1103" s="3"/>
      <c r="O1103" s="3"/>
    </row>
    <row r="1104" spans="1:15" s="4" customFormat="1">
      <c r="A1104" s="2">
        <v>1103</v>
      </c>
      <c r="B1104" s="3" t="s">
        <v>2453</v>
      </c>
      <c r="C1104" s="3" t="s">
        <v>2454</v>
      </c>
      <c r="D1104" s="2" t="s">
        <v>17</v>
      </c>
      <c r="E1104" s="2" t="s">
        <v>8</v>
      </c>
      <c r="F1104" s="16"/>
      <c r="G1104" s="16"/>
      <c r="H1104" s="16">
        <f>VLOOKUP(B:B,'[1]Master Sheet'!$B:$H,7,0)</f>
        <v>200</v>
      </c>
      <c r="I1104" s="16">
        <f>VLOOKUP(B:B,'[1]Master Sheet'!$B:$I,8,0)</f>
        <v>0</v>
      </c>
      <c r="J1104" s="16"/>
      <c r="K1104" s="3" t="s">
        <v>2972</v>
      </c>
      <c r="L1104" s="3" t="s">
        <v>3055</v>
      </c>
      <c r="M1104" s="3" t="s">
        <v>3056</v>
      </c>
      <c r="N1104" s="3"/>
      <c r="O1104" s="3"/>
    </row>
    <row r="1105" spans="1:15" s="4" customFormat="1">
      <c r="A1105" s="2">
        <v>1104</v>
      </c>
      <c r="B1105" s="3" t="s">
        <v>2458</v>
      </c>
      <c r="C1105" s="3" t="s">
        <v>2459</v>
      </c>
      <c r="D1105" s="2" t="s">
        <v>17</v>
      </c>
      <c r="E1105" s="2" t="s">
        <v>8</v>
      </c>
      <c r="F1105" s="16"/>
      <c r="G1105" s="16"/>
      <c r="H1105" s="16">
        <f>VLOOKUP(B:B,'[1]Master Sheet'!$B:$H,7,0)</f>
        <v>0</v>
      </c>
      <c r="I1105" s="16">
        <f>VLOOKUP(B:B,'[1]Master Sheet'!$B:$I,8,0)</f>
        <v>0</v>
      </c>
      <c r="J1105" s="16"/>
      <c r="K1105" s="3" t="s">
        <v>2982</v>
      </c>
      <c r="L1105" s="3" t="s">
        <v>3060</v>
      </c>
      <c r="M1105" s="3" t="s">
        <v>3064</v>
      </c>
      <c r="N1105" s="3"/>
      <c r="O1105" s="3"/>
    </row>
    <row r="1106" spans="1:15" s="4" customFormat="1">
      <c r="A1106" s="2">
        <v>1105</v>
      </c>
      <c r="B1106" s="3" t="s">
        <v>2460</v>
      </c>
      <c r="C1106" s="3" t="s">
        <v>2461</v>
      </c>
      <c r="D1106" s="2" t="s">
        <v>17</v>
      </c>
      <c r="E1106" s="2" t="s">
        <v>8</v>
      </c>
      <c r="F1106" s="16"/>
      <c r="G1106" s="16"/>
      <c r="H1106" s="16">
        <f>VLOOKUP(B:B,'[1]Master Sheet'!$B:$H,7,0)</f>
        <v>0</v>
      </c>
      <c r="I1106" s="16">
        <f>VLOOKUP(B:B,'[1]Master Sheet'!$B:$I,8,0)</f>
        <v>0</v>
      </c>
      <c r="J1106" s="16"/>
      <c r="K1106" s="3" t="s">
        <v>2982</v>
      </c>
      <c r="L1106" s="3" t="s">
        <v>3060</v>
      </c>
      <c r="M1106" s="3" t="s">
        <v>3064</v>
      </c>
      <c r="N1106" s="3"/>
      <c r="O1106" s="3"/>
    </row>
    <row r="1107" spans="1:15" s="4" customFormat="1">
      <c r="A1107" s="2">
        <v>1106</v>
      </c>
      <c r="B1107" s="3" t="s">
        <v>2383</v>
      </c>
      <c r="C1107" s="3" t="s">
        <v>2384</v>
      </c>
      <c r="D1107" s="2" t="s">
        <v>17</v>
      </c>
      <c r="E1107" s="2" t="s">
        <v>8</v>
      </c>
      <c r="F1107" s="16"/>
      <c r="G1107" s="16"/>
      <c r="H1107" s="16">
        <f>VLOOKUP(B:B,'[1]Master Sheet'!$B:$H,7,0)</f>
        <v>100</v>
      </c>
      <c r="I1107" s="16">
        <f>VLOOKUP(B:B,'[1]Master Sheet'!$B:$I,8,0)</f>
        <v>0</v>
      </c>
      <c r="J1107" s="16"/>
      <c r="K1107" s="3" t="s">
        <v>2972</v>
      </c>
      <c r="L1107" s="3" t="s">
        <v>3057</v>
      </c>
      <c r="M1107" s="3" t="s">
        <v>3056</v>
      </c>
      <c r="N1107" s="3"/>
      <c r="O1107" s="3"/>
    </row>
    <row r="1108" spans="1:15" s="4" customFormat="1">
      <c r="A1108" s="2">
        <v>1107</v>
      </c>
      <c r="B1108" s="3" t="s">
        <v>2466</v>
      </c>
      <c r="C1108" s="3" t="s">
        <v>2467</v>
      </c>
      <c r="D1108" s="2" t="s">
        <v>17</v>
      </c>
      <c r="E1108" s="2" t="s">
        <v>8</v>
      </c>
      <c r="F1108" s="16"/>
      <c r="G1108" s="16"/>
      <c r="H1108" s="16">
        <f>VLOOKUP(B:B,'[1]Master Sheet'!$B:$H,7,0)</f>
        <v>0</v>
      </c>
      <c r="I1108" s="16">
        <f>VLOOKUP(B:B,'[1]Master Sheet'!$B:$I,8,0)</f>
        <v>0</v>
      </c>
      <c r="J1108" s="16"/>
      <c r="K1108" s="3" t="s">
        <v>2982</v>
      </c>
      <c r="L1108" s="3" t="s">
        <v>3060</v>
      </c>
      <c r="M1108" s="3" t="s">
        <v>3064</v>
      </c>
      <c r="N1108" s="3"/>
      <c r="O1108" s="3"/>
    </row>
    <row r="1109" spans="1:15" s="4" customFormat="1">
      <c r="A1109" s="2">
        <v>1108</v>
      </c>
      <c r="B1109" s="3" t="s">
        <v>2468</v>
      </c>
      <c r="C1109" s="3" t="s">
        <v>2469</v>
      </c>
      <c r="D1109" s="2" t="s">
        <v>17</v>
      </c>
      <c r="E1109" s="2" t="s">
        <v>8</v>
      </c>
      <c r="F1109" s="16"/>
      <c r="G1109" s="16"/>
      <c r="H1109" s="16">
        <f>VLOOKUP(B:B,'[1]Master Sheet'!$B:$H,7,0)</f>
        <v>0</v>
      </c>
      <c r="I1109" s="16">
        <f>VLOOKUP(B:B,'[1]Master Sheet'!$B:$I,8,0)</f>
        <v>0</v>
      </c>
      <c r="J1109" s="16"/>
      <c r="K1109" s="3" t="s">
        <v>2982</v>
      </c>
      <c r="L1109" s="3" t="s">
        <v>3060</v>
      </c>
      <c r="M1109" s="3" t="s">
        <v>3064</v>
      </c>
      <c r="N1109" s="3"/>
      <c r="O1109" s="3"/>
    </row>
    <row r="1110" spans="1:15" s="4" customFormat="1">
      <c r="A1110" s="2">
        <v>1109</v>
      </c>
      <c r="B1110" s="3" t="s">
        <v>2470</v>
      </c>
      <c r="C1110" s="3" t="s">
        <v>2471</v>
      </c>
      <c r="D1110" s="2" t="s">
        <v>17</v>
      </c>
      <c r="E1110" s="2" t="s">
        <v>8</v>
      </c>
      <c r="F1110" s="16"/>
      <c r="G1110" s="16"/>
      <c r="H1110" s="16">
        <f>VLOOKUP(B:B,'[1]Master Sheet'!$B:$H,7,0)</f>
        <v>0</v>
      </c>
      <c r="I1110" s="16">
        <f>VLOOKUP(B:B,'[1]Master Sheet'!$B:$I,8,0)</f>
        <v>0</v>
      </c>
      <c r="J1110" s="16"/>
      <c r="K1110" s="3" t="s">
        <v>2982</v>
      </c>
      <c r="L1110" s="3" t="s">
        <v>3060</v>
      </c>
      <c r="M1110" s="3" t="s">
        <v>3058</v>
      </c>
      <c r="N1110" s="3"/>
      <c r="O1110" s="3"/>
    </row>
    <row r="1111" spans="1:15" s="4" customFormat="1">
      <c r="A1111" s="2">
        <v>1110</v>
      </c>
      <c r="B1111" s="3" t="s">
        <v>2472</v>
      </c>
      <c r="C1111" s="3" t="s">
        <v>2473</v>
      </c>
      <c r="D1111" s="2" t="s">
        <v>17</v>
      </c>
      <c r="E1111" s="2" t="s">
        <v>8</v>
      </c>
      <c r="F1111" s="16"/>
      <c r="G1111" s="16"/>
      <c r="H1111" s="16">
        <f>VLOOKUP(B:B,'[1]Master Sheet'!$B:$H,7,0)</f>
        <v>0</v>
      </c>
      <c r="I1111" s="16">
        <f>VLOOKUP(B:B,'[1]Master Sheet'!$B:$I,8,0)</f>
        <v>0</v>
      </c>
      <c r="J1111" s="16"/>
      <c r="K1111" s="3" t="s">
        <v>2982</v>
      </c>
      <c r="L1111" s="3" t="s">
        <v>3060</v>
      </c>
      <c r="M1111" s="3" t="s">
        <v>3058</v>
      </c>
      <c r="N1111" s="3"/>
      <c r="O1111" s="3"/>
    </row>
    <row r="1112" spans="1:15" s="4" customFormat="1">
      <c r="A1112" s="2">
        <v>1111</v>
      </c>
      <c r="B1112" s="3" t="s">
        <v>2389</v>
      </c>
      <c r="C1112" s="3" t="s">
        <v>2390</v>
      </c>
      <c r="D1112" s="2" t="s">
        <v>17</v>
      </c>
      <c r="E1112" s="2" t="s">
        <v>8</v>
      </c>
      <c r="F1112" s="16"/>
      <c r="G1112" s="16"/>
      <c r="H1112" s="16">
        <f>VLOOKUP(B:B,'[1]Master Sheet'!$B:$H,7,0)</f>
        <v>100</v>
      </c>
      <c r="I1112" s="16">
        <f>VLOOKUP(B:B,'[1]Master Sheet'!$B:$I,8,0)</f>
        <v>50</v>
      </c>
      <c r="J1112" s="16"/>
      <c r="K1112" s="3" t="s">
        <v>2972</v>
      </c>
      <c r="L1112" s="3" t="s">
        <v>3057</v>
      </c>
      <c r="M1112" s="3" t="s">
        <v>3056</v>
      </c>
      <c r="N1112" s="3"/>
      <c r="O1112" s="3"/>
    </row>
    <row r="1113" spans="1:15" s="4" customFormat="1">
      <c r="A1113" s="2">
        <v>1112</v>
      </c>
      <c r="B1113" s="3" t="s">
        <v>2474</v>
      </c>
      <c r="C1113" s="3" t="s">
        <v>2475</v>
      </c>
      <c r="D1113" s="2" t="s">
        <v>17</v>
      </c>
      <c r="E1113" s="2" t="s">
        <v>8</v>
      </c>
      <c r="F1113" s="16"/>
      <c r="G1113" s="16"/>
      <c r="H1113" s="16">
        <f>VLOOKUP(B:B,'[1]Master Sheet'!$B:$H,7,0)</f>
        <v>0</v>
      </c>
      <c r="I1113" s="16">
        <f>VLOOKUP(B:B,'[1]Master Sheet'!$B:$I,8,0)</f>
        <v>0</v>
      </c>
      <c r="J1113" s="16"/>
      <c r="K1113" s="3" t="s">
        <v>2982</v>
      </c>
      <c r="L1113" s="3" t="s">
        <v>3060</v>
      </c>
      <c r="M1113" s="3" t="s">
        <v>3064</v>
      </c>
      <c r="N1113" s="3"/>
      <c r="O1113" s="3"/>
    </row>
    <row r="1114" spans="1:15" s="4" customFormat="1">
      <c r="A1114" s="2">
        <v>1113</v>
      </c>
      <c r="B1114" s="3" t="s">
        <v>2476</v>
      </c>
      <c r="C1114" s="3" t="s">
        <v>2477</v>
      </c>
      <c r="D1114" s="2" t="s">
        <v>7</v>
      </c>
      <c r="E1114" s="2" t="s">
        <v>8</v>
      </c>
      <c r="F1114" s="16"/>
      <c r="G1114" s="16"/>
      <c r="H1114" s="16">
        <f>VLOOKUP(B:B,'[1]Master Sheet'!$B:$H,7,0)</f>
        <v>0</v>
      </c>
      <c r="I1114" s="16">
        <f>VLOOKUP(B:B,'[1]Master Sheet'!$B:$I,8,0)</f>
        <v>0</v>
      </c>
      <c r="J1114" s="16"/>
      <c r="K1114" s="3" t="s">
        <v>2965</v>
      </c>
      <c r="L1114" s="3" t="s">
        <v>3055</v>
      </c>
      <c r="M1114" s="3" t="s">
        <v>3056</v>
      </c>
      <c r="N1114" s="3"/>
      <c r="O1114" s="3"/>
    </row>
    <row r="1115" spans="1:15" s="4" customFormat="1">
      <c r="A1115" s="2">
        <v>1114</v>
      </c>
      <c r="B1115" s="3" t="s">
        <v>2480</v>
      </c>
      <c r="C1115" s="3" t="s">
        <v>2481</v>
      </c>
      <c r="D1115" s="2" t="s">
        <v>7</v>
      </c>
      <c r="E1115" s="2" t="s">
        <v>8</v>
      </c>
      <c r="F1115" s="16"/>
      <c r="G1115" s="16"/>
      <c r="H1115" s="16">
        <f>VLOOKUP(B:B,'[1]Master Sheet'!$B:$H,7,0)</f>
        <v>1500</v>
      </c>
      <c r="I1115" s="16">
        <f>VLOOKUP(B:B,'[1]Master Sheet'!$B:$I,8,0)</f>
        <v>0</v>
      </c>
      <c r="J1115" s="16"/>
      <c r="K1115" s="3" t="s">
        <v>2965</v>
      </c>
      <c r="L1115" s="3" t="s">
        <v>3055</v>
      </c>
      <c r="M1115" s="3" t="s">
        <v>3056</v>
      </c>
      <c r="N1115" s="3"/>
      <c r="O1115" s="3"/>
    </row>
    <row r="1116" spans="1:15" s="4" customFormat="1">
      <c r="A1116" s="2">
        <v>1115</v>
      </c>
      <c r="B1116" s="3" t="s">
        <v>2482</v>
      </c>
      <c r="C1116" s="3" t="s">
        <v>2483</v>
      </c>
      <c r="D1116" s="2" t="s">
        <v>17</v>
      </c>
      <c r="E1116" s="2" t="s">
        <v>8</v>
      </c>
      <c r="F1116" s="16"/>
      <c r="G1116" s="16"/>
      <c r="H1116" s="16">
        <f>VLOOKUP(B:B,'[1]Master Sheet'!$B:$H,7,0)</f>
        <v>0</v>
      </c>
      <c r="I1116" s="16">
        <f>VLOOKUP(B:B,'[1]Master Sheet'!$B:$I,8,0)</f>
        <v>0</v>
      </c>
      <c r="J1116" s="16"/>
      <c r="K1116" s="3" t="s">
        <v>2982</v>
      </c>
      <c r="L1116" s="3" t="s">
        <v>3060</v>
      </c>
      <c r="M1116" s="3" t="s">
        <v>3058</v>
      </c>
      <c r="N1116" s="3"/>
      <c r="O1116" s="3"/>
    </row>
    <row r="1117" spans="1:15" s="4" customFormat="1">
      <c r="A1117" s="2">
        <v>1116</v>
      </c>
      <c r="B1117" s="3" t="s">
        <v>2391</v>
      </c>
      <c r="C1117" s="3" t="s">
        <v>2392</v>
      </c>
      <c r="D1117" s="2" t="s">
        <v>20</v>
      </c>
      <c r="E1117" s="2" t="s">
        <v>8</v>
      </c>
      <c r="F1117" s="16"/>
      <c r="G1117" s="16"/>
      <c r="H1117" s="16">
        <f>VLOOKUP(B:B,'[1]Master Sheet'!$B:$H,7,0)</f>
        <v>60</v>
      </c>
      <c r="I1117" s="16">
        <f>VLOOKUP(B:B,'[1]Master Sheet'!$B:$I,8,0)</f>
        <v>0</v>
      </c>
      <c r="J1117" s="16"/>
      <c r="K1117" s="3" t="s">
        <v>2991</v>
      </c>
      <c r="L1117" s="3" t="s">
        <v>3057</v>
      </c>
      <c r="M1117" s="3" t="s">
        <v>3056</v>
      </c>
      <c r="N1117" s="3"/>
      <c r="O1117" s="3"/>
    </row>
    <row r="1118" spans="1:15" s="4" customFormat="1">
      <c r="A1118" s="2">
        <v>1117</v>
      </c>
      <c r="B1118" s="3" t="s">
        <v>67</v>
      </c>
      <c r="C1118" s="3" t="s">
        <v>3004</v>
      </c>
      <c r="D1118" s="2" t="s">
        <v>17</v>
      </c>
      <c r="E1118" s="2" t="s">
        <v>8</v>
      </c>
      <c r="F1118" s="16"/>
      <c r="G1118" s="16"/>
      <c r="H1118" s="16">
        <f>VLOOKUP(B:B,'[1]Master Sheet'!$B:$H,7,0)</f>
        <v>0</v>
      </c>
      <c r="I1118" s="16">
        <f>VLOOKUP(B:B,'[1]Master Sheet'!$B:$I,8,0)</f>
        <v>0</v>
      </c>
      <c r="J1118" s="16"/>
      <c r="K1118" s="3" t="s">
        <v>2972</v>
      </c>
      <c r="L1118" s="3" t="s">
        <v>3055</v>
      </c>
      <c r="M1118" s="3" t="s">
        <v>3056</v>
      </c>
      <c r="N1118" s="3"/>
      <c r="O1118" s="3"/>
    </row>
    <row r="1119" spans="1:15" s="4" customFormat="1">
      <c r="A1119" s="2">
        <v>1118</v>
      </c>
      <c r="B1119" s="3" t="s">
        <v>2486</v>
      </c>
      <c r="C1119" s="3" t="s">
        <v>2487</v>
      </c>
      <c r="D1119" s="2" t="s">
        <v>17</v>
      </c>
      <c r="E1119" s="2" t="s">
        <v>8</v>
      </c>
      <c r="F1119" s="16"/>
      <c r="G1119" s="16"/>
      <c r="H1119" s="16">
        <f>VLOOKUP(B:B,'[1]Master Sheet'!$B:$H,7,0)</f>
        <v>0</v>
      </c>
      <c r="I1119" s="16">
        <f>VLOOKUP(B:B,'[1]Master Sheet'!$B:$I,8,0)</f>
        <v>0</v>
      </c>
      <c r="J1119" s="16"/>
      <c r="K1119" s="3" t="s">
        <v>2982</v>
      </c>
      <c r="L1119" s="3" t="s">
        <v>3060</v>
      </c>
      <c r="M1119" s="3" t="s">
        <v>3058</v>
      </c>
      <c r="N1119" s="3"/>
      <c r="O1119" s="3"/>
    </row>
    <row r="1120" spans="1:15" s="4" customFormat="1">
      <c r="A1120" s="2">
        <v>1119</v>
      </c>
      <c r="B1120" s="3" t="s">
        <v>2488</v>
      </c>
      <c r="C1120" s="3" t="s">
        <v>2489</v>
      </c>
      <c r="D1120" s="2" t="s">
        <v>17</v>
      </c>
      <c r="E1120" s="2" t="s">
        <v>8</v>
      </c>
      <c r="F1120" s="16"/>
      <c r="G1120" s="16"/>
      <c r="H1120" s="16">
        <f>VLOOKUP(B:B,'[1]Master Sheet'!$B:$H,7,0)</f>
        <v>0</v>
      </c>
      <c r="I1120" s="16">
        <f>VLOOKUP(B:B,'[1]Master Sheet'!$B:$I,8,0)</f>
        <v>0</v>
      </c>
      <c r="J1120" s="16"/>
      <c r="K1120" s="3" t="s">
        <v>2982</v>
      </c>
      <c r="L1120" s="3" t="s">
        <v>3060</v>
      </c>
      <c r="M1120" s="3" t="s">
        <v>3058</v>
      </c>
      <c r="N1120" s="3"/>
      <c r="O1120" s="3"/>
    </row>
    <row r="1121" spans="1:15" s="4" customFormat="1">
      <c r="A1121" s="2">
        <v>1120</v>
      </c>
      <c r="B1121" s="3" t="s">
        <v>2490</v>
      </c>
      <c r="C1121" s="3" t="s">
        <v>2491</v>
      </c>
      <c r="D1121" s="2" t="s">
        <v>17</v>
      </c>
      <c r="E1121" s="2" t="s">
        <v>8</v>
      </c>
      <c r="F1121" s="16"/>
      <c r="G1121" s="16"/>
      <c r="H1121" s="16">
        <f>VLOOKUP(B:B,'[1]Master Sheet'!$B:$H,7,0)</f>
        <v>0</v>
      </c>
      <c r="I1121" s="16">
        <f>VLOOKUP(B:B,'[1]Master Sheet'!$B:$I,8,0)</f>
        <v>0</v>
      </c>
      <c r="J1121" s="16"/>
      <c r="K1121" s="3" t="s">
        <v>2982</v>
      </c>
      <c r="L1121" s="3" t="s">
        <v>3060</v>
      </c>
      <c r="M1121" s="3" t="s">
        <v>3058</v>
      </c>
      <c r="N1121" s="3"/>
      <c r="O1121" s="3"/>
    </row>
    <row r="1122" spans="1:15" s="4" customFormat="1">
      <c r="A1122" s="2">
        <v>1121</v>
      </c>
      <c r="B1122" s="3" t="s">
        <v>2393</v>
      </c>
      <c r="C1122" s="3" t="s">
        <v>2394</v>
      </c>
      <c r="D1122" s="2" t="s">
        <v>20</v>
      </c>
      <c r="E1122" s="2" t="s">
        <v>8</v>
      </c>
      <c r="F1122" s="16"/>
      <c r="G1122" s="16"/>
      <c r="H1122" s="16">
        <f>VLOOKUP(B:B,'[1]Master Sheet'!$B:$H,7,0)</f>
        <v>60</v>
      </c>
      <c r="I1122" s="16">
        <f>VLOOKUP(B:B,'[1]Master Sheet'!$B:$I,8,0)</f>
        <v>0</v>
      </c>
      <c r="J1122" s="16"/>
      <c r="K1122" s="3" t="s">
        <v>2991</v>
      </c>
      <c r="L1122" s="3" t="s">
        <v>3057</v>
      </c>
      <c r="M1122" s="3" t="s">
        <v>3056</v>
      </c>
      <c r="N1122" s="3"/>
      <c r="O1122" s="3"/>
    </row>
    <row r="1123" spans="1:15" s="4" customFormat="1">
      <c r="A1123" s="2">
        <v>1122</v>
      </c>
      <c r="B1123" s="3" t="s">
        <v>2494</v>
      </c>
      <c r="C1123" s="3" t="s">
        <v>2495</v>
      </c>
      <c r="D1123" s="2" t="s">
        <v>17</v>
      </c>
      <c r="E1123" s="2" t="s">
        <v>8</v>
      </c>
      <c r="F1123" s="16"/>
      <c r="G1123" s="16"/>
      <c r="H1123" s="16">
        <f>VLOOKUP(B:B,'[1]Master Sheet'!$B:$H,7,0)</f>
        <v>0</v>
      </c>
      <c r="I1123" s="16">
        <f>VLOOKUP(B:B,'[1]Master Sheet'!$B:$I,8,0)</f>
        <v>0</v>
      </c>
      <c r="J1123" s="16"/>
      <c r="K1123" s="3" t="s">
        <v>2982</v>
      </c>
      <c r="L1123" s="3" t="s">
        <v>3060</v>
      </c>
      <c r="M1123" s="3" t="s">
        <v>3058</v>
      </c>
      <c r="N1123" s="3"/>
      <c r="O1123" s="3"/>
    </row>
    <row r="1124" spans="1:15" s="4" customFormat="1">
      <c r="A1124" s="2">
        <v>1123</v>
      </c>
      <c r="B1124" s="3" t="s">
        <v>2496</v>
      </c>
      <c r="C1124" s="3" t="s">
        <v>2497</v>
      </c>
      <c r="D1124" s="2" t="s">
        <v>17</v>
      </c>
      <c r="E1124" s="2" t="s">
        <v>8</v>
      </c>
      <c r="F1124" s="16"/>
      <c r="G1124" s="16"/>
      <c r="H1124" s="16">
        <f>VLOOKUP(B:B,'[1]Master Sheet'!$B:$H,7,0)</f>
        <v>0</v>
      </c>
      <c r="I1124" s="16">
        <f>VLOOKUP(B:B,'[1]Master Sheet'!$B:$I,8,0)</f>
        <v>0</v>
      </c>
      <c r="J1124" s="16"/>
      <c r="K1124" s="3" t="s">
        <v>2982</v>
      </c>
      <c r="L1124" s="3" t="s">
        <v>3060</v>
      </c>
      <c r="M1124" s="3" t="s">
        <v>3058</v>
      </c>
      <c r="N1124" s="3"/>
      <c r="O1124" s="3"/>
    </row>
    <row r="1125" spans="1:15" s="4" customFormat="1">
      <c r="A1125" s="2">
        <v>1124</v>
      </c>
      <c r="B1125" s="3" t="s">
        <v>2498</v>
      </c>
      <c r="C1125" s="3" t="s">
        <v>2499</v>
      </c>
      <c r="D1125" s="2" t="s">
        <v>17</v>
      </c>
      <c r="E1125" s="2" t="s">
        <v>8</v>
      </c>
      <c r="F1125" s="16"/>
      <c r="G1125" s="16"/>
      <c r="H1125" s="16">
        <f>VLOOKUP(B:B,'[1]Master Sheet'!$B:$H,7,0)</f>
        <v>0</v>
      </c>
      <c r="I1125" s="16">
        <f>VLOOKUP(B:B,'[1]Master Sheet'!$B:$I,8,0)</f>
        <v>0</v>
      </c>
      <c r="J1125" s="16"/>
      <c r="K1125" s="3" t="s">
        <v>2982</v>
      </c>
      <c r="L1125" s="3" t="s">
        <v>3060</v>
      </c>
      <c r="M1125" s="3" t="s">
        <v>3058</v>
      </c>
      <c r="N1125" s="3"/>
      <c r="O1125" s="3"/>
    </row>
    <row r="1126" spans="1:15" s="4" customFormat="1">
      <c r="A1126" s="2">
        <v>1125</v>
      </c>
      <c r="B1126" s="3" t="s">
        <v>2500</v>
      </c>
      <c r="C1126" s="3" t="s">
        <v>2501</v>
      </c>
      <c r="D1126" s="2" t="s">
        <v>17</v>
      </c>
      <c r="E1126" s="2" t="s">
        <v>8</v>
      </c>
      <c r="F1126" s="16"/>
      <c r="G1126" s="16"/>
      <c r="H1126" s="16">
        <f>VLOOKUP(B:B,'[1]Master Sheet'!$B:$H,7,0)</f>
        <v>0</v>
      </c>
      <c r="I1126" s="16">
        <f>VLOOKUP(B:B,'[1]Master Sheet'!$B:$I,8,0)</f>
        <v>0</v>
      </c>
      <c r="J1126" s="16"/>
      <c r="K1126" s="3" t="s">
        <v>2982</v>
      </c>
      <c r="L1126" s="3" t="s">
        <v>3060</v>
      </c>
      <c r="M1126" s="3" t="s">
        <v>3058</v>
      </c>
      <c r="N1126" s="3"/>
      <c r="O1126" s="3"/>
    </row>
    <row r="1127" spans="1:15" s="4" customFormat="1">
      <c r="A1127" s="2">
        <v>1126</v>
      </c>
      <c r="B1127" s="3" t="s">
        <v>2502</v>
      </c>
      <c r="C1127" s="3" t="s">
        <v>2503</v>
      </c>
      <c r="D1127" s="2" t="s">
        <v>17</v>
      </c>
      <c r="E1127" s="2" t="s">
        <v>8</v>
      </c>
      <c r="F1127" s="16"/>
      <c r="G1127" s="16"/>
      <c r="H1127" s="16">
        <f>VLOOKUP(B:B,'[1]Master Sheet'!$B:$H,7,0)</f>
        <v>0</v>
      </c>
      <c r="I1127" s="16">
        <f>VLOOKUP(B:B,'[1]Master Sheet'!$B:$I,8,0)</f>
        <v>0</v>
      </c>
      <c r="J1127" s="16"/>
      <c r="K1127" s="3" t="s">
        <v>2982</v>
      </c>
      <c r="L1127" s="3" t="s">
        <v>3060</v>
      </c>
      <c r="M1127" s="3" t="s">
        <v>3058</v>
      </c>
      <c r="N1127" s="3"/>
      <c r="O1127" s="3"/>
    </row>
    <row r="1128" spans="1:15" s="4" customFormat="1">
      <c r="A1128" s="2">
        <v>1127</v>
      </c>
      <c r="B1128" s="3" t="s">
        <v>2504</v>
      </c>
      <c r="C1128" s="3" t="s">
        <v>2505</v>
      </c>
      <c r="D1128" s="2" t="s">
        <v>17</v>
      </c>
      <c r="E1128" s="2" t="s">
        <v>8</v>
      </c>
      <c r="F1128" s="16"/>
      <c r="G1128" s="16"/>
      <c r="H1128" s="16">
        <f>VLOOKUP(B:B,'[1]Master Sheet'!$B:$H,7,0)</f>
        <v>0</v>
      </c>
      <c r="I1128" s="16">
        <f>VLOOKUP(B:B,'[1]Master Sheet'!$B:$I,8,0)</f>
        <v>0</v>
      </c>
      <c r="J1128" s="16"/>
      <c r="K1128" s="3" t="s">
        <v>2982</v>
      </c>
      <c r="L1128" s="3" t="s">
        <v>3060</v>
      </c>
      <c r="M1128" s="3" t="s">
        <v>3058</v>
      </c>
      <c r="N1128" s="3"/>
      <c r="O1128" s="3"/>
    </row>
    <row r="1129" spans="1:15" s="4" customFormat="1">
      <c r="A1129" s="2">
        <v>1128</v>
      </c>
      <c r="B1129" s="3" t="s">
        <v>2506</v>
      </c>
      <c r="C1129" s="3" t="s">
        <v>2507</v>
      </c>
      <c r="D1129" s="2" t="s">
        <v>17</v>
      </c>
      <c r="E1129" s="2" t="s">
        <v>8</v>
      </c>
      <c r="F1129" s="16"/>
      <c r="G1129" s="16"/>
      <c r="H1129" s="16">
        <f>VLOOKUP(B:B,'[1]Master Sheet'!$B:$H,7,0)</f>
        <v>0</v>
      </c>
      <c r="I1129" s="16">
        <f>VLOOKUP(B:B,'[1]Master Sheet'!$B:$I,8,0)</f>
        <v>0</v>
      </c>
      <c r="J1129" s="16"/>
      <c r="K1129" s="3" t="s">
        <v>2982</v>
      </c>
      <c r="L1129" s="3" t="s">
        <v>3060</v>
      </c>
      <c r="M1129" s="3" t="s">
        <v>3058</v>
      </c>
      <c r="N1129" s="3"/>
      <c r="O1129" s="3"/>
    </row>
    <row r="1130" spans="1:15" s="4" customFormat="1">
      <c r="A1130" s="2">
        <v>1129</v>
      </c>
      <c r="B1130" s="3" t="s">
        <v>2508</v>
      </c>
      <c r="C1130" s="3" t="s">
        <v>2509</v>
      </c>
      <c r="D1130" s="2" t="s">
        <v>17</v>
      </c>
      <c r="E1130" s="2" t="s">
        <v>8</v>
      </c>
      <c r="F1130" s="16"/>
      <c r="G1130" s="16"/>
      <c r="H1130" s="16">
        <f>VLOOKUP(B:B,'[1]Master Sheet'!$B:$H,7,0)</f>
        <v>0</v>
      </c>
      <c r="I1130" s="16">
        <f>VLOOKUP(B:B,'[1]Master Sheet'!$B:$I,8,0)</f>
        <v>0</v>
      </c>
      <c r="J1130" s="16"/>
      <c r="K1130" s="3" t="s">
        <v>2982</v>
      </c>
      <c r="L1130" s="3" t="s">
        <v>3060</v>
      </c>
      <c r="M1130" s="3" t="s">
        <v>3058</v>
      </c>
      <c r="N1130" s="3"/>
      <c r="O1130" s="3"/>
    </row>
    <row r="1131" spans="1:15" s="4" customFormat="1">
      <c r="A1131" s="2">
        <v>1130</v>
      </c>
      <c r="B1131" s="3" t="s">
        <v>2395</v>
      </c>
      <c r="C1131" s="3" t="s">
        <v>2396</v>
      </c>
      <c r="D1131" s="2" t="s">
        <v>20</v>
      </c>
      <c r="E1131" s="2" t="s">
        <v>8</v>
      </c>
      <c r="F1131" s="16"/>
      <c r="G1131" s="16"/>
      <c r="H1131" s="16">
        <f>VLOOKUP(B:B,'[1]Master Sheet'!$B:$H,7,0)</f>
        <v>60</v>
      </c>
      <c r="I1131" s="16">
        <f>VLOOKUP(B:B,'[1]Master Sheet'!$B:$I,8,0)</f>
        <v>0</v>
      </c>
      <c r="J1131" s="16"/>
      <c r="K1131" s="3" t="s">
        <v>2991</v>
      </c>
      <c r="L1131" s="3" t="s">
        <v>3057</v>
      </c>
      <c r="M1131" s="3" t="s">
        <v>3056</v>
      </c>
      <c r="N1131" s="3"/>
      <c r="O1131" s="3"/>
    </row>
    <row r="1132" spans="1:15" s="4" customFormat="1">
      <c r="A1132" s="2">
        <v>1131</v>
      </c>
      <c r="B1132" s="3" t="s">
        <v>2419</v>
      </c>
      <c r="C1132" s="3" t="s">
        <v>2420</v>
      </c>
      <c r="D1132" s="2" t="s">
        <v>2130</v>
      </c>
      <c r="E1132" s="2" t="s">
        <v>8</v>
      </c>
      <c r="F1132" s="16"/>
      <c r="G1132" s="16"/>
      <c r="H1132" s="16">
        <f>VLOOKUP(B:B,'[1]Master Sheet'!$B:$H,7,0)</f>
        <v>0</v>
      </c>
      <c r="I1132" s="16">
        <f>VLOOKUP(B:B,'[1]Master Sheet'!$B:$I,8,0)</f>
        <v>0</v>
      </c>
      <c r="J1132" s="16"/>
      <c r="K1132" s="3" t="s">
        <v>2998</v>
      </c>
      <c r="L1132" s="3" t="s">
        <v>3057</v>
      </c>
      <c r="M1132" s="3" t="s">
        <v>3056</v>
      </c>
      <c r="N1132" s="3"/>
      <c r="O1132" s="3"/>
    </row>
    <row r="1133" spans="1:15" s="4" customFormat="1">
      <c r="A1133" s="2">
        <v>1132</v>
      </c>
      <c r="B1133" s="3" t="s">
        <v>2514</v>
      </c>
      <c r="C1133" s="3" t="s">
        <v>2515</v>
      </c>
      <c r="D1133" s="2" t="s">
        <v>17</v>
      </c>
      <c r="E1133" s="2" t="s">
        <v>8</v>
      </c>
      <c r="F1133" s="16"/>
      <c r="G1133" s="16"/>
      <c r="H1133" s="16">
        <f>VLOOKUP(B:B,'[1]Master Sheet'!$B:$H,7,0)</f>
        <v>0</v>
      </c>
      <c r="I1133" s="16">
        <f>VLOOKUP(B:B,'[1]Master Sheet'!$B:$I,8,0)</f>
        <v>0</v>
      </c>
      <c r="J1133" s="16"/>
      <c r="K1133" s="3" t="s">
        <v>2982</v>
      </c>
      <c r="L1133" s="3" t="s">
        <v>3060</v>
      </c>
      <c r="M1133" s="3" t="s">
        <v>3064</v>
      </c>
      <c r="N1133" s="3"/>
      <c r="O1133" s="3"/>
    </row>
    <row r="1134" spans="1:15" s="4" customFormat="1">
      <c r="A1134" s="2">
        <v>1133</v>
      </c>
      <c r="B1134" s="3" t="s">
        <v>2425</v>
      </c>
      <c r="C1134" s="3" t="s">
        <v>2426</v>
      </c>
      <c r="D1134" s="2" t="s">
        <v>17</v>
      </c>
      <c r="E1134" s="2" t="s">
        <v>8</v>
      </c>
      <c r="F1134" s="16"/>
      <c r="G1134" s="16"/>
      <c r="H1134" s="16">
        <f>VLOOKUP(B:B,'[1]Master Sheet'!$B:$H,7,0)</f>
        <v>0</v>
      </c>
      <c r="I1134" s="16">
        <f>VLOOKUP(B:B,'[1]Master Sheet'!$B:$I,8,0)</f>
        <v>0</v>
      </c>
      <c r="J1134" s="16"/>
      <c r="K1134" s="3" t="s">
        <v>2972</v>
      </c>
      <c r="L1134" s="3" t="s">
        <v>3057</v>
      </c>
      <c r="M1134" s="3" t="s">
        <v>3056</v>
      </c>
      <c r="N1134" s="3"/>
      <c r="O1134" s="3"/>
    </row>
    <row r="1135" spans="1:15" s="4" customFormat="1">
      <c r="A1135" s="2">
        <v>1134</v>
      </c>
      <c r="B1135" s="3" t="s">
        <v>2520</v>
      </c>
      <c r="C1135" s="3" t="s">
        <v>2521</v>
      </c>
      <c r="D1135" s="2" t="s">
        <v>17</v>
      </c>
      <c r="E1135" s="2" t="s">
        <v>8</v>
      </c>
      <c r="F1135" s="16"/>
      <c r="G1135" s="16"/>
      <c r="H1135" s="16">
        <f>VLOOKUP(B:B,'[1]Master Sheet'!$B:$H,7,0)</f>
        <v>700</v>
      </c>
      <c r="I1135" s="16">
        <f>VLOOKUP(B:B,'[1]Master Sheet'!$B:$I,8,0)</f>
        <v>0</v>
      </c>
      <c r="J1135" s="16"/>
      <c r="K1135" s="3" t="s">
        <v>3006</v>
      </c>
      <c r="L1135" s="3" t="s">
        <v>3060</v>
      </c>
      <c r="M1135" s="3" t="s">
        <v>3058</v>
      </c>
      <c r="N1135" s="3"/>
      <c r="O1135" s="3"/>
    </row>
    <row r="1136" spans="1:15" s="4" customFormat="1">
      <c r="A1136" s="2">
        <v>1135</v>
      </c>
      <c r="B1136" s="3" t="s">
        <v>2522</v>
      </c>
      <c r="C1136" s="3" t="s">
        <v>2523</v>
      </c>
      <c r="D1136" s="2" t="s">
        <v>17</v>
      </c>
      <c r="E1136" s="2" t="s">
        <v>8</v>
      </c>
      <c r="F1136" s="16"/>
      <c r="G1136" s="16"/>
      <c r="H1136" s="16">
        <f>VLOOKUP(B:B,'[1]Master Sheet'!$B:$H,7,0)</f>
        <v>0</v>
      </c>
      <c r="I1136" s="16">
        <f>VLOOKUP(B:B,'[1]Master Sheet'!$B:$I,8,0)</f>
        <v>0</v>
      </c>
      <c r="J1136" s="16"/>
      <c r="K1136" s="3" t="s">
        <v>3006</v>
      </c>
      <c r="L1136" s="3" t="s">
        <v>3060</v>
      </c>
      <c r="M1136" s="3" t="s">
        <v>3058</v>
      </c>
      <c r="N1136" s="3"/>
      <c r="O1136" s="3"/>
    </row>
    <row r="1137" spans="1:15" s="4" customFormat="1">
      <c r="A1137" s="2">
        <v>1136</v>
      </c>
      <c r="B1137" s="3" t="s">
        <v>2524</v>
      </c>
      <c r="C1137" s="3" t="s">
        <v>2525</v>
      </c>
      <c r="D1137" s="2" t="s">
        <v>17</v>
      </c>
      <c r="E1137" s="2" t="s">
        <v>8</v>
      </c>
      <c r="F1137" s="16"/>
      <c r="G1137" s="16"/>
      <c r="H1137" s="16">
        <f>VLOOKUP(B:B,'[1]Master Sheet'!$B:$H,7,0)</f>
        <v>0</v>
      </c>
      <c r="I1137" s="16">
        <f>VLOOKUP(B:B,'[1]Master Sheet'!$B:$I,8,0)</f>
        <v>0</v>
      </c>
      <c r="J1137" s="16"/>
      <c r="K1137" s="3" t="s">
        <v>3006</v>
      </c>
      <c r="L1137" s="3" t="s">
        <v>3060</v>
      </c>
      <c r="M1137" s="3" t="s">
        <v>3058</v>
      </c>
      <c r="N1137" s="3"/>
      <c r="O1137" s="3"/>
    </row>
    <row r="1138" spans="1:15" s="4" customFormat="1">
      <c r="A1138" s="2">
        <v>1137</v>
      </c>
      <c r="B1138" s="3" t="s">
        <v>2526</v>
      </c>
      <c r="C1138" s="3" t="s">
        <v>2527</v>
      </c>
      <c r="D1138" s="2" t="s">
        <v>17</v>
      </c>
      <c r="E1138" s="2" t="s">
        <v>8</v>
      </c>
      <c r="F1138" s="16"/>
      <c r="G1138" s="16"/>
      <c r="H1138" s="16">
        <f>VLOOKUP(B:B,'[1]Master Sheet'!$B:$H,7,0)</f>
        <v>0</v>
      </c>
      <c r="I1138" s="16">
        <f>VLOOKUP(B:B,'[1]Master Sheet'!$B:$I,8,0)</f>
        <v>0</v>
      </c>
      <c r="J1138" s="16"/>
      <c r="K1138" s="3" t="s">
        <v>3006</v>
      </c>
      <c r="L1138" s="3" t="s">
        <v>3060</v>
      </c>
      <c r="M1138" s="3" t="s">
        <v>3058</v>
      </c>
      <c r="N1138" s="3"/>
      <c r="O1138" s="3"/>
    </row>
    <row r="1139" spans="1:15" s="4" customFormat="1">
      <c r="A1139" s="2">
        <v>1138</v>
      </c>
      <c r="B1139" s="3" t="s">
        <v>2528</v>
      </c>
      <c r="C1139" s="3" t="s">
        <v>2529</v>
      </c>
      <c r="D1139" s="2" t="s">
        <v>17</v>
      </c>
      <c r="E1139" s="2" t="s">
        <v>8</v>
      </c>
      <c r="F1139" s="16"/>
      <c r="G1139" s="16"/>
      <c r="H1139" s="16">
        <f>VLOOKUP(B:B,'[1]Master Sheet'!$B:$H,7,0)</f>
        <v>0</v>
      </c>
      <c r="I1139" s="16">
        <f>VLOOKUP(B:B,'[1]Master Sheet'!$B:$I,8,0)</f>
        <v>0</v>
      </c>
      <c r="J1139" s="16"/>
      <c r="K1139" s="3" t="s">
        <v>3006</v>
      </c>
      <c r="L1139" s="3" t="s">
        <v>3060</v>
      </c>
      <c r="M1139" s="3" t="s">
        <v>3058</v>
      </c>
      <c r="N1139" s="3"/>
      <c r="O1139" s="3"/>
    </row>
    <row r="1140" spans="1:15" s="4" customFormat="1">
      <c r="A1140" s="2">
        <v>1139</v>
      </c>
      <c r="B1140" s="3" t="s">
        <v>2530</v>
      </c>
      <c r="C1140" s="3" t="s">
        <v>2531</v>
      </c>
      <c r="D1140" s="2" t="s">
        <v>17</v>
      </c>
      <c r="E1140" s="2" t="s">
        <v>8</v>
      </c>
      <c r="F1140" s="16"/>
      <c r="G1140" s="16"/>
      <c r="H1140" s="16">
        <f>VLOOKUP(B:B,'[1]Master Sheet'!$B:$H,7,0)</f>
        <v>0</v>
      </c>
      <c r="I1140" s="16">
        <f>VLOOKUP(B:B,'[1]Master Sheet'!$B:$I,8,0)</f>
        <v>0</v>
      </c>
      <c r="J1140" s="16"/>
      <c r="K1140" s="3" t="s">
        <v>3006</v>
      </c>
      <c r="L1140" s="3" t="s">
        <v>3060</v>
      </c>
      <c r="M1140" s="3" t="s">
        <v>3058</v>
      </c>
      <c r="N1140" s="3"/>
      <c r="O1140" s="3"/>
    </row>
    <row r="1141" spans="1:15" s="4" customFormat="1">
      <c r="A1141" s="2">
        <v>1140</v>
      </c>
      <c r="B1141" s="3" t="s">
        <v>2532</v>
      </c>
      <c r="C1141" s="3" t="s">
        <v>2533</v>
      </c>
      <c r="D1141" s="2" t="s">
        <v>17</v>
      </c>
      <c r="E1141" s="2" t="s">
        <v>8</v>
      </c>
      <c r="F1141" s="16"/>
      <c r="G1141" s="16"/>
      <c r="H1141" s="16">
        <f>VLOOKUP(B:B,'[1]Master Sheet'!$B:$H,7,0)</f>
        <v>0</v>
      </c>
      <c r="I1141" s="16">
        <f>VLOOKUP(B:B,'[1]Master Sheet'!$B:$I,8,0)</f>
        <v>0</v>
      </c>
      <c r="J1141" s="16"/>
      <c r="K1141" s="3" t="s">
        <v>3006</v>
      </c>
      <c r="L1141" s="3" t="s">
        <v>3060</v>
      </c>
      <c r="M1141" s="3" t="s">
        <v>3058</v>
      </c>
      <c r="N1141" s="3"/>
      <c r="O1141" s="3"/>
    </row>
    <row r="1142" spans="1:15" s="4" customFormat="1">
      <c r="A1142" s="2">
        <v>1141</v>
      </c>
      <c r="B1142" s="3" t="s">
        <v>2534</v>
      </c>
      <c r="C1142" s="3" t="s">
        <v>2535</v>
      </c>
      <c r="D1142" s="2" t="s">
        <v>17</v>
      </c>
      <c r="E1142" s="2" t="s">
        <v>8</v>
      </c>
      <c r="F1142" s="16"/>
      <c r="G1142" s="16"/>
      <c r="H1142" s="16">
        <f>VLOOKUP(B:B,'[1]Master Sheet'!$B:$H,7,0)</f>
        <v>0</v>
      </c>
      <c r="I1142" s="16">
        <f>VLOOKUP(B:B,'[1]Master Sheet'!$B:$I,8,0)</f>
        <v>0</v>
      </c>
      <c r="J1142" s="16"/>
      <c r="K1142" s="3" t="s">
        <v>3006</v>
      </c>
      <c r="L1142" s="3" t="s">
        <v>3060</v>
      </c>
      <c r="M1142" s="3" t="s">
        <v>3058</v>
      </c>
      <c r="N1142" s="3"/>
      <c r="O1142" s="3"/>
    </row>
    <row r="1143" spans="1:15" s="4" customFormat="1">
      <c r="A1143" s="2">
        <v>1142</v>
      </c>
      <c r="B1143" s="3" t="s">
        <v>2536</v>
      </c>
      <c r="C1143" s="3" t="s">
        <v>2537</v>
      </c>
      <c r="D1143" s="2" t="s">
        <v>17</v>
      </c>
      <c r="E1143" s="2" t="s">
        <v>8</v>
      </c>
      <c r="F1143" s="16"/>
      <c r="G1143" s="16"/>
      <c r="H1143" s="16">
        <f>VLOOKUP(B:B,'[1]Master Sheet'!$B:$H,7,0)</f>
        <v>0</v>
      </c>
      <c r="I1143" s="16">
        <f>VLOOKUP(B:B,'[1]Master Sheet'!$B:$I,8,0)</f>
        <v>0</v>
      </c>
      <c r="J1143" s="16"/>
      <c r="K1143" s="3" t="s">
        <v>3006</v>
      </c>
      <c r="L1143" s="3" t="s">
        <v>3060</v>
      </c>
      <c r="M1143" s="3" t="s">
        <v>3058</v>
      </c>
      <c r="N1143" s="3"/>
      <c r="O1143" s="3"/>
    </row>
    <row r="1144" spans="1:15" s="4" customFormat="1">
      <c r="A1144" s="2">
        <v>1143</v>
      </c>
      <c r="B1144" s="3" t="s">
        <v>2538</v>
      </c>
      <c r="C1144" s="3" t="s">
        <v>2539</v>
      </c>
      <c r="D1144" s="2" t="s">
        <v>17</v>
      </c>
      <c r="E1144" s="2" t="s">
        <v>8</v>
      </c>
      <c r="F1144" s="16"/>
      <c r="G1144" s="16"/>
      <c r="H1144" s="16">
        <f>VLOOKUP(B:B,'[1]Master Sheet'!$B:$H,7,0)</f>
        <v>0</v>
      </c>
      <c r="I1144" s="16">
        <f>VLOOKUP(B:B,'[1]Master Sheet'!$B:$I,8,0)</f>
        <v>0</v>
      </c>
      <c r="J1144" s="16"/>
      <c r="K1144" s="3" t="s">
        <v>3006</v>
      </c>
      <c r="L1144" s="3" t="s">
        <v>3060</v>
      </c>
      <c r="M1144" s="3" t="s">
        <v>3058</v>
      </c>
      <c r="N1144" s="3"/>
      <c r="O1144" s="3"/>
    </row>
    <row r="1145" spans="1:15" s="4" customFormat="1">
      <c r="A1145" s="2">
        <v>1144</v>
      </c>
      <c r="B1145" s="3" t="s">
        <v>2540</v>
      </c>
      <c r="C1145" s="3" t="s">
        <v>2541</v>
      </c>
      <c r="D1145" s="2" t="s">
        <v>17</v>
      </c>
      <c r="E1145" s="2" t="s">
        <v>8</v>
      </c>
      <c r="F1145" s="16"/>
      <c r="G1145" s="16"/>
      <c r="H1145" s="16">
        <f>VLOOKUP(B:B,'[1]Master Sheet'!$B:$H,7,0)</f>
        <v>0</v>
      </c>
      <c r="I1145" s="16">
        <f>VLOOKUP(B:B,'[1]Master Sheet'!$B:$I,8,0)</f>
        <v>0</v>
      </c>
      <c r="J1145" s="16"/>
      <c r="K1145" s="3" t="s">
        <v>3006</v>
      </c>
      <c r="L1145" s="3" t="s">
        <v>3060</v>
      </c>
      <c r="M1145" s="3" t="s">
        <v>3058</v>
      </c>
      <c r="N1145" s="3"/>
      <c r="O1145" s="3"/>
    </row>
    <row r="1146" spans="1:15" s="4" customFormat="1">
      <c r="A1146" s="2">
        <v>1145</v>
      </c>
      <c r="B1146" s="3" t="s">
        <v>2542</v>
      </c>
      <c r="C1146" s="3" t="s">
        <v>2543</v>
      </c>
      <c r="D1146" s="2" t="s">
        <v>17</v>
      </c>
      <c r="E1146" s="2" t="s">
        <v>8</v>
      </c>
      <c r="F1146" s="16"/>
      <c r="G1146" s="16"/>
      <c r="H1146" s="16">
        <f>VLOOKUP(B:B,'[1]Master Sheet'!$B:$H,7,0)</f>
        <v>0</v>
      </c>
      <c r="I1146" s="16">
        <f>VLOOKUP(B:B,'[1]Master Sheet'!$B:$I,8,0)</f>
        <v>0</v>
      </c>
      <c r="J1146" s="16"/>
      <c r="K1146" s="3" t="s">
        <v>3006</v>
      </c>
      <c r="L1146" s="3" t="s">
        <v>3060</v>
      </c>
      <c r="M1146" s="3" t="s">
        <v>3058</v>
      </c>
      <c r="N1146" s="3"/>
      <c r="O1146" s="3"/>
    </row>
    <row r="1147" spans="1:15" s="4" customFormat="1">
      <c r="A1147" s="2">
        <v>1146</v>
      </c>
      <c r="B1147" s="3" t="s">
        <v>2544</v>
      </c>
      <c r="C1147" s="3" t="s">
        <v>2545</v>
      </c>
      <c r="D1147" s="2" t="s">
        <v>17</v>
      </c>
      <c r="E1147" s="2" t="s">
        <v>8</v>
      </c>
      <c r="F1147" s="16"/>
      <c r="G1147" s="16"/>
      <c r="H1147" s="16">
        <f>VLOOKUP(B:B,'[1]Master Sheet'!$B:$H,7,0)</f>
        <v>0</v>
      </c>
      <c r="I1147" s="16">
        <f>VLOOKUP(B:B,'[1]Master Sheet'!$B:$I,8,0)</f>
        <v>0</v>
      </c>
      <c r="J1147" s="16"/>
      <c r="K1147" s="3" t="s">
        <v>2972</v>
      </c>
      <c r="L1147" s="3" t="s">
        <v>3055</v>
      </c>
      <c r="M1147" s="3" t="s">
        <v>3056</v>
      </c>
      <c r="N1147" s="3"/>
      <c r="O1147" s="3"/>
    </row>
    <row r="1148" spans="1:15" s="4" customFormat="1">
      <c r="A1148" s="2">
        <v>1147</v>
      </c>
      <c r="B1148" s="3" t="s">
        <v>2441</v>
      </c>
      <c r="C1148" s="3" t="s">
        <v>2442</v>
      </c>
      <c r="D1148" s="2" t="s">
        <v>17</v>
      </c>
      <c r="E1148" s="2" t="s">
        <v>8</v>
      </c>
      <c r="F1148" s="16"/>
      <c r="G1148" s="16"/>
      <c r="H1148" s="16">
        <f>VLOOKUP(B:B,'[1]Master Sheet'!$B:$H,7,0)</f>
        <v>100</v>
      </c>
      <c r="I1148" s="16">
        <f>VLOOKUP(B:B,'[1]Master Sheet'!$B:$I,8,0)</f>
        <v>0</v>
      </c>
      <c r="J1148" s="16"/>
      <c r="K1148" s="3" t="s">
        <v>2972</v>
      </c>
      <c r="L1148" s="3" t="s">
        <v>3057</v>
      </c>
      <c r="M1148" s="3" t="s">
        <v>3056</v>
      </c>
      <c r="N1148" s="3"/>
      <c r="O1148" s="3"/>
    </row>
    <row r="1149" spans="1:15" s="4" customFormat="1">
      <c r="A1149" s="2">
        <v>1148</v>
      </c>
      <c r="B1149" s="3" t="s">
        <v>2548</v>
      </c>
      <c r="C1149" s="3" t="s">
        <v>2549</v>
      </c>
      <c r="D1149" s="2" t="s">
        <v>20</v>
      </c>
      <c r="E1149" s="2" t="s">
        <v>8</v>
      </c>
      <c r="F1149" s="16"/>
      <c r="G1149" s="16"/>
      <c r="H1149" s="16">
        <f>VLOOKUP(B:B,'[1]Master Sheet'!$B:$H,7,0)</f>
        <v>0</v>
      </c>
      <c r="I1149" s="16">
        <f>VLOOKUP(B:B,'[1]Master Sheet'!$B:$I,8,0)</f>
        <v>0</v>
      </c>
      <c r="J1149" s="16"/>
      <c r="K1149" s="3" t="s">
        <v>2991</v>
      </c>
      <c r="L1149" s="3" t="s">
        <v>3060</v>
      </c>
      <c r="M1149" s="3" t="s">
        <v>3058</v>
      </c>
      <c r="N1149" s="3"/>
      <c r="O1149" s="3"/>
    </row>
    <row r="1150" spans="1:15" s="4" customFormat="1">
      <c r="A1150" s="2">
        <v>1149</v>
      </c>
      <c r="B1150" s="3" t="s">
        <v>2462</v>
      </c>
      <c r="C1150" s="3" t="s">
        <v>2463</v>
      </c>
      <c r="D1150" s="2" t="s">
        <v>7</v>
      </c>
      <c r="E1150" s="2" t="s">
        <v>8</v>
      </c>
      <c r="F1150" s="16"/>
      <c r="G1150" s="16"/>
      <c r="H1150" s="16">
        <f>VLOOKUP(B:B,'[1]Master Sheet'!$B:$H,7,0)</f>
        <v>1000</v>
      </c>
      <c r="I1150" s="16">
        <f>VLOOKUP(B:B,'[1]Master Sheet'!$B:$I,8,0)</f>
        <v>0</v>
      </c>
      <c r="J1150" s="16"/>
      <c r="K1150" s="3" t="s">
        <v>2972</v>
      </c>
      <c r="L1150" s="3" t="s">
        <v>3057</v>
      </c>
      <c r="M1150" s="3" t="s">
        <v>3056</v>
      </c>
      <c r="N1150" s="3"/>
      <c r="O1150" s="3"/>
    </row>
    <row r="1151" spans="1:15" s="4" customFormat="1">
      <c r="A1151" s="2">
        <v>1150</v>
      </c>
      <c r="B1151" s="3" t="s">
        <v>2555</v>
      </c>
      <c r="C1151" s="3" t="s">
        <v>2556</v>
      </c>
      <c r="D1151" s="2" t="s">
        <v>17</v>
      </c>
      <c r="E1151" s="2" t="s">
        <v>8</v>
      </c>
      <c r="F1151" s="16"/>
      <c r="G1151" s="16"/>
      <c r="H1151" s="16">
        <f>VLOOKUP(B:B,'[1]Master Sheet'!$B:$H,7,0)</f>
        <v>0</v>
      </c>
      <c r="I1151" s="16">
        <f>VLOOKUP(B:B,'[1]Master Sheet'!$B:$I,8,0)</f>
        <v>0</v>
      </c>
      <c r="J1151" s="16"/>
      <c r="K1151" s="3" t="s">
        <v>2982</v>
      </c>
      <c r="L1151" s="3" t="s">
        <v>3060</v>
      </c>
      <c r="M1151" s="3" t="s">
        <v>3058</v>
      </c>
      <c r="N1151" s="3"/>
      <c r="O1151" s="3"/>
    </row>
    <row r="1152" spans="1:15" s="4" customFormat="1">
      <c r="A1152" s="2">
        <v>1151</v>
      </c>
      <c r="B1152" s="3" t="s">
        <v>2557</v>
      </c>
      <c r="C1152" s="3" t="s">
        <v>2558</v>
      </c>
      <c r="D1152" s="2" t="s">
        <v>17</v>
      </c>
      <c r="E1152" s="2" t="s">
        <v>8</v>
      </c>
      <c r="F1152" s="16"/>
      <c r="G1152" s="16"/>
      <c r="H1152" s="16">
        <f>VLOOKUP(B:B,'[1]Master Sheet'!$B:$H,7,0)</f>
        <v>0</v>
      </c>
      <c r="I1152" s="16">
        <f>VLOOKUP(B:B,'[1]Master Sheet'!$B:$I,8,0)</f>
        <v>0</v>
      </c>
      <c r="J1152" s="16"/>
      <c r="K1152" s="3" t="s">
        <v>2982</v>
      </c>
      <c r="L1152" s="3" t="s">
        <v>3060</v>
      </c>
      <c r="M1152" s="3" t="s">
        <v>3058</v>
      </c>
      <c r="N1152" s="3"/>
      <c r="O1152" s="3"/>
    </row>
    <row r="1153" spans="1:15" s="4" customFormat="1">
      <c r="A1153" s="2">
        <v>1152</v>
      </c>
      <c r="B1153" s="3" t="s">
        <v>2559</v>
      </c>
      <c r="C1153" s="3" t="s">
        <v>2560</v>
      </c>
      <c r="D1153" s="2" t="s">
        <v>17</v>
      </c>
      <c r="E1153" s="2" t="s">
        <v>8</v>
      </c>
      <c r="F1153" s="16"/>
      <c r="G1153" s="16"/>
      <c r="H1153" s="16">
        <f>VLOOKUP(B:B,'[1]Master Sheet'!$B:$H,7,0)</f>
        <v>0</v>
      </c>
      <c r="I1153" s="16">
        <f>VLOOKUP(B:B,'[1]Master Sheet'!$B:$I,8,0)</f>
        <v>0</v>
      </c>
      <c r="J1153" s="16"/>
      <c r="K1153" s="3" t="s">
        <v>2982</v>
      </c>
      <c r="L1153" s="3" t="s">
        <v>3060</v>
      </c>
      <c r="M1153" s="3" t="s">
        <v>3058</v>
      </c>
      <c r="N1153" s="3"/>
      <c r="O1153" s="3"/>
    </row>
    <row r="1154" spans="1:15" s="4" customFormat="1">
      <c r="A1154" s="2">
        <v>1153</v>
      </c>
      <c r="B1154" s="3" t="s">
        <v>2561</v>
      </c>
      <c r="C1154" s="3" t="s">
        <v>2562</v>
      </c>
      <c r="D1154" s="2" t="s">
        <v>17</v>
      </c>
      <c r="E1154" s="2" t="s">
        <v>8</v>
      </c>
      <c r="F1154" s="16"/>
      <c r="G1154" s="16"/>
      <c r="H1154" s="16">
        <f>VLOOKUP(B:B,'[1]Master Sheet'!$B:$H,7,0)</f>
        <v>0</v>
      </c>
      <c r="I1154" s="16">
        <f>VLOOKUP(B:B,'[1]Master Sheet'!$B:$I,8,0)</f>
        <v>0</v>
      </c>
      <c r="J1154" s="16"/>
      <c r="K1154" s="3" t="s">
        <v>2982</v>
      </c>
      <c r="L1154" s="3" t="s">
        <v>3060</v>
      </c>
      <c r="M1154" s="3" t="s">
        <v>3058</v>
      </c>
      <c r="N1154" s="3"/>
      <c r="O1154" s="3"/>
    </row>
    <row r="1155" spans="1:15" s="4" customFormat="1">
      <c r="A1155" s="2">
        <v>1154</v>
      </c>
      <c r="B1155" s="3" t="s">
        <v>2563</v>
      </c>
      <c r="C1155" s="3" t="s">
        <v>2564</v>
      </c>
      <c r="D1155" s="2" t="s">
        <v>17</v>
      </c>
      <c r="E1155" s="2" t="s">
        <v>8</v>
      </c>
      <c r="F1155" s="16"/>
      <c r="G1155" s="16"/>
      <c r="H1155" s="16">
        <f>VLOOKUP(B:B,'[1]Master Sheet'!$B:$H,7,0)</f>
        <v>0</v>
      </c>
      <c r="I1155" s="16">
        <f>VLOOKUP(B:B,'[1]Master Sheet'!$B:$I,8,0)</f>
        <v>0</v>
      </c>
      <c r="J1155" s="16"/>
      <c r="K1155" s="3" t="s">
        <v>2982</v>
      </c>
      <c r="L1155" s="3" t="s">
        <v>3060</v>
      </c>
      <c r="M1155" s="3" t="s">
        <v>3058</v>
      </c>
      <c r="N1155" s="3"/>
      <c r="O1155" s="3"/>
    </row>
    <row r="1156" spans="1:15" s="4" customFormat="1">
      <c r="A1156" s="2">
        <v>1155</v>
      </c>
      <c r="B1156" s="3" t="s">
        <v>2565</v>
      </c>
      <c r="C1156" s="3" t="s">
        <v>2566</v>
      </c>
      <c r="D1156" s="2" t="s">
        <v>17</v>
      </c>
      <c r="E1156" s="2" t="s">
        <v>8</v>
      </c>
      <c r="F1156" s="16"/>
      <c r="G1156" s="16"/>
      <c r="H1156" s="16">
        <f>VLOOKUP(B:B,'[1]Master Sheet'!$B:$H,7,0)</f>
        <v>0</v>
      </c>
      <c r="I1156" s="16">
        <f>VLOOKUP(B:B,'[1]Master Sheet'!$B:$I,8,0)</f>
        <v>0</v>
      </c>
      <c r="J1156" s="16"/>
      <c r="K1156" s="3" t="s">
        <v>2982</v>
      </c>
      <c r="L1156" s="3" t="s">
        <v>3060</v>
      </c>
      <c r="M1156" s="3" t="s">
        <v>3058</v>
      </c>
      <c r="N1156" s="3"/>
      <c r="O1156" s="3"/>
    </row>
    <row r="1157" spans="1:15" s="4" customFormat="1">
      <c r="A1157" s="2">
        <v>1156</v>
      </c>
      <c r="B1157" s="3" t="s">
        <v>2567</v>
      </c>
      <c r="C1157" s="3" t="s">
        <v>2568</v>
      </c>
      <c r="D1157" s="2" t="s">
        <v>17</v>
      </c>
      <c r="E1157" s="2" t="s">
        <v>8</v>
      </c>
      <c r="F1157" s="16"/>
      <c r="G1157" s="16"/>
      <c r="H1157" s="16">
        <f>VLOOKUP(B:B,'[1]Master Sheet'!$B:$H,7,0)</f>
        <v>0</v>
      </c>
      <c r="I1157" s="16">
        <f>VLOOKUP(B:B,'[1]Master Sheet'!$B:$I,8,0)</f>
        <v>0</v>
      </c>
      <c r="J1157" s="16"/>
      <c r="K1157" s="3" t="s">
        <v>2982</v>
      </c>
      <c r="L1157" s="3" t="s">
        <v>3060</v>
      </c>
      <c r="M1157" s="3" t="s">
        <v>3058</v>
      </c>
      <c r="N1157" s="3"/>
      <c r="O1157" s="3"/>
    </row>
    <row r="1158" spans="1:15" s="4" customFormat="1">
      <c r="A1158" s="2">
        <v>1157</v>
      </c>
      <c r="B1158" s="3" t="s">
        <v>2569</v>
      </c>
      <c r="C1158" s="3" t="s">
        <v>2570</v>
      </c>
      <c r="D1158" s="2" t="s">
        <v>17</v>
      </c>
      <c r="E1158" s="2" t="s">
        <v>8</v>
      </c>
      <c r="F1158" s="16"/>
      <c r="G1158" s="16"/>
      <c r="H1158" s="16">
        <f>VLOOKUP(B:B,'[1]Master Sheet'!$B:$H,7,0)</f>
        <v>0</v>
      </c>
      <c r="I1158" s="16">
        <f>VLOOKUP(B:B,'[1]Master Sheet'!$B:$I,8,0)</f>
        <v>0</v>
      </c>
      <c r="J1158" s="16"/>
      <c r="K1158" s="3" t="s">
        <v>2982</v>
      </c>
      <c r="L1158" s="3" t="s">
        <v>3060</v>
      </c>
      <c r="M1158" s="3" t="s">
        <v>3058</v>
      </c>
      <c r="N1158" s="3"/>
      <c r="O1158" s="3"/>
    </row>
    <row r="1159" spans="1:15" s="4" customFormat="1">
      <c r="A1159" s="2">
        <v>1158</v>
      </c>
      <c r="B1159" s="3" t="s">
        <v>2464</v>
      </c>
      <c r="C1159" s="3" t="s">
        <v>2465</v>
      </c>
      <c r="D1159" s="2" t="s">
        <v>17</v>
      </c>
      <c r="E1159" s="2" t="s">
        <v>8</v>
      </c>
      <c r="F1159" s="16"/>
      <c r="G1159" s="16"/>
      <c r="H1159" s="16">
        <f>VLOOKUP(B:B,'[1]Master Sheet'!$B:$H,7,0)</f>
        <v>0</v>
      </c>
      <c r="I1159" s="16">
        <f>VLOOKUP(B:B,'[1]Master Sheet'!$B:$I,8,0)</f>
        <v>0</v>
      </c>
      <c r="J1159" s="16"/>
      <c r="K1159" s="3" t="s">
        <v>2972</v>
      </c>
      <c r="L1159" s="3" t="s">
        <v>3057</v>
      </c>
      <c r="M1159" s="3" t="s">
        <v>3056</v>
      </c>
      <c r="N1159" s="3"/>
      <c r="O1159" s="3"/>
    </row>
    <row r="1160" spans="1:15" s="4" customFormat="1">
      <c r="A1160" s="2">
        <v>1159</v>
      </c>
      <c r="B1160" s="3" t="s">
        <v>2577</v>
      </c>
      <c r="C1160" s="3" t="s">
        <v>2578</v>
      </c>
      <c r="D1160" s="2" t="s">
        <v>20</v>
      </c>
      <c r="E1160" s="2" t="s">
        <v>8</v>
      </c>
      <c r="F1160" s="16"/>
      <c r="G1160" s="16"/>
      <c r="H1160" s="16">
        <f>VLOOKUP(B:B,'[1]Master Sheet'!$B:$H,7,0)</f>
        <v>15000</v>
      </c>
      <c r="I1160" s="16">
        <f>VLOOKUP(B:B,'[1]Master Sheet'!$B:$I,8,0)</f>
        <v>22000</v>
      </c>
      <c r="J1160" s="16"/>
      <c r="K1160" s="3" t="s">
        <v>3000</v>
      </c>
      <c r="L1160" s="3" t="s">
        <v>3059</v>
      </c>
      <c r="M1160" s="3" t="s">
        <v>3056</v>
      </c>
      <c r="N1160" s="3"/>
      <c r="O1160" s="3"/>
    </row>
    <row r="1161" spans="1:15" s="4" customFormat="1">
      <c r="A1161" s="2">
        <v>1160</v>
      </c>
      <c r="B1161" s="3" t="s">
        <v>2579</v>
      </c>
      <c r="C1161" s="3" t="s">
        <v>2580</v>
      </c>
      <c r="D1161" s="2" t="s">
        <v>20</v>
      </c>
      <c r="E1161" s="2" t="s">
        <v>8</v>
      </c>
      <c r="F1161" s="16"/>
      <c r="G1161" s="16"/>
      <c r="H1161" s="16">
        <f>VLOOKUP(B:B,'[1]Master Sheet'!$B:$H,7,0)</f>
        <v>8000</v>
      </c>
      <c r="I1161" s="16">
        <f>VLOOKUP(B:B,'[1]Master Sheet'!$B:$I,8,0)</f>
        <v>10000</v>
      </c>
      <c r="J1161" s="16"/>
      <c r="K1161" s="3" t="s">
        <v>3000</v>
      </c>
      <c r="L1161" s="3" t="s">
        <v>3059</v>
      </c>
      <c r="M1161" s="3" t="s">
        <v>3056</v>
      </c>
      <c r="N1161" s="3"/>
      <c r="O1161" s="3"/>
    </row>
    <row r="1162" spans="1:15" s="4" customFormat="1">
      <c r="A1162" s="2">
        <v>1161</v>
      </c>
      <c r="B1162" s="3" t="s">
        <v>2581</v>
      </c>
      <c r="C1162" s="3" t="s">
        <v>2582</v>
      </c>
      <c r="D1162" s="2" t="s">
        <v>20</v>
      </c>
      <c r="E1162" s="2" t="s">
        <v>8</v>
      </c>
      <c r="F1162" s="16"/>
      <c r="G1162" s="16"/>
      <c r="H1162" s="16">
        <f>VLOOKUP(B:B,'[1]Master Sheet'!$B:$H,7,0)</f>
        <v>7500</v>
      </c>
      <c r="I1162" s="16">
        <f>VLOOKUP(B:B,'[1]Master Sheet'!$B:$I,8,0)</f>
        <v>6000</v>
      </c>
      <c r="J1162" s="16"/>
      <c r="K1162" s="3" t="s">
        <v>3000</v>
      </c>
      <c r="L1162" s="3" t="s">
        <v>3059</v>
      </c>
      <c r="M1162" s="3" t="s">
        <v>3056</v>
      </c>
      <c r="N1162" s="3"/>
      <c r="O1162" s="3"/>
    </row>
    <row r="1163" spans="1:15" s="4" customFormat="1">
      <c r="A1163" s="2">
        <v>1162</v>
      </c>
      <c r="B1163" s="3" t="s">
        <v>2484</v>
      </c>
      <c r="C1163" s="3" t="s">
        <v>2485</v>
      </c>
      <c r="D1163" s="2" t="s">
        <v>17</v>
      </c>
      <c r="E1163" s="2" t="s">
        <v>8</v>
      </c>
      <c r="F1163" s="16"/>
      <c r="G1163" s="16"/>
      <c r="H1163" s="16">
        <f>VLOOKUP(B:B,'[1]Master Sheet'!$B:$H,7,0)</f>
        <v>0</v>
      </c>
      <c r="I1163" s="16">
        <f>VLOOKUP(B:B,'[1]Master Sheet'!$B:$I,8,0)</f>
        <v>0</v>
      </c>
      <c r="J1163" s="16"/>
      <c r="K1163" s="3" t="s">
        <v>2972</v>
      </c>
      <c r="L1163" s="3" t="s">
        <v>3057</v>
      </c>
      <c r="M1163" s="3" t="s">
        <v>3056</v>
      </c>
      <c r="N1163" s="3"/>
      <c r="O1163" s="3"/>
    </row>
    <row r="1164" spans="1:15" s="4" customFormat="1">
      <c r="A1164" s="2">
        <v>1163</v>
      </c>
      <c r="B1164" s="3" t="s">
        <v>2587</v>
      </c>
      <c r="C1164" s="3" t="s">
        <v>2588</v>
      </c>
      <c r="D1164" s="2" t="s">
        <v>17</v>
      </c>
      <c r="E1164" s="2" t="s">
        <v>8</v>
      </c>
      <c r="F1164" s="16"/>
      <c r="G1164" s="16"/>
      <c r="H1164" s="16">
        <f>VLOOKUP(B:B,'[1]Master Sheet'!$B:$H,7,0)</f>
        <v>0</v>
      </c>
      <c r="I1164" s="16">
        <f>VLOOKUP(B:B,'[1]Master Sheet'!$B:$I,8,0)</f>
        <v>0</v>
      </c>
      <c r="J1164" s="16"/>
      <c r="K1164" s="3" t="s">
        <v>2982</v>
      </c>
      <c r="L1164" s="3" t="s">
        <v>3060</v>
      </c>
      <c r="M1164" s="3" t="s">
        <v>3058</v>
      </c>
      <c r="N1164" s="3"/>
      <c r="O1164" s="3"/>
    </row>
    <row r="1165" spans="1:15" s="4" customFormat="1">
      <c r="A1165" s="2">
        <v>1164</v>
      </c>
      <c r="B1165" s="3" t="s">
        <v>2589</v>
      </c>
      <c r="C1165" s="3" t="s">
        <v>2590</v>
      </c>
      <c r="D1165" s="2" t="s">
        <v>17</v>
      </c>
      <c r="E1165" s="2" t="s">
        <v>8</v>
      </c>
      <c r="F1165" s="16"/>
      <c r="G1165" s="16"/>
      <c r="H1165" s="16">
        <f>VLOOKUP(B:B,'[1]Master Sheet'!$B:$H,7,0)</f>
        <v>0</v>
      </c>
      <c r="I1165" s="16">
        <f>VLOOKUP(B:B,'[1]Master Sheet'!$B:$I,8,0)</f>
        <v>0</v>
      </c>
      <c r="J1165" s="16"/>
      <c r="K1165" s="3" t="s">
        <v>2982</v>
      </c>
      <c r="L1165" s="3" t="s">
        <v>3060</v>
      </c>
      <c r="M1165" s="3" t="s">
        <v>3058</v>
      </c>
      <c r="N1165" s="3"/>
      <c r="O1165" s="3"/>
    </row>
    <row r="1166" spans="1:15" s="4" customFormat="1">
      <c r="A1166" s="2">
        <v>1165</v>
      </c>
      <c r="B1166" s="3" t="s">
        <v>2492</v>
      </c>
      <c r="C1166" s="3" t="s">
        <v>2493</v>
      </c>
      <c r="D1166" s="2" t="s">
        <v>17</v>
      </c>
      <c r="E1166" s="2" t="s">
        <v>8</v>
      </c>
      <c r="F1166" s="16"/>
      <c r="G1166" s="16"/>
      <c r="H1166" s="16">
        <f>VLOOKUP(B:B,'[1]Master Sheet'!$B:$H,7,0)</f>
        <v>0</v>
      </c>
      <c r="I1166" s="16">
        <f>VLOOKUP(B:B,'[1]Master Sheet'!$B:$I,8,0)</f>
        <v>0</v>
      </c>
      <c r="J1166" s="16"/>
      <c r="K1166" s="3" t="s">
        <v>2972</v>
      </c>
      <c r="L1166" s="3" t="s">
        <v>3057</v>
      </c>
      <c r="M1166" s="3" t="s">
        <v>3056</v>
      </c>
      <c r="N1166" s="3"/>
      <c r="O1166" s="3"/>
    </row>
    <row r="1167" spans="1:15" s="4" customFormat="1">
      <c r="A1167" s="2">
        <v>1166</v>
      </c>
      <c r="B1167" s="3" t="s">
        <v>2593</v>
      </c>
      <c r="C1167" s="3" t="s">
        <v>2594</v>
      </c>
      <c r="D1167" s="2" t="s">
        <v>17</v>
      </c>
      <c r="E1167" s="2" t="s">
        <v>8</v>
      </c>
      <c r="F1167" s="16"/>
      <c r="G1167" s="16"/>
      <c r="H1167" s="16">
        <f>VLOOKUP(B:B,'[1]Master Sheet'!$B:$H,7,0)</f>
        <v>0</v>
      </c>
      <c r="I1167" s="16">
        <f>VLOOKUP(B:B,'[1]Master Sheet'!$B:$I,8,0)</f>
        <v>0</v>
      </c>
      <c r="J1167" s="16"/>
      <c r="K1167" s="3" t="s">
        <v>3006</v>
      </c>
      <c r="L1167" s="3" t="s">
        <v>3060</v>
      </c>
      <c r="M1167" s="3" t="s">
        <v>3058</v>
      </c>
      <c r="N1167" s="3"/>
      <c r="O1167" s="3"/>
    </row>
    <row r="1168" spans="1:15" s="4" customFormat="1">
      <c r="A1168" s="2">
        <v>1167</v>
      </c>
      <c r="B1168" s="3" t="s">
        <v>2595</v>
      </c>
      <c r="C1168" s="3" t="s">
        <v>2596</v>
      </c>
      <c r="D1168" s="2" t="s">
        <v>17</v>
      </c>
      <c r="E1168" s="2" t="s">
        <v>8</v>
      </c>
      <c r="F1168" s="16"/>
      <c r="G1168" s="16"/>
      <c r="H1168" s="16">
        <f>VLOOKUP(B:B,'[1]Master Sheet'!$B:$H,7,0)</f>
        <v>0</v>
      </c>
      <c r="I1168" s="16">
        <f>VLOOKUP(B:B,'[1]Master Sheet'!$B:$I,8,0)</f>
        <v>0</v>
      </c>
      <c r="J1168" s="16"/>
      <c r="K1168" s="3" t="s">
        <v>3006</v>
      </c>
      <c r="L1168" s="3" t="s">
        <v>3060</v>
      </c>
      <c r="M1168" s="3" t="s">
        <v>3058</v>
      </c>
      <c r="N1168" s="3"/>
      <c r="O1168" s="3"/>
    </row>
    <row r="1169" spans="1:15" s="4" customFormat="1">
      <c r="A1169" s="2">
        <v>1168</v>
      </c>
      <c r="B1169" s="3" t="s">
        <v>2597</v>
      </c>
      <c r="C1169" s="3" t="s">
        <v>2598</v>
      </c>
      <c r="D1169" s="2" t="s">
        <v>17</v>
      </c>
      <c r="E1169" s="2" t="s">
        <v>8</v>
      </c>
      <c r="F1169" s="16"/>
      <c r="G1169" s="16"/>
      <c r="H1169" s="16">
        <f>VLOOKUP(B:B,'[1]Master Sheet'!$B:$H,7,0)</f>
        <v>0</v>
      </c>
      <c r="I1169" s="16">
        <f>VLOOKUP(B:B,'[1]Master Sheet'!$B:$I,8,0)</f>
        <v>0</v>
      </c>
      <c r="J1169" s="16"/>
      <c r="K1169" s="3" t="s">
        <v>3006</v>
      </c>
      <c r="L1169" s="3" t="s">
        <v>3060</v>
      </c>
      <c r="M1169" s="3" t="s">
        <v>3058</v>
      </c>
      <c r="N1169" s="3"/>
      <c r="O1169" s="3"/>
    </row>
    <row r="1170" spans="1:15" s="4" customFormat="1">
      <c r="A1170" s="2">
        <v>1169</v>
      </c>
      <c r="B1170" s="3" t="s">
        <v>2599</v>
      </c>
      <c r="C1170" s="3" t="s">
        <v>2600</v>
      </c>
      <c r="D1170" s="2" t="s">
        <v>17</v>
      </c>
      <c r="E1170" s="2" t="s">
        <v>8</v>
      </c>
      <c r="F1170" s="16"/>
      <c r="G1170" s="16"/>
      <c r="H1170" s="16">
        <f>VLOOKUP(B:B,'[1]Master Sheet'!$B:$H,7,0)</f>
        <v>0</v>
      </c>
      <c r="I1170" s="16">
        <f>VLOOKUP(B:B,'[1]Master Sheet'!$B:$I,8,0)</f>
        <v>0</v>
      </c>
      <c r="J1170" s="16"/>
      <c r="K1170" s="3" t="s">
        <v>3006</v>
      </c>
      <c r="L1170" s="3" t="s">
        <v>3060</v>
      </c>
      <c r="M1170" s="3" t="s">
        <v>3058</v>
      </c>
      <c r="N1170" s="3"/>
      <c r="O1170" s="3"/>
    </row>
    <row r="1171" spans="1:15" s="4" customFormat="1">
      <c r="A1171" s="2">
        <v>1170</v>
      </c>
      <c r="B1171" s="3" t="s">
        <v>2601</v>
      </c>
      <c r="C1171" s="3" t="s">
        <v>2602</v>
      </c>
      <c r="D1171" s="2" t="s">
        <v>17</v>
      </c>
      <c r="E1171" s="2" t="s">
        <v>8</v>
      </c>
      <c r="F1171" s="16"/>
      <c r="G1171" s="16"/>
      <c r="H1171" s="16">
        <f>VLOOKUP(B:B,'[1]Master Sheet'!$B:$H,7,0)</f>
        <v>0</v>
      </c>
      <c r="I1171" s="16">
        <f>VLOOKUP(B:B,'[1]Master Sheet'!$B:$I,8,0)</f>
        <v>0</v>
      </c>
      <c r="J1171" s="16"/>
      <c r="K1171" s="3" t="s">
        <v>3006</v>
      </c>
      <c r="L1171" s="3" t="s">
        <v>3060</v>
      </c>
      <c r="M1171" s="3" t="s">
        <v>3058</v>
      </c>
      <c r="N1171" s="3"/>
      <c r="O1171" s="3"/>
    </row>
    <row r="1172" spans="1:15" s="4" customFormat="1">
      <c r="A1172" s="2">
        <v>1171</v>
      </c>
      <c r="B1172" s="3" t="s">
        <v>2603</v>
      </c>
      <c r="C1172" s="3" t="s">
        <v>2604</v>
      </c>
      <c r="D1172" s="2" t="s">
        <v>17</v>
      </c>
      <c r="E1172" s="2" t="s">
        <v>8</v>
      </c>
      <c r="F1172" s="16"/>
      <c r="G1172" s="16"/>
      <c r="H1172" s="16">
        <f>VLOOKUP(B:B,'[1]Master Sheet'!$B:$H,7,0)</f>
        <v>0</v>
      </c>
      <c r="I1172" s="16">
        <f>VLOOKUP(B:B,'[1]Master Sheet'!$B:$I,8,0)</f>
        <v>0</v>
      </c>
      <c r="J1172" s="16"/>
      <c r="K1172" s="3" t="s">
        <v>3006</v>
      </c>
      <c r="L1172" s="3" t="s">
        <v>3060</v>
      </c>
      <c r="M1172" s="3" t="s">
        <v>3058</v>
      </c>
      <c r="N1172" s="3"/>
      <c r="O1172" s="3"/>
    </row>
    <row r="1173" spans="1:15" s="4" customFormat="1">
      <c r="A1173" s="2">
        <v>1172</v>
      </c>
      <c r="B1173" s="3" t="s">
        <v>2605</v>
      </c>
      <c r="C1173" s="3" t="s">
        <v>2606</v>
      </c>
      <c r="D1173" s="2" t="s">
        <v>17</v>
      </c>
      <c r="E1173" s="2" t="s">
        <v>8</v>
      </c>
      <c r="F1173" s="16"/>
      <c r="G1173" s="16"/>
      <c r="H1173" s="16">
        <f>VLOOKUP(B:B,'[1]Master Sheet'!$B:$H,7,0)</f>
        <v>0</v>
      </c>
      <c r="I1173" s="16">
        <f>VLOOKUP(B:B,'[1]Master Sheet'!$B:$I,8,0)</f>
        <v>0</v>
      </c>
      <c r="J1173" s="16"/>
      <c r="K1173" s="3" t="s">
        <v>3006</v>
      </c>
      <c r="L1173" s="3" t="s">
        <v>3060</v>
      </c>
      <c r="M1173" s="3" t="s">
        <v>3058</v>
      </c>
      <c r="N1173" s="3"/>
      <c r="O1173" s="3"/>
    </row>
    <row r="1174" spans="1:15" s="4" customFormat="1">
      <c r="A1174" s="2">
        <v>1173</v>
      </c>
      <c r="B1174" s="3" t="s">
        <v>2607</v>
      </c>
      <c r="C1174" s="3" t="s">
        <v>2608</v>
      </c>
      <c r="D1174" s="2" t="s">
        <v>17</v>
      </c>
      <c r="E1174" s="2" t="s">
        <v>8</v>
      </c>
      <c r="F1174" s="16"/>
      <c r="G1174" s="16"/>
      <c r="H1174" s="16">
        <f>VLOOKUP(B:B,'[1]Master Sheet'!$B:$H,7,0)</f>
        <v>0</v>
      </c>
      <c r="I1174" s="16">
        <f>VLOOKUP(B:B,'[1]Master Sheet'!$B:$I,8,0)</f>
        <v>0</v>
      </c>
      <c r="J1174" s="16"/>
      <c r="K1174" s="3" t="s">
        <v>3006</v>
      </c>
      <c r="L1174" s="3" t="s">
        <v>3060</v>
      </c>
      <c r="M1174" s="3" t="s">
        <v>3058</v>
      </c>
      <c r="N1174" s="3"/>
      <c r="O1174" s="3"/>
    </row>
    <row r="1175" spans="1:15" s="4" customFormat="1">
      <c r="A1175" s="2">
        <v>1174</v>
      </c>
      <c r="B1175" s="3" t="s">
        <v>2609</v>
      </c>
      <c r="C1175" s="3" t="s">
        <v>2610</v>
      </c>
      <c r="D1175" s="2" t="s">
        <v>17</v>
      </c>
      <c r="E1175" s="2" t="s">
        <v>8</v>
      </c>
      <c r="F1175" s="16"/>
      <c r="G1175" s="16"/>
      <c r="H1175" s="16">
        <f>VLOOKUP(B:B,'[1]Master Sheet'!$B:$H,7,0)</f>
        <v>0</v>
      </c>
      <c r="I1175" s="16">
        <f>VLOOKUP(B:B,'[1]Master Sheet'!$B:$I,8,0)</f>
        <v>0</v>
      </c>
      <c r="J1175" s="16"/>
      <c r="K1175" s="3" t="s">
        <v>3006</v>
      </c>
      <c r="L1175" s="3" t="s">
        <v>3060</v>
      </c>
      <c r="M1175" s="3" t="s">
        <v>3058</v>
      </c>
      <c r="N1175" s="3"/>
      <c r="O1175" s="3"/>
    </row>
    <row r="1176" spans="1:15" s="4" customFormat="1">
      <c r="A1176" s="2">
        <v>1175</v>
      </c>
      <c r="B1176" s="3" t="s">
        <v>2611</v>
      </c>
      <c r="C1176" s="3" t="s">
        <v>2612</v>
      </c>
      <c r="D1176" s="2" t="s">
        <v>17</v>
      </c>
      <c r="E1176" s="2" t="s">
        <v>8</v>
      </c>
      <c r="F1176" s="16"/>
      <c r="G1176" s="16"/>
      <c r="H1176" s="16">
        <f>VLOOKUP(B:B,'[1]Master Sheet'!$B:$H,7,0)</f>
        <v>0</v>
      </c>
      <c r="I1176" s="16">
        <f>VLOOKUP(B:B,'[1]Master Sheet'!$B:$I,8,0)</f>
        <v>0</v>
      </c>
      <c r="J1176" s="16"/>
      <c r="K1176" s="3" t="s">
        <v>3006</v>
      </c>
      <c r="L1176" s="3" t="s">
        <v>3060</v>
      </c>
      <c r="M1176" s="3" t="s">
        <v>3058</v>
      </c>
      <c r="N1176" s="3"/>
      <c r="O1176" s="3"/>
    </row>
    <row r="1177" spans="1:15" s="4" customFormat="1">
      <c r="A1177" s="2">
        <v>1176</v>
      </c>
      <c r="B1177" s="3" t="s">
        <v>2613</v>
      </c>
      <c r="C1177" s="3" t="s">
        <v>2614</v>
      </c>
      <c r="D1177" s="2" t="s">
        <v>17</v>
      </c>
      <c r="E1177" s="2" t="s">
        <v>8</v>
      </c>
      <c r="F1177" s="16"/>
      <c r="G1177" s="16"/>
      <c r="H1177" s="16">
        <f>VLOOKUP(B:B,'[1]Master Sheet'!$B:$H,7,0)</f>
        <v>0</v>
      </c>
      <c r="I1177" s="16">
        <f>VLOOKUP(B:B,'[1]Master Sheet'!$B:$I,8,0)</f>
        <v>0</v>
      </c>
      <c r="J1177" s="16"/>
      <c r="K1177" s="3" t="s">
        <v>3006</v>
      </c>
      <c r="L1177" s="3" t="s">
        <v>3060</v>
      </c>
      <c r="M1177" s="3" t="s">
        <v>3058</v>
      </c>
      <c r="N1177" s="3"/>
      <c r="O1177" s="3"/>
    </row>
    <row r="1178" spans="1:15" s="4" customFormat="1">
      <c r="A1178" s="2">
        <v>1177</v>
      </c>
      <c r="B1178" s="3" t="s">
        <v>2615</v>
      </c>
      <c r="C1178" s="3" t="s">
        <v>2616</v>
      </c>
      <c r="D1178" s="2" t="s">
        <v>17</v>
      </c>
      <c r="E1178" s="2" t="s">
        <v>8</v>
      </c>
      <c r="F1178" s="16"/>
      <c r="G1178" s="16"/>
      <c r="H1178" s="16">
        <f>VLOOKUP(B:B,'[1]Master Sheet'!$B:$H,7,0)</f>
        <v>0</v>
      </c>
      <c r="I1178" s="16">
        <f>VLOOKUP(B:B,'[1]Master Sheet'!$B:$I,8,0)</f>
        <v>0</v>
      </c>
      <c r="J1178" s="16"/>
      <c r="K1178" s="3" t="s">
        <v>3006</v>
      </c>
      <c r="L1178" s="3" t="s">
        <v>3060</v>
      </c>
      <c r="M1178" s="3" t="s">
        <v>3058</v>
      </c>
      <c r="N1178" s="3"/>
      <c r="O1178" s="3"/>
    </row>
    <row r="1179" spans="1:15" s="4" customFormat="1">
      <c r="A1179" s="2">
        <v>1178</v>
      </c>
      <c r="B1179" s="3" t="s">
        <v>2617</v>
      </c>
      <c r="C1179" s="3" t="s">
        <v>2618</v>
      </c>
      <c r="D1179" s="2" t="s">
        <v>17</v>
      </c>
      <c r="E1179" s="2" t="s">
        <v>8</v>
      </c>
      <c r="F1179" s="16"/>
      <c r="G1179" s="16"/>
      <c r="H1179" s="16">
        <f>VLOOKUP(B:B,'[1]Master Sheet'!$B:$H,7,0)</f>
        <v>0</v>
      </c>
      <c r="I1179" s="16">
        <f>VLOOKUP(B:B,'[1]Master Sheet'!$B:$I,8,0)</f>
        <v>0</v>
      </c>
      <c r="J1179" s="16"/>
      <c r="K1179" s="3" t="s">
        <v>3002</v>
      </c>
      <c r="L1179" s="3" t="s">
        <v>3055</v>
      </c>
      <c r="M1179" s="3" t="s">
        <v>3056</v>
      </c>
      <c r="N1179" s="3"/>
      <c r="O1179" s="3"/>
    </row>
    <row r="1180" spans="1:15" s="4" customFormat="1">
      <c r="A1180" s="2">
        <v>1179</v>
      </c>
      <c r="B1180" s="3" t="s">
        <v>2619</v>
      </c>
      <c r="C1180" s="3" t="s">
        <v>2620</v>
      </c>
      <c r="D1180" s="2" t="s">
        <v>20</v>
      </c>
      <c r="E1180" s="2" t="s">
        <v>8</v>
      </c>
      <c r="F1180" s="16"/>
      <c r="G1180" s="16"/>
      <c r="H1180" s="16">
        <f>VLOOKUP(B:B,'[1]Master Sheet'!$B:$H,7,0)</f>
        <v>900</v>
      </c>
      <c r="I1180" s="16">
        <f>VLOOKUP(B:B,'[1]Master Sheet'!$B:$I,8,0)</f>
        <v>0</v>
      </c>
      <c r="J1180" s="16"/>
      <c r="K1180" s="3" t="s">
        <v>2965</v>
      </c>
      <c r="L1180" s="3" t="s">
        <v>3060</v>
      </c>
      <c r="M1180" s="3" t="s">
        <v>3058</v>
      </c>
      <c r="N1180" s="3"/>
      <c r="O1180" s="3"/>
    </row>
    <row r="1181" spans="1:15" s="4" customFormat="1">
      <c r="A1181" s="2">
        <v>1180</v>
      </c>
      <c r="B1181" s="3" t="s">
        <v>2510</v>
      </c>
      <c r="C1181" s="3" t="s">
        <v>2511</v>
      </c>
      <c r="D1181" s="2" t="s">
        <v>20</v>
      </c>
      <c r="E1181" s="2" t="s">
        <v>8</v>
      </c>
      <c r="F1181" s="16"/>
      <c r="G1181" s="16"/>
      <c r="H1181" s="16">
        <f>VLOOKUP(B:B,'[1]Master Sheet'!$B:$H,7,0)</f>
        <v>0</v>
      </c>
      <c r="I1181" s="16">
        <f>VLOOKUP(B:B,'[1]Master Sheet'!$B:$I,8,0)</f>
        <v>0</v>
      </c>
      <c r="J1181" s="16"/>
      <c r="K1181" s="3" t="s">
        <v>2991</v>
      </c>
      <c r="L1181" s="3" t="s">
        <v>3057</v>
      </c>
      <c r="M1181" s="3" t="s">
        <v>3056</v>
      </c>
      <c r="N1181" s="3"/>
      <c r="O1181" s="3"/>
    </row>
    <row r="1182" spans="1:15" s="4" customFormat="1">
      <c r="A1182" s="2">
        <v>1181</v>
      </c>
      <c r="B1182" s="3" t="s">
        <v>2623</v>
      </c>
      <c r="C1182" s="3" t="s">
        <v>2624</v>
      </c>
      <c r="D1182" s="2" t="s">
        <v>17</v>
      </c>
      <c r="E1182" s="2" t="s">
        <v>8</v>
      </c>
      <c r="F1182" s="16"/>
      <c r="G1182" s="16"/>
      <c r="H1182" s="16">
        <f>VLOOKUP(B:B,'[1]Master Sheet'!$B:$H,7,0)</f>
        <v>0</v>
      </c>
      <c r="I1182" s="16">
        <f>VLOOKUP(B:B,'[1]Master Sheet'!$B:$I,8,0)</f>
        <v>0</v>
      </c>
      <c r="J1182" s="16"/>
      <c r="K1182" s="3" t="s">
        <v>2972</v>
      </c>
      <c r="L1182" s="3" t="s">
        <v>3055</v>
      </c>
      <c r="M1182" s="3" t="s">
        <v>3056</v>
      </c>
      <c r="N1182" s="3"/>
      <c r="O1182" s="3"/>
    </row>
    <row r="1183" spans="1:15" s="4" customFormat="1">
      <c r="A1183" s="2">
        <v>1182</v>
      </c>
      <c r="B1183" s="3" t="s">
        <v>2625</v>
      </c>
      <c r="C1183" s="3" t="s">
        <v>2626</v>
      </c>
      <c r="D1183" s="2" t="s">
        <v>17</v>
      </c>
      <c r="E1183" s="2" t="s">
        <v>8</v>
      </c>
      <c r="F1183" s="16"/>
      <c r="G1183" s="16"/>
      <c r="H1183" s="16">
        <f>VLOOKUP(B:B,'[1]Master Sheet'!$B:$H,7,0)</f>
        <v>500</v>
      </c>
      <c r="I1183" s="16">
        <f>VLOOKUP(B:B,'[1]Master Sheet'!$B:$I,8,0)</f>
        <v>0</v>
      </c>
      <c r="J1183" s="16"/>
      <c r="K1183" s="3" t="s">
        <v>3052</v>
      </c>
      <c r="L1183" s="3" t="s">
        <v>3062</v>
      </c>
      <c r="M1183" s="3" t="s">
        <v>3056</v>
      </c>
      <c r="N1183" s="3"/>
      <c r="O1183" s="3"/>
    </row>
    <row r="1184" spans="1:15" s="4" customFormat="1">
      <c r="A1184" s="2">
        <v>1183</v>
      </c>
      <c r="B1184" s="3" t="s">
        <v>2512</v>
      </c>
      <c r="C1184" s="3" t="s">
        <v>2513</v>
      </c>
      <c r="D1184" s="2" t="s">
        <v>17</v>
      </c>
      <c r="E1184" s="2" t="s">
        <v>8</v>
      </c>
      <c r="F1184" s="16"/>
      <c r="G1184" s="16"/>
      <c r="H1184" s="16">
        <f>VLOOKUP(B:B,'[1]Master Sheet'!$B:$H,7,0)</f>
        <v>2000</v>
      </c>
      <c r="I1184" s="16">
        <f>VLOOKUP(B:B,'[1]Master Sheet'!$B:$I,8,0)</f>
        <v>0</v>
      </c>
      <c r="J1184" s="16"/>
      <c r="K1184" s="3" t="s">
        <v>2972</v>
      </c>
      <c r="L1184" s="3" t="s">
        <v>3057</v>
      </c>
      <c r="M1184" s="3" t="s">
        <v>3056</v>
      </c>
      <c r="N1184" s="3"/>
      <c r="O1184" s="3"/>
    </row>
    <row r="1185" spans="1:15" s="4" customFormat="1">
      <c r="A1185" s="2">
        <v>1184</v>
      </c>
      <c r="B1185" s="3" t="s">
        <v>2518</v>
      </c>
      <c r="C1185" s="3" t="s">
        <v>2519</v>
      </c>
      <c r="D1185" s="2" t="s">
        <v>17</v>
      </c>
      <c r="E1185" s="2" t="s">
        <v>8</v>
      </c>
      <c r="F1185" s="16"/>
      <c r="G1185" s="16"/>
      <c r="H1185" s="16">
        <f>VLOOKUP(B:B,'[1]Master Sheet'!$B:$H,7,0)</f>
        <v>75</v>
      </c>
      <c r="I1185" s="16">
        <f>VLOOKUP(B:B,'[1]Master Sheet'!$B:$I,8,0)</f>
        <v>0</v>
      </c>
      <c r="J1185" s="16"/>
      <c r="K1185" s="3" t="s">
        <v>2982</v>
      </c>
      <c r="L1185" s="3" t="s">
        <v>3057</v>
      </c>
      <c r="M1185" s="3" t="s">
        <v>3056</v>
      </c>
      <c r="N1185" s="3"/>
      <c r="O1185" s="3"/>
    </row>
    <row r="1186" spans="1:15" s="4" customFormat="1">
      <c r="A1186" s="2">
        <v>1185</v>
      </c>
      <c r="B1186" s="3" t="s">
        <v>2546</v>
      </c>
      <c r="C1186" s="3" t="s">
        <v>2547</v>
      </c>
      <c r="D1186" s="2" t="s">
        <v>17</v>
      </c>
      <c r="E1186" s="2" t="s">
        <v>8</v>
      </c>
      <c r="F1186" s="16"/>
      <c r="G1186" s="16"/>
      <c r="H1186" s="16">
        <f>VLOOKUP(B:B,'[1]Master Sheet'!$B:$H,7,0)</f>
        <v>0</v>
      </c>
      <c r="I1186" s="16">
        <f>VLOOKUP(B:B,'[1]Master Sheet'!$B:$I,8,0)</f>
        <v>0</v>
      </c>
      <c r="J1186" s="16"/>
      <c r="K1186" s="3" t="s">
        <v>2972</v>
      </c>
      <c r="L1186" s="3" t="s">
        <v>3057</v>
      </c>
      <c r="M1186" s="3" t="s">
        <v>3056</v>
      </c>
      <c r="N1186" s="3"/>
      <c r="O1186" s="3"/>
    </row>
    <row r="1187" spans="1:15" s="4" customFormat="1">
      <c r="A1187" s="2">
        <v>1186</v>
      </c>
      <c r="B1187" s="3" t="s">
        <v>2550</v>
      </c>
      <c r="C1187" s="3" t="s">
        <v>2551</v>
      </c>
      <c r="D1187" s="2" t="s">
        <v>20</v>
      </c>
      <c r="E1187" s="2" t="s">
        <v>8</v>
      </c>
      <c r="F1187" s="16"/>
      <c r="G1187" s="16"/>
      <c r="H1187" s="16">
        <f>VLOOKUP(B:B,'[1]Master Sheet'!$B:$H,7,0)</f>
        <v>0</v>
      </c>
      <c r="I1187" s="16">
        <f>VLOOKUP(B:B,'[1]Master Sheet'!$B:$I,8,0)</f>
        <v>0</v>
      </c>
      <c r="J1187" s="16"/>
      <c r="K1187" s="3" t="s">
        <v>2991</v>
      </c>
      <c r="L1187" s="3" t="s">
        <v>3057</v>
      </c>
      <c r="M1187" s="3" t="s">
        <v>3056</v>
      </c>
      <c r="N1187" s="3"/>
      <c r="O1187" s="3"/>
    </row>
    <row r="1188" spans="1:15" s="4" customFormat="1">
      <c r="A1188" s="2">
        <v>1187</v>
      </c>
      <c r="B1188" s="3" t="s">
        <v>2637</v>
      </c>
      <c r="C1188" s="3" t="s">
        <v>2638</v>
      </c>
      <c r="D1188" s="2" t="s">
        <v>17</v>
      </c>
      <c r="E1188" s="2" t="s">
        <v>8</v>
      </c>
      <c r="F1188" s="16"/>
      <c r="G1188" s="16"/>
      <c r="H1188" s="16">
        <f>VLOOKUP(B:B,'[1]Master Sheet'!$B:$H,7,0)</f>
        <v>0</v>
      </c>
      <c r="I1188" s="16">
        <f>VLOOKUP(B:B,'[1]Master Sheet'!$B:$I,8,0)</f>
        <v>0</v>
      </c>
      <c r="J1188" s="16"/>
      <c r="K1188" s="3" t="s">
        <v>3006</v>
      </c>
      <c r="L1188" s="3" t="s">
        <v>3060</v>
      </c>
      <c r="M1188" s="3" t="s">
        <v>3058</v>
      </c>
      <c r="N1188" s="3"/>
      <c r="O1188" s="3"/>
    </row>
    <row r="1189" spans="1:15" s="4" customFormat="1">
      <c r="A1189" s="2">
        <v>1188</v>
      </c>
      <c r="B1189" s="3" t="s">
        <v>2639</v>
      </c>
      <c r="C1189" s="3" t="s">
        <v>2640</v>
      </c>
      <c r="D1189" s="2" t="s">
        <v>17</v>
      </c>
      <c r="E1189" s="2" t="s">
        <v>8</v>
      </c>
      <c r="F1189" s="16"/>
      <c r="G1189" s="16"/>
      <c r="H1189" s="16">
        <f>VLOOKUP(B:B,'[1]Master Sheet'!$B:$H,7,0)</f>
        <v>0</v>
      </c>
      <c r="I1189" s="16">
        <f>VLOOKUP(B:B,'[1]Master Sheet'!$B:$I,8,0)</f>
        <v>0</v>
      </c>
      <c r="J1189" s="16"/>
      <c r="K1189" s="3" t="s">
        <v>3006</v>
      </c>
      <c r="L1189" s="3" t="s">
        <v>3060</v>
      </c>
      <c r="M1189" s="3" t="s">
        <v>3058</v>
      </c>
      <c r="N1189" s="3"/>
      <c r="O1189" s="3"/>
    </row>
    <row r="1190" spans="1:15" s="4" customFormat="1">
      <c r="A1190" s="2">
        <v>1189</v>
      </c>
      <c r="B1190" s="3" t="s">
        <v>2641</v>
      </c>
      <c r="C1190" s="3" t="s">
        <v>2642</v>
      </c>
      <c r="D1190" s="2" t="s">
        <v>17</v>
      </c>
      <c r="E1190" s="2" t="s">
        <v>8</v>
      </c>
      <c r="F1190" s="16"/>
      <c r="G1190" s="16"/>
      <c r="H1190" s="16">
        <f>VLOOKUP(B:B,'[1]Master Sheet'!$B:$H,7,0)</f>
        <v>0</v>
      </c>
      <c r="I1190" s="16">
        <f>VLOOKUP(B:B,'[1]Master Sheet'!$B:$I,8,0)</f>
        <v>0</v>
      </c>
      <c r="J1190" s="16"/>
      <c r="K1190" s="3" t="s">
        <v>3006</v>
      </c>
      <c r="L1190" s="3" t="s">
        <v>3060</v>
      </c>
      <c r="M1190" s="3" t="s">
        <v>3058</v>
      </c>
      <c r="N1190" s="3"/>
      <c r="O1190" s="3"/>
    </row>
    <row r="1191" spans="1:15" s="4" customFormat="1">
      <c r="A1191" s="2">
        <v>1190</v>
      </c>
      <c r="B1191" s="3" t="s">
        <v>2643</v>
      </c>
      <c r="C1191" s="3" t="s">
        <v>2644</v>
      </c>
      <c r="D1191" s="2" t="s">
        <v>17</v>
      </c>
      <c r="E1191" s="2" t="s">
        <v>8</v>
      </c>
      <c r="F1191" s="16"/>
      <c r="G1191" s="16"/>
      <c r="H1191" s="16">
        <f>VLOOKUP(B:B,'[1]Master Sheet'!$B:$H,7,0)</f>
        <v>0</v>
      </c>
      <c r="I1191" s="16">
        <f>VLOOKUP(B:B,'[1]Master Sheet'!$B:$I,8,0)</f>
        <v>0</v>
      </c>
      <c r="J1191" s="16"/>
      <c r="K1191" s="3" t="s">
        <v>3006</v>
      </c>
      <c r="L1191" s="3" t="s">
        <v>3060</v>
      </c>
      <c r="M1191" s="3" t="s">
        <v>3058</v>
      </c>
      <c r="N1191" s="3"/>
      <c r="O1191" s="3"/>
    </row>
    <row r="1192" spans="1:15" s="4" customFormat="1">
      <c r="A1192" s="2">
        <v>1191</v>
      </c>
      <c r="B1192" s="3" t="s">
        <v>2645</v>
      </c>
      <c r="C1192" s="3" t="s">
        <v>2646</v>
      </c>
      <c r="D1192" s="2" t="s">
        <v>17</v>
      </c>
      <c r="E1192" s="2" t="s">
        <v>8</v>
      </c>
      <c r="F1192" s="16"/>
      <c r="G1192" s="16"/>
      <c r="H1192" s="16">
        <f>VLOOKUP(B:B,'[1]Master Sheet'!$B:$H,7,0)</f>
        <v>0</v>
      </c>
      <c r="I1192" s="16">
        <f>VLOOKUP(B:B,'[1]Master Sheet'!$B:$I,8,0)</f>
        <v>0</v>
      </c>
      <c r="J1192" s="16"/>
      <c r="K1192" s="3" t="s">
        <v>3006</v>
      </c>
      <c r="L1192" s="3" t="s">
        <v>3060</v>
      </c>
      <c r="M1192" s="3" t="s">
        <v>3058</v>
      </c>
      <c r="N1192" s="3"/>
      <c r="O1192" s="3"/>
    </row>
    <row r="1193" spans="1:15" s="4" customFormat="1">
      <c r="A1193" s="2">
        <v>1192</v>
      </c>
      <c r="B1193" s="3" t="s">
        <v>2647</v>
      </c>
      <c r="C1193" s="3" t="s">
        <v>2648</v>
      </c>
      <c r="D1193" s="2" t="s">
        <v>17</v>
      </c>
      <c r="E1193" s="2" t="s">
        <v>8</v>
      </c>
      <c r="F1193" s="16"/>
      <c r="G1193" s="16"/>
      <c r="H1193" s="16">
        <f>VLOOKUP(B:B,'[1]Master Sheet'!$B:$H,7,0)</f>
        <v>0</v>
      </c>
      <c r="I1193" s="16">
        <f>VLOOKUP(B:B,'[1]Master Sheet'!$B:$I,8,0)</f>
        <v>0</v>
      </c>
      <c r="J1193" s="16"/>
      <c r="K1193" s="3" t="s">
        <v>3006</v>
      </c>
      <c r="L1193" s="3" t="s">
        <v>3060</v>
      </c>
      <c r="M1193" s="3" t="s">
        <v>3058</v>
      </c>
      <c r="N1193" s="3"/>
      <c r="O1193" s="3"/>
    </row>
    <row r="1194" spans="1:15" s="4" customFormat="1">
      <c r="A1194" s="2">
        <v>1193</v>
      </c>
      <c r="B1194" s="3" t="s">
        <v>2649</v>
      </c>
      <c r="C1194" s="3" t="s">
        <v>2650</v>
      </c>
      <c r="D1194" s="2" t="s">
        <v>17</v>
      </c>
      <c r="E1194" s="2" t="s">
        <v>8</v>
      </c>
      <c r="F1194" s="16"/>
      <c r="G1194" s="16"/>
      <c r="H1194" s="16">
        <f>VLOOKUP(B:B,'[1]Master Sheet'!$B:$H,7,0)</f>
        <v>0</v>
      </c>
      <c r="I1194" s="16">
        <f>VLOOKUP(B:B,'[1]Master Sheet'!$B:$I,8,0)</f>
        <v>0</v>
      </c>
      <c r="J1194" s="16"/>
      <c r="K1194" s="3" t="s">
        <v>3006</v>
      </c>
      <c r="L1194" s="3" t="s">
        <v>3060</v>
      </c>
      <c r="M1194" s="3" t="s">
        <v>3058</v>
      </c>
      <c r="N1194" s="3"/>
      <c r="O1194" s="3"/>
    </row>
    <row r="1195" spans="1:15" s="4" customFormat="1">
      <c r="A1195" s="2">
        <v>1194</v>
      </c>
      <c r="B1195" s="3" t="s">
        <v>2651</v>
      </c>
      <c r="C1195" s="3" t="s">
        <v>2652</v>
      </c>
      <c r="D1195" s="2" t="s">
        <v>17</v>
      </c>
      <c r="E1195" s="2" t="s">
        <v>8</v>
      </c>
      <c r="F1195" s="16"/>
      <c r="G1195" s="16"/>
      <c r="H1195" s="16">
        <f>VLOOKUP(B:B,'[1]Master Sheet'!$B:$H,7,0)</f>
        <v>0</v>
      </c>
      <c r="I1195" s="16">
        <f>VLOOKUP(B:B,'[1]Master Sheet'!$B:$I,8,0)</f>
        <v>0</v>
      </c>
      <c r="J1195" s="16"/>
      <c r="K1195" s="3" t="s">
        <v>3006</v>
      </c>
      <c r="L1195" s="3" t="s">
        <v>3060</v>
      </c>
      <c r="M1195" s="3" t="s">
        <v>3058</v>
      </c>
      <c r="N1195" s="3"/>
      <c r="O1195" s="3"/>
    </row>
    <row r="1196" spans="1:15" s="4" customFormat="1">
      <c r="A1196" s="2">
        <v>1195</v>
      </c>
      <c r="B1196" s="3" t="s">
        <v>2653</v>
      </c>
      <c r="C1196" s="3" t="s">
        <v>2654</v>
      </c>
      <c r="D1196" s="2" t="s">
        <v>17</v>
      </c>
      <c r="E1196" s="2" t="s">
        <v>8</v>
      </c>
      <c r="F1196" s="16"/>
      <c r="G1196" s="16"/>
      <c r="H1196" s="16">
        <f>VLOOKUP(B:B,'[1]Master Sheet'!$B:$H,7,0)</f>
        <v>0</v>
      </c>
      <c r="I1196" s="16">
        <f>VLOOKUP(B:B,'[1]Master Sheet'!$B:$I,8,0)</f>
        <v>0</v>
      </c>
      <c r="J1196" s="16"/>
      <c r="K1196" s="3" t="s">
        <v>3006</v>
      </c>
      <c r="L1196" s="3" t="s">
        <v>3060</v>
      </c>
      <c r="M1196" s="3" t="s">
        <v>3058</v>
      </c>
      <c r="N1196" s="3"/>
      <c r="O1196" s="3"/>
    </row>
    <row r="1197" spans="1:15" s="4" customFormat="1">
      <c r="A1197" s="2">
        <v>1196</v>
      </c>
      <c r="B1197" s="3" t="s">
        <v>2655</v>
      </c>
      <c r="C1197" s="3" t="s">
        <v>2656</v>
      </c>
      <c r="D1197" s="2" t="s">
        <v>17</v>
      </c>
      <c r="E1197" s="2" t="s">
        <v>8</v>
      </c>
      <c r="F1197" s="16"/>
      <c r="G1197" s="16"/>
      <c r="H1197" s="16">
        <f>VLOOKUP(B:B,'[1]Master Sheet'!$B:$H,7,0)</f>
        <v>0</v>
      </c>
      <c r="I1197" s="16">
        <f>VLOOKUP(B:B,'[1]Master Sheet'!$B:$I,8,0)</f>
        <v>0</v>
      </c>
      <c r="J1197" s="16"/>
      <c r="K1197" s="3" t="s">
        <v>3006</v>
      </c>
      <c r="L1197" s="3" t="s">
        <v>3060</v>
      </c>
      <c r="M1197" s="3" t="s">
        <v>3058</v>
      </c>
      <c r="N1197" s="3"/>
      <c r="O1197" s="3"/>
    </row>
    <row r="1198" spans="1:15" s="4" customFormat="1">
      <c r="A1198" s="2">
        <v>1197</v>
      </c>
      <c r="B1198" s="3" t="s">
        <v>2657</v>
      </c>
      <c r="C1198" s="3" t="s">
        <v>2658</v>
      </c>
      <c r="D1198" s="2" t="s">
        <v>17</v>
      </c>
      <c r="E1198" s="2" t="s">
        <v>8</v>
      </c>
      <c r="F1198" s="16"/>
      <c r="G1198" s="16"/>
      <c r="H1198" s="16">
        <f>VLOOKUP(B:B,'[1]Master Sheet'!$B:$H,7,0)</f>
        <v>0</v>
      </c>
      <c r="I1198" s="16">
        <f>VLOOKUP(B:B,'[1]Master Sheet'!$B:$I,8,0)</f>
        <v>0</v>
      </c>
      <c r="J1198" s="16"/>
      <c r="K1198" s="3" t="s">
        <v>3006</v>
      </c>
      <c r="L1198" s="3" t="s">
        <v>3060</v>
      </c>
      <c r="M1198" s="3" t="s">
        <v>3058</v>
      </c>
      <c r="N1198" s="3"/>
      <c r="O1198" s="3"/>
    </row>
    <row r="1199" spans="1:15" s="4" customFormat="1">
      <c r="A1199" s="2">
        <v>1198</v>
      </c>
      <c r="B1199" s="3" t="s">
        <v>2659</v>
      </c>
      <c r="C1199" s="3" t="s">
        <v>2660</v>
      </c>
      <c r="D1199" s="2" t="s">
        <v>17</v>
      </c>
      <c r="E1199" s="2" t="s">
        <v>8</v>
      </c>
      <c r="F1199" s="16"/>
      <c r="G1199" s="16"/>
      <c r="H1199" s="16">
        <f>VLOOKUP(B:B,'[1]Master Sheet'!$B:$H,7,0)</f>
        <v>0</v>
      </c>
      <c r="I1199" s="16">
        <f>VLOOKUP(B:B,'[1]Master Sheet'!$B:$I,8,0)</f>
        <v>0</v>
      </c>
      <c r="J1199" s="16"/>
      <c r="K1199" s="3" t="s">
        <v>3006</v>
      </c>
      <c r="L1199" s="3" t="s">
        <v>3060</v>
      </c>
      <c r="M1199" s="3" t="s">
        <v>3058</v>
      </c>
      <c r="N1199" s="3"/>
      <c r="O1199" s="3"/>
    </row>
    <row r="1200" spans="1:15" s="4" customFormat="1">
      <c r="A1200" s="2">
        <v>1199</v>
      </c>
      <c r="B1200" s="3" t="s">
        <v>2661</v>
      </c>
      <c r="C1200" s="3" t="s">
        <v>2662</v>
      </c>
      <c r="D1200" s="2" t="s">
        <v>17</v>
      </c>
      <c r="E1200" s="2" t="s">
        <v>8</v>
      </c>
      <c r="F1200" s="16"/>
      <c r="G1200" s="16"/>
      <c r="H1200" s="16">
        <f>VLOOKUP(B:B,'[1]Master Sheet'!$B:$H,7,0)</f>
        <v>0</v>
      </c>
      <c r="I1200" s="16">
        <f>VLOOKUP(B:B,'[1]Master Sheet'!$B:$I,8,0)</f>
        <v>0</v>
      </c>
      <c r="J1200" s="16"/>
      <c r="K1200" s="3" t="s">
        <v>3006</v>
      </c>
      <c r="L1200" s="3" t="s">
        <v>3060</v>
      </c>
      <c r="M1200" s="3" t="s">
        <v>3058</v>
      </c>
      <c r="N1200" s="3"/>
      <c r="O1200" s="3"/>
    </row>
    <row r="1201" spans="1:15" s="4" customFormat="1">
      <c r="A1201" s="2">
        <v>1200</v>
      </c>
      <c r="B1201" s="3" t="s">
        <v>2663</v>
      </c>
      <c r="C1201" s="3" t="s">
        <v>2664</v>
      </c>
      <c r="D1201" s="2" t="s">
        <v>17</v>
      </c>
      <c r="E1201" s="2" t="s">
        <v>8</v>
      </c>
      <c r="F1201" s="16"/>
      <c r="G1201" s="16"/>
      <c r="H1201" s="16">
        <f>VLOOKUP(B:B,'[1]Master Sheet'!$B:$H,7,0)</f>
        <v>0</v>
      </c>
      <c r="I1201" s="16">
        <f>VLOOKUP(B:B,'[1]Master Sheet'!$B:$I,8,0)</f>
        <v>0</v>
      </c>
      <c r="J1201" s="16"/>
      <c r="K1201" s="3" t="s">
        <v>3006</v>
      </c>
      <c r="L1201" s="3" t="s">
        <v>3060</v>
      </c>
      <c r="M1201" s="3" t="s">
        <v>3058</v>
      </c>
      <c r="N1201" s="3"/>
      <c r="O1201" s="3"/>
    </row>
    <row r="1202" spans="1:15" s="4" customFormat="1">
      <c r="A1202" s="2">
        <v>1201</v>
      </c>
      <c r="B1202" s="3" t="s">
        <v>2665</v>
      </c>
      <c r="C1202" s="3" t="s">
        <v>2666</v>
      </c>
      <c r="D1202" s="2" t="s">
        <v>17</v>
      </c>
      <c r="E1202" s="2" t="s">
        <v>8</v>
      </c>
      <c r="F1202" s="16"/>
      <c r="G1202" s="16"/>
      <c r="H1202" s="16">
        <f>VLOOKUP(B:B,'[1]Master Sheet'!$B:$H,7,0)</f>
        <v>0</v>
      </c>
      <c r="I1202" s="16">
        <f>VLOOKUP(B:B,'[1]Master Sheet'!$B:$I,8,0)</f>
        <v>0</v>
      </c>
      <c r="J1202" s="16"/>
      <c r="K1202" s="3" t="s">
        <v>3006</v>
      </c>
      <c r="L1202" s="3" t="s">
        <v>3060</v>
      </c>
      <c r="M1202" s="3" t="s">
        <v>3058</v>
      </c>
      <c r="N1202" s="3"/>
      <c r="O1202" s="3"/>
    </row>
    <row r="1203" spans="1:15" s="4" customFormat="1">
      <c r="A1203" s="2">
        <v>1202</v>
      </c>
      <c r="B1203" s="3" t="s">
        <v>2667</v>
      </c>
      <c r="C1203" s="3" t="s">
        <v>2668</v>
      </c>
      <c r="D1203" s="2" t="s">
        <v>17</v>
      </c>
      <c r="E1203" s="2" t="s">
        <v>8</v>
      </c>
      <c r="F1203" s="16"/>
      <c r="G1203" s="16"/>
      <c r="H1203" s="16">
        <f>VLOOKUP(B:B,'[1]Master Sheet'!$B:$H,7,0)</f>
        <v>0</v>
      </c>
      <c r="I1203" s="16">
        <f>VLOOKUP(B:B,'[1]Master Sheet'!$B:$I,8,0)</f>
        <v>0</v>
      </c>
      <c r="J1203" s="16"/>
      <c r="K1203" s="3" t="s">
        <v>3006</v>
      </c>
      <c r="L1203" s="3" t="s">
        <v>3060</v>
      </c>
      <c r="M1203" s="3" t="s">
        <v>3058</v>
      </c>
      <c r="N1203" s="3"/>
      <c r="O1203" s="3"/>
    </row>
    <row r="1204" spans="1:15" s="4" customFormat="1">
      <c r="A1204" s="2">
        <v>1203</v>
      </c>
      <c r="B1204" s="3" t="s">
        <v>2669</v>
      </c>
      <c r="C1204" s="3" t="s">
        <v>2670</v>
      </c>
      <c r="D1204" s="2" t="s">
        <v>17</v>
      </c>
      <c r="E1204" s="2" t="s">
        <v>8</v>
      </c>
      <c r="F1204" s="16"/>
      <c r="G1204" s="16"/>
      <c r="H1204" s="16">
        <f>VLOOKUP(B:B,'[1]Master Sheet'!$B:$H,7,0)</f>
        <v>0</v>
      </c>
      <c r="I1204" s="16">
        <f>VLOOKUP(B:B,'[1]Master Sheet'!$B:$I,8,0)</f>
        <v>0</v>
      </c>
      <c r="J1204" s="16"/>
      <c r="K1204" s="3" t="s">
        <v>3006</v>
      </c>
      <c r="L1204" s="3" t="s">
        <v>3060</v>
      </c>
      <c r="M1204" s="3" t="s">
        <v>3058</v>
      </c>
      <c r="N1204" s="3"/>
      <c r="O1204" s="3"/>
    </row>
    <row r="1205" spans="1:15" s="4" customFormat="1">
      <c r="A1205" s="2">
        <v>1204</v>
      </c>
      <c r="B1205" s="3" t="s">
        <v>2671</v>
      </c>
      <c r="C1205" s="3" t="s">
        <v>2672</v>
      </c>
      <c r="D1205" s="2" t="s">
        <v>17</v>
      </c>
      <c r="E1205" s="2" t="s">
        <v>8</v>
      </c>
      <c r="F1205" s="16"/>
      <c r="G1205" s="16"/>
      <c r="H1205" s="16">
        <f>VLOOKUP(B:B,'[1]Master Sheet'!$B:$H,7,0)</f>
        <v>0</v>
      </c>
      <c r="I1205" s="16">
        <f>VLOOKUP(B:B,'[1]Master Sheet'!$B:$I,8,0)</f>
        <v>0</v>
      </c>
      <c r="J1205" s="16"/>
      <c r="K1205" s="3" t="s">
        <v>3006</v>
      </c>
      <c r="L1205" s="3" t="s">
        <v>3060</v>
      </c>
      <c r="M1205" s="3" t="s">
        <v>3058</v>
      </c>
      <c r="N1205" s="3"/>
      <c r="O1205" s="3"/>
    </row>
    <row r="1206" spans="1:15" s="4" customFormat="1">
      <c r="A1206" s="2">
        <v>1205</v>
      </c>
      <c r="B1206" s="3" t="s">
        <v>2673</v>
      </c>
      <c r="C1206" s="3" t="s">
        <v>2674</v>
      </c>
      <c r="D1206" s="2" t="s">
        <v>17</v>
      </c>
      <c r="E1206" s="2" t="s">
        <v>8</v>
      </c>
      <c r="F1206" s="16"/>
      <c r="G1206" s="16"/>
      <c r="H1206" s="16">
        <f>VLOOKUP(B:B,'[1]Master Sheet'!$B:$H,7,0)</f>
        <v>0</v>
      </c>
      <c r="I1206" s="16">
        <f>VLOOKUP(B:B,'[1]Master Sheet'!$B:$I,8,0)</f>
        <v>0</v>
      </c>
      <c r="J1206" s="16"/>
      <c r="K1206" s="3" t="s">
        <v>3006</v>
      </c>
      <c r="L1206" s="3" t="s">
        <v>3060</v>
      </c>
      <c r="M1206" s="3" t="s">
        <v>3058</v>
      </c>
      <c r="N1206" s="3"/>
      <c r="O1206" s="3"/>
    </row>
    <row r="1207" spans="1:15" s="4" customFormat="1">
      <c r="A1207" s="2">
        <v>1206</v>
      </c>
      <c r="B1207" s="3" t="s">
        <v>2675</v>
      </c>
      <c r="C1207" s="3" t="s">
        <v>2676</v>
      </c>
      <c r="D1207" s="2" t="s">
        <v>17</v>
      </c>
      <c r="E1207" s="2" t="s">
        <v>8</v>
      </c>
      <c r="F1207" s="16"/>
      <c r="G1207" s="16"/>
      <c r="H1207" s="16">
        <f>VLOOKUP(B:B,'[1]Master Sheet'!$B:$H,7,0)</f>
        <v>0</v>
      </c>
      <c r="I1207" s="16">
        <f>VLOOKUP(B:B,'[1]Master Sheet'!$B:$I,8,0)</f>
        <v>0</v>
      </c>
      <c r="J1207" s="16"/>
      <c r="K1207" s="3" t="s">
        <v>3006</v>
      </c>
      <c r="L1207" s="3" t="s">
        <v>3060</v>
      </c>
      <c r="M1207" s="3" t="s">
        <v>3058</v>
      </c>
      <c r="N1207" s="3"/>
      <c r="O1207" s="3"/>
    </row>
    <row r="1208" spans="1:15" s="4" customFormat="1">
      <c r="A1208" s="2">
        <v>1207</v>
      </c>
      <c r="B1208" s="3" t="s">
        <v>2677</v>
      </c>
      <c r="C1208" s="3" t="s">
        <v>2678</v>
      </c>
      <c r="D1208" s="2" t="s">
        <v>17</v>
      </c>
      <c r="E1208" s="2" t="s">
        <v>8</v>
      </c>
      <c r="F1208" s="16"/>
      <c r="G1208" s="16"/>
      <c r="H1208" s="16">
        <f>VLOOKUP(B:B,'[1]Master Sheet'!$B:$H,7,0)</f>
        <v>0</v>
      </c>
      <c r="I1208" s="16">
        <f>VLOOKUP(B:B,'[1]Master Sheet'!$B:$I,8,0)</f>
        <v>0</v>
      </c>
      <c r="J1208" s="16"/>
      <c r="K1208" s="3" t="s">
        <v>3006</v>
      </c>
      <c r="L1208" s="3" t="s">
        <v>3060</v>
      </c>
      <c r="M1208" s="3" t="s">
        <v>3058</v>
      </c>
      <c r="N1208" s="3"/>
      <c r="O1208" s="3"/>
    </row>
    <row r="1209" spans="1:15" s="4" customFormat="1">
      <c r="A1209" s="2">
        <v>1208</v>
      </c>
      <c r="B1209" s="3" t="s">
        <v>2679</v>
      </c>
      <c r="C1209" s="3" t="s">
        <v>2680</v>
      </c>
      <c r="D1209" s="2" t="s">
        <v>17</v>
      </c>
      <c r="E1209" s="2" t="s">
        <v>8</v>
      </c>
      <c r="F1209" s="16"/>
      <c r="G1209" s="16"/>
      <c r="H1209" s="16">
        <f>VLOOKUP(B:B,'[1]Master Sheet'!$B:$H,7,0)</f>
        <v>0</v>
      </c>
      <c r="I1209" s="16">
        <f>VLOOKUP(B:B,'[1]Master Sheet'!$B:$I,8,0)</f>
        <v>0</v>
      </c>
      <c r="J1209" s="16"/>
      <c r="K1209" s="3" t="s">
        <v>3006</v>
      </c>
      <c r="L1209" s="3" t="s">
        <v>3060</v>
      </c>
      <c r="M1209" s="3" t="s">
        <v>3058</v>
      </c>
      <c r="N1209" s="3"/>
      <c r="O1209" s="3"/>
    </row>
    <row r="1210" spans="1:15" s="4" customFormat="1">
      <c r="A1210" s="2">
        <v>1209</v>
      </c>
      <c r="B1210" s="3" t="s">
        <v>2681</v>
      </c>
      <c r="C1210" s="3" t="s">
        <v>2682</v>
      </c>
      <c r="D1210" s="2" t="s">
        <v>17</v>
      </c>
      <c r="E1210" s="2" t="s">
        <v>8</v>
      </c>
      <c r="F1210" s="16"/>
      <c r="G1210" s="16"/>
      <c r="H1210" s="16">
        <f>VLOOKUP(B:B,'[1]Master Sheet'!$B:$H,7,0)</f>
        <v>0</v>
      </c>
      <c r="I1210" s="16">
        <f>VLOOKUP(B:B,'[1]Master Sheet'!$B:$I,8,0)</f>
        <v>0</v>
      </c>
      <c r="J1210" s="16"/>
      <c r="K1210" s="3" t="s">
        <v>3006</v>
      </c>
      <c r="L1210" s="3" t="s">
        <v>3060</v>
      </c>
      <c r="M1210" s="3" t="s">
        <v>3058</v>
      </c>
      <c r="N1210" s="3"/>
      <c r="O1210" s="3"/>
    </row>
    <row r="1211" spans="1:15" s="4" customFormat="1">
      <c r="A1211" s="2">
        <v>1210</v>
      </c>
      <c r="B1211" s="3" t="s">
        <v>2683</v>
      </c>
      <c r="C1211" s="3" t="s">
        <v>2684</v>
      </c>
      <c r="D1211" s="2" t="s">
        <v>17</v>
      </c>
      <c r="E1211" s="2" t="s">
        <v>8</v>
      </c>
      <c r="F1211" s="16"/>
      <c r="G1211" s="16"/>
      <c r="H1211" s="16">
        <f>VLOOKUP(B:B,'[1]Master Sheet'!$B:$H,7,0)</f>
        <v>0</v>
      </c>
      <c r="I1211" s="16">
        <f>VLOOKUP(B:B,'[1]Master Sheet'!$B:$I,8,0)</f>
        <v>0</v>
      </c>
      <c r="J1211" s="16"/>
      <c r="K1211" s="3" t="s">
        <v>3006</v>
      </c>
      <c r="L1211" s="3" t="s">
        <v>3060</v>
      </c>
      <c r="M1211" s="3" t="s">
        <v>3058</v>
      </c>
      <c r="N1211" s="3"/>
      <c r="O1211" s="3"/>
    </row>
    <row r="1212" spans="1:15" s="4" customFormat="1">
      <c r="A1212" s="2">
        <v>1211</v>
      </c>
      <c r="B1212" s="3" t="s">
        <v>2685</v>
      </c>
      <c r="C1212" s="3" t="s">
        <v>2686</v>
      </c>
      <c r="D1212" s="2" t="s">
        <v>17</v>
      </c>
      <c r="E1212" s="2" t="s">
        <v>8</v>
      </c>
      <c r="F1212" s="16"/>
      <c r="G1212" s="16"/>
      <c r="H1212" s="16">
        <f>VLOOKUP(B:B,'[1]Master Sheet'!$B:$H,7,0)</f>
        <v>0</v>
      </c>
      <c r="I1212" s="16">
        <f>VLOOKUP(B:B,'[1]Master Sheet'!$B:$I,8,0)</f>
        <v>0</v>
      </c>
      <c r="J1212" s="16"/>
      <c r="K1212" s="3" t="s">
        <v>3006</v>
      </c>
      <c r="L1212" s="3" t="s">
        <v>3060</v>
      </c>
      <c r="M1212" s="3" t="s">
        <v>3058</v>
      </c>
      <c r="N1212" s="3"/>
      <c r="O1212" s="3"/>
    </row>
    <row r="1213" spans="1:15" s="4" customFormat="1">
      <c r="A1213" s="2">
        <v>1212</v>
      </c>
      <c r="B1213" s="3" t="s">
        <v>2687</v>
      </c>
      <c r="C1213" s="3" t="s">
        <v>2688</v>
      </c>
      <c r="D1213" s="2" t="s">
        <v>17</v>
      </c>
      <c r="E1213" s="2" t="s">
        <v>8</v>
      </c>
      <c r="F1213" s="16"/>
      <c r="G1213" s="16"/>
      <c r="H1213" s="16">
        <f>VLOOKUP(B:B,'[1]Master Sheet'!$B:$H,7,0)</f>
        <v>0</v>
      </c>
      <c r="I1213" s="16">
        <f>VLOOKUP(B:B,'[1]Master Sheet'!$B:$I,8,0)</f>
        <v>0</v>
      </c>
      <c r="J1213" s="16"/>
      <c r="K1213" s="3" t="s">
        <v>3006</v>
      </c>
      <c r="L1213" s="3" t="s">
        <v>3060</v>
      </c>
      <c r="M1213" s="3" t="s">
        <v>3058</v>
      </c>
      <c r="N1213" s="3"/>
      <c r="O1213" s="3"/>
    </row>
    <row r="1214" spans="1:15" s="4" customFormat="1">
      <c r="A1214" s="2">
        <v>1213</v>
      </c>
      <c r="B1214" s="3" t="s">
        <v>2689</v>
      </c>
      <c r="C1214" s="3" t="s">
        <v>2690</v>
      </c>
      <c r="D1214" s="2" t="s">
        <v>17</v>
      </c>
      <c r="E1214" s="2" t="s">
        <v>8</v>
      </c>
      <c r="F1214" s="16"/>
      <c r="G1214" s="16"/>
      <c r="H1214" s="16">
        <f>VLOOKUP(B:B,'[1]Master Sheet'!$B:$H,7,0)</f>
        <v>0</v>
      </c>
      <c r="I1214" s="16">
        <f>VLOOKUP(B:B,'[1]Master Sheet'!$B:$I,8,0)</f>
        <v>0</v>
      </c>
      <c r="J1214" s="16"/>
      <c r="K1214" s="3" t="s">
        <v>2972</v>
      </c>
      <c r="L1214" s="3" t="s">
        <v>3055</v>
      </c>
      <c r="M1214" s="3" t="s">
        <v>3056</v>
      </c>
      <c r="N1214" s="3"/>
      <c r="O1214" s="3"/>
    </row>
    <row r="1215" spans="1:15" s="4" customFormat="1">
      <c r="A1215" s="2">
        <v>1214</v>
      </c>
      <c r="B1215" s="3" t="s">
        <v>2691</v>
      </c>
      <c r="C1215" s="3" t="s">
        <v>2692</v>
      </c>
      <c r="D1215" s="2" t="s">
        <v>7</v>
      </c>
      <c r="E1215" s="2" t="s">
        <v>8</v>
      </c>
      <c r="F1215" s="16"/>
      <c r="G1215" s="16"/>
      <c r="H1215" s="16">
        <f>VLOOKUP(B:B,'[1]Master Sheet'!$B:$H,7,0)</f>
        <v>50</v>
      </c>
      <c r="I1215" s="16">
        <f>VLOOKUP(B:B,'[1]Master Sheet'!$B:$I,8,0)</f>
        <v>0</v>
      </c>
      <c r="J1215" s="16"/>
      <c r="K1215" s="3" t="s">
        <v>2965</v>
      </c>
      <c r="L1215" s="3" t="s">
        <v>3055</v>
      </c>
      <c r="M1215" s="3" t="s">
        <v>3056</v>
      </c>
      <c r="N1215" s="3"/>
      <c r="O1215" s="3"/>
    </row>
    <row r="1216" spans="1:15" s="4" customFormat="1">
      <c r="A1216" s="2">
        <v>1215</v>
      </c>
      <c r="B1216" s="3" t="s">
        <v>2693</v>
      </c>
      <c r="C1216" s="3" t="s">
        <v>2694</v>
      </c>
      <c r="D1216" s="2" t="s">
        <v>7</v>
      </c>
      <c r="E1216" s="2" t="s">
        <v>8</v>
      </c>
      <c r="F1216" s="16"/>
      <c r="G1216" s="16"/>
      <c r="H1216" s="16">
        <f>VLOOKUP(B:B,'[1]Master Sheet'!$B:$H,7,0)</f>
        <v>50</v>
      </c>
      <c r="I1216" s="16">
        <f>VLOOKUP(B:B,'[1]Master Sheet'!$B:$I,8,0)</f>
        <v>0</v>
      </c>
      <c r="J1216" s="16"/>
      <c r="K1216" s="3" t="s">
        <v>2965</v>
      </c>
      <c r="L1216" s="3" t="s">
        <v>3055</v>
      </c>
      <c r="M1216" s="3" t="s">
        <v>3056</v>
      </c>
      <c r="N1216" s="3"/>
      <c r="O1216" s="3"/>
    </row>
    <row r="1217" spans="1:15" s="4" customFormat="1">
      <c r="A1217" s="2">
        <v>1216</v>
      </c>
      <c r="B1217" s="3" t="s">
        <v>2695</v>
      </c>
      <c r="C1217" s="3" t="s">
        <v>2696</v>
      </c>
      <c r="D1217" s="2" t="s">
        <v>7</v>
      </c>
      <c r="E1217" s="2" t="s">
        <v>8</v>
      </c>
      <c r="F1217" s="16"/>
      <c r="G1217" s="16"/>
      <c r="H1217" s="16">
        <f>VLOOKUP(B:B,'[1]Master Sheet'!$B:$H,7,0)</f>
        <v>500</v>
      </c>
      <c r="I1217" s="16">
        <f>VLOOKUP(B:B,'[1]Master Sheet'!$B:$I,8,0)</f>
        <v>500</v>
      </c>
      <c r="J1217" s="16"/>
      <c r="K1217" s="3" t="s">
        <v>2965</v>
      </c>
      <c r="L1217" s="3" t="s">
        <v>3055</v>
      </c>
      <c r="M1217" s="3" t="s">
        <v>3056</v>
      </c>
      <c r="N1217" s="3"/>
      <c r="O1217" s="3"/>
    </row>
    <row r="1218" spans="1:15" s="4" customFormat="1">
      <c r="A1218" s="2">
        <v>1217</v>
      </c>
      <c r="B1218" s="3" t="s">
        <v>2697</v>
      </c>
      <c r="C1218" s="3" t="s">
        <v>2698</v>
      </c>
      <c r="D1218" s="2" t="s">
        <v>7</v>
      </c>
      <c r="E1218" s="2" t="s">
        <v>8</v>
      </c>
      <c r="F1218" s="16"/>
      <c r="G1218" s="16"/>
      <c r="H1218" s="16">
        <f>VLOOKUP(B:B,'[1]Master Sheet'!$B:$H,7,0)</f>
        <v>250</v>
      </c>
      <c r="I1218" s="16">
        <f>VLOOKUP(B:B,'[1]Master Sheet'!$B:$I,8,0)</f>
        <v>0</v>
      </c>
      <c r="J1218" s="16"/>
      <c r="K1218" s="3" t="s">
        <v>2965</v>
      </c>
      <c r="L1218" s="3" t="s">
        <v>3055</v>
      </c>
      <c r="M1218" s="3" t="s">
        <v>3056</v>
      </c>
      <c r="N1218" s="3"/>
      <c r="O1218" s="3"/>
    </row>
    <row r="1219" spans="1:15" s="4" customFormat="1">
      <c r="A1219" s="2">
        <v>1218</v>
      </c>
      <c r="B1219" s="3" t="s">
        <v>2699</v>
      </c>
      <c r="C1219" s="3" t="s">
        <v>2700</v>
      </c>
      <c r="D1219" s="2" t="s">
        <v>7</v>
      </c>
      <c r="E1219" s="2" t="s">
        <v>8</v>
      </c>
      <c r="F1219" s="16"/>
      <c r="G1219" s="16"/>
      <c r="H1219" s="16">
        <f>VLOOKUP(B:B,'[1]Master Sheet'!$B:$H,7,0)</f>
        <v>500</v>
      </c>
      <c r="I1219" s="16">
        <f>VLOOKUP(B:B,'[1]Master Sheet'!$B:$I,8,0)</f>
        <v>1000</v>
      </c>
      <c r="J1219" s="16"/>
      <c r="K1219" s="3" t="s">
        <v>2965</v>
      </c>
      <c r="L1219" s="3" t="s">
        <v>3055</v>
      </c>
      <c r="M1219" s="3" t="s">
        <v>3056</v>
      </c>
      <c r="N1219" s="3"/>
      <c r="O1219" s="3"/>
    </row>
    <row r="1220" spans="1:15" s="4" customFormat="1">
      <c r="A1220" s="2">
        <v>1219</v>
      </c>
      <c r="B1220" s="3" t="s">
        <v>2701</v>
      </c>
      <c r="C1220" s="3" t="s">
        <v>2702</v>
      </c>
      <c r="D1220" s="2" t="s">
        <v>17</v>
      </c>
      <c r="E1220" s="2" t="s">
        <v>8</v>
      </c>
      <c r="F1220" s="16"/>
      <c r="G1220" s="16"/>
      <c r="H1220" s="16">
        <f>VLOOKUP(B:B,'[1]Master Sheet'!$B:$H,7,0)</f>
        <v>0</v>
      </c>
      <c r="I1220" s="16">
        <f>VLOOKUP(B:B,'[1]Master Sheet'!$B:$I,8,0)</f>
        <v>0</v>
      </c>
      <c r="J1220" s="16"/>
      <c r="K1220" s="3" t="s">
        <v>2982</v>
      </c>
      <c r="L1220" s="3" t="s">
        <v>3060</v>
      </c>
      <c r="M1220" s="3" t="s">
        <v>3058</v>
      </c>
      <c r="N1220" s="3"/>
      <c r="O1220" s="3"/>
    </row>
    <row r="1221" spans="1:15" s="4" customFormat="1">
      <c r="A1221" s="2">
        <v>1220</v>
      </c>
      <c r="B1221" s="3" t="s">
        <v>2703</v>
      </c>
      <c r="C1221" s="3" t="s">
        <v>2704</v>
      </c>
      <c r="D1221" s="2" t="s">
        <v>17</v>
      </c>
      <c r="E1221" s="2" t="s">
        <v>8</v>
      </c>
      <c r="F1221" s="16"/>
      <c r="G1221" s="16"/>
      <c r="H1221" s="16">
        <f>VLOOKUP(B:B,'[1]Master Sheet'!$B:$H,7,0)</f>
        <v>0</v>
      </c>
      <c r="I1221" s="16">
        <f>VLOOKUP(B:B,'[1]Master Sheet'!$B:$I,8,0)</f>
        <v>0</v>
      </c>
      <c r="J1221" s="16"/>
      <c r="K1221" s="3" t="s">
        <v>2982</v>
      </c>
      <c r="L1221" s="3" t="s">
        <v>3060</v>
      </c>
      <c r="M1221" s="3" t="s">
        <v>3058</v>
      </c>
      <c r="N1221" s="3"/>
      <c r="O1221" s="3"/>
    </row>
    <row r="1222" spans="1:15" s="4" customFormat="1">
      <c r="A1222" s="2">
        <v>1221</v>
      </c>
      <c r="B1222" s="3" t="s">
        <v>2705</v>
      </c>
      <c r="C1222" s="3" t="s">
        <v>2706</v>
      </c>
      <c r="D1222" s="2" t="s">
        <v>17</v>
      </c>
      <c r="E1222" s="2" t="s">
        <v>8</v>
      </c>
      <c r="F1222" s="16"/>
      <c r="G1222" s="16"/>
      <c r="H1222" s="16">
        <f>VLOOKUP(B:B,'[1]Master Sheet'!$B:$H,7,0)</f>
        <v>0</v>
      </c>
      <c r="I1222" s="16">
        <f>VLOOKUP(B:B,'[1]Master Sheet'!$B:$I,8,0)</f>
        <v>0</v>
      </c>
      <c r="J1222" s="16"/>
      <c r="K1222" s="3" t="s">
        <v>2982</v>
      </c>
      <c r="L1222" s="3" t="s">
        <v>3060</v>
      </c>
      <c r="M1222" s="3" t="s">
        <v>3058</v>
      </c>
      <c r="N1222" s="3"/>
      <c r="O1222" s="3"/>
    </row>
    <row r="1223" spans="1:15" s="4" customFormat="1">
      <c r="A1223" s="2">
        <v>1222</v>
      </c>
      <c r="B1223" s="3" t="s">
        <v>2707</v>
      </c>
      <c r="C1223" s="3" t="s">
        <v>2708</v>
      </c>
      <c r="D1223" s="2" t="s">
        <v>17</v>
      </c>
      <c r="E1223" s="2" t="s">
        <v>8</v>
      </c>
      <c r="F1223" s="16"/>
      <c r="G1223" s="16"/>
      <c r="H1223" s="16">
        <f>VLOOKUP(B:B,'[1]Master Sheet'!$B:$H,7,0)</f>
        <v>0</v>
      </c>
      <c r="I1223" s="16">
        <f>VLOOKUP(B:B,'[1]Master Sheet'!$B:$I,8,0)</f>
        <v>0</v>
      </c>
      <c r="J1223" s="16"/>
      <c r="K1223" s="3" t="s">
        <v>2982</v>
      </c>
      <c r="L1223" s="3" t="s">
        <v>3060</v>
      </c>
      <c r="M1223" s="3" t="s">
        <v>3058</v>
      </c>
      <c r="N1223" s="3"/>
      <c r="O1223" s="3"/>
    </row>
    <row r="1224" spans="1:15" s="4" customFormat="1">
      <c r="A1224" s="2">
        <v>1223</v>
      </c>
      <c r="B1224" s="3" t="s">
        <v>2709</v>
      </c>
      <c r="C1224" s="3" t="s">
        <v>2710</v>
      </c>
      <c r="D1224" s="2" t="s">
        <v>17</v>
      </c>
      <c r="E1224" s="2" t="s">
        <v>8</v>
      </c>
      <c r="F1224" s="16"/>
      <c r="G1224" s="16"/>
      <c r="H1224" s="16">
        <f>VLOOKUP(B:B,'[1]Master Sheet'!$B:$H,7,0)</f>
        <v>0</v>
      </c>
      <c r="I1224" s="16">
        <f>VLOOKUP(B:B,'[1]Master Sheet'!$B:$I,8,0)</f>
        <v>0</v>
      </c>
      <c r="J1224" s="16"/>
      <c r="K1224" s="3" t="s">
        <v>2982</v>
      </c>
      <c r="L1224" s="3" t="s">
        <v>3060</v>
      </c>
      <c r="M1224" s="3" t="s">
        <v>3058</v>
      </c>
      <c r="N1224" s="3"/>
      <c r="O1224" s="3"/>
    </row>
    <row r="1225" spans="1:15" s="4" customFormat="1">
      <c r="A1225" s="2">
        <v>1224</v>
      </c>
      <c r="B1225" s="3" t="s">
        <v>2711</v>
      </c>
      <c r="C1225" s="3" t="s">
        <v>2712</v>
      </c>
      <c r="D1225" s="2" t="s">
        <v>17</v>
      </c>
      <c r="E1225" s="2" t="s">
        <v>8</v>
      </c>
      <c r="F1225" s="16"/>
      <c r="G1225" s="16"/>
      <c r="H1225" s="16">
        <f>VLOOKUP(B:B,'[1]Master Sheet'!$B:$H,7,0)</f>
        <v>0</v>
      </c>
      <c r="I1225" s="16">
        <f>VLOOKUP(B:B,'[1]Master Sheet'!$B:$I,8,0)</f>
        <v>0</v>
      </c>
      <c r="J1225" s="16"/>
      <c r="K1225" s="3" t="s">
        <v>2982</v>
      </c>
      <c r="L1225" s="3" t="s">
        <v>3060</v>
      </c>
      <c r="M1225" s="3" t="s">
        <v>3064</v>
      </c>
      <c r="N1225" s="3"/>
      <c r="O1225" s="3"/>
    </row>
    <row r="1226" spans="1:15" s="4" customFormat="1">
      <c r="A1226" s="2">
        <v>1225</v>
      </c>
      <c r="B1226" s="3" t="s">
        <v>2713</v>
      </c>
      <c r="C1226" s="3" t="s">
        <v>2714</v>
      </c>
      <c r="D1226" s="2" t="s">
        <v>17</v>
      </c>
      <c r="E1226" s="2" t="s">
        <v>8</v>
      </c>
      <c r="F1226" s="16"/>
      <c r="G1226" s="16"/>
      <c r="H1226" s="16">
        <f>VLOOKUP(B:B,'[1]Master Sheet'!$B:$H,7,0)</f>
        <v>0</v>
      </c>
      <c r="I1226" s="16">
        <f>VLOOKUP(B:B,'[1]Master Sheet'!$B:$I,8,0)</f>
        <v>0</v>
      </c>
      <c r="J1226" s="16"/>
      <c r="K1226" s="3" t="s">
        <v>3006</v>
      </c>
      <c r="L1226" s="3" t="s">
        <v>3060</v>
      </c>
      <c r="M1226" s="3" t="s">
        <v>3058</v>
      </c>
      <c r="N1226" s="3"/>
      <c r="O1226" s="3"/>
    </row>
    <row r="1227" spans="1:15" s="4" customFormat="1">
      <c r="A1227" s="2">
        <v>1226</v>
      </c>
      <c r="B1227" s="3" t="s">
        <v>2715</v>
      </c>
      <c r="C1227" s="3" t="s">
        <v>2716</v>
      </c>
      <c r="D1227" s="2" t="s">
        <v>17</v>
      </c>
      <c r="E1227" s="2" t="s">
        <v>8</v>
      </c>
      <c r="F1227" s="16"/>
      <c r="G1227" s="16"/>
      <c r="H1227" s="16">
        <f>VLOOKUP(B:B,'[1]Master Sheet'!$B:$H,7,0)</f>
        <v>0</v>
      </c>
      <c r="I1227" s="16">
        <f>VLOOKUP(B:B,'[1]Master Sheet'!$B:$I,8,0)</f>
        <v>0</v>
      </c>
      <c r="J1227" s="16"/>
      <c r="K1227" s="3" t="s">
        <v>3006</v>
      </c>
      <c r="L1227" s="3" t="s">
        <v>3060</v>
      </c>
      <c r="M1227" s="3" t="s">
        <v>3058</v>
      </c>
      <c r="N1227" s="3"/>
      <c r="O1227" s="3"/>
    </row>
    <row r="1228" spans="1:15" s="4" customFormat="1">
      <c r="A1228" s="2">
        <v>1227</v>
      </c>
      <c r="B1228" s="3" t="s">
        <v>2717</v>
      </c>
      <c r="C1228" s="3" t="s">
        <v>2718</v>
      </c>
      <c r="D1228" s="2" t="s">
        <v>17</v>
      </c>
      <c r="E1228" s="2" t="s">
        <v>8</v>
      </c>
      <c r="F1228" s="16"/>
      <c r="G1228" s="16"/>
      <c r="H1228" s="16">
        <f>VLOOKUP(B:B,'[1]Master Sheet'!$B:$H,7,0)</f>
        <v>0</v>
      </c>
      <c r="I1228" s="16">
        <f>VLOOKUP(B:B,'[1]Master Sheet'!$B:$I,8,0)</f>
        <v>0</v>
      </c>
      <c r="J1228" s="16"/>
      <c r="K1228" s="3" t="s">
        <v>3006</v>
      </c>
      <c r="L1228" s="3" t="s">
        <v>3060</v>
      </c>
      <c r="M1228" s="3" t="s">
        <v>3058</v>
      </c>
      <c r="N1228" s="3"/>
      <c r="O1228" s="3"/>
    </row>
    <row r="1229" spans="1:15" s="4" customFormat="1">
      <c r="A1229" s="2">
        <v>1228</v>
      </c>
      <c r="B1229" s="3" t="s">
        <v>2719</v>
      </c>
      <c r="C1229" s="3" t="s">
        <v>2720</v>
      </c>
      <c r="D1229" s="2" t="s">
        <v>17</v>
      </c>
      <c r="E1229" s="2" t="s">
        <v>8</v>
      </c>
      <c r="F1229" s="16"/>
      <c r="G1229" s="16"/>
      <c r="H1229" s="16">
        <f>VLOOKUP(B:B,'[1]Master Sheet'!$B:$H,7,0)</f>
        <v>0</v>
      </c>
      <c r="I1229" s="16">
        <f>VLOOKUP(B:B,'[1]Master Sheet'!$B:$I,8,0)</f>
        <v>0</v>
      </c>
      <c r="J1229" s="16"/>
      <c r="K1229" s="3" t="s">
        <v>3006</v>
      </c>
      <c r="L1229" s="3" t="s">
        <v>3060</v>
      </c>
      <c r="M1229" s="3" t="s">
        <v>3058</v>
      </c>
      <c r="N1229" s="3"/>
      <c r="O1229" s="3"/>
    </row>
    <row r="1230" spans="1:15" s="4" customFormat="1">
      <c r="A1230" s="2">
        <v>1229</v>
      </c>
      <c r="B1230" s="3" t="s">
        <v>2721</v>
      </c>
      <c r="C1230" s="3" t="s">
        <v>2722</v>
      </c>
      <c r="D1230" s="2" t="s">
        <v>17</v>
      </c>
      <c r="E1230" s="2" t="s">
        <v>8</v>
      </c>
      <c r="F1230" s="16"/>
      <c r="G1230" s="16"/>
      <c r="H1230" s="16">
        <f>VLOOKUP(B:B,'[1]Master Sheet'!$B:$H,7,0)</f>
        <v>0</v>
      </c>
      <c r="I1230" s="16">
        <f>VLOOKUP(B:B,'[1]Master Sheet'!$B:$I,8,0)</f>
        <v>0</v>
      </c>
      <c r="J1230" s="16"/>
      <c r="K1230" s="3" t="s">
        <v>3006</v>
      </c>
      <c r="L1230" s="3" t="s">
        <v>3060</v>
      </c>
      <c r="M1230" s="3" t="s">
        <v>3058</v>
      </c>
      <c r="N1230" s="3"/>
      <c r="O1230" s="3"/>
    </row>
    <row r="1231" spans="1:15" s="4" customFormat="1">
      <c r="A1231" s="2">
        <v>1230</v>
      </c>
      <c r="B1231" s="3" t="s">
        <v>2723</v>
      </c>
      <c r="C1231" s="3" t="s">
        <v>2724</v>
      </c>
      <c r="D1231" s="2" t="s">
        <v>17</v>
      </c>
      <c r="E1231" s="2" t="s">
        <v>8</v>
      </c>
      <c r="F1231" s="16"/>
      <c r="G1231" s="16"/>
      <c r="H1231" s="16">
        <f>VLOOKUP(B:B,'[1]Master Sheet'!$B:$H,7,0)</f>
        <v>0</v>
      </c>
      <c r="I1231" s="16">
        <f>VLOOKUP(B:B,'[1]Master Sheet'!$B:$I,8,0)</f>
        <v>0</v>
      </c>
      <c r="J1231" s="16"/>
      <c r="K1231" s="3" t="s">
        <v>3006</v>
      </c>
      <c r="L1231" s="3" t="s">
        <v>3060</v>
      </c>
      <c r="M1231" s="3" t="s">
        <v>3058</v>
      </c>
      <c r="N1231" s="3"/>
      <c r="O1231" s="3"/>
    </row>
    <row r="1232" spans="1:15" s="4" customFormat="1">
      <c r="A1232" s="2">
        <v>1231</v>
      </c>
      <c r="B1232" s="3" t="s">
        <v>2903</v>
      </c>
      <c r="C1232" s="3" t="s">
        <v>2904</v>
      </c>
      <c r="D1232" s="2" t="s">
        <v>17</v>
      </c>
      <c r="E1232" s="2" t="s">
        <v>8</v>
      </c>
      <c r="F1232" s="16"/>
      <c r="G1232" s="16"/>
      <c r="H1232" s="16">
        <f>VLOOKUP(B:B,'[1]Master Sheet'!$B:$H,7,0)</f>
        <v>0</v>
      </c>
      <c r="I1232" s="16">
        <f>VLOOKUP(B:B,'[1]Master Sheet'!$B:$I,8,0)</f>
        <v>0</v>
      </c>
      <c r="J1232" s="16"/>
      <c r="K1232" s="3" t="s">
        <v>3002</v>
      </c>
      <c r="L1232" s="3" t="s">
        <v>3055</v>
      </c>
      <c r="M1232" s="3" t="s">
        <v>3056</v>
      </c>
      <c r="N1232" s="3"/>
      <c r="O1232" s="3"/>
    </row>
    <row r="1233" spans="1:15" s="4" customFormat="1">
      <c r="A1233" s="2">
        <v>1232</v>
      </c>
      <c r="B1233" s="3" t="s">
        <v>2725</v>
      </c>
      <c r="C1233" s="3" t="s">
        <v>2726</v>
      </c>
      <c r="D1233" s="2" t="s">
        <v>17</v>
      </c>
      <c r="E1233" s="2" t="s">
        <v>8</v>
      </c>
      <c r="F1233" s="16"/>
      <c r="G1233" s="16"/>
      <c r="H1233" s="16">
        <f>VLOOKUP(B:B,'[1]Master Sheet'!$B:$H,7,0)</f>
        <v>0</v>
      </c>
      <c r="I1233" s="16">
        <f>VLOOKUP(B:B,'[1]Master Sheet'!$B:$I,8,0)</f>
        <v>0</v>
      </c>
      <c r="J1233" s="16"/>
      <c r="K1233" s="3" t="s">
        <v>2982</v>
      </c>
      <c r="L1233" s="3" t="s">
        <v>3060</v>
      </c>
      <c r="M1233" s="3" t="s">
        <v>3058</v>
      </c>
      <c r="N1233" s="3"/>
      <c r="O1233" s="3"/>
    </row>
    <row r="1234" spans="1:15" s="4" customFormat="1">
      <c r="A1234" s="2">
        <v>1233</v>
      </c>
      <c r="B1234" s="3" t="s">
        <v>2727</v>
      </c>
      <c r="C1234" s="3" t="s">
        <v>2728</v>
      </c>
      <c r="D1234" s="2" t="s">
        <v>17</v>
      </c>
      <c r="E1234" s="2" t="s">
        <v>8</v>
      </c>
      <c r="F1234" s="16"/>
      <c r="G1234" s="16"/>
      <c r="H1234" s="16">
        <f>VLOOKUP(B:B,'[1]Master Sheet'!$B:$H,7,0)</f>
        <v>0</v>
      </c>
      <c r="I1234" s="16">
        <f>VLOOKUP(B:B,'[1]Master Sheet'!$B:$I,8,0)</f>
        <v>0</v>
      </c>
      <c r="J1234" s="16"/>
      <c r="K1234" s="3" t="s">
        <v>2982</v>
      </c>
      <c r="L1234" s="3" t="s">
        <v>3060</v>
      </c>
      <c r="M1234" s="3" t="s">
        <v>3058</v>
      </c>
      <c r="N1234" s="3"/>
      <c r="O1234" s="3"/>
    </row>
    <row r="1235" spans="1:15" s="4" customFormat="1">
      <c r="A1235" s="2">
        <v>1234</v>
      </c>
      <c r="B1235" s="3" t="s">
        <v>2729</v>
      </c>
      <c r="C1235" s="3" t="s">
        <v>2730</v>
      </c>
      <c r="D1235" s="2" t="s">
        <v>17</v>
      </c>
      <c r="E1235" s="2" t="s">
        <v>8</v>
      </c>
      <c r="F1235" s="16"/>
      <c r="G1235" s="16"/>
      <c r="H1235" s="16">
        <f>VLOOKUP(B:B,'[1]Master Sheet'!$B:$H,7,0)</f>
        <v>0</v>
      </c>
      <c r="I1235" s="16">
        <f>VLOOKUP(B:B,'[1]Master Sheet'!$B:$I,8,0)</f>
        <v>0</v>
      </c>
      <c r="J1235" s="16"/>
      <c r="K1235" s="3" t="s">
        <v>2982</v>
      </c>
      <c r="L1235" s="3" t="s">
        <v>3060</v>
      </c>
      <c r="M1235" s="3" t="s">
        <v>3058</v>
      </c>
      <c r="N1235" s="3"/>
      <c r="O1235" s="3"/>
    </row>
    <row r="1236" spans="1:15" s="4" customFormat="1">
      <c r="A1236" s="2">
        <v>1235</v>
      </c>
      <c r="B1236" s="3" t="s">
        <v>2731</v>
      </c>
      <c r="C1236" s="3" t="s">
        <v>2732</v>
      </c>
      <c r="D1236" s="2" t="s">
        <v>7</v>
      </c>
      <c r="E1236" s="2" t="s">
        <v>8</v>
      </c>
      <c r="F1236" s="16"/>
      <c r="G1236" s="16"/>
      <c r="H1236" s="16">
        <f>VLOOKUP(B:B,'[1]Master Sheet'!$B:$H,7,0)</f>
        <v>500</v>
      </c>
      <c r="I1236" s="16">
        <f>VLOOKUP(B:B,'[1]Master Sheet'!$B:$I,8,0)</f>
        <v>0</v>
      </c>
      <c r="J1236" s="16"/>
      <c r="K1236" s="3" t="s">
        <v>2965</v>
      </c>
      <c r="L1236" s="3" t="s">
        <v>3055</v>
      </c>
      <c r="M1236" s="3" t="s">
        <v>3056</v>
      </c>
      <c r="N1236" s="3"/>
      <c r="O1236" s="3"/>
    </row>
    <row r="1237" spans="1:15" s="4" customFormat="1">
      <c r="A1237" s="2">
        <v>1236</v>
      </c>
      <c r="B1237" s="3" t="s">
        <v>2733</v>
      </c>
      <c r="C1237" s="3" t="s">
        <v>2734</v>
      </c>
      <c r="D1237" s="2" t="s">
        <v>7</v>
      </c>
      <c r="E1237" s="2" t="s">
        <v>8</v>
      </c>
      <c r="F1237" s="16"/>
      <c r="G1237" s="16"/>
      <c r="H1237" s="16">
        <f>VLOOKUP(B:B,'[1]Master Sheet'!$B:$H,7,0)</f>
        <v>500</v>
      </c>
      <c r="I1237" s="16">
        <f>VLOOKUP(B:B,'[1]Master Sheet'!$B:$I,8,0)</f>
        <v>0</v>
      </c>
      <c r="J1237" s="16"/>
      <c r="K1237" s="3" t="s">
        <v>2965</v>
      </c>
      <c r="L1237" s="3" t="s">
        <v>3055</v>
      </c>
      <c r="M1237" s="3" t="s">
        <v>3056</v>
      </c>
      <c r="N1237" s="3"/>
      <c r="O1237" s="3"/>
    </row>
    <row r="1238" spans="1:15" s="4" customFormat="1">
      <c r="A1238" s="2">
        <v>1237</v>
      </c>
      <c r="B1238" s="3" t="s">
        <v>2735</v>
      </c>
      <c r="C1238" s="3" t="s">
        <v>2736</v>
      </c>
      <c r="D1238" s="2" t="s">
        <v>7</v>
      </c>
      <c r="E1238" s="2" t="s">
        <v>8</v>
      </c>
      <c r="F1238" s="16"/>
      <c r="G1238" s="16"/>
      <c r="H1238" s="16">
        <f>VLOOKUP(B:B,'[1]Master Sheet'!$B:$H,7,0)</f>
        <v>500</v>
      </c>
      <c r="I1238" s="16">
        <f>VLOOKUP(B:B,'[1]Master Sheet'!$B:$I,8,0)</f>
        <v>0</v>
      </c>
      <c r="J1238" s="16"/>
      <c r="K1238" s="3" t="s">
        <v>2965</v>
      </c>
      <c r="L1238" s="3" t="s">
        <v>3055</v>
      </c>
      <c r="M1238" s="3" t="s">
        <v>3056</v>
      </c>
      <c r="N1238" s="3"/>
      <c r="O1238" s="3"/>
    </row>
    <row r="1239" spans="1:15" s="4" customFormat="1">
      <c r="A1239" s="2">
        <v>1238</v>
      </c>
      <c r="B1239" s="3" t="s">
        <v>2737</v>
      </c>
      <c r="C1239" s="3" t="s">
        <v>2738</v>
      </c>
      <c r="D1239" s="2" t="s">
        <v>7</v>
      </c>
      <c r="E1239" s="2" t="s">
        <v>8</v>
      </c>
      <c r="F1239" s="16"/>
      <c r="G1239" s="16"/>
      <c r="H1239" s="16">
        <f>VLOOKUP(B:B,'[1]Master Sheet'!$B:$H,7,0)</f>
        <v>500</v>
      </c>
      <c r="I1239" s="16">
        <f>VLOOKUP(B:B,'[1]Master Sheet'!$B:$I,8,0)</f>
        <v>0</v>
      </c>
      <c r="J1239" s="16"/>
      <c r="K1239" s="3" t="s">
        <v>2965</v>
      </c>
      <c r="L1239" s="3" t="s">
        <v>3055</v>
      </c>
      <c r="M1239" s="3" t="s">
        <v>3056</v>
      </c>
      <c r="N1239" s="3"/>
      <c r="O1239" s="3"/>
    </row>
    <row r="1240" spans="1:15" s="4" customFormat="1">
      <c r="A1240" s="2">
        <v>1239</v>
      </c>
      <c r="B1240" s="3" t="s">
        <v>2739</v>
      </c>
      <c r="C1240" s="3" t="s">
        <v>2740</v>
      </c>
      <c r="D1240" s="2" t="s">
        <v>7</v>
      </c>
      <c r="E1240" s="2" t="s">
        <v>8</v>
      </c>
      <c r="F1240" s="16"/>
      <c r="G1240" s="16"/>
      <c r="H1240" s="16">
        <f>VLOOKUP(B:B,'[1]Master Sheet'!$B:$H,7,0)</f>
        <v>500</v>
      </c>
      <c r="I1240" s="16">
        <f>VLOOKUP(B:B,'[1]Master Sheet'!$B:$I,8,0)</f>
        <v>0</v>
      </c>
      <c r="J1240" s="16"/>
      <c r="K1240" s="3" t="s">
        <v>2965</v>
      </c>
      <c r="L1240" s="3" t="s">
        <v>3055</v>
      </c>
      <c r="M1240" s="3" t="s">
        <v>3056</v>
      </c>
      <c r="N1240" s="3"/>
      <c r="O1240" s="3"/>
    </row>
    <row r="1241" spans="1:15" s="4" customFormat="1">
      <c r="A1241" s="2">
        <v>1240</v>
      </c>
      <c r="B1241" s="3" t="s">
        <v>2741</v>
      </c>
      <c r="C1241" s="3" t="s">
        <v>2742</v>
      </c>
      <c r="D1241" s="2" t="s">
        <v>7</v>
      </c>
      <c r="E1241" s="2" t="s">
        <v>8</v>
      </c>
      <c r="F1241" s="16"/>
      <c r="G1241" s="16"/>
      <c r="H1241" s="16">
        <f>VLOOKUP(B:B,'[1]Master Sheet'!$B:$H,7,0)</f>
        <v>500</v>
      </c>
      <c r="I1241" s="16">
        <f>VLOOKUP(B:B,'[1]Master Sheet'!$B:$I,8,0)</f>
        <v>0</v>
      </c>
      <c r="J1241" s="16"/>
      <c r="K1241" s="3" t="s">
        <v>2965</v>
      </c>
      <c r="L1241" s="3" t="s">
        <v>3055</v>
      </c>
      <c r="M1241" s="3" t="s">
        <v>3056</v>
      </c>
      <c r="N1241" s="3"/>
      <c r="O1241" s="3"/>
    </row>
    <row r="1242" spans="1:15" s="4" customFormat="1">
      <c r="A1242" s="2">
        <v>1241</v>
      </c>
      <c r="B1242" s="3" t="s">
        <v>2743</v>
      </c>
      <c r="C1242" s="3" t="s">
        <v>2744</v>
      </c>
      <c r="D1242" s="2" t="s">
        <v>7</v>
      </c>
      <c r="E1242" s="2" t="s">
        <v>8</v>
      </c>
      <c r="F1242" s="16"/>
      <c r="G1242" s="16"/>
      <c r="H1242" s="16">
        <f>VLOOKUP(B:B,'[1]Master Sheet'!$B:$H,7,0)</f>
        <v>2000</v>
      </c>
      <c r="I1242" s="16">
        <f>VLOOKUP(B:B,'[1]Master Sheet'!$B:$I,8,0)</f>
        <v>0</v>
      </c>
      <c r="J1242" s="16"/>
      <c r="K1242" s="3" t="s">
        <v>2965</v>
      </c>
      <c r="L1242" s="3" t="s">
        <v>3055</v>
      </c>
      <c r="M1242" s="3" t="s">
        <v>3056</v>
      </c>
      <c r="N1242" s="3"/>
      <c r="O1242" s="3"/>
    </row>
    <row r="1243" spans="1:15" s="4" customFormat="1">
      <c r="A1243" s="2">
        <v>1242</v>
      </c>
      <c r="B1243" s="3" t="s">
        <v>2745</v>
      </c>
      <c r="C1243" s="3" t="s">
        <v>2746</v>
      </c>
      <c r="D1243" s="2" t="s">
        <v>7</v>
      </c>
      <c r="E1243" s="2" t="s">
        <v>8</v>
      </c>
      <c r="F1243" s="16"/>
      <c r="G1243" s="16"/>
      <c r="H1243" s="16">
        <f>VLOOKUP(B:B,'[1]Master Sheet'!$B:$H,7,0)</f>
        <v>2000</v>
      </c>
      <c r="I1243" s="16">
        <f>VLOOKUP(B:B,'[1]Master Sheet'!$B:$I,8,0)</f>
        <v>2000</v>
      </c>
      <c r="J1243" s="16"/>
      <c r="K1243" s="3" t="s">
        <v>2965</v>
      </c>
      <c r="L1243" s="3" t="s">
        <v>3055</v>
      </c>
      <c r="M1243" s="3" t="s">
        <v>3056</v>
      </c>
      <c r="N1243" s="3"/>
      <c r="O1243" s="3"/>
    </row>
    <row r="1244" spans="1:15" s="4" customFormat="1">
      <c r="A1244" s="2">
        <v>1243</v>
      </c>
      <c r="B1244" s="3" t="s">
        <v>2747</v>
      </c>
      <c r="C1244" s="3" t="s">
        <v>2748</v>
      </c>
      <c r="D1244" s="2" t="s">
        <v>7</v>
      </c>
      <c r="E1244" s="2" t="s">
        <v>8</v>
      </c>
      <c r="F1244" s="16"/>
      <c r="G1244" s="16"/>
      <c r="H1244" s="16">
        <f>VLOOKUP(B:B,'[1]Master Sheet'!$B:$H,7,0)</f>
        <v>5000</v>
      </c>
      <c r="I1244" s="16">
        <f>VLOOKUP(B:B,'[1]Master Sheet'!$B:$I,8,0)</f>
        <v>8000</v>
      </c>
      <c r="J1244" s="16"/>
      <c r="K1244" s="3" t="s">
        <v>2965</v>
      </c>
      <c r="L1244" s="3" t="s">
        <v>3055</v>
      </c>
      <c r="M1244" s="3" t="s">
        <v>3056</v>
      </c>
      <c r="N1244" s="3"/>
      <c r="O1244" s="3"/>
    </row>
    <row r="1245" spans="1:15" s="4" customFormat="1">
      <c r="A1245" s="2">
        <v>1244</v>
      </c>
      <c r="B1245" s="3" t="s">
        <v>2749</v>
      </c>
      <c r="C1245" s="3" t="s">
        <v>2750</v>
      </c>
      <c r="D1245" s="2" t="s">
        <v>7</v>
      </c>
      <c r="E1245" s="2" t="s">
        <v>8</v>
      </c>
      <c r="F1245" s="16"/>
      <c r="G1245" s="16"/>
      <c r="H1245" s="16">
        <f>VLOOKUP(B:B,'[1]Master Sheet'!$B:$H,7,0)</f>
        <v>4000</v>
      </c>
      <c r="I1245" s="16">
        <f>VLOOKUP(B:B,'[1]Master Sheet'!$B:$I,8,0)</f>
        <v>8000</v>
      </c>
      <c r="J1245" s="16"/>
      <c r="K1245" s="3" t="s">
        <v>2965</v>
      </c>
      <c r="L1245" s="3" t="s">
        <v>3055</v>
      </c>
      <c r="M1245" s="3" t="s">
        <v>3056</v>
      </c>
      <c r="N1245" s="3"/>
      <c r="O1245" s="3"/>
    </row>
    <row r="1246" spans="1:15" s="4" customFormat="1">
      <c r="A1246" s="2">
        <v>1245</v>
      </c>
      <c r="B1246" s="3" t="s">
        <v>2751</v>
      </c>
      <c r="C1246" s="3" t="s">
        <v>2752</v>
      </c>
      <c r="D1246" s="2" t="s">
        <v>7</v>
      </c>
      <c r="E1246" s="2" t="s">
        <v>8</v>
      </c>
      <c r="F1246" s="16"/>
      <c r="G1246" s="16"/>
      <c r="H1246" s="16">
        <f>VLOOKUP(B:B,'[1]Master Sheet'!$B:$H,7,0)</f>
        <v>500</v>
      </c>
      <c r="I1246" s="16">
        <f>VLOOKUP(B:B,'[1]Master Sheet'!$B:$I,8,0)</f>
        <v>500</v>
      </c>
      <c r="J1246" s="16"/>
      <c r="K1246" s="3" t="s">
        <v>2965</v>
      </c>
      <c r="L1246" s="3" t="s">
        <v>3055</v>
      </c>
      <c r="M1246" s="3" t="s">
        <v>3056</v>
      </c>
      <c r="N1246" s="3"/>
      <c r="O1246" s="3"/>
    </row>
    <row r="1247" spans="1:15" s="4" customFormat="1">
      <c r="A1247" s="2">
        <v>1246</v>
      </c>
      <c r="B1247" s="3" t="s">
        <v>2753</v>
      </c>
      <c r="C1247" s="3" t="s">
        <v>2754</v>
      </c>
      <c r="D1247" s="2" t="s">
        <v>7</v>
      </c>
      <c r="E1247" s="2" t="s">
        <v>8</v>
      </c>
      <c r="F1247" s="16"/>
      <c r="G1247" s="16"/>
      <c r="H1247" s="16">
        <f>VLOOKUP(B:B,'[1]Master Sheet'!$B:$H,7,0)</f>
        <v>500</v>
      </c>
      <c r="I1247" s="16">
        <f>VLOOKUP(B:B,'[1]Master Sheet'!$B:$I,8,0)</f>
        <v>200</v>
      </c>
      <c r="J1247" s="16"/>
      <c r="K1247" s="3" t="s">
        <v>2965</v>
      </c>
      <c r="L1247" s="3" t="s">
        <v>3055</v>
      </c>
      <c r="M1247" s="3" t="s">
        <v>3056</v>
      </c>
      <c r="N1247" s="3"/>
      <c r="O1247" s="3"/>
    </row>
    <row r="1248" spans="1:15" s="4" customFormat="1">
      <c r="A1248" s="2">
        <v>1247</v>
      </c>
      <c r="B1248" s="3" t="s">
        <v>2755</v>
      </c>
      <c r="C1248" s="3" t="s">
        <v>2756</v>
      </c>
      <c r="D1248" s="2" t="s">
        <v>7</v>
      </c>
      <c r="E1248" s="2" t="s">
        <v>8</v>
      </c>
      <c r="F1248" s="16"/>
      <c r="G1248" s="16"/>
      <c r="H1248" s="16">
        <f>VLOOKUP(B:B,'[1]Master Sheet'!$B:$H,7,0)</f>
        <v>500</v>
      </c>
      <c r="I1248" s="16">
        <f>VLOOKUP(B:B,'[1]Master Sheet'!$B:$I,8,0)</f>
        <v>200</v>
      </c>
      <c r="J1248" s="16"/>
      <c r="K1248" s="3" t="s">
        <v>2965</v>
      </c>
      <c r="L1248" s="3" t="s">
        <v>3055</v>
      </c>
      <c r="M1248" s="3" t="s">
        <v>3056</v>
      </c>
      <c r="N1248" s="3"/>
      <c r="O1248" s="3"/>
    </row>
    <row r="1249" spans="1:15" s="4" customFormat="1">
      <c r="A1249" s="2">
        <v>1248</v>
      </c>
      <c r="B1249" s="3" t="s">
        <v>2757</v>
      </c>
      <c r="C1249" s="3" t="s">
        <v>2758</v>
      </c>
      <c r="D1249" s="2" t="s">
        <v>7</v>
      </c>
      <c r="E1249" s="2" t="s">
        <v>8</v>
      </c>
      <c r="F1249" s="16"/>
      <c r="G1249" s="16"/>
      <c r="H1249" s="16">
        <f>VLOOKUP(B:B,'[1]Master Sheet'!$B:$H,7,0)</f>
        <v>0</v>
      </c>
      <c r="I1249" s="16">
        <f>VLOOKUP(B:B,'[1]Master Sheet'!$B:$I,8,0)</f>
        <v>0</v>
      </c>
      <c r="J1249" s="16"/>
      <c r="K1249" s="3" t="s">
        <v>2965</v>
      </c>
      <c r="L1249" s="3" t="s">
        <v>3055</v>
      </c>
      <c r="M1249" s="3" t="s">
        <v>3056</v>
      </c>
      <c r="N1249" s="3"/>
      <c r="O1249" s="3"/>
    </row>
    <row r="1250" spans="1:15" s="4" customFormat="1">
      <c r="A1250" s="2">
        <v>1249</v>
      </c>
      <c r="B1250" s="3" t="s">
        <v>2759</v>
      </c>
      <c r="C1250" s="3" t="s">
        <v>2760</v>
      </c>
      <c r="D1250" s="2" t="s">
        <v>7</v>
      </c>
      <c r="E1250" s="2" t="s">
        <v>8</v>
      </c>
      <c r="F1250" s="16"/>
      <c r="G1250" s="16"/>
      <c r="H1250" s="16">
        <f>VLOOKUP(B:B,'[1]Master Sheet'!$B:$H,7,0)</f>
        <v>0</v>
      </c>
      <c r="I1250" s="16">
        <f>VLOOKUP(B:B,'[1]Master Sheet'!$B:$I,8,0)</f>
        <v>0</v>
      </c>
      <c r="J1250" s="16"/>
      <c r="K1250" s="3" t="s">
        <v>2965</v>
      </c>
      <c r="L1250" s="3" t="s">
        <v>3055</v>
      </c>
      <c r="M1250" s="3" t="s">
        <v>3056</v>
      </c>
      <c r="N1250" s="3"/>
      <c r="O1250" s="3"/>
    </row>
    <row r="1251" spans="1:15" s="4" customFormat="1">
      <c r="A1251" s="2">
        <v>1250</v>
      </c>
      <c r="B1251" s="3" t="s">
        <v>2761</v>
      </c>
      <c r="C1251" s="3" t="s">
        <v>2762</v>
      </c>
      <c r="D1251" s="2" t="s">
        <v>7</v>
      </c>
      <c r="E1251" s="2" t="s">
        <v>8</v>
      </c>
      <c r="F1251" s="16"/>
      <c r="G1251" s="16"/>
      <c r="H1251" s="16">
        <f>VLOOKUP(B:B,'[1]Master Sheet'!$B:$H,7,0)</f>
        <v>0</v>
      </c>
      <c r="I1251" s="16">
        <f>VLOOKUP(B:B,'[1]Master Sheet'!$B:$I,8,0)</f>
        <v>0</v>
      </c>
      <c r="J1251" s="16"/>
      <c r="K1251" s="3" t="s">
        <v>2965</v>
      </c>
      <c r="L1251" s="3" t="s">
        <v>3055</v>
      </c>
      <c r="M1251" s="3" t="s">
        <v>3056</v>
      </c>
      <c r="N1251" s="3"/>
      <c r="O1251" s="3"/>
    </row>
    <row r="1252" spans="1:15" s="4" customFormat="1">
      <c r="A1252" s="2">
        <v>1251</v>
      </c>
      <c r="B1252" s="3" t="s">
        <v>2763</v>
      </c>
      <c r="C1252" s="3" t="s">
        <v>2764</v>
      </c>
      <c r="D1252" s="2" t="s">
        <v>7</v>
      </c>
      <c r="E1252" s="2" t="s">
        <v>8</v>
      </c>
      <c r="F1252" s="16"/>
      <c r="G1252" s="16"/>
      <c r="H1252" s="16">
        <f>VLOOKUP(B:B,'[1]Master Sheet'!$B:$H,7,0)</f>
        <v>500</v>
      </c>
      <c r="I1252" s="16">
        <f>VLOOKUP(B:B,'[1]Master Sheet'!$B:$I,8,0)</f>
        <v>500</v>
      </c>
      <c r="J1252" s="16"/>
      <c r="K1252" s="3" t="s">
        <v>2965</v>
      </c>
      <c r="L1252" s="3" t="s">
        <v>3055</v>
      </c>
      <c r="M1252" s="3" t="s">
        <v>3056</v>
      </c>
      <c r="N1252" s="3"/>
      <c r="O1252" s="3"/>
    </row>
    <row r="1253" spans="1:15" s="4" customFormat="1">
      <c r="A1253" s="2">
        <v>1252</v>
      </c>
      <c r="B1253" s="3" t="s">
        <v>2765</v>
      </c>
      <c r="C1253" s="3" t="s">
        <v>2766</v>
      </c>
      <c r="D1253" s="2" t="s">
        <v>7</v>
      </c>
      <c r="E1253" s="2" t="s">
        <v>8</v>
      </c>
      <c r="F1253" s="16"/>
      <c r="G1253" s="16"/>
      <c r="H1253" s="16">
        <f>VLOOKUP(B:B,'[1]Master Sheet'!$B:$H,7,0)</f>
        <v>500</v>
      </c>
      <c r="I1253" s="16">
        <f>VLOOKUP(B:B,'[1]Master Sheet'!$B:$I,8,0)</f>
        <v>200</v>
      </c>
      <c r="J1253" s="16"/>
      <c r="K1253" s="3" t="s">
        <v>2965</v>
      </c>
      <c r="L1253" s="3" t="s">
        <v>3055</v>
      </c>
      <c r="M1253" s="3" t="s">
        <v>3056</v>
      </c>
      <c r="N1253" s="3"/>
      <c r="O1253" s="3"/>
    </row>
    <row r="1254" spans="1:15" s="4" customFormat="1">
      <c r="A1254" s="2">
        <v>1253</v>
      </c>
      <c r="B1254" s="3" t="s">
        <v>2769</v>
      </c>
      <c r="C1254" s="3" t="s">
        <v>2770</v>
      </c>
      <c r="D1254" s="2" t="s">
        <v>7</v>
      </c>
      <c r="E1254" s="2" t="s">
        <v>8</v>
      </c>
      <c r="F1254" s="16"/>
      <c r="G1254" s="16"/>
      <c r="H1254" s="16">
        <f>VLOOKUP(B:B,'[1]Master Sheet'!$B:$H,7,0)</f>
        <v>2000</v>
      </c>
      <c r="I1254" s="16">
        <f>VLOOKUP(B:B,'[1]Master Sheet'!$B:$I,8,0)</f>
        <v>3000</v>
      </c>
      <c r="J1254" s="16"/>
      <c r="K1254" s="3" t="s">
        <v>2965</v>
      </c>
      <c r="L1254" s="3" t="s">
        <v>3055</v>
      </c>
      <c r="M1254" s="3" t="s">
        <v>3056</v>
      </c>
      <c r="N1254" s="3"/>
      <c r="O1254" s="3"/>
    </row>
    <row r="1255" spans="1:15" s="4" customFormat="1">
      <c r="A1255" s="2">
        <v>1254</v>
      </c>
      <c r="B1255" s="3" t="s">
        <v>2771</v>
      </c>
      <c r="C1255" s="3" t="s">
        <v>2772</v>
      </c>
      <c r="D1255" s="2" t="s">
        <v>7</v>
      </c>
      <c r="E1255" s="2" t="s">
        <v>8</v>
      </c>
      <c r="F1255" s="16"/>
      <c r="G1255" s="16"/>
      <c r="H1255" s="16">
        <f>VLOOKUP(B:B,'[1]Master Sheet'!$B:$H,7,0)</f>
        <v>0</v>
      </c>
      <c r="I1255" s="16">
        <f>VLOOKUP(B:B,'[1]Master Sheet'!$B:$I,8,0)</f>
        <v>0</v>
      </c>
      <c r="J1255" s="16"/>
      <c r="K1255" s="3" t="s">
        <v>2965</v>
      </c>
      <c r="L1255" s="3" t="s">
        <v>3055</v>
      </c>
      <c r="M1255" s="3" t="s">
        <v>3056</v>
      </c>
      <c r="N1255" s="3"/>
      <c r="O1255" s="3"/>
    </row>
    <row r="1256" spans="1:15" s="4" customFormat="1">
      <c r="A1256" s="2">
        <v>1255</v>
      </c>
      <c r="B1256" s="3" t="s">
        <v>2773</v>
      </c>
      <c r="C1256" s="3" t="s">
        <v>2774</v>
      </c>
      <c r="D1256" s="2" t="s">
        <v>7</v>
      </c>
      <c r="E1256" s="2" t="s">
        <v>8</v>
      </c>
      <c r="F1256" s="16"/>
      <c r="G1256" s="16"/>
      <c r="H1256" s="16">
        <f>VLOOKUP(B:B,'[1]Master Sheet'!$B:$H,7,0)</f>
        <v>2000</v>
      </c>
      <c r="I1256" s="16">
        <f>VLOOKUP(B:B,'[1]Master Sheet'!$B:$I,8,0)</f>
        <v>4000</v>
      </c>
      <c r="J1256" s="16"/>
      <c r="K1256" s="3" t="s">
        <v>2965</v>
      </c>
      <c r="L1256" s="3" t="s">
        <v>3055</v>
      </c>
      <c r="M1256" s="3" t="s">
        <v>3056</v>
      </c>
      <c r="N1256" s="3"/>
      <c r="O1256" s="3"/>
    </row>
    <row r="1257" spans="1:15" s="4" customFormat="1">
      <c r="A1257" s="2">
        <v>1256</v>
      </c>
      <c r="B1257" s="3" t="s">
        <v>2785</v>
      </c>
      <c r="C1257" s="3" t="s">
        <v>2786</v>
      </c>
      <c r="D1257" s="2" t="s">
        <v>17</v>
      </c>
      <c r="E1257" s="2" t="s">
        <v>8</v>
      </c>
      <c r="F1257" s="16"/>
      <c r="G1257" s="16"/>
      <c r="H1257" s="16">
        <f>VLOOKUP(B:B,'[1]Master Sheet'!$B:$H,7,0)</f>
        <v>500</v>
      </c>
      <c r="I1257" s="16">
        <f>VLOOKUP(B:B,'[1]Master Sheet'!$B:$I,8,0)</f>
        <v>0</v>
      </c>
      <c r="J1257" s="16"/>
      <c r="K1257" s="3" t="s">
        <v>2972</v>
      </c>
      <c r="L1257" s="3" t="s">
        <v>3055</v>
      </c>
      <c r="M1257" s="3" t="s">
        <v>3056</v>
      </c>
      <c r="N1257" s="3"/>
      <c r="O1257" s="3"/>
    </row>
    <row r="1258" spans="1:15" s="4" customFormat="1">
      <c r="A1258" s="2">
        <v>1257</v>
      </c>
      <c r="B1258" s="3" t="s">
        <v>2575</v>
      </c>
      <c r="C1258" s="3" t="s">
        <v>2576</v>
      </c>
      <c r="D1258" s="2" t="s">
        <v>17</v>
      </c>
      <c r="E1258" s="2" t="s">
        <v>8</v>
      </c>
      <c r="F1258" s="16"/>
      <c r="G1258" s="16"/>
      <c r="H1258" s="16">
        <f>VLOOKUP(B:B,'[1]Master Sheet'!$B:$H,7,0)</f>
        <v>0</v>
      </c>
      <c r="I1258" s="16">
        <f>VLOOKUP(B:B,'[1]Master Sheet'!$B:$I,8,0)</f>
        <v>0</v>
      </c>
      <c r="J1258" s="16"/>
      <c r="K1258" s="3" t="s">
        <v>2972</v>
      </c>
      <c r="L1258" s="3" t="s">
        <v>3057</v>
      </c>
      <c r="M1258" s="3" t="s">
        <v>3056</v>
      </c>
      <c r="N1258" s="3"/>
      <c r="O1258" s="3"/>
    </row>
    <row r="1259" spans="1:15" s="4" customFormat="1">
      <c r="A1259" s="2">
        <v>1258</v>
      </c>
      <c r="B1259" s="3" t="s">
        <v>2789</v>
      </c>
      <c r="C1259" s="3" t="s">
        <v>2790</v>
      </c>
      <c r="D1259" s="2" t="s">
        <v>17</v>
      </c>
      <c r="E1259" s="2" t="s">
        <v>8</v>
      </c>
      <c r="F1259" s="16"/>
      <c r="G1259" s="16"/>
      <c r="H1259" s="16">
        <f>VLOOKUP(B:B,'[1]Master Sheet'!$B:$H,7,0)</f>
        <v>1000</v>
      </c>
      <c r="I1259" s="16">
        <f>VLOOKUP(B:B,'[1]Master Sheet'!$B:$I,8,0)</f>
        <v>0</v>
      </c>
      <c r="J1259" s="16"/>
      <c r="K1259" s="3" t="s">
        <v>2972</v>
      </c>
      <c r="L1259" s="3" t="s">
        <v>3055</v>
      </c>
      <c r="M1259" s="3" t="s">
        <v>3056</v>
      </c>
      <c r="N1259" s="3"/>
      <c r="O1259" s="3"/>
    </row>
    <row r="1260" spans="1:15" s="4" customFormat="1">
      <c r="A1260" s="2">
        <v>1259</v>
      </c>
      <c r="B1260" s="3" t="s">
        <v>2585</v>
      </c>
      <c r="C1260" s="3" t="s">
        <v>2586</v>
      </c>
      <c r="D1260" s="2" t="s">
        <v>20</v>
      </c>
      <c r="E1260" s="2" t="s">
        <v>8</v>
      </c>
      <c r="F1260" s="16"/>
      <c r="G1260" s="16"/>
      <c r="H1260" s="16">
        <f>VLOOKUP(B:B,'[1]Master Sheet'!$B:$H,7,0)</f>
        <v>0</v>
      </c>
      <c r="I1260" s="16">
        <f>VLOOKUP(B:B,'[1]Master Sheet'!$B:$I,8,0)</f>
        <v>0</v>
      </c>
      <c r="J1260" s="16"/>
      <c r="K1260" s="3" t="s">
        <v>2991</v>
      </c>
      <c r="L1260" s="3" t="s">
        <v>3057</v>
      </c>
      <c r="M1260" s="3" t="s">
        <v>3056</v>
      </c>
      <c r="N1260" s="3"/>
      <c r="O1260" s="3"/>
    </row>
    <row r="1261" spans="1:15" s="4" customFormat="1">
      <c r="A1261" s="2">
        <v>1260</v>
      </c>
      <c r="B1261" s="3" t="s">
        <v>2793</v>
      </c>
      <c r="C1261" s="3" t="s">
        <v>2794</v>
      </c>
      <c r="D1261" s="2" t="s">
        <v>7</v>
      </c>
      <c r="E1261" s="2" t="s">
        <v>8</v>
      </c>
      <c r="F1261" s="16"/>
      <c r="G1261" s="16"/>
      <c r="H1261" s="16">
        <f>VLOOKUP(B:B,'[1]Master Sheet'!$B:$H,7,0)</f>
        <v>0</v>
      </c>
      <c r="I1261" s="16">
        <f>VLOOKUP(B:B,'[1]Master Sheet'!$B:$I,8,0)</f>
        <v>0</v>
      </c>
      <c r="J1261" s="16"/>
      <c r="K1261" s="3" t="s">
        <v>2965</v>
      </c>
      <c r="L1261" s="3" t="s">
        <v>3055</v>
      </c>
      <c r="M1261" s="3" t="s">
        <v>3058</v>
      </c>
      <c r="N1261" s="3"/>
      <c r="O1261" s="3"/>
    </row>
    <row r="1262" spans="1:15" s="4" customFormat="1">
      <c r="A1262" s="2">
        <v>1261</v>
      </c>
      <c r="B1262" s="3" t="s">
        <v>2795</v>
      </c>
      <c r="C1262" s="3" t="s">
        <v>2796</v>
      </c>
      <c r="D1262" s="2" t="s">
        <v>17</v>
      </c>
      <c r="E1262" s="2" t="s">
        <v>8</v>
      </c>
      <c r="F1262" s="16"/>
      <c r="G1262" s="16"/>
      <c r="H1262" s="16">
        <f>VLOOKUP(B:B,'[1]Master Sheet'!$B:$H,7,0)</f>
        <v>0</v>
      </c>
      <c r="I1262" s="16">
        <f>VLOOKUP(B:B,'[1]Master Sheet'!$B:$I,8,0)</f>
        <v>0</v>
      </c>
      <c r="J1262" s="16"/>
      <c r="K1262" s="3" t="s">
        <v>3006</v>
      </c>
      <c r="L1262" s="3" t="s">
        <v>3060</v>
      </c>
      <c r="M1262" s="3" t="s">
        <v>3058</v>
      </c>
      <c r="N1262" s="3"/>
      <c r="O1262" s="3"/>
    </row>
    <row r="1263" spans="1:15" s="4" customFormat="1">
      <c r="A1263" s="2">
        <v>1262</v>
      </c>
      <c r="B1263" s="3" t="s">
        <v>2591</v>
      </c>
      <c r="C1263" s="3" t="s">
        <v>2592</v>
      </c>
      <c r="D1263" s="2" t="s">
        <v>17</v>
      </c>
      <c r="E1263" s="2" t="s">
        <v>8</v>
      </c>
      <c r="F1263" s="16"/>
      <c r="G1263" s="16"/>
      <c r="H1263" s="16">
        <f>VLOOKUP(B:B,'[1]Master Sheet'!$B:$H,7,0)</f>
        <v>0</v>
      </c>
      <c r="I1263" s="16">
        <f>VLOOKUP(B:B,'[1]Master Sheet'!$B:$I,8,0)</f>
        <v>0</v>
      </c>
      <c r="J1263" s="16"/>
      <c r="K1263" s="3" t="s">
        <v>2972</v>
      </c>
      <c r="L1263" s="3" t="s">
        <v>3057</v>
      </c>
      <c r="M1263" s="3" t="s">
        <v>3058</v>
      </c>
      <c r="N1263" s="3"/>
      <c r="O1263" s="3"/>
    </row>
    <row r="1264" spans="1:15" s="4" customFormat="1">
      <c r="A1264" s="2">
        <v>1263</v>
      </c>
      <c r="B1264" s="3" t="s">
        <v>2799</v>
      </c>
      <c r="C1264" s="3" t="s">
        <v>2800</v>
      </c>
      <c r="D1264" s="2" t="s">
        <v>7</v>
      </c>
      <c r="E1264" s="2" t="s">
        <v>8</v>
      </c>
      <c r="F1264" s="16"/>
      <c r="G1264" s="16"/>
      <c r="H1264" s="16">
        <f>VLOOKUP(B:B,'[1]Master Sheet'!$B:$H,7,0)</f>
        <v>0</v>
      </c>
      <c r="I1264" s="16">
        <f>VLOOKUP(B:B,'[1]Master Sheet'!$B:$I,8,0)</f>
        <v>0</v>
      </c>
      <c r="J1264" s="16"/>
      <c r="K1264" s="3" t="s">
        <v>2965</v>
      </c>
      <c r="L1264" s="3" t="s">
        <v>3055</v>
      </c>
      <c r="M1264" s="3" t="s">
        <v>3056</v>
      </c>
      <c r="N1264" s="3"/>
      <c r="O1264" s="3"/>
    </row>
    <row r="1265" spans="1:15" s="4" customFormat="1">
      <c r="A1265" s="2">
        <v>1264</v>
      </c>
      <c r="B1265" s="3" t="s">
        <v>2801</v>
      </c>
      <c r="C1265" s="3" t="s">
        <v>2802</v>
      </c>
      <c r="D1265" s="2" t="s">
        <v>17</v>
      </c>
      <c r="E1265" s="2" t="s">
        <v>8</v>
      </c>
      <c r="F1265" s="16"/>
      <c r="G1265" s="16"/>
      <c r="H1265" s="16">
        <f>VLOOKUP(B:B,'[1]Master Sheet'!$B:$H,7,0)</f>
        <v>500</v>
      </c>
      <c r="I1265" s="16">
        <f>VLOOKUP(B:B,'[1]Master Sheet'!$B:$I,8,0)</f>
        <v>0</v>
      </c>
      <c r="J1265" s="16"/>
      <c r="K1265" s="3" t="s">
        <v>2972</v>
      </c>
      <c r="L1265" s="3" t="s">
        <v>3055</v>
      </c>
      <c r="M1265" s="3" t="s">
        <v>3056</v>
      </c>
      <c r="N1265" s="3"/>
      <c r="O1265" s="3"/>
    </row>
    <row r="1266" spans="1:15" s="4" customFormat="1">
      <c r="A1266" s="2">
        <v>1265</v>
      </c>
      <c r="B1266" s="3" t="s">
        <v>2621</v>
      </c>
      <c r="C1266" s="3" t="s">
        <v>2622</v>
      </c>
      <c r="D1266" s="2" t="s">
        <v>20</v>
      </c>
      <c r="E1266" s="2" t="s">
        <v>8</v>
      </c>
      <c r="F1266" s="16"/>
      <c r="G1266" s="16"/>
      <c r="H1266" s="16">
        <f>VLOOKUP(B:B,'[1]Master Sheet'!$B:$H,7,0)</f>
        <v>200</v>
      </c>
      <c r="I1266" s="16">
        <f>VLOOKUP(B:B,'[1]Master Sheet'!$B:$I,8,0)</f>
        <v>400</v>
      </c>
      <c r="J1266" s="16"/>
      <c r="K1266" s="3" t="s">
        <v>3031</v>
      </c>
      <c r="L1266" s="3" t="s">
        <v>3057</v>
      </c>
      <c r="M1266" s="3" t="s">
        <v>3056</v>
      </c>
      <c r="N1266" s="3"/>
      <c r="O1266" s="3"/>
    </row>
    <row r="1267" spans="1:15" s="4" customFormat="1">
      <c r="A1267" s="2">
        <v>1266</v>
      </c>
      <c r="B1267" s="3" t="s">
        <v>2805</v>
      </c>
      <c r="C1267" s="3" t="s">
        <v>2806</v>
      </c>
      <c r="D1267" s="2" t="s">
        <v>17</v>
      </c>
      <c r="E1267" s="2" t="s">
        <v>8</v>
      </c>
      <c r="F1267" s="16"/>
      <c r="G1267" s="16"/>
      <c r="H1267" s="16">
        <f>VLOOKUP(B:B,'[1]Master Sheet'!$B:$H,7,0)</f>
        <v>1000</v>
      </c>
      <c r="I1267" s="16">
        <f>VLOOKUP(B:B,'[1]Master Sheet'!$B:$I,8,0)</f>
        <v>0</v>
      </c>
      <c r="J1267" s="16"/>
      <c r="K1267" s="3" t="s">
        <v>2972</v>
      </c>
      <c r="L1267" s="3" t="s">
        <v>3055</v>
      </c>
      <c r="M1267" s="3" t="s">
        <v>3056</v>
      </c>
      <c r="N1267" s="3"/>
      <c r="O1267" s="3"/>
    </row>
    <row r="1268" spans="1:15" s="4" customFormat="1">
      <c r="A1268" s="2">
        <v>1267</v>
      </c>
      <c r="B1268" s="3" t="s">
        <v>2627</v>
      </c>
      <c r="C1268" s="3" t="s">
        <v>2628</v>
      </c>
      <c r="D1268" s="2" t="s">
        <v>17</v>
      </c>
      <c r="E1268" s="2" t="s">
        <v>8</v>
      </c>
      <c r="F1268" s="16"/>
      <c r="G1268" s="16"/>
      <c r="H1268" s="16">
        <f>VLOOKUP(B:B,'[1]Master Sheet'!$B:$H,7,0)</f>
        <v>0</v>
      </c>
      <c r="I1268" s="16">
        <f>VLOOKUP(B:B,'[1]Master Sheet'!$B:$I,8,0)</f>
        <v>0</v>
      </c>
      <c r="J1268" s="16"/>
      <c r="K1268" s="3" t="s">
        <v>2972</v>
      </c>
      <c r="L1268" s="3" t="s">
        <v>3057</v>
      </c>
      <c r="M1268" s="3" t="s">
        <v>3056</v>
      </c>
      <c r="N1268" s="3"/>
      <c r="O1268" s="3"/>
    </row>
    <row r="1269" spans="1:15" s="4" customFormat="1">
      <c r="A1269" s="2">
        <v>1268</v>
      </c>
      <c r="B1269" s="3" t="s">
        <v>2629</v>
      </c>
      <c r="C1269" s="3" t="s">
        <v>2630</v>
      </c>
      <c r="D1269" s="2" t="s">
        <v>20</v>
      </c>
      <c r="E1269" s="2" t="s">
        <v>8</v>
      </c>
      <c r="F1269" s="16"/>
      <c r="G1269" s="16"/>
      <c r="H1269" s="16">
        <f>VLOOKUP(B:B,'[1]Master Sheet'!$B:$H,7,0)</f>
        <v>0</v>
      </c>
      <c r="I1269" s="16">
        <f>VLOOKUP(B:B,'[1]Master Sheet'!$B:$I,8,0)</f>
        <v>0</v>
      </c>
      <c r="J1269" s="16"/>
      <c r="K1269" s="3" t="s">
        <v>2991</v>
      </c>
      <c r="L1269" s="3" t="s">
        <v>3057</v>
      </c>
      <c r="M1269" s="3" t="s">
        <v>3056</v>
      </c>
      <c r="N1269" s="3"/>
      <c r="O1269" s="3"/>
    </row>
    <row r="1270" spans="1:15" s="4" customFormat="1">
      <c r="A1270" s="2">
        <v>1269</v>
      </c>
      <c r="B1270" s="3" t="s">
        <v>2631</v>
      </c>
      <c r="C1270" s="3" t="s">
        <v>2632</v>
      </c>
      <c r="D1270" s="2" t="s">
        <v>17</v>
      </c>
      <c r="E1270" s="2" t="s">
        <v>8</v>
      </c>
      <c r="F1270" s="16"/>
      <c r="G1270" s="16"/>
      <c r="H1270" s="16">
        <f>VLOOKUP(B:B,'[1]Master Sheet'!$B:$H,7,0)</f>
        <v>0</v>
      </c>
      <c r="I1270" s="16">
        <f>VLOOKUP(B:B,'[1]Master Sheet'!$B:$I,8,0)</f>
        <v>0</v>
      </c>
      <c r="J1270" s="16"/>
      <c r="K1270" s="3" t="s">
        <v>2972</v>
      </c>
      <c r="L1270" s="3" t="s">
        <v>3057</v>
      </c>
      <c r="M1270" s="3" t="s">
        <v>3056</v>
      </c>
      <c r="N1270" s="3"/>
      <c r="O1270" s="3"/>
    </row>
    <row r="1271" spans="1:15" s="4" customFormat="1">
      <c r="A1271" s="2">
        <v>1270</v>
      </c>
      <c r="B1271" s="3" t="s">
        <v>2633</v>
      </c>
      <c r="C1271" s="3" t="s">
        <v>2634</v>
      </c>
      <c r="D1271" s="2" t="s">
        <v>17</v>
      </c>
      <c r="E1271" s="2" t="s">
        <v>8</v>
      </c>
      <c r="F1271" s="16"/>
      <c r="G1271" s="16"/>
      <c r="H1271" s="16">
        <f>VLOOKUP(B:B,'[1]Master Sheet'!$B:$H,7,0)</f>
        <v>0</v>
      </c>
      <c r="I1271" s="16">
        <f>VLOOKUP(B:B,'[1]Master Sheet'!$B:$I,8,0)</f>
        <v>0</v>
      </c>
      <c r="J1271" s="16"/>
      <c r="K1271" s="3" t="s">
        <v>2972</v>
      </c>
      <c r="L1271" s="3" t="s">
        <v>3057</v>
      </c>
      <c r="M1271" s="3" t="s">
        <v>3056</v>
      </c>
      <c r="N1271" s="3"/>
      <c r="O1271" s="3"/>
    </row>
    <row r="1272" spans="1:15" s="4" customFormat="1">
      <c r="A1272" s="2">
        <v>1271</v>
      </c>
      <c r="B1272" s="3" t="s">
        <v>2635</v>
      </c>
      <c r="C1272" s="3" t="s">
        <v>2636</v>
      </c>
      <c r="D1272" s="2" t="s">
        <v>17</v>
      </c>
      <c r="E1272" s="2" t="s">
        <v>8</v>
      </c>
      <c r="F1272" s="16"/>
      <c r="G1272" s="16"/>
      <c r="H1272" s="16">
        <f>VLOOKUP(B:B,'[1]Master Sheet'!$B:$H,7,0)</f>
        <v>0</v>
      </c>
      <c r="I1272" s="16">
        <f>VLOOKUP(B:B,'[1]Master Sheet'!$B:$I,8,0)</f>
        <v>0</v>
      </c>
      <c r="J1272" s="16"/>
      <c r="K1272" s="3" t="s">
        <v>2972</v>
      </c>
      <c r="L1272" s="3" t="s">
        <v>3057</v>
      </c>
      <c r="M1272" s="3" t="s">
        <v>3056</v>
      </c>
      <c r="N1272" s="3"/>
      <c r="O1272" s="3"/>
    </row>
    <row r="1273" spans="1:15" s="4" customFormat="1">
      <c r="A1273" s="2">
        <v>1272</v>
      </c>
      <c r="B1273" s="3" t="s">
        <v>2791</v>
      </c>
      <c r="C1273" s="3" t="s">
        <v>2792</v>
      </c>
      <c r="D1273" s="2" t="s">
        <v>7</v>
      </c>
      <c r="E1273" s="2" t="s">
        <v>8</v>
      </c>
      <c r="F1273" s="16"/>
      <c r="G1273" s="16"/>
      <c r="H1273" s="16">
        <f>VLOOKUP(B:B,'[1]Master Sheet'!$B:$H,7,0)</f>
        <v>40000</v>
      </c>
      <c r="I1273" s="16">
        <f>VLOOKUP(B:B,'[1]Master Sheet'!$B:$I,8,0)</f>
        <v>0</v>
      </c>
      <c r="J1273" s="16"/>
      <c r="K1273" s="3" t="s">
        <v>2972</v>
      </c>
      <c r="L1273" s="3" t="s">
        <v>3057</v>
      </c>
      <c r="M1273" s="3" t="s">
        <v>3056</v>
      </c>
      <c r="N1273" s="3"/>
      <c r="O1273" s="3"/>
    </row>
    <row r="1274" spans="1:15" s="4" customFormat="1">
      <c r="A1274" s="2">
        <v>1273</v>
      </c>
      <c r="B1274" s="3" t="s">
        <v>2797</v>
      </c>
      <c r="C1274" s="3" t="s">
        <v>2798</v>
      </c>
      <c r="D1274" s="2" t="s">
        <v>17</v>
      </c>
      <c r="E1274" s="2" t="s">
        <v>8</v>
      </c>
      <c r="F1274" s="16"/>
      <c r="G1274" s="16"/>
      <c r="H1274" s="16">
        <f>VLOOKUP(B:B,'[1]Master Sheet'!$B:$H,7,0)</f>
        <v>50000</v>
      </c>
      <c r="I1274" s="16">
        <f>VLOOKUP(B:B,'[1]Master Sheet'!$B:$I,8,0)</f>
        <v>0</v>
      </c>
      <c r="J1274" s="16"/>
      <c r="K1274" s="3" t="s">
        <v>2972</v>
      </c>
      <c r="L1274" s="3" t="s">
        <v>3057</v>
      </c>
      <c r="M1274" s="3" t="s">
        <v>3056</v>
      </c>
      <c r="N1274" s="3"/>
      <c r="O1274" s="3"/>
    </row>
    <row r="1275" spans="1:15" s="4" customFormat="1">
      <c r="A1275" s="2">
        <v>1274</v>
      </c>
      <c r="B1275" s="3" t="s">
        <v>2807</v>
      </c>
      <c r="C1275" s="3" t="s">
        <v>2808</v>
      </c>
      <c r="D1275" s="2" t="s">
        <v>17</v>
      </c>
      <c r="E1275" s="2" t="s">
        <v>8</v>
      </c>
      <c r="F1275" s="16"/>
      <c r="G1275" s="16"/>
      <c r="H1275" s="16">
        <f>VLOOKUP(B:B,'[1]Master Sheet'!$B:$H,7,0)</f>
        <v>0</v>
      </c>
      <c r="I1275" s="16">
        <f>VLOOKUP(B:B,'[1]Master Sheet'!$B:$I,8,0)</f>
        <v>0</v>
      </c>
      <c r="J1275" s="16"/>
      <c r="K1275" s="3" t="s">
        <v>2991</v>
      </c>
      <c r="L1275" s="3" t="s">
        <v>3057</v>
      </c>
      <c r="M1275" s="3" t="s">
        <v>3056</v>
      </c>
      <c r="N1275" s="3"/>
      <c r="O1275" s="3"/>
    </row>
    <row r="1276" spans="1:15" s="4" customFormat="1">
      <c r="A1276" s="2">
        <v>1275</v>
      </c>
      <c r="B1276" s="3" t="s">
        <v>2809</v>
      </c>
      <c r="C1276" s="3" t="s">
        <v>2810</v>
      </c>
      <c r="D1276" s="2" t="s">
        <v>17</v>
      </c>
      <c r="E1276" s="2" t="s">
        <v>8</v>
      </c>
      <c r="F1276" s="16"/>
      <c r="G1276" s="16"/>
      <c r="H1276" s="16">
        <f>VLOOKUP(B:B,'[1]Master Sheet'!$B:$H,7,0)</f>
        <v>0</v>
      </c>
      <c r="I1276" s="16">
        <f>VLOOKUP(B:B,'[1]Master Sheet'!$B:$I,8,0)</f>
        <v>0</v>
      </c>
      <c r="J1276" s="16"/>
      <c r="K1276" s="3" t="s">
        <v>3052</v>
      </c>
      <c r="L1276" s="3" t="s">
        <v>3057</v>
      </c>
      <c r="M1276" s="3" t="s">
        <v>3056</v>
      </c>
      <c r="N1276" s="3"/>
      <c r="O1276" s="3"/>
    </row>
    <row r="1277" spans="1:15" s="4" customFormat="1">
      <c r="A1277" s="2">
        <v>1276</v>
      </c>
      <c r="B1277" s="3" t="s">
        <v>2811</v>
      </c>
      <c r="C1277" s="3" t="s">
        <v>2812</v>
      </c>
      <c r="D1277" s="2" t="s">
        <v>17</v>
      </c>
      <c r="E1277" s="2" t="s">
        <v>8</v>
      </c>
      <c r="F1277" s="16"/>
      <c r="G1277" s="16"/>
      <c r="H1277" s="16">
        <f>VLOOKUP(B:B,'[1]Master Sheet'!$B:$H,7,0)</f>
        <v>250</v>
      </c>
      <c r="I1277" s="16">
        <f>VLOOKUP(B:B,'[1]Master Sheet'!$B:$I,8,0)</f>
        <v>0</v>
      </c>
      <c r="J1277" s="16"/>
      <c r="K1277" s="3" t="s">
        <v>3012</v>
      </c>
      <c r="L1277" s="3" t="s">
        <v>3057</v>
      </c>
      <c r="M1277" s="3" t="s">
        <v>3056</v>
      </c>
      <c r="N1277" s="3"/>
      <c r="O1277" s="3"/>
    </row>
    <row r="1278" spans="1:15" s="4" customFormat="1">
      <c r="A1278" s="2">
        <v>1277</v>
      </c>
      <c r="B1278" s="3" t="s">
        <v>2813</v>
      </c>
      <c r="C1278" s="3" t="s">
        <v>2814</v>
      </c>
      <c r="D1278" s="2" t="s">
        <v>17</v>
      </c>
      <c r="E1278" s="2" t="s">
        <v>8</v>
      </c>
      <c r="F1278" s="16"/>
      <c r="G1278" s="16"/>
      <c r="H1278" s="16">
        <f>VLOOKUP(B:B,'[1]Master Sheet'!$B:$H,7,0)</f>
        <v>1000</v>
      </c>
      <c r="I1278" s="16">
        <f>VLOOKUP(B:B,'[1]Master Sheet'!$B:$I,8,0)</f>
        <v>0</v>
      </c>
      <c r="J1278" s="16"/>
      <c r="K1278" s="3" t="s">
        <v>3012</v>
      </c>
      <c r="L1278" s="3" t="s">
        <v>3057</v>
      </c>
      <c r="M1278" s="3" t="s">
        <v>3056</v>
      </c>
      <c r="N1278" s="3"/>
      <c r="O1278" s="3"/>
    </row>
    <row r="1279" spans="1:15" s="4" customFormat="1">
      <c r="A1279" s="2">
        <v>1278</v>
      </c>
      <c r="B1279" s="3" t="s">
        <v>2817</v>
      </c>
      <c r="C1279" s="3" t="s">
        <v>2818</v>
      </c>
      <c r="D1279" s="2" t="s">
        <v>17</v>
      </c>
      <c r="E1279" s="2" t="s">
        <v>8</v>
      </c>
      <c r="F1279" s="16"/>
      <c r="G1279" s="16"/>
      <c r="H1279" s="16">
        <f>VLOOKUP(B:B,'[1]Master Sheet'!$B:$H,7,0)</f>
        <v>1000</v>
      </c>
      <c r="I1279" s="16">
        <f>VLOOKUP(B:B,'[1]Master Sheet'!$B:$I,8,0)</f>
        <v>0</v>
      </c>
      <c r="J1279" s="16"/>
      <c r="K1279" s="3" t="s">
        <v>3012</v>
      </c>
      <c r="L1279" s="3" t="s">
        <v>3057</v>
      </c>
      <c r="M1279" s="3" t="s">
        <v>3056</v>
      </c>
      <c r="N1279" s="3"/>
      <c r="O1279" s="3"/>
    </row>
    <row r="1280" spans="1:15" s="4" customFormat="1">
      <c r="A1280" s="2">
        <v>1279</v>
      </c>
      <c r="B1280" s="3" t="s">
        <v>2819</v>
      </c>
      <c r="C1280" s="3" t="s">
        <v>2820</v>
      </c>
      <c r="D1280" s="2" t="s">
        <v>17</v>
      </c>
      <c r="E1280" s="2" t="s">
        <v>8</v>
      </c>
      <c r="F1280" s="16"/>
      <c r="G1280" s="16"/>
      <c r="H1280" s="16">
        <f>VLOOKUP(B:B,'[1]Master Sheet'!$B:$H,7,0)</f>
        <v>200</v>
      </c>
      <c r="I1280" s="16">
        <f>VLOOKUP(B:B,'[1]Master Sheet'!$B:$I,8,0)</f>
        <v>0</v>
      </c>
      <c r="J1280" s="16"/>
      <c r="K1280" s="3" t="s">
        <v>3012</v>
      </c>
      <c r="L1280" s="3" t="s">
        <v>3057</v>
      </c>
      <c r="M1280" s="3" t="s">
        <v>3056</v>
      </c>
      <c r="N1280" s="3"/>
      <c r="O1280" s="3"/>
    </row>
    <row r="1281" spans="1:15" s="4" customFormat="1">
      <c r="A1281" s="2">
        <v>1280</v>
      </c>
      <c r="B1281" s="3" t="s">
        <v>2821</v>
      </c>
      <c r="C1281" s="3" t="s">
        <v>2822</v>
      </c>
      <c r="D1281" s="2" t="s">
        <v>17</v>
      </c>
      <c r="E1281" s="2" t="s">
        <v>8</v>
      </c>
      <c r="F1281" s="16"/>
      <c r="G1281" s="16"/>
      <c r="H1281" s="16">
        <f>VLOOKUP(B:B,'[1]Master Sheet'!$B:$H,7,0)</f>
        <v>1500</v>
      </c>
      <c r="I1281" s="16">
        <f>VLOOKUP(B:B,'[1]Master Sheet'!$B:$I,8,0)</f>
        <v>0</v>
      </c>
      <c r="J1281" s="16"/>
      <c r="K1281" s="3" t="s">
        <v>3012</v>
      </c>
      <c r="L1281" s="3" t="s">
        <v>3057</v>
      </c>
      <c r="M1281" s="3" t="s">
        <v>3056</v>
      </c>
      <c r="N1281" s="3"/>
      <c r="O1281" s="3"/>
    </row>
    <row r="1282" spans="1:15" s="4" customFormat="1">
      <c r="A1282" s="2">
        <v>1281</v>
      </c>
      <c r="B1282" s="3" t="s">
        <v>2825</v>
      </c>
      <c r="C1282" s="3" t="s">
        <v>2826</v>
      </c>
      <c r="D1282" s="2" t="s">
        <v>17</v>
      </c>
      <c r="E1282" s="2" t="s">
        <v>8</v>
      </c>
      <c r="F1282" s="16"/>
      <c r="G1282" s="16"/>
      <c r="H1282" s="16">
        <f>VLOOKUP(B:B,'[1]Master Sheet'!$B:$H,7,0)</f>
        <v>1000</v>
      </c>
      <c r="I1282" s="16">
        <f>VLOOKUP(B:B,'[1]Master Sheet'!$B:$I,8,0)</f>
        <v>0</v>
      </c>
      <c r="J1282" s="16"/>
      <c r="K1282" s="3" t="s">
        <v>3012</v>
      </c>
      <c r="L1282" s="3" t="s">
        <v>3057</v>
      </c>
      <c r="M1282" s="3" t="s">
        <v>3056</v>
      </c>
      <c r="N1282" s="3"/>
      <c r="O1282" s="3"/>
    </row>
    <row r="1283" spans="1:15" s="4" customFormat="1">
      <c r="A1283" s="2">
        <v>1282</v>
      </c>
      <c r="B1283" s="3" t="s">
        <v>2827</v>
      </c>
      <c r="C1283" s="3" t="s">
        <v>2828</v>
      </c>
      <c r="D1283" s="2" t="s">
        <v>17</v>
      </c>
      <c r="E1283" s="2" t="s">
        <v>8</v>
      </c>
      <c r="F1283" s="16"/>
      <c r="G1283" s="16"/>
      <c r="H1283" s="16">
        <f>VLOOKUP(B:B,'[1]Master Sheet'!$B:$H,7,0)</f>
        <v>400</v>
      </c>
      <c r="I1283" s="16">
        <f>VLOOKUP(B:B,'[1]Master Sheet'!$B:$I,8,0)</f>
        <v>0</v>
      </c>
      <c r="J1283" s="16"/>
      <c r="K1283" s="3" t="s">
        <v>3012</v>
      </c>
      <c r="L1283" s="3" t="s">
        <v>3057</v>
      </c>
      <c r="M1283" s="3" t="s">
        <v>3056</v>
      </c>
      <c r="N1283" s="3"/>
      <c r="O1283" s="3"/>
    </row>
    <row r="1284" spans="1:15" s="4" customFormat="1">
      <c r="A1284" s="2">
        <v>1283</v>
      </c>
      <c r="B1284" s="3" t="s">
        <v>2829</v>
      </c>
      <c r="C1284" s="3" t="s">
        <v>2830</v>
      </c>
      <c r="D1284" s="2" t="s">
        <v>17</v>
      </c>
      <c r="E1284" s="2" t="s">
        <v>8</v>
      </c>
      <c r="F1284" s="16"/>
      <c r="G1284" s="16"/>
      <c r="H1284" s="16">
        <f>VLOOKUP(B:B,'[1]Master Sheet'!$B:$H,7,0)</f>
        <v>1500</v>
      </c>
      <c r="I1284" s="16">
        <f>VLOOKUP(B:B,'[1]Master Sheet'!$B:$I,8,0)</f>
        <v>0</v>
      </c>
      <c r="J1284" s="16"/>
      <c r="K1284" s="3" t="s">
        <v>3012</v>
      </c>
      <c r="L1284" s="3" t="s">
        <v>3057</v>
      </c>
      <c r="M1284" s="3" t="s">
        <v>3056</v>
      </c>
      <c r="N1284" s="3"/>
      <c r="O1284" s="3"/>
    </row>
    <row r="1285" spans="1:15" s="4" customFormat="1">
      <c r="A1285" s="2">
        <v>1284</v>
      </c>
      <c r="B1285" s="3" t="s">
        <v>2831</v>
      </c>
      <c r="C1285" s="3" t="s">
        <v>2832</v>
      </c>
      <c r="D1285" s="2" t="s">
        <v>17</v>
      </c>
      <c r="E1285" s="2" t="s">
        <v>8</v>
      </c>
      <c r="F1285" s="16"/>
      <c r="G1285" s="16"/>
      <c r="H1285" s="16">
        <f>VLOOKUP(B:B,'[1]Master Sheet'!$B:$H,7,0)</f>
        <v>15</v>
      </c>
      <c r="I1285" s="16">
        <f>VLOOKUP(B:B,'[1]Master Sheet'!$B:$I,8,0)</f>
        <v>10</v>
      </c>
      <c r="J1285" s="16"/>
      <c r="K1285" s="3" t="s">
        <v>3012</v>
      </c>
      <c r="L1285" s="3" t="s">
        <v>3057</v>
      </c>
      <c r="M1285" s="3" t="s">
        <v>3056</v>
      </c>
      <c r="N1285" s="3"/>
      <c r="O1285" s="3"/>
    </row>
    <row r="1286" spans="1:15" s="4" customFormat="1">
      <c r="A1286" s="2">
        <v>1285</v>
      </c>
      <c r="B1286" s="3" t="s">
        <v>2833</v>
      </c>
      <c r="C1286" s="3" t="s">
        <v>2834</v>
      </c>
      <c r="D1286" s="2" t="s">
        <v>17</v>
      </c>
      <c r="E1286" s="2" t="s">
        <v>8</v>
      </c>
      <c r="F1286" s="16"/>
      <c r="G1286" s="16"/>
      <c r="H1286" s="16">
        <f>VLOOKUP(B:B,'[1]Master Sheet'!$B:$H,7,0)</f>
        <v>0</v>
      </c>
      <c r="I1286" s="16">
        <f>VLOOKUP(B:B,'[1]Master Sheet'!$B:$I,8,0)</f>
        <v>0</v>
      </c>
      <c r="J1286" s="16"/>
      <c r="K1286" s="3" t="s">
        <v>3012</v>
      </c>
      <c r="L1286" s="3" t="s">
        <v>3057</v>
      </c>
      <c r="M1286" s="3" t="s">
        <v>3056</v>
      </c>
      <c r="N1286" s="3"/>
      <c r="O1286" s="3"/>
    </row>
    <row r="1287" spans="1:15" s="4" customFormat="1">
      <c r="A1287" s="2">
        <v>1286</v>
      </c>
      <c r="B1287" s="3" t="s">
        <v>2841</v>
      </c>
      <c r="C1287" s="3" t="s">
        <v>2842</v>
      </c>
      <c r="D1287" s="2" t="s">
        <v>17</v>
      </c>
      <c r="E1287" s="2" t="s">
        <v>8</v>
      </c>
      <c r="F1287" s="16"/>
      <c r="G1287" s="16"/>
      <c r="H1287" s="16">
        <f>VLOOKUP(B:B,'[1]Master Sheet'!$B:$H,7,0)</f>
        <v>0</v>
      </c>
      <c r="I1287" s="16">
        <f>VLOOKUP(B:B,'[1]Master Sheet'!$B:$I,8,0)</f>
        <v>0</v>
      </c>
      <c r="J1287" s="16"/>
      <c r="K1287" s="3" t="s">
        <v>3012</v>
      </c>
      <c r="L1287" s="3" t="s">
        <v>3057</v>
      </c>
      <c r="M1287" s="3" t="s">
        <v>3056</v>
      </c>
      <c r="N1287" s="3"/>
      <c r="O1287" s="3"/>
    </row>
    <row r="1288" spans="1:15" s="4" customFormat="1">
      <c r="A1288" s="2">
        <v>1287</v>
      </c>
      <c r="B1288" s="3" t="s">
        <v>2843</v>
      </c>
      <c r="C1288" s="3" t="s">
        <v>2844</v>
      </c>
      <c r="D1288" s="2" t="s">
        <v>20</v>
      </c>
      <c r="E1288" s="2" t="s">
        <v>8</v>
      </c>
      <c r="F1288" s="16"/>
      <c r="G1288" s="16"/>
      <c r="H1288" s="16">
        <f>VLOOKUP(B:B,'[1]Master Sheet'!$B:$H,7,0)</f>
        <v>0</v>
      </c>
      <c r="I1288" s="16">
        <f>VLOOKUP(B:B,'[1]Master Sheet'!$B:$I,8,0)</f>
        <v>0</v>
      </c>
      <c r="J1288" s="16"/>
      <c r="K1288" s="3" t="s">
        <v>3012</v>
      </c>
      <c r="L1288" s="3" t="s">
        <v>3057</v>
      </c>
      <c r="M1288" s="3" t="s">
        <v>3056</v>
      </c>
      <c r="N1288" s="3"/>
      <c r="O1288" s="3"/>
    </row>
    <row r="1289" spans="1:15" s="4" customFormat="1">
      <c r="A1289" s="2">
        <v>1288</v>
      </c>
      <c r="B1289" s="3" t="s">
        <v>2845</v>
      </c>
      <c r="C1289" s="3" t="s">
        <v>2846</v>
      </c>
      <c r="D1289" s="2" t="s">
        <v>17</v>
      </c>
      <c r="E1289" s="2" t="s">
        <v>8</v>
      </c>
      <c r="F1289" s="16"/>
      <c r="G1289" s="16"/>
      <c r="H1289" s="16">
        <f>VLOOKUP(B:B,'[1]Master Sheet'!$B:$H,7,0)</f>
        <v>0</v>
      </c>
      <c r="I1289" s="16">
        <f>VLOOKUP(B:B,'[1]Master Sheet'!$B:$I,8,0)</f>
        <v>0</v>
      </c>
      <c r="J1289" s="16"/>
      <c r="K1289" s="3" t="s">
        <v>3012</v>
      </c>
      <c r="L1289" s="3" t="s">
        <v>3057</v>
      </c>
      <c r="M1289" s="3" t="s">
        <v>3056</v>
      </c>
      <c r="N1289" s="3"/>
      <c r="O1289" s="3"/>
    </row>
    <row r="1290" spans="1:15" s="4" customFormat="1">
      <c r="A1290" s="2">
        <v>1289</v>
      </c>
      <c r="B1290" s="3" t="s">
        <v>2847</v>
      </c>
      <c r="C1290" s="3" t="s">
        <v>2848</v>
      </c>
      <c r="D1290" s="2" t="s">
        <v>7</v>
      </c>
      <c r="E1290" s="2" t="s">
        <v>8</v>
      </c>
      <c r="F1290" s="16"/>
      <c r="G1290" s="16"/>
      <c r="H1290" s="16">
        <f>VLOOKUP(B:B,'[1]Master Sheet'!$B:$H,7,0)</f>
        <v>0</v>
      </c>
      <c r="I1290" s="16">
        <f>VLOOKUP(B:B,'[1]Master Sheet'!$B:$I,8,0)</f>
        <v>0</v>
      </c>
      <c r="J1290" s="16"/>
      <c r="K1290" s="3" t="s">
        <v>3012</v>
      </c>
      <c r="L1290" s="3" t="s">
        <v>3057</v>
      </c>
      <c r="M1290" s="3" t="s">
        <v>3056</v>
      </c>
      <c r="N1290" s="3"/>
      <c r="O1290" s="3"/>
    </row>
    <row r="1291" spans="1:15" s="4" customFormat="1">
      <c r="A1291" s="2">
        <v>1290</v>
      </c>
      <c r="B1291" s="3" t="s">
        <v>2849</v>
      </c>
      <c r="C1291" s="3" t="s">
        <v>2850</v>
      </c>
      <c r="D1291" s="2" t="s">
        <v>17</v>
      </c>
      <c r="E1291" s="2" t="s">
        <v>8</v>
      </c>
      <c r="F1291" s="16"/>
      <c r="G1291" s="16"/>
      <c r="H1291" s="16">
        <f>VLOOKUP(B:B,'[1]Master Sheet'!$B:$H,7,0)</f>
        <v>200</v>
      </c>
      <c r="I1291" s="16">
        <f>VLOOKUP(B:B,'[1]Master Sheet'!$B:$I,8,0)</f>
        <v>0</v>
      </c>
      <c r="J1291" s="16"/>
      <c r="K1291" s="3" t="s">
        <v>3012</v>
      </c>
      <c r="L1291" s="3" t="s">
        <v>3057</v>
      </c>
      <c r="M1291" s="3" t="s">
        <v>3056</v>
      </c>
      <c r="N1291" s="3"/>
      <c r="O1291" s="3"/>
    </row>
    <row r="1292" spans="1:15" s="4" customFormat="1">
      <c r="A1292" s="2">
        <v>1291</v>
      </c>
      <c r="B1292" s="3" t="s">
        <v>2857</v>
      </c>
      <c r="C1292" s="3" t="s">
        <v>2858</v>
      </c>
      <c r="D1292" s="2" t="s">
        <v>7</v>
      </c>
      <c r="E1292" s="2" t="s">
        <v>8</v>
      </c>
      <c r="F1292" s="16"/>
      <c r="G1292" s="16"/>
      <c r="H1292" s="16">
        <f>VLOOKUP(B:B,'[1]Master Sheet'!$B:$H,7,0)</f>
        <v>2000</v>
      </c>
      <c r="I1292" s="16">
        <f>VLOOKUP(B:B,'[1]Master Sheet'!$B:$I,8,0)</f>
        <v>3500</v>
      </c>
      <c r="J1292" s="16"/>
      <c r="K1292" s="3" t="s">
        <v>2965</v>
      </c>
      <c r="L1292" s="3" t="s">
        <v>3055</v>
      </c>
      <c r="M1292" s="3" t="s">
        <v>3056</v>
      </c>
      <c r="N1292" s="3"/>
      <c r="O1292" s="3"/>
    </row>
    <row r="1293" spans="1:15" s="4" customFormat="1">
      <c r="A1293" s="2">
        <v>1292</v>
      </c>
      <c r="B1293" s="3" t="s">
        <v>2861</v>
      </c>
      <c r="C1293" s="3" t="s">
        <v>2862</v>
      </c>
      <c r="D1293" s="2" t="s">
        <v>7</v>
      </c>
      <c r="E1293" s="2" t="s">
        <v>8</v>
      </c>
      <c r="F1293" s="16"/>
      <c r="G1293" s="16"/>
      <c r="H1293" s="16">
        <f>VLOOKUP(B:B,'[1]Master Sheet'!$B:$H,7,0)</f>
        <v>2000</v>
      </c>
      <c r="I1293" s="16">
        <f>VLOOKUP(B:B,'[1]Master Sheet'!$B:$I,8,0)</f>
        <v>2500</v>
      </c>
      <c r="J1293" s="16"/>
      <c r="K1293" s="3" t="s">
        <v>2965</v>
      </c>
      <c r="L1293" s="3" t="s">
        <v>3055</v>
      </c>
      <c r="M1293" s="3" t="s">
        <v>3056</v>
      </c>
      <c r="N1293" s="3"/>
      <c r="O1293" s="3"/>
    </row>
    <row r="1294" spans="1:15" s="4" customFormat="1">
      <c r="A1294" s="2">
        <v>1293</v>
      </c>
      <c r="B1294" s="3" t="s">
        <v>2875</v>
      </c>
      <c r="C1294" s="3" t="s">
        <v>2876</v>
      </c>
      <c r="D1294" s="2" t="s">
        <v>7</v>
      </c>
      <c r="E1294" s="2" t="s">
        <v>8</v>
      </c>
      <c r="F1294" s="16"/>
      <c r="G1294" s="16"/>
      <c r="H1294" s="16">
        <f>VLOOKUP(B:B,'[1]Master Sheet'!$B:$H,7,0)</f>
        <v>2000</v>
      </c>
      <c r="I1294" s="16">
        <f>VLOOKUP(B:B,'[1]Master Sheet'!$B:$I,8,0)</f>
        <v>200</v>
      </c>
      <c r="J1294" s="16"/>
      <c r="K1294" s="3" t="s">
        <v>2965</v>
      </c>
      <c r="L1294" s="3" t="s">
        <v>3055</v>
      </c>
      <c r="M1294" s="3" t="s">
        <v>3056</v>
      </c>
      <c r="N1294" s="3"/>
      <c r="O1294" s="3"/>
    </row>
    <row r="1295" spans="1:15" s="4" customFormat="1">
      <c r="A1295" s="2">
        <v>1294</v>
      </c>
      <c r="B1295" s="3" t="s">
        <v>2863</v>
      </c>
      <c r="C1295" s="3" t="s">
        <v>2864</v>
      </c>
      <c r="D1295" s="2" t="s">
        <v>7</v>
      </c>
      <c r="E1295" s="2" t="s">
        <v>8</v>
      </c>
      <c r="F1295" s="16"/>
      <c r="G1295" s="16"/>
      <c r="H1295" s="16">
        <f>VLOOKUP(B:B,'[1]Master Sheet'!$B:$H,7,0)</f>
        <v>0</v>
      </c>
      <c r="I1295" s="16">
        <f>VLOOKUP(B:B,'[1]Master Sheet'!$B:$I,8,0)</f>
        <v>0</v>
      </c>
      <c r="J1295" s="16"/>
      <c r="K1295" s="3" t="s">
        <v>2965</v>
      </c>
      <c r="L1295" s="3" t="s">
        <v>3055</v>
      </c>
      <c r="M1295" s="3" t="s">
        <v>3056</v>
      </c>
      <c r="N1295" s="3"/>
      <c r="O1295" s="3"/>
    </row>
    <row r="1296" spans="1:15" s="4" customFormat="1">
      <c r="A1296" s="2">
        <v>1295</v>
      </c>
      <c r="B1296" s="3" t="s">
        <v>2867</v>
      </c>
      <c r="C1296" s="3" t="s">
        <v>2868</v>
      </c>
      <c r="D1296" s="2" t="s">
        <v>7</v>
      </c>
      <c r="E1296" s="2" t="s">
        <v>8</v>
      </c>
      <c r="F1296" s="16"/>
      <c r="G1296" s="16"/>
      <c r="H1296" s="16">
        <f>VLOOKUP(B:B,'[1]Master Sheet'!$B:$H,7,0)</f>
        <v>0</v>
      </c>
      <c r="I1296" s="16">
        <f>VLOOKUP(B:B,'[1]Master Sheet'!$B:$I,8,0)</f>
        <v>0</v>
      </c>
      <c r="J1296" s="16"/>
      <c r="K1296" s="3" t="s">
        <v>2965</v>
      </c>
      <c r="L1296" s="3" t="s">
        <v>3055</v>
      </c>
      <c r="M1296" s="3" t="s">
        <v>3056</v>
      </c>
      <c r="N1296" s="3"/>
      <c r="O1296" s="3"/>
    </row>
    <row r="1297" spans="1:15" s="4" customFormat="1">
      <c r="A1297" s="2">
        <v>1296</v>
      </c>
      <c r="B1297" s="3" t="s">
        <v>2878</v>
      </c>
      <c r="C1297" s="3" t="s">
        <v>2879</v>
      </c>
      <c r="D1297" s="2" t="s">
        <v>17</v>
      </c>
      <c r="E1297" s="2" t="s">
        <v>8</v>
      </c>
      <c r="F1297" s="16"/>
      <c r="G1297" s="16"/>
      <c r="H1297" s="16">
        <f>VLOOKUP(B:B,'[1]Master Sheet'!$B:$H,7,0)</f>
        <v>0</v>
      </c>
      <c r="I1297" s="16">
        <f>VLOOKUP(B:B,'[1]Master Sheet'!$B:$I,8,0)</f>
        <v>0</v>
      </c>
      <c r="J1297" s="16"/>
      <c r="K1297" s="3" t="s">
        <v>2972</v>
      </c>
      <c r="L1297" s="3" t="s">
        <v>3055</v>
      </c>
      <c r="M1297" s="3" t="s">
        <v>3056</v>
      </c>
      <c r="N1297" s="3"/>
      <c r="O1297" s="3"/>
    </row>
    <row r="1298" spans="1:15" s="4" customFormat="1">
      <c r="A1298" s="2">
        <v>1297</v>
      </c>
      <c r="B1298" s="3" t="s">
        <v>2865</v>
      </c>
      <c r="C1298" s="3" t="s">
        <v>2866</v>
      </c>
      <c r="D1298" s="2" t="s">
        <v>7</v>
      </c>
      <c r="E1298" s="2" t="s">
        <v>8</v>
      </c>
      <c r="F1298" s="16"/>
      <c r="G1298" s="16"/>
      <c r="H1298" s="16">
        <f>VLOOKUP(B:B,'[1]Master Sheet'!$B:$H,7,0)</f>
        <v>0</v>
      </c>
      <c r="I1298" s="16">
        <f>VLOOKUP(B:B,'[1]Master Sheet'!$B:$I,8,0)</f>
        <v>0</v>
      </c>
      <c r="J1298" s="16"/>
      <c r="K1298" s="3" t="s">
        <v>2965</v>
      </c>
      <c r="L1298" s="3" t="s">
        <v>3055</v>
      </c>
      <c r="M1298" s="3" t="s">
        <v>3056</v>
      </c>
      <c r="N1298" s="3"/>
      <c r="O1298" s="3"/>
    </row>
    <row r="1299" spans="1:15" s="4" customFormat="1">
      <c r="A1299" s="2">
        <v>1298</v>
      </c>
      <c r="B1299" s="3" t="s">
        <v>2880</v>
      </c>
      <c r="C1299" s="3" t="s">
        <v>2881</v>
      </c>
      <c r="D1299" s="2" t="s">
        <v>17</v>
      </c>
      <c r="E1299" s="2" t="s">
        <v>8</v>
      </c>
      <c r="F1299" s="16"/>
      <c r="G1299" s="16"/>
      <c r="H1299" s="16">
        <f>VLOOKUP(B:B,'[1]Master Sheet'!$B:$H,7,0)</f>
        <v>150</v>
      </c>
      <c r="I1299" s="16">
        <f>VLOOKUP(B:B,'[1]Master Sheet'!$B:$I,8,0)</f>
        <v>0</v>
      </c>
      <c r="J1299" s="16"/>
      <c r="K1299" s="3" t="s">
        <v>2972</v>
      </c>
      <c r="L1299" s="3" t="s">
        <v>3055</v>
      </c>
      <c r="M1299" s="3" t="s">
        <v>3056</v>
      </c>
      <c r="N1299" s="3"/>
      <c r="O1299" s="3"/>
    </row>
    <row r="1300" spans="1:15" s="4" customFormat="1">
      <c r="A1300" s="2">
        <v>1299</v>
      </c>
      <c r="B1300" s="3" t="s">
        <v>2869</v>
      </c>
      <c r="C1300" s="3" t="s">
        <v>2870</v>
      </c>
      <c r="D1300" s="2" t="s">
        <v>7</v>
      </c>
      <c r="E1300" s="2" t="s">
        <v>8</v>
      </c>
      <c r="F1300" s="16"/>
      <c r="G1300" s="16"/>
      <c r="H1300" s="16">
        <f>VLOOKUP(B:B,'[1]Master Sheet'!$B:$H,7,0)</f>
        <v>0</v>
      </c>
      <c r="I1300" s="16">
        <f>VLOOKUP(B:B,'[1]Master Sheet'!$B:$I,8,0)</f>
        <v>0</v>
      </c>
      <c r="J1300" s="16"/>
      <c r="K1300" s="3" t="s">
        <v>2965</v>
      </c>
      <c r="L1300" s="3" t="s">
        <v>3055</v>
      </c>
      <c r="M1300" s="3" t="s">
        <v>3056</v>
      </c>
      <c r="N1300" s="3"/>
      <c r="O1300" s="3"/>
    </row>
    <row r="1301" spans="1:15" s="4" customFormat="1">
      <c r="A1301" s="2">
        <v>1300</v>
      </c>
      <c r="B1301" s="3" t="s">
        <v>2871</v>
      </c>
      <c r="C1301" s="3" t="s">
        <v>2872</v>
      </c>
      <c r="D1301" s="2" t="s">
        <v>7</v>
      </c>
      <c r="E1301" s="2" t="s">
        <v>8</v>
      </c>
      <c r="F1301" s="16"/>
      <c r="G1301" s="16"/>
      <c r="H1301" s="16">
        <f>VLOOKUP(B:B,'[1]Master Sheet'!$B:$H,7,0)</f>
        <v>0</v>
      </c>
      <c r="I1301" s="16">
        <f>VLOOKUP(B:B,'[1]Master Sheet'!$B:$I,8,0)</f>
        <v>0</v>
      </c>
      <c r="J1301" s="16"/>
      <c r="K1301" s="3" t="s">
        <v>2965</v>
      </c>
      <c r="L1301" s="3" t="s">
        <v>3055</v>
      </c>
      <c r="M1301" s="3" t="s">
        <v>3056</v>
      </c>
      <c r="N1301" s="3"/>
      <c r="O1301" s="3"/>
    </row>
    <row r="1302" spans="1:15" s="4" customFormat="1">
      <c r="A1302" s="2">
        <v>1301</v>
      </c>
      <c r="B1302" s="3" t="s">
        <v>2873</v>
      </c>
      <c r="C1302" s="3" t="s">
        <v>2874</v>
      </c>
      <c r="D1302" s="2" t="s">
        <v>7</v>
      </c>
      <c r="E1302" s="2" t="s">
        <v>8</v>
      </c>
      <c r="F1302" s="16"/>
      <c r="G1302" s="16"/>
      <c r="H1302" s="16">
        <f>VLOOKUP(B:B,'[1]Master Sheet'!$B:$H,7,0)</f>
        <v>0</v>
      </c>
      <c r="I1302" s="16">
        <f>VLOOKUP(B:B,'[1]Master Sheet'!$B:$I,8,0)</f>
        <v>0</v>
      </c>
      <c r="J1302" s="16"/>
      <c r="K1302" s="3" t="s">
        <v>2965</v>
      </c>
      <c r="L1302" s="3" t="s">
        <v>3055</v>
      </c>
      <c r="M1302" s="3" t="s">
        <v>3056</v>
      </c>
      <c r="N1302" s="3"/>
      <c r="O1302" s="3"/>
    </row>
    <row r="1303" spans="1:15" s="4" customFormat="1">
      <c r="A1303" s="2">
        <v>1302</v>
      </c>
      <c r="B1303" s="3" t="s">
        <v>2886</v>
      </c>
      <c r="C1303" s="3" t="s">
        <v>2887</v>
      </c>
      <c r="D1303" s="2" t="s">
        <v>17</v>
      </c>
      <c r="E1303" s="2" t="s">
        <v>8</v>
      </c>
      <c r="F1303" s="16"/>
      <c r="G1303" s="16"/>
      <c r="H1303" s="16">
        <f>VLOOKUP(B:B,'[1]Master Sheet'!$B:$H,7,0)</f>
        <v>1000</v>
      </c>
      <c r="I1303" s="16">
        <f>VLOOKUP(B:B,'[1]Master Sheet'!$B:$I,8,0)</f>
        <v>0</v>
      </c>
      <c r="J1303" s="16"/>
      <c r="K1303" s="3" t="s">
        <v>2972</v>
      </c>
      <c r="L1303" s="3" t="s">
        <v>3055</v>
      </c>
      <c r="M1303" s="3" t="s">
        <v>3056</v>
      </c>
      <c r="N1303" s="3"/>
      <c r="O1303" s="3"/>
    </row>
    <row r="1304" spans="1:15" s="4" customFormat="1">
      <c r="A1304" s="2">
        <v>1303</v>
      </c>
      <c r="B1304" s="3" t="s">
        <v>2907</v>
      </c>
      <c r="C1304" s="3" t="s">
        <v>2908</v>
      </c>
      <c r="D1304" s="2" t="s">
        <v>7</v>
      </c>
      <c r="E1304" s="2" t="s">
        <v>8</v>
      </c>
      <c r="F1304" s="16"/>
      <c r="G1304" s="16"/>
      <c r="H1304" s="16">
        <f>VLOOKUP(B:B,'[1]Master Sheet'!$B:$H,7,0)</f>
        <v>250</v>
      </c>
      <c r="I1304" s="16">
        <f>VLOOKUP(B:B,'[1]Master Sheet'!$B:$I,8,0)</f>
        <v>0</v>
      </c>
      <c r="J1304" s="16"/>
      <c r="K1304" s="3" t="s">
        <v>2965</v>
      </c>
      <c r="L1304" s="3" t="s">
        <v>3055</v>
      </c>
      <c r="M1304" s="3" t="s">
        <v>3056</v>
      </c>
      <c r="N1304" s="3"/>
      <c r="O1304" s="3"/>
    </row>
    <row r="1305" spans="1:15" s="4" customFormat="1">
      <c r="A1305" s="2">
        <v>1304</v>
      </c>
      <c r="B1305" s="3" t="s">
        <v>2909</v>
      </c>
      <c r="C1305" s="3" t="s">
        <v>2910</v>
      </c>
      <c r="D1305" s="2" t="s">
        <v>7</v>
      </c>
      <c r="E1305" s="2" t="s">
        <v>8</v>
      </c>
      <c r="F1305" s="16"/>
      <c r="G1305" s="16"/>
      <c r="H1305" s="16">
        <f>VLOOKUP(B:B,'[1]Master Sheet'!$B:$H,7,0)</f>
        <v>250</v>
      </c>
      <c r="I1305" s="16">
        <f>VLOOKUP(B:B,'[1]Master Sheet'!$B:$I,8,0)</f>
        <v>0</v>
      </c>
      <c r="J1305" s="16"/>
      <c r="K1305" s="3" t="s">
        <v>2965</v>
      </c>
      <c r="L1305" s="3" t="s">
        <v>3055</v>
      </c>
      <c r="M1305" s="3" t="s">
        <v>3056</v>
      </c>
      <c r="N1305" s="3"/>
      <c r="O1305" s="3"/>
    </row>
    <row r="1306" spans="1:15" s="4" customFormat="1">
      <c r="A1306" s="2">
        <v>1305</v>
      </c>
      <c r="B1306" s="3" t="s">
        <v>2911</v>
      </c>
      <c r="C1306" s="3" t="s">
        <v>2912</v>
      </c>
      <c r="D1306" s="2" t="s">
        <v>7</v>
      </c>
      <c r="E1306" s="2" t="s">
        <v>8</v>
      </c>
      <c r="F1306" s="16"/>
      <c r="G1306" s="16"/>
      <c r="H1306" s="16">
        <f>VLOOKUP(B:B,'[1]Master Sheet'!$B:$H,7,0)</f>
        <v>250</v>
      </c>
      <c r="I1306" s="16">
        <f>VLOOKUP(B:B,'[1]Master Sheet'!$B:$I,8,0)</f>
        <v>500</v>
      </c>
      <c r="J1306" s="16"/>
      <c r="K1306" s="3" t="s">
        <v>2965</v>
      </c>
      <c r="L1306" s="3" t="s">
        <v>3055</v>
      </c>
      <c r="M1306" s="3" t="s">
        <v>3056</v>
      </c>
      <c r="N1306" s="3"/>
      <c r="O1306" s="3"/>
    </row>
    <row r="1307" spans="1:15" s="4" customFormat="1">
      <c r="A1307" s="2">
        <v>1306</v>
      </c>
      <c r="B1307" s="3" t="s">
        <v>2892</v>
      </c>
      <c r="C1307" s="3" t="s">
        <v>2893</v>
      </c>
      <c r="D1307" s="2" t="s">
        <v>17</v>
      </c>
      <c r="E1307" s="2" t="s">
        <v>8</v>
      </c>
      <c r="F1307" s="16"/>
      <c r="G1307" s="16"/>
      <c r="H1307" s="16">
        <f>VLOOKUP(B:B,'[1]Master Sheet'!$B:$H,7,0)</f>
        <v>2000</v>
      </c>
      <c r="I1307" s="16">
        <f>VLOOKUP(B:B,'[1]Master Sheet'!$B:$I,8,0)</f>
        <v>0</v>
      </c>
      <c r="J1307" s="16"/>
      <c r="K1307" s="3" t="s">
        <v>2972</v>
      </c>
      <c r="L1307" s="3" t="s">
        <v>3055</v>
      </c>
      <c r="M1307" s="3" t="s">
        <v>3056</v>
      </c>
      <c r="N1307" s="3"/>
      <c r="O1307" s="3"/>
    </row>
    <row r="1308" spans="1:15" s="4" customFormat="1">
      <c r="A1308" s="2">
        <v>1307</v>
      </c>
      <c r="B1308" s="3" t="s">
        <v>2851</v>
      </c>
      <c r="C1308" s="3" t="s">
        <v>2852</v>
      </c>
      <c r="D1308" s="2" t="s">
        <v>17</v>
      </c>
      <c r="E1308" s="2" t="s">
        <v>8</v>
      </c>
      <c r="F1308" s="16"/>
      <c r="G1308" s="16"/>
      <c r="H1308" s="16">
        <f>VLOOKUP(B:B,'[1]Master Sheet'!$B:$H,7,0)</f>
        <v>300</v>
      </c>
      <c r="I1308" s="16">
        <f>VLOOKUP(B:B,'[1]Master Sheet'!$B:$I,8,0)</f>
        <v>0</v>
      </c>
      <c r="J1308" s="16"/>
      <c r="K1308" s="3" t="s">
        <v>3012</v>
      </c>
      <c r="L1308" s="3" t="s">
        <v>3057</v>
      </c>
      <c r="M1308" s="3" t="s">
        <v>3056</v>
      </c>
      <c r="N1308" s="3"/>
      <c r="O1308" s="3"/>
    </row>
    <row r="1309" spans="1:15" s="4" customFormat="1">
      <c r="A1309" s="2">
        <v>1308</v>
      </c>
      <c r="B1309" s="3" t="s">
        <v>2896</v>
      </c>
      <c r="C1309" s="3" t="s">
        <v>2897</v>
      </c>
      <c r="D1309" s="2" t="s">
        <v>17</v>
      </c>
      <c r="E1309" s="2" t="s">
        <v>8</v>
      </c>
      <c r="F1309" s="16"/>
      <c r="G1309" s="16"/>
      <c r="H1309" s="16">
        <f>VLOOKUP(B:B,'[1]Master Sheet'!$B:$H,7,0)</f>
        <v>2000</v>
      </c>
      <c r="I1309" s="16">
        <f>VLOOKUP(B:B,'[1]Master Sheet'!$B:$I,8,0)</f>
        <v>0</v>
      </c>
      <c r="J1309" s="16"/>
      <c r="K1309" s="3" t="s">
        <v>2972</v>
      </c>
      <c r="L1309" s="3" t="s">
        <v>3055</v>
      </c>
      <c r="M1309" s="3" t="s">
        <v>3056</v>
      </c>
      <c r="N1309" s="3"/>
      <c r="O1309" s="3"/>
    </row>
    <row r="1310" spans="1:15" s="4" customFormat="1">
      <c r="A1310" s="2">
        <v>1309</v>
      </c>
      <c r="B1310" s="3" t="s">
        <v>2855</v>
      </c>
      <c r="C1310" s="3" t="s">
        <v>2856</v>
      </c>
      <c r="D1310" s="2" t="s">
        <v>17</v>
      </c>
      <c r="E1310" s="2" t="s">
        <v>8</v>
      </c>
      <c r="F1310" s="16"/>
      <c r="G1310" s="16"/>
      <c r="H1310" s="16">
        <f>VLOOKUP(B:B,'[1]Master Sheet'!$B:$H,7,0)</f>
        <v>200</v>
      </c>
      <c r="I1310" s="16">
        <f>VLOOKUP(B:B,'[1]Master Sheet'!$B:$I,8,0)</f>
        <v>0</v>
      </c>
      <c r="J1310" s="16"/>
      <c r="K1310" s="3" t="s">
        <v>3012</v>
      </c>
      <c r="L1310" s="3" t="s">
        <v>3057</v>
      </c>
      <c r="M1310" s="3" t="s">
        <v>3056</v>
      </c>
      <c r="N1310" s="3"/>
      <c r="O1310" s="3"/>
    </row>
    <row r="1311" spans="1:15" s="4" customFormat="1">
      <c r="A1311" s="2">
        <v>1310</v>
      </c>
      <c r="B1311" s="3" t="s">
        <v>2958</v>
      </c>
      <c r="C1311" s="3" t="s">
        <v>2959</v>
      </c>
      <c r="D1311" s="2" t="s">
        <v>20</v>
      </c>
      <c r="E1311" s="2" t="s">
        <v>8</v>
      </c>
      <c r="F1311" s="16"/>
      <c r="G1311" s="16"/>
      <c r="H1311" s="16">
        <f>VLOOKUP(B:B,'[1]Master Sheet'!$B:$H,7,0)</f>
        <v>0</v>
      </c>
      <c r="I1311" s="16">
        <f>VLOOKUP(B:B,'[1]Master Sheet'!$B:$I,8,0)</f>
        <v>0</v>
      </c>
      <c r="J1311" s="16"/>
      <c r="K1311" s="3" t="s">
        <v>2960</v>
      </c>
      <c r="L1311" s="3" t="s">
        <v>3057</v>
      </c>
      <c r="M1311" s="3" t="s">
        <v>3058</v>
      </c>
      <c r="N1311" s="3"/>
      <c r="O1311" s="3"/>
    </row>
    <row r="1312" spans="1:15" s="4" customFormat="1">
      <c r="A1312" s="2">
        <v>1311</v>
      </c>
      <c r="B1312" s="3" t="s">
        <v>2913</v>
      </c>
      <c r="C1312" s="3" t="s">
        <v>2914</v>
      </c>
      <c r="D1312" s="2" t="s">
        <v>20</v>
      </c>
      <c r="E1312" s="2" t="s">
        <v>8</v>
      </c>
      <c r="F1312" s="16"/>
      <c r="G1312" s="16"/>
      <c r="H1312" s="16">
        <f>VLOOKUP(B:B,'[1]Master Sheet'!$B:$H,7,0)</f>
        <v>5000</v>
      </c>
      <c r="I1312" s="16">
        <f>VLOOKUP(B:B,'[1]Master Sheet'!$B:$I,8,0)</f>
        <v>3000</v>
      </c>
      <c r="J1312" s="16"/>
      <c r="K1312" s="3" t="s">
        <v>3000</v>
      </c>
      <c r="L1312" s="3" t="s">
        <v>3059</v>
      </c>
      <c r="M1312" s="3" t="s">
        <v>3056</v>
      </c>
      <c r="N1312" s="3"/>
      <c r="O1312" s="3"/>
    </row>
    <row r="1313" spans="1:15" s="4" customFormat="1">
      <c r="A1313" s="2">
        <v>1312</v>
      </c>
      <c r="B1313" s="3" t="s">
        <v>3070</v>
      </c>
      <c r="C1313" s="3" t="s">
        <v>3071</v>
      </c>
      <c r="D1313" s="2" t="s">
        <v>7</v>
      </c>
      <c r="E1313" s="2" t="s">
        <v>8</v>
      </c>
      <c r="F1313" s="16"/>
      <c r="G1313" s="16"/>
      <c r="H1313" s="16">
        <f>VLOOKUP(B:B,'[1]Master Sheet'!$B:$H,7,0)</f>
        <v>0</v>
      </c>
      <c r="I1313" s="16">
        <f>VLOOKUP(B:B,'[1]Master Sheet'!$B:$I,8,0)</f>
        <v>0</v>
      </c>
      <c r="J1313" s="16"/>
      <c r="K1313" s="3" t="s">
        <v>3050</v>
      </c>
      <c r="L1313" s="3" t="s">
        <v>3057</v>
      </c>
      <c r="M1313" s="3" t="s">
        <v>3056</v>
      </c>
      <c r="N1313" s="3"/>
      <c r="O1313" s="3"/>
    </row>
    <row r="1314" spans="1:15" s="4" customFormat="1">
      <c r="A1314" s="2">
        <v>1313</v>
      </c>
      <c r="B1314" s="3" t="s">
        <v>3079</v>
      </c>
      <c r="C1314" s="3" t="s">
        <v>3080</v>
      </c>
      <c r="D1314" s="2" t="s">
        <v>17</v>
      </c>
      <c r="E1314" s="2" t="s">
        <v>8</v>
      </c>
      <c r="F1314" s="16"/>
      <c r="G1314" s="16"/>
      <c r="H1314" s="16">
        <f>VLOOKUP(B:B,'[1]Master Sheet'!$B:$H,7,0)</f>
        <v>0</v>
      </c>
      <c r="I1314" s="16">
        <f>VLOOKUP(B:B,'[1]Master Sheet'!$B:$I,8,0)</f>
        <v>0</v>
      </c>
      <c r="J1314" s="16"/>
      <c r="K1314" s="3" t="s">
        <v>2982</v>
      </c>
      <c r="L1314" s="3" t="s">
        <v>3060</v>
      </c>
      <c r="M1314" s="3" t="s">
        <v>3058</v>
      </c>
      <c r="N1314" s="3"/>
      <c r="O1314" s="3"/>
    </row>
    <row r="1315" spans="1:15" s="4" customFormat="1">
      <c r="A1315" s="2">
        <v>1314</v>
      </c>
      <c r="B1315" s="3" t="s">
        <v>3081</v>
      </c>
      <c r="C1315" s="3" t="s">
        <v>3082</v>
      </c>
      <c r="D1315" s="2" t="s">
        <v>17</v>
      </c>
      <c r="E1315" s="2" t="s">
        <v>8</v>
      </c>
      <c r="F1315" s="16"/>
      <c r="G1315" s="16"/>
      <c r="H1315" s="16">
        <f>VLOOKUP(B:B,'[1]Master Sheet'!$B:$H,7,0)</f>
        <v>0</v>
      </c>
      <c r="I1315" s="16">
        <f>VLOOKUP(B:B,'[1]Master Sheet'!$B:$I,8,0)</f>
        <v>0</v>
      </c>
      <c r="J1315" s="16"/>
      <c r="K1315" s="3" t="s">
        <v>2982</v>
      </c>
      <c r="L1315" s="3" t="s">
        <v>3060</v>
      </c>
      <c r="M1315" s="3" t="s">
        <v>3058</v>
      </c>
      <c r="N1315" s="3"/>
      <c r="O1315" s="3"/>
    </row>
    <row r="1316" spans="1:15" s="4" customFormat="1">
      <c r="A1316" s="2">
        <v>1315</v>
      </c>
      <c r="B1316" s="3" t="s">
        <v>3072</v>
      </c>
      <c r="C1316" s="3" t="s">
        <v>3073</v>
      </c>
      <c r="D1316" s="2" t="s">
        <v>7</v>
      </c>
      <c r="E1316" s="2" t="s">
        <v>8</v>
      </c>
      <c r="F1316" s="16"/>
      <c r="G1316" s="16"/>
      <c r="H1316" s="16">
        <f>VLOOKUP(B:B,'[1]Master Sheet'!$B:$H,7,0)</f>
        <v>0</v>
      </c>
      <c r="I1316" s="16">
        <f>VLOOKUP(B:B,'[1]Master Sheet'!$B:$I,8,0)</f>
        <v>0</v>
      </c>
      <c r="J1316" s="16"/>
      <c r="K1316" s="3" t="s">
        <v>3050</v>
      </c>
      <c r="L1316" s="3" t="s">
        <v>3057</v>
      </c>
      <c r="M1316" s="3" t="s">
        <v>3056</v>
      </c>
      <c r="N1316" s="3"/>
      <c r="O1316" s="3"/>
    </row>
    <row r="1317" spans="1:15" s="4" customFormat="1">
      <c r="A1317" s="2">
        <v>1316</v>
      </c>
      <c r="B1317" s="3" t="s">
        <v>3074</v>
      </c>
      <c r="C1317" s="3" t="s">
        <v>3075</v>
      </c>
      <c r="D1317" s="2" t="s">
        <v>17</v>
      </c>
      <c r="E1317" s="2" t="s">
        <v>8</v>
      </c>
      <c r="F1317" s="16"/>
      <c r="G1317" s="16"/>
      <c r="H1317" s="16">
        <f>VLOOKUP(B:B,'[1]Master Sheet'!$B:$H,7,0)</f>
        <v>0</v>
      </c>
      <c r="I1317" s="16">
        <f>VLOOKUP(B:B,'[1]Master Sheet'!$B:$I,8,0)</f>
        <v>0</v>
      </c>
      <c r="J1317" s="16"/>
      <c r="K1317" s="3" t="s">
        <v>3076</v>
      </c>
      <c r="L1317" s="3" t="s">
        <v>3057</v>
      </c>
      <c r="M1317" s="3" t="s">
        <v>3058</v>
      </c>
      <c r="N1317" s="3"/>
      <c r="O1317" s="3"/>
    </row>
    <row r="1318" spans="1:15" s="4" customFormat="1">
      <c r="A1318" s="2">
        <v>1317</v>
      </c>
      <c r="B1318" s="3" t="s">
        <v>2975</v>
      </c>
      <c r="C1318" s="3" t="s">
        <v>2976</v>
      </c>
      <c r="D1318" s="2" t="s">
        <v>17</v>
      </c>
      <c r="E1318" s="2" t="s">
        <v>8</v>
      </c>
      <c r="F1318" s="16"/>
      <c r="G1318" s="16"/>
      <c r="H1318" s="16">
        <f>VLOOKUP(B:B,'[1]Master Sheet'!$B:$H,7,0)</f>
        <v>0</v>
      </c>
      <c r="I1318" s="16">
        <f>VLOOKUP(B:B,'[1]Master Sheet'!$B:$I,8,0)</f>
        <v>0</v>
      </c>
      <c r="J1318" s="16"/>
      <c r="K1318" s="3" t="s">
        <v>2963</v>
      </c>
      <c r="L1318" s="3" t="s">
        <v>3057</v>
      </c>
      <c r="M1318" s="3" t="s">
        <v>3058</v>
      </c>
      <c r="N1318" s="3"/>
      <c r="O1318" s="3"/>
    </row>
    <row r="1319" spans="1:15" s="4" customFormat="1">
      <c r="A1319" s="2">
        <v>1318</v>
      </c>
      <c r="B1319" s="3" t="s">
        <v>3087</v>
      </c>
      <c r="C1319" s="3" t="s">
        <v>3088</v>
      </c>
      <c r="D1319" s="2" t="s">
        <v>17</v>
      </c>
      <c r="E1319" s="2" t="s">
        <v>8</v>
      </c>
      <c r="F1319" s="16"/>
      <c r="G1319" s="16"/>
      <c r="H1319" s="16">
        <f>VLOOKUP(B:B,'[1]Master Sheet'!$B:$H,7,0)</f>
        <v>0</v>
      </c>
      <c r="I1319" s="16">
        <f>VLOOKUP(B:B,'[1]Master Sheet'!$B:$I,8,0)</f>
        <v>0</v>
      </c>
      <c r="J1319" s="16"/>
      <c r="K1319" s="3" t="s">
        <v>2982</v>
      </c>
      <c r="L1319" s="3" t="s">
        <v>3060</v>
      </c>
      <c r="M1319" s="3" t="s">
        <v>3058</v>
      </c>
      <c r="N1319" s="3"/>
      <c r="O1319" s="3"/>
    </row>
    <row r="1320" spans="1:15" s="4" customFormat="1">
      <c r="A1320" s="2">
        <v>1319</v>
      </c>
      <c r="B1320" s="3" t="s">
        <v>3089</v>
      </c>
      <c r="C1320" s="3" t="s">
        <v>3090</v>
      </c>
      <c r="D1320" s="2" t="s">
        <v>17</v>
      </c>
      <c r="E1320" s="2" t="s">
        <v>8</v>
      </c>
      <c r="F1320" s="16"/>
      <c r="G1320" s="16"/>
      <c r="H1320" s="16">
        <f>VLOOKUP(B:B,'[1]Master Sheet'!$B:$H,7,0)</f>
        <v>0</v>
      </c>
      <c r="I1320" s="16">
        <f>VLOOKUP(B:B,'[1]Master Sheet'!$B:$I,8,0)</f>
        <v>0</v>
      </c>
      <c r="J1320" s="16"/>
      <c r="K1320" s="3" t="s">
        <v>2982</v>
      </c>
      <c r="L1320" s="3" t="s">
        <v>3060</v>
      </c>
      <c r="M1320" s="3" t="s">
        <v>3058</v>
      </c>
      <c r="N1320" s="3"/>
      <c r="O1320" s="3"/>
    </row>
    <row r="1321" spans="1:15" s="4" customFormat="1">
      <c r="A1321" s="2">
        <v>1320</v>
      </c>
      <c r="B1321" s="3" t="s">
        <v>3091</v>
      </c>
      <c r="C1321" s="3" t="s">
        <v>3092</v>
      </c>
      <c r="D1321" s="2" t="s">
        <v>17</v>
      </c>
      <c r="E1321" s="2" t="s">
        <v>8</v>
      </c>
      <c r="F1321" s="16"/>
      <c r="G1321" s="16"/>
      <c r="H1321" s="16">
        <f>VLOOKUP(B:B,'[1]Master Sheet'!$B:$H,7,0)</f>
        <v>0</v>
      </c>
      <c r="I1321" s="16">
        <f>VLOOKUP(B:B,'[1]Master Sheet'!$B:$I,8,0)</f>
        <v>0</v>
      </c>
      <c r="J1321" s="16"/>
      <c r="K1321" s="3" t="s">
        <v>2982</v>
      </c>
      <c r="L1321" s="3" t="s">
        <v>3060</v>
      </c>
      <c r="M1321" s="3" t="s">
        <v>3058</v>
      </c>
      <c r="N1321" s="3"/>
      <c r="O1321" s="3"/>
    </row>
    <row r="1322" spans="1:15" s="4" customFormat="1">
      <c r="A1322" s="2">
        <v>1321</v>
      </c>
      <c r="B1322" s="3" t="s">
        <v>3093</v>
      </c>
      <c r="C1322" s="3" t="s">
        <v>3094</v>
      </c>
      <c r="D1322" s="2" t="s">
        <v>17</v>
      </c>
      <c r="E1322" s="2" t="s">
        <v>8</v>
      </c>
      <c r="F1322" s="16"/>
      <c r="G1322" s="16"/>
      <c r="H1322" s="16">
        <f>VLOOKUP(B:B,'[1]Master Sheet'!$B:$H,7,0)</f>
        <v>0</v>
      </c>
      <c r="I1322" s="16">
        <f>VLOOKUP(B:B,'[1]Master Sheet'!$B:$I,8,0)</f>
        <v>0</v>
      </c>
      <c r="J1322" s="16"/>
      <c r="K1322" s="3" t="s">
        <v>2982</v>
      </c>
      <c r="L1322" s="3" t="s">
        <v>3060</v>
      </c>
      <c r="M1322" s="3" t="s">
        <v>3058</v>
      </c>
      <c r="N1322" s="3"/>
      <c r="O1322" s="3"/>
    </row>
    <row r="1323" spans="1:15" s="4" customFormat="1">
      <c r="A1323" s="2">
        <v>1322</v>
      </c>
      <c r="B1323" s="3" t="s">
        <v>3095</v>
      </c>
      <c r="C1323" s="3" t="s">
        <v>3096</v>
      </c>
      <c r="D1323" s="2" t="s">
        <v>17</v>
      </c>
      <c r="E1323" s="2" t="s">
        <v>8</v>
      </c>
      <c r="F1323" s="16"/>
      <c r="G1323" s="16"/>
      <c r="H1323" s="16">
        <f>VLOOKUP(B:B,'[1]Master Sheet'!$B:$H,7,0)</f>
        <v>0</v>
      </c>
      <c r="I1323" s="16">
        <f>VLOOKUP(B:B,'[1]Master Sheet'!$B:$I,8,0)</f>
        <v>0</v>
      </c>
      <c r="J1323" s="16"/>
      <c r="K1323" s="3" t="s">
        <v>2982</v>
      </c>
      <c r="L1323" s="3" t="s">
        <v>3060</v>
      </c>
      <c r="M1323" s="3" t="s">
        <v>3058</v>
      </c>
      <c r="N1323" s="3"/>
      <c r="O1323" s="3"/>
    </row>
    <row r="1324" spans="1:15" s="4" customFormat="1">
      <c r="A1324" s="2">
        <v>1323</v>
      </c>
      <c r="B1324" s="3" t="s">
        <v>3097</v>
      </c>
      <c r="C1324" s="3" t="s">
        <v>3098</v>
      </c>
      <c r="D1324" s="2" t="s">
        <v>17</v>
      </c>
      <c r="E1324" s="2" t="s">
        <v>8</v>
      </c>
      <c r="F1324" s="16"/>
      <c r="G1324" s="16"/>
      <c r="H1324" s="16">
        <f>VLOOKUP(B:B,'[1]Master Sheet'!$B:$H,7,0)</f>
        <v>0</v>
      </c>
      <c r="I1324" s="16">
        <f>VLOOKUP(B:B,'[1]Master Sheet'!$B:$I,8,0)</f>
        <v>0</v>
      </c>
      <c r="J1324" s="16"/>
      <c r="K1324" s="3" t="s">
        <v>2982</v>
      </c>
      <c r="L1324" s="3" t="s">
        <v>3060</v>
      </c>
      <c r="M1324" s="3" t="s">
        <v>3058</v>
      </c>
      <c r="N1324" s="3"/>
      <c r="O1324" s="3"/>
    </row>
    <row r="1325" spans="1:15" s="4" customFormat="1">
      <c r="A1325" s="2">
        <v>1324</v>
      </c>
      <c r="B1325" s="3" t="s">
        <v>3100</v>
      </c>
      <c r="C1325" s="3" t="s">
        <v>3101</v>
      </c>
      <c r="D1325" s="2" t="s">
        <v>17</v>
      </c>
      <c r="E1325" s="2" t="s">
        <v>8</v>
      </c>
      <c r="F1325" s="16"/>
      <c r="G1325" s="16"/>
      <c r="H1325" s="16">
        <f>VLOOKUP(B:B,'[1]Master Sheet'!$B:$H,7,0)</f>
        <v>0</v>
      </c>
      <c r="I1325" s="16">
        <f>VLOOKUP(B:B,'[1]Master Sheet'!$B:$I,8,0)</f>
        <v>0</v>
      </c>
      <c r="J1325" s="16"/>
      <c r="K1325" s="3" t="s">
        <v>2982</v>
      </c>
      <c r="L1325" s="3" t="s">
        <v>3060</v>
      </c>
      <c r="M1325" s="3" t="s">
        <v>3058</v>
      </c>
      <c r="N1325" s="3"/>
      <c r="O1325" s="3"/>
    </row>
    <row r="1326" spans="1:15" s="4" customFormat="1">
      <c r="A1326" s="2">
        <v>1325</v>
      </c>
      <c r="B1326" s="3" t="s">
        <v>2977</v>
      </c>
      <c r="C1326" s="3" t="s">
        <v>2978</v>
      </c>
      <c r="D1326" s="2" t="s">
        <v>17</v>
      </c>
      <c r="E1326" s="2" t="s">
        <v>8</v>
      </c>
      <c r="F1326" s="16"/>
      <c r="G1326" s="16"/>
      <c r="H1326" s="16">
        <f>VLOOKUP(B:B,'[1]Master Sheet'!$B:$H,7,0)</f>
        <v>0</v>
      </c>
      <c r="I1326" s="16">
        <f>VLOOKUP(B:B,'[1]Master Sheet'!$B:$I,8,0)</f>
        <v>0</v>
      </c>
      <c r="J1326" s="16"/>
      <c r="K1326" s="3" t="s">
        <v>2963</v>
      </c>
      <c r="L1326" s="3" t="s">
        <v>3057</v>
      </c>
      <c r="M1326" s="3" t="s">
        <v>3058</v>
      </c>
      <c r="N1326" s="3"/>
      <c r="O1326" s="3"/>
    </row>
    <row r="1327" spans="1:15" s="4" customFormat="1">
      <c r="A1327" s="2">
        <v>1326</v>
      </c>
      <c r="B1327" s="3" t="s">
        <v>3104</v>
      </c>
      <c r="C1327" s="3" t="s">
        <v>3105</v>
      </c>
      <c r="D1327" s="2" t="s">
        <v>17</v>
      </c>
      <c r="E1327" s="2" t="s">
        <v>8</v>
      </c>
      <c r="F1327" s="16"/>
      <c r="G1327" s="16"/>
      <c r="H1327" s="16">
        <f>VLOOKUP(B:B,'[1]Master Sheet'!$B:$H,7,0)</f>
        <v>0</v>
      </c>
      <c r="I1327" s="16">
        <f>VLOOKUP(B:B,'[1]Master Sheet'!$B:$I,8,0)</f>
        <v>0</v>
      </c>
      <c r="J1327" s="16"/>
      <c r="K1327" s="3" t="s">
        <v>3006</v>
      </c>
      <c r="L1327" s="3" t="s">
        <v>3060</v>
      </c>
      <c r="M1327" s="3" t="s">
        <v>3058</v>
      </c>
      <c r="N1327" s="3"/>
      <c r="O1327" s="3"/>
    </row>
    <row r="1328" spans="1:15" s="4" customFormat="1">
      <c r="A1328" s="2">
        <v>1327</v>
      </c>
      <c r="B1328" s="3" t="s">
        <v>2915</v>
      </c>
      <c r="C1328" s="3" t="s">
        <v>2916</v>
      </c>
      <c r="D1328" s="2" t="s">
        <v>17</v>
      </c>
      <c r="E1328" s="2" t="s">
        <v>8</v>
      </c>
      <c r="F1328" s="16"/>
      <c r="G1328" s="16"/>
      <c r="H1328" s="16">
        <f>VLOOKUP(B:B,'[1]Master Sheet'!$B:$H,7,0)</f>
        <v>250</v>
      </c>
      <c r="I1328" s="16">
        <f>VLOOKUP(B:B,'[1]Master Sheet'!$B:$I,8,0)</f>
        <v>0</v>
      </c>
      <c r="J1328" s="16"/>
      <c r="K1328" s="3" t="s">
        <v>2972</v>
      </c>
      <c r="L1328" s="3" t="s">
        <v>3060</v>
      </c>
      <c r="M1328" s="3" t="s">
        <v>3058</v>
      </c>
      <c r="N1328" s="3"/>
      <c r="O1328" s="3"/>
    </row>
    <row r="1329" spans="1:15" s="4" customFormat="1">
      <c r="A1329" s="2">
        <v>1328</v>
      </c>
      <c r="B1329" s="3" t="s">
        <v>2992</v>
      </c>
      <c r="C1329" s="3" t="s">
        <v>2993</v>
      </c>
      <c r="D1329" s="2" t="s">
        <v>17</v>
      </c>
      <c r="E1329" s="2" t="s">
        <v>8</v>
      </c>
      <c r="F1329" s="16"/>
      <c r="G1329" s="16"/>
      <c r="H1329" s="16">
        <f>VLOOKUP(B:B,'[1]Master Sheet'!$B:$H,7,0)</f>
        <v>0</v>
      </c>
      <c r="I1329" s="16">
        <f>VLOOKUP(B:B,'[1]Master Sheet'!$B:$I,8,0)</f>
        <v>0</v>
      </c>
      <c r="J1329" s="16"/>
      <c r="K1329" s="3" t="s">
        <v>2995</v>
      </c>
      <c r="L1329" s="3" t="s">
        <v>3057</v>
      </c>
      <c r="M1329" s="3" t="s">
        <v>3056</v>
      </c>
      <c r="N1329" s="3"/>
      <c r="O1329" s="3"/>
    </row>
    <row r="1330" spans="1:15" s="4" customFormat="1">
      <c r="A1330" s="2">
        <v>1329</v>
      </c>
      <c r="B1330" s="3" t="s">
        <v>2919</v>
      </c>
      <c r="C1330" s="3" t="s">
        <v>2920</v>
      </c>
      <c r="D1330" s="2" t="s">
        <v>17</v>
      </c>
      <c r="E1330" s="2" t="s">
        <v>8</v>
      </c>
      <c r="F1330" s="16">
        <v>35</v>
      </c>
      <c r="G1330" s="16"/>
      <c r="H1330" s="16">
        <f>VLOOKUP(B:B,'[1]Master Sheet'!$B:$H,7,0)</f>
        <v>40</v>
      </c>
      <c r="I1330" s="16">
        <f>VLOOKUP(B:B,'[1]Master Sheet'!$B:$I,8,0)</f>
        <v>20</v>
      </c>
      <c r="J1330" s="16"/>
      <c r="K1330" s="3" t="s">
        <v>3002</v>
      </c>
      <c r="L1330" s="3" t="s">
        <v>3055</v>
      </c>
      <c r="M1330" s="3" t="s">
        <v>3056</v>
      </c>
      <c r="N1330" s="3"/>
      <c r="O1330" s="3"/>
    </row>
    <row r="1331" spans="1:15" s="4" customFormat="1">
      <c r="A1331" s="2">
        <v>1330</v>
      </c>
      <c r="B1331" s="3" t="s">
        <v>3077</v>
      </c>
      <c r="C1331" s="3" t="s">
        <v>3078</v>
      </c>
      <c r="D1331" s="2" t="s">
        <v>17</v>
      </c>
      <c r="E1331" s="2" t="s">
        <v>8</v>
      </c>
      <c r="F1331" s="16"/>
      <c r="G1331" s="16"/>
      <c r="H1331" s="16">
        <f>VLOOKUP(B:B,'[1]Master Sheet'!$B:$H,7,0)</f>
        <v>0</v>
      </c>
      <c r="I1331" s="16">
        <f>VLOOKUP(B:B,'[1]Master Sheet'!$B:$I,8,0)</f>
        <v>0</v>
      </c>
      <c r="J1331" s="16"/>
      <c r="K1331" s="3" t="s">
        <v>2963</v>
      </c>
      <c r="L1331" s="3" t="s">
        <v>3057</v>
      </c>
      <c r="M1331" s="3" t="s">
        <v>3056</v>
      </c>
      <c r="N1331" s="3"/>
      <c r="O1331" s="3"/>
    </row>
    <row r="1332" spans="1:15" s="4" customFormat="1">
      <c r="A1332" s="2">
        <v>1331</v>
      </c>
      <c r="B1332" s="3" t="s">
        <v>3106</v>
      </c>
      <c r="C1332" s="3" t="s">
        <v>3107</v>
      </c>
      <c r="D1332" s="2" t="s">
        <v>17</v>
      </c>
      <c r="E1332" s="2" t="s">
        <v>8</v>
      </c>
      <c r="F1332" s="16"/>
      <c r="G1332" s="16"/>
      <c r="H1332" s="16">
        <f>VLOOKUP(B:B,'[1]Master Sheet'!$B:$H,7,0)</f>
        <v>0</v>
      </c>
      <c r="I1332" s="16">
        <f>VLOOKUP(B:B,'[1]Master Sheet'!$B:$I,8,0)</f>
        <v>0</v>
      </c>
      <c r="J1332" s="16"/>
      <c r="K1332" s="3" t="s">
        <v>2982</v>
      </c>
      <c r="L1332" s="3" t="s">
        <v>3060</v>
      </c>
      <c r="M1332" s="3" t="s">
        <v>3058</v>
      </c>
      <c r="N1332" s="3"/>
      <c r="O1332" s="3"/>
    </row>
    <row r="1333" spans="1:15" s="4" customFormat="1">
      <c r="A1333" s="2">
        <v>1332</v>
      </c>
      <c r="B1333" s="3" t="s">
        <v>3083</v>
      </c>
      <c r="C1333" s="3" t="s">
        <v>3084</v>
      </c>
      <c r="D1333" s="2" t="s">
        <v>17</v>
      </c>
      <c r="E1333" s="2" t="s">
        <v>8</v>
      </c>
      <c r="F1333" s="16"/>
      <c r="G1333" s="16"/>
      <c r="H1333" s="16">
        <f>VLOOKUP(B:B,'[1]Master Sheet'!$B:$H,7,0)</f>
        <v>0</v>
      </c>
      <c r="I1333" s="16">
        <f>VLOOKUP(B:B,'[1]Master Sheet'!$B:$I,8,0)</f>
        <v>0</v>
      </c>
      <c r="J1333" s="16"/>
      <c r="K1333" s="3" t="s">
        <v>2972</v>
      </c>
      <c r="L1333" s="3" t="s">
        <v>3057</v>
      </c>
      <c r="M1333" s="3" t="s">
        <v>3056</v>
      </c>
      <c r="N1333" s="3"/>
      <c r="O1333" s="3"/>
    </row>
    <row r="1334" spans="1:15" s="4" customFormat="1">
      <c r="A1334" s="2">
        <v>1333</v>
      </c>
      <c r="B1334" s="3" t="s">
        <v>3009</v>
      </c>
      <c r="C1334" s="3" t="s">
        <v>3010</v>
      </c>
      <c r="D1334" s="2" t="s">
        <v>17</v>
      </c>
      <c r="E1334" s="2" t="s">
        <v>8</v>
      </c>
      <c r="F1334" s="16"/>
      <c r="G1334" s="16"/>
      <c r="H1334" s="16">
        <f>VLOOKUP(B:B,'[1]Master Sheet'!$B:$H,7,0)</f>
        <v>0</v>
      </c>
      <c r="I1334" s="16">
        <f>VLOOKUP(B:B,'[1]Master Sheet'!$B:$I,8,0)</f>
        <v>0</v>
      </c>
      <c r="J1334" s="16"/>
      <c r="K1334" s="3" t="s">
        <v>3012</v>
      </c>
      <c r="L1334" s="3" t="s">
        <v>3057</v>
      </c>
      <c r="M1334" s="3" t="s">
        <v>3056</v>
      </c>
      <c r="N1334" s="3"/>
      <c r="O1334" s="3"/>
    </row>
    <row r="1335" spans="1:15" s="4" customFormat="1">
      <c r="A1335" s="2">
        <v>1334</v>
      </c>
      <c r="B1335" s="3" t="s">
        <v>3170</v>
      </c>
      <c r="C1335" s="3" t="s">
        <v>3171</v>
      </c>
      <c r="D1335" s="2" t="s">
        <v>7</v>
      </c>
      <c r="E1335" s="2" t="s">
        <v>8</v>
      </c>
      <c r="F1335" s="16"/>
      <c r="G1335" s="16"/>
      <c r="H1335" s="16">
        <f>VLOOKUP(B:B,'[1]Master Sheet'!$B:$H,7,0)</f>
        <v>250</v>
      </c>
      <c r="I1335" s="16">
        <f>VLOOKUP(B:B,'[1]Master Sheet'!$B:$I,8,0)</f>
        <v>0</v>
      </c>
      <c r="J1335" s="16"/>
      <c r="K1335" s="3" t="s">
        <v>2965</v>
      </c>
      <c r="L1335" s="3" t="s">
        <v>3055</v>
      </c>
      <c r="M1335" s="3" t="s">
        <v>3056</v>
      </c>
      <c r="N1335" s="3"/>
      <c r="O1335" s="3"/>
    </row>
    <row r="1336" spans="1:15" s="4" customFormat="1">
      <c r="A1336" s="2">
        <v>1335</v>
      </c>
      <c r="B1336" s="3" t="s">
        <v>2888</v>
      </c>
      <c r="C1336" s="3" t="s">
        <v>2889</v>
      </c>
      <c r="D1336" s="2" t="s">
        <v>17</v>
      </c>
      <c r="E1336" s="2" t="s">
        <v>8</v>
      </c>
      <c r="F1336" s="16"/>
      <c r="G1336" s="16"/>
      <c r="H1336" s="16">
        <f>VLOOKUP(B:B,'[1]Master Sheet'!$B:$H,7,0)</f>
        <v>0</v>
      </c>
      <c r="I1336" s="16">
        <f>VLOOKUP(B:B,'[1]Master Sheet'!$B:$I,8,0)</f>
        <v>0</v>
      </c>
      <c r="J1336" s="16"/>
      <c r="K1336" s="3" t="s">
        <v>2972</v>
      </c>
      <c r="L1336" s="3" t="s">
        <v>3055</v>
      </c>
      <c r="M1336" s="3" t="s">
        <v>3056</v>
      </c>
      <c r="N1336" s="3"/>
      <c r="O1336" s="3"/>
    </row>
    <row r="1337" spans="1:15" s="4" customFormat="1">
      <c r="A1337" s="2">
        <v>1336</v>
      </c>
      <c r="B1337" s="3" t="s">
        <v>3172</v>
      </c>
      <c r="C1337" s="3" t="s">
        <v>3173</v>
      </c>
      <c r="D1337" s="2" t="s">
        <v>7</v>
      </c>
      <c r="E1337" s="2" t="s">
        <v>8</v>
      </c>
      <c r="F1337" s="16"/>
      <c r="G1337" s="16"/>
      <c r="H1337" s="16">
        <f>VLOOKUP(B:B,'[1]Master Sheet'!$B:$H,7,0)</f>
        <v>250</v>
      </c>
      <c r="I1337" s="16">
        <f>VLOOKUP(B:B,'[1]Master Sheet'!$B:$I,8,0)</f>
        <v>0</v>
      </c>
      <c r="J1337" s="16"/>
      <c r="K1337" s="3" t="s">
        <v>2965</v>
      </c>
      <c r="L1337" s="3" t="s">
        <v>3055</v>
      </c>
      <c r="M1337" s="3" t="s">
        <v>3056</v>
      </c>
      <c r="N1337" s="3"/>
      <c r="O1337" s="3"/>
    </row>
    <row r="1338" spans="1:15" s="4" customFormat="1">
      <c r="A1338" s="2">
        <v>1337</v>
      </c>
      <c r="B1338" s="3" t="s">
        <v>3085</v>
      </c>
      <c r="C1338" s="3" t="s">
        <v>3086</v>
      </c>
      <c r="D1338" s="2" t="s">
        <v>17</v>
      </c>
      <c r="E1338" s="2" t="s">
        <v>8</v>
      </c>
      <c r="F1338" s="16"/>
      <c r="G1338" s="16"/>
      <c r="H1338" s="16">
        <f>VLOOKUP(B:B,'[1]Master Sheet'!$B:$H,7,0)</f>
        <v>0</v>
      </c>
      <c r="I1338" s="16">
        <f>VLOOKUP(B:B,'[1]Master Sheet'!$B:$I,8,0)</f>
        <v>0</v>
      </c>
      <c r="J1338" s="16"/>
      <c r="K1338" s="3" t="s">
        <v>3012</v>
      </c>
      <c r="L1338" s="3" t="s">
        <v>3057</v>
      </c>
      <c r="M1338" s="3" t="s">
        <v>3056</v>
      </c>
      <c r="N1338" s="3"/>
      <c r="O1338" s="3"/>
    </row>
    <row r="1339" spans="1:15" s="4" customFormat="1">
      <c r="A1339" s="2">
        <v>1338</v>
      </c>
      <c r="B1339" s="3" t="s">
        <v>2900</v>
      </c>
      <c r="C1339" s="3" t="s">
        <v>2901</v>
      </c>
      <c r="D1339" s="2" t="s">
        <v>17</v>
      </c>
      <c r="E1339" s="2" t="s">
        <v>8</v>
      </c>
      <c r="F1339" s="16"/>
      <c r="G1339" s="16"/>
      <c r="H1339" s="16">
        <f>VLOOKUP(B:B,'[1]Master Sheet'!$B:$H,7,0)</f>
        <v>0</v>
      </c>
      <c r="I1339" s="16">
        <f>VLOOKUP(B:B,'[1]Master Sheet'!$B:$I,8,0)</f>
        <v>0</v>
      </c>
      <c r="J1339" s="16"/>
      <c r="K1339" s="3" t="s">
        <v>2972</v>
      </c>
      <c r="L1339" s="3" t="s">
        <v>3055</v>
      </c>
      <c r="M1339" s="3" t="s">
        <v>3056</v>
      </c>
      <c r="N1339" s="3"/>
      <c r="O1339" s="3"/>
    </row>
    <row r="1340" spans="1:15" s="4" customFormat="1">
      <c r="A1340" s="2">
        <v>1339</v>
      </c>
      <c r="B1340" s="3" t="s">
        <v>3102</v>
      </c>
      <c r="C1340" s="3" t="s">
        <v>3103</v>
      </c>
      <c r="D1340" s="2" t="s">
        <v>20</v>
      </c>
      <c r="E1340" s="2" t="s">
        <v>8</v>
      </c>
      <c r="F1340" s="16"/>
      <c r="G1340" s="16"/>
      <c r="H1340" s="16">
        <f>VLOOKUP(B:B,'[1]Master Sheet'!$B:$H,7,0)</f>
        <v>0</v>
      </c>
      <c r="I1340" s="16">
        <f>VLOOKUP(B:B,'[1]Master Sheet'!$B:$I,8,0)</f>
        <v>0</v>
      </c>
      <c r="J1340" s="16"/>
      <c r="K1340" s="3" t="s">
        <v>2991</v>
      </c>
      <c r="L1340" s="3" t="s">
        <v>3057</v>
      </c>
      <c r="M1340" s="3" t="s">
        <v>3056</v>
      </c>
      <c r="N1340" s="3"/>
      <c r="O1340" s="3"/>
    </row>
    <row r="1341" spans="1:15" s="4" customFormat="1">
      <c r="A1341" s="2">
        <v>1340</v>
      </c>
      <c r="B1341" s="3" t="s">
        <v>2917</v>
      </c>
      <c r="C1341" s="3" t="s">
        <v>2918</v>
      </c>
      <c r="D1341" s="2" t="s">
        <v>17</v>
      </c>
      <c r="E1341" s="2" t="s">
        <v>8</v>
      </c>
      <c r="F1341" s="16"/>
      <c r="G1341" s="16"/>
      <c r="H1341" s="16">
        <f>VLOOKUP(B:B,'[1]Master Sheet'!$B:$H,7,0)</f>
        <v>500</v>
      </c>
      <c r="I1341" s="16">
        <f>VLOOKUP(B:B,'[1]Master Sheet'!$B:$I,8,0)</f>
        <v>0</v>
      </c>
      <c r="J1341" s="16"/>
      <c r="K1341" s="3" t="s">
        <v>2991</v>
      </c>
      <c r="L1341" s="3" t="s">
        <v>3057</v>
      </c>
      <c r="M1341" s="3" t="s">
        <v>3056</v>
      </c>
      <c r="N1341" s="3"/>
      <c r="O1341" s="3"/>
    </row>
    <row r="1342" spans="1:15" s="4" customFormat="1">
      <c r="A1342" s="2">
        <v>1341</v>
      </c>
      <c r="B1342" s="3" t="s">
        <v>3108</v>
      </c>
      <c r="C1342" s="3" t="s">
        <v>3109</v>
      </c>
      <c r="D1342" s="2" t="s">
        <v>17</v>
      </c>
      <c r="E1342" s="2" t="s">
        <v>8</v>
      </c>
      <c r="F1342" s="16"/>
      <c r="G1342" s="16"/>
      <c r="H1342" s="16">
        <f>VLOOKUP(B:B,'[1]Master Sheet'!$B:$H,7,0)</f>
        <v>0</v>
      </c>
      <c r="I1342" s="16">
        <f>VLOOKUP(B:B,'[1]Master Sheet'!$B:$I,8,0)</f>
        <v>0</v>
      </c>
      <c r="J1342" s="16"/>
      <c r="K1342" s="3" t="s">
        <v>2982</v>
      </c>
      <c r="L1342" s="3" t="s">
        <v>3060</v>
      </c>
      <c r="M1342" s="3" t="s">
        <v>3058</v>
      </c>
      <c r="N1342" s="3"/>
      <c r="O1342" s="3"/>
    </row>
    <row r="1343" spans="1:15" s="4" customFormat="1">
      <c r="A1343" s="2">
        <v>1342</v>
      </c>
      <c r="B1343" s="3" t="s">
        <v>2921</v>
      </c>
      <c r="C1343" s="3" t="s">
        <v>2922</v>
      </c>
      <c r="D1343" s="2" t="s">
        <v>17</v>
      </c>
      <c r="E1343" s="2" t="s">
        <v>8</v>
      </c>
      <c r="F1343" s="16"/>
      <c r="G1343" s="16"/>
      <c r="H1343" s="16">
        <f>VLOOKUP(B:B,'[1]Master Sheet'!$B:$H,7,0)</f>
        <v>0</v>
      </c>
      <c r="I1343" s="16">
        <f>VLOOKUP(B:B,'[1]Master Sheet'!$B:$I,8,0)</f>
        <v>0</v>
      </c>
      <c r="J1343" s="16"/>
      <c r="K1343" s="3" t="s">
        <v>2972</v>
      </c>
      <c r="L1343" s="3" t="s">
        <v>3057</v>
      </c>
      <c r="M1343" s="3" t="s">
        <v>3058</v>
      </c>
      <c r="N1343" s="3"/>
      <c r="O1343" s="3"/>
    </row>
    <row r="1344" spans="1:15" s="4" customFormat="1">
      <c r="A1344" s="2">
        <v>1343</v>
      </c>
      <c r="B1344" s="3" t="s">
        <v>2925</v>
      </c>
      <c r="C1344" s="3" t="s">
        <v>2926</v>
      </c>
      <c r="D1344" s="2" t="s">
        <v>17</v>
      </c>
      <c r="E1344" s="2" t="s">
        <v>8</v>
      </c>
      <c r="F1344" s="16"/>
      <c r="G1344" s="16"/>
      <c r="H1344" s="16">
        <f>VLOOKUP(B:B,'[1]Master Sheet'!$B:$H,7,0)</f>
        <v>0</v>
      </c>
      <c r="I1344" s="16">
        <f>VLOOKUP(B:B,'[1]Master Sheet'!$B:$I,8,0)</f>
        <v>0</v>
      </c>
      <c r="J1344" s="16"/>
      <c r="K1344" s="3" t="s">
        <v>2972</v>
      </c>
      <c r="L1344" s="3" t="s">
        <v>3057</v>
      </c>
      <c r="M1344" s="3" t="s">
        <v>3058</v>
      </c>
      <c r="N1344" s="3"/>
      <c r="O1344" s="3"/>
    </row>
    <row r="1345" spans="1:15" s="4" customFormat="1">
      <c r="A1345" s="2">
        <v>1344</v>
      </c>
      <c r="B1345" s="3" t="s">
        <v>2894</v>
      </c>
      <c r="C1345" s="3" t="s">
        <v>2895</v>
      </c>
      <c r="D1345" s="2" t="s">
        <v>17</v>
      </c>
      <c r="E1345" s="2" t="s">
        <v>8</v>
      </c>
      <c r="F1345" s="16"/>
      <c r="G1345" s="16"/>
      <c r="H1345" s="16">
        <f>VLOOKUP(B:B,'[1]Master Sheet'!$B:$H,7,0)</f>
        <v>5000</v>
      </c>
      <c r="I1345" s="16">
        <f>VLOOKUP(B:B,'[1]Master Sheet'!$B:$I,8,0)</f>
        <v>5000</v>
      </c>
      <c r="J1345" s="16"/>
      <c r="K1345" s="3" t="s">
        <v>2972</v>
      </c>
      <c r="L1345" s="3" t="s">
        <v>3055</v>
      </c>
      <c r="M1345" s="3" t="s">
        <v>3056</v>
      </c>
      <c r="N1345" s="3"/>
      <c r="O1345" s="3"/>
    </row>
    <row r="1346" spans="1:15" s="4" customFormat="1">
      <c r="A1346" s="2">
        <v>1345</v>
      </c>
      <c r="B1346" s="3" t="s">
        <v>2890</v>
      </c>
      <c r="C1346" s="3" t="s">
        <v>2891</v>
      </c>
      <c r="D1346" s="2" t="s">
        <v>17</v>
      </c>
      <c r="E1346" s="2" t="s">
        <v>8</v>
      </c>
      <c r="F1346" s="16"/>
      <c r="G1346" s="16"/>
      <c r="H1346" s="16">
        <f>VLOOKUP(B:B,'[1]Master Sheet'!$B:$H,7,0)</f>
        <v>300</v>
      </c>
      <c r="I1346" s="16">
        <f>VLOOKUP(B:B,'[1]Master Sheet'!$B:$I,8,0)</f>
        <v>0</v>
      </c>
      <c r="J1346" s="16"/>
      <c r="K1346" s="3" t="s">
        <v>2972</v>
      </c>
      <c r="L1346" s="3" t="s">
        <v>3055</v>
      </c>
      <c r="M1346" s="3" t="s">
        <v>3056</v>
      </c>
      <c r="N1346" s="3"/>
      <c r="O1346" s="3"/>
    </row>
    <row r="1347" spans="1:15" s="4" customFormat="1">
      <c r="A1347" s="2">
        <v>1346</v>
      </c>
      <c r="B1347" s="3" t="s">
        <v>2884</v>
      </c>
      <c r="C1347" s="3" t="s">
        <v>2885</v>
      </c>
      <c r="D1347" s="2" t="s">
        <v>17</v>
      </c>
      <c r="E1347" s="2" t="s">
        <v>8</v>
      </c>
      <c r="F1347" s="16"/>
      <c r="G1347" s="16"/>
      <c r="H1347" s="16">
        <f>VLOOKUP(B:B,'[1]Master Sheet'!$B:$H,7,0)</f>
        <v>500</v>
      </c>
      <c r="I1347" s="16">
        <f>VLOOKUP(B:B,'[1]Master Sheet'!$B:$I,8,0)</f>
        <v>0</v>
      </c>
      <c r="J1347" s="16"/>
      <c r="K1347" s="3" t="s">
        <v>2972</v>
      </c>
      <c r="L1347" s="3" t="s">
        <v>3055</v>
      </c>
      <c r="M1347" s="3" t="s">
        <v>3056</v>
      </c>
      <c r="N1347" s="3"/>
      <c r="O1347" s="3"/>
    </row>
    <row r="1348" spans="1:15" s="4" customFormat="1">
      <c r="A1348" s="2">
        <v>1347</v>
      </c>
      <c r="B1348" s="3" t="s">
        <v>2898</v>
      </c>
      <c r="C1348" s="3" t="s">
        <v>2899</v>
      </c>
      <c r="D1348" s="2" t="s">
        <v>17</v>
      </c>
      <c r="E1348" s="2" t="s">
        <v>8</v>
      </c>
      <c r="F1348" s="16"/>
      <c r="G1348" s="16"/>
      <c r="H1348" s="16">
        <f>VLOOKUP(B:B,'[1]Master Sheet'!$B:$H,7,0)</f>
        <v>5000</v>
      </c>
      <c r="I1348" s="16">
        <f>VLOOKUP(B:B,'[1]Master Sheet'!$B:$I,8,0)</f>
        <v>5000</v>
      </c>
      <c r="J1348" s="16"/>
      <c r="K1348" s="3" t="s">
        <v>2972</v>
      </c>
      <c r="L1348" s="3" t="s">
        <v>3055</v>
      </c>
      <c r="M1348" s="3" t="s">
        <v>3056</v>
      </c>
      <c r="N1348" s="3"/>
      <c r="O1348" s="3"/>
    </row>
    <row r="1349" spans="1:15" s="4" customFormat="1">
      <c r="A1349" s="2">
        <v>1348</v>
      </c>
      <c r="B1349" s="3" t="s">
        <v>3112</v>
      </c>
      <c r="C1349" s="3" t="s">
        <v>3113</v>
      </c>
      <c r="D1349" s="2" t="s">
        <v>17</v>
      </c>
      <c r="E1349" s="2" t="s">
        <v>8</v>
      </c>
      <c r="F1349" s="16"/>
      <c r="G1349" s="16"/>
      <c r="H1349" s="16">
        <f>VLOOKUP(B:B,'[1]Master Sheet'!$B:$H,7,0)</f>
        <v>0</v>
      </c>
      <c r="I1349" s="16">
        <f>VLOOKUP(B:B,'[1]Master Sheet'!$B:$I,8,0)</f>
        <v>0</v>
      </c>
      <c r="J1349" s="16"/>
      <c r="K1349" s="3" t="s">
        <v>2982</v>
      </c>
      <c r="L1349" s="3" t="s">
        <v>3060</v>
      </c>
      <c r="M1349" s="3" t="s">
        <v>3058</v>
      </c>
      <c r="N1349" s="3"/>
      <c r="O1349" s="3"/>
    </row>
    <row r="1350" spans="1:15" s="4" customFormat="1">
      <c r="A1350" s="2">
        <v>1349</v>
      </c>
      <c r="B1350" s="3" t="s">
        <v>3110</v>
      </c>
      <c r="C1350" s="3" t="s">
        <v>3111</v>
      </c>
      <c r="D1350" s="2" t="s">
        <v>20</v>
      </c>
      <c r="E1350" s="2" t="s">
        <v>8</v>
      </c>
      <c r="F1350" s="16"/>
      <c r="G1350" s="16"/>
      <c r="H1350" s="16">
        <f>VLOOKUP(B:B,'[1]Master Sheet'!$B:$H,7,0)</f>
        <v>0</v>
      </c>
      <c r="I1350" s="16">
        <f>VLOOKUP(B:B,'[1]Master Sheet'!$B:$I,8,0)</f>
        <v>0</v>
      </c>
      <c r="J1350" s="16"/>
      <c r="K1350" s="3" t="s">
        <v>3000</v>
      </c>
      <c r="L1350" s="3" t="s">
        <v>3057</v>
      </c>
      <c r="M1350" s="3" t="s">
        <v>3056</v>
      </c>
      <c r="N1350" s="3"/>
      <c r="O1350" s="3"/>
    </row>
    <row r="1351" spans="1:15" s="4" customFormat="1">
      <c r="A1351" s="2">
        <v>1350</v>
      </c>
      <c r="B1351" s="3" t="s">
        <v>2882</v>
      </c>
      <c r="C1351" s="3" t="s">
        <v>2883</v>
      </c>
      <c r="D1351" s="2" t="s">
        <v>17</v>
      </c>
      <c r="E1351" s="2" t="s">
        <v>8</v>
      </c>
      <c r="F1351" s="16"/>
      <c r="G1351" s="16"/>
      <c r="H1351" s="16">
        <f>VLOOKUP(B:B,'[1]Master Sheet'!$B:$H,7,0)</f>
        <v>5000</v>
      </c>
      <c r="I1351" s="16">
        <f>VLOOKUP(B:B,'[1]Master Sheet'!$B:$I,8,0)</f>
        <v>0</v>
      </c>
      <c r="J1351" s="16"/>
      <c r="K1351" s="3" t="s">
        <v>2972</v>
      </c>
      <c r="L1351" s="3" t="s">
        <v>3055</v>
      </c>
      <c r="M1351" s="3" t="s">
        <v>3056</v>
      </c>
      <c r="N1351" s="3"/>
      <c r="O1351" s="3"/>
    </row>
    <row r="1352" spans="1:15" s="4" customFormat="1">
      <c r="A1352" s="2">
        <v>1351</v>
      </c>
      <c r="B1352" s="3" t="s">
        <v>3174</v>
      </c>
      <c r="C1352" s="3" t="s">
        <v>3175</v>
      </c>
      <c r="D1352" s="2" t="s">
        <v>7</v>
      </c>
      <c r="E1352" s="2" t="s">
        <v>8</v>
      </c>
      <c r="F1352" s="16"/>
      <c r="G1352" s="16"/>
      <c r="H1352" s="16">
        <f>VLOOKUP(B:B,'[1]Master Sheet'!$B:$H,7,0)</f>
        <v>7200</v>
      </c>
      <c r="I1352" s="16">
        <f>VLOOKUP(B:B,'[1]Master Sheet'!$B:$I,8,0)</f>
        <v>0</v>
      </c>
      <c r="J1352" s="16"/>
      <c r="K1352" s="3" t="s">
        <v>2972</v>
      </c>
      <c r="L1352" s="3" t="s">
        <v>3057</v>
      </c>
      <c r="M1352" s="3" t="s">
        <v>3056</v>
      </c>
      <c r="N1352" s="3"/>
      <c r="O1352" s="3"/>
    </row>
    <row r="1353" spans="1:15" s="4" customFormat="1">
      <c r="A1353" s="2">
        <v>1352</v>
      </c>
      <c r="B1353" s="3" t="s">
        <v>2932</v>
      </c>
      <c r="C1353" s="3" t="s">
        <v>2933</v>
      </c>
      <c r="D1353" s="2" t="s">
        <v>17</v>
      </c>
      <c r="E1353" s="2" t="s">
        <v>8</v>
      </c>
      <c r="F1353" s="16"/>
      <c r="G1353" s="16"/>
      <c r="H1353" s="16">
        <f>VLOOKUP(B:B,'[1]Master Sheet'!$B:$H,7,0)</f>
        <v>0</v>
      </c>
      <c r="I1353" s="16">
        <f>VLOOKUP(B:B,'[1]Master Sheet'!$B:$I,8,0)</f>
        <v>0</v>
      </c>
      <c r="J1353" s="16"/>
      <c r="K1353" s="3" t="s">
        <v>2982</v>
      </c>
      <c r="L1353" s="3" t="s">
        <v>3060</v>
      </c>
      <c r="M1353" s="3" t="s">
        <v>3058</v>
      </c>
      <c r="N1353" s="3"/>
      <c r="O1353" s="3"/>
    </row>
    <row r="1354" spans="1:15" s="4" customFormat="1">
      <c r="A1354" s="2">
        <v>1353</v>
      </c>
      <c r="B1354" s="3" t="s">
        <v>3176</v>
      </c>
      <c r="C1354" s="3" t="s">
        <v>3177</v>
      </c>
      <c r="D1354" s="2" t="s">
        <v>17</v>
      </c>
      <c r="E1354" s="2" t="s">
        <v>8</v>
      </c>
      <c r="F1354" s="16"/>
      <c r="G1354" s="16"/>
      <c r="H1354" s="16">
        <f>VLOOKUP(B:B,'[1]Master Sheet'!$B:$H,7,0)</f>
        <v>0</v>
      </c>
      <c r="I1354" s="16">
        <f>VLOOKUP(B:B,'[1]Master Sheet'!$B:$I,8,0)</f>
        <v>0</v>
      </c>
      <c r="J1354" s="16"/>
      <c r="K1354" s="3" t="s">
        <v>2982</v>
      </c>
      <c r="L1354" s="3" t="s">
        <v>3060</v>
      </c>
      <c r="M1354" s="3" t="s">
        <v>3058</v>
      </c>
      <c r="N1354" s="3"/>
      <c r="O1354" s="3"/>
    </row>
    <row r="1355" spans="1:15" s="4" customFormat="1">
      <c r="A1355" s="2">
        <v>1354</v>
      </c>
      <c r="B1355" s="3" t="s">
        <v>2928</v>
      </c>
      <c r="C1355" s="3" t="s">
        <v>2929</v>
      </c>
      <c r="D1355" s="2" t="s">
        <v>17</v>
      </c>
      <c r="E1355" s="2" t="s">
        <v>8</v>
      </c>
      <c r="F1355" s="16"/>
      <c r="G1355" s="16"/>
      <c r="H1355" s="16">
        <f>VLOOKUP(B:B,'[1]Master Sheet'!$B:$H,7,0)</f>
        <v>250</v>
      </c>
      <c r="I1355" s="16">
        <f>VLOOKUP(B:B,'[1]Master Sheet'!$B:$I,8,0)</f>
        <v>0</v>
      </c>
      <c r="J1355" s="16"/>
      <c r="K1355" s="3" t="s">
        <v>2972</v>
      </c>
      <c r="L1355" s="3" t="s">
        <v>3057</v>
      </c>
      <c r="M1355" s="3" t="s">
        <v>3058</v>
      </c>
      <c r="N1355" s="3"/>
      <c r="O1355" s="3"/>
    </row>
    <row r="1356" spans="1:15" s="4" customFormat="1">
      <c r="A1356" s="2">
        <v>1355</v>
      </c>
      <c r="B1356" s="3" t="s">
        <v>2930</v>
      </c>
      <c r="C1356" s="3" t="s">
        <v>2931</v>
      </c>
      <c r="D1356" s="2" t="s">
        <v>20</v>
      </c>
      <c r="E1356" s="2" t="s">
        <v>8</v>
      </c>
      <c r="F1356" s="16"/>
      <c r="G1356" s="16"/>
      <c r="H1356" s="16">
        <f>VLOOKUP(B:B,'[1]Master Sheet'!$B:$H,7,0)</f>
        <v>0</v>
      </c>
      <c r="I1356" s="16">
        <f>VLOOKUP(B:B,'[1]Master Sheet'!$B:$I,8,0)</f>
        <v>0</v>
      </c>
      <c r="J1356" s="16"/>
      <c r="K1356" s="3" t="s">
        <v>3031</v>
      </c>
      <c r="L1356" s="3" t="s">
        <v>3057</v>
      </c>
      <c r="M1356" s="3" t="s">
        <v>3056</v>
      </c>
      <c r="N1356" s="3"/>
      <c r="O1356" s="3"/>
    </row>
    <row r="1357" spans="1:15" s="4" customFormat="1">
      <c r="A1357" s="2">
        <v>1356</v>
      </c>
      <c r="B1357" s="3" t="s">
        <v>3178</v>
      </c>
      <c r="C1357" s="3" t="s">
        <v>3179</v>
      </c>
      <c r="D1357" s="2" t="s">
        <v>17</v>
      </c>
      <c r="E1357" s="2" t="s">
        <v>8</v>
      </c>
      <c r="F1357" s="16"/>
      <c r="G1357" s="16"/>
      <c r="H1357" s="16">
        <f>VLOOKUP(B:B,'[1]Master Sheet'!$B:$H,7,0)</f>
        <v>0</v>
      </c>
      <c r="I1357" s="16">
        <f>VLOOKUP(B:B,'[1]Master Sheet'!$B:$I,8,0)</f>
        <v>0</v>
      </c>
      <c r="J1357" s="16"/>
      <c r="K1357" s="3" t="s">
        <v>2963</v>
      </c>
      <c r="L1357" s="3" t="s">
        <v>3057</v>
      </c>
      <c r="M1357" s="3" t="s">
        <v>3058</v>
      </c>
      <c r="N1357" s="3"/>
      <c r="O1357" s="3"/>
    </row>
    <row r="1358" spans="1:15" s="4" customFormat="1">
      <c r="A1358" s="2">
        <v>1357</v>
      </c>
      <c r="B1358" s="3" t="s">
        <v>3180</v>
      </c>
      <c r="C1358" s="3" t="s">
        <v>3181</v>
      </c>
      <c r="D1358" s="2" t="s">
        <v>17</v>
      </c>
      <c r="E1358" s="2" t="s">
        <v>8</v>
      </c>
      <c r="F1358" s="16">
        <v>750</v>
      </c>
      <c r="G1358" s="16"/>
      <c r="H1358" s="16">
        <f>VLOOKUP(B:B,'[1]Master Sheet'!$B:$H,7,0)</f>
        <v>0</v>
      </c>
      <c r="I1358" s="16">
        <f>VLOOKUP(B:B,'[1]Master Sheet'!$B:$I,8,0)</f>
        <v>8000</v>
      </c>
      <c r="J1358" s="16"/>
      <c r="K1358" s="3" t="s">
        <v>3006</v>
      </c>
      <c r="L1358" s="3" t="s">
        <v>3060</v>
      </c>
      <c r="M1358" s="3" t="s">
        <v>3064</v>
      </c>
      <c r="N1358" s="3"/>
      <c r="O1358" s="3"/>
    </row>
    <row r="1359" spans="1:15" s="4" customFormat="1">
      <c r="A1359" s="2">
        <v>1358</v>
      </c>
      <c r="B1359" s="3" t="s">
        <v>3182</v>
      </c>
      <c r="C1359" s="3" t="s">
        <v>3183</v>
      </c>
      <c r="D1359" s="2" t="s">
        <v>17</v>
      </c>
      <c r="E1359" s="2" t="s">
        <v>8</v>
      </c>
      <c r="F1359" s="16"/>
      <c r="G1359" s="16"/>
      <c r="H1359" s="16">
        <f>VLOOKUP(B:B,'[1]Master Sheet'!$B:$H,7,0)</f>
        <v>50</v>
      </c>
      <c r="I1359" s="16">
        <f>VLOOKUP(B:B,'[1]Master Sheet'!$B:$I,8,0)</f>
        <v>0</v>
      </c>
      <c r="J1359" s="16"/>
      <c r="K1359" s="3" t="s">
        <v>2972</v>
      </c>
      <c r="L1359" s="3" t="s">
        <v>3055</v>
      </c>
      <c r="M1359" s="3" t="s">
        <v>3056</v>
      </c>
      <c r="N1359" s="3"/>
      <c r="O1359" s="3"/>
    </row>
    <row r="1360" spans="1:15" s="4" customFormat="1">
      <c r="A1360" s="2">
        <v>1359</v>
      </c>
      <c r="B1360" s="3" t="s">
        <v>3184</v>
      </c>
      <c r="C1360" s="3" t="s">
        <v>3185</v>
      </c>
      <c r="D1360" s="2" t="s">
        <v>17</v>
      </c>
      <c r="E1360" s="2" t="s">
        <v>8</v>
      </c>
      <c r="F1360" s="16"/>
      <c r="G1360" s="16"/>
      <c r="H1360" s="16">
        <f>VLOOKUP(B:B,'[1]Master Sheet'!$B:$H,7,0)</f>
        <v>50</v>
      </c>
      <c r="I1360" s="16">
        <f>VLOOKUP(B:B,'[1]Master Sheet'!$B:$I,8,0)</f>
        <v>0</v>
      </c>
      <c r="J1360" s="16"/>
      <c r="K1360" s="3" t="s">
        <v>2972</v>
      </c>
      <c r="L1360" s="3" t="s">
        <v>3055</v>
      </c>
      <c r="M1360" s="3" t="s">
        <v>3056</v>
      </c>
      <c r="N1360" s="3"/>
      <c r="O1360" s="3"/>
    </row>
    <row r="1361" spans="1:15" s="4" customFormat="1">
      <c r="A1361" s="2">
        <v>1360</v>
      </c>
      <c r="B1361" s="3" t="s">
        <v>3186</v>
      </c>
      <c r="C1361" s="3" t="s">
        <v>3187</v>
      </c>
      <c r="D1361" s="2" t="s">
        <v>17</v>
      </c>
      <c r="E1361" s="2" t="s">
        <v>8</v>
      </c>
      <c r="F1361" s="16"/>
      <c r="G1361" s="16"/>
      <c r="H1361" s="16">
        <f>VLOOKUP(B:B,'[1]Master Sheet'!$B:$H,7,0)</f>
        <v>250</v>
      </c>
      <c r="I1361" s="16">
        <f>VLOOKUP(B:B,'[1]Master Sheet'!$B:$I,8,0)</f>
        <v>0</v>
      </c>
      <c r="J1361" s="16"/>
      <c r="K1361" s="3" t="s">
        <v>2972</v>
      </c>
      <c r="L1361" s="3" t="s">
        <v>3055</v>
      </c>
      <c r="M1361" s="3" t="s">
        <v>3056</v>
      </c>
      <c r="N1361" s="3"/>
      <c r="O1361" s="3"/>
    </row>
    <row r="1362" spans="1:15" s="4" customFormat="1">
      <c r="A1362" s="2">
        <v>1361</v>
      </c>
      <c r="B1362" s="3" t="s">
        <v>3188</v>
      </c>
      <c r="C1362" s="3" t="s">
        <v>3189</v>
      </c>
      <c r="D1362" s="2" t="s">
        <v>17</v>
      </c>
      <c r="E1362" s="2" t="s">
        <v>8</v>
      </c>
      <c r="F1362" s="16"/>
      <c r="G1362" s="16"/>
      <c r="H1362" s="16">
        <f>VLOOKUP(B:B,'[1]Master Sheet'!$B:$H,7,0)</f>
        <v>50</v>
      </c>
      <c r="I1362" s="16">
        <f>VLOOKUP(B:B,'[1]Master Sheet'!$B:$I,8,0)</f>
        <v>0</v>
      </c>
      <c r="J1362" s="16"/>
      <c r="K1362" s="3" t="s">
        <v>2972</v>
      </c>
      <c r="L1362" s="3" t="s">
        <v>3055</v>
      </c>
      <c r="M1362" s="3" t="s">
        <v>3056</v>
      </c>
      <c r="N1362" s="3"/>
      <c r="O1362" s="3"/>
    </row>
    <row r="1363" spans="1:15" s="4" customFormat="1">
      <c r="A1363" s="2">
        <v>1362</v>
      </c>
      <c r="B1363" s="3" t="s">
        <v>3190</v>
      </c>
      <c r="C1363" s="3" t="s">
        <v>3191</v>
      </c>
      <c r="D1363" s="2" t="s">
        <v>17</v>
      </c>
      <c r="E1363" s="2" t="s">
        <v>8</v>
      </c>
      <c r="F1363" s="16"/>
      <c r="G1363" s="16"/>
      <c r="H1363" s="16">
        <f>VLOOKUP(B:B,'[1]Master Sheet'!$B:$H,7,0)</f>
        <v>500</v>
      </c>
      <c r="I1363" s="16">
        <f>VLOOKUP(B:B,'[1]Master Sheet'!$B:$I,8,0)</f>
        <v>0</v>
      </c>
      <c r="J1363" s="16"/>
      <c r="K1363" s="3" t="s">
        <v>2972</v>
      </c>
      <c r="L1363" s="3" t="s">
        <v>3055</v>
      </c>
      <c r="M1363" s="3" t="s">
        <v>3056</v>
      </c>
      <c r="N1363" s="3"/>
      <c r="O1363" s="3"/>
    </row>
    <row r="1364" spans="1:15" s="4" customFormat="1">
      <c r="A1364" s="2">
        <v>1363</v>
      </c>
      <c r="B1364" s="3" t="s">
        <v>3192</v>
      </c>
      <c r="C1364" s="3" t="s">
        <v>3193</v>
      </c>
      <c r="D1364" s="2" t="s">
        <v>17</v>
      </c>
      <c r="E1364" s="2" t="s">
        <v>8</v>
      </c>
      <c r="F1364" s="16"/>
      <c r="G1364" s="16"/>
      <c r="H1364" s="16">
        <f>VLOOKUP(B:B,'[1]Master Sheet'!$B:$H,7,0)</f>
        <v>100</v>
      </c>
      <c r="I1364" s="16">
        <f>VLOOKUP(B:B,'[1]Master Sheet'!$B:$I,8,0)</f>
        <v>0</v>
      </c>
      <c r="J1364" s="16"/>
      <c r="K1364" s="3" t="s">
        <v>2972</v>
      </c>
      <c r="L1364" s="3" t="s">
        <v>3055</v>
      </c>
      <c r="M1364" s="3" t="s">
        <v>3056</v>
      </c>
      <c r="N1364" s="3"/>
      <c r="O1364" s="3"/>
    </row>
    <row r="1365" spans="1:15" s="4" customFormat="1">
      <c r="A1365" s="2">
        <v>1364</v>
      </c>
      <c r="B1365" s="3" t="s">
        <v>3194</v>
      </c>
      <c r="C1365" s="3" t="s">
        <v>3195</v>
      </c>
      <c r="D1365" s="2" t="s">
        <v>17</v>
      </c>
      <c r="E1365" s="2" t="s">
        <v>8</v>
      </c>
      <c r="F1365" s="16"/>
      <c r="G1365" s="16"/>
      <c r="H1365" s="16">
        <f>VLOOKUP(B:B,'[1]Master Sheet'!$B:$H,7,0)</f>
        <v>260</v>
      </c>
      <c r="I1365" s="16">
        <f>VLOOKUP(B:B,'[1]Master Sheet'!$B:$I,8,0)</f>
        <v>0</v>
      </c>
      <c r="J1365" s="16"/>
      <c r="K1365" s="3" t="s">
        <v>2972</v>
      </c>
      <c r="L1365" s="3" t="s">
        <v>3055</v>
      </c>
      <c r="M1365" s="3" t="s">
        <v>3056</v>
      </c>
      <c r="N1365" s="3"/>
      <c r="O1365" s="3"/>
    </row>
    <row r="1366" spans="1:15" s="4" customFormat="1">
      <c r="A1366" s="2">
        <v>1365</v>
      </c>
      <c r="B1366" s="3" t="s">
        <v>3196</v>
      </c>
      <c r="C1366" s="3" t="s">
        <v>3197</v>
      </c>
      <c r="D1366" s="2" t="s">
        <v>17</v>
      </c>
      <c r="E1366" s="2" t="s">
        <v>8</v>
      </c>
      <c r="F1366" s="16"/>
      <c r="G1366" s="16"/>
      <c r="H1366" s="16">
        <f>VLOOKUP(B:B,'[1]Master Sheet'!$B:$H,7,0)</f>
        <v>50</v>
      </c>
      <c r="I1366" s="16">
        <f>VLOOKUP(B:B,'[1]Master Sheet'!$B:$I,8,0)</f>
        <v>0</v>
      </c>
      <c r="J1366" s="16"/>
      <c r="K1366" s="3" t="s">
        <v>2972</v>
      </c>
      <c r="L1366" s="3" t="s">
        <v>3055</v>
      </c>
      <c r="M1366" s="3" t="s">
        <v>3056</v>
      </c>
      <c r="N1366" s="3"/>
      <c r="O1366" s="3"/>
    </row>
    <row r="1367" spans="1:15" s="4" customFormat="1">
      <c r="A1367" s="2">
        <v>1366</v>
      </c>
      <c r="B1367" s="3" t="s">
        <v>3198</v>
      </c>
      <c r="C1367" s="3" t="s">
        <v>3199</v>
      </c>
      <c r="D1367" s="2" t="s">
        <v>17</v>
      </c>
      <c r="E1367" s="2" t="s">
        <v>8</v>
      </c>
      <c r="F1367" s="16"/>
      <c r="G1367" s="16"/>
      <c r="H1367" s="16">
        <f>VLOOKUP(B:B,'[1]Master Sheet'!$B:$H,7,0)</f>
        <v>500</v>
      </c>
      <c r="I1367" s="16">
        <f>VLOOKUP(B:B,'[1]Master Sheet'!$B:$I,8,0)</f>
        <v>0</v>
      </c>
      <c r="J1367" s="16"/>
      <c r="K1367" s="3" t="s">
        <v>2972</v>
      </c>
      <c r="L1367" s="3" t="s">
        <v>3055</v>
      </c>
      <c r="M1367" s="3" t="s">
        <v>3056</v>
      </c>
      <c r="N1367" s="3"/>
      <c r="O1367" s="3"/>
    </row>
    <row r="1368" spans="1:15" s="4" customFormat="1">
      <c r="A1368" s="2">
        <v>1367</v>
      </c>
      <c r="B1368" s="3" t="s">
        <v>3200</v>
      </c>
      <c r="C1368" s="3" t="s">
        <v>3201</v>
      </c>
      <c r="D1368" s="2" t="s">
        <v>17</v>
      </c>
      <c r="E1368" s="2" t="s">
        <v>8</v>
      </c>
      <c r="F1368" s="16"/>
      <c r="G1368" s="16"/>
      <c r="H1368" s="16">
        <f>VLOOKUP(B:B,'[1]Master Sheet'!$B:$H,7,0)</f>
        <v>50</v>
      </c>
      <c r="I1368" s="16">
        <f>VLOOKUP(B:B,'[1]Master Sheet'!$B:$I,8,0)</f>
        <v>0</v>
      </c>
      <c r="J1368" s="16"/>
      <c r="K1368" s="3" t="s">
        <v>2972</v>
      </c>
      <c r="L1368" s="3" t="s">
        <v>3055</v>
      </c>
      <c r="M1368" s="3" t="s">
        <v>3056</v>
      </c>
      <c r="N1368" s="3"/>
      <c r="O1368" s="3"/>
    </row>
    <row r="1369" spans="1:15" s="4" customFormat="1">
      <c r="A1369" s="2">
        <v>1368</v>
      </c>
      <c r="B1369" s="3" t="s">
        <v>3202</v>
      </c>
      <c r="C1369" s="3" t="s">
        <v>3203</v>
      </c>
      <c r="D1369" s="2" t="s">
        <v>17</v>
      </c>
      <c r="E1369" s="2" t="s">
        <v>8</v>
      </c>
      <c r="F1369" s="16"/>
      <c r="G1369" s="16"/>
      <c r="H1369" s="16">
        <f>VLOOKUP(B:B,'[1]Master Sheet'!$B:$H,7,0)</f>
        <v>500</v>
      </c>
      <c r="I1369" s="16">
        <f>VLOOKUP(B:B,'[1]Master Sheet'!$B:$I,8,0)</f>
        <v>0</v>
      </c>
      <c r="J1369" s="16"/>
      <c r="K1369" s="3" t="s">
        <v>2972</v>
      </c>
      <c r="L1369" s="3" t="s">
        <v>3055</v>
      </c>
      <c r="M1369" s="3" t="s">
        <v>3056</v>
      </c>
      <c r="N1369" s="3"/>
      <c r="O1369" s="3"/>
    </row>
    <row r="1370" spans="1:15" s="4" customFormat="1">
      <c r="A1370" s="2">
        <v>1369</v>
      </c>
      <c r="B1370" s="3" t="s">
        <v>3204</v>
      </c>
      <c r="C1370" s="3" t="s">
        <v>3205</v>
      </c>
      <c r="D1370" s="2" t="s">
        <v>17</v>
      </c>
      <c r="E1370" s="2" t="s">
        <v>8</v>
      </c>
      <c r="F1370" s="16"/>
      <c r="G1370" s="16"/>
      <c r="H1370" s="16">
        <f>VLOOKUP(B:B,'[1]Master Sheet'!$B:$H,7,0)</f>
        <v>500</v>
      </c>
      <c r="I1370" s="16">
        <f>VLOOKUP(B:B,'[1]Master Sheet'!$B:$I,8,0)</f>
        <v>0</v>
      </c>
      <c r="J1370" s="16"/>
      <c r="K1370" s="3" t="s">
        <v>2972</v>
      </c>
      <c r="L1370" s="3" t="s">
        <v>3055</v>
      </c>
      <c r="M1370" s="3" t="s">
        <v>3056</v>
      </c>
      <c r="N1370" s="3"/>
      <c r="O1370" s="3"/>
    </row>
    <row r="1371" spans="1:15" s="4" customFormat="1">
      <c r="A1371" s="2">
        <v>1370</v>
      </c>
      <c r="B1371" s="3" t="s">
        <v>3206</v>
      </c>
      <c r="C1371" s="3" t="s">
        <v>3207</v>
      </c>
      <c r="D1371" s="2" t="s">
        <v>17</v>
      </c>
      <c r="E1371" s="2" t="s">
        <v>8</v>
      </c>
      <c r="F1371" s="16"/>
      <c r="G1371" s="16"/>
      <c r="H1371" s="16">
        <f>VLOOKUP(B:B,'[1]Master Sheet'!$B:$H,7,0)</f>
        <v>250</v>
      </c>
      <c r="I1371" s="16">
        <f>VLOOKUP(B:B,'[1]Master Sheet'!$B:$I,8,0)</f>
        <v>200</v>
      </c>
      <c r="J1371" s="16"/>
      <c r="K1371" s="3" t="s">
        <v>2972</v>
      </c>
      <c r="L1371" s="3" t="s">
        <v>3055</v>
      </c>
      <c r="M1371" s="3" t="s">
        <v>3056</v>
      </c>
      <c r="N1371" s="3"/>
      <c r="O1371" s="3"/>
    </row>
    <row r="1372" spans="1:15" s="4" customFormat="1">
      <c r="A1372" s="2">
        <v>1371</v>
      </c>
      <c r="B1372" s="3" t="s">
        <v>3208</v>
      </c>
      <c r="C1372" s="3" t="s">
        <v>3209</v>
      </c>
      <c r="D1372" s="2" t="s">
        <v>17</v>
      </c>
      <c r="E1372" s="2" t="s">
        <v>8</v>
      </c>
      <c r="F1372" s="16"/>
      <c r="G1372" s="16"/>
      <c r="H1372" s="16">
        <f>VLOOKUP(B:B,'[1]Master Sheet'!$B:$H,7,0)</f>
        <v>250</v>
      </c>
      <c r="I1372" s="16">
        <f>VLOOKUP(B:B,'[1]Master Sheet'!$B:$I,8,0)</f>
        <v>0</v>
      </c>
      <c r="J1372" s="16"/>
      <c r="K1372" s="3" t="s">
        <v>2972</v>
      </c>
      <c r="L1372" s="3" t="s">
        <v>3055</v>
      </c>
      <c r="M1372" s="3" t="s">
        <v>3056</v>
      </c>
      <c r="N1372" s="3"/>
      <c r="O1372" s="3"/>
    </row>
    <row r="1373" spans="1:15" s="4" customFormat="1">
      <c r="A1373" s="2">
        <v>1372</v>
      </c>
      <c r="B1373" s="3" t="s">
        <v>3210</v>
      </c>
      <c r="C1373" s="3" t="s">
        <v>3211</v>
      </c>
      <c r="D1373" s="2" t="s">
        <v>17</v>
      </c>
      <c r="E1373" s="2" t="s">
        <v>8</v>
      </c>
      <c r="F1373" s="16"/>
      <c r="G1373" s="16"/>
      <c r="H1373" s="16">
        <f>VLOOKUP(B:B,'[1]Master Sheet'!$B:$H,7,0)</f>
        <v>250</v>
      </c>
      <c r="I1373" s="16">
        <f>VLOOKUP(B:B,'[1]Master Sheet'!$B:$I,8,0)</f>
        <v>0</v>
      </c>
      <c r="J1373" s="16"/>
      <c r="K1373" s="3" t="s">
        <v>2972</v>
      </c>
      <c r="L1373" s="3" t="s">
        <v>3055</v>
      </c>
      <c r="M1373" s="3" t="s">
        <v>3056</v>
      </c>
      <c r="N1373" s="3"/>
      <c r="O1373" s="3"/>
    </row>
    <row r="1374" spans="1:15" s="4" customFormat="1">
      <c r="A1374" s="2">
        <v>1373</v>
      </c>
      <c r="B1374" s="3" t="s">
        <v>3212</v>
      </c>
      <c r="C1374" s="3" t="s">
        <v>3213</v>
      </c>
      <c r="D1374" s="2" t="s">
        <v>17</v>
      </c>
      <c r="E1374" s="2" t="s">
        <v>8</v>
      </c>
      <c r="F1374" s="16"/>
      <c r="G1374" s="16"/>
      <c r="H1374" s="16">
        <f>VLOOKUP(B:B,'[1]Master Sheet'!$B:$H,7,0)</f>
        <v>200</v>
      </c>
      <c r="I1374" s="16">
        <f>VLOOKUP(B:B,'[1]Master Sheet'!$B:$I,8,0)</f>
        <v>0</v>
      </c>
      <c r="J1374" s="16"/>
      <c r="K1374" s="3" t="s">
        <v>2972</v>
      </c>
      <c r="L1374" s="3" t="s">
        <v>3055</v>
      </c>
      <c r="M1374" s="3" t="s">
        <v>3056</v>
      </c>
      <c r="N1374" s="3"/>
      <c r="O1374" s="3"/>
    </row>
    <row r="1375" spans="1:15" s="4" customFormat="1">
      <c r="A1375" s="2">
        <v>1374</v>
      </c>
      <c r="B1375" s="3" t="s">
        <v>3214</v>
      </c>
      <c r="C1375" s="3" t="s">
        <v>3215</v>
      </c>
      <c r="D1375" s="2" t="s">
        <v>17</v>
      </c>
      <c r="E1375" s="2" t="s">
        <v>8</v>
      </c>
      <c r="F1375" s="16"/>
      <c r="G1375" s="16"/>
      <c r="H1375" s="16">
        <f>VLOOKUP(B:B,'[1]Master Sheet'!$B:$H,7,0)</f>
        <v>0</v>
      </c>
      <c r="I1375" s="16">
        <f>VLOOKUP(B:B,'[1]Master Sheet'!$B:$I,8,0)</f>
        <v>0</v>
      </c>
      <c r="J1375" s="16"/>
      <c r="K1375" s="3" t="s">
        <v>2972</v>
      </c>
      <c r="L1375" s="3" t="s">
        <v>3055</v>
      </c>
      <c r="M1375" s="3" t="s">
        <v>3056</v>
      </c>
      <c r="N1375" s="3"/>
      <c r="O1375" s="3"/>
    </row>
    <row r="1376" spans="1:15" s="4" customFormat="1">
      <c r="A1376" s="2">
        <v>1375</v>
      </c>
      <c r="B1376" s="3" t="s">
        <v>3216</v>
      </c>
      <c r="C1376" s="3" t="s">
        <v>3217</v>
      </c>
      <c r="D1376" s="2" t="s">
        <v>17</v>
      </c>
      <c r="E1376" s="2" t="s">
        <v>8</v>
      </c>
      <c r="F1376" s="16"/>
      <c r="G1376" s="16"/>
      <c r="H1376" s="16">
        <f>VLOOKUP(B:B,'[1]Master Sheet'!$B:$H,7,0)</f>
        <v>5000</v>
      </c>
      <c r="I1376" s="16">
        <f>VLOOKUP(B:B,'[1]Master Sheet'!$B:$I,8,0)</f>
        <v>0</v>
      </c>
      <c r="J1376" s="16"/>
      <c r="K1376" s="3" t="s">
        <v>2972</v>
      </c>
      <c r="L1376" s="3" t="s">
        <v>3057</v>
      </c>
      <c r="M1376" s="3" t="s">
        <v>3056</v>
      </c>
      <c r="N1376" s="3"/>
      <c r="O1376" s="3"/>
    </row>
    <row r="1377" spans="1:15" s="4" customFormat="1">
      <c r="A1377" s="2">
        <v>1376</v>
      </c>
      <c r="B1377" s="3" t="s">
        <v>3218</v>
      </c>
      <c r="C1377" s="3" t="s">
        <v>3219</v>
      </c>
      <c r="D1377" s="2" t="s">
        <v>17</v>
      </c>
      <c r="E1377" s="2" t="s">
        <v>8</v>
      </c>
      <c r="F1377" s="16"/>
      <c r="G1377" s="16"/>
      <c r="H1377" s="16">
        <f>VLOOKUP(B:B,'[1]Master Sheet'!$B:$H,7,0)</f>
        <v>3000</v>
      </c>
      <c r="I1377" s="16">
        <f>VLOOKUP(B:B,'[1]Master Sheet'!$B:$I,8,0)</f>
        <v>0</v>
      </c>
      <c r="J1377" s="16"/>
      <c r="K1377" s="3" t="s">
        <v>2972</v>
      </c>
      <c r="L1377" s="3" t="s">
        <v>3057</v>
      </c>
      <c r="M1377" s="3" t="s">
        <v>3056</v>
      </c>
      <c r="N1377" s="3"/>
      <c r="O1377" s="3"/>
    </row>
    <row r="1378" spans="1:15" s="4" customFormat="1">
      <c r="A1378" s="2">
        <v>1377</v>
      </c>
      <c r="B1378" s="3" t="s">
        <v>3220</v>
      </c>
      <c r="C1378" s="3" t="s">
        <v>3221</v>
      </c>
      <c r="D1378" s="2" t="s">
        <v>17</v>
      </c>
      <c r="E1378" s="2" t="s">
        <v>8</v>
      </c>
      <c r="F1378" s="16"/>
      <c r="G1378" s="16"/>
      <c r="H1378" s="16">
        <f>VLOOKUP(B:B,'[1]Master Sheet'!$B:$H,7,0)</f>
        <v>1500</v>
      </c>
      <c r="I1378" s="16">
        <f>VLOOKUP(B:B,'[1]Master Sheet'!$B:$I,8,0)</f>
        <v>0</v>
      </c>
      <c r="J1378" s="16"/>
      <c r="K1378" s="3" t="s">
        <v>2972</v>
      </c>
      <c r="L1378" s="3" t="s">
        <v>3057</v>
      </c>
      <c r="M1378" s="3" t="s">
        <v>3056</v>
      </c>
      <c r="N1378" s="3"/>
      <c r="O1378" s="3"/>
    </row>
    <row r="1379" spans="1:15" s="4" customFormat="1">
      <c r="A1379" s="2">
        <v>1378</v>
      </c>
      <c r="B1379" s="3" t="s">
        <v>3222</v>
      </c>
      <c r="C1379" s="3" t="s">
        <v>3223</v>
      </c>
      <c r="D1379" s="2" t="s">
        <v>17</v>
      </c>
      <c r="E1379" s="2" t="s">
        <v>8</v>
      </c>
      <c r="F1379" s="16"/>
      <c r="G1379" s="16"/>
      <c r="H1379" s="16">
        <f>VLOOKUP(B:B,'[1]Master Sheet'!$B:$H,7,0)</f>
        <v>5000</v>
      </c>
      <c r="I1379" s="16">
        <f>VLOOKUP(B:B,'[1]Master Sheet'!$B:$I,8,0)</f>
        <v>0</v>
      </c>
      <c r="J1379" s="16"/>
      <c r="K1379" s="3" t="s">
        <v>2972</v>
      </c>
      <c r="L1379" s="3" t="s">
        <v>3057</v>
      </c>
      <c r="M1379" s="3" t="s">
        <v>3056</v>
      </c>
      <c r="N1379" s="3"/>
      <c r="O1379" s="3"/>
    </row>
    <row r="1380" spans="1:15" s="4" customFormat="1">
      <c r="A1380" s="2">
        <v>1379</v>
      </c>
      <c r="B1380" s="3" t="s">
        <v>3224</v>
      </c>
      <c r="C1380" s="3" t="s">
        <v>3225</v>
      </c>
      <c r="D1380" s="2" t="s">
        <v>17</v>
      </c>
      <c r="E1380" s="2" t="s">
        <v>8</v>
      </c>
      <c r="F1380" s="16"/>
      <c r="G1380" s="16"/>
      <c r="H1380" s="16">
        <f>VLOOKUP(B:B,'[1]Master Sheet'!$B:$H,7,0)</f>
        <v>0</v>
      </c>
      <c r="I1380" s="16">
        <f>VLOOKUP(B:B,'[1]Master Sheet'!$B:$I,8,0)</f>
        <v>0</v>
      </c>
      <c r="J1380" s="16"/>
      <c r="K1380" s="3" t="s">
        <v>2972</v>
      </c>
      <c r="L1380" s="3" t="s">
        <v>3057</v>
      </c>
      <c r="M1380" s="3" t="s">
        <v>3056</v>
      </c>
      <c r="N1380" s="3"/>
      <c r="O1380" s="3"/>
    </row>
    <row r="1381" spans="1:15" s="4" customFormat="1">
      <c r="A1381" s="2">
        <v>1380</v>
      </c>
      <c r="B1381" s="3" t="s">
        <v>3226</v>
      </c>
      <c r="C1381" s="3" t="s">
        <v>3227</v>
      </c>
      <c r="D1381" s="2" t="s">
        <v>17</v>
      </c>
      <c r="E1381" s="2" t="s">
        <v>8</v>
      </c>
      <c r="F1381" s="16"/>
      <c r="G1381" s="16"/>
      <c r="H1381" s="16">
        <f>VLOOKUP(B:B,'[1]Master Sheet'!$B:$H,7,0)</f>
        <v>0</v>
      </c>
      <c r="I1381" s="16">
        <f>VLOOKUP(B:B,'[1]Master Sheet'!$B:$I,8,0)</f>
        <v>0</v>
      </c>
      <c r="J1381" s="16"/>
      <c r="K1381" s="3" t="s">
        <v>2972</v>
      </c>
      <c r="L1381" s="3" t="s">
        <v>3057</v>
      </c>
      <c r="M1381" s="3" t="s">
        <v>3056</v>
      </c>
      <c r="N1381" s="3"/>
      <c r="O1381" s="3"/>
    </row>
    <row r="1382" spans="1:15" s="4" customFormat="1">
      <c r="A1382" s="2">
        <v>1381</v>
      </c>
      <c r="B1382" s="3" t="s">
        <v>3228</v>
      </c>
      <c r="C1382" s="3" t="s">
        <v>3229</v>
      </c>
      <c r="D1382" s="2" t="s">
        <v>17</v>
      </c>
      <c r="E1382" s="2" t="s">
        <v>8</v>
      </c>
      <c r="F1382" s="16"/>
      <c r="G1382" s="16"/>
      <c r="H1382" s="16">
        <f>VLOOKUP(B:B,'[1]Master Sheet'!$B:$H,7,0)</f>
        <v>0</v>
      </c>
      <c r="I1382" s="16">
        <f>VLOOKUP(B:B,'[1]Master Sheet'!$B:$I,8,0)</f>
        <v>0</v>
      </c>
      <c r="J1382" s="16"/>
      <c r="K1382" s="3" t="s">
        <v>2972</v>
      </c>
      <c r="L1382" s="3" t="s">
        <v>3057</v>
      </c>
      <c r="M1382" s="3" t="s">
        <v>3056</v>
      </c>
      <c r="N1382" s="3"/>
      <c r="O1382" s="3"/>
    </row>
    <row r="1383" spans="1:15" s="4" customFormat="1">
      <c r="A1383" s="2">
        <v>1382</v>
      </c>
      <c r="B1383" s="3" t="s">
        <v>3230</v>
      </c>
      <c r="C1383" s="3" t="s">
        <v>3231</v>
      </c>
      <c r="D1383" s="2" t="s">
        <v>17</v>
      </c>
      <c r="E1383" s="2" t="s">
        <v>8</v>
      </c>
      <c r="F1383" s="16"/>
      <c r="G1383" s="16"/>
      <c r="H1383" s="16">
        <f>VLOOKUP(B:B,'[1]Master Sheet'!$B:$H,7,0)</f>
        <v>0</v>
      </c>
      <c r="I1383" s="16">
        <f>VLOOKUP(B:B,'[1]Master Sheet'!$B:$I,8,0)</f>
        <v>0</v>
      </c>
      <c r="J1383" s="16"/>
      <c r="K1383" s="3" t="s">
        <v>2972</v>
      </c>
      <c r="L1383" s="3" t="s">
        <v>3057</v>
      </c>
      <c r="M1383" s="3" t="s">
        <v>3056</v>
      </c>
      <c r="N1383" s="3"/>
      <c r="O1383" s="3"/>
    </row>
    <row r="1384" spans="1:15" s="4" customFormat="1">
      <c r="A1384" s="2">
        <v>1383</v>
      </c>
      <c r="B1384" s="3" t="s">
        <v>3232</v>
      </c>
      <c r="C1384" s="3" t="s">
        <v>3233</v>
      </c>
      <c r="D1384" s="2" t="s">
        <v>17</v>
      </c>
      <c r="E1384" s="2" t="s">
        <v>8</v>
      </c>
      <c r="F1384" s="16"/>
      <c r="G1384" s="16"/>
      <c r="H1384" s="16">
        <f>VLOOKUP(B:B,'[1]Master Sheet'!$B:$H,7,0)</f>
        <v>0</v>
      </c>
      <c r="I1384" s="16">
        <f>VLOOKUP(B:B,'[1]Master Sheet'!$B:$I,8,0)</f>
        <v>0</v>
      </c>
      <c r="J1384" s="16"/>
      <c r="K1384" s="3" t="s">
        <v>2972</v>
      </c>
      <c r="L1384" s="3" t="s">
        <v>3057</v>
      </c>
      <c r="M1384" s="3" t="s">
        <v>3056</v>
      </c>
      <c r="N1384" s="3"/>
      <c r="O1384" s="3"/>
    </row>
    <row r="1385" spans="1:15" s="4" customFormat="1">
      <c r="A1385" s="2">
        <v>1384</v>
      </c>
      <c r="B1385" s="3" t="s">
        <v>3234</v>
      </c>
      <c r="C1385" s="3" t="s">
        <v>3235</v>
      </c>
      <c r="D1385" s="2" t="s">
        <v>17</v>
      </c>
      <c r="E1385" s="2" t="s">
        <v>8</v>
      </c>
      <c r="F1385" s="16"/>
      <c r="G1385" s="16"/>
      <c r="H1385" s="16">
        <f>VLOOKUP(B:B,'[1]Master Sheet'!$B:$H,7,0)</f>
        <v>0</v>
      </c>
      <c r="I1385" s="16">
        <f>VLOOKUP(B:B,'[1]Master Sheet'!$B:$I,8,0)</f>
        <v>0</v>
      </c>
      <c r="J1385" s="16"/>
      <c r="K1385" s="3" t="s">
        <v>2972</v>
      </c>
      <c r="L1385" s="3" t="s">
        <v>3057</v>
      </c>
      <c r="M1385" s="3" t="s">
        <v>3056</v>
      </c>
      <c r="N1385" s="3"/>
      <c r="O1385" s="3"/>
    </row>
    <row r="1386" spans="1:15" s="4" customFormat="1">
      <c r="A1386" s="2">
        <v>1385</v>
      </c>
      <c r="B1386" s="3" t="s">
        <v>3236</v>
      </c>
      <c r="C1386" s="3" t="s">
        <v>3237</v>
      </c>
      <c r="D1386" s="2" t="s">
        <v>17</v>
      </c>
      <c r="E1386" s="2" t="s">
        <v>8</v>
      </c>
      <c r="F1386" s="16"/>
      <c r="G1386" s="16"/>
      <c r="H1386" s="16">
        <f>VLOOKUP(B:B,'[1]Master Sheet'!$B:$H,7,0)</f>
        <v>0</v>
      </c>
      <c r="I1386" s="16">
        <f>VLOOKUP(B:B,'[1]Master Sheet'!$B:$I,8,0)</f>
        <v>0</v>
      </c>
      <c r="J1386" s="16"/>
      <c r="K1386" s="3" t="s">
        <v>2972</v>
      </c>
      <c r="L1386" s="3" t="s">
        <v>3057</v>
      </c>
      <c r="M1386" s="3" t="s">
        <v>3056</v>
      </c>
      <c r="N1386" s="3"/>
      <c r="O1386" s="3"/>
    </row>
    <row r="1387" spans="1:15" s="4" customFormat="1">
      <c r="A1387" s="2">
        <v>1386</v>
      </c>
      <c r="B1387" s="3" t="s">
        <v>3238</v>
      </c>
      <c r="C1387" s="3" t="s">
        <v>3239</v>
      </c>
      <c r="D1387" s="2" t="s">
        <v>17</v>
      </c>
      <c r="E1387" s="2" t="s">
        <v>8</v>
      </c>
      <c r="F1387" s="16"/>
      <c r="G1387" s="16"/>
      <c r="H1387" s="16">
        <f>VLOOKUP(B:B,'[1]Master Sheet'!$B:$H,7,0)</f>
        <v>50</v>
      </c>
      <c r="I1387" s="16">
        <f>VLOOKUP(B:B,'[1]Master Sheet'!$B:$I,8,0)</f>
        <v>0</v>
      </c>
      <c r="J1387" s="16"/>
      <c r="K1387" s="3" t="s">
        <v>2972</v>
      </c>
      <c r="L1387" s="3" t="s">
        <v>3055</v>
      </c>
      <c r="M1387" s="3" t="s">
        <v>3056</v>
      </c>
      <c r="N1387" s="3"/>
      <c r="O1387" s="3"/>
    </row>
    <row r="1388" spans="1:15" s="4" customFormat="1">
      <c r="A1388" s="2">
        <v>1387</v>
      </c>
      <c r="B1388" s="3" t="s">
        <v>3240</v>
      </c>
      <c r="C1388" s="3" t="s">
        <v>3241</v>
      </c>
      <c r="D1388" s="2" t="s">
        <v>17</v>
      </c>
      <c r="E1388" s="2" t="s">
        <v>8</v>
      </c>
      <c r="F1388" s="16"/>
      <c r="G1388" s="16"/>
      <c r="H1388" s="16">
        <f>VLOOKUP(B:B,'[1]Master Sheet'!$B:$H,7,0)</f>
        <v>50</v>
      </c>
      <c r="I1388" s="16">
        <f>VLOOKUP(B:B,'[1]Master Sheet'!$B:$I,8,0)</f>
        <v>0</v>
      </c>
      <c r="J1388" s="16"/>
      <c r="K1388" s="3" t="s">
        <v>2972</v>
      </c>
      <c r="L1388" s="3" t="s">
        <v>3055</v>
      </c>
      <c r="M1388" s="3" t="s">
        <v>3056</v>
      </c>
      <c r="N1388" s="3"/>
      <c r="O1388" s="3"/>
    </row>
    <row r="1389" spans="1:15" s="4" customFormat="1">
      <c r="A1389" s="2">
        <v>1388</v>
      </c>
      <c r="B1389" s="3" t="s">
        <v>3242</v>
      </c>
      <c r="C1389" s="3" t="s">
        <v>3243</v>
      </c>
      <c r="D1389" s="2" t="s">
        <v>17</v>
      </c>
      <c r="E1389" s="2" t="s">
        <v>8</v>
      </c>
      <c r="F1389" s="16"/>
      <c r="G1389" s="16"/>
      <c r="H1389" s="16">
        <f>VLOOKUP(B:B,'[1]Master Sheet'!$B:$H,7,0)</f>
        <v>70</v>
      </c>
      <c r="I1389" s="16">
        <f>VLOOKUP(B:B,'[1]Master Sheet'!$B:$I,8,0)</f>
        <v>0</v>
      </c>
      <c r="J1389" s="16"/>
      <c r="K1389" s="3" t="s">
        <v>2972</v>
      </c>
      <c r="L1389" s="3" t="s">
        <v>3055</v>
      </c>
      <c r="M1389" s="3" t="s">
        <v>3056</v>
      </c>
      <c r="N1389" s="3"/>
      <c r="O1389" s="3"/>
    </row>
    <row r="1390" spans="1:15" s="4" customFormat="1">
      <c r="A1390" s="2">
        <v>1389</v>
      </c>
      <c r="B1390" s="3" t="s">
        <v>3244</v>
      </c>
      <c r="C1390" s="3" t="s">
        <v>3245</v>
      </c>
      <c r="D1390" s="2" t="s">
        <v>17</v>
      </c>
      <c r="E1390" s="2" t="s">
        <v>8</v>
      </c>
      <c r="F1390" s="16"/>
      <c r="G1390" s="16"/>
      <c r="H1390" s="16">
        <f>VLOOKUP(B:B,'[1]Master Sheet'!$B:$H,7,0)</f>
        <v>800</v>
      </c>
      <c r="I1390" s="16">
        <f>VLOOKUP(B:B,'[1]Master Sheet'!$B:$I,8,0)</f>
        <v>0</v>
      </c>
      <c r="J1390" s="16"/>
      <c r="K1390" s="3" t="s">
        <v>2972</v>
      </c>
      <c r="L1390" s="3" t="s">
        <v>3055</v>
      </c>
      <c r="M1390" s="3" t="s">
        <v>3056</v>
      </c>
      <c r="N1390" s="3"/>
      <c r="O1390" s="3"/>
    </row>
    <row r="1391" spans="1:15" s="4" customFormat="1">
      <c r="A1391" s="2">
        <v>1390</v>
      </c>
      <c r="B1391" s="3" t="s">
        <v>3246</v>
      </c>
      <c r="C1391" s="3" t="s">
        <v>3247</v>
      </c>
      <c r="D1391" s="2" t="s">
        <v>17</v>
      </c>
      <c r="E1391" s="2" t="s">
        <v>8</v>
      </c>
      <c r="F1391" s="16"/>
      <c r="G1391" s="16"/>
      <c r="H1391" s="16">
        <f>VLOOKUP(B:B,'[1]Master Sheet'!$B:$H,7,0)</f>
        <v>0</v>
      </c>
      <c r="I1391" s="16">
        <f>VLOOKUP(B:B,'[1]Master Sheet'!$B:$I,8,0)</f>
        <v>0</v>
      </c>
      <c r="J1391" s="16"/>
      <c r="K1391" s="3" t="s">
        <v>2972</v>
      </c>
      <c r="L1391" s="3" t="s">
        <v>3060</v>
      </c>
      <c r="M1391" s="3" t="s">
        <v>3058</v>
      </c>
      <c r="N1391" s="3"/>
      <c r="O1391" s="3"/>
    </row>
    <row r="1392" spans="1:15" s="4" customFormat="1">
      <c r="A1392" s="2">
        <v>1391</v>
      </c>
      <c r="B1392" s="3" t="s">
        <v>3248</v>
      </c>
      <c r="C1392" s="3" t="s">
        <v>3249</v>
      </c>
      <c r="D1392" s="2" t="s">
        <v>17</v>
      </c>
      <c r="E1392" s="2" t="s">
        <v>8</v>
      </c>
      <c r="F1392" s="16"/>
      <c r="G1392" s="16"/>
      <c r="H1392" s="16">
        <f>VLOOKUP(B:B,'[1]Master Sheet'!$B:$H,7,0)</f>
        <v>0</v>
      </c>
      <c r="I1392" s="16">
        <f>VLOOKUP(B:B,'[1]Master Sheet'!$B:$I,8,0)</f>
        <v>0</v>
      </c>
      <c r="J1392" s="16"/>
      <c r="K1392" s="3" t="s">
        <v>2982</v>
      </c>
      <c r="L1392" s="3" t="s">
        <v>3060</v>
      </c>
      <c r="M1392" s="3" t="s">
        <v>3058</v>
      </c>
      <c r="N1392" s="3"/>
      <c r="O1392" s="3"/>
    </row>
    <row r="1393" spans="1:15" s="4" customFormat="1">
      <c r="A1393" s="2">
        <v>1392</v>
      </c>
      <c r="B1393" s="3" t="s">
        <v>3250</v>
      </c>
      <c r="C1393" s="3" t="s">
        <v>3251</v>
      </c>
      <c r="D1393" s="2" t="s">
        <v>17</v>
      </c>
      <c r="E1393" s="2" t="s">
        <v>8</v>
      </c>
      <c r="F1393" s="16"/>
      <c r="G1393" s="16"/>
      <c r="H1393" s="16">
        <f>VLOOKUP(B:B,'[1]Master Sheet'!$B:$H,7,0)</f>
        <v>0</v>
      </c>
      <c r="I1393" s="16">
        <f>VLOOKUP(B:B,'[1]Master Sheet'!$B:$I,8,0)</f>
        <v>0</v>
      </c>
      <c r="J1393" s="16"/>
      <c r="K1393" s="3" t="s">
        <v>2972</v>
      </c>
      <c r="L1393" s="3" t="s">
        <v>3057</v>
      </c>
      <c r="M1393" s="3" t="s">
        <v>3056</v>
      </c>
      <c r="N1393" s="3"/>
      <c r="O1393" s="3"/>
    </row>
    <row r="1394" spans="1:15" s="4" customFormat="1">
      <c r="A1394" s="2">
        <v>1393</v>
      </c>
      <c r="B1394" s="3" t="s">
        <v>3252</v>
      </c>
      <c r="C1394" s="3" t="s">
        <v>3253</v>
      </c>
      <c r="D1394" s="2" t="s">
        <v>17</v>
      </c>
      <c r="E1394" s="2" t="s">
        <v>8</v>
      </c>
      <c r="F1394" s="16"/>
      <c r="G1394" s="16"/>
      <c r="H1394" s="16">
        <f>VLOOKUP(B:B,'[1]Master Sheet'!$B:$H,7,0)</f>
        <v>0</v>
      </c>
      <c r="I1394" s="16">
        <f>VLOOKUP(B:B,'[1]Master Sheet'!$B:$I,8,0)</f>
        <v>0</v>
      </c>
      <c r="J1394" s="16"/>
      <c r="K1394" s="3" t="s">
        <v>2972</v>
      </c>
      <c r="L1394" s="3" t="s">
        <v>3057</v>
      </c>
      <c r="M1394" s="3" t="s">
        <v>3058</v>
      </c>
      <c r="N1394" s="3"/>
      <c r="O1394" s="3"/>
    </row>
    <row r="1395" spans="1:15" s="4" customFormat="1">
      <c r="A1395" s="2">
        <v>1394</v>
      </c>
      <c r="B1395" s="3" t="s">
        <v>3254</v>
      </c>
      <c r="C1395" s="3" t="s">
        <v>3255</v>
      </c>
      <c r="D1395" s="2" t="s">
        <v>17</v>
      </c>
      <c r="E1395" s="2" t="s">
        <v>8</v>
      </c>
      <c r="F1395" s="16"/>
      <c r="G1395" s="16"/>
      <c r="H1395" s="16">
        <f>VLOOKUP(B:B,'[1]Master Sheet'!$B:$H,7,0)</f>
        <v>0</v>
      </c>
      <c r="I1395" s="16">
        <f>VLOOKUP(B:B,'[1]Master Sheet'!$B:$I,8,0)</f>
        <v>0</v>
      </c>
      <c r="J1395" s="16"/>
      <c r="K1395" s="3" t="s">
        <v>2972</v>
      </c>
      <c r="L1395" s="3" t="s">
        <v>3057</v>
      </c>
      <c r="M1395" s="3" t="s">
        <v>3056</v>
      </c>
      <c r="N1395" s="3"/>
      <c r="O1395" s="3"/>
    </row>
    <row r="1396" spans="1:15" s="4" customFormat="1">
      <c r="A1396" s="2">
        <v>1395</v>
      </c>
      <c r="B1396" s="3" t="s">
        <v>3256</v>
      </c>
      <c r="C1396" s="3" t="s">
        <v>3257</v>
      </c>
      <c r="D1396" s="2" t="s">
        <v>17</v>
      </c>
      <c r="E1396" s="2" t="s">
        <v>8</v>
      </c>
      <c r="F1396" s="16"/>
      <c r="G1396" s="16"/>
      <c r="H1396" s="16">
        <f>VLOOKUP(B:B,'[1]Master Sheet'!$B:$H,7,0)</f>
        <v>0</v>
      </c>
      <c r="I1396" s="16">
        <f>VLOOKUP(B:B,'[1]Master Sheet'!$B:$I,8,0)</f>
        <v>0</v>
      </c>
      <c r="J1396" s="16"/>
      <c r="K1396" s="3" t="s">
        <v>2982</v>
      </c>
      <c r="L1396" s="3" t="s">
        <v>3060</v>
      </c>
      <c r="M1396" s="3" t="s">
        <v>3064</v>
      </c>
      <c r="N1396" s="3"/>
      <c r="O1396" s="3"/>
    </row>
    <row r="1397" spans="1:15" s="4" customFormat="1">
      <c r="A1397" s="2">
        <v>1396</v>
      </c>
      <c r="B1397" s="3" t="s">
        <v>3258</v>
      </c>
      <c r="C1397" s="3" t="s">
        <v>2877</v>
      </c>
      <c r="D1397" s="2" t="s">
        <v>17</v>
      </c>
      <c r="E1397" s="2" t="s">
        <v>8</v>
      </c>
      <c r="F1397" s="16"/>
      <c r="G1397" s="16"/>
      <c r="H1397" s="16">
        <f>VLOOKUP(B:B,'[1]Master Sheet'!$B:$H,7,0)</f>
        <v>1500</v>
      </c>
      <c r="I1397" s="16">
        <f>VLOOKUP(B:B,'[1]Master Sheet'!$B:$I,8,0)</f>
        <v>0</v>
      </c>
      <c r="J1397" s="16"/>
      <c r="K1397" s="3" t="s">
        <v>2972</v>
      </c>
      <c r="L1397" s="3" t="s">
        <v>3055</v>
      </c>
      <c r="M1397" s="3" t="s">
        <v>3056</v>
      </c>
      <c r="N1397" s="3"/>
      <c r="O1397" s="3"/>
    </row>
    <row r="1398" spans="1:15" s="4" customFormat="1">
      <c r="A1398" s="2">
        <v>1397</v>
      </c>
      <c r="B1398" s="3" t="s">
        <v>3259</v>
      </c>
      <c r="C1398" s="3" t="s">
        <v>3260</v>
      </c>
      <c r="D1398" s="2" t="s">
        <v>17</v>
      </c>
      <c r="E1398" s="2" t="s">
        <v>8</v>
      </c>
      <c r="F1398" s="16"/>
      <c r="G1398" s="16"/>
      <c r="H1398" s="16">
        <f>VLOOKUP(B:B,'[1]Master Sheet'!$B:$H,7,0)</f>
        <v>250</v>
      </c>
      <c r="I1398" s="16">
        <f>VLOOKUP(B:B,'[1]Master Sheet'!$B:$I,8,0)</f>
        <v>0</v>
      </c>
      <c r="J1398" s="16"/>
      <c r="K1398" s="3" t="s">
        <v>2972</v>
      </c>
      <c r="L1398" s="3" t="s">
        <v>3055</v>
      </c>
      <c r="M1398" s="3" t="s">
        <v>3056</v>
      </c>
      <c r="N1398" s="3"/>
      <c r="O1398" s="3"/>
    </row>
    <row r="1399" spans="1:15" s="4" customFormat="1">
      <c r="A1399" s="2">
        <v>1398</v>
      </c>
      <c r="B1399" s="3" t="s">
        <v>3261</v>
      </c>
      <c r="C1399" s="3" t="s">
        <v>3262</v>
      </c>
      <c r="D1399" s="2" t="s">
        <v>20</v>
      </c>
      <c r="E1399" s="2" t="s">
        <v>8</v>
      </c>
      <c r="F1399" s="16"/>
      <c r="G1399" s="16"/>
      <c r="H1399" s="16">
        <f>VLOOKUP(B:B,'[1]Master Sheet'!$B:$H,7,0)</f>
        <v>100</v>
      </c>
      <c r="I1399" s="16">
        <f>VLOOKUP(B:B,'[1]Master Sheet'!$B:$I,8,0)</f>
        <v>0</v>
      </c>
      <c r="J1399" s="16"/>
      <c r="K1399" s="3" t="s">
        <v>2991</v>
      </c>
      <c r="L1399" s="3" t="s">
        <v>3057</v>
      </c>
      <c r="M1399" s="3" t="s">
        <v>3056</v>
      </c>
      <c r="N1399" s="3"/>
      <c r="O1399" s="3"/>
    </row>
    <row r="1400" spans="1:15" s="4" customFormat="1">
      <c r="A1400" s="2">
        <v>1399</v>
      </c>
      <c r="B1400" s="3" t="s">
        <v>3263</v>
      </c>
      <c r="C1400" s="3" t="s">
        <v>3264</v>
      </c>
      <c r="D1400" s="2" t="s">
        <v>20</v>
      </c>
      <c r="E1400" s="2" t="s">
        <v>8</v>
      </c>
      <c r="F1400" s="16"/>
      <c r="G1400" s="16"/>
      <c r="H1400" s="16">
        <f>VLOOKUP(B:B,'[1]Master Sheet'!$B:$H,7,0)</f>
        <v>0</v>
      </c>
      <c r="I1400" s="16">
        <f>VLOOKUP(B:B,'[1]Master Sheet'!$B:$I,8,0)</f>
        <v>0</v>
      </c>
      <c r="J1400" s="16"/>
      <c r="K1400" s="3" t="s">
        <v>3031</v>
      </c>
      <c r="L1400" s="3" t="s">
        <v>3057</v>
      </c>
      <c r="M1400" s="3" t="s">
        <v>3056</v>
      </c>
      <c r="N1400" s="3"/>
      <c r="O1400" s="3"/>
    </row>
    <row r="1401" spans="1:15" s="4" customFormat="1">
      <c r="A1401" s="2">
        <v>1400</v>
      </c>
      <c r="B1401" s="3" t="s">
        <v>3265</v>
      </c>
      <c r="C1401" s="3" t="s">
        <v>3266</v>
      </c>
      <c r="D1401" s="2" t="s">
        <v>20</v>
      </c>
      <c r="E1401" s="2" t="s">
        <v>8</v>
      </c>
      <c r="F1401" s="16"/>
      <c r="G1401" s="16"/>
      <c r="H1401" s="16">
        <f>VLOOKUP(B:B,'[1]Master Sheet'!$B:$H,7,0)</f>
        <v>0</v>
      </c>
      <c r="I1401" s="16">
        <f>VLOOKUP(B:B,'[1]Master Sheet'!$B:$I,8,0)</f>
        <v>0</v>
      </c>
      <c r="J1401" s="16"/>
      <c r="K1401" s="3" t="s">
        <v>3031</v>
      </c>
      <c r="L1401" s="3" t="s">
        <v>3057</v>
      </c>
      <c r="M1401" s="3" t="s">
        <v>3056</v>
      </c>
      <c r="N1401" s="3"/>
      <c r="O1401" s="3"/>
    </row>
    <row r="1402" spans="1:15" s="4" customFormat="1">
      <c r="A1402" s="2">
        <v>1401</v>
      </c>
      <c r="B1402" s="3" t="s">
        <v>3039</v>
      </c>
      <c r="C1402" s="3" t="s">
        <v>3040</v>
      </c>
      <c r="D1402" s="2" t="s">
        <v>17</v>
      </c>
      <c r="E1402" s="2" t="s">
        <v>8</v>
      </c>
      <c r="F1402" s="16"/>
      <c r="G1402" s="16"/>
      <c r="H1402" s="16">
        <f>VLOOKUP(B:B,'[1]Master Sheet'!$B:$H,7,0)</f>
        <v>0</v>
      </c>
      <c r="I1402" s="16">
        <f>VLOOKUP(B:B,'[1]Master Sheet'!$B:$I,8,0)</f>
        <v>0</v>
      </c>
      <c r="J1402" s="16"/>
      <c r="K1402" s="3" t="s">
        <v>2991</v>
      </c>
      <c r="L1402" s="3" t="s">
        <v>3057</v>
      </c>
      <c r="M1402" s="3" t="s">
        <v>3056</v>
      </c>
      <c r="N1402" s="3"/>
      <c r="O1402" s="3"/>
    </row>
    <row r="1403" spans="1:15" s="4" customFormat="1">
      <c r="A1403" s="2">
        <v>1402</v>
      </c>
      <c r="B1403" s="3" t="s">
        <v>3267</v>
      </c>
      <c r="C1403" s="3" t="s">
        <v>3268</v>
      </c>
      <c r="D1403" s="2" t="s">
        <v>17</v>
      </c>
      <c r="E1403" s="2" t="s">
        <v>8</v>
      </c>
      <c r="F1403" s="16"/>
      <c r="G1403" s="16"/>
      <c r="H1403" s="16">
        <f>VLOOKUP(B:B,'[1]Master Sheet'!$B:$H,7,0)</f>
        <v>5</v>
      </c>
      <c r="I1403" s="16">
        <f>VLOOKUP(B:B,'[1]Master Sheet'!$B:$I,8,0)</f>
        <v>2</v>
      </c>
      <c r="J1403" s="16"/>
      <c r="K1403" s="3" t="s">
        <v>2963</v>
      </c>
      <c r="L1403" s="3" t="s">
        <v>3057</v>
      </c>
      <c r="M1403" s="3" t="s">
        <v>3056</v>
      </c>
      <c r="N1403" s="3"/>
      <c r="O1403" s="3"/>
    </row>
    <row r="1404" spans="1:15" s="4" customFormat="1">
      <c r="A1404" s="2">
        <v>1403</v>
      </c>
      <c r="B1404" s="3" t="s">
        <v>3269</v>
      </c>
      <c r="C1404" s="3" t="s">
        <v>3270</v>
      </c>
      <c r="D1404" s="2" t="s">
        <v>17</v>
      </c>
      <c r="E1404" s="2" t="s">
        <v>8</v>
      </c>
      <c r="F1404" s="16"/>
      <c r="G1404" s="16"/>
      <c r="H1404" s="16">
        <f>VLOOKUP(B:B,'[1]Master Sheet'!$B:$H,7,0)</f>
        <v>30</v>
      </c>
      <c r="I1404" s="16">
        <f>VLOOKUP(B:B,'[1]Master Sheet'!$B:$I,8,0)</f>
        <v>0</v>
      </c>
      <c r="J1404" s="16"/>
      <c r="K1404" s="3" t="s">
        <v>2991</v>
      </c>
      <c r="L1404" s="3" t="s">
        <v>3057</v>
      </c>
      <c r="M1404" s="3" t="s">
        <v>3056</v>
      </c>
      <c r="N1404" s="3"/>
      <c r="O1404" s="3"/>
    </row>
    <row r="1405" spans="1:15" s="4" customFormat="1">
      <c r="A1405" s="2">
        <v>1404</v>
      </c>
      <c r="B1405" s="3" t="s">
        <v>3271</v>
      </c>
      <c r="C1405" s="3" t="s">
        <v>3272</v>
      </c>
      <c r="D1405" s="2" t="s">
        <v>17</v>
      </c>
      <c r="E1405" s="2" t="s">
        <v>8</v>
      </c>
      <c r="F1405" s="16"/>
      <c r="G1405" s="16"/>
      <c r="H1405" s="16">
        <f>VLOOKUP(B:B,'[1]Master Sheet'!$B:$H,7,0)</f>
        <v>2000</v>
      </c>
      <c r="I1405" s="16">
        <f>VLOOKUP(B:B,'[1]Master Sheet'!$B:$I,8,0)</f>
        <v>2000</v>
      </c>
      <c r="J1405" s="16"/>
      <c r="K1405" s="3" t="s">
        <v>2991</v>
      </c>
      <c r="L1405" s="3" t="s">
        <v>3057</v>
      </c>
      <c r="M1405" s="3" t="s">
        <v>3056</v>
      </c>
      <c r="N1405" s="3"/>
      <c r="O1405" s="3"/>
    </row>
    <row r="1406" spans="1:15" s="4" customFormat="1">
      <c r="A1406" s="2">
        <v>1405</v>
      </c>
      <c r="B1406" s="3" t="s">
        <v>11</v>
      </c>
      <c r="C1406" s="3" t="s">
        <v>2970</v>
      </c>
      <c r="D1406" s="2" t="s">
        <v>7</v>
      </c>
      <c r="E1406" s="2" t="s">
        <v>8</v>
      </c>
      <c r="F1406" s="16"/>
      <c r="G1406" s="16"/>
      <c r="H1406" s="16">
        <f>VLOOKUP(B:B,'[1]Master Sheet'!$B:$H,7,0)</f>
        <v>300</v>
      </c>
      <c r="I1406" s="16">
        <f>VLOOKUP(B:B,'[1]Master Sheet'!$B:$I,8,0)</f>
        <v>0</v>
      </c>
      <c r="J1406" s="16"/>
      <c r="K1406" s="3" t="s">
        <v>2965</v>
      </c>
      <c r="L1406" s="3" t="s">
        <v>3055</v>
      </c>
      <c r="M1406" s="3" t="s">
        <v>3056</v>
      </c>
      <c r="N1406" s="3"/>
      <c r="O1406" s="3"/>
    </row>
    <row r="1407" spans="1:15" s="4" customFormat="1">
      <c r="A1407" s="2">
        <v>1406</v>
      </c>
      <c r="B1407" s="3" t="s">
        <v>12</v>
      </c>
      <c r="C1407" s="3" t="s">
        <v>13</v>
      </c>
      <c r="D1407" s="2" t="s">
        <v>7</v>
      </c>
      <c r="E1407" s="2" t="s">
        <v>8</v>
      </c>
      <c r="F1407" s="16"/>
      <c r="G1407" s="16"/>
      <c r="H1407" s="16">
        <f>VLOOKUP(B:B,'[1]Master Sheet'!$B:$H,7,0)</f>
        <v>0</v>
      </c>
      <c r="I1407" s="16">
        <f>VLOOKUP(B:B,'[1]Master Sheet'!$B:$I,8,0)</f>
        <v>0</v>
      </c>
      <c r="J1407" s="16"/>
      <c r="K1407" s="3" t="s">
        <v>2965</v>
      </c>
      <c r="L1407" s="3" t="s">
        <v>3055</v>
      </c>
      <c r="M1407" s="3" t="s">
        <v>3056</v>
      </c>
      <c r="N1407" s="3"/>
      <c r="O1407" s="3"/>
    </row>
    <row r="1408" spans="1:15" s="4" customFormat="1">
      <c r="A1408" s="2">
        <v>1407</v>
      </c>
      <c r="B1408" s="3" t="s">
        <v>23</v>
      </c>
      <c r="C1408" s="3" t="s">
        <v>24</v>
      </c>
      <c r="D1408" s="2" t="s">
        <v>20</v>
      </c>
      <c r="E1408" s="2" t="s">
        <v>8</v>
      </c>
      <c r="F1408" s="16"/>
      <c r="G1408" s="16"/>
      <c r="H1408" s="16">
        <f>VLOOKUP(B:B,'[1]Master Sheet'!$B:$H,7,0)</f>
        <v>0</v>
      </c>
      <c r="I1408" s="16">
        <f>VLOOKUP(B:B,'[1]Master Sheet'!$B:$I,8,0)</f>
        <v>0</v>
      </c>
      <c r="J1408" s="16"/>
      <c r="K1408" s="3" t="s">
        <v>3000</v>
      </c>
      <c r="L1408" s="3" t="s">
        <v>3059</v>
      </c>
      <c r="M1408" s="3" t="s">
        <v>3056</v>
      </c>
      <c r="N1408" s="3"/>
      <c r="O1408" s="3"/>
    </row>
    <row r="1409" spans="1:15" s="4" customFormat="1">
      <c r="A1409" s="2">
        <v>1408</v>
      </c>
      <c r="B1409" s="3" t="s">
        <v>25</v>
      </c>
      <c r="C1409" s="3" t="s">
        <v>26</v>
      </c>
      <c r="D1409" s="2" t="s">
        <v>20</v>
      </c>
      <c r="E1409" s="2" t="s">
        <v>8</v>
      </c>
      <c r="F1409" s="16"/>
      <c r="G1409" s="16"/>
      <c r="H1409" s="16">
        <f>VLOOKUP(B:B,'[1]Master Sheet'!$B:$H,7,0)</f>
        <v>0</v>
      </c>
      <c r="I1409" s="16">
        <f>VLOOKUP(B:B,'[1]Master Sheet'!$B:$I,8,0)</f>
        <v>0</v>
      </c>
      <c r="J1409" s="16"/>
      <c r="K1409" s="3" t="s">
        <v>3000</v>
      </c>
      <c r="L1409" s="3" t="s">
        <v>3059</v>
      </c>
      <c r="M1409" s="3" t="s">
        <v>3056</v>
      </c>
      <c r="N1409" s="3"/>
      <c r="O1409" s="3"/>
    </row>
    <row r="1410" spans="1:15" s="4" customFormat="1">
      <c r="A1410" s="2">
        <v>1409</v>
      </c>
      <c r="B1410" s="3" t="s">
        <v>167</v>
      </c>
      <c r="C1410" s="3" t="s">
        <v>168</v>
      </c>
      <c r="D1410" s="2" t="s">
        <v>7</v>
      </c>
      <c r="E1410" s="2" t="s">
        <v>8</v>
      </c>
      <c r="F1410" s="16"/>
      <c r="G1410" s="16"/>
      <c r="H1410" s="16">
        <f>VLOOKUP(B:B,'[1]Master Sheet'!$B:$H,7,0)</f>
        <v>25000</v>
      </c>
      <c r="I1410" s="16">
        <f>VLOOKUP(B:B,'[1]Master Sheet'!$B:$I,8,0)</f>
        <v>14400</v>
      </c>
      <c r="J1410" s="16"/>
      <c r="K1410" s="3" t="s">
        <v>2972</v>
      </c>
      <c r="L1410" s="3" t="s">
        <v>3057</v>
      </c>
      <c r="M1410" s="3" t="s">
        <v>3056</v>
      </c>
      <c r="N1410" s="3"/>
      <c r="O1410" s="3"/>
    </row>
    <row r="1411" spans="1:15" s="4" customFormat="1">
      <c r="A1411" s="2">
        <v>1410</v>
      </c>
      <c r="B1411" s="3" t="s">
        <v>177</v>
      </c>
      <c r="C1411" s="3" t="s">
        <v>178</v>
      </c>
      <c r="D1411" s="2" t="s">
        <v>7</v>
      </c>
      <c r="E1411" s="2" t="s">
        <v>8</v>
      </c>
      <c r="F1411" s="16"/>
      <c r="G1411" s="16"/>
      <c r="H1411" s="16">
        <f>VLOOKUP(B:B,'[1]Master Sheet'!$B:$H,7,0)</f>
        <v>36000</v>
      </c>
      <c r="I1411" s="16">
        <f>VLOOKUP(B:B,'[1]Master Sheet'!$B:$I,8,0)</f>
        <v>28800</v>
      </c>
      <c r="J1411" s="16"/>
      <c r="K1411" s="3" t="s">
        <v>2972</v>
      </c>
      <c r="L1411" s="3" t="s">
        <v>3057</v>
      </c>
      <c r="M1411" s="3" t="s">
        <v>3056</v>
      </c>
      <c r="N1411" s="3"/>
      <c r="O1411" s="3"/>
    </row>
    <row r="1412" spans="1:15" s="4" customFormat="1">
      <c r="A1412" s="2">
        <v>1411</v>
      </c>
      <c r="B1412" s="3" t="s">
        <v>59</v>
      </c>
      <c r="C1412" s="3" t="s">
        <v>60</v>
      </c>
      <c r="D1412" s="2" t="s">
        <v>17</v>
      </c>
      <c r="E1412" s="2" t="s">
        <v>8</v>
      </c>
      <c r="F1412" s="16"/>
      <c r="G1412" s="16"/>
      <c r="H1412" s="16">
        <f>VLOOKUP(B:B,'[1]Master Sheet'!$B:$H,7,0)</f>
        <v>500</v>
      </c>
      <c r="I1412" s="16">
        <f>VLOOKUP(B:B,'[1]Master Sheet'!$B:$I,8,0)</f>
        <v>0</v>
      </c>
      <c r="J1412" s="16"/>
      <c r="K1412" s="3" t="s">
        <v>2972</v>
      </c>
      <c r="L1412" s="3" t="s">
        <v>3055</v>
      </c>
      <c r="M1412" s="3" t="s">
        <v>3056</v>
      </c>
      <c r="N1412" s="3"/>
      <c r="O1412" s="3"/>
    </row>
    <row r="1413" spans="1:15" s="4" customFormat="1">
      <c r="A1413" s="2">
        <v>1412</v>
      </c>
      <c r="B1413" s="3" t="s">
        <v>74</v>
      </c>
      <c r="C1413" s="3" t="s">
        <v>75</v>
      </c>
      <c r="D1413" s="2" t="s">
        <v>17</v>
      </c>
      <c r="E1413" s="2" t="s">
        <v>8</v>
      </c>
      <c r="F1413" s="16"/>
      <c r="G1413" s="16"/>
      <c r="H1413" s="16">
        <f>VLOOKUP(B:B,'[1]Master Sheet'!$B:$H,7,0)</f>
        <v>800</v>
      </c>
      <c r="I1413" s="16">
        <f>VLOOKUP(B:B,'[1]Master Sheet'!$B:$I,8,0)</f>
        <v>0</v>
      </c>
      <c r="J1413" s="16"/>
      <c r="K1413" s="3" t="s">
        <v>2991</v>
      </c>
      <c r="L1413" s="3" t="s">
        <v>3060</v>
      </c>
      <c r="M1413" s="3" t="s">
        <v>3058</v>
      </c>
      <c r="N1413" s="3"/>
      <c r="O1413" s="3"/>
    </row>
    <row r="1414" spans="1:15" s="4" customFormat="1">
      <c r="A1414" s="2">
        <v>1413</v>
      </c>
      <c r="B1414" s="3" t="s">
        <v>641</v>
      </c>
      <c r="C1414" s="3" t="s">
        <v>3273</v>
      </c>
      <c r="D1414" s="2" t="s">
        <v>17</v>
      </c>
      <c r="E1414" s="2" t="s">
        <v>8</v>
      </c>
      <c r="F1414" s="16">
        <v>1000</v>
      </c>
      <c r="G1414" s="16"/>
      <c r="H1414" s="16">
        <f>VLOOKUP(B:B,'[1]Master Sheet'!$B:$H,7,0)</f>
        <v>800</v>
      </c>
      <c r="I1414" s="16">
        <f>VLOOKUP(B:B,'[1]Master Sheet'!$B:$I,8,0)</f>
        <v>1000</v>
      </c>
      <c r="J1414" s="16"/>
      <c r="K1414" s="3" t="s">
        <v>2972</v>
      </c>
      <c r="L1414" s="3" t="s">
        <v>3057</v>
      </c>
      <c r="M1414" s="3" t="s">
        <v>3056</v>
      </c>
      <c r="N1414" s="3"/>
      <c r="O1414" s="3"/>
    </row>
    <row r="1415" spans="1:15" s="4" customFormat="1">
      <c r="A1415" s="2">
        <v>1414</v>
      </c>
      <c r="B1415" s="3" t="s">
        <v>1504</v>
      </c>
      <c r="C1415" s="3" t="s">
        <v>1505</v>
      </c>
      <c r="D1415" s="2" t="s">
        <v>7</v>
      </c>
      <c r="E1415" s="2" t="s">
        <v>8</v>
      </c>
      <c r="F1415" s="16"/>
      <c r="G1415" s="16"/>
      <c r="H1415" s="16">
        <f>VLOOKUP(B:B,'[1]Master Sheet'!$B:$H,7,0)</f>
        <v>100</v>
      </c>
      <c r="I1415" s="16">
        <f>VLOOKUP(B:B,'[1]Master Sheet'!$B:$I,8,0)</f>
        <v>0</v>
      </c>
      <c r="J1415" s="16"/>
      <c r="K1415" s="3" t="s">
        <v>2991</v>
      </c>
      <c r="L1415" s="3" t="s">
        <v>3057</v>
      </c>
      <c r="M1415" s="3" t="s">
        <v>3058</v>
      </c>
      <c r="N1415" s="3"/>
      <c r="O1415" s="3"/>
    </row>
    <row r="1416" spans="1:15" s="4" customFormat="1">
      <c r="A1416" s="2">
        <v>1415</v>
      </c>
      <c r="B1416" s="3" t="s">
        <v>108</v>
      </c>
      <c r="C1416" s="3" t="s">
        <v>109</v>
      </c>
      <c r="D1416" s="2" t="s">
        <v>17</v>
      </c>
      <c r="E1416" s="2" t="s">
        <v>8</v>
      </c>
      <c r="F1416" s="16"/>
      <c r="G1416" s="16"/>
      <c r="H1416" s="16">
        <f>VLOOKUP(B:B,'[1]Master Sheet'!$B:$H,7,0)</f>
        <v>15000</v>
      </c>
      <c r="I1416" s="16">
        <f>VLOOKUP(B:B,'[1]Master Sheet'!$B:$I,8,0)</f>
        <v>0</v>
      </c>
      <c r="J1416" s="16"/>
      <c r="K1416" s="3" t="s">
        <v>2972</v>
      </c>
      <c r="L1416" s="3" t="s">
        <v>3060</v>
      </c>
      <c r="M1416" s="3" t="s">
        <v>3058</v>
      </c>
      <c r="N1416" s="3"/>
      <c r="O1416" s="3"/>
    </row>
    <row r="1417" spans="1:15" s="4" customFormat="1">
      <c r="A1417" s="2">
        <v>1416</v>
      </c>
      <c r="B1417" s="3" t="s">
        <v>1594</v>
      </c>
      <c r="C1417" s="3" t="s">
        <v>1595</v>
      </c>
      <c r="D1417" s="2" t="s">
        <v>17</v>
      </c>
      <c r="E1417" s="2" t="s">
        <v>8</v>
      </c>
      <c r="F1417" s="16"/>
      <c r="G1417" s="16"/>
      <c r="H1417" s="16">
        <f>VLOOKUP(B:B,'[1]Master Sheet'!$B:$H,7,0)</f>
        <v>150</v>
      </c>
      <c r="I1417" s="16">
        <f>VLOOKUP(B:B,'[1]Master Sheet'!$B:$I,8,0)</f>
        <v>0</v>
      </c>
      <c r="J1417" s="16"/>
      <c r="K1417" s="3" t="s">
        <v>2972</v>
      </c>
      <c r="L1417" s="3" t="s">
        <v>3057</v>
      </c>
      <c r="M1417" s="3" t="s">
        <v>3058</v>
      </c>
      <c r="N1417" s="3"/>
      <c r="O1417" s="3"/>
    </row>
    <row r="1418" spans="1:15" s="4" customFormat="1">
      <c r="A1418" s="2">
        <v>1417</v>
      </c>
      <c r="B1418" s="3" t="s">
        <v>1632</v>
      </c>
      <c r="C1418" s="3" t="s">
        <v>1633</v>
      </c>
      <c r="D1418" s="2" t="s">
        <v>17</v>
      </c>
      <c r="E1418" s="2" t="s">
        <v>8</v>
      </c>
      <c r="F1418" s="16"/>
      <c r="G1418" s="16"/>
      <c r="H1418" s="16">
        <f>VLOOKUP(B:B,'[1]Master Sheet'!$B:$H,7,0)</f>
        <v>500</v>
      </c>
      <c r="I1418" s="16">
        <f>VLOOKUP(B:B,'[1]Master Sheet'!$B:$I,8,0)</f>
        <v>0</v>
      </c>
      <c r="J1418" s="16"/>
      <c r="K1418" s="3" t="s">
        <v>2972</v>
      </c>
      <c r="L1418" s="3" t="s">
        <v>3057</v>
      </c>
      <c r="M1418" s="3" t="s">
        <v>3056</v>
      </c>
      <c r="N1418" s="3"/>
      <c r="O1418" s="3"/>
    </row>
    <row r="1419" spans="1:15" s="4" customFormat="1">
      <c r="A1419" s="2">
        <v>1418</v>
      </c>
      <c r="B1419" s="3" t="s">
        <v>1860</v>
      </c>
      <c r="C1419" s="3" t="s">
        <v>1861</v>
      </c>
      <c r="D1419" s="2" t="s">
        <v>20</v>
      </c>
      <c r="E1419" s="2" t="s">
        <v>8</v>
      </c>
      <c r="F1419" s="16"/>
      <c r="G1419" s="16"/>
      <c r="H1419" s="16">
        <f>VLOOKUP(B:B,'[1]Master Sheet'!$B:$H,7,0)</f>
        <v>1500</v>
      </c>
      <c r="I1419" s="16">
        <f>VLOOKUP(B:B,'[1]Master Sheet'!$B:$I,8,0)</f>
        <v>5000</v>
      </c>
      <c r="J1419" s="16"/>
      <c r="K1419" s="3" t="s">
        <v>3031</v>
      </c>
      <c r="L1419" s="3" t="s">
        <v>3057</v>
      </c>
      <c r="M1419" s="3" t="s">
        <v>3056</v>
      </c>
      <c r="N1419" s="3"/>
      <c r="O1419" s="3"/>
    </row>
    <row r="1420" spans="1:15" s="4" customFormat="1">
      <c r="A1420" s="2">
        <v>1419</v>
      </c>
      <c r="B1420" s="3" t="s">
        <v>1914</v>
      </c>
      <c r="C1420" s="3" t="s">
        <v>1915</v>
      </c>
      <c r="D1420" s="2" t="s">
        <v>17</v>
      </c>
      <c r="E1420" s="2" t="s">
        <v>8</v>
      </c>
      <c r="F1420" s="16"/>
      <c r="G1420" s="16"/>
      <c r="H1420" s="16">
        <f>VLOOKUP(B:B,'[1]Master Sheet'!$B:$H,7,0)</f>
        <v>15000</v>
      </c>
      <c r="I1420" s="16">
        <f>VLOOKUP(B:B,'[1]Master Sheet'!$B:$I,8,0)</f>
        <v>0</v>
      </c>
      <c r="J1420" s="16"/>
      <c r="K1420" s="3" t="s">
        <v>2972</v>
      </c>
      <c r="L1420" s="3" t="s">
        <v>3057</v>
      </c>
      <c r="M1420" s="3" t="s">
        <v>3056</v>
      </c>
      <c r="N1420" s="3"/>
      <c r="O1420" s="3"/>
    </row>
    <row r="1421" spans="1:15" s="4" customFormat="1">
      <c r="A1421" s="2">
        <v>1420</v>
      </c>
      <c r="B1421" s="3" t="s">
        <v>195</v>
      </c>
      <c r="C1421" s="3" t="s">
        <v>196</v>
      </c>
      <c r="D1421" s="2" t="s">
        <v>20</v>
      </c>
      <c r="E1421" s="2" t="s">
        <v>8</v>
      </c>
      <c r="F1421" s="16">
        <v>139.4</v>
      </c>
      <c r="G1421" s="16"/>
      <c r="H1421" s="16">
        <f>VLOOKUP(B:B,'[1]Master Sheet'!$B:$H,7,0)</f>
        <v>200</v>
      </c>
      <c r="I1421" s="16">
        <f>VLOOKUP(B:B,'[1]Master Sheet'!$B:$I,8,0)</f>
        <v>100</v>
      </c>
      <c r="J1421" s="16"/>
      <c r="K1421" s="3" t="s">
        <v>2965</v>
      </c>
      <c r="L1421" s="3" t="s">
        <v>3055</v>
      </c>
      <c r="M1421" s="3" t="s">
        <v>3058</v>
      </c>
      <c r="N1421" s="3"/>
      <c r="O1421" s="3"/>
    </row>
    <row r="1422" spans="1:15" s="4" customFormat="1">
      <c r="A1422" s="2">
        <v>1421</v>
      </c>
      <c r="B1422" s="3" t="s">
        <v>199</v>
      </c>
      <c r="C1422" s="3" t="s">
        <v>200</v>
      </c>
      <c r="D1422" s="2" t="s">
        <v>20</v>
      </c>
      <c r="E1422" s="2" t="s">
        <v>8</v>
      </c>
      <c r="F1422" s="16"/>
      <c r="G1422" s="16"/>
      <c r="H1422" s="16">
        <f>VLOOKUP(B:B,'[1]Master Sheet'!$B:$H,7,0)</f>
        <v>800</v>
      </c>
      <c r="I1422" s="16">
        <f>VLOOKUP(B:B,'[1]Master Sheet'!$B:$I,8,0)</f>
        <v>3250</v>
      </c>
      <c r="J1422" s="16"/>
      <c r="K1422" s="3" t="s">
        <v>2965</v>
      </c>
      <c r="L1422" s="3" t="s">
        <v>3055</v>
      </c>
      <c r="M1422" s="3" t="s">
        <v>3058</v>
      </c>
      <c r="N1422" s="3"/>
      <c r="O1422" s="3"/>
    </row>
    <row r="1423" spans="1:15" s="4" customFormat="1">
      <c r="A1423" s="2">
        <v>1422</v>
      </c>
      <c r="B1423" s="3" t="s">
        <v>203</v>
      </c>
      <c r="C1423" s="3" t="s">
        <v>204</v>
      </c>
      <c r="D1423" s="2" t="s">
        <v>7</v>
      </c>
      <c r="E1423" s="2" t="s">
        <v>8</v>
      </c>
      <c r="F1423" s="16"/>
      <c r="G1423" s="16"/>
      <c r="H1423" s="16">
        <f>VLOOKUP(B:B,'[1]Master Sheet'!$B:$H,7,0)</f>
        <v>500</v>
      </c>
      <c r="I1423" s="16">
        <f>VLOOKUP(B:B,'[1]Master Sheet'!$B:$I,8,0)</f>
        <v>100</v>
      </c>
      <c r="J1423" s="16"/>
      <c r="K1423" s="3" t="s">
        <v>2965</v>
      </c>
      <c r="L1423" s="3" t="s">
        <v>3055</v>
      </c>
      <c r="M1423" s="3" t="s">
        <v>3058</v>
      </c>
      <c r="N1423" s="3"/>
      <c r="O1423" s="3"/>
    </row>
    <row r="1424" spans="1:15" s="4" customFormat="1">
      <c r="A1424" s="2">
        <v>1423</v>
      </c>
      <c r="B1424" s="3" t="s">
        <v>209</v>
      </c>
      <c r="C1424" s="3" t="s">
        <v>210</v>
      </c>
      <c r="D1424" s="2" t="s">
        <v>7</v>
      </c>
      <c r="E1424" s="2" t="s">
        <v>8</v>
      </c>
      <c r="F1424" s="16"/>
      <c r="G1424" s="16"/>
      <c r="H1424" s="16">
        <f>VLOOKUP(B:B,'[1]Master Sheet'!$B:$H,7,0)</f>
        <v>500</v>
      </c>
      <c r="I1424" s="16">
        <f>VLOOKUP(B:B,'[1]Master Sheet'!$B:$I,8,0)</f>
        <v>500</v>
      </c>
      <c r="J1424" s="16"/>
      <c r="K1424" s="3" t="s">
        <v>2965</v>
      </c>
      <c r="L1424" s="3" t="s">
        <v>3055</v>
      </c>
      <c r="M1424" s="3" t="s">
        <v>3058</v>
      </c>
      <c r="N1424" s="3"/>
      <c r="O1424" s="3"/>
    </row>
    <row r="1425" spans="1:15" s="4" customFormat="1">
      <c r="A1425" s="2">
        <v>1424</v>
      </c>
      <c r="B1425" s="3" t="s">
        <v>213</v>
      </c>
      <c r="C1425" s="3" t="s">
        <v>214</v>
      </c>
      <c r="D1425" s="2" t="s">
        <v>7</v>
      </c>
      <c r="E1425" s="2" t="s">
        <v>8</v>
      </c>
      <c r="F1425" s="16"/>
      <c r="G1425" s="16"/>
      <c r="H1425" s="16">
        <f>VLOOKUP(B:B,'[1]Master Sheet'!$B:$H,7,0)</f>
        <v>200</v>
      </c>
      <c r="I1425" s="16">
        <f>VLOOKUP(B:B,'[1]Master Sheet'!$B:$I,8,0)</f>
        <v>500</v>
      </c>
      <c r="J1425" s="16"/>
      <c r="K1425" s="3" t="s">
        <v>2965</v>
      </c>
      <c r="L1425" s="3" t="s">
        <v>3055</v>
      </c>
      <c r="M1425" s="3" t="s">
        <v>3056</v>
      </c>
      <c r="N1425" s="3"/>
      <c r="O1425" s="3"/>
    </row>
    <row r="1426" spans="1:15" s="4" customFormat="1">
      <c r="A1426" s="2">
        <v>1425</v>
      </c>
      <c r="B1426" s="3" t="s">
        <v>237</v>
      </c>
      <c r="C1426" s="3" t="s">
        <v>238</v>
      </c>
      <c r="D1426" s="2" t="s">
        <v>17</v>
      </c>
      <c r="E1426" s="2" t="s">
        <v>8</v>
      </c>
      <c r="F1426" s="16"/>
      <c r="G1426" s="16"/>
      <c r="H1426" s="16">
        <f>VLOOKUP(B:B,'[1]Master Sheet'!$B:$H,7,0)</f>
        <v>100</v>
      </c>
      <c r="I1426" s="16">
        <f>VLOOKUP(B:B,'[1]Master Sheet'!$B:$I,8,0)</f>
        <v>250</v>
      </c>
      <c r="J1426" s="16"/>
      <c r="K1426" s="3" t="s">
        <v>2972</v>
      </c>
      <c r="L1426" s="3" t="s">
        <v>3060</v>
      </c>
      <c r="M1426" s="3" t="s">
        <v>3058</v>
      </c>
      <c r="N1426" s="3"/>
      <c r="O1426" s="3"/>
    </row>
    <row r="1427" spans="1:15" s="4" customFormat="1">
      <c r="A1427" s="2">
        <v>1426</v>
      </c>
      <c r="B1427" s="3" t="s">
        <v>2319</v>
      </c>
      <c r="C1427" s="3" t="s">
        <v>2320</v>
      </c>
      <c r="D1427" s="2" t="s">
        <v>17</v>
      </c>
      <c r="E1427" s="2" t="s">
        <v>8</v>
      </c>
      <c r="F1427" s="16"/>
      <c r="G1427" s="16"/>
      <c r="H1427" s="16">
        <f>VLOOKUP(B:B,'[1]Master Sheet'!$B:$H,7,0)</f>
        <v>4</v>
      </c>
      <c r="I1427" s="16">
        <f>VLOOKUP(B:B,'[1]Master Sheet'!$B:$I,8,0)</f>
        <v>4</v>
      </c>
      <c r="J1427" s="16"/>
      <c r="K1427" s="3" t="s">
        <v>3065</v>
      </c>
      <c r="L1427" s="3" t="s">
        <v>3057</v>
      </c>
      <c r="M1427" s="3" t="s">
        <v>3056</v>
      </c>
      <c r="N1427" s="3"/>
      <c r="O1427" s="3"/>
    </row>
    <row r="1428" spans="1:15" s="4" customFormat="1">
      <c r="A1428" s="2">
        <v>1427</v>
      </c>
      <c r="B1428" s="3" t="s">
        <v>2803</v>
      </c>
      <c r="C1428" s="3" t="s">
        <v>2804</v>
      </c>
      <c r="D1428" s="2" t="s">
        <v>7</v>
      </c>
      <c r="E1428" s="2" t="s">
        <v>8</v>
      </c>
      <c r="F1428" s="16"/>
      <c r="G1428" s="16"/>
      <c r="H1428" s="16">
        <f>VLOOKUP(B:B,'[1]Master Sheet'!$B:$H,7,0)</f>
        <v>30000</v>
      </c>
      <c r="I1428" s="16">
        <f>VLOOKUP(B:B,'[1]Master Sheet'!$B:$I,8,0)</f>
        <v>0</v>
      </c>
      <c r="J1428" s="16"/>
      <c r="K1428" s="3" t="s">
        <v>2972</v>
      </c>
      <c r="L1428" s="3" t="s">
        <v>3057</v>
      </c>
      <c r="M1428" s="3" t="s">
        <v>3056</v>
      </c>
      <c r="N1428" s="3"/>
      <c r="O1428" s="3"/>
    </row>
    <row r="1429" spans="1:15" s="4" customFormat="1">
      <c r="A1429" s="2">
        <v>1428</v>
      </c>
      <c r="B1429" s="3" t="s">
        <v>2839</v>
      </c>
      <c r="C1429" s="3" t="s">
        <v>2840</v>
      </c>
      <c r="D1429" s="2" t="s">
        <v>17</v>
      </c>
      <c r="E1429" s="2" t="s">
        <v>8</v>
      </c>
      <c r="F1429" s="16"/>
      <c r="G1429" s="16"/>
      <c r="H1429" s="16">
        <f>VLOOKUP(B:B,'[1]Master Sheet'!$B:$H,7,0)</f>
        <v>15</v>
      </c>
      <c r="I1429" s="16">
        <f>VLOOKUP(B:B,'[1]Master Sheet'!$B:$I,8,0)</f>
        <v>10</v>
      </c>
      <c r="J1429" s="16"/>
      <c r="K1429" s="3" t="s">
        <v>3012</v>
      </c>
      <c r="L1429" s="3" t="s">
        <v>3057</v>
      </c>
      <c r="M1429" s="3" t="s">
        <v>3056</v>
      </c>
      <c r="N1429" s="3"/>
      <c r="O1429" s="3"/>
    </row>
    <row r="1430" spans="1:15" s="4" customFormat="1">
      <c r="A1430" s="2">
        <v>1429</v>
      </c>
      <c r="B1430" s="3" t="s">
        <v>2859</v>
      </c>
      <c r="C1430" s="3" t="s">
        <v>2860</v>
      </c>
      <c r="D1430" s="2" t="s">
        <v>7</v>
      </c>
      <c r="E1430" s="2" t="s">
        <v>8</v>
      </c>
      <c r="F1430" s="16"/>
      <c r="G1430" s="16"/>
      <c r="H1430" s="16">
        <f>VLOOKUP(B:B,'[1]Master Sheet'!$B:$H,7,0)</f>
        <v>10000</v>
      </c>
      <c r="I1430" s="16">
        <f>VLOOKUP(B:B,'[1]Master Sheet'!$B:$I,8,0)</f>
        <v>25000</v>
      </c>
      <c r="J1430" s="16"/>
      <c r="K1430" s="3" t="s">
        <v>2972</v>
      </c>
      <c r="L1430" s="3" t="s">
        <v>3057</v>
      </c>
      <c r="M1430" s="3" t="s">
        <v>3056</v>
      </c>
      <c r="N1430" s="3"/>
      <c r="O1430" s="3"/>
    </row>
    <row r="1431" spans="1:15" s="4" customFormat="1">
      <c r="A1431" s="2">
        <v>1430</v>
      </c>
      <c r="B1431" s="3" t="s">
        <v>263</v>
      </c>
      <c r="C1431" s="3" t="s">
        <v>264</v>
      </c>
      <c r="D1431" s="2" t="s">
        <v>17</v>
      </c>
      <c r="E1431" s="2" t="s">
        <v>8</v>
      </c>
      <c r="F1431" s="16"/>
      <c r="G1431" s="16"/>
      <c r="H1431" s="16">
        <f>VLOOKUP(B:B,'[1]Master Sheet'!$B:$H,7,0)</f>
        <v>100</v>
      </c>
      <c r="I1431" s="16">
        <f>VLOOKUP(B:B,'[1]Master Sheet'!$B:$I,8,0)</f>
        <v>0</v>
      </c>
      <c r="J1431" s="16"/>
      <c r="K1431" s="3" t="s">
        <v>2982</v>
      </c>
      <c r="L1431" s="3" t="s">
        <v>3060</v>
      </c>
      <c r="M1431" s="3" t="s">
        <v>3058</v>
      </c>
      <c r="N1431" s="3"/>
      <c r="O1431" s="3"/>
    </row>
    <row r="1432" spans="1:15" s="4" customFormat="1">
      <c r="A1432" s="2">
        <v>1431</v>
      </c>
      <c r="B1432" s="3" t="s">
        <v>267</v>
      </c>
      <c r="C1432" s="3" t="s">
        <v>268</v>
      </c>
      <c r="D1432" s="2" t="s">
        <v>17</v>
      </c>
      <c r="E1432" s="2" t="s">
        <v>8</v>
      </c>
      <c r="F1432" s="16"/>
      <c r="G1432" s="16"/>
      <c r="H1432" s="16">
        <f>VLOOKUP(B:B,'[1]Master Sheet'!$B:$H,7,0)</f>
        <v>100</v>
      </c>
      <c r="I1432" s="16">
        <f>VLOOKUP(B:B,'[1]Master Sheet'!$B:$I,8,0)</f>
        <v>0</v>
      </c>
      <c r="J1432" s="16"/>
      <c r="K1432" s="3" t="s">
        <v>2982</v>
      </c>
      <c r="L1432" s="3" t="s">
        <v>3060</v>
      </c>
      <c r="M1432" s="3" t="s">
        <v>3058</v>
      </c>
      <c r="N1432" s="3"/>
      <c r="O1432" s="3"/>
    </row>
    <row r="1433" spans="1:15" s="4" customFormat="1">
      <c r="A1433" s="2">
        <v>1432</v>
      </c>
      <c r="B1433" s="3" t="s">
        <v>16</v>
      </c>
      <c r="C1433" s="3" t="s">
        <v>2979</v>
      </c>
      <c r="D1433" s="2" t="s">
        <v>17</v>
      </c>
      <c r="E1433" s="2" t="s">
        <v>8</v>
      </c>
      <c r="F1433" s="16"/>
      <c r="G1433" s="16"/>
      <c r="H1433" s="16">
        <f>VLOOKUP(B:B,'[1]Master Sheet'!$B:$H,7,0)</f>
        <v>50</v>
      </c>
      <c r="I1433" s="16">
        <f>VLOOKUP(B:B,'[1]Master Sheet'!$B:$I,8,0)</f>
        <v>0</v>
      </c>
      <c r="J1433" s="16"/>
      <c r="K1433" s="3" t="s">
        <v>2963</v>
      </c>
      <c r="L1433" s="3" t="s">
        <v>3057</v>
      </c>
      <c r="M1433" s="3" t="s">
        <v>3058</v>
      </c>
      <c r="N1433" s="3"/>
      <c r="O1433" s="3"/>
    </row>
    <row r="1434" spans="1:15" s="4" customFormat="1">
      <c r="A1434" s="2">
        <v>1433</v>
      </c>
      <c r="B1434" s="3" t="s">
        <v>33</v>
      </c>
      <c r="C1434" s="3" t="s">
        <v>34</v>
      </c>
      <c r="D1434" s="2" t="s">
        <v>17</v>
      </c>
      <c r="E1434" s="2" t="s">
        <v>8</v>
      </c>
      <c r="F1434" s="16"/>
      <c r="G1434" s="16"/>
      <c r="H1434" s="16">
        <f>VLOOKUP(B:B,'[1]Master Sheet'!$B:$H,7,0)</f>
        <v>20</v>
      </c>
      <c r="I1434" s="16">
        <f>VLOOKUP(B:B,'[1]Master Sheet'!$B:$I,8,0)</f>
        <v>0</v>
      </c>
      <c r="J1434" s="16"/>
      <c r="K1434" s="3" t="s">
        <v>3002</v>
      </c>
      <c r="L1434" s="3" t="s">
        <v>3057</v>
      </c>
      <c r="M1434" s="3" t="s">
        <v>3056</v>
      </c>
      <c r="N1434" s="3"/>
      <c r="O1434" s="3"/>
    </row>
    <row r="1435" spans="1:15" s="4" customFormat="1">
      <c r="A1435" s="2">
        <v>1434</v>
      </c>
      <c r="B1435" s="3" t="s">
        <v>35</v>
      </c>
      <c r="C1435" s="3" t="s">
        <v>36</v>
      </c>
      <c r="D1435" s="2" t="s">
        <v>17</v>
      </c>
      <c r="E1435" s="2" t="s">
        <v>8</v>
      </c>
      <c r="F1435" s="16"/>
      <c r="G1435" s="16"/>
      <c r="H1435" s="16">
        <f>VLOOKUP(B:B,'[1]Master Sheet'!$B:$H,7,0)</f>
        <v>20</v>
      </c>
      <c r="I1435" s="16">
        <f>VLOOKUP(B:B,'[1]Master Sheet'!$B:$I,8,0)</f>
        <v>0</v>
      </c>
      <c r="J1435" s="16"/>
      <c r="K1435" s="3" t="s">
        <v>3002</v>
      </c>
      <c r="L1435" s="3" t="s">
        <v>3057</v>
      </c>
      <c r="M1435" s="3" t="s">
        <v>3056</v>
      </c>
      <c r="N1435" s="3"/>
      <c r="O1435" s="3"/>
    </row>
    <row r="1436" spans="1:15" s="4" customFormat="1">
      <c r="A1436" s="2">
        <v>1435</v>
      </c>
      <c r="B1436" s="3" t="s">
        <v>37</v>
      </c>
      <c r="C1436" s="3" t="s">
        <v>38</v>
      </c>
      <c r="D1436" s="2" t="s">
        <v>17</v>
      </c>
      <c r="E1436" s="2" t="s">
        <v>8</v>
      </c>
      <c r="F1436" s="16"/>
      <c r="G1436" s="16"/>
      <c r="H1436" s="16">
        <f>VLOOKUP(B:B,'[1]Master Sheet'!$B:$H,7,0)</f>
        <v>600</v>
      </c>
      <c r="I1436" s="16">
        <f>VLOOKUP(B:B,'[1]Master Sheet'!$B:$I,8,0)</f>
        <v>0</v>
      </c>
      <c r="J1436" s="16"/>
      <c r="K1436" s="3" t="s">
        <v>2991</v>
      </c>
      <c r="L1436" s="3" t="s">
        <v>3057</v>
      </c>
      <c r="M1436" s="3" t="s">
        <v>3056</v>
      </c>
      <c r="N1436" s="3"/>
      <c r="O1436" s="3"/>
    </row>
    <row r="1437" spans="1:15" s="4" customFormat="1">
      <c r="A1437" s="2">
        <v>1436</v>
      </c>
      <c r="B1437" s="3" t="s">
        <v>294</v>
      </c>
      <c r="C1437" s="3" t="s">
        <v>295</v>
      </c>
      <c r="D1437" s="2" t="s">
        <v>17</v>
      </c>
      <c r="E1437" s="2" t="s">
        <v>8</v>
      </c>
      <c r="F1437" s="16"/>
      <c r="G1437" s="16"/>
      <c r="H1437" s="16">
        <f>VLOOKUP(B:B,'[1]Master Sheet'!$B:$H,7,0)</f>
        <v>450</v>
      </c>
      <c r="I1437" s="16">
        <f>VLOOKUP(B:B,'[1]Master Sheet'!$B:$I,8,0)</f>
        <v>1000</v>
      </c>
      <c r="J1437" s="16"/>
      <c r="K1437" s="3" t="s">
        <v>2991</v>
      </c>
      <c r="L1437" s="3" t="s">
        <v>3060</v>
      </c>
      <c r="M1437" s="3" t="s">
        <v>3058</v>
      </c>
      <c r="N1437" s="3"/>
      <c r="O1437" s="3"/>
    </row>
    <row r="1438" spans="1:15" s="4" customFormat="1">
      <c r="A1438" s="2">
        <v>1437</v>
      </c>
      <c r="B1438" s="3" t="s">
        <v>325</v>
      </c>
      <c r="C1438" s="3" t="s">
        <v>326</v>
      </c>
      <c r="D1438" s="2" t="s">
        <v>17</v>
      </c>
      <c r="E1438" s="2" t="s">
        <v>8</v>
      </c>
      <c r="F1438" s="16"/>
      <c r="G1438" s="16"/>
      <c r="H1438" s="16">
        <f>VLOOKUP(B:B,'[1]Master Sheet'!$B:$H,7,0)</f>
        <v>2000</v>
      </c>
      <c r="I1438" s="16">
        <f>VLOOKUP(B:B,'[1]Master Sheet'!$B:$I,8,0)</f>
        <v>1000</v>
      </c>
      <c r="J1438" s="16"/>
      <c r="K1438" s="3" t="s">
        <v>2991</v>
      </c>
      <c r="L1438" s="3" t="s">
        <v>3060</v>
      </c>
      <c r="M1438" s="3" t="s">
        <v>3058</v>
      </c>
      <c r="N1438" s="3"/>
      <c r="O1438" s="3"/>
    </row>
    <row r="1439" spans="1:15" s="4" customFormat="1">
      <c r="A1439" s="2">
        <v>1438</v>
      </c>
      <c r="B1439" s="3" t="s">
        <v>339</v>
      </c>
      <c r="C1439" s="3" t="s">
        <v>340</v>
      </c>
      <c r="D1439" s="2" t="s">
        <v>20</v>
      </c>
      <c r="E1439" s="2" t="s">
        <v>8</v>
      </c>
      <c r="F1439" s="16"/>
      <c r="G1439" s="16"/>
      <c r="H1439" s="16">
        <f>VLOOKUP(B:B,'[1]Master Sheet'!$B:$H,7,0)</f>
        <v>10</v>
      </c>
      <c r="I1439" s="16">
        <f>VLOOKUP(B:B,'[1]Master Sheet'!$B:$I,8,0)</f>
        <v>0</v>
      </c>
      <c r="J1439" s="16"/>
      <c r="K1439" s="3" t="s">
        <v>2972</v>
      </c>
      <c r="L1439" s="3" t="s">
        <v>3055</v>
      </c>
      <c r="M1439" s="3" t="s">
        <v>3056</v>
      </c>
      <c r="N1439" s="3"/>
      <c r="O1439" s="3"/>
    </row>
    <row r="1440" spans="1:15" s="4" customFormat="1">
      <c r="A1440" s="2">
        <v>1439</v>
      </c>
      <c r="B1440" s="3" t="s">
        <v>94</v>
      </c>
      <c r="C1440" s="3" t="s">
        <v>95</v>
      </c>
      <c r="D1440" s="2" t="s">
        <v>17</v>
      </c>
      <c r="E1440" s="2" t="s">
        <v>8</v>
      </c>
      <c r="F1440" s="16"/>
      <c r="G1440" s="16"/>
      <c r="H1440" s="16">
        <f>VLOOKUP(B:B,'[1]Master Sheet'!$B:$H,7,0)</f>
        <v>5000</v>
      </c>
      <c r="I1440" s="16">
        <f>VLOOKUP(B:B,'[1]Master Sheet'!$B:$I,8,0)</f>
        <v>0</v>
      </c>
      <c r="J1440" s="16"/>
      <c r="K1440" s="3" t="s">
        <v>2991</v>
      </c>
      <c r="L1440" s="3" t="s">
        <v>3057</v>
      </c>
      <c r="M1440" s="3" t="s">
        <v>3058</v>
      </c>
      <c r="N1440" s="3"/>
      <c r="O1440" s="3"/>
    </row>
    <row r="1441" spans="1:15" s="4" customFormat="1">
      <c r="A1441" s="2">
        <v>1440</v>
      </c>
      <c r="B1441" s="3" t="s">
        <v>353</v>
      </c>
      <c r="C1441" s="3" t="s">
        <v>354</v>
      </c>
      <c r="D1441" s="2" t="s">
        <v>17</v>
      </c>
      <c r="E1441" s="2" t="s">
        <v>8</v>
      </c>
      <c r="F1441" s="16"/>
      <c r="G1441" s="16"/>
      <c r="H1441" s="16">
        <f>VLOOKUP(B:B,'[1]Master Sheet'!$B:$H,7,0)</f>
        <v>70</v>
      </c>
      <c r="I1441" s="16">
        <f>VLOOKUP(B:B,'[1]Master Sheet'!$B:$I,8,0)</f>
        <v>0</v>
      </c>
      <c r="J1441" s="16"/>
      <c r="K1441" s="3" t="s">
        <v>2982</v>
      </c>
      <c r="L1441" s="3" t="s">
        <v>3060</v>
      </c>
      <c r="M1441" s="3" t="s">
        <v>3058</v>
      </c>
      <c r="N1441" s="3"/>
      <c r="O1441" s="3"/>
    </row>
    <row r="1442" spans="1:15" s="4" customFormat="1">
      <c r="A1442" s="2">
        <v>1441</v>
      </c>
      <c r="B1442" s="3" t="s">
        <v>357</v>
      </c>
      <c r="C1442" s="3" t="s">
        <v>358</v>
      </c>
      <c r="D1442" s="2" t="s">
        <v>17</v>
      </c>
      <c r="E1442" s="2" t="s">
        <v>8</v>
      </c>
      <c r="F1442" s="16"/>
      <c r="G1442" s="16"/>
      <c r="H1442" s="16">
        <f>VLOOKUP(B:B,'[1]Master Sheet'!$B:$H,7,0)</f>
        <v>70</v>
      </c>
      <c r="I1442" s="16">
        <f>VLOOKUP(B:B,'[1]Master Sheet'!$B:$I,8,0)</f>
        <v>0</v>
      </c>
      <c r="J1442" s="16"/>
      <c r="K1442" s="3" t="s">
        <v>2982</v>
      </c>
      <c r="L1442" s="3" t="s">
        <v>3060</v>
      </c>
      <c r="M1442" s="3" t="s">
        <v>3058</v>
      </c>
      <c r="N1442" s="3"/>
      <c r="O1442" s="3"/>
    </row>
    <row r="1443" spans="1:15" s="4" customFormat="1">
      <c r="A1443" s="2">
        <v>1442</v>
      </c>
      <c r="B1443" s="3" t="s">
        <v>361</v>
      </c>
      <c r="C1443" s="3" t="s">
        <v>362</v>
      </c>
      <c r="D1443" s="2" t="s">
        <v>17</v>
      </c>
      <c r="E1443" s="2" t="s">
        <v>8</v>
      </c>
      <c r="F1443" s="16"/>
      <c r="G1443" s="16"/>
      <c r="H1443" s="16">
        <f>VLOOKUP(B:B,'[1]Master Sheet'!$B:$H,7,0)</f>
        <v>70</v>
      </c>
      <c r="I1443" s="16">
        <f>VLOOKUP(B:B,'[1]Master Sheet'!$B:$I,8,0)</f>
        <v>0</v>
      </c>
      <c r="J1443" s="16"/>
      <c r="K1443" s="3" t="s">
        <v>2982</v>
      </c>
      <c r="L1443" s="3" t="s">
        <v>3060</v>
      </c>
      <c r="M1443" s="3" t="s">
        <v>3058</v>
      </c>
      <c r="N1443" s="3"/>
      <c r="O1443" s="3"/>
    </row>
    <row r="1444" spans="1:15" s="4" customFormat="1">
      <c r="A1444" s="2">
        <v>1443</v>
      </c>
      <c r="B1444" s="3" t="s">
        <v>363</v>
      </c>
      <c r="C1444" s="3" t="s">
        <v>364</v>
      </c>
      <c r="D1444" s="2" t="s">
        <v>17</v>
      </c>
      <c r="E1444" s="2" t="s">
        <v>8</v>
      </c>
      <c r="F1444" s="16"/>
      <c r="G1444" s="16"/>
      <c r="H1444" s="16">
        <f>VLOOKUP(B:B,'[1]Master Sheet'!$B:$H,7,0)</f>
        <v>70</v>
      </c>
      <c r="I1444" s="16">
        <f>VLOOKUP(B:B,'[1]Master Sheet'!$B:$I,8,0)</f>
        <v>0</v>
      </c>
      <c r="J1444" s="16"/>
      <c r="K1444" s="3" t="s">
        <v>2982</v>
      </c>
      <c r="L1444" s="3" t="s">
        <v>3060</v>
      </c>
      <c r="M1444" s="3" t="s">
        <v>3058</v>
      </c>
      <c r="N1444" s="3"/>
      <c r="O1444" s="3"/>
    </row>
    <row r="1445" spans="1:15" s="4" customFormat="1">
      <c r="A1445" s="2">
        <v>1444</v>
      </c>
      <c r="B1445" s="3" t="s">
        <v>102</v>
      </c>
      <c r="C1445" s="3" t="s">
        <v>103</v>
      </c>
      <c r="D1445" s="2" t="s">
        <v>17</v>
      </c>
      <c r="E1445" s="2" t="s">
        <v>8</v>
      </c>
      <c r="F1445" s="16"/>
      <c r="G1445" s="16"/>
      <c r="H1445" s="16">
        <f>VLOOKUP(B:B,'[1]Master Sheet'!$B:$H,7,0)</f>
        <v>4000</v>
      </c>
      <c r="I1445" s="16">
        <f>VLOOKUP(B:B,'[1]Master Sheet'!$B:$I,8,0)</f>
        <v>0</v>
      </c>
      <c r="J1445" s="16"/>
      <c r="K1445" s="3" t="s">
        <v>2972</v>
      </c>
      <c r="L1445" s="3" t="s">
        <v>3057</v>
      </c>
      <c r="M1445" s="3" t="s">
        <v>3058</v>
      </c>
      <c r="N1445" s="3"/>
      <c r="O1445" s="3"/>
    </row>
    <row r="1446" spans="1:15" s="4" customFormat="1">
      <c r="A1446" s="2">
        <v>1445</v>
      </c>
      <c r="B1446" s="3" t="s">
        <v>104</v>
      </c>
      <c r="C1446" s="3" t="s">
        <v>105</v>
      </c>
      <c r="D1446" s="2" t="s">
        <v>17</v>
      </c>
      <c r="E1446" s="2" t="s">
        <v>8</v>
      </c>
      <c r="F1446" s="16"/>
      <c r="G1446" s="16"/>
      <c r="H1446" s="16">
        <f>VLOOKUP(B:B,'[1]Master Sheet'!$B:$H,7,0)</f>
        <v>5000</v>
      </c>
      <c r="I1446" s="16">
        <f>VLOOKUP(B:B,'[1]Master Sheet'!$B:$I,8,0)</f>
        <v>3000</v>
      </c>
      <c r="J1446" s="16"/>
      <c r="K1446" s="3" t="s">
        <v>2972</v>
      </c>
      <c r="L1446" s="3" t="s">
        <v>3057</v>
      </c>
      <c r="M1446" s="3" t="s">
        <v>3058</v>
      </c>
      <c r="N1446" s="3"/>
      <c r="O1446" s="3"/>
    </row>
    <row r="1447" spans="1:15" s="4" customFormat="1">
      <c r="A1447" s="2">
        <v>1446</v>
      </c>
      <c r="B1447" s="3" t="s">
        <v>173</v>
      </c>
      <c r="C1447" s="3" t="s">
        <v>174</v>
      </c>
      <c r="D1447" s="2" t="s">
        <v>7</v>
      </c>
      <c r="E1447" s="2" t="s">
        <v>8</v>
      </c>
      <c r="F1447" s="16"/>
      <c r="G1447" s="16"/>
      <c r="H1447" s="16">
        <f>VLOOKUP(B:B,'[1]Master Sheet'!$B:$H,7,0)</f>
        <v>36000</v>
      </c>
      <c r="I1447" s="16">
        <f>VLOOKUP(B:B,'[1]Master Sheet'!$B:$I,8,0)</f>
        <v>14400</v>
      </c>
      <c r="J1447" s="16"/>
      <c r="K1447" s="3" t="s">
        <v>2972</v>
      </c>
      <c r="L1447" s="3" t="s">
        <v>3057</v>
      </c>
      <c r="M1447" s="3" t="s">
        <v>3056</v>
      </c>
      <c r="N1447" s="3"/>
      <c r="O1447" s="3"/>
    </row>
    <row r="1448" spans="1:15" s="4" customFormat="1">
      <c r="A1448" s="2">
        <v>1447</v>
      </c>
      <c r="B1448" s="3" t="s">
        <v>245</v>
      </c>
      <c r="C1448" s="3" t="s">
        <v>246</v>
      </c>
      <c r="D1448" s="2" t="s">
        <v>17</v>
      </c>
      <c r="E1448" s="2" t="s">
        <v>8</v>
      </c>
      <c r="F1448" s="16"/>
      <c r="G1448" s="16"/>
      <c r="H1448" s="16">
        <f>VLOOKUP(B:B,'[1]Master Sheet'!$B:$H,7,0)</f>
        <v>300</v>
      </c>
      <c r="I1448" s="16">
        <f>VLOOKUP(B:B,'[1]Master Sheet'!$B:$I,8,0)</f>
        <v>0</v>
      </c>
      <c r="J1448" s="16"/>
      <c r="K1448" s="3" t="s">
        <v>2972</v>
      </c>
      <c r="L1448" s="3" t="s">
        <v>3057</v>
      </c>
      <c r="M1448" s="3" t="s">
        <v>3058</v>
      </c>
      <c r="N1448" s="3"/>
      <c r="O1448" s="3"/>
    </row>
    <row r="1449" spans="1:15" s="4" customFormat="1">
      <c r="A1449" s="2">
        <v>1448</v>
      </c>
      <c r="B1449" s="3" t="s">
        <v>476</v>
      </c>
      <c r="C1449" s="3" t="s">
        <v>477</v>
      </c>
      <c r="D1449" s="2" t="s">
        <v>20</v>
      </c>
      <c r="E1449" s="2" t="s">
        <v>8</v>
      </c>
      <c r="F1449" s="16"/>
      <c r="G1449" s="16"/>
      <c r="H1449" s="16">
        <f>VLOOKUP(B:B,'[1]Master Sheet'!$B:$H,7,0)</f>
        <v>900</v>
      </c>
      <c r="I1449" s="16">
        <f>VLOOKUP(B:B,'[1]Master Sheet'!$B:$I,8,0)</f>
        <v>0</v>
      </c>
      <c r="J1449" s="16"/>
      <c r="K1449" s="3" t="s">
        <v>3006</v>
      </c>
      <c r="L1449" s="3" t="s">
        <v>3060</v>
      </c>
      <c r="M1449" s="3" t="s">
        <v>3058</v>
      </c>
      <c r="N1449" s="3"/>
      <c r="O1449" s="3"/>
    </row>
    <row r="1450" spans="1:15" s="4" customFormat="1">
      <c r="A1450" s="2">
        <v>1449</v>
      </c>
      <c r="B1450" s="3" t="s">
        <v>279</v>
      </c>
      <c r="C1450" s="3" t="s">
        <v>280</v>
      </c>
      <c r="D1450" s="2" t="s">
        <v>17</v>
      </c>
      <c r="E1450" s="2" t="s">
        <v>8</v>
      </c>
      <c r="F1450" s="16"/>
      <c r="G1450" s="16"/>
      <c r="H1450" s="16">
        <f>VLOOKUP(B:B,'[1]Master Sheet'!$B:$H,7,0)</f>
        <v>1500</v>
      </c>
      <c r="I1450" s="16">
        <f>VLOOKUP(B:B,'[1]Master Sheet'!$B:$I,8,0)</f>
        <v>0</v>
      </c>
      <c r="J1450" s="16"/>
      <c r="K1450" s="3" t="s">
        <v>2972</v>
      </c>
      <c r="L1450" s="3" t="s">
        <v>3057</v>
      </c>
      <c r="M1450" s="3" t="s">
        <v>3058</v>
      </c>
      <c r="N1450" s="3"/>
      <c r="O1450" s="3"/>
    </row>
    <row r="1451" spans="1:15" s="4" customFormat="1">
      <c r="A1451" s="2">
        <v>1450</v>
      </c>
      <c r="B1451" s="3" t="s">
        <v>312</v>
      </c>
      <c r="C1451" s="3" t="s">
        <v>313</v>
      </c>
      <c r="D1451" s="2" t="s">
        <v>17</v>
      </c>
      <c r="E1451" s="2" t="s">
        <v>8</v>
      </c>
      <c r="F1451" s="16"/>
      <c r="G1451" s="16"/>
      <c r="H1451" s="16">
        <f>VLOOKUP(B:B,'[1]Master Sheet'!$B:$H,7,0)</f>
        <v>450</v>
      </c>
      <c r="I1451" s="16">
        <f>VLOOKUP(B:B,'[1]Master Sheet'!$B:$I,8,0)</f>
        <v>1000</v>
      </c>
      <c r="J1451" s="16"/>
      <c r="K1451" s="3" t="s">
        <v>2963</v>
      </c>
      <c r="L1451" s="3" t="s">
        <v>3057</v>
      </c>
      <c r="M1451" s="3" t="s">
        <v>3056</v>
      </c>
      <c r="N1451" s="3"/>
      <c r="O1451" s="3"/>
    </row>
    <row r="1452" spans="1:15" s="4" customFormat="1">
      <c r="A1452" s="2">
        <v>1451</v>
      </c>
      <c r="B1452" s="3" t="s">
        <v>337</v>
      </c>
      <c r="C1452" s="3" t="s">
        <v>338</v>
      </c>
      <c r="D1452" s="2" t="s">
        <v>17</v>
      </c>
      <c r="E1452" s="2" t="s">
        <v>8</v>
      </c>
      <c r="F1452" s="16"/>
      <c r="G1452" s="16"/>
      <c r="H1452" s="16">
        <f>VLOOKUP(B:B,'[1]Master Sheet'!$B:$H,7,0)</f>
        <v>128</v>
      </c>
      <c r="I1452" s="16">
        <f>VLOOKUP(B:B,'[1]Master Sheet'!$B:$I,8,0)</f>
        <v>128</v>
      </c>
      <c r="J1452" s="16"/>
      <c r="K1452" s="3" t="s">
        <v>2963</v>
      </c>
      <c r="L1452" s="3" t="s">
        <v>3057</v>
      </c>
      <c r="M1452" s="3" t="s">
        <v>3056</v>
      </c>
      <c r="N1452" s="3"/>
      <c r="O1452" s="3"/>
    </row>
    <row r="1453" spans="1:15" s="4" customFormat="1">
      <c r="A1453" s="2">
        <v>1452</v>
      </c>
      <c r="B1453" s="3" t="s">
        <v>528</v>
      </c>
      <c r="C1453" s="3" t="s">
        <v>529</v>
      </c>
      <c r="D1453" s="2" t="s">
        <v>17</v>
      </c>
      <c r="E1453" s="2" t="s">
        <v>8</v>
      </c>
      <c r="F1453" s="16"/>
      <c r="G1453" s="16"/>
      <c r="H1453" s="16">
        <f>VLOOKUP(B:B,'[1]Master Sheet'!$B:$H,7,0)</f>
        <v>5000</v>
      </c>
      <c r="I1453" s="16">
        <f>VLOOKUP(B:B,'[1]Master Sheet'!$B:$I,8,0)</f>
        <v>5000</v>
      </c>
      <c r="J1453" s="16"/>
      <c r="K1453" s="3" t="s">
        <v>2972</v>
      </c>
      <c r="L1453" s="3" t="s">
        <v>3060</v>
      </c>
      <c r="M1453" s="3" t="s">
        <v>3058</v>
      </c>
      <c r="N1453" s="3"/>
      <c r="O1453" s="3"/>
    </row>
    <row r="1454" spans="1:15" s="4" customFormat="1">
      <c r="A1454" s="2">
        <v>1453</v>
      </c>
      <c r="B1454" s="3" t="s">
        <v>391</v>
      </c>
      <c r="C1454" s="3" t="s">
        <v>392</v>
      </c>
      <c r="D1454" s="2" t="s">
        <v>17</v>
      </c>
      <c r="E1454" s="2" t="s">
        <v>8</v>
      </c>
      <c r="F1454" s="16"/>
      <c r="G1454" s="16"/>
      <c r="H1454" s="16">
        <f>VLOOKUP(B:B,'[1]Master Sheet'!$B:$H,7,0)</f>
        <v>50</v>
      </c>
      <c r="I1454" s="16">
        <f>VLOOKUP(B:B,'[1]Master Sheet'!$B:$I,8,0)</f>
        <v>0</v>
      </c>
      <c r="J1454" s="16"/>
      <c r="K1454" s="3" t="s">
        <v>2963</v>
      </c>
      <c r="L1454" s="3" t="s">
        <v>3057</v>
      </c>
      <c r="M1454" s="3" t="s">
        <v>3056</v>
      </c>
      <c r="N1454" s="3"/>
      <c r="O1454" s="3"/>
    </row>
    <row r="1455" spans="1:15" s="4" customFormat="1">
      <c r="A1455" s="2">
        <v>1454</v>
      </c>
      <c r="B1455" s="3" t="s">
        <v>432</v>
      </c>
      <c r="C1455" s="3" t="s">
        <v>433</v>
      </c>
      <c r="D1455" s="2" t="s">
        <v>20</v>
      </c>
      <c r="E1455" s="2" t="s">
        <v>8</v>
      </c>
      <c r="F1455" s="16"/>
      <c r="G1455" s="16"/>
      <c r="H1455" s="16">
        <f>VLOOKUP(B:B,'[1]Master Sheet'!$B:$H,7,0)</f>
        <v>25</v>
      </c>
      <c r="I1455" s="16">
        <f>VLOOKUP(B:B,'[1]Master Sheet'!$B:$I,8,0)</f>
        <v>50</v>
      </c>
      <c r="J1455" s="16"/>
      <c r="K1455" s="3" t="s">
        <v>2991</v>
      </c>
      <c r="L1455" s="3" t="s">
        <v>3057</v>
      </c>
      <c r="M1455" s="3" t="s">
        <v>3056</v>
      </c>
      <c r="N1455" s="3"/>
      <c r="O1455" s="3"/>
    </row>
    <row r="1456" spans="1:15" s="4" customFormat="1">
      <c r="A1456" s="2">
        <v>1455</v>
      </c>
      <c r="B1456" s="3" t="s">
        <v>472</v>
      </c>
      <c r="C1456" s="3" t="s">
        <v>473</v>
      </c>
      <c r="D1456" s="2" t="s">
        <v>116</v>
      </c>
      <c r="E1456" s="2" t="s">
        <v>8</v>
      </c>
      <c r="F1456" s="16"/>
      <c r="G1456" s="16"/>
      <c r="H1456" s="16">
        <f>VLOOKUP(B:B,'[1]Master Sheet'!$B:$H,7,0)</f>
        <v>150</v>
      </c>
      <c r="I1456" s="16">
        <f>VLOOKUP(B:B,'[1]Master Sheet'!$B:$I,8,0)</f>
        <v>0</v>
      </c>
      <c r="J1456" s="16"/>
      <c r="K1456" s="3" t="s">
        <v>2974</v>
      </c>
      <c r="L1456" s="3" t="s">
        <v>3057</v>
      </c>
      <c r="M1456" s="3" t="s">
        <v>3056</v>
      </c>
      <c r="N1456" s="3"/>
      <c r="O1456" s="3"/>
    </row>
    <row r="1457" spans="1:15" s="4" customFormat="1">
      <c r="A1457" s="2">
        <v>1456</v>
      </c>
      <c r="B1457" s="3" t="s">
        <v>619</v>
      </c>
      <c r="C1457" s="3" t="s">
        <v>620</v>
      </c>
      <c r="D1457" s="2" t="s">
        <v>17</v>
      </c>
      <c r="E1457" s="2" t="s">
        <v>8</v>
      </c>
      <c r="F1457" s="16"/>
      <c r="G1457" s="16"/>
      <c r="H1457" s="16">
        <f>VLOOKUP(B:B,'[1]Master Sheet'!$B:$H,7,0)</f>
        <v>1250</v>
      </c>
      <c r="I1457" s="16">
        <f>VLOOKUP(B:B,'[1]Master Sheet'!$B:$I,8,0)</f>
        <v>2500</v>
      </c>
      <c r="J1457" s="16"/>
      <c r="K1457" s="3" t="s">
        <v>2982</v>
      </c>
      <c r="L1457" s="3" t="s">
        <v>3060</v>
      </c>
      <c r="M1457" s="3" t="s">
        <v>3064</v>
      </c>
      <c r="N1457" s="3"/>
      <c r="O1457" s="3"/>
    </row>
    <row r="1458" spans="1:15" s="4" customFormat="1">
      <c r="A1458" s="2">
        <v>1457</v>
      </c>
      <c r="B1458" s="3" t="s">
        <v>621</v>
      </c>
      <c r="C1458" s="3" t="s">
        <v>622</v>
      </c>
      <c r="D1458" s="2" t="s">
        <v>17</v>
      </c>
      <c r="E1458" s="2" t="s">
        <v>8</v>
      </c>
      <c r="F1458" s="16"/>
      <c r="G1458" s="16"/>
      <c r="H1458" s="16">
        <f>VLOOKUP(B:B,'[1]Master Sheet'!$B:$H,7,0)</f>
        <v>800</v>
      </c>
      <c r="I1458" s="16">
        <f>VLOOKUP(B:B,'[1]Master Sheet'!$B:$I,8,0)</f>
        <v>1000</v>
      </c>
      <c r="J1458" s="16"/>
      <c r="K1458" s="3" t="s">
        <v>2982</v>
      </c>
      <c r="L1458" s="3" t="s">
        <v>3060</v>
      </c>
      <c r="M1458" s="3" t="s">
        <v>3061</v>
      </c>
      <c r="N1458" s="3"/>
      <c r="O1458" s="3"/>
    </row>
    <row r="1459" spans="1:15" s="4" customFormat="1">
      <c r="A1459" s="2">
        <v>1458</v>
      </c>
      <c r="B1459" s="3" t="s">
        <v>631</v>
      </c>
      <c r="C1459" s="3" t="s">
        <v>632</v>
      </c>
      <c r="D1459" s="2" t="s">
        <v>20</v>
      </c>
      <c r="E1459" s="2" t="s">
        <v>8</v>
      </c>
      <c r="F1459" s="16">
        <v>312</v>
      </c>
      <c r="G1459" s="16"/>
      <c r="H1459" s="16">
        <f>VLOOKUP(B:B,'[1]Master Sheet'!$B:$H,7,0)</f>
        <v>12000</v>
      </c>
      <c r="I1459" s="16">
        <f>VLOOKUP(B:B,'[1]Master Sheet'!$B:$I,8,0)</f>
        <v>25000</v>
      </c>
      <c r="J1459" s="16"/>
      <c r="K1459" s="3" t="s">
        <v>3034</v>
      </c>
      <c r="L1459" s="3" t="s">
        <v>3059</v>
      </c>
      <c r="M1459" s="3" t="s">
        <v>3056</v>
      </c>
      <c r="N1459" s="3"/>
      <c r="O1459" s="3"/>
    </row>
    <row r="1460" spans="1:15" s="4" customFormat="1">
      <c r="A1460" s="2">
        <v>1459</v>
      </c>
      <c r="B1460" s="3" t="s">
        <v>658</v>
      </c>
      <c r="C1460" s="3" t="s">
        <v>659</v>
      </c>
      <c r="D1460" s="2" t="s">
        <v>7</v>
      </c>
      <c r="E1460" s="2" t="s">
        <v>8</v>
      </c>
      <c r="F1460" s="16"/>
      <c r="G1460" s="16"/>
      <c r="H1460" s="16">
        <f>VLOOKUP(B:B,'[1]Master Sheet'!$B:$H,7,0)</f>
        <v>100</v>
      </c>
      <c r="I1460" s="16">
        <f>VLOOKUP(B:B,'[1]Master Sheet'!$B:$I,8,0)</f>
        <v>0</v>
      </c>
      <c r="J1460" s="16"/>
      <c r="K1460" s="3" t="s">
        <v>2965</v>
      </c>
      <c r="L1460" s="3" t="s">
        <v>3055</v>
      </c>
      <c r="M1460" s="3" t="s">
        <v>3056</v>
      </c>
      <c r="N1460" s="3"/>
      <c r="O1460" s="3"/>
    </row>
    <row r="1461" spans="1:15" s="4" customFormat="1">
      <c r="A1461" s="2">
        <v>1460</v>
      </c>
      <c r="B1461" s="3" t="s">
        <v>676</v>
      </c>
      <c r="C1461" s="3" t="s">
        <v>677</v>
      </c>
      <c r="D1461" s="2" t="s">
        <v>7</v>
      </c>
      <c r="E1461" s="2" t="s">
        <v>8</v>
      </c>
      <c r="F1461" s="16"/>
      <c r="G1461" s="16"/>
      <c r="H1461" s="16">
        <f>VLOOKUP(B:B,'[1]Master Sheet'!$B:$H,7,0)</f>
        <v>250</v>
      </c>
      <c r="I1461" s="16">
        <f>VLOOKUP(B:B,'[1]Master Sheet'!$B:$I,8,0)</f>
        <v>0</v>
      </c>
      <c r="J1461" s="16"/>
      <c r="K1461" s="3" t="s">
        <v>2965</v>
      </c>
      <c r="L1461" s="3" t="s">
        <v>3055</v>
      </c>
      <c r="M1461" s="3" t="s">
        <v>3058</v>
      </c>
      <c r="N1461" s="3"/>
      <c r="O1461" s="3"/>
    </row>
    <row r="1462" spans="1:15" s="4" customFormat="1">
      <c r="A1462" s="2">
        <v>1461</v>
      </c>
      <c r="B1462" s="3" t="s">
        <v>678</v>
      </c>
      <c r="C1462" s="3" t="s">
        <v>679</v>
      </c>
      <c r="D1462" s="2" t="s">
        <v>7</v>
      </c>
      <c r="E1462" s="2" t="s">
        <v>8</v>
      </c>
      <c r="F1462" s="16"/>
      <c r="G1462" s="16"/>
      <c r="H1462" s="16">
        <f>VLOOKUP(B:B,'[1]Master Sheet'!$B:$H,7,0)</f>
        <v>300</v>
      </c>
      <c r="I1462" s="16">
        <f>VLOOKUP(B:B,'[1]Master Sheet'!$B:$I,8,0)</f>
        <v>0</v>
      </c>
      <c r="J1462" s="16"/>
      <c r="K1462" s="3" t="s">
        <v>2965</v>
      </c>
      <c r="L1462" s="3" t="s">
        <v>3055</v>
      </c>
      <c r="M1462" s="3" t="s">
        <v>3058</v>
      </c>
      <c r="N1462" s="3"/>
      <c r="O1462" s="3"/>
    </row>
    <row r="1463" spans="1:15" s="4" customFormat="1">
      <c r="A1463" s="2">
        <v>1462</v>
      </c>
      <c r="B1463" s="3" t="s">
        <v>686</v>
      </c>
      <c r="C1463" s="3" t="s">
        <v>687</v>
      </c>
      <c r="D1463" s="2" t="s">
        <v>7</v>
      </c>
      <c r="E1463" s="2" t="s">
        <v>8</v>
      </c>
      <c r="F1463" s="16"/>
      <c r="G1463" s="16"/>
      <c r="H1463" s="16">
        <f>VLOOKUP(B:B,'[1]Master Sheet'!$B:$H,7,0)</f>
        <v>500</v>
      </c>
      <c r="I1463" s="16">
        <f>VLOOKUP(B:B,'[1]Master Sheet'!$B:$I,8,0)</f>
        <v>200</v>
      </c>
      <c r="J1463" s="16"/>
      <c r="K1463" s="3" t="s">
        <v>2965</v>
      </c>
      <c r="L1463" s="3" t="s">
        <v>3055</v>
      </c>
      <c r="M1463" s="3" t="s">
        <v>3058</v>
      </c>
      <c r="N1463" s="3"/>
      <c r="O1463" s="3"/>
    </row>
    <row r="1464" spans="1:15" s="4" customFormat="1">
      <c r="A1464" s="2">
        <v>1463</v>
      </c>
      <c r="B1464" s="3" t="s">
        <v>734</v>
      </c>
      <c r="C1464" s="3" t="s">
        <v>735</v>
      </c>
      <c r="D1464" s="2" t="s">
        <v>7</v>
      </c>
      <c r="E1464" s="2" t="s">
        <v>8</v>
      </c>
      <c r="F1464" s="16"/>
      <c r="G1464" s="16"/>
      <c r="H1464" s="16">
        <f>VLOOKUP(B:B,'[1]Master Sheet'!$B:$H,7,0)</f>
        <v>300</v>
      </c>
      <c r="I1464" s="16">
        <f>VLOOKUP(B:B,'[1]Master Sheet'!$B:$I,8,0)</f>
        <v>0</v>
      </c>
      <c r="J1464" s="16"/>
      <c r="K1464" s="3" t="s">
        <v>2965</v>
      </c>
      <c r="L1464" s="3" t="s">
        <v>3055</v>
      </c>
      <c r="M1464" s="3" t="s">
        <v>3056</v>
      </c>
      <c r="N1464" s="3"/>
      <c r="O1464" s="3"/>
    </row>
    <row r="1465" spans="1:15" s="4" customFormat="1">
      <c r="A1465" s="2">
        <v>1464</v>
      </c>
      <c r="B1465" s="3" t="s">
        <v>736</v>
      </c>
      <c r="C1465" s="3" t="s">
        <v>737</v>
      </c>
      <c r="D1465" s="2" t="s">
        <v>7</v>
      </c>
      <c r="E1465" s="2" t="s">
        <v>8</v>
      </c>
      <c r="F1465" s="16"/>
      <c r="G1465" s="16"/>
      <c r="H1465" s="16">
        <f>VLOOKUP(B:B,'[1]Master Sheet'!$B:$H,7,0)</f>
        <v>300</v>
      </c>
      <c r="I1465" s="16">
        <f>VLOOKUP(B:B,'[1]Master Sheet'!$B:$I,8,0)</f>
        <v>100</v>
      </c>
      <c r="J1465" s="16"/>
      <c r="K1465" s="3" t="s">
        <v>2965</v>
      </c>
      <c r="L1465" s="3" t="s">
        <v>3055</v>
      </c>
      <c r="M1465" s="3" t="s">
        <v>3056</v>
      </c>
      <c r="N1465" s="3"/>
      <c r="O1465" s="3"/>
    </row>
    <row r="1466" spans="1:15" s="4" customFormat="1">
      <c r="A1466" s="2">
        <v>1465</v>
      </c>
      <c r="B1466" s="3" t="s">
        <v>738</v>
      </c>
      <c r="C1466" s="3" t="s">
        <v>739</v>
      </c>
      <c r="D1466" s="2" t="s">
        <v>7</v>
      </c>
      <c r="E1466" s="2" t="s">
        <v>8</v>
      </c>
      <c r="F1466" s="16"/>
      <c r="G1466" s="16"/>
      <c r="H1466" s="16">
        <f>VLOOKUP(B:B,'[1]Master Sheet'!$B:$H,7,0)</f>
        <v>500</v>
      </c>
      <c r="I1466" s="16">
        <f>VLOOKUP(B:B,'[1]Master Sheet'!$B:$I,8,0)</f>
        <v>0</v>
      </c>
      <c r="J1466" s="16"/>
      <c r="K1466" s="3" t="s">
        <v>2965</v>
      </c>
      <c r="L1466" s="3" t="s">
        <v>3055</v>
      </c>
      <c r="M1466" s="3" t="s">
        <v>3056</v>
      </c>
      <c r="N1466" s="3"/>
      <c r="O1466" s="3"/>
    </row>
    <row r="1467" spans="1:15" s="4" customFormat="1">
      <c r="A1467" s="2">
        <v>1466</v>
      </c>
      <c r="B1467" s="3" t="s">
        <v>794</v>
      </c>
      <c r="C1467" s="3" t="s">
        <v>795</v>
      </c>
      <c r="D1467" s="2" t="s">
        <v>7</v>
      </c>
      <c r="E1467" s="2" t="s">
        <v>8</v>
      </c>
      <c r="F1467" s="16"/>
      <c r="G1467" s="16"/>
      <c r="H1467" s="16">
        <f>VLOOKUP(B:B,'[1]Master Sheet'!$B:$H,7,0)</f>
        <v>1000</v>
      </c>
      <c r="I1467" s="16">
        <f>VLOOKUP(B:B,'[1]Master Sheet'!$B:$I,8,0)</f>
        <v>250</v>
      </c>
      <c r="J1467" s="16"/>
      <c r="K1467" s="3" t="s">
        <v>2965</v>
      </c>
      <c r="L1467" s="3" t="s">
        <v>3055</v>
      </c>
      <c r="M1467" s="3" t="s">
        <v>3056</v>
      </c>
      <c r="N1467" s="3"/>
      <c r="O1467" s="3"/>
    </row>
    <row r="1468" spans="1:15" s="4" customFormat="1">
      <c r="A1468" s="2">
        <v>1467</v>
      </c>
      <c r="B1468" s="3" t="s">
        <v>812</v>
      </c>
      <c r="C1468" s="3" t="s">
        <v>813</v>
      </c>
      <c r="D1468" s="2" t="s">
        <v>7</v>
      </c>
      <c r="E1468" s="2" t="s">
        <v>8</v>
      </c>
      <c r="F1468" s="16"/>
      <c r="G1468" s="16"/>
      <c r="H1468" s="16">
        <f>VLOOKUP(B:B,'[1]Master Sheet'!$B:$H,7,0)</f>
        <v>100</v>
      </c>
      <c r="I1468" s="16">
        <f>VLOOKUP(B:B,'[1]Master Sheet'!$B:$I,8,0)</f>
        <v>0</v>
      </c>
      <c r="J1468" s="16"/>
      <c r="K1468" s="3" t="s">
        <v>2965</v>
      </c>
      <c r="L1468" s="3" t="s">
        <v>3055</v>
      </c>
      <c r="M1468" s="3" t="s">
        <v>3056</v>
      </c>
      <c r="N1468" s="3"/>
      <c r="O1468" s="3"/>
    </row>
    <row r="1469" spans="1:15" s="4" customFormat="1">
      <c r="A1469" s="2">
        <v>1468</v>
      </c>
      <c r="B1469" s="3" t="s">
        <v>832</v>
      </c>
      <c r="C1469" s="3" t="s">
        <v>833</v>
      </c>
      <c r="D1469" s="2" t="s">
        <v>7</v>
      </c>
      <c r="E1469" s="2" t="s">
        <v>8</v>
      </c>
      <c r="F1469" s="2"/>
      <c r="G1469" s="2"/>
      <c r="H1469" s="16">
        <f>VLOOKUP(B:B,'[1]Master Sheet'!$B:$H,7,0)</f>
        <v>500</v>
      </c>
      <c r="I1469" s="16">
        <f>VLOOKUP(B:B,'[1]Master Sheet'!$B:$I,8,0)</f>
        <v>2000</v>
      </c>
      <c r="J1469" s="2"/>
      <c r="K1469" s="3" t="s">
        <v>2965</v>
      </c>
      <c r="L1469" s="3" t="s">
        <v>3055</v>
      </c>
      <c r="M1469" s="3" t="s">
        <v>3056</v>
      </c>
      <c r="N1469" s="3"/>
      <c r="O1469" s="3"/>
    </row>
    <row r="1470" spans="1:15" s="4" customFormat="1">
      <c r="A1470" s="2">
        <v>1469</v>
      </c>
      <c r="B1470" s="3" t="s">
        <v>842</v>
      </c>
      <c r="C1470" s="3" t="s">
        <v>843</v>
      </c>
      <c r="D1470" s="2" t="s">
        <v>17</v>
      </c>
      <c r="E1470" s="2" t="s">
        <v>8</v>
      </c>
      <c r="F1470" s="2"/>
      <c r="G1470" s="2"/>
      <c r="H1470" s="16">
        <f>VLOOKUP(B:B,'[1]Master Sheet'!$B:$H,7,0)</f>
        <v>12000</v>
      </c>
      <c r="I1470" s="16">
        <f>VLOOKUP(B:B,'[1]Master Sheet'!$B:$I,8,0)</f>
        <v>30000</v>
      </c>
      <c r="J1470" s="2"/>
      <c r="K1470" s="3" t="s">
        <v>2972</v>
      </c>
      <c r="L1470" s="3" t="s">
        <v>3060</v>
      </c>
      <c r="M1470" s="3" t="s">
        <v>3058</v>
      </c>
      <c r="N1470" s="3"/>
      <c r="O1470" s="3"/>
    </row>
    <row r="1471" spans="1:15" s="4" customFormat="1">
      <c r="A1471" s="2">
        <v>1470</v>
      </c>
      <c r="B1471" s="3" t="s">
        <v>850</v>
      </c>
      <c r="C1471" s="3" t="s">
        <v>851</v>
      </c>
      <c r="D1471" s="2" t="s">
        <v>17</v>
      </c>
      <c r="E1471" s="2" t="s">
        <v>8</v>
      </c>
      <c r="F1471" s="2"/>
      <c r="G1471" s="2"/>
      <c r="H1471" s="16">
        <f>VLOOKUP(B:B,'[1]Master Sheet'!$B:$H,7,0)</f>
        <v>110</v>
      </c>
      <c r="I1471" s="16">
        <f>VLOOKUP(B:B,'[1]Master Sheet'!$B:$I,8,0)</f>
        <v>150</v>
      </c>
      <c r="J1471" s="2"/>
      <c r="K1471" s="3" t="s">
        <v>2982</v>
      </c>
      <c r="L1471" s="3" t="s">
        <v>3060</v>
      </c>
      <c r="M1471" s="3" t="s">
        <v>3058</v>
      </c>
      <c r="N1471" s="3"/>
      <c r="O1471" s="3"/>
    </row>
    <row r="1472" spans="1:15" s="4" customFormat="1">
      <c r="A1472" s="2">
        <v>1471</v>
      </c>
      <c r="B1472" s="3" t="s">
        <v>852</v>
      </c>
      <c r="C1472" s="3" t="s">
        <v>853</v>
      </c>
      <c r="D1472" s="2" t="s">
        <v>17</v>
      </c>
      <c r="E1472" s="2" t="s">
        <v>8</v>
      </c>
      <c r="F1472" s="2"/>
      <c r="G1472" s="2"/>
      <c r="H1472" s="16">
        <f>VLOOKUP(B:B,'[1]Master Sheet'!$B:$H,7,0)</f>
        <v>150</v>
      </c>
      <c r="I1472" s="16">
        <f>VLOOKUP(B:B,'[1]Master Sheet'!$B:$I,8,0)</f>
        <v>300</v>
      </c>
      <c r="J1472" s="2"/>
      <c r="K1472" s="3" t="s">
        <v>2982</v>
      </c>
      <c r="L1472" s="3" t="s">
        <v>3060</v>
      </c>
      <c r="M1472" s="3" t="s">
        <v>3058</v>
      </c>
      <c r="N1472" s="3"/>
      <c r="O1472" s="3"/>
    </row>
    <row r="1473" spans="1:15" s="4" customFormat="1">
      <c r="A1473" s="2">
        <v>1472</v>
      </c>
      <c r="B1473" s="3" t="s">
        <v>890</v>
      </c>
      <c r="C1473" s="3" t="s">
        <v>891</v>
      </c>
      <c r="D1473" s="2" t="s">
        <v>17</v>
      </c>
      <c r="E1473" s="2" t="s">
        <v>8</v>
      </c>
      <c r="F1473" s="2"/>
      <c r="G1473" s="2"/>
      <c r="H1473" s="16">
        <f>VLOOKUP(B:B,'[1]Master Sheet'!$B:$H,7,0)</f>
        <v>150</v>
      </c>
      <c r="I1473" s="16">
        <f>VLOOKUP(B:B,'[1]Master Sheet'!$B:$I,8,0)</f>
        <v>0</v>
      </c>
      <c r="J1473" s="2"/>
      <c r="K1473" s="3" t="s">
        <v>2972</v>
      </c>
      <c r="L1473" s="3" t="s">
        <v>3060</v>
      </c>
      <c r="M1473" s="3" t="s">
        <v>3058</v>
      </c>
      <c r="N1473" s="3"/>
      <c r="O1473" s="3"/>
    </row>
    <row r="1474" spans="1:15" s="4" customFormat="1">
      <c r="A1474" s="2">
        <v>1473</v>
      </c>
      <c r="B1474" s="3" t="s">
        <v>892</v>
      </c>
      <c r="C1474" s="3" t="s">
        <v>893</v>
      </c>
      <c r="D1474" s="2" t="s">
        <v>17</v>
      </c>
      <c r="E1474" s="2" t="s">
        <v>8</v>
      </c>
      <c r="F1474" s="2"/>
      <c r="G1474" s="2"/>
      <c r="H1474" s="16">
        <f>VLOOKUP(B:B,'[1]Master Sheet'!$B:$H,7,0)</f>
        <v>75</v>
      </c>
      <c r="I1474" s="16">
        <f>VLOOKUP(B:B,'[1]Master Sheet'!$B:$I,8,0)</f>
        <v>0</v>
      </c>
      <c r="J1474" s="2"/>
      <c r="K1474" s="3" t="s">
        <v>2972</v>
      </c>
      <c r="L1474" s="3" t="s">
        <v>3060</v>
      </c>
      <c r="M1474" s="3" t="s">
        <v>3058</v>
      </c>
      <c r="N1474" s="3"/>
      <c r="O1474" s="3"/>
    </row>
    <row r="1475" spans="1:15" s="4" customFormat="1">
      <c r="A1475" s="2">
        <v>1474</v>
      </c>
      <c r="B1475" s="3" t="s">
        <v>940</v>
      </c>
      <c r="C1475" s="3" t="s">
        <v>941</v>
      </c>
      <c r="D1475" s="2" t="s">
        <v>17</v>
      </c>
      <c r="E1475" s="2" t="s">
        <v>8</v>
      </c>
      <c r="F1475" s="2"/>
      <c r="G1475" s="2"/>
      <c r="H1475" s="16">
        <f>VLOOKUP(B:B,'[1]Master Sheet'!$B:$H,7,0)</f>
        <v>100</v>
      </c>
      <c r="I1475" s="16">
        <f>VLOOKUP(B:B,'[1]Master Sheet'!$B:$I,8,0)</f>
        <v>0</v>
      </c>
      <c r="J1475" s="2"/>
      <c r="K1475" s="3" t="s">
        <v>2982</v>
      </c>
      <c r="L1475" s="3" t="s">
        <v>3060</v>
      </c>
      <c r="M1475" s="3" t="s">
        <v>3058</v>
      </c>
      <c r="N1475" s="3"/>
      <c r="O1475" s="3"/>
    </row>
    <row r="1476" spans="1:15" s="4" customFormat="1">
      <c r="A1476" s="2">
        <v>1475</v>
      </c>
      <c r="B1476" s="3" t="s">
        <v>950</v>
      </c>
      <c r="C1476" s="3" t="s">
        <v>951</v>
      </c>
      <c r="D1476" s="2" t="s">
        <v>7</v>
      </c>
      <c r="E1476" s="2" t="s">
        <v>8</v>
      </c>
      <c r="F1476" s="2"/>
      <c r="G1476" s="2"/>
      <c r="H1476" s="16">
        <f>VLOOKUP(B:B,'[1]Master Sheet'!$B:$H,7,0)</f>
        <v>1000</v>
      </c>
      <c r="I1476" s="16">
        <f>VLOOKUP(B:B,'[1]Master Sheet'!$B:$I,8,0)</f>
        <v>0</v>
      </c>
      <c r="J1476" s="2"/>
      <c r="K1476" s="3" t="s">
        <v>2965</v>
      </c>
      <c r="L1476" s="3" t="s">
        <v>3055</v>
      </c>
      <c r="M1476" s="3" t="s">
        <v>3056</v>
      </c>
      <c r="N1476" s="3"/>
      <c r="O1476" s="3"/>
    </row>
    <row r="1477" spans="1:15" s="4" customFormat="1">
      <c r="A1477" s="2">
        <v>1476</v>
      </c>
      <c r="B1477" s="3" t="s">
        <v>868</v>
      </c>
      <c r="C1477" s="3" t="s">
        <v>869</v>
      </c>
      <c r="D1477" s="2" t="s">
        <v>17</v>
      </c>
      <c r="E1477" s="2" t="s">
        <v>8</v>
      </c>
      <c r="F1477" s="2"/>
      <c r="G1477" s="2"/>
      <c r="H1477" s="16">
        <f>VLOOKUP(B:B,'[1]Master Sheet'!$B:$H,7,0)</f>
        <v>150</v>
      </c>
      <c r="I1477" s="16">
        <f>VLOOKUP(B:B,'[1]Master Sheet'!$B:$I,8,0)</f>
        <v>0</v>
      </c>
      <c r="J1477" s="2"/>
      <c r="K1477" s="3" t="s">
        <v>2991</v>
      </c>
      <c r="L1477" s="3" t="s">
        <v>3057</v>
      </c>
      <c r="M1477" s="3" t="s">
        <v>3056</v>
      </c>
      <c r="N1477" s="3"/>
      <c r="O1477" s="3"/>
    </row>
    <row r="1478" spans="1:15" s="4" customFormat="1">
      <c r="A1478" s="2">
        <v>1477</v>
      </c>
      <c r="B1478" s="3" t="s">
        <v>1054</v>
      </c>
      <c r="C1478" s="3" t="s">
        <v>1055</v>
      </c>
      <c r="D1478" s="2" t="s">
        <v>17</v>
      </c>
      <c r="E1478" s="2" t="s">
        <v>8</v>
      </c>
      <c r="F1478" s="2"/>
      <c r="G1478" s="2"/>
      <c r="H1478" s="16">
        <f>VLOOKUP(B:B,'[1]Master Sheet'!$B:$H,7,0)</f>
        <v>25</v>
      </c>
      <c r="I1478" s="16">
        <f>VLOOKUP(B:B,'[1]Master Sheet'!$B:$I,8,0)</f>
        <v>25</v>
      </c>
      <c r="J1478" s="2"/>
      <c r="K1478" s="3" t="s">
        <v>2974</v>
      </c>
      <c r="L1478" s="3" t="s">
        <v>3060</v>
      </c>
      <c r="M1478" s="3" t="s">
        <v>3058</v>
      </c>
      <c r="N1478" s="3"/>
      <c r="O1478" s="3"/>
    </row>
    <row r="1479" spans="1:15" s="4" customFormat="1">
      <c r="A1479" s="2">
        <v>1478</v>
      </c>
      <c r="B1479" s="3" t="s">
        <v>898</v>
      </c>
      <c r="C1479" s="3" t="s">
        <v>899</v>
      </c>
      <c r="D1479" s="2" t="s">
        <v>17</v>
      </c>
      <c r="E1479" s="2" t="s">
        <v>8</v>
      </c>
      <c r="F1479" s="2"/>
      <c r="G1479" s="2"/>
      <c r="H1479" s="16">
        <f>VLOOKUP(B:B,'[1]Master Sheet'!$B:$H,7,0)</f>
        <v>500</v>
      </c>
      <c r="I1479" s="16">
        <f>VLOOKUP(B:B,'[1]Master Sheet'!$B:$I,8,0)</f>
        <v>0</v>
      </c>
      <c r="J1479" s="2"/>
      <c r="K1479" s="3" t="s">
        <v>2991</v>
      </c>
      <c r="L1479" s="3" t="s">
        <v>3057</v>
      </c>
      <c r="M1479" s="3" t="s">
        <v>3058</v>
      </c>
      <c r="N1479" s="3"/>
      <c r="O1479" s="3"/>
    </row>
    <row r="1480" spans="1:15" s="4" customFormat="1">
      <c r="A1480" s="2">
        <v>1479</v>
      </c>
      <c r="B1480" s="3" t="s">
        <v>926</v>
      </c>
      <c r="C1480" s="3" t="s">
        <v>927</v>
      </c>
      <c r="D1480" s="2" t="s">
        <v>20</v>
      </c>
      <c r="E1480" s="2" t="s">
        <v>8</v>
      </c>
      <c r="F1480" s="2"/>
      <c r="G1480" s="2"/>
      <c r="H1480" s="16">
        <f>VLOOKUP(B:B,'[1]Master Sheet'!$B:$H,7,0)</f>
        <v>300</v>
      </c>
      <c r="I1480" s="16">
        <f>VLOOKUP(B:B,'[1]Master Sheet'!$B:$I,8,0)</f>
        <v>0</v>
      </c>
      <c r="J1480" s="2"/>
      <c r="K1480" s="3" t="s">
        <v>2972</v>
      </c>
      <c r="L1480" s="3" t="s">
        <v>3057</v>
      </c>
      <c r="M1480" s="3" t="s">
        <v>3056</v>
      </c>
      <c r="N1480" s="3"/>
      <c r="O1480" s="3"/>
    </row>
    <row r="1481" spans="1:15" s="4" customFormat="1">
      <c r="A1481" s="2">
        <v>1480</v>
      </c>
      <c r="B1481" s="3" t="s">
        <v>1231</v>
      </c>
      <c r="C1481" s="3" t="s">
        <v>1232</v>
      </c>
      <c r="D1481" s="2" t="s">
        <v>17</v>
      </c>
      <c r="E1481" s="2" t="s">
        <v>8</v>
      </c>
      <c r="F1481" s="2"/>
      <c r="G1481" s="2"/>
      <c r="H1481" s="16">
        <f>VLOOKUP(B:B,'[1]Master Sheet'!$B:$H,7,0)</f>
        <v>10</v>
      </c>
      <c r="I1481" s="16">
        <f>VLOOKUP(B:B,'[1]Master Sheet'!$B:$I,8,0)</f>
        <v>15</v>
      </c>
      <c r="J1481" s="2"/>
      <c r="K1481" s="3" t="s">
        <v>3052</v>
      </c>
      <c r="L1481" s="3" t="s">
        <v>3062</v>
      </c>
      <c r="M1481" s="3" t="s">
        <v>3056</v>
      </c>
      <c r="N1481" s="3"/>
      <c r="O1481" s="3"/>
    </row>
    <row r="1482" spans="1:15" s="4" customFormat="1">
      <c r="A1482" s="2">
        <v>1481</v>
      </c>
      <c r="B1482" s="3" t="s">
        <v>1275</v>
      </c>
      <c r="C1482" s="3" t="s">
        <v>1276</v>
      </c>
      <c r="D1482" s="2" t="s">
        <v>17</v>
      </c>
      <c r="E1482" s="2" t="s">
        <v>8</v>
      </c>
      <c r="F1482" s="2"/>
      <c r="G1482" s="2"/>
      <c r="H1482" s="16">
        <f>VLOOKUP(B:B,'[1]Master Sheet'!$B:$H,7,0)</f>
        <v>10</v>
      </c>
      <c r="I1482" s="16">
        <f>VLOOKUP(B:B,'[1]Master Sheet'!$B:$I,8,0)</f>
        <v>0</v>
      </c>
      <c r="J1482" s="2"/>
      <c r="K1482" s="3" t="s">
        <v>3052</v>
      </c>
      <c r="L1482" s="3" t="s">
        <v>3062</v>
      </c>
      <c r="M1482" s="3" t="s">
        <v>3056</v>
      </c>
      <c r="N1482" s="3"/>
      <c r="O1482" s="3"/>
    </row>
    <row r="1483" spans="1:15" s="4" customFormat="1">
      <c r="A1483" s="2">
        <v>1482</v>
      </c>
      <c r="B1483" s="3" t="s">
        <v>1281</v>
      </c>
      <c r="C1483" s="3" t="s">
        <v>1282</v>
      </c>
      <c r="D1483" s="2" t="s">
        <v>17</v>
      </c>
      <c r="E1483" s="2" t="s">
        <v>8</v>
      </c>
      <c r="F1483" s="2"/>
      <c r="G1483" s="2"/>
      <c r="H1483" s="16">
        <f>VLOOKUP(B:B,'[1]Master Sheet'!$B:$H,7,0)</f>
        <v>12</v>
      </c>
      <c r="I1483" s="16">
        <f>VLOOKUP(B:B,'[1]Master Sheet'!$B:$I,8,0)</f>
        <v>24</v>
      </c>
      <c r="J1483" s="2"/>
      <c r="K1483" s="3" t="s">
        <v>3052</v>
      </c>
      <c r="L1483" s="3" t="s">
        <v>3062</v>
      </c>
      <c r="M1483" s="3" t="s">
        <v>3056</v>
      </c>
      <c r="N1483" s="3"/>
      <c r="O1483" s="3"/>
    </row>
    <row r="1484" spans="1:15" s="4" customFormat="1">
      <c r="A1484" s="2">
        <v>1483</v>
      </c>
      <c r="B1484" s="3" t="s">
        <v>1289</v>
      </c>
      <c r="C1484" s="3" t="s">
        <v>3274</v>
      </c>
      <c r="D1484" s="2" t="s">
        <v>7</v>
      </c>
      <c r="E1484" s="2" t="s">
        <v>8</v>
      </c>
      <c r="F1484" s="2"/>
      <c r="G1484" s="2"/>
      <c r="H1484" s="16">
        <f>VLOOKUP(B:B,'[1]Master Sheet'!$B:$H,7,0)</f>
        <v>2000</v>
      </c>
      <c r="I1484" s="16">
        <f>VLOOKUP(B:B,'[1]Master Sheet'!$B:$I,8,0)</f>
        <v>500</v>
      </c>
      <c r="J1484" s="2"/>
      <c r="K1484" s="3" t="s">
        <v>2965</v>
      </c>
      <c r="L1484" s="3" t="s">
        <v>3055</v>
      </c>
      <c r="M1484" s="3" t="s">
        <v>3056</v>
      </c>
      <c r="N1484" s="3"/>
      <c r="O1484" s="3"/>
    </row>
    <row r="1485" spans="1:15" s="4" customFormat="1">
      <c r="A1485" s="2">
        <v>1484</v>
      </c>
      <c r="B1485" s="3" t="s">
        <v>1300</v>
      </c>
      <c r="C1485" s="3" t="s">
        <v>1301</v>
      </c>
      <c r="D1485" s="2" t="s">
        <v>7</v>
      </c>
      <c r="E1485" s="2" t="s">
        <v>8</v>
      </c>
      <c r="F1485" s="2"/>
      <c r="G1485" s="2"/>
      <c r="H1485" s="16">
        <f>VLOOKUP(B:B,'[1]Master Sheet'!$B:$H,7,0)</f>
        <v>150</v>
      </c>
      <c r="I1485" s="16">
        <f>VLOOKUP(B:B,'[1]Master Sheet'!$B:$I,8,0)</f>
        <v>250</v>
      </c>
      <c r="J1485" s="2"/>
      <c r="K1485" s="3" t="s">
        <v>2965</v>
      </c>
      <c r="L1485" s="3" t="s">
        <v>3055</v>
      </c>
      <c r="M1485" s="3" t="s">
        <v>3056</v>
      </c>
      <c r="N1485" s="3"/>
      <c r="O1485" s="3"/>
    </row>
    <row r="1486" spans="1:15" s="4" customFormat="1">
      <c r="A1486" s="2">
        <v>1485</v>
      </c>
      <c r="B1486" s="3" t="s">
        <v>1326</v>
      </c>
      <c r="C1486" s="3" t="s">
        <v>1327</v>
      </c>
      <c r="D1486" s="2" t="s">
        <v>7</v>
      </c>
      <c r="E1486" s="2" t="s">
        <v>8</v>
      </c>
      <c r="F1486" s="2"/>
      <c r="G1486" s="2"/>
      <c r="H1486" s="16">
        <f>VLOOKUP(B:B,'[1]Master Sheet'!$B:$H,7,0)</f>
        <v>8000</v>
      </c>
      <c r="I1486" s="16">
        <f>VLOOKUP(B:B,'[1]Master Sheet'!$B:$I,8,0)</f>
        <v>10000</v>
      </c>
      <c r="J1486" s="2"/>
      <c r="K1486" s="3" t="s">
        <v>2965</v>
      </c>
      <c r="L1486" s="3" t="s">
        <v>3055</v>
      </c>
      <c r="M1486" s="3" t="s">
        <v>3056</v>
      </c>
      <c r="N1486" s="3"/>
      <c r="O1486" s="3"/>
    </row>
    <row r="1487" spans="1:15" s="4" customFormat="1">
      <c r="A1487" s="2">
        <v>1486</v>
      </c>
      <c r="B1487" s="3" t="s">
        <v>1330</v>
      </c>
      <c r="C1487" s="3" t="s">
        <v>1331</v>
      </c>
      <c r="D1487" s="2" t="s">
        <v>7</v>
      </c>
      <c r="E1487" s="2" t="s">
        <v>8</v>
      </c>
      <c r="F1487" s="2"/>
      <c r="G1487" s="2"/>
      <c r="H1487" s="16">
        <f>VLOOKUP(B:B,'[1]Master Sheet'!$B:$H,7,0)</f>
        <v>1000</v>
      </c>
      <c r="I1487" s="16">
        <f>VLOOKUP(B:B,'[1]Master Sheet'!$B:$I,8,0)</f>
        <v>0</v>
      </c>
      <c r="J1487" s="2"/>
      <c r="K1487" s="3" t="s">
        <v>2965</v>
      </c>
      <c r="L1487" s="3" t="s">
        <v>3055</v>
      </c>
      <c r="M1487" s="3" t="s">
        <v>3056</v>
      </c>
      <c r="N1487" s="3"/>
      <c r="O1487" s="3"/>
    </row>
    <row r="1488" spans="1:15" s="4" customFormat="1">
      <c r="A1488" s="2">
        <v>1487</v>
      </c>
      <c r="B1488" s="3" t="s">
        <v>1336</v>
      </c>
      <c r="C1488" s="3" t="s">
        <v>1337</v>
      </c>
      <c r="D1488" s="2" t="s">
        <v>7</v>
      </c>
      <c r="E1488" s="2" t="s">
        <v>8</v>
      </c>
      <c r="F1488" s="2"/>
      <c r="G1488" s="2"/>
      <c r="H1488" s="16">
        <f>VLOOKUP(B:B,'[1]Master Sheet'!$B:$H,7,0)</f>
        <v>300</v>
      </c>
      <c r="I1488" s="16">
        <f>VLOOKUP(B:B,'[1]Master Sheet'!$B:$I,8,0)</f>
        <v>300</v>
      </c>
      <c r="J1488" s="2"/>
      <c r="K1488" s="3" t="s">
        <v>2965</v>
      </c>
      <c r="L1488" s="3" t="s">
        <v>3055</v>
      </c>
      <c r="M1488" s="3" t="s">
        <v>3056</v>
      </c>
      <c r="N1488" s="3"/>
      <c r="O1488" s="3"/>
    </row>
    <row r="1489" spans="1:15" s="4" customFormat="1">
      <c r="A1489" s="2">
        <v>1488</v>
      </c>
      <c r="B1489" s="3" t="s">
        <v>1340</v>
      </c>
      <c r="C1489" s="3" t="s">
        <v>1341</v>
      </c>
      <c r="D1489" s="2" t="s">
        <v>7</v>
      </c>
      <c r="E1489" s="2" t="s">
        <v>8</v>
      </c>
      <c r="F1489" s="2"/>
      <c r="G1489" s="2"/>
      <c r="H1489" s="16">
        <f>VLOOKUP(B:B,'[1]Master Sheet'!$B:$H,7,0)</f>
        <v>0</v>
      </c>
      <c r="I1489" s="16">
        <f>VLOOKUP(B:B,'[1]Master Sheet'!$B:$I,8,0)</f>
        <v>0</v>
      </c>
      <c r="J1489" s="2"/>
      <c r="K1489" s="3" t="s">
        <v>2965</v>
      </c>
      <c r="L1489" s="3" t="s">
        <v>3055</v>
      </c>
      <c r="M1489" s="3" t="s">
        <v>3056</v>
      </c>
      <c r="N1489" s="3"/>
      <c r="O1489" s="3"/>
    </row>
    <row r="1490" spans="1:15" s="4" customFormat="1">
      <c r="A1490" s="2">
        <v>1489</v>
      </c>
      <c r="B1490" s="3" t="s">
        <v>1352</v>
      </c>
      <c r="C1490" s="3" t="s">
        <v>1353</v>
      </c>
      <c r="D1490" s="2" t="s">
        <v>20</v>
      </c>
      <c r="E1490" s="2" t="s">
        <v>8</v>
      </c>
      <c r="F1490" s="2"/>
      <c r="G1490" s="2"/>
      <c r="H1490" s="16">
        <f>VLOOKUP(B:B,'[1]Master Sheet'!$B:$H,7,0)</f>
        <v>150</v>
      </c>
      <c r="I1490" s="16">
        <f>VLOOKUP(B:B,'[1]Master Sheet'!$B:$I,8,0)</f>
        <v>0</v>
      </c>
      <c r="J1490" s="2"/>
      <c r="K1490" s="3" t="s">
        <v>2965</v>
      </c>
      <c r="L1490" s="3" t="s">
        <v>3055</v>
      </c>
      <c r="M1490" s="3" t="s">
        <v>3058</v>
      </c>
      <c r="N1490" s="3"/>
      <c r="O1490" s="3"/>
    </row>
    <row r="1491" spans="1:15" s="4" customFormat="1">
      <c r="A1491" s="2">
        <v>1490</v>
      </c>
      <c r="B1491" s="3" t="s">
        <v>1354</v>
      </c>
      <c r="C1491" s="3" t="s">
        <v>1355</v>
      </c>
      <c r="D1491" s="2" t="s">
        <v>20</v>
      </c>
      <c r="E1491" s="2" t="s">
        <v>8</v>
      </c>
      <c r="F1491" s="2"/>
      <c r="G1491" s="2"/>
      <c r="H1491" s="16">
        <f>VLOOKUP(B:B,'[1]Master Sheet'!$B:$H,7,0)</f>
        <v>150</v>
      </c>
      <c r="I1491" s="16">
        <f>VLOOKUP(B:B,'[1]Master Sheet'!$B:$I,8,0)</f>
        <v>0</v>
      </c>
      <c r="J1491" s="2"/>
      <c r="K1491" s="3" t="s">
        <v>2965</v>
      </c>
      <c r="L1491" s="3" t="s">
        <v>3055</v>
      </c>
      <c r="M1491" s="3" t="s">
        <v>3058</v>
      </c>
      <c r="N1491" s="3"/>
      <c r="O1491" s="3"/>
    </row>
    <row r="1492" spans="1:15" s="4" customFormat="1">
      <c r="A1492" s="2">
        <v>1491</v>
      </c>
      <c r="B1492" s="3" t="s">
        <v>1372</v>
      </c>
      <c r="C1492" s="3" t="s">
        <v>1373</v>
      </c>
      <c r="D1492" s="2" t="s">
        <v>7</v>
      </c>
      <c r="E1492" s="2" t="s">
        <v>8</v>
      </c>
      <c r="F1492" s="2"/>
      <c r="G1492" s="2"/>
      <c r="H1492" s="16">
        <f>VLOOKUP(B:B,'[1]Master Sheet'!$B:$H,7,0)</f>
        <v>300</v>
      </c>
      <c r="I1492" s="16">
        <f>VLOOKUP(B:B,'[1]Master Sheet'!$B:$I,8,0)</f>
        <v>0</v>
      </c>
      <c r="J1492" s="2"/>
      <c r="K1492" s="3" t="s">
        <v>2965</v>
      </c>
      <c r="L1492" s="3" t="s">
        <v>3055</v>
      </c>
      <c r="M1492" s="3" t="s">
        <v>3056</v>
      </c>
      <c r="N1492" s="3"/>
      <c r="O1492" s="3"/>
    </row>
    <row r="1493" spans="1:15" s="4" customFormat="1">
      <c r="A1493" s="2">
        <v>1492</v>
      </c>
      <c r="B1493" s="3" t="s">
        <v>1378</v>
      </c>
      <c r="C1493" s="3" t="s">
        <v>1379</v>
      </c>
      <c r="D1493" s="2" t="s">
        <v>7</v>
      </c>
      <c r="E1493" s="2" t="s">
        <v>8</v>
      </c>
      <c r="F1493" s="2"/>
      <c r="G1493" s="2"/>
      <c r="H1493" s="16">
        <f>VLOOKUP(B:B,'[1]Master Sheet'!$B:$H,7,0)</f>
        <v>150</v>
      </c>
      <c r="I1493" s="16">
        <f>VLOOKUP(B:B,'[1]Master Sheet'!$B:$I,8,0)</f>
        <v>400</v>
      </c>
      <c r="J1493" s="2"/>
      <c r="K1493" s="3" t="s">
        <v>2965</v>
      </c>
      <c r="L1493" s="3" t="s">
        <v>3055</v>
      </c>
      <c r="M1493" s="3" t="s">
        <v>3056</v>
      </c>
      <c r="N1493" s="3"/>
      <c r="O1493" s="3"/>
    </row>
    <row r="1494" spans="1:15" s="4" customFormat="1">
      <c r="A1494" s="2">
        <v>1493</v>
      </c>
      <c r="B1494" s="3" t="s">
        <v>1380</v>
      </c>
      <c r="C1494" s="3" t="s">
        <v>1381</v>
      </c>
      <c r="D1494" s="2" t="s">
        <v>7</v>
      </c>
      <c r="E1494" s="2" t="s">
        <v>8</v>
      </c>
      <c r="F1494" s="2"/>
      <c r="G1494" s="2"/>
      <c r="H1494" s="16">
        <f>VLOOKUP(B:B,'[1]Master Sheet'!$B:$H,7,0)</f>
        <v>200</v>
      </c>
      <c r="I1494" s="16">
        <f>VLOOKUP(B:B,'[1]Master Sheet'!$B:$I,8,0)</f>
        <v>0</v>
      </c>
      <c r="J1494" s="2"/>
      <c r="K1494" s="3" t="s">
        <v>2965</v>
      </c>
      <c r="L1494" s="3" t="s">
        <v>3055</v>
      </c>
      <c r="M1494" s="3" t="s">
        <v>3056</v>
      </c>
      <c r="N1494" s="3"/>
      <c r="O1494" s="3"/>
    </row>
    <row r="1495" spans="1:15" s="4" customFormat="1">
      <c r="A1495" s="2">
        <v>1494</v>
      </c>
      <c r="B1495" s="3" t="s">
        <v>1394</v>
      </c>
      <c r="C1495" s="3" t="s">
        <v>1395</v>
      </c>
      <c r="D1495" s="2" t="s">
        <v>7</v>
      </c>
      <c r="E1495" s="2" t="s">
        <v>8</v>
      </c>
      <c r="F1495" s="2"/>
      <c r="G1495" s="2"/>
      <c r="H1495" s="16">
        <f>VLOOKUP(B:B,'[1]Master Sheet'!$B:$H,7,0)</f>
        <v>2500</v>
      </c>
      <c r="I1495" s="16">
        <f>VLOOKUP(B:B,'[1]Master Sheet'!$B:$I,8,0)</f>
        <v>8000</v>
      </c>
      <c r="J1495" s="2"/>
      <c r="K1495" s="3" t="s">
        <v>2965</v>
      </c>
      <c r="L1495" s="3" t="s">
        <v>3055</v>
      </c>
      <c r="M1495" s="3" t="s">
        <v>3056</v>
      </c>
      <c r="N1495" s="3"/>
      <c r="O1495" s="3"/>
    </row>
    <row r="1496" spans="1:15" s="4" customFormat="1">
      <c r="A1496" s="2">
        <v>1495</v>
      </c>
      <c r="B1496" s="3" t="s">
        <v>1440</v>
      </c>
      <c r="C1496" s="3" t="s">
        <v>1441</v>
      </c>
      <c r="D1496" s="2" t="s">
        <v>20</v>
      </c>
      <c r="E1496" s="2" t="s">
        <v>8</v>
      </c>
      <c r="F1496" s="2"/>
      <c r="G1496" s="2"/>
      <c r="H1496" s="16">
        <f>VLOOKUP(B:B,'[1]Master Sheet'!$B:$H,7,0)</f>
        <v>250</v>
      </c>
      <c r="I1496" s="16">
        <f>VLOOKUP(B:B,'[1]Master Sheet'!$B:$I,8,0)</f>
        <v>100</v>
      </c>
      <c r="J1496" s="2"/>
      <c r="K1496" s="3" t="s">
        <v>2965</v>
      </c>
      <c r="L1496" s="3" t="s">
        <v>3055</v>
      </c>
      <c r="M1496" s="3" t="s">
        <v>3056</v>
      </c>
      <c r="N1496" s="3"/>
      <c r="O1496" s="3"/>
    </row>
    <row r="1497" spans="1:15" s="4" customFormat="1">
      <c r="A1497" s="2">
        <v>1496</v>
      </c>
      <c r="B1497" s="3" t="s">
        <v>1510</v>
      </c>
      <c r="C1497" s="3" t="s">
        <v>1511</v>
      </c>
      <c r="D1497" s="2" t="s">
        <v>17</v>
      </c>
      <c r="E1497" s="2" t="s">
        <v>8</v>
      </c>
      <c r="F1497" s="2"/>
      <c r="G1497" s="2"/>
      <c r="H1497" s="16">
        <f>VLOOKUP(B:B,'[1]Master Sheet'!$B:$H,7,0)</f>
        <v>200</v>
      </c>
      <c r="I1497" s="16">
        <f>VLOOKUP(B:B,'[1]Master Sheet'!$B:$I,8,0)</f>
        <v>150</v>
      </c>
      <c r="J1497" s="2"/>
      <c r="K1497" s="3" t="s">
        <v>2982</v>
      </c>
      <c r="L1497" s="3" t="s">
        <v>3060</v>
      </c>
      <c r="M1497" s="3" t="s">
        <v>3058</v>
      </c>
      <c r="N1497" s="3"/>
      <c r="O1497" s="3"/>
    </row>
    <row r="1498" spans="1:15" s="4" customFormat="1">
      <c r="A1498" s="2">
        <v>1497</v>
      </c>
      <c r="B1498" s="3" t="s">
        <v>1546</v>
      </c>
      <c r="C1498" s="3" t="s">
        <v>1547</v>
      </c>
      <c r="D1498" s="2" t="s">
        <v>20</v>
      </c>
      <c r="E1498" s="2" t="s">
        <v>8</v>
      </c>
      <c r="F1498" s="2"/>
      <c r="G1498" s="2"/>
      <c r="H1498" s="16">
        <f>VLOOKUP(B:B,'[1]Master Sheet'!$B:$H,7,0)</f>
        <v>0</v>
      </c>
      <c r="I1498" s="16">
        <f>VLOOKUP(B:B,'[1]Master Sheet'!$B:$I,8,0)</f>
        <v>0</v>
      </c>
      <c r="J1498" s="2"/>
      <c r="K1498" s="3" t="s">
        <v>3000</v>
      </c>
      <c r="L1498" s="3" t="s">
        <v>3059</v>
      </c>
      <c r="M1498" s="3" t="s">
        <v>3056</v>
      </c>
      <c r="N1498" s="3"/>
      <c r="O1498" s="3"/>
    </row>
    <row r="1499" spans="1:15" s="4" customFormat="1">
      <c r="A1499" s="2">
        <v>1498</v>
      </c>
      <c r="B1499" s="3" t="s">
        <v>1121</v>
      </c>
      <c r="C1499" s="3" t="s">
        <v>1122</v>
      </c>
      <c r="D1499" s="2" t="s">
        <v>17</v>
      </c>
      <c r="E1499" s="2" t="s">
        <v>8</v>
      </c>
      <c r="F1499" s="2"/>
      <c r="G1499" s="2"/>
      <c r="H1499" s="16">
        <f>VLOOKUP(B:B,'[1]Master Sheet'!$B:$H,7,0)</f>
        <v>2000</v>
      </c>
      <c r="I1499" s="16">
        <f>VLOOKUP(B:B,'[1]Master Sheet'!$B:$I,8,0)</f>
        <v>0</v>
      </c>
      <c r="J1499" s="2"/>
      <c r="K1499" s="3" t="s">
        <v>2972</v>
      </c>
      <c r="L1499" s="3" t="s">
        <v>3057</v>
      </c>
      <c r="M1499" s="3" t="s">
        <v>3058</v>
      </c>
      <c r="N1499" s="3"/>
      <c r="O1499" s="3"/>
    </row>
    <row r="1500" spans="1:15" s="4" customFormat="1">
      <c r="A1500" s="2">
        <v>1499</v>
      </c>
      <c r="B1500" s="3" t="s">
        <v>1568</v>
      </c>
      <c r="C1500" s="3" t="s">
        <v>1569</v>
      </c>
      <c r="D1500" s="2" t="s">
        <v>20</v>
      </c>
      <c r="E1500" s="2" t="s">
        <v>8</v>
      </c>
      <c r="F1500" s="2"/>
      <c r="G1500" s="2"/>
      <c r="H1500" s="16">
        <f>VLOOKUP(B:B,'[1]Master Sheet'!$B:$H,7,0)</f>
        <v>0</v>
      </c>
      <c r="I1500" s="16">
        <f>VLOOKUP(B:B,'[1]Master Sheet'!$B:$I,8,0)</f>
        <v>0</v>
      </c>
      <c r="J1500" s="2"/>
      <c r="K1500" s="3" t="s">
        <v>3000</v>
      </c>
      <c r="L1500" s="3" t="s">
        <v>3059</v>
      </c>
      <c r="M1500" s="3" t="s">
        <v>3056</v>
      </c>
      <c r="N1500" s="3"/>
      <c r="O1500" s="3"/>
    </row>
    <row r="1501" spans="1:15" s="4" customFormat="1">
      <c r="A1501" s="2">
        <v>1500</v>
      </c>
      <c r="B1501" s="3" t="s">
        <v>1570</v>
      </c>
      <c r="C1501" s="3" t="s">
        <v>1571</v>
      </c>
      <c r="D1501" s="2" t="s">
        <v>20</v>
      </c>
      <c r="E1501" s="2" t="s">
        <v>8</v>
      </c>
      <c r="F1501" s="2"/>
      <c r="G1501" s="2"/>
      <c r="H1501" s="16">
        <f>VLOOKUP(B:B,'[1]Master Sheet'!$B:$H,7,0)</f>
        <v>0</v>
      </c>
      <c r="I1501" s="16">
        <f>VLOOKUP(B:B,'[1]Master Sheet'!$B:$I,8,0)</f>
        <v>0</v>
      </c>
      <c r="J1501" s="2"/>
      <c r="K1501" s="3" t="s">
        <v>3000</v>
      </c>
      <c r="L1501" s="3" t="s">
        <v>3059</v>
      </c>
      <c r="M1501" s="3" t="s">
        <v>3056</v>
      </c>
      <c r="N1501" s="3"/>
      <c r="O1501" s="3"/>
    </row>
    <row r="1502" spans="1:15" s="4" customFormat="1">
      <c r="A1502" s="2">
        <v>1501</v>
      </c>
      <c r="B1502" s="3" t="s">
        <v>1582</v>
      </c>
      <c r="C1502" s="3" t="s">
        <v>1583</v>
      </c>
      <c r="D1502" s="2" t="s">
        <v>17</v>
      </c>
      <c r="E1502" s="2" t="s">
        <v>8</v>
      </c>
      <c r="F1502" s="2"/>
      <c r="G1502" s="2"/>
      <c r="H1502" s="16">
        <f>VLOOKUP(B:B,'[1]Master Sheet'!$B:$H,7,0)</f>
        <v>125</v>
      </c>
      <c r="I1502" s="16">
        <f>VLOOKUP(B:B,'[1]Master Sheet'!$B:$I,8,0)</f>
        <v>250</v>
      </c>
      <c r="J1502" s="2"/>
      <c r="K1502" s="3" t="s">
        <v>2972</v>
      </c>
      <c r="L1502" s="3" t="s">
        <v>3060</v>
      </c>
      <c r="M1502" s="3" t="s">
        <v>3058</v>
      </c>
      <c r="N1502" s="3"/>
      <c r="O1502" s="3"/>
    </row>
    <row r="1503" spans="1:15" s="4" customFormat="1">
      <c r="A1503" s="2">
        <v>1502</v>
      </c>
      <c r="B1503" s="3" t="s">
        <v>1596</v>
      </c>
      <c r="C1503" s="3" t="s">
        <v>1597</v>
      </c>
      <c r="D1503" s="2" t="s">
        <v>17</v>
      </c>
      <c r="E1503" s="2" t="s">
        <v>8</v>
      </c>
      <c r="F1503" s="2"/>
      <c r="G1503" s="2"/>
      <c r="H1503" s="16">
        <f>VLOOKUP(B:B,'[1]Master Sheet'!$B:$H,7,0)</f>
        <v>250</v>
      </c>
      <c r="I1503" s="16">
        <f>VLOOKUP(B:B,'[1]Master Sheet'!$B:$I,8,0)</f>
        <v>0</v>
      </c>
      <c r="J1503" s="2"/>
      <c r="K1503" s="3" t="s">
        <v>2972</v>
      </c>
      <c r="L1503" s="3" t="s">
        <v>3060</v>
      </c>
      <c r="M1503" s="3" t="s">
        <v>3056</v>
      </c>
      <c r="N1503" s="3"/>
      <c r="O1503" s="3"/>
    </row>
    <row r="1504" spans="1:15" s="4" customFormat="1">
      <c r="A1504" s="2">
        <v>1503</v>
      </c>
      <c r="B1504" s="3" t="s">
        <v>1155</v>
      </c>
      <c r="C1504" s="3" t="s">
        <v>1156</v>
      </c>
      <c r="D1504" s="2" t="s">
        <v>17</v>
      </c>
      <c r="E1504" s="2" t="s">
        <v>8</v>
      </c>
      <c r="F1504" s="2"/>
      <c r="G1504" s="2"/>
      <c r="H1504" s="16">
        <f>VLOOKUP(B:B,'[1]Master Sheet'!$B:$H,7,0)</f>
        <v>50</v>
      </c>
      <c r="I1504" s="16">
        <f>VLOOKUP(B:B,'[1]Master Sheet'!$B:$I,8,0)</f>
        <v>100</v>
      </c>
      <c r="J1504" s="2"/>
      <c r="K1504" s="3" t="s">
        <v>2963</v>
      </c>
      <c r="L1504" s="3" t="s">
        <v>3057</v>
      </c>
      <c r="M1504" s="3" t="s">
        <v>3056</v>
      </c>
      <c r="N1504" s="3"/>
      <c r="O1504" s="3"/>
    </row>
    <row r="1505" spans="1:15" s="4" customFormat="1">
      <c r="A1505" s="2">
        <v>1504</v>
      </c>
      <c r="B1505" s="3" t="s">
        <v>1205</v>
      </c>
      <c r="C1505" s="3" t="s">
        <v>1206</v>
      </c>
      <c r="D1505" s="2" t="s">
        <v>17</v>
      </c>
      <c r="E1505" s="2" t="s">
        <v>8</v>
      </c>
      <c r="F1505" s="2"/>
      <c r="G1505" s="2"/>
      <c r="H1505" s="16">
        <f>VLOOKUP(B:B,'[1]Master Sheet'!$B:$H,7,0)</f>
        <v>100</v>
      </c>
      <c r="I1505" s="16">
        <f>VLOOKUP(B:B,'[1]Master Sheet'!$B:$I,8,0)</f>
        <v>0</v>
      </c>
      <c r="J1505" s="2"/>
      <c r="K1505" s="3" t="s">
        <v>3052</v>
      </c>
      <c r="L1505" s="3" t="s">
        <v>3057</v>
      </c>
      <c r="M1505" s="3" t="s">
        <v>3056</v>
      </c>
      <c r="N1505" s="3"/>
      <c r="O1505" s="3"/>
    </row>
    <row r="1506" spans="1:15" s="4" customFormat="1">
      <c r="A1506" s="2">
        <v>1505</v>
      </c>
      <c r="B1506" s="3" t="s">
        <v>1512</v>
      </c>
      <c r="C1506" s="3" t="s">
        <v>1513</v>
      </c>
      <c r="D1506" s="2" t="s">
        <v>17</v>
      </c>
      <c r="E1506" s="2" t="s">
        <v>8</v>
      </c>
      <c r="F1506" s="2"/>
      <c r="G1506" s="2"/>
      <c r="H1506" s="16">
        <f>VLOOKUP(B:B,'[1]Master Sheet'!$B:$H,7,0)</f>
        <v>250</v>
      </c>
      <c r="I1506" s="16">
        <f>VLOOKUP(B:B,'[1]Master Sheet'!$B:$I,8,0)</f>
        <v>1000</v>
      </c>
      <c r="J1506" s="2"/>
      <c r="K1506" s="3" t="s">
        <v>2974</v>
      </c>
      <c r="L1506" s="3" t="s">
        <v>3057</v>
      </c>
      <c r="M1506" s="3" t="s">
        <v>3056</v>
      </c>
      <c r="N1506" s="3"/>
      <c r="O1506" s="3"/>
    </row>
    <row r="1507" spans="1:15" s="4" customFormat="1">
      <c r="A1507" s="2">
        <v>1506</v>
      </c>
      <c r="B1507" s="3" t="s">
        <v>1592</v>
      </c>
      <c r="C1507" s="3" t="s">
        <v>1593</v>
      </c>
      <c r="D1507" s="2" t="s">
        <v>20</v>
      </c>
      <c r="E1507" s="2" t="s">
        <v>8</v>
      </c>
      <c r="F1507" s="2"/>
      <c r="G1507" s="2"/>
      <c r="H1507" s="16">
        <f>VLOOKUP(B:B,'[1]Master Sheet'!$B:$H,7,0)</f>
        <v>1000</v>
      </c>
      <c r="I1507" s="16">
        <f>VLOOKUP(B:B,'[1]Master Sheet'!$B:$I,8,0)</f>
        <v>750</v>
      </c>
      <c r="J1507" s="2"/>
      <c r="K1507" s="3" t="s">
        <v>2972</v>
      </c>
      <c r="L1507" s="3" t="s">
        <v>3057</v>
      </c>
      <c r="M1507" s="3" t="s">
        <v>3056</v>
      </c>
      <c r="N1507" s="3"/>
      <c r="O1507" s="3"/>
    </row>
    <row r="1508" spans="1:15" s="4" customFormat="1">
      <c r="A1508" s="2">
        <v>1507</v>
      </c>
      <c r="B1508" s="3" t="s">
        <v>1612</v>
      </c>
      <c r="C1508" s="3" t="s">
        <v>1613</v>
      </c>
      <c r="D1508" s="2" t="s">
        <v>17</v>
      </c>
      <c r="E1508" s="2" t="s">
        <v>8</v>
      </c>
      <c r="F1508" s="2">
        <v>2100</v>
      </c>
      <c r="G1508" s="2"/>
      <c r="H1508" s="16">
        <f>VLOOKUP(B:B,'[1]Master Sheet'!$B:$H,7,0)</f>
        <v>2500</v>
      </c>
      <c r="I1508" s="16">
        <f>VLOOKUP(B:B,'[1]Master Sheet'!$B:$I,8,0)</f>
        <v>5000</v>
      </c>
      <c r="J1508" s="2"/>
      <c r="K1508" s="3" t="s">
        <v>2972</v>
      </c>
      <c r="L1508" s="3" t="s">
        <v>3057</v>
      </c>
      <c r="M1508" s="3" t="s">
        <v>3056</v>
      </c>
      <c r="N1508" s="3"/>
      <c r="O1508" s="3"/>
    </row>
    <row r="1509" spans="1:15" s="4" customFormat="1">
      <c r="A1509" s="2">
        <v>1508</v>
      </c>
      <c r="B1509" s="3" t="s">
        <v>1644</v>
      </c>
      <c r="C1509" s="3" t="s">
        <v>1645</v>
      </c>
      <c r="D1509" s="2" t="s">
        <v>17</v>
      </c>
      <c r="E1509" s="2" t="s">
        <v>8</v>
      </c>
      <c r="F1509" s="2"/>
      <c r="G1509" s="2"/>
      <c r="H1509" s="16">
        <f>VLOOKUP(B:B,'[1]Master Sheet'!$B:$H,7,0)</f>
        <v>1000</v>
      </c>
      <c r="I1509" s="16">
        <f>VLOOKUP(B:B,'[1]Master Sheet'!$B:$I,8,0)</f>
        <v>0</v>
      </c>
      <c r="J1509" s="2"/>
      <c r="K1509" s="3" t="s">
        <v>2972</v>
      </c>
      <c r="L1509" s="3" t="s">
        <v>3057</v>
      </c>
      <c r="M1509" s="3" t="s">
        <v>3056</v>
      </c>
      <c r="N1509" s="3"/>
      <c r="O1509" s="3"/>
    </row>
    <row r="1510" spans="1:15" s="4" customFormat="1">
      <c r="A1510" s="2">
        <v>1509</v>
      </c>
      <c r="B1510" s="3" t="s">
        <v>1646</v>
      </c>
      <c r="C1510" s="3" t="s">
        <v>1647</v>
      </c>
      <c r="D1510" s="2" t="s">
        <v>17</v>
      </c>
      <c r="E1510" s="2" t="s">
        <v>8</v>
      </c>
      <c r="F1510" s="2"/>
      <c r="G1510" s="2"/>
      <c r="H1510" s="16">
        <f>VLOOKUP(B:B,'[1]Master Sheet'!$B:$H,7,0)</f>
        <v>1500</v>
      </c>
      <c r="I1510" s="16">
        <f>VLOOKUP(B:B,'[1]Master Sheet'!$B:$I,8,0)</f>
        <v>1600</v>
      </c>
      <c r="J1510" s="2"/>
      <c r="K1510" s="3" t="s">
        <v>2972</v>
      </c>
      <c r="L1510" s="3" t="s">
        <v>3057</v>
      </c>
      <c r="M1510" s="3" t="s">
        <v>3056</v>
      </c>
      <c r="N1510" s="3"/>
      <c r="O1510" s="3"/>
    </row>
    <row r="1511" spans="1:15" s="4" customFormat="1">
      <c r="A1511" s="2">
        <v>1510</v>
      </c>
      <c r="B1511" s="3" t="s">
        <v>1718</v>
      </c>
      <c r="C1511" s="3" t="s">
        <v>1719</v>
      </c>
      <c r="D1511" s="2" t="s">
        <v>17</v>
      </c>
      <c r="E1511" s="2" t="s">
        <v>8</v>
      </c>
      <c r="F1511" s="2"/>
      <c r="G1511" s="2"/>
      <c r="H1511" s="16">
        <f>VLOOKUP(B:B,'[1]Master Sheet'!$B:$H,7,0)</f>
        <v>250</v>
      </c>
      <c r="I1511" s="16">
        <f>VLOOKUP(B:B,'[1]Master Sheet'!$B:$I,8,0)</f>
        <v>0</v>
      </c>
      <c r="J1511" s="2"/>
      <c r="K1511" s="3" t="s">
        <v>2972</v>
      </c>
      <c r="L1511" s="3" t="s">
        <v>3060</v>
      </c>
      <c r="M1511" s="3" t="s">
        <v>3058</v>
      </c>
      <c r="N1511" s="3"/>
      <c r="O1511" s="3"/>
    </row>
    <row r="1512" spans="1:15" s="4" customFormat="1">
      <c r="A1512" s="2">
        <v>1511</v>
      </c>
      <c r="B1512" s="3" t="s">
        <v>1726</v>
      </c>
      <c r="C1512" s="3" t="s">
        <v>1727</v>
      </c>
      <c r="D1512" s="2" t="s">
        <v>17</v>
      </c>
      <c r="E1512" s="2" t="s">
        <v>8</v>
      </c>
      <c r="F1512" s="2"/>
      <c r="G1512" s="2"/>
      <c r="H1512" s="16">
        <f>VLOOKUP(B:B,'[1]Master Sheet'!$B:$H,7,0)</f>
        <v>450</v>
      </c>
      <c r="I1512" s="16">
        <f>VLOOKUP(B:B,'[1]Master Sheet'!$B:$I,8,0)</f>
        <v>1000</v>
      </c>
      <c r="J1512" s="2"/>
      <c r="K1512" s="3" t="s">
        <v>3006</v>
      </c>
      <c r="L1512" s="3" t="s">
        <v>3060</v>
      </c>
      <c r="M1512" s="3" t="s">
        <v>3058</v>
      </c>
      <c r="N1512" s="3"/>
      <c r="O1512" s="3"/>
    </row>
    <row r="1513" spans="1:15" s="4" customFormat="1">
      <c r="A1513" s="2">
        <v>1512</v>
      </c>
      <c r="B1513" s="3" t="s">
        <v>1730</v>
      </c>
      <c r="C1513" s="3" t="s">
        <v>1731</v>
      </c>
      <c r="D1513" s="2" t="s">
        <v>17</v>
      </c>
      <c r="E1513" s="2" t="s">
        <v>8</v>
      </c>
      <c r="F1513" s="2"/>
      <c r="G1513" s="2"/>
      <c r="H1513" s="16">
        <f>VLOOKUP(B:B,'[1]Master Sheet'!$B:$H,7,0)</f>
        <v>2000</v>
      </c>
      <c r="I1513" s="16">
        <f>VLOOKUP(B:B,'[1]Master Sheet'!$B:$I,8,0)</f>
        <v>3000</v>
      </c>
      <c r="J1513" s="2"/>
      <c r="K1513" s="3" t="s">
        <v>3006</v>
      </c>
      <c r="L1513" s="3" t="s">
        <v>3060</v>
      </c>
      <c r="M1513" s="3" t="s">
        <v>3061</v>
      </c>
      <c r="N1513" s="3"/>
      <c r="O1513" s="3"/>
    </row>
    <row r="1514" spans="1:15" s="4" customFormat="1">
      <c r="A1514" s="2">
        <v>1513</v>
      </c>
      <c r="B1514" s="3" t="s">
        <v>1732</v>
      </c>
      <c r="C1514" s="3" t="s">
        <v>1733</v>
      </c>
      <c r="D1514" s="2" t="s">
        <v>17</v>
      </c>
      <c r="E1514" s="2" t="s">
        <v>8</v>
      </c>
      <c r="F1514" s="2">
        <v>735</v>
      </c>
      <c r="G1514" s="2"/>
      <c r="H1514" s="16">
        <f>VLOOKUP(B:B,'[1]Master Sheet'!$B:$H,7,0)</f>
        <v>2500</v>
      </c>
      <c r="I1514" s="16">
        <f>VLOOKUP(B:B,'[1]Master Sheet'!$B:$I,8,0)</f>
        <v>12000</v>
      </c>
      <c r="J1514" s="2"/>
      <c r="K1514" s="3" t="s">
        <v>3006</v>
      </c>
      <c r="L1514" s="3" t="s">
        <v>3060</v>
      </c>
      <c r="M1514" s="3" t="s">
        <v>3061</v>
      </c>
      <c r="N1514" s="3"/>
      <c r="O1514" s="3"/>
    </row>
    <row r="1515" spans="1:15" s="4" customFormat="1">
      <c r="A1515" s="2">
        <v>1514</v>
      </c>
      <c r="B1515" s="3" t="s">
        <v>1694</v>
      </c>
      <c r="C1515" s="3" t="s">
        <v>1695</v>
      </c>
      <c r="D1515" s="2" t="s">
        <v>17</v>
      </c>
      <c r="E1515" s="2" t="s">
        <v>8</v>
      </c>
      <c r="F1515" s="2"/>
      <c r="G1515" s="2"/>
      <c r="H1515" s="16">
        <f>VLOOKUP(B:B,'[1]Master Sheet'!$B:$H,7,0)</f>
        <v>500</v>
      </c>
      <c r="I1515" s="16">
        <f>VLOOKUP(B:B,'[1]Master Sheet'!$B:$I,8,0)</f>
        <v>0</v>
      </c>
      <c r="J1515" s="2"/>
      <c r="K1515" s="3" t="s">
        <v>2972</v>
      </c>
      <c r="L1515" s="3" t="s">
        <v>3057</v>
      </c>
      <c r="M1515" s="3" t="s">
        <v>3056</v>
      </c>
      <c r="N1515" s="3"/>
      <c r="O1515" s="3"/>
    </row>
    <row r="1516" spans="1:15" s="4" customFormat="1">
      <c r="A1516" s="2">
        <v>1515</v>
      </c>
      <c r="B1516" s="3" t="s">
        <v>1756</v>
      </c>
      <c r="C1516" s="3" t="s">
        <v>1757</v>
      </c>
      <c r="D1516" s="2" t="s">
        <v>20</v>
      </c>
      <c r="E1516" s="2" t="s">
        <v>8</v>
      </c>
      <c r="F1516" s="2"/>
      <c r="G1516" s="2"/>
      <c r="H1516" s="16">
        <f>VLOOKUP(B:B,'[1]Master Sheet'!$B:$H,7,0)</f>
        <v>200</v>
      </c>
      <c r="I1516" s="16">
        <f>VLOOKUP(B:B,'[1]Master Sheet'!$B:$I,8,0)</f>
        <v>0</v>
      </c>
      <c r="J1516" s="2"/>
      <c r="K1516" s="3" t="s">
        <v>2991</v>
      </c>
      <c r="L1516" s="3" t="s">
        <v>3057</v>
      </c>
      <c r="M1516" s="3" t="s">
        <v>3056</v>
      </c>
      <c r="N1516" s="3"/>
      <c r="O1516" s="3"/>
    </row>
    <row r="1517" spans="1:15" s="4" customFormat="1">
      <c r="A1517" s="2">
        <v>1516</v>
      </c>
      <c r="B1517" s="3" t="s">
        <v>1766</v>
      </c>
      <c r="C1517" s="3" t="s">
        <v>1767</v>
      </c>
      <c r="D1517" s="2" t="s">
        <v>289</v>
      </c>
      <c r="E1517" s="2" t="s">
        <v>8</v>
      </c>
      <c r="F1517" s="2"/>
      <c r="G1517" s="2"/>
      <c r="H1517" s="16">
        <f>VLOOKUP(B:B,'[1]Master Sheet'!$B:$H,7,0)</f>
        <v>210</v>
      </c>
      <c r="I1517" s="16">
        <f>VLOOKUP(B:B,'[1]Master Sheet'!$B:$I,8,0)</f>
        <v>0</v>
      </c>
      <c r="J1517" s="2"/>
      <c r="K1517" s="3" t="s">
        <v>2963</v>
      </c>
      <c r="L1517" s="3" t="s">
        <v>3057</v>
      </c>
      <c r="M1517" s="3" t="s">
        <v>3056</v>
      </c>
      <c r="N1517" s="3"/>
      <c r="O1517" s="3"/>
    </row>
    <row r="1518" spans="1:15" s="4" customFormat="1">
      <c r="A1518" s="2">
        <v>1517</v>
      </c>
      <c r="B1518" s="3" t="s">
        <v>1820</v>
      </c>
      <c r="C1518" s="3" t="s">
        <v>1821</v>
      </c>
      <c r="D1518" s="2" t="s">
        <v>7</v>
      </c>
      <c r="E1518" s="2" t="s">
        <v>8</v>
      </c>
      <c r="F1518" s="2"/>
      <c r="G1518" s="2"/>
      <c r="H1518" s="16">
        <f>VLOOKUP(B:B,'[1]Master Sheet'!$B:$H,7,0)</f>
        <v>4800</v>
      </c>
      <c r="I1518" s="16">
        <f>VLOOKUP(B:B,'[1]Master Sheet'!$B:$I,8,0)</f>
        <v>4800</v>
      </c>
      <c r="J1518" s="2"/>
      <c r="K1518" s="3" t="s">
        <v>2972</v>
      </c>
      <c r="L1518" s="3" t="s">
        <v>3057</v>
      </c>
      <c r="M1518" s="3" t="s">
        <v>3056</v>
      </c>
      <c r="N1518" s="3"/>
      <c r="O1518" s="3"/>
    </row>
    <row r="1519" spans="1:15" s="4" customFormat="1">
      <c r="A1519" s="2">
        <v>1518</v>
      </c>
      <c r="B1519" s="3" t="s">
        <v>2094</v>
      </c>
      <c r="C1519" s="3" t="s">
        <v>2095</v>
      </c>
      <c r="D1519" s="2" t="s">
        <v>17</v>
      </c>
      <c r="E1519" s="2" t="s">
        <v>8</v>
      </c>
      <c r="F1519" s="2"/>
      <c r="G1519" s="2"/>
      <c r="H1519" s="16">
        <f>VLOOKUP(B:B,'[1]Master Sheet'!$B:$H,7,0)</f>
        <v>200</v>
      </c>
      <c r="I1519" s="16">
        <f>VLOOKUP(B:B,'[1]Master Sheet'!$B:$I,8,0)</f>
        <v>100</v>
      </c>
      <c r="J1519" s="2"/>
      <c r="K1519" s="3" t="s">
        <v>3006</v>
      </c>
      <c r="L1519" s="3" t="s">
        <v>3060</v>
      </c>
      <c r="M1519" s="3" t="s">
        <v>3058</v>
      </c>
      <c r="N1519" s="3"/>
      <c r="O1519" s="3"/>
    </row>
    <row r="1520" spans="1:15" s="4" customFormat="1">
      <c r="A1520" s="2">
        <v>1519</v>
      </c>
      <c r="B1520" s="3" t="s">
        <v>2096</v>
      </c>
      <c r="C1520" s="3" t="s">
        <v>2097</v>
      </c>
      <c r="D1520" s="2" t="s">
        <v>17</v>
      </c>
      <c r="E1520" s="2" t="s">
        <v>8</v>
      </c>
      <c r="F1520" s="2"/>
      <c r="G1520" s="2"/>
      <c r="H1520" s="16">
        <f>VLOOKUP(B:B,'[1]Master Sheet'!$B:$H,7,0)</f>
        <v>100</v>
      </c>
      <c r="I1520" s="16">
        <f>VLOOKUP(B:B,'[1]Master Sheet'!$B:$I,8,0)</f>
        <v>100</v>
      </c>
      <c r="J1520" s="2"/>
      <c r="K1520" s="3" t="s">
        <v>3006</v>
      </c>
      <c r="L1520" s="3" t="s">
        <v>3060</v>
      </c>
      <c r="M1520" s="3" t="s">
        <v>3058</v>
      </c>
      <c r="N1520" s="3"/>
      <c r="O1520" s="3"/>
    </row>
    <row r="1521" spans="1:15" s="4" customFormat="1">
      <c r="A1521" s="2">
        <v>1520</v>
      </c>
      <c r="B1521" s="3" t="s">
        <v>2062</v>
      </c>
      <c r="C1521" s="3" t="s">
        <v>2063</v>
      </c>
      <c r="D1521" s="2" t="s">
        <v>17</v>
      </c>
      <c r="E1521" s="2" t="s">
        <v>8</v>
      </c>
      <c r="F1521" s="2"/>
      <c r="G1521" s="2"/>
      <c r="H1521" s="16">
        <f>VLOOKUP(B:B,'[1]Master Sheet'!$B:$H,7,0)</f>
        <v>125</v>
      </c>
      <c r="I1521" s="16">
        <f>VLOOKUP(B:B,'[1]Master Sheet'!$B:$I,8,0)</f>
        <v>150</v>
      </c>
      <c r="J1521" s="2"/>
      <c r="K1521" s="3" t="s">
        <v>2991</v>
      </c>
      <c r="L1521" s="3" t="s">
        <v>3057</v>
      </c>
      <c r="M1521" s="3" t="s">
        <v>3058</v>
      </c>
      <c r="N1521" s="3"/>
      <c r="O1521" s="3"/>
    </row>
    <row r="1522" spans="1:15" s="4" customFormat="1">
      <c r="A1522" s="2">
        <v>1521</v>
      </c>
      <c r="B1522" s="3" t="s">
        <v>2066</v>
      </c>
      <c r="C1522" s="3" t="s">
        <v>2067</v>
      </c>
      <c r="D1522" s="2" t="s">
        <v>17</v>
      </c>
      <c r="E1522" s="2" t="s">
        <v>8</v>
      </c>
      <c r="F1522" s="2"/>
      <c r="G1522" s="2"/>
      <c r="H1522" s="16">
        <f>VLOOKUP(B:B,'[1]Master Sheet'!$B:$H,7,0)</f>
        <v>500</v>
      </c>
      <c r="I1522" s="16">
        <f>VLOOKUP(B:B,'[1]Master Sheet'!$B:$I,8,0)</f>
        <v>0</v>
      </c>
      <c r="J1522" s="2"/>
      <c r="K1522" s="3" t="s">
        <v>2972</v>
      </c>
      <c r="L1522" s="3" t="s">
        <v>3057</v>
      </c>
      <c r="M1522" s="3" t="s">
        <v>3058</v>
      </c>
      <c r="N1522" s="3"/>
      <c r="O1522" s="3"/>
    </row>
    <row r="1523" spans="1:15" s="4" customFormat="1">
      <c r="A1523" s="2">
        <v>1522</v>
      </c>
      <c r="B1523" s="3" t="s">
        <v>2141</v>
      </c>
      <c r="C1523" s="3" t="s">
        <v>2142</v>
      </c>
      <c r="D1523" s="2" t="s">
        <v>7</v>
      </c>
      <c r="E1523" s="2" t="s">
        <v>8</v>
      </c>
      <c r="F1523" s="2"/>
      <c r="G1523" s="2"/>
      <c r="H1523" s="16">
        <f>VLOOKUP(B:B,'[1]Master Sheet'!$B:$H,7,0)</f>
        <v>1500</v>
      </c>
      <c r="I1523" s="16">
        <f>VLOOKUP(B:B,'[1]Master Sheet'!$B:$I,8,0)</f>
        <v>0</v>
      </c>
      <c r="J1523" s="2"/>
      <c r="K1523" s="3" t="s">
        <v>2965</v>
      </c>
      <c r="L1523" s="3" t="s">
        <v>3055</v>
      </c>
      <c r="M1523" s="3" t="s">
        <v>3056</v>
      </c>
      <c r="N1523" s="3"/>
      <c r="O1523" s="3"/>
    </row>
    <row r="1524" spans="1:15" s="4" customFormat="1">
      <c r="A1524" s="2">
        <v>1523</v>
      </c>
      <c r="B1524" s="3" t="s">
        <v>316</v>
      </c>
      <c r="C1524" s="3" t="s">
        <v>3038</v>
      </c>
      <c r="D1524" s="2" t="s">
        <v>17</v>
      </c>
      <c r="E1524" s="2" t="s">
        <v>8</v>
      </c>
      <c r="F1524" s="2"/>
      <c r="G1524" s="2"/>
      <c r="H1524" s="16">
        <f>VLOOKUP(B:B,'[1]Master Sheet'!$B:$H,7,0)</f>
        <v>1000</v>
      </c>
      <c r="I1524" s="16">
        <f>VLOOKUP(B:B,'[1]Master Sheet'!$B:$I,8,0)</f>
        <v>750</v>
      </c>
      <c r="J1524" s="2"/>
      <c r="K1524" s="3" t="s">
        <v>2991</v>
      </c>
      <c r="L1524" s="3" t="s">
        <v>3057</v>
      </c>
      <c r="M1524" s="3" t="s">
        <v>3056</v>
      </c>
      <c r="N1524" s="3"/>
      <c r="O1524" s="3"/>
    </row>
    <row r="1525" spans="1:15" s="4" customFormat="1">
      <c r="A1525" s="2">
        <v>1524</v>
      </c>
      <c r="B1525" s="3" t="s">
        <v>2231</v>
      </c>
      <c r="C1525" s="3" t="s">
        <v>2232</v>
      </c>
      <c r="D1525" s="2" t="s">
        <v>7</v>
      </c>
      <c r="E1525" s="2" t="s">
        <v>8</v>
      </c>
      <c r="F1525" s="2"/>
      <c r="G1525" s="2"/>
      <c r="H1525" s="16">
        <f>VLOOKUP(B:B,'[1]Master Sheet'!$B:$H,7,0)</f>
        <v>100</v>
      </c>
      <c r="I1525" s="16">
        <f>VLOOKUP(B:B,'[1]Master Sheet'!$B:$I,8,0)</f>
        <v>100</v>
      </c>
      <c r="J1525" s="2"/>
      <c r="K1525" s="3" t="s">
        <v>2965</v>
      </c>
      <c r="L1525" s="3" t="s">
        <v>3055</v>
      </c>
      <c r="M1525" s="3" t="s">
        <v>3056</v>
      </c>
      <c r="N1525" s="3"/>
      <c r="O1525" s="3"/>
    </row>
    <row r="1526" spans="1:15" s="4" customFormat="1">
      <c r="A1526" s="2">
        <v>1525</v>
      </c>
      <c r="B1526" s="3" t="s">
        <v>2251</v>
      </c>
      <c r="C1526" s="3" t="s">
        <v>2252</v>
      </c>
      <c r="D1526" s="2" t="s">
        <v>7</v>
      </c>
      <c r="E1526" s="2" t="s">
        <v>8</v>
      </c>
      <c r="F1526" s="2"/>
      <c r="G1526" s="2"/>
      <c r="H1526" s="16">
        <f>VLOOKUP(B:B,'[1]Master Sheet'!$B:$H,7,0)</f>
        <v>1000</v>
      </c>
      <c r="I1526" s="16">
        <f>VLOOKUP(B:B,'[1]Master Sheet'!$B:$I,8,0)</f>
        <v>500</v>
      </c>
      <c r="J1526" s="2"/>
      <c r="K1526" s="3" t="s">
        <v>2965</v>
      </c>
      <c r="L1526" s="3" t="s">
        <v>3055</v>
      </c>
      <c r="M1526" s="3" t="s">
        <v>3056</v>
      </c>
      <c r="N1526" s="3"/>
      <c r="O1526" s="3"/>
    </row>
    <row r="1527" spans="1:15" s="4" customFormat="1">
      <c r="A1527" s="2">
        <v>1526</v>
      </c>
      <c r="B1527" s="3" t="s">
        <v>2379</v>
      </c>
      <c r="C1527" s="3" t="s">
        <v>2380</v>
      </c>
      <c r="D1527" s="2" t="s">
        <v>17</v>
      </c>
      <c r="E1527" s="2" t="s">
        <v>8</v>
      </c>
      <c r="F1527" s="2"/>
      <c r="G1527" s="2"/>
      <c r="H1527" s="16">
        <f>VLOOKUP(B:B,'[1]Master Sheet'!$B:$H,7,0)</f>
        <v>100</v>
      </c>
      <c r="I1527" s="16">
        <f>VLOOKUP(B:B,'[1]Master Sheet'!$B:$I,8,0)</f>
        <v>50</v>
      </c>
      <c r="J1527" s="2"/>
      <c r="K1527" s="3" t="s">
        <v>2972</v>
      </c>
      <c r="L1527" s="3" t="s">
        <v>3057</v>
      </c>
      <c r="M1527" s="3" t="s">
        <v>3056</v>
      </c>
      <c r="N1527" s="3"/>
      <c r="O1527" s="3"/>
    </row>
    <row r="1528" spans="1:15" s="4" customFormat="1">
      <c r="A1528" s="2">
        <v>1527</v>
      </c>
      <c r="B1528" s="3" t="s">
        <v>2381</v>
      </c>
      <c r="C1528" s="3" t="s">
        <v>2382</v>
      </c>
      <c r="D1528" s="2" t="s">
        <v>17</v>
      </c>
      <c r="E1528" s="2" t="s">
        <v>8</v>
      </c>
      <c r="F1528" s="2"/>
      <c r="G1528" s="2"/>
      <c r="H1528" s="16">
        <f>VLOOKUP(B:B,'[1]Master Sheet'!$B:$H,7,0)</f>
        <v>100</v>
      </c>
      <c r="I1528" s="16">
        <f>VLOOKUP(B:B,'[1]Master Sheet'!$B:$I,8,0)</f>
        <v>0</v>
      </c>
      <c r="J1528" s="2"/>
      <c r="K1528" s="3" t="s">
        <v>2972</v>
      </c>
      <c r="L1528" s="3" t="s">
        <v>3057</v>
      </c>
      <c r="M1528" s="3" t="s">
        <v>3056</v>
      </c>
      <c r="N1528" s="3"/>
      <c r="O1528" s="3"/>
    </row>
    <row r="1529" spans="1:15" s="4" customFormat="1">
      <c r="A1529" s="2">
        <v>1528</v>
      </c>
      <c r="B1529" s="3" t="s">
        <v>2478</v>
      </c>
      <c r="C1529" s="3" t="s">
        <v>2479</v>
      </c>
      <c r="D1529" s="2" t="s">
        <v>7</v>
      </c>
      <c r="E1529" s="2" t="s">
        <v>8</v>
      </c>
      <c r="F1529" s="2"/>
      <c r="G1529" s="2"/>
      <c r="H1529" s="16">
        <f>VLOOKUP(B:B,'[1]Master Sheet'!$B:$H,7,0)</f>
        <v>1500</v>
      </c>
      <c r="I1529" s="16">
        <v>1500</v>
      </c>
      <c r="J1529" s="2"/>
      <c r="K1529" s="3" t="s">
        <v>2965</v>
      </c>
      <c r="L1529" s="3" t="s">
        <v>3055</v>
      </c>
      <c r="M1529" s="3" t="s">
        <v>3056</v>
      </c>
      <c r="N1529" s="3"/>
      <c r="O1529" s="3"/>
    </row>
    <row r="1530" spans="1:15" s="4" customFormat="1">
      <c r="A1530" s="2">
        <v>1529</v>
      </c>
      <c r="B1530" s="3" t="s">
        <v>2455</v>
      </c>
      <c r="C1530" s="3" t="s">
        <v>2456</v>
      </c>
      <c r="D1530" s="2" t="s">
        <v>17</v>
      </c>
      <c r="E1530" s="2" t="s">
        <v>8</v>
      </c>
      <c r="F1530" s="2"/>
      <c r="G1530" s="2"/>
      <c r="H1530" s="16">
        <f>VLOOKUP(B:B,'[1]Master Sheet'!$B:$H,7,0)</f>
        <v>500</v>
      </c>
      <c r="I1530" s="16">
        <f>VLOOKUP(B:B,'[1]Master Sheet'!$B:$I,8,0)</f>
        <v>0</v>
      </c>
      <c r="J1530" s="2"/>
      <c r="K1530" s="3" t="s">
        <v>2972</v>
      </c>
      <c r="L1530" s="3" t="s">
        <v>3057</v>
      </c>
      <c r="M1530" s="3" t="s">
        <v>3056</v>
      </c>
      <c r="N1530" s="3"/>
      <c r="O1530" s="3"/>
    </row>
    <row r="1531" spans="1:15" s="4" customFormat="1">
      <c r="A1531" s="2">
        <v>1530</v>
      </c>
      <c r="B1531" s="3" t="s">
        <v>2573</v>
      </c>
      <c r="C1531" s="3" t="s">
        <v>2574</v>
      </c>
      <c r="D1531" s="2" t="s">
        <v>7</v>
      </c>
      <c r="E1531" s="2" t="s">
        <v>8</v>
      </c>
      <c r="F1531" s="2"/>
      <c r="G1531" s="2"/>
      <c r="H1531" s="16">
        <f>VLOOKUP(B:B,'[1]Master Sheet'!$B:$H,7,0)</f>
        <v>3500</v>
      </c>
      <c r="I1531" s="16">
        <f>VLOOKUP(B:B,'[1]Master Sheet'!$B:$I,8,0)</f>
        <v>15000</v>
      </c>
      <c r="J1531" s="2"/>
      <c r="K1531" s="3" t="s">
        <v>2965</v>
      </c>
      <c r="L1531" s="3" t="s">
        <v>3055</v>
      </c>
      <c r="M1531" s="3" t="s">
        <v>3056</v>
      </c>
      <c r="N1531" s="3"/>
      <c r="O1531" s="3"/>
    </row>
    <row r="1532" spans="1:15" s="4" customFormat="1">
      <c r="A1532" s="2">
        <v>1531</v>
      </c>
      <c r="B1532" s="3" t="s">
        <v>2583</v>
      </c>
      <c r="C1532" s="3" t="s">
        <v>2584</v>
      </c>
      <c r="D1532" s="2" t="s">
        <v>20</v>
      </c>
      <c r="E1532" s="2" t="s">
        <v>8</v>
      </c>
      <c r="F1532" s="2"/>
      <c r="G1532" s="2"/>
      <c r="H1532" s="16">
        <f>VLOOKUP(B:B,'[1]Master Sheet'!$B:$H,7,0)</f>
        <v>12500</v>
      </c>
      <c r="I1532" s="16">
        <f>VLOOKUP(B:B,'[1]Master Sheet'!$B:$I,8,0)</f>
        <v>16000</v>
      </c>
      <c r="J1532" s="2"/>
      <c r="K1532" s="3" t="s">
        <v>3000</v>
      </c>
      <c r="L1532" s="3" t="s">
        <v>3059</v>
      </c>
      <c r="M1532" s="3" t="s">
        <v>3056</v>
      </c>
      <c r="N1532" s="3"/>
      <c r="O1532" s="3"/>
    </row>
    <row r="1533" spans="1:15" s="4" customFormat="1">
      <c r="A1533" s="2">
        <v>1532</v>
      </c>
      <c r="B1533" s="3" t="s">
        <v>2553</v>
      </c>
      <c r="C1533" s="3" t="s">
        <v>2554</v>
      </c>
      <c r="D1533" s="2" t="s">
        <v>17</v>
      </c>
      <c r="E1533" s="2" t="s">
        <v>8</v>
      </c>
      <c r="F1533" s="2"/>
      <c r="G1533" s="2"/>
      <c r="H1533" s="16">
        <f>VLOOKUP(B:B,'[1]Master Sheet'!$B:$H,7,0)</f>
        <v>2500</v>
      </c>
      <c r="I1533" s="16">
        <f>VLOOKUP(B:B,'[1]Master Sheet'!$B:$I,8,0)</f>
        <v>0</v>
      </c>
      <c r="J1533" s="2"/>
      <c r="K1533" s="3" t="s">
        <v>2991</v>
      </c>
      <c r="L1533" s="3" t="s">
        <v>3057</v>
      </c>
      <c r="M1533" s="3" t="s">
        <v>3056</v>
      </c>
      <c r="N1533" s="3"/>
      <c r="O1533" s="3"/>
    </row>
    <row r="1534" spans="1:15" s="4" customFormat="1">
      <c r="A1534" s="2">
        <v>1533</v>
      </c>
      <c r="B1534" s="3" t="s">
        <v>2767</v>
      </c>
      <c r="C1534" s="3" t="s">
        <v>2768</v>
      </c>
      <c r="D1534" s="2" t="s">
        <v>7</v>
      </c>
      <c r="E1534" s="2" t="s">
        <v>8</v>
      </c>
      <c r="F1534" s="2"/>
      <c r="G1534" s="2"/>
      <c r="H1534" s="16">
        <f>VLOOKUP(B:B,'[1]Master Sheet'!$B:$H,7,0)</f>
        <v>500</v>
      </c>
      <c r="I1534" s="16">
        <f>VLOOKUP(B:B,'[1]Master Sheet'!$B:$I,8,0)</f>
        <v>0</v>
      </c>
      <c r="J1534" s="2"/>
      <c r="K1534" s="3" t="s">
        <v>2965</v>
      </c>
      <c r="L1534" s="3" t="s">
        <v>3055</v>
      </c>
      <c r="M1534" s="3" t="s">
        <v>3056</v>
      </c>
      <c r="N1534" s="3"/>
      <c r="O1534" s="3"/>
    </row>
    <row r="1535" spans="1:15" s="4" customFormat="1">
      <c r="A1535" s="2">
        <v>1534</v>
      </c>
      <c r="B1535" s="3" t="s">
        <v>2775</v>
      </c>
      <c r="C1535" s="3" t="s">
        <v>2776</v>
      </c>
      <c r="D1535" s="2" t="s">
        <v>7</v>
      </c>
      <c r="E1535" s="2" t="s">
        <v>8</v>
      </c>
      <c r="F1535" s="2"/>
      <c r="G1535" s="2"/>
      <c r="H1535" s="16">
        <f>VLOOKUP(B:B,'[1]Master Sheet'!$B:$H,7,0)</f>
        <v>2500</v>
      </c>
      <c r="I1535" s="16">
        <f>VLOOKUP(B:B,'[1]Master Sheet'!$B:$I,8,0)</f>
        <v>5000</v>
      </c>
      <c r="J1535" s="2"/>
      <c r="K1535" s="3" t="s">
        <v>2965</v>
      </c>
      <c r="L1535" s="3" t="s">
        <v>3055</v>
      </c>
      <c r="M1535" s="3" t="s">
        <v>3056</v>
      </c>
      <c r="N1535" s="3"/>
      <c r="O1535" s="3"/>
    </row>
    <row r="1536" spans="1:15" s="4" customFormat="1">
      <c r="A1536" s="2">
        <v>1535</v>
      </c>
      <c r="B1536" s="3" t="s">
        <v>2777</v>
      </c>
      <c r="C1536" s="3" t="s">
        <v>2778</v>
      </c>
      <c r="D1536" s="2" t="s">
        <v>7</v>
      </c>
      <c r="E1536" s="2" t="s">
        <v>8</v>
      </c>
      <c r="F1536" s="2"/>
      <c r="G1536" s="2"/>
      <c r="H1536" s="16">
        <f>VLOOKUP(B:B,'[1]Master Sheet'!$B:$H,7,0)</f>
        <v>2500</v>
      </c>
      <c r="I1536" s="16">
        <f>VLOOKUP(B:B,'[1]Master Sheet'!$B:$I,8,0)</f>
        <v>5000</v>
      </c>
      <c r="J1536" s="2"/>
      <c r="K1536" s="3" t="s">
        <v>2965</v>
      </c>
      <c r="L1536" s="3" t="s">
        <v>3055</v>
      </c>
      <c r="M1536" s="3" t="s">
        <v>3056</v>
      </c>
      <c r="N1536" s="3"/>
      <c r="O1536" s="3"/>
    </row>
    <row r="1537" spans="1:15" s="4" customFormat="1">
      <c r="A1537" s="2">
        <v>1536</v>
      </c>
      <c r="B1537" s="3" t="s">
        <v>2779</v>
      </c>
      <c r="C1537" s="3" t="s">
        <v>2780</v>
      </c>
      <c r="D1537" s="2" t="s">
        <v>7</v>
      </c>
      <c r="E1537" s="2" t="s">
        <v>8</v>
      </c>
      <c r="F1537" s="2"/>
      <c r="G1537" s="2"/>
      <c r="H1537" s="16">
        <f>VLOOKUP(B:B,'[1]Master Sheet'!$B:$H,7,0)</f>
        <v>4000</v>
      </c>
      <c r="I1537" s="16">
        <f>VLOOKUP(B:B,'[1]Master Sheet'!$B:$I,8,0)</f>
        <v>8000</v>
      </c>
      <c r="J1537" s="2"/>
      <c r="K1537" s="3" t="s">
        <v>2965</v>
      </c>
      <c r="L1537" s="3" t="s">
        <v>3055</v>
      </c>
      <c r="M1537" s="3" t="s">
        <v>3056</v>
      </c>
      <c r="N1537" s="3"/>
      <c r="O1537" s="3"/>
    </row>
    <row r="1538" spans="1:15" s="4" customFormat="1">
      <c r="A1538" s="2">
        <v>1537</v>
      </c>
      <c r="B1538" s="3" t="s">
        <v>2781</v>
      </c>
      <c r="C1538" s="3" t="s">
        <v>2782</v>
      </c>
      <c r="D1538" s="2" t="s">
        <v>7</v>
      </c>
      <c r="E1538" s="2" t="s">
        <v>8</v>
      </c>
      <c r="F1538" s="2"/>
      <c r="G1538" s="2"/>
      <c r="H1538" s="16">
        <f>VLOOKUP(B:B,'[1]Master Sheet'!$B:$H,7,0)</f>
        <v>4000</v>
      </c>
      <c r="I1538" s="16">
        <f>VLOOKUP(B:B,'[1]Master Sheet'!$B:$I,8,0)</f>
        <v>5500</v>
      </c>
      <c r="J1538" s="2"/>
      <c r="K1538" s="3" t="s">
        <v>2965</v>
      </c>
      <c r="L1538" s="3" t="s">
        <v>3055</v>
      </c>
      <c r="M1538" s="3" t="s">
        <v>3056</v>
      </c>
      <c r="N1538" s="3"/>
      <c r="O1538" s="3"/>
    </row>
    <row r="1539" spans="1:15" s="4" customFormat="1">
      <c r="A1539" s="2">
        <v>1538</v>
      </c>
      <c r="B1539" s="3" t="s">
        <v>2571</v>
      </c>
      <c r="C1539" s="3" t="s">
        <v>2572</v>
      </c>
      <c r="D1539" s="2" t="s">
        <v>17</v>
      </c>
      <c r="E1539" s="2" t="s">
        <v>8</v>
      </c>
      <c r="F1539" s="2"/>
      <c r="G1539" s="2"/>
      <c r="H1539" s="16">
        <f>VLOOKUP(B:B,'[1]Master Sheet'!$B:$H,7,0)</f>
        <v>500</v>
      </c>
      <c r="I1539" s="16">
        <f>VLOOKUP(B:B,'[1]Master Sheet'!$B:$I,8,0)</f>
        <v>0</v>
      </c>
      <c r="J1539" s="2"/>
      <c r="K1539" s="3" t="s">
        <v>2972</v>
      </c>
      <c r="L1539" s="3" t="s">
        <v>3057</v>
      </c>
      <c r="M1539" s="3" t="s">
        <v>3058</v>
      </c>
      <c r="N1539" s="3"/>
      <c r="O1539" s="3"/>
    </row>
    <row r="1540" spans="1:15" s="4" customFormat="1">
      <c r="A1540" s="2">
        <v>1543</v>
      </c>
      <c r="B1540" s="3" t="s">
        <v>2905</v>
      </c>
      <c r="C1540" s="3" t="s">
        <v>2906</v>
      </c>
      <c r="D1540" s="2" t="s">
        <v>7</v>
      </c>
      <c r="E1540" s="2" t="s">
        <v>8</v>
      </c>
      <c r="F1540" s="2"/>
      <c r="G1540" s="2"/>
      <c r="H1540" s="16">
        <f>VLOOKUP(B:B,'[1]Master Sheet'!$B:$H,7,0)</f>
        <v>5000</v>
      </c>
      <c r="I1540" s="16">
        <f>VLOOKUP(B:B,'[1]Master Sheet'!$B:$I,8,0)</f>
        <v>5000</v>
      </c>
      <c r="J1540" s="2"/>
      <c r="K1540" s="3" t="s">
        <v>2965</v>
      </c>
      <c r="L1540" s="3" t="s">
        <v>3055</v>
      </c>
      <c r="M1540" s="3" t="s">
        <v>3056</v>
      </c>
      <c r="N1540" s="3"/>
      <c r="O1540" s="3"/>
    </row>
    <row r="1541" spans="1:15" s="4" customFormat="1">
      <c r="A1541" s="2">
        <v>1544</v>
      </c>
      <c r="B1541" s="3" t="s">
        <v>2853</v>
      </c>
      <c r="C1541" s="3" t="s">
        <v>2854</v>
      </c>
      <c r="D1541" s="2" t="s">
        <v>17</v>
      </c>
      <c r="E1541" s="2" t="s">
        <v>8</v>
      </c>
      <c r="F1541" s="2"/>
      <c r="G1541" s="2"/>
      <c r="H1541" s="16">
        <f>VLOOKUP(B:B,'[1]Master Sheet'!$B:$H,7,0)</f>
        <v>700</v>
      </c>
      <c r="I1541" s="16">
        <f>VLOOKUP(B:B,'[1]Master Sheet'!$B:$I,8,0)</f>
        <v>0</v>
      </c>
      <c r="J1541" s="2"/>
      <c r="K1541" s="3" t="s">
        <v>3012</v>
      </c>
      <c r="L1541" s="3" t="s">
        <v>3057</v>
      </c>
      <c r="M1541" s="3" t="s">
        <v>3056</v>
      </c>
      <c r="N1541" s="3"/>
      <c r="O1541" s="3"/>
    </row>
    <row r="1542" spans="1:15" s="4" customFormat="1">
      <c r="A1542" s="2">
        <v>1545</v>
      </c>
      <c r="B1542" s="3" t="s">
        <v>2902</v>
      </c>
      <c r="C1542" s="3" t="s">
        <v>3275</v>
      </c>
      <c r="D1542" s="2" t="s">
        <v>17</v>
      </c>
      <c r="E1542" s="2" t="s">
        <v>8</v>
      </c>
      <c r="F1542" s="2"/>
      <c r="G1542" s="2"/>
      <c r="H1542" s="16">
        <f>VLOOKUP(B:B,'[1]Master Sheet'!$B:$H,7,0)</f>
        <v>12000</v>
      </c>
      <c r="I1542" s="16">
        <f>VLOOKUP(B:B,'[1]Master Sheet'!$B:$I,8,0)</f>
        <v>0</v>
      </c>
      <c r="J1542" s="2"/>
      <c r="K1542" s="3" t="s">
        <v>2972</v>
      </c>
      <c r="L1542" s="3" t="s">
        <v>3055</v>
      </c>
      <c r="M1542" s="3" t="s">
        <v>3056</v>
      </c>
      <c r="N1542" s="3"/>
      <c r="O1542" s="3"/>
    </row>
    <row r="1543" spans="1:15" s="4" customFormat="1">
      <c r="A1543" s="2">
        <v>1546</v>
      </c>
      <c r="B1543" s="3" t="s">
        <v>3276</v>
      </c>
      <c r="C1543" s="3" t="s">
        <v>3277</v>
      </c>
      <c r="D1543" s="2" t="s">
        <v>7</v>
      </c>
      <c r="E1543" s="2" t="s">
        <v>8</v>
      </c>
      <c r="F1543" s="2"/>
      <c r="G1543" s="2"/>
      <c r="H1543" s="16">
        <f>VLOOKUP(B:B,'[1]Master Sheet'!$B:$H,7,0)</f>
        <v>1000</v>
      </c>
      <c r="I1543" s="16">
        <f>VLOOKUP(B:B,'[1]Master Sheet'!$B:$I,8,0)</f>
        <v>0</v>
      </c>
      <c r="J1543" s="2"/>
      <c r="K1543" s="3" t="s">
        <v>2965</v>
      </c>
      <c r="L1543" s="3" t="s">
        <v>3055</v>
      </c>
      <c r="M1543" s="3" t="s">
        <v>3056</v>
      </c>
      <c r="N1543" s="3"/>
      <c r="O1543" s="3"/>
    </row>
    <row r="1544" spans="1:15" s="4" customFormat="1">
      <c r="A1544" s="2">
        <v>1547</v>
      </c>
      <c r="B1544" s="3" t="s">
        <v>3278</v>
      </c>
      <c r="C1544" s="3" t="s">
        <v>3279</v>
      </c>
      <c r="D1544" s="2" t="s">
        <v>7</v>
      </c>
      <c r="E1544" s="2" t="s">
        <v>8</v>
      </c>
      <c r="F1544" s="2"/>
      <c r="G1544" s="2"/>
      <c r="H1544" s="16">
        <f>VLOOKUP(B:B,'[1]Master Sheet'!$B:$H,7,0)</f>
        <v>1000</v>
      </c>
      <c r="I1544" s="16">
        <f>VLOOKUP(B:B,'[1]Master Sheet'!$B:$I,8,0)</f>
        <v>0</v>
      </c>
      <c r="J1544" s="2"/>
      <c r="K1544" s="3" t="s">
        <v>2965</v>
      </c>
      <c r="L1544" s="3" t="s">
        <v>3055</v>
      </c>
      <c r="M1544" s="3" t="s">
        <v>3056</v>
      </c>
      <c r="N1544" s="3"/>
      <c r="O1544" s="3"/>
    </row>
    <row r="1545" spans="1:15" s="4" customFormat="1">
      <c r="A1545" s="2">
        <v>1548</v>
      </c>
      <c r="B1545" s="3" t="s">
        <v>2923</v>
      </c>
      <c r="C1545" s="3" t="s">
        <v>2924</v>
      </c>
      <c r="D1545" s="2" t="s">
        <v>17</v>
      </c>
      <c r="E1545" s="2" t="s">
        <v>8</v>
      </c>
      <c r="F1545" s="2"/>
      <c r="G1545" s="2"/>
      <c r="H1545" s="16">
        <f>VLOOKUP(B:B,'[1]Master Sheet'!$B:$H,7,0)</f>
        <v>150</v>
      </c>
      <c r="I1545" s="16">
        <f>VLOOKUP(B:B,'[1]Master Sheet'!$B:$I,8,0)</f>
        <v>0</v>
      </c>
      <c r="J1545" s="2"/>
      <c r="K1545" s="3" t="s">
        <v>2991</v>
      </c>
      <c r="L1545" s="3" t="s">
        <v>3060</v>
      </c>
      <c r="M1545" s="3" t="s">
        <v>3058</v>
      </c>
      <c r="N1545" s="3"/>
      <c r="O1545" s="3"/>
    </row>
    <row r="1546" spans="1:15" s="4" customFormat="1">
      <c r="A1546" s="2">
        <v>1549</v>
      </c>
      <c r="B1546" s="3" t="s">
        <v>3280</v>
      </c>
      <c r="C1546" s="3" t="s">
        <v>3281</v>
      </c>
      <c r="D1546" s="2" t="s">
        <v>17</v>
      </c>
      <c r="E1546" s="2" t="s">
        <v>8</v>
      </c>
      <c r="F1546" s="2"/>
      <c r="G1546" s="2"/>
      <c r="H1546" s="16">
        <f>VLOOKUP(B:B,'[1]Master Sheet'!$B:$H,7,0)</f>
        <v>15000</v>
      </c>
      <c r="I1546" s="16">
        <f>VLOOKUP(B:B,'[1]Master Sheet'!$B:$I,8,0)</f>
        <v>10000</v>
      </c>
      <c r="J1546" s="2"/>
      <c r="K1546" s="3" t="s">
        <v>2972</v>
      </c>
      <c r="L1546" s="3" t="s">
        <v>3057</v>
      </c>
      <c r="M1546" s="3" t="s">
        <v>3056</v>
      </c>
      <c r="N1546" s="3"/>
      <c r="O1546" s="3"/>
    </row>
    <row r="1547" spans="1:15" s="4" customFormat="1">
      <c r="A1547" s="2">
        <v>1550</v>
      </c>
      <c r="B1547" s="3" t="s">
        <v>3282</v>
      </c>
      <c r="C1547" s="3" t="s">
        <v>3283</v>
      </c>
      <c r="D1547" s="2" t="s">
        <v>7</v>
      </c>
      <c r="E1547" s="2" t="s">
        <v>8</v>
      </c>
      <c r="F1547" s="2"/>
      <c r="G1547" s="2"/>
      <c r="H1547" s="16">
        <f>VLOOKUP(B:B,'[1]Master Sheet'!$B:$H,7,0)</f>
        <v>7200</v>
      </c>
      <c r="I1547" s="16">
        <f>VLOOKUP(B:B,'[1]Master Sheet'!$B:$I,8,0)</f>
        <v>10000</v>
      </c>
      <c r="J1547" s="2"/>
      <c r="K1547" s="3" t="s">
        <v>2972</v>
      </c>
      <c r="L1547" s="3" t="s">
        <v>3057</v>
      </c>
      <c r="M1547" s="3" t="s">
        <v>3056</v>
      </c>
      <c r="N1547" s="3"/>
      <c r="O1547" s="3"/>
    </row>
    <row r="1548" spans="1:15" s="4" customFormat="1">
      <c r="A1548" s="2">
        <v>1551</v>
      </c>
      <c r="B1548" s="3" t="s">
        <v>3284</v>
      </c>
      <c r="C1548" s="3" t="s">
        <v>3285</v>
      </c>
      <c r="D1548" s="2" t="s">
        <v>7</v>
      </c>
      <c r="E1548" s="2" t="s">
        <v>8</v>
      </c>
      <c r="F1548" s="2"/>
      <c r="G1548" s="2"/>
      <c r="H1548" s="16">
        <f>VLOOKUP(B:B,'[1]Master Sheet'!$B:$H,7,0)</f>
        <v>7200</v>
      </c>
      <c r="I1548" s="16">
        <f>VLOOKUP(B:B,'[1]Master Sheet'!$B:$I,8,0)</f>
        <v>10000</v>
      </c>
      <c r="J1548" s="2"/>
      <c r="K1548" s="3" t="s">
        <v>2972</v>
      </c>
      <c r="L1548" s="3" t="s">
        <v>3057</v>
      </c>
      <c r="M1548" s="3" t="s">
        <v>3056</v>
      </c>
      <c r="N1548" s="3"/>
      <c r="O1548" s="3"/>
    </row>
    <row r="1549" spans="1:15" s="4" customFormat="1">
      <c r="A1549" s="2">
        <v>1552</v>
      </c>
      <c r="B1549" s="3" t="s">
        <v>3286</v>
      </c>
      <c r="C1549" s="3" t="s">
        <v>3287</v>
      </c>
      <c r="D1549" s="2" t="s">
        <v>7</v>
      </c>
      <c r="E1549" s="2" t="s">
        <v>8</v>
      </c>
      <c r="F1549" s="2"/>
      <c r="G1549" s="2"/>
      <c r="H1549" s="16">
        <f>VLOOKUP(B:B,'[1]Master Sheet'!$B:$H,7,0)</f>
        <v>7200</v>
      </c>
      <c r="I1549" s="16">
        <f>VLOOKUP(B:B,'[1]Master Sheet'!$B:$I,8,0)</f>
        <v>10000</v>
      </c>
      <c r="J1549" s="2"/>
      <c r="K1549" s="3" t="s">
        <v>2972</v>
      </c>
      <c r="L1549" s="3" t="s">
        <v>3057</v>
      </c>
      <c r="M1549" s="3" t="s">
        <v>3056</v>
      </c>
      <c r="N1549" s="3"/>
      <c r="O1549" s="3"/>
    </row>
    <row r="1550" spans="1:15" s="4" customFormat="1">
      <c r="A1550" s="2">
        <v>1553</v>
      </c>
      <c r="B1550" s="3" t="s">
        <v>3288</v>
      </c>
      <c r="C1550" s="3" t="s">
        <v>3289</v>
      </c>
      <c r="D1550" s="2" t="s">
        <v>7</v>
      </c>
      <c r="E1550" s="2" t="s">
        <v>8</v>
      </c>
      <c r="F1550" s="2"/>
      <c r="G1550" s="2"/>
      <c r="H1550" s="16">
        <f>VLOOKUP(B:B,'[1]Master Sheet'!$B:$H,7,0)</f>
        <v>7200</v>
      </c>
      <c r="I1550" s="16">
        <f>VLOOKUP(B:B,'[1]Master Sheet'!$B:$I,8,0)</f>
        <v>10000</v>
      </c>
      <c r="J1550" s="2"/>
      <c r="K1550" s="3" t="s">
        <v>2972</v>
      </c>
      <c r="L1550" s="3" t="s">
        <v>3057</v>
      </c>
      <c r="M1550" s="3" t="s">
        <v>3056</v>
      </c>
      <c r="N1550" s="3"/>
      <c r="O1550" s="3"/>
    </row>
    <row r="1551" spans="1:15" s="4" customFormat="1">
      <c r="A1551" s="2">
        <v>1554</v>
      </c>
      <c r="B1551" s="3" t="s">
        <v>3290</v>
      </c>
      <c r="C1551" s="3" t="s">
        <v>3291</v>
      </c>
      <c r="D1551" s="2" t="s">
        <v>7</v>
      </c>
      <c r="E1551" s="2" t="s">
        <v>8</v>
      </c>
      <c r="F1551" s="2"/>
      <c r="G1551" s="2"/>
      <c r="H1551" s="16">
        <f>VLOOKUP(B:B,'[1]Master Sheet'!$B:$H,7,0)</f>
        <v>7200</v>
      </c>
      <c r="I1551" s="16">
        <f>VLOOKUP(B:B,'[1]Master Sheet'!$B:$I,8,0)</f>
        <v>10000</v>
      </c>
      <c r="J1551" s="2"/>
      <c r="K1551" s="3" t="s">
        <v>2972</v>
      </c>
      <c r="L1551" s="3" t="s">
        <v>3057</v>
      </c>
      <c r="M1551" s="3" t="s">
        <v>3056</v>
      </c>
      <c r="N1551" s="3"/>
      <c r="O1551" s="3"/>
    </row>
    <row r="1552" spans="1:15" s="4" customFormat="1">
      <c r="A1552" s="2">
        <v>1555</v>
      </c>
      <c r="B1552" s="3" t="s">
        <v>3292</v>
      </c>
      <c r="C1552" s="3" t="s">
        <v>3293</v>
      </c>
      <c r="D1552" s="2" t="s">
        <v>20</v>
      </c>
      <c r="E1552" s="2" t="s">
        <v>8</v>
      </c>
      <c r="F1552" s="2"/>
      <c r="G1552" s="2"/>
      <c r="H1552" s="16">
        <f>VLOOKUP(B:B,'[1]Master Sheet'!$B:$H,7,0)</f>
        <v>600</v>
      </c>
      <c r="I1552" s="16">
        <f>VLOOKUP(B:B,'[1]Master Sheet'!$B:$I,8,0)</f>
        <v>750</v>
      </c>
      <c r="J1552" s="2"/>
      <c r="K1552" s="3" t="s">
        <v>2972</v>
      </c>
      <c r="L1552" s="3" t="s">
        <v>3057</v>
      </c>
      <c r="M1552" s="3" t="s">
        <v>3056</v>
      </c>
      <c r="N1552" s="3"/>
      <c r="O1552" s="3"/>
    </row>
    <row r="1553" spans="1:15" s="4" customFormat="1">
      <c r="A1553" s="2">
        <v>1556</v>
      </c>
      <c r="B1553" s="3" t="s">
        <v>3294</v>
      </c>
      <c r="C1553" s="3" t="s">
        <v>3295</v>
      </c>
      <c r="D1553" s="2" t="s">
        <v>17</v>
      </c>
      <c r="E1553" s="2" t="s">
        <v>8</v>
      </c>
      <c r="F1553" s="2"/>
      <c r="G1553" s="2"/>
      <c r="H1553" s="16">
        <f>VLOOKUP(B:B,'[1]Master Sheet'!$B:$H,7,0)</f>
        <v>12000</v>
      </c>
      <c r="I1553" s="16">
        <f>VLOOKUP(B:B,'[1]Master Sheet'!$B:$I,8,0)</f>
        <v>0</v>
      </c>
      <c r="J1553" s="2"/>
      <c r="K1553" s="3" t="s">
        <v>2972</v>
      </c>
      <c r="L1553" s="3" t="s">
        <v>3055</v>
      </c>
      <c r="M1553" s="3" t="s">
        <v>3056</v>
      </c>
      <c r="N1553" s="3"/>
      <c r="O1553" s="3"/>
    </row>
    <row r="1554" spans="1:15" s="4" customFormat="1">
      <c r="A1554" s="2">
        <v>1557</v>
      </c>
      <c r="B1554" s="3" t="s">
        <v>3296</v>
      </c>
      <c r="C1554" s="3" t="s">
        <v>3297</v>
      </c>
      <c r="D1554" s="2" t="s">
        <v>17</v>
      </c>
      <c r="E1554" s="2" t="s">
        <v>8</v>
      </c>
      <c r="F1554" s="2"/>
      <c r="G1554" s="2"/>
      <c r="H1554" s="16">
        <f>VLOOKUP(B:B,'[1]Master Sheet'!$B:$H,7,0)</f>
        <v>500</v>
      </c>
      <c r="I1554" s="16">
        <f>VLOOKUP(B:B,'[1]Master Sheet'!$B:$I,8,0)</f>
        <v>100</v>
      </c>
      <c r="J1554" s="2"/>
      <c r="K1554" s="3" t="s">
        <v>2972</v>
      </c>
      <c r="L1554" s="3" t="s">
        <v>3055</v>
      </c>
      <c r="M1554" s="3" t="s">
        <v>3056</v>
      </c>
      <c r="N1554" s="3"/>
      <c r="O1554" s="3"/>
    </row>
    <row r="1555" spans="1:15" s="4" customFormat="1">
      <c r="A1555" s="2">
        <v>1558</v>
      </c>
      <c r="B1555" s="3" t="s">
        <v>3298</v>
      </c>
      <c r="C1555" s="3" t="s">
        <v>3299</v>
      </c>
      <c r="D1555" s="2" t="s">
        <v>17</v>
      </c>
      <c r="E1555" s="2" t="s">
        <v>8</v>
      </c>
      <c r="F1555" s="2"/>
      <c r="G1555" s="2"/>
      <c r="H1555" s="16">
        <f>VLOOKUP(B:B,'[1]Master Sheet'!$B:$H,7,0)</f>
        <v>0</v>
      </c>
      <c r="I1555" s="16">
        <f>VLOOKUP(B:B,'[1]Master Sheet'!$B:$I,8,0)</f>
        <v>0</v>
      </c>
      <c r="J1555" s="2"/>
      <c r="K1555" s="3" t="s">
        <v>2972</v>
      </c>
      <c r="L1555" s="3" t="s">
        <v>3057</v>
      </c>
      <c r="M1555" s="3" t="s">
        <v>3056</v>
      </c>
      <c r="N1555" s="3"/>
      <c r="O1555" s="3"/>
    </row>
    <row r="1556" spans="1:15" s="4" customFormat="1">
      <c r="A1556" s="2">
        <v>1559</v>
      </c>
      <c r="B1556" s="3" t="s">
        <v>3300</v>
      </c>
      <c r="C1556" s="3" t="s">
        <v>3301</v>
      </c>
      <c r="D1556" s="2" t="s">
        <v>17</v>
      </c>
      <c r="E1556" s="2" t="s">
        <v>8</v>
      </c>
      <c r="F1556" s="2"/>
      <c r="G1556" s="2"/>
      <c r="H1556" s="16">
        <f>VLOOKUP(B:B,'[1]Master Sheet'!$B:$H,7,0)</f>
        <v>0</v>
      </c>
      <c r="I1556" s="16">
        <f>VLOOKUP(B:B,'[1]Master Sheet'!$B:$I,8,0)</f>
        <v>0</v>
      </c>
      <c r="J1556" s="2"/>
      <c r="K1556" s="3" t="s">
        <v>2972</v>
      </c>
      <c r="L1556" s="3" t="s">
        <v>3057</v>
      </c>
      <c r="M1556" s="3" t="s">
        <v>3056</v>
      </c>
      <c r="N1556" s="3"/>
      <c r="O1556" s="3"/>
    </row>
    <row r="1557" spans="1:15" s="4" customFormat="1">
      <c r="A1557" s="2">
        <v>1560</v>
      </c>
      <c r="B1557" s="3" t="s">
        <v>3302</v>
      </c>
      <c r="C1557" s="3" t="s">
        <v>3303</v>
      </c>
      <c r="D1557" s="2" t="s">
        <v>7</v>
      </c>
      <c r="E1557" s="2" t="s">
        <v>8</v>
      </c>
      <c r="F1557" s="2"/>
      <c r="G1557" s="2"/>
      <c r="H1557" s="16">
        <f>VLOOKUP(B:B,'[1]Master Sheet'!$B:$H,7,0)</f>
        <v>500</v>
      </c>
      <c r="I1557" s="16">
        <f>VLOOKUP(B:B,'[1]Master Sheet'!$B:$I,8,0)</f>
        <v>0</v>
      </c>
      <c r="J1557" s="2"/>
      <c r="K1557" s="3" t="s">
        <v>2991</v>
      </c>
      <c r="L1557" s="3" t="s">
        <v>3057</v>
      </c>
      <c r="M1557" s="3" t="s">
        <v>3056</v>
      </c>
      <c r="N1557" s="3"/>
      <c r="O1557" s="3"/>
    </row>
    <row r="1558" spans="1:15" s="4" customFormat="1">
      <c r="A1558" s="2">
        <v>1561</v>
      </c>
      <c r="B1558" s="3" t="s">
        <v>3304</v>
      </c>
      <c r="C1558" s="3" t="s">
        <v>3305</v>
      </c>
      <c r="D1558" s="2" t="s">
        <v>17</v>
      </c>
      <c r="E1558" s="2" t="s">
        <v>8</v>
      </c>
      <c r="F1558" s="2"/>
      <c r="G1558" s="2"/>
      <c r="H1558" s="16">
        <f>VLOOKUP(B:B,'[1]Master Sheet'!$B:$H,7,0)</f>
        <v>10000</v>
      </c>
      <c r="I1558" s="16">
        <f>VLOOKUP(B:B,'[1]Master Sheet'!$B:$I,8,0)</f>
        <v>0</v>
      </c>
      <c r="J1558" s="2"/>
      <c r="K1558" s="3" t="s">
        <v>2972</v>
      </c>
      <c r="L1558" s="3" t="s">
        <v>3055</v>
      </c>
      <c r="M1558" s="3" t="s">
        <v>3056</v>
      </c>
      <c r="N1558" s="3"/>
      <c r="O1558" s="3"/>
    </row>
    <row r="1559" spans="1:15" s="4" customFormat="1">
      <c r="A1559" s="2">
        <v>1562</v>
      </c>
      <c r="B1559" s="3" t="s">
        <v>3306</v>
      </c>
      <c r="C1559" s="3" t="s">
        <v>3307</v>
      </c>
      <c r="D1559" s="2" t="s">
        <v>17</v>
      </c>
      <c r="E1559" s="2" t="s">
        <v>8</v>
      </c>
      <c r="F1559" s="2">
        <v>2350</v>
      </c>
      <c r="G1559" s="2"/>
      <c r="H1559" s="16">
        <f>VLOOKUP(B:B,'[1]Master Sheet'!$B:$H,7,0)</f>
        <v>5000</v>
      </c>
      <c r="I1559" s="16">
        <f>VLOOKUP(B:B,'[1]Master Sheet'!$B:$I,8,0)</f>
        <v>10000</v>
      </c>
      <c r="J1559" s="2"/>
      <c r="K1559" s="3" t="s">
        <v>2972</v>
      </c>
      <c r="L1559" s="3" t="s">
        <v>3055</v>
      </c>
      <c r="M1559" s="3" t="s">
        <v>3056</v>
      </c>
      <c r="N1559" s="3"/>
      <c r="O1559" s="3"/>
    </row>
    <row r="1560" spans="1:15" s="4" customFormat="1">
      <c r="A1560" s="2">
        <v>1563</v>
      </c>
      <c r="B1560" s="3" t="s">
        <v>3308</v>
      </c>
      <c r="C1560" s="3" t="s">
        <v>3309</v>
      </c>
      <c r="D1560" s="2" t="s">
        <v>17</v>
      </c>
      <c r="E1560" s="2" t="s">
        <v>8</v>
      </c>
      <c r="F1560" s="2"/>
      <c r="G1560" s="2"/>
      <c r="H1560" s="16">
        <f>VLOOKUP(B:B,'[1]Master Sheet'!$B:$H,7,0)</f>
        <v>500</v>
      </c>
      <c r="I1560" s="16">
        <f>VLOOKUP(B:B,'[1]Master Sheet'!$B:$I,8,0)</f>
        <v>0</v>
      </c>
      <c r="J1560" s="2"/>
      <c r="K1560" s="3" t="s">
        <v>2972</v>
      </c>
      <c r="L1560" s="3" t="s">
        <v>3055</v>
      </c>
      <c r="M1560" s="3" t="s">
        <v>3056</v>
      </c>
      <c r="N1560" s="3"/>
      <c r="O1560" s="3"/>
    </row>
    <row r="1561" spans="1:15" s="4" customFormat="1">
      <c r="A1561" s="2">
        <v>1564</v>
      </c>
      <c r="B1561" s="3" t="s">
        <v>3310</v>
      </c>
      <c r="C1561" s="3" t="s">
        <v>3311</v>
      </c>
      <c r="D1561" s="2" t="s">
        <v>17</v>
      </c>
      <c r="E1561" s="2" t="s">
        <v>8</v>
      </c>
      <c r="F1561" s="2"/>
      <c r="G1561" s="2"/>
      <c r="H1561" s="16">
        <f>VLOOKUP(B:B,'[1]Master Sheet'!$B:$H,7,0)</f>
        <v>500</v>
      </c>
      <c r="I1561" s="16">
        <f>VLOOKUP(B:B,'[1]Master Sheet'!$B:$I,8,0)</f>
        <v>0</v>
      </c>
      <c r="J1561" s="2"/>
      <c r="K1561" s="3" t="s">
        <v>2972</v>
      </c>
      <c r="L1561" s="3" t="s">
        <v>3055</v>
      </c>
      <c r="M1561" s="3" t="s">
        <v>3056</v>
      </c>
      <c r="N1561" s="3"/>
      <c r="O1561" s="3"/>
    </row>
    <row r="1562" spans="1:15" s="4" customFormat="1">
      <c r="A1562" s="2">
        <v>1565</v>
      </c>
      <c r="B1562" s="3" t="s">
        <v>3312</v>
      </c>
      <c r="C1562" s="3" t="s">
        <v>3313</v>
      </c>
      <c r="D1562" s="2" t="s">
        <v>17</v>
      </c>
      <c r="E1562" s="2" t="s">
        <v>8</v>
      </c>
      <c r="F1562" s="2"/>
      <c r="G1562" s="2"/>
      <c r="H1562" s="16">
        <f>VLOOKUP(B:B,'[1]Master Sheet'!$B:$H,7,0)</f>
        <v>500</v>
      </c>
      <c r="I1562" s="16">
        <f>VLOOKUP(B:B,'[1]Master Sheet'!$B:$I,8,0)</f>
        <v>0</v>
      </c>
      <c r="J1562" s="2"/>
      <c r="K1562" s="3" t="s">
        <v>2972</v>
      </c>
      <c r="L1562" s="3" t="s">
        <v>3055</v>
      </c>
      <c r="M1562" s="3" t="s">
        <v>3056</v>
      </c>
      <c r="N1562" s="3"/>
      <c r="O1562" s="3"/>
    </row>
    <row r="1563" spans="1:15" s="4" customFormat="1">
      <c r="A1563" s="2">
        <v>1566</v>
      </c>
      <c r="B1563" s="3" t="s">
        <v>3314</v>
      </c>
      <c r="C1563" s="3" t="s">
        <v>3315</v>
      </c>
      <c r="D1563" s="2" t="s">
        <v>17</v>
      </c>
      <c r="E1563" s="2" t="s">
        <v>8</v>
      </c>
      <c r="F1563" s="2"/>
      <c r="G1563" s="2"/>
      <c r="H1563" s="16">
        <f>VLOOKUP(B:B,'[1]Master Sheet'!$B:$H,7,0)</f>
        <v>200</v>
      </c>
      <c r="I1563" s="16">
        <f>VLOOKUP(B:B,'[1]Master Sheet'!$B:$I,8,0)</f>
        <v>0</v>
      </c>
      <c r="J1563" s="2"/>
      <c r="K1563" s="3" t="s">
        <v>2972</v>
      </c>
      <c r="L1563" s="3" t="s">
        <v>3055</v>
      </c>
      <c r="M1563" s="3" t="s">
        <v>3056</v>
      </c>
      <c r="N1563" s="3"/>
      <c r="O1563" s="3"/>
    </row>
    <row r="1564" spans="1:15" s="4" customFormat="1">
      <c r="A1564" s="2">
        <v>1567</v>
      </c>
      <c r="B1564" s="3" t="s">
        <v>3316</v>
      </c>
      <c r="C1564" s="3" t="s">
        <v>3317</v>
      </c>
      <c r="D1564" s="2" t="s">
        <v>17</v>
      </c>
      <c r="E1564" s="2" t="s">
        <v>8</v>
      </c>
      <c r="F1564" s="2"/>
      <c r="G1564" s="2"/>
      <c r="H1564" s="16">
        <f>VLOOKUP(B:B,'[1]Master Sheet'!$B:$H,7,0)</f>
        <v>500</v>
      </c>
      <c r="I1564" s="16">
        <f>VLOOKUP(B:B,'[1]Master Sheet'!$B:$I,8,0)</f>
        <v>0</v>
      </c>
      <c r="J1564" s="2"/>
      <c r="K1564" s="3" t="s">
        <v>2972</v>
      </c>
      <c r="L1564" s="3" t="s">
        <v>3055</v>
      </c>
      <c r="M1564" s="3" t="s">
        <v>3056</v>
      </c>
      <c r="N1564" s="3"/>
      <c r="O1564" s="3"/>
    </row>
    <row r="1565" spans="1:15" s="4" customFormat="1">
      <c r="A1565" s="2">
        <v>1568</v>
      </c>
      <c r="B1565" s="3" t="s">
        <v>3318</v>
      </c>
      <c r="C1565" s="3" t="s">
        <v>3319</v>
      </c>
      <c r="D1565" s="2" t="s">
        <v>17</v>
      </c>
      <c r="E1565" s="2" t="s">
        <v>8</v>
      </c>
      <c r="F1565" s="2"/>
      <c r="G1565" s="2"/>
      <c r="H1565" s="16">
        <f>VLOOKUP(B:B,'[1]Master Sheet'!$B:$H,7,0)</f>
        <v>500</v>
      </c>
      <c r="I1565" s="16">
        <f>VLOOKUP(B:B,'[1]Master Sheet'!$B:$I,8,0)</f>
        <v>0</v>
      </c>
      <c r="J1565" s="2"/>
      <c r="K1565" s="3" t="s">
        <v>2972</v>
      </c>
      <c r="L1565" s="3" t="s">
        <v>3055</v>
      </c>
      <c r="M1565" s="3" t="s">
        <v>3056</v>
      </c>
      <c r="N1565" s="3"/>
      <c r="O1565" s="3"/>
    </row>
    <row r="1566" spans="1:15" s="4" customFormat="1">
      <c r="A1566" s="2">
        <v>1569</v>
      </c>
      <c r="B1566" s="3" t="s">
        <v>3320</v>
      </c>
      <c r="C1566" s="3" t="s">
        <v>3321</v>
      </c>
      <c r="D1566" s="2" t="s">
        <v>17</v>
      </c>
      <c r="E1566" s="2" t="s">
        <v>8</v>
      </c>
      <c r="F1566" s="2"/>
      <c r="G1566" s="2"/>
      <c r="H1566" s="16">
        <f>VLOOKUP(B:B,'[1]Master Sheet'!$B:$H,7,0)</f>
        <v>500</v>
      </c>
      <c r="I1566" s="16">
        <f>VLOOKUP(B:B,'[1]Master Sheet'!$B:$I,8,0)</f>
        <v>0</v>
      </c>
      <c r="J1566" s="2"/>
      <c r="K1566" s="3" t="s">
        <v>2972</v>
      </c>
      <c r="L1566" s="3" t="s">
        <v>3055</v>
      </c>
      <c r="M1566" s="3" t="s">
        <v>3056</v>
      </c>
      <c r="N1566" s="3"/>
      <c r="O1566" s="3"/>
    </row>
    <row r="1567" spans="1:15" s="4" customFormat="1">
      <c r="A1567" s="2">
        <v>1570</v>
      </c>
      <c r="B1567" s="3" t="s">
        <v>3322</v>
      </c>
      <c r="C1567" s="3" t="s">
        <v>3323</v>
      </c>
      <c r="D1567" s="2" t="s">
        <v>17</v>
      </c>
      <c r="E1567" s="2" t="s">
        <v>8</v>
      </c>
      <c r="F1567" s="2"/>
      <c r="G1567" s="2"/>
      <c r="H1567" s="16">
        <f>VLOOKUP(B:B,'[1]Master Sheet'!$B:$H,7,0)</f>
        <v>1000</v>
      </c>
      <c r="I1567" s="16">
        <f>VLOOKUP(B:B,'[1]Master Sheet'!$B:$I,8,0)</f>
        <v>0</v>
      </c>
      <c r="J1567" s="2"/>
      <c r="K1567" s="3" t="s">
        <v>2972</v>
      </c>
      <c r="L1567" s="3" t="s">
        <v>3055</v>
      </c>
      <c r="M1567" s="3" t="s">
        <v>3056</v>
      </c>
      <c r="N1567" s="3"/>
      <c r="O1567" s="3"/>
    </row>
    <row r="1568" spans="1:15" s="4" customFormat="1">
      <c r="A1568" s="2">
        <v>1571</v>
      </c>
      <c r="B1568" s="3" t="s">
        <v>3324</v>
      </c>
      <c r="C1568" s="3" t="s">
        <v>3325</v>
      </c>
      <c r="D1568" s="2" t="s">
        <v>17</v>
      </c>
      <c r="E1568" s="2" t="s">
        <v>8</v>
      </c>
      <c r="F1568" s="2"/>
      <c r="G1568" s="2"/>
      <c r="H1568" s="16">
        <f>VLOOKUP(B:B,'[1]Master Sheet'!$B:$H,7,0)</f>
        <v>250</v>
      </c>
      <c r="I1568" s="16">
        <f>VLOOKUP(B:B,'[1]Master Sheet'!$B:$I,8,0)</f>
        <v>0</v>
      </c>
      <c r="J1568" s="2"/>
      <c r="K1568" s="3" t="s">
        <v>2972</v>
      </c>
      <c r="L1568" s="3" t="s">
        <v>3055</v>
      </c>
      <c r="M1568" s="3" t="s">
        <v>3056</v>
      </c>
      <c r="N1568" s="3"/>
      <c r="O1568" s="3"/>
    </row>
    <row r="1569" spans="1:15" s="4" customFormat="1">
      <c r="A1569" s="2">
        <v>1572</v>
      </c>
      <c r="B1569" s="3" t="s">
        <v>3326</v>
      </c>
      <c r="C1569" s="3" t="s">
        <v>3327</v>
      </c>
      <c r="D1569" s="2" t="s">
        <v>17</v>
      </c>
      <c r="E1569" s="2" t="s">
        <v>8</v>
      </c>
      <c r="F1569" s="2">
        <v>1172</v>
      </c>
      <c r="G1569" s="2"/>
      <c r="H1569" s="16">
        <f>VLOOKUP(B:B,'[1]Master Sheet'!$B:$H,7,0)</f>
        <v>2000</v>
      </c>
      <c r="I1569" s="16">
        <f>VLOOKUP(B:B,'[1]Master Sheet'!$B:$I,8,0)</f>
        <v>5000</v>
      </c>
      <c r="J1569" s="2"/>
      <c r="K1569" s="3" t="s">
        <v>2972</v>
      </c>
      <c r="L1569" s="3" t="s">
        <v>3055</v>
      </c>
      <c r="M1569" s="3" t="s">
        <v>3056</v>
      </c>
      <c r="N1569" s="3"/>
      <c r="O1569" s="3"/>
    </row>
    <row r="1570" spans="1:15" s="4" customFormat="1">
      <c r="A1570" s="2">
        <v>1573</v>
      </c>
      <c r="B1570" s="3" t="s">
        <v>3328</v>
      </c>
      <c r="C1570" s="3" t="s">
        <v>3329</v>
      </c>
      <c r="D1570" s="2" t="s">
        <v>17</v>
      </c>
      <c r="E1570" s="2" t="s">
        <v>8</v>
      </c>
      <c r="F1570" s="2"/>
      <c r="G1570" s="2"/>
      <c r="H1570" s="16">
        <f>VLOOKUP(B:B,'[1]Master Sheet'!$B:$H,7,0)</f>
        <v>250</v>
      </c>
      <c r="I1570" s="16">
        <f>VLOOKUP(B:B,'[1]Master Sheet'!$B:$I,8,0)</f>
        <v>0</v>
      </c>
      <c r="J1570" s="2"/>
      <c r="K1570" s="3" t="s">
        <v>2972</v>
      </c>
      <c r="L1570" s="3" t="s">
        <v>3055</v>
      </c>
      <c r="M1570" s="3" t="s">
        <v>3056</v>
      </c>
      <c r="N1570" s="3"/>
      <c r="O1570" s="3"/>
    </row>
    <row r="1571" spans="1:15" s="4" customFormat="1">
      <c r="A1571" s="2">
        <v>1574</v>
      </c>
      <c r="B1571" s="3" t="s">
        <v>3330</v>
      </c>
      <c r="C1571" s="3" t="s">
        <v>3331</v>
      </c>
      <c r="D1571" s="2" t="s">
        <v>17</v>
      </c>
      <c r="E1571" s="2" t="s">
        <v>8</v>
      </c>
      <c r="F1571" s="2"/>
      <c r="G1571" s="2"/>
      <c r="H1571" s="16">
        <f>VLOOKUP(B:B,'[1]Master Sheet'!$B:$H,7,0)</f>
        <v>230</v>
      </c>
      <c r="I1571" s="16">
        <f>VLOOKUP(B:B,'[1]Master Sheet'!$B:$I,8,0)</f>
        <v>0</v>
      </c>
      <c r="J1571" s="2"/>
      <c r="K1571" s="3" t="s">
        <v>2972</v>
      </c>
      <c r="L1571" s="3" t="s">
        <v>3055</v>
      </c>
      <c r="M1571" s="3" t="s">
        <v>3056</v>
      </c>
      <c r="N1571" s="3"/>
      <c r="O1571" s="3"/>
    </row>
    <row r="1572" spans="1:15" s="4" customFormat="1">
      <c r="A1572" s="2">
        <v>1575</v>
      </c>
      <c r="B1572" s="3" t="s">
        <v>3332</v>
      </c>
      <c r="C1572" s="3" t="s">
        <v>3333</v>
      </c>
      <c r="D1572" s="2" t="s">
        <v>17</v>
      </c>
      <c r="E1572" s="2" t="s">
        <v>8</v>
      </c>
      <c r="F1572" s="2"/>
      <c r="G1572" s="2"/>
      <c r="H1572" s="16">
        <f>VLOOKUP(B:B,'[1]Master Sheet'!$B:$H,7,0)</f>
        <v>5</v>
      </c>
      <c r="I1572" s="16">
        <f>VLOOKUP(B:B,'[1]Master Sheet'!$B:$I,8,0)</f>
        <v>0</v>
      </c>
      <c r="J1572" s="2"/>
      <c r="K1572" s="3" t="s">
        <v>3052</v>
      </c>
      <c r="L1572" s="3" t="s">
        <v>3062</v>
      </c>
      <c r="M1572" s="3" t="s">
        <v>3056</v>
      </c>
      <c r="N1572" s="3"/>
      <c r="O1572" s="3"/>
    </row>
    <row r="1573" spans="1:15" s="4" customFormat="1">
      <c r="A1573" s="2">
        <v>1576</v>
      </c>
      <c r="B1573" s="3" t="s">
        <v>3334</v>
      </c>
      <c r="C1573" s="3" t="s">
        <v>3335</v>
      </c>
      <c r="D1573" s="2" t="s">
        <v>17</v>
      </c>
      <c r="E1573" s="2" t="s">
        <v>8</v>
      </c>
      <c r="F1573" s="2"/>
      <c r="G1573" s="2"/>
      <c r="H1573" s="16">
        <f>VLOOKUP(B:B,'[1]Master Sheet'!$B:$H,7,0)</f>
        <v>0</v>
      </c>
      <c r="I1573" s="16">
        <f>VLOOKUP(B:B,'[1]Master Sheet'!$B:$I,8,0)</f>
        <v>0</v>
      </c>
      <c r="J1573" s="2"/>
      <c r="K1573" s="3" t="s">
        <v>2998</v>
      </c>
      <c r="L1573" s="3" t="s">
        <v>3057</v>
      </c>
      <c r="M1573" s="3" t="s">
        <v>3056</v>
      </c>
      <c r="N1573" s="3"/>
      <c r="O1573" s="3"/>
    </row>
    <row r="1574" spans="1:15" s="4" customFormat="1">
      <c r="A1574" s="2">
        <v>1577</v>
      </c>
      <c r="B1574" s="3" t="s">
        <v>920</v>
      </c>
      <c r="C1574" s="3" t="s">
        <v>921</v>
      </c>
      <c r="D1574" s="2" t="s">
        <v>20</v>
      </c>
      <c r="E1574" s="2" t="s">
        <v>8</v>
      </c>
      <c r="F1574" s="2"/>
      <c r="G1574" s="2"/>
      <c r="H1574" s="16">
        <f>VLOOKUP(B:B,'[1]Master Sheet'!$B:$H,7,0)</f>
        <v>0</v>
      </c>
      <c r="I1574" s="16">
        <f>VLOOKUP(B:B,'[1]Master Sheet'!$B:$I,8,0)</f>
        <v>0</v>
      </c>
      <c r="J1574" s="2"/>
      <c r="K1574" s="3" t="s">
        <v>2972</v>
      </c>
      <c r="L1574" s="3" t="s">
        <v>3057</v>
      </c>
      <c r="M1574" s="3" t="s">
        <v>3056</v>
      </c>
      <c r="N1574" s="3"/>
      <c r="O1574" s="3"/>
    </row>
    <row r="1575" spans="1:15" s="4" customFormat="1">
      <c r="A1575" s="2">
        <v>1578</v>
      </c>
      <c r="B1575" s="3" t="s">
        <v>3336</v>
      </c>
      <c r="C1575" s="3" t="s">
        <v>3337</v>
      </c>
      <c r="D1575" s="2" t="s">
        <v>17</v>
      </c>
      <c r="E1575" s="2" t="s">
        <v>8</v>
      </c>
      <c r="F1575" s="2"/>
      <c r="G1575" s="2"/>
      <c r="H1575" s="16">
        <f>VLOOKUP(B:B,'[1]Master Sheet'!$B:$H,7,0)</f>
        <v>2000</v>
      </c>
      <c r="I1575" s="16">
        <f>VLOOKUP(B:B,'[1]Master Sheet'!$B:$I,8,0)</f>
        <v>0</v>
      </c>
      <c r="J1575" s="2"/>
      <c r="K1575" s="3" t="s">
        <v>2972</v>
      </c>
      <c r="L1575" s="3" t="s">
        <v>3057</v>
      </c>
      <c r="M1575" s="3" t="s">
        <v>3056</v>
      </c>
      <c r="N1575" s="3"/>
      <c r="O1575" s="3"/>
    </row>
    <row r="1576" spans="1:15" s="4" customFormat="1">
      <c r="A1576" s="2">
        <v>1579</v>
      </c>
      <c r="B1576" s="3" t="s">
        <v>3338</v>
      </c>
      <c r="C1576" s="3" t="s">
        <v>3339</v>
      </c>
      <c r="D1576" s="2" t="s">
        <v>17</v>
      </c>
      <c r="E1576" s="2" t="s">
        <v>8</v>
      </c>
      <c r="F1576" s="2"/>
      <c r="G1576" s="2"/>
      <c r="H1576" s="16">
        <f>VLOOKUP(B:B,'[1]Master Sheet'!$B:$H,7,0)</f>
        <v>0</v>
      </c>
      <c r="I1576" s="16">
        <f>VLOOKUP(B:B,'[1]Master Sheet'!$B:$I,8,0)</f>
        <v>0</v>
      </c>
      <c r="J1576" s="2"/>
      <c r="K1576" s="3" t="s">
        <v>2972</v>
      </c>
      <c r="L1576" s="3" t="s">
        <v>3057</v>
      </c>
      <c r="M1576" s="3" t="s">
        <v>3056</v>
      </c>
      <c r="N1576" s="3"/>
      <c r="O1576" s="3"/>
    </row>
    <row r="1577" spans="1:15" s="4" customFormat="1">
      <c r="A1577" s="2">
        <v>1580</v>
      </c>
      <c r="B1577" s="3" t="s">
        <v>3340</v>
      </c>
      <c r="C1577" s="3" t="s">
        <v>3341</v>
      </c>
      <c r="D1577" s="2" t="s">
        <v>17</v>
      </c>
      <c r="E1577" s="2" t="s">
        <v>8</v>
      </c>
      <c r="F1577" s="2"/>
      <c r="G1577" s="2"/>
      <c r="H1577" s="16">
        <f>VLOOKUP(B:B,'[1]Master Sheet'!$B:$H,7,0)</f>
        <v>0</v>
      </c>
      <c r="I1577" s="16">
        <f>VLOOKUP(B:B,'[1]Master Sheet'!$B:$I,8,0)</f>
        <v>0</v>
      </c>
      <c r="J1577" s="2"/>
      <c r="K1577" s="3" t="s">
        <v>2972</v>
      </c>
      <c r="L1577" s="3" t="s">
        <v>3057</v>
      </c>
      <c r="M1577" s="3" t="s">
        <v>3056</v>
      </c>
      <c r="N1577" s="3"/>
      <c r="O1577" s="3"/>
    </row>
    <row r="1578" spans="1:15" s="4" customFormat="1">
      <c r="A1578" s="2">
        <v>1581</v>
      </c>
      <c r="B1578" s="3" t="s">
        <v>3342</v>
      </c>
      <c r="C1578" s="3" t="s">
        <v>3343</v>
      </c>
      <c r="D1578" s="2" t="s">
        <v>17</v>
      </c>
      <c r="E1578" s="2" t="s">
        <v>8</v>
      </c>
      <c r="F1578" s="2"/>
      <c r="G1578" s="2"/>
      <c r="H1578" s="16">
        <f>VLOOKUP(B:B,'[1]Master Sheet'!$B:$H,7,0)</f>
        <v>0</v>
      </c>
      <c r="I1578" s="16">
        <f>VLOOKUP(B:B,'[1]Master Sheet'!$B:$I,8,0)</f>
        <v>0</v>
      </c>
      <c r="J1578" s="2"/>
      <c r="K1578" s="3" t="s">
        <v>2972</v>
      </c>
      <c r="L1578" s="3" t="s">
        <v>3057</v>
      </c>
      <c r="M1578" s="3" t="s">
        <v>3056</v>
      </c>
      <c r="N1578" s="3"/>
      <c r="O1578" s="3"/>
    </row>
    <row r="1579" spans="1:15" s="4" customFormat="1">
      <c r="A1579" s="2">
        <v>1582</v>
      </c>
      <c r="B1579" s="3" t="s">
        <v>3344</v>
      </c>
      <c r="C1579" s="3" t="s">
        <v>3345</v>
      </c>
      <c r="D1579" s="2" t="s">
        <v>17</v>
      </c>
      <c r="E1579" s="2" t="s">
        <v>8</v>
      </c>
      <c r="F1579" s="2"/>
      <c r="G1579" s="2"/>
      <c r="H1579" s="16">
        <f>VLOOKUP(B:B,'[1]Master Sheet'!$B:$H,7,0)</f>
        <v>0</v>
      </c>
      <c r="I1579" s="16">
        <f>VLOOKUP(B:B,'[1]Master Sheet'!$B:$I,8,0)</f>
        <v>0</v>
      </c>
      <c r="J1579" s="2"/>
      <c r="K1579" s="3" t="s">
        <v>2972</v>
      </c>
      <c r="L1579" s="3" t="s">
        <v>3057</v>
      </c>
      <c r="M1579" s="3" t="s">
        <v>3056</v>
      </c>
      <c r="N1579" s="3"/>
      <c r="O1579" s="3"/>
    </row>
    <row r="1580" spans="1:15" s="4" customFormat="1">
      <c r="A1580" s="2">
        <v>1583</v>
      </c>
      <c r="B1580" s="3" t="s">
        <v>3346</v>
      </c>
      <c r="C1580" s="3" t="s">
        <v>3347</v>
      </c>
      <c r="D1580" s="2" t="s">
        <v>17</v>
      </c>
      <c r="E1580" s="2" t="s">
        <v>8</v>
      </c>
      <c r="F1580" s="2"/>
      <c r="G1580" s="2"/>
      <c r="H1580" s="16">
        <f>VLOOKUP(B:B,'[1]Master Sheet'!$B:$H,7,0)</f>
        <v>0</v>
      </c>
      <c r="I1580" s="16">
        <f>VLOOKUP(B:B,'[1]Master Sheet'!$B:$I,8,0)</f>
        <v>0</v>
      </c>
      <c r="J1580" s="2"/>
      <c r="K1580" s="3" t="s">
        <v>2972</v>
      </c>
      <c r="L1580" s="3" t="s">
        <v>3057</v>
      </c>
      <c r="M1580" s="3" t="s">
        <v>3056</v>
      </c>
      <c r="N1580" s="3"/>
      <c r="O1580" s="3"/>
    </row>
    <row r="1581" spans="1:15" s="4" customFormat="1">
      <c r="A1581" s="2">
        <v>1584</v>
      </c>
      <c r="B1581" s="3" t="s">
        <v>3348</v>
      </c>
      <c r="C1581" s="3" t="s">
        <v>3349</v>
      </c>
      <c r="D1581" s="2" t="s">
        <v>17</v>
      </c>
      <c r="E1581" s="2" t="s">
        <v>8</v>
      </c>
      <c r="F1581" s="2"/>
      <c r="G1581" s="2"/>
      <c r="H1581" s="16">
        <f>VLOOKUP(B:B,'[1]Master Sheet'!$B:$H,7,0)</f>
        <v>0</v>
      </c>
      <c r="I1581" s="16">
        <f>VLOOKUP(B:B,'[1]Master Sheet'!$B:$I,8,0)</f>
        <v>0</v>
      </c>
      <c r="J1581" s="2"/>
      <c r="K1581" s="3" t="s">
        <v>2972</v>
      </c>
      <c r="L1581" s="3" t="s">
        <v>3057</v>
      </c>
      <c r="M1581" s="3" t="s">
        <v>3056</v>
      </c>
      <c r="N1581" s="3"/>
      <c r="O1581" s="3"/>
    </row>
    <row r="1582" spans="1:15" s="4" customFormat="1">
      <c r="A1582" s="2">
        <v>1585</v>
      </c>
      <c r="B1582" s="3" t="s">
        <v>3350</v>
      </c>
      <c r="C1582" s="3" t="s">
        <v>3351</v>
      </c>
      <c r="D1582" s="2" t="s">
        <v>17</v>
      </c>
      <c r="E1582" s="2" t="s">
        <v>8</v>
      </c>
      <c r="F1582" s="2"/>
      <c r="G1582" s="2"/>
      <c r="H1582" s="16">
        <f>VLOOKUP(B:B,'[1]Master Sheet'!$B:$H,7,0)</f>
        <v>0</v>
      </c>
      <c r="I1582" s="16">
        <f>VLOOKUP(B:B,'[1]Master Sheet'!$B:$I,8,0)</f>
        <v>0</v>
      </c>
      <c r="J1582" s="2"/>
      <c r="K1582" s="3" t="s">
        <v>2982</v>
      </c>
      <c r="L1582" s="3" t="s">
        <v>3060</v>
      </c>
      <c r="M1582" s="3" t="s">
        <v>3061</v>
      </c>
      <c r="N1582" s="3"/>
      <c r="O1582" s="3"/>
    </row>
    <row r="1583" spans="1:15" s="4" customFormat="1">
      <c r="A1583" s="2">
        <v>1586</v>
      </c>
      <c r="B1583" s="3" t="s">
        <v>3352</v>
      </c>
      <c r="C1583" s="3" t="s">
        <v>3353</v>
      </c>
      <c r="D1583" s="2" t="s">
        <v>17</v>
      </c>
      <c r="E1583" s="2" t="s">
        <v>8</v>
      </c>
      <c r="F1583" s="2"/>
      <c r="G1583" s="2"/>
      <c r="H1583" s="16">
        <f>VLOOKUP(B:B,'[1]Master Sheet'!$B:$H,7,0)</f>
        <v>0</v>
      </c>
      <c r="I1583" s="16">
        <f>VLOOKUP(B:B,'[1]Master Sheet'!$B:$I,8,0)</f>
        <v>0</v>
      </c>
      <c r="J1583" s="2"/>
      <c r="K1583" s="3" t="s">
        <v>3002</v>
      </c>
      <c r="L1583" s="3" t="s">
        <v>3057</v>
      </c>
      <c r="M1583" s="3" t="s">
        <v>3056</v>
      </c>
      <c r="N1583" s="3"/>
      <c r="O1583" s="3"/>
    </row>
    <row r="1584" spans="1:15" s="4" customFormat="1">
      <c r="A1584" s="2">
        <v>1587</v>
      </c>
      <c r="B1584" s="3" t="s">
        <v>3354</v>
      </c>
      <c r="C1584" s="3" t="s">
        <v>3355</v>
      </c>
      <c r="D1584" s="2" t="s">
        <v>17</v>
      </c>
      <c r="E1584" s="2" t="s">
        <v>8</v>
      </c>
      <c r="F1584" s="2"/>
      <c r="G1584" s="2"/>
      <c r="H1584" s="16">
        <f>VLOOKUP(B:B,'[1]Master Sheet'!$B:$H,7,0)</f>
        <v>10</v>
      </c>
      <c r="I1584" s="16">
        <f>VLOOKUP(B:B,'[1]Master Sheet'!$B:$I,8,0)</f>
        <v>0</v>
      </c>
      <c r="J1584" s="2"/>
      <c r="K1584" s="3" t="s">
        <v>2974</v>
      </c>
      <c r="L1584" s="3" t="s">
        <v>3060</v>
      </c>
      <c r="M1584" s="3" t="s">
        <v>3056</v>
      </c>
      <c r="N1584" s="3"/>
      <c r="O1584" s="3"/>
    </row>
    <row r="1585" spans="1:15" s="4" customFormat="1">
      <c r="A1585" s="2">
        <v>1588</v>
      </c>
      <c r="B1585" s="3" t="s">
        <v>3356</v>
      </c>
      <c r="C1585" s="3" t="s">
        <v>3357</v>
      </c>
      <c r="D1585" s="2" t="s">
        <v>17</v>
      </c>
      <c r="E1585" s="2" t="s">
        <v>8</v>
      </c>
      <c r="F1585" s="2"/>
      <c r="G1585" s="2"/>
      <c r="H1585" s="16">
        <f>VLOOKUP(B:B,'[1]Master Sheet'!$B:$H,7,0)</f>
        <v>10</v>
      </c>
      <c r="I1585" s="16">
        <f>VLOOKUP(B:B,'[1]Master Sheet'!$B:$I,8,0)</f>
        <v>0</v>
      </c>
      <c r="J1585" s="2"/>
      <c r="K1585" s="3" t="s">
        <v>2974</v>
      </c>
      <c r="L1585" s="3" t="s">
        <v>3060</v>
      </c>
      <c r="M1585" s="3" t="s">
        <v>3056</v>
      </c>
      <c r="N1585" s="3"/>
      <c r="O1585" s="3"/>
    </row>
    <row r="1586" spans="1:15" s="4" customFormat="1">
      <c r="A1586" s="2">
        <v>1589</v>
      </c>
      <c r="B1586" s="3" t="s">
        <v>3358</v>
      </c>
      <c r="C1586" s="3" t="s">
        <v>3359</v>
      </c>
      <c r="D1586" s="2" t="s">
        <v>20</v>
      </c>
      <c r="E1586" s="2" t="s">
        <v>8</v>
      </c>
      <c r="F1586" s="2"/>
      <c r="G1586" s="2"/>
      <c r="H1586" s="16">
        <f>VLOOKUP(B:B,'[1]Master Sheet'!$B:$H,7,0)</f>
        <v>1500</v>
      </c>
      <c r="I1586" s="16">
        <f>VLOOKUP(B:B,'[1]Master Sheet'!$B:$I,8,0)</f>
        <v>1000</v>
      </c>
      <c r="J1586" s="2"/>
      <c r="K1586" s="3" t="s">
        <v>3000</v>
      </c>
      <c r="L1586" s="3" t="s">
        <v>3059</v>
      </c>
      <c r="M1586" s="3" t="s">
        <v>3056</v>
      </c>
      <c r="N1586" s="3"/>
      <c r="O1586" s="3"/>
    </row>
    <row r="1587" spans="1:15" s="4" customFormat="1">
      <c r="A1587" s="2">
        <v>1590</v>
      </c>
      <c r="B1587" s="3" t="s">
        <v>3360</v>
      </c>
      <c r="C1587" s="3" t="s">
        <v>3361</v>
      </c>
      <c r="D1587" s="2" t="s">
        <v>20</v>
      </c>
      <c r="E1587" s="2" t="s">
        <v>8</v>
      </c>
      <c r="F1587" s="2"/>
      <c r="G1587" s="2"/>
      <c r="H1587" s="16">
        <f>VLOOKUP(B:B,'[1]Master Sheet'!$B:$H,7,0)</f>
        <v>2500</v>
      </c>
      <c r="I1587" s="16">
        <f>VLOOKUP(B:B,'[1]Master Sheet'!$B:$I,8,0)</f>
        <v>3000</v>
      </c>
      <c r="J1587" s="2"/>
      <c r="K1587" s="3" t="s">
        <v>3000</v>
      </c>
      <c r="L1587" s="3" t="s">
        <v>3059</v>
      </c>
      <c r="M1587" s="3" t="s">
        <v>3056</v>
      </c>
      <c r="N1587" s="3"/>
      <c r="O1587" s="3"/>
    </row>
    <row r="1588" spans="1:15" s="4" customFormat="1">
      <c r="A1588" s="2">
        <v>1591</v>
      </c>
      <c r="B1588" s="3" t="s">
        <v>3362</v>
      </c>
      <c r="C1588" s="3" t="s">
        <v>3363</v>
      </c>
      <c r="D1588" s="2" t="s">
        <v>20</v>
      </c>
      <c r="E1588" s="2" t="s">
        <v>8</v>
      </c>
      <c r="F1588" s="2"/>
      <c r="G1588" s="2"/>
      <c r="H1588" s="16">
        <f>VLOOKUP(B:B,'[1]Master Sheet'!$B:$H,7,0)</f>
        <v>1500</v>
      </c>
      <c r="I1588" s="16">
        <f>VLOOKUP(B:B,'[1]Master Sheet'!$B:$I,8,0)</f>
        <v>2000</v>
      </c>
      <c r="J1588" s="2"/>
      <c r="K1588" s="3" t="s">
        <v>3000</v>
      </c>
      <c r="L1588" s="3" t="s">
        <v>3059</v>
      </c>
      <c r="M1588" s="3" t="s">
        <v>3056</v>
      </c>
      <c r="N1588" s="3"/>
      <c r="O1588" s="3"/>
    </row>
    <row r="1589" spans="1:15" s="4" customFormat="1">
      <c r="A1589" s="2">
        <v>1592</v>
      </c>
      <c r="B1589" s="3" t="s">
        <v>3364</v>
      </c>
      <c r="C1589" s="3" t="s">
        <v>3365</v>
      </c>
      <c r="D1589" s="2" t="s">
        <v>20</v>
      </c>
      <c r="E1589" s="2" t="s">
        <v>8</v>
      </c>
      <c r="F1589" s="2"/>
      <c r="G1589" s="2"/>
      <c r="H1589" s="16">
        <f>VLOOKUP(B:B,'[1]Master Sheet'!$B:$H,7,0)</f>
        <v>500</v>
      </c>
      <c r="I1589" s="16">
        <f>VLOOKUP(B:B,'[1]Master Sheet'!$B:$I,8,0)</f>
        <v>500</v>
      </c>
      <c r="J1589" s="2"/>
      <c r="K1589" s="3" t="s">
        <v>3000</v>
      </c>
      <c r="L1589" s="3" t="s">
        <v>3059</v>
      </c>
      <c r="M1589" s="3" t="s">
        <v>3056</v>
      </c>
      <c r="N1589" s="3"/>
      <c r="O1589" s="3"/>
    </row>
    <row r="1590" spans="1:15" s="4" customFormat="1">
      <c r="A1590" s="2">
        <v>1593</v>
      </c>
      <c r="B1590" s="3" t="s">
        <v>3366</v>
      </c>
      <c r="C1590" s="3" t="s">
        <v>3367</v>
      </c>
      <c r="D1590" s="2" t="s">
        <v>20</v>
      </c>
      <c r="E1590" s="2" t="s">
        <v>8</v>
      </c>
      <c r="F1590" s="2"/>
      <c r="G1590" s="2"/>
      <c r="H1590" s="16">
        <f>VLOOKUP(B:B,'[1]Master Sheet'!$B:$H,7,0)</f>
        <v>1500</v>
      </c>
      <c r="I1590" s="16">
        <f>VLOOKUP(B:B,'[1]Master Sheet'!$B:$I,8,0)</f>
        <v>0</v>
      </c>
      <c r="J1590" s="2"/>
      <c r="K1590" s="3" t="s">
        <v>3000</v>
      </c>
      <c r="L1590" s="3" t="s">
        <v>3059</v>
      </c>
      <c r="M1590" s="3" t="s">
        <v>3056</v>
      </c>
      <c r="N1590" s="3"/>
      <c r="O1590" s="3"/>
    </row>
    <row r="1591" spans="1:15" s="4" customFormat="1">
      <c r="A1591" s="2">
        <v>1594</v>
      </c>
      <c r="B1591" s="3" t="s">
        <v>3368</v>
      </c>
      <c r="C1591" s="3" t="s">
        <v>3369</v>
      </c>
      <c r="D1591" s="2" t="s">
        <v>20</v>
      </c>
      <c r="E1591" s="2" t="s">
        <v>8</v>
      </c>
      <c r="F1591" s="2"/>
      <c r="G1591" s="2"/>
      <c r="H1591" s="16">
        <f>VLOOKUP(B:B,'[1]Master Sheet'!$B:$H,7,0)</f>
        <v>550</v>
      </c>
      <c r="I1591" s="16">
        <f>VLOOKUP(B:B,'[1]Master Sheet'!$B:$I,8,0)</f>
        <v>0</v>
      </c>
      <c r="J1591" s="2"/>
      <c r="K1591" s="3" t="s">
        <v>3000</v>
      </c>
      <c r="L1591" s="3" t="s">
        <v>3059</v>
      </c>
      <c r="M1591" s="3" t="s">
        <v>3056</v>
      </c>
      <c r="N1591" s="3"/>
      <c r="O1591" s="3"/>
    </row>
    <row r="1592" spans="1:15" s="4" customFormat="1">
      <c r="A1592" s="2">
        <v>1595</v>
      </c>
      <c r="B1592" s="3" t="s">
        <v>3370</v>
      </c>
      <c r="C1592" s="3" t="s">
        <v>3371</v>
      </c>
      <c r="D1592" s="2" t="s">
        <v>20</v>
      </c>
      <c r="E1592" s="2" t="s">
        <v>8</v>
      </c>
      <c r="F1592" s="2"/>
      <c r="G1592" s="2"/>
      <c r="H1592" s="16">
        <f>VLOOKUP(B:B,'[1]Master Sheet'!$B:$H,7,0)</f>
        <v>500</v>
      </c>
      <c r="I1592" s="16">
        <f>VLOOKUP(B:B,'[1]Master Sheet'!$B:$I,8,0)</f>
        <v>0</v>
      </c>
      <c r="J1592" s="2"/>
      <c r="K1592" s="3" t="s">
        <v>3000</v>
      </c>
      <c r="L1592" s="3" t="s">
        <v>3059</v>
      </c>
      <c r="M1592" s="3" t="s">
        <v>3056</v>
      </c>
      <c r="N1592" s="3"/>
      <c r="O1592" s="3"/>
    </row>
    <row r="1593" spans="1:15" s="4" customFormat="1">
      <c r="A1593" s="2">
        <v>1596</v>
      </c>
      <c r="B1593" s="3" t="s">
        <v>3372</v>
      </c>
      <c r="C1593" s="3" t="s">
        <v>3373</v>
      </c>
      <c r="D1593" s="2" t="s">
        <v>20</v>
      </c>
      <c r="E1593" s="2" t="s">
        <v>8</v>
      </c>
      <c r="F1593" s="2"/>
      <c r="G1593" s="2"/>
      <c r="H1593" s="16">
        <f>VLOOKUP(B:B,'[1]Master Sheet'!$B:$H,7,0)</f>
        <v>1000</v>
      </c>
      <c r="I1593" s="16">
        <f>VLOOKUP(B:B,'[1]Master Sheet'!$B:$I,8,0)</f>
        <v>0</v>
      </c>
      <c r="J1593" s="2"/>
      <c r="K1593" s="3" t="s">
        <v>3000</v>
      </c>
      <c r="L1593" s="3" t="s">
        <v>3059</v>
      </c>
      <c r="M1593" s="3" t="s">
        <v>3056</v>
      </c>
      <c r="N1593" s="3"/>
      <c r="O1593" s="3"/>
    </row>
    <row r="1594" spans="1:15" s="4" customFormat="1">
      <c r="A1594" s="2">
        <v>1597</v>
      </c>
      <c r="B1594" s="3" t="s">
        <v>3374</v>
      </c>
      <c r="C1594" s="3" t="s">
        <v>3375</v>
      </c>
      <c r="D1594" s="2" t="s">
        <v>17</v>
      </c>
      <c r="E1594" s="2" t="s">
        <v>8</v>
      </c>
      <c r="F1594" s="2"/>
      <c r="G1594" s="2"/>
      <c r="H1594" s="16">
        <f>VLOOKUP(B:B,'[1]Master Sheet'!$B:$H,7,0)</f>
        <v>150</v>
      </c>
      <c r="I1594" s="16">
        <f>VLOOKUP(B:B,'[1]Master Sheet'!$B:$I,8,0)</f>
        <v>1000</v>
      </c>
      <c r="J1594" s="2"/>
      <c r="K1594" s="3" t="s">
        <v>2972</v>
      </c>
      <c r="L1594" s="3" t="s">
        <v>3057</v>
      </c>
      <c r="M1594" s="3" t="s">
        <v>3056</v>
      </c>
      <c r="N1594" s="3"/>
      <c r="O1594" s="3"/>
    </row>
    <row r="1595" spans="1:15" s="4" customFormat="1">
      <c r="A1595" s="2">
        <v>1598</v>
      </c>
      <c r="B1595" s="3" t="s">
        <v>3376</v>
      </c>
      <c r="C1595" s="3" t="s">
        <v>3377</v>
      </c>
      <c r="D1595" s="2" t="s">
        <v>17</v>
      </c>
      <c r="E1595" s="2" t="s">
        <v>8</v>
      </c>
      <c r="F1595" s="2"/>
      <c r="G1595" s="2"/>
      <c r="H1595" s="16">
        <f>VLOOKUP(B:B,'[1]Master Sheet'!$B:$H,7,0)</f>
        <v>500</v>
      </c>
      <c r="I1595" s="16">
        <f>VLOOKUP(B:B,'[1]Master Sheet'!$B:$I,8,0)</f>
        <v>0</v>
      </c>
      <c r="J1595" s="2"/>
      <c r="K1595" s="3" t="s">
        <v>2972</v>
      </c>
      <c r="L1595" s="3" t="s">
        <v>3057</v>
      </c>
      <c r="M1595" s="3" t="s">
        <v>3056</v>
      </c>
      <c r="N1595" s="3"/>
      <c r="O1595" s="3"/>
    </row>
    <row r="1596" spans="1:15" s="4" customFormat="1">
      <c r="A1596" s="2">
        <v>1599</v>
      </c>
      <c r="B1596" s="3" t="s">
        <v>3378</v>
      </c>
      <c r="C1596" s="3" t="s">
        <v>3379</v>
      </c>
      <c r="D1596" s="2" t="s">
        <v>17</v>
      </c>
      <c r="E1596" s="2" t="s">
        <v>8</v>
      </c>
      <c r="F1596" s="2"/>
      <c r="G1596" s="2"/>
      <c r="H1596" s="16">
        <f>VLOOKUP(B:B,'[1]Master Sheet'!$B:$H,7,0)</f>
        <v>500</v>
      </c>
      <c r="I1596" s="16">
        <f>VLOOKUP(B:B,'[1]Master Sheet'!$B:$I,8,0)</f>
        <v>0</v>
      </c>
      <c r="J1596" s="2"/>
      <c r="K1596" s="3" t="s">
        <v>2972</v>
      </c>
      <c r="L1596" s="3" t="s">
        <v>3057</v>
      </c>
      <c r="M1596" s="3" t="s">
        <v>3056</v>
      </c>
      <c r="N1596" s="3"/>
      <c r="O1596" s="3"/>
    </row>
    <row r="1597" spans="1:15" s="4" customFormat="1">
      <c r="A1597" s="2">
        <v>1600</v>
      </c>
      <c r="B1597" s="3" t="s">
        <v>3380</v>
      </c>
      <c r="C1597" s="3" t="s">
        <v>3381</v>
      </c>
      <c r="D1597" s="2" t="s">
        <v>17</v>
      </c>
      <c r="E1597" s="2" t="s">
        <v>8</v>
      </c>
      <c r="F1597" s="2"/>
      <c r="G1597" s="2"/>
      <c r="H1597" s="16">
        <f>VLOOKUP(B:B,'[1]Master Sheet'!$B:$H,7,0)</f>
        <v>500</v>
      </c>
      <c r="I1597" s="16">
        <f>VLOOKUP(B:B,'[1]Master Sheet'!$B:$I,8,0)</f>
        <v>0</v>
      </c>
      <c r="J1597" s="2"/>
      <c r="K1597" s="3" t="s">
        <v>2972</v>
      </c>
      <c r="L1597" s="3" t="s">
        <v>3057</v>
      </c>
      <c r="M1597" s="3" t="s">
        <v>3056</v>
      </c>
      <c r="N1597" s="3"/>
      <c r="O1597" s="3"/>
    </row>
    <row r="1598" spans="1:15" s="4" customFormat="1">
      <c r="A1598" s="2">
        <v>1601</v>
      </c>
      <c r="B1598" s="3" t="s">
        <v>3382</v>
      </c>
      <c r="C1598" s="3" t="s">
        <v>3383</v>
      </c>
      <c r="D1598" s="2" t="s">
        <v>17</v>
      </c>
      <c r="E1598" s="2" t="s">
        <v>8</v>
      </c>
      <c r="F1598" s="2"/>
      <c r="G1598" s="2"/>
      <c r="H1598" s="16">
        <f>VLOOKUP(B:B,'[1]Master Sheet'!$B:$H,7,0)</f>
        <v>500</v>
      </c>
      <c r="I1598" s="16">
        <f>VLOOKUP(B:B,'[1]Master Sheet'!$B:$I,8,0)</f>
        <v>0</v>
      </c>
      <c r="J1598" s="2"/>
      <c r="K1598" s="3" t="s">
        <v>2972</v>
      </c>
      <c r="L1598" s="3" t="s">
        <v>3057</v>
      </c>
      <c r="M1598" s="3" t="s">
        <v>3056</v>
      </c>
      <c r="N1598" s="3"/>
      <c r="O1598" s="3"/>
    </row>
    <row r="1599" spans="1:15" s="4" customFormat="1">
      <c r="A1599" s="2">
        <v>1602</v>
      </c>
      <c r="B1599" s="3" t="s">
        <v>3384</v>
      </c>
      <c r="C1599" s="3" t="s">
        <v>3385</v>
      </c>
      <c r="D1599" s="2" t="s">
        <v>17</v>
      </c>
      <c r="E1599" s="2" t="s">
        <v>8</v>
      </c>
      <c r="F1599" s="2"/>
      <c r="G1599" s="2"/>
      <c r="H1599" s="16">
        <f>VLOOKUP(B:B,'[1]Master Sheet'!$B:$H,7,0)</f>
        <v>0</v>
      </c>
      <c r="I1599" s="16">
        <f>VLOOKUP(B:B,'[1]Master Sheet'!$B:$I,8,0)</f>
        <v>0</v>
      </c>
      <c r="J1599" s="2"/>
      <c r="K1599" s="3" t="s">
        <v>2982</v>
      </c>
      <c r="L1599" s="3" t="s">
        <v>3060</v>
      </c>
      <c r="M1599" s="3" t="s">
        <v>3061</v>
      </c>
      <c r="N1599" s="3"/>
      <c r="O1599" s="3"/>
    </row>
    <row r="1600" spans="1:15" s="4" customFormat="1">
      <c r="A1600" s="2">
        <v>1603</v>
      </c>
      <c r="B1600" s="3" t="s">
        <v>3386</v>
      </c>
      <c r="C1600" s="3" t="s">
        <v>3387</v>
      </c>
      <c r="D1600" s="2" t="s">
        <v>17</v>
      </c>
      <c r="E1600" s="2" t="s">
        <v>8</v>
      </c>
      <c r="F1600" s="2"/>
      <c r="G1600" s="2"/>
      <c r="H1600" s="16">
        <f>VLOOKUP(B:B,'[1]Master Sheet'!$B:$H,7,0)</f>
        <v>500</v>
      </c>
      <c r="I1600" s="16">
        <f>VLOOKUP(B:B,'[1]Master Sheet'!$B:$I,8,0)</f>
        <v>0</v>
      </c>
      <c r="J1600" s="2"/>
      <c r="K1600" s="3" t="s">
        <v>2972</v>
      </c>
      <c r="L1600" s="3" t="s">
        <v>3057</v>
      </c>
      <c r="M1600" s="3" t="s">
        <v>3056</v>
      </c>
      <c r="N1600" s="3"/>
      <c r="O1600" s="3"/>
    </row>
    <row r="1601" spans="1:15" s="4" customFormat="1">
      <c r="A1601" s="2">
        <v>1604</v>
      </c>
      <c r="B1601" s="3" t="s">
        <v>3388</v>
      </c>
      <c r="C1601" s="3" t="s">
        <v>3389</v>
      </c>
      <c r="D1601" s="2" t="s">
        <v>17</v>
      </c>
      <c r="E1601" s="2" t="s">
        <v>8</v>
      </c>
      <c r="F1601" s="2"/>
      <c r="G1601" s="2"/>
      <c r="H1601" s="16">
        <f>VLOOKUP(B:B,'[1]Master Sheet'!$B:$H,7,0)</f>
        <v>200</v>
      </c>
      <c r="I1601" s="16">
        <f>VLOOKUP(B:B,'[1]Master Sheet'!$B:$I,8,0)</f>
        <v>0</v>
      </c>
      <c r="J1601" s="2"/>
      <c r="K1601" s="3" t="s">
        <v>2972</v>
      </c>
      <c r="L1601" s="3" t="s">
        <v>3057</v>
      </c>
      <c r="M1601" s="3" t="s">
        <v>3056</v>
      </c>
      <c r="N1601" s="3"/>
      <c r="O1601" s="3"/>
    </row>
    <row r="1602" spans="1:15" s="4" customFormat="1">
      <c r="A1602" s="2">
        <v>1605</v>
      </c>
      <c r="B1602" s="3" t="s">
        <v>3390</v>
      </c>
      <c r="C1602" s="3" t="s">
        <v>3391</v>
      </c>
      <c r="D1602" s="2" t="s">
        <v>17</v>
      </c>
      <c r="E1602" s="2" t="s">
        <v>8</v>
      </c>
      <c r="F1602" s="2"/>
      <c r="G1602" s="2"/>
      <c r="H1602" s="16">
        <f>VLOOKUP(B:B,'[1]Master Sheet'!$B:$H,7,0)</f>
        <v>200</v>
      </c>
      <c r="I1602" s="16">
        <f>VLOOKUP(B:B,'[1]Master Sheet'!$B:$I,8,0)</f>
        <v>0</v>
      </c>
      <c r="J1602" s="2"/>
      <c r="K1602" s="3" t="s">
        <v>2972</v>
      </c>
      <c r="L1602" s="3" t="s">
        <v>3057</v>
      </c>
      <c r="M1602" s="3" t="s">
        <v>3056</v>
      </c>
      <c r="N1602" s="3"/>
      <c r="O1602" s="3"/>
    </row>
    <row r="1603" spans="1:15" s="4" customFormat="1">
      <c r="A1603" s="2">
        <v>1606</v>
      </c>
      <c r="B1603" s="3" t="s">
        <v>3392</v>
      </c>
      <c r="C1603" s="3" t="s">
        <v>3393</v>
      </c>
      <c r="D1603" s="2" t="s">
        <v>17</v>
      </c>
      <c r="E1603" s="2" t="s">
        <v>8</v>
      </c>
      <c r="F1603" s="2"/>
      <c r="G1603" s="2"/>
      <c r="H1603" s="16">
        <f>VLOOKUP(B:B,'[1]Master Sheet'!$B:$H,7,0)</f>
        <v>500</v>
      </c>
      <c r="I1603" s="16">
        <f>VLOOKUP(B:B,'[1]Master Sheet'!$B:$I,8,0)</f>
        <v>0</v>
      </c>
      <c r="J1603" s="2"/>
      <c r="K1603" s="3" t="s">
        <v>2972</v>
      </c>
      <c r="L1603" s="3" t="s">
        <v>3057</v>
      </c>
      <c r="M1603" s="3" t="s">
        <v>3056</v>
      </c>
      <c r="N1603" s="3"/>
      <c r="O1603" s="3"/>
    </row>
    <row r="1604" spans="1:15" s="4" customFormat="1">
      <c r="A1604" s="2">
        <v>1607</v>
      </c>
      <c r="B1604" s="3" t="s">
        <v>3394</v>
      </c>
      <c r="C1604" s="3" t="s">
        <v>3395</v>
      </c>
      <c r="D1604" s="2" t="s">
        <v>17</v>
      </c>
      <c r="E1604" s="2" t="s">
        <v>8</v>
      </c>
      <c r="F1604" s="2"/>
      <c r="G1604" s="2"/>
      <c r="H1604" s="16">
        <f>VLOOKUP(B:B,'[1]Master Sheet'!$B:$H,7,0)</f>
        <v>200</v>
      </c>
      <c r="I1604" s="16">
        <f>VLOOKUP(B:B,'[1]Master Sheet'!$B:$I,8,0)</f>
        <v>0</v>
      </c>
      <c r="J1604" s="2"/>
      <c r="K1604" s="3" t="s">
        <v>2972</v>
      </c>
      <c r="L1604" s="3" t="s">
        <v>3057</v>
      </c>
      <c r="M1604" s="3" t="s">
        <v>3056</v>
      </c>
      <c r="N1604" s="3"/>
      <c r="O1604" s="3"/>
    </row>
    <row r="1605" spans="1:15" s="4" customFormat="1">
      <c r="A1605" s="2">
        <v>1608</v>
      </c>
      <c r="B1605" s="3" t="s">
        <v>3396</v>
      </c>
      <c r="C1605" s="3" t="s">
        <v>3397</v>
      </c>
      <c r="D1605" s="2" t="s">
        <v>17</v>
      </c>
      <c r="E1605" s="2" t="s">
        <v>8</v>
      </c>
      <c r="F1605" s="2"/>
      <c r="G1605" s="2"/>
      <c r="H1605" s="16">
        <f>VLOOKUP(B:B,'[1]Master Sheet'!$B:$H,7,0)</f>
        <v>200</v>
      </c>
      <c r="I1605" s="16">
        <f>VLOOKUP(B:B,'[1]Master Sheet'!$B:$I,8,0)</f>
        <v>0</v>
      </c>
      <c r="J1605" s="2"/>
      <c r="K1605" s="3" t="s">
        <v>2972</v>
      </c>
      <c r="L1605" s="3" t="s">
        <v>3057</v>
      </c>
      <c r="M1605" s="3" t="s">
        <v>3056</v>
      </c>
      <c r="N1605" s="3"/>
      <c r="O1605" s="3"/>
    </row>
    <row r="1606" spans="1:15" s="4" customFormat="1">
      <c r="A1606" s="2">
        <v>1609</v>
      </c>
      <c r="B1606" s="3" t="s">
        <v>3398</v>
      </c>
      <c r="C1606" s="3" t="s">
        <v>3399</v>
      </c>
      <c r="D1606" s="2" t="s">
        <v>17</v>
      </c>
      <c r="E1606" s="2" t="s">
        <v>8</v>
      </c>
      <c r="F1606" s="2"/>
      <c r="G1606" s="2"/>
      <c r="H1606" s="16">
        <f>VLOOKUP(B:B,'[1]Master Sheet'!$B:$H,7,0)</f>
        <v>200</v>
      </c>
      <c r="I1606" s="16">
        <f>VLOOKUP(B:B,'[1]Master Sheet'!$B:$I,8,0)</f>
        <v>0</v>
      </c>
      <c r="J1606" s="2"/>
      <c r="K1606" s="3" t="s">
        <v>2972</v>
      </c>
      <c r="L1606" s="3" t="s">
        <v>3057</v>
      </c>
      <c r="M1606" s="3" t="s">
        <v>3056</v>
      </c>
      <c r="N1606" s="3"/>
      <c r="O1606" s="3"/>
    </row>
    <row r="1607" spans="1:15" s="4" customFormat="1">
      <c r="A1607" s="2">
        <v>1610</v>
      </c>
      <c r="B1607" s="3" t="s">
        <v>3400</v>
      </c>
      <c r="C1607" s="3" t="s">
        <v>3401</v>
      </c>
      <c r="D1607" s="2" t="s">
        <v>17</v>
      </c>
      <c r="E1607" s="2" t="s">
        <v>8</v>
      </c>
      <c r="F1607" s="2"/>
      <c r="G1607" s="2"/>
      <c r="H1607" s="16">
        <f>VLOOKUP(B:B,'[1]Master Sheet'!$B:$H,7,0)</f>
        <v>2600</v>
      </c>
      <c r="I1607" s="16">
        <f>VLOOKUP(B:B,'[1]Master Sheet'!$B:$I,8,0)</f>
        <v>0</v>
      </c>
      <c r="J1607" s="2"/>
      <c r="K1607" s="3" t="s">
        <v>2972</v>
      </c>
      <c r="L1607" s="3" t="s">
        <v>3057</v>
      </c>
      <c r="M1607" s="3" t="s">
        <v>3056</v>
      </c>
      <c r="N1607" s="3"/>
      <c r="O1607" s="3"/>
    </row>
    <row r="1608" spans="1:15" s="4" customFormat="1">
      <c r="A1608" s="2">
        <v>1611</v>
      </c>
      <c r="B1608" s="3" t="s">
        <v>3402</v>
      </c>
      <c r="C1608" s="3" t="s">
        <v>3403</v>
      </c>
      <c r="D1608" s="2" t="s">
        <v>17</v>
      </c>
      <c r="E1608" s="2" t="s">
        <v>8</v>
      </c>
      <c r="F1608" s="2"/>
      <c r="G1608" s="2"/>
      <c r="H1608" s="16">
        <f>VLOOKUP(B:B,'[1]Master Sheet'!$B:$H,7,0)</f>
        <v>700</v>
      </c>
      <c r="I1608" s="16">
        <f>VLOOKUP(B:B,'[1]Master Sheet'!$B:$I,8,0)</f>
        <v>0</v>
      </c>
      <c r="J1608" s="2"/>
      <c r="K1608" s="3" t="s">
        <v>2972</v>
      </c>
      <c r="L1608" s="3" t="s">
        <v>3057</v>
      </c>
      <c r="M1608" s="3" t="s">
        <v>3056</v>
      </c>
      <c r="N1608" s="3"/>
      <c r="O1608" s="3"/>
    </row>
    <row r="1609" spans="1:15" s="4" customFormat="1">
      <c r="A1609" s="2">
        <v>1612</v>
      </c>
      <c r="B1609" s="3" t="s">
        <v>3404</v>
      </c>
      <c r="C1609" s="3" t="s">
        <v>3405</v>
      </c>
      <c r="D1609" s="2" t="s">
        <v>17</v>
      </c>
      <c r="E1609" s="2" t="s">
        <v>8</v>
      </c>
      <c r="F1609" s="2"/>
      <c r="G1609" s="2"/>
      <c r="H1609" s="16">
        <f>VLOOKUP(B:B,'[1]Master Sheet'!$B:$H,7,0)</f>
        <v>200</v>
      </c>
      <c r="I1609" s="16">
        <f>VLOOKUP(B:B,'[1]Master Sheet'!$B:$I,8,0)</f>
        <v>0</v>
      </c>
      <c r="J1609" s="2"/>
      <c r="K1609" s="3" t="s">
        <v>2972</v>
      </c>
      <c r="L1609" s="3" t="s">
        <v>3057</v>
      </c>
      <c r="M1609" s="3" t="s">
        <v>3056</v>
      </c>
      <c r="N1609" s="3"/>
      <c r="O1609" s="3"/>
    </row>
    <row r="1610" spans="1:15" s="4" customFormat="1">
      <c r="A1610" s="2">
        <v>1613</v>
      </c>
      <c r="B1610" s="3" t="s">
        <v>3406</v>
      </c>
      <c r="C1610" s="3" t="s">
        <v>3407</v>
      </c>
      <c r="D1610" s="2" t="s">
        <v>17</v>
      </c>
      <c r="E1610" s="2" t="s">
        <v>8</v>
      </c>
      <c r="F1610" s="2"/>
      <c r="G1610" s="2"/>
      <c r="H1610" s="16">
        <f>VLOOKUP(B:B,'[1]Master Sheet'!$B:$H,7,0)</f>
        <v>500</v>
      </c>
      <c r="I1610" s="16">
        <f>VLOOKUP(B:B,'[1]Master Sheet'!$B:$I,8,0)</f>
        <v>0</v>
      </c>
      <c r="J1610" s="2"/>
      <c r="K1610" s="3" t="s">
        <v>2972</v>
      </c>
      <c r="L1610" s="3" t="s">
        <v>3057</v>
      </c>
      <c r="M1610" s="3" t="s">
        <v>3056</v>
      </c>
      <c r="N1610" s="3"/>
      <c r="O1610" s="3"/>
    </row>
    <row r="1611" spans="1:15" s="4" customFormat="1">
      <c r="A1611" s="2">
        <v>1614</v>
      </c>
      <c r="B1611" s="3" t="s">
        <v>3408</v>
      </c>
      <c r="C1611" s="3" t="s">
        <v>3409</v>
      </c>
      <c r="D1611" s="2" t="s">
        <v>17</v>
      </c>
      <c r="E1611" s="2" t="s">
        <v>8</v>
      </c>
      <c r="F1611" s="2"/>
      <c r="G1611" s="2"/>
      <c r="H1611" s="16">
        <f>VLOOKUP(B:B,'[1]Master Sheet'!$B:$H,7,0)</f>
        <v>500</v>
      </c>
      <c r="I1611" s="16">
        <f>VLOOKUP(B:B,'[1]Master Sheet'!$B:$I,8,0)</f>
        <v>0</v>
      </c>
      <c r="J1611" s="2"/>
      <c r="K1611" s="3" t="s">
        <v>2972</v>
      </c>
      <c r="L1611" s="3" t="s">
        <v>3057</v>
      </c>
      <c r="M1611" s="3" t="s">
        <v>3056</v>
      </c>
      <c r="N1611" s="3"/>
      <c r="O1611" s="3"/>
    </row>
    <row r="1612" spans="1:15" s="4" customFormat="1">
      <c r="A1612" s="2">
        <v>1615</v>
      </c>
      <c r="B1612" s="3" t="s">
        <v>3410</v>
      </c>
      <c r="C1612" s="3" t="s">
        <v>3411</v>
      </c>
      <c r="D1612" s="2" t="s">
        <v>17</v>
      </c>
      <c r="E1612" s="2" t="s">
        <v>8</v>
      </c>
      <c r="F1612" s="2"/>
      <c r="G1612" s="2"/>
      <c r="H1612" s="16">
        <f>VLOOKUP(B:B,'[1]Master Sheet'!$B:$H,7,0)</f>
        <v>500</v>
      </c>
      <c r="I1612" s="16">
        <f>VLOOKUP(B:B,'[1]Master Sheet'!$B:$I,8,0)</f>
        <v>0</v>
      </c>
      <c r="J1612" s="2"/>
      <c r="K1612" s="3" t="s">
        <v>2972</v>
      </c>
      <c r="L1612" s="3" t="s">
        <v>3057</v>
      </c>
      <c r="M1612" s="3" t="s">
        <v>3056</v>
      </c>
      <c r="N1612" s="3"/>
      <c r="O1612" s="3"/>
    </row>
    <row r="1613" spans="1:15" s="4" customFormat="1">
      <c r="A1613" s="2">
        <v>1616</v>
      </c>
      <c r="B1613" s="3" t="s">
        <v>3412</v>
      </c>
      <c r="C1613" s="3" t="s">
        <v>3413</v>
      </c>
      <c r="D1613" s="2" t="s">
        <v>17</v>
      </c>
      <c r="E1613" s="2" t="s">
        <v>8</v>
      </c>
      <c r="F1613" s="2"/>
      <c r="G1613" s="2"/>
      <c r="H1613" s="16">
        <f>VLOOKUP(B:B,'[1]Master Sheet'!$B:$H,7,0)</f>
        <v>500</v>
      </c>
      <c r="I1613" s="16">
        <f>VLOOKUP(B:B,'[1]Master Sheet'!$B:$I,8,0)</f>
        <v>0</v>
      </c>
      <c r="J1613" s="2"/>
      <c r="K1613" s="3" t="s">
        <v>2972</v>
      </c>
      <c r="L1613" s="3" t="s">
        <v>3057</v>
      </c>
      <c r="M1613" s="3" t="s">
        <v>3056</v>
      </c>
      <c r="N1613" s="3"/>
      <c r="O1613" s="3"/>
    </row>
    <row r="1614" spans="1:15" s="4" customFormat="1">
      <c r="A1614" s="2">
        <v>1617</v>
      </c>
      <c r="B1614" s="3" t="s">
        <v>3414</v>
      </c>
      <c r="C1614" s="3" t="s">
        <v>3415</v>
      </c>
      <c r="D1614" s="2" t="s">
        <v>17</v>
      </c>
      <c r="E1614" s="2" t="s">
        <v>8</v>
      </c>
      <c r="F1614" s="2"/>
      <c r="G1614" s="2"/>
      <c r="H1614" s="16">
        <f>VLOOKUP(B:B,'[1]Master Sheet'!$B:$H,7,0)</f>
        <v>500</v>
      </c>
      <c r="I1614" s="16">
        <f>VLOOKUP(B:B,'[1]Master Sheet'!$B:$I,8,0)</f>
        <v>0</v>
      </c>
      <c r="J1614" s="2"/>
      <c r="K1614" s="3" t="s">
        <v>2972</v>
      </c>
      <c r="L1614" s="3" t="s">
        <v>3057</v>
      </c>
      <c r="M1614" s="3" t="s">
        <v>3056</v>
      </c>
      <c r="N1614" s="3"/>
      <c r="O1614" s="3"/>
    </row>
    <row r="1615" spans="1:15" s="4" customFormat="1">
      <c r="A1615" s="2">
        <v>1618</v>
      </c>
      <c r="B1615" s="3" t="s">
        <v>3416</v>
      </c>
      <c r="C1615" s="3" t="s">
        <v>3417</v>
      </c>
      <c r="D1615" s="2" t="s">
        <v>17</v>
      </c>
      <c r="E1615" s="2" t="s">
        <v>8</v>
      </c>
      <c r="F1615" s="2"/>
      <c r="G1615" s="2"/>
      <c r="H1615" s="16">
        <f>VLOOKUP(B:B,'[1]Master Sheet'!$B:$H,7,0)</f>
        <v>500</v>
      </c>
      <c r="I1615" s="16">
        <f>VLOOKUP(B:B,'[1]Master Sheet'!$B:$I,8,0)</f>
        <v>0</v>
      </c>
      <c r="J1615" s="2"/>
      <c r="K1615" s="3" t="s">
        <v>2972</v>
      </c>
      <c r="L1615" s="3" t="s">
        <v>3057</v>
      </c>
      <c r="M1615" s="3" t="s">
        <v>3056</v>
      </c>
      <c r="N1615" s="3"/>
      <c r="O1615" s="3"/>
    </row>
    <row r="1616" spans="1:15" s="4" customFormat="1">
      <c r="A1616" s="2">
        <v>1619</v>
      </c>
      <c r="B1616" s="3" t="s">
        <v>3418</v>
      </c>
      <c r="C1616" s="3" t="s">
        <v>3419</v>
      </c>
      <c r="D1616" s="2" t="s">
        <v>17</v>
      </c>
      <c r="E1616" s="2" t="s">
        <v>8</v>
      </c>
      <c r="F1616" s="2"/>
      <c r="G1616" s="2"/>
      <c r="H1616" s="16">
        <f>VLOOKUP(B:B,'[1]Master Sheet'!$B:$H,7,0)</f>
        <v>700</v>
      </c>
      <c r="I1616" s="16">
        <f>VLOOKUP(B:B,'[1]Master Sheet'!$B:$I,8,0)</f>
        <v>0</v>
      </c>
      <c r="J1616" s="2"/>
      <c r="K1616" s="3" t="s">
        <v>2972</v>
      </c>
      <c r="L1616" s="3" t="s">
        <v>3057</v>
      </c>
      <c r="M1616" s="3" t="s">
        <v>3056</v>
      </c>
      <c r="N1616" s="3"/>
      <c r="O1616" s="3"/>
    </row>
    <row r="1617" spans="1:15" s="4" customFormat="1">
      <c r="A1617" s="2">
        <v>1620</v>
      </c>
      <c r="B1617" s="3" t="s">
        <v>3420</v>
      </c>
      <c r="C1617" s="3" t="s">
        <v>3421</v>
      </c>
      <c r="D1617" s="2" t="s">
        <v>17</v>
      </c>
      <c r="E1617" s="2" t="s">
        <v>8</v>
      </c>
      <c r="F1617" s="2"/>
      <c r="G1617" s="2"/>
      <c r="H1617" s="16">
        <f>VLOOKUP(B:B,'[1]Master Sheet'!$B:$H,7,0)</f>
        <v>500</v>
      </c>
      <c r="I1617" s="16">
        <f>VLOOKUP(B:B,'[1]Master Sheet'!$B:$I,8,0)</f>
        <v>0</v>
      </c>
      <c r="J1617" s="2"/>
      <c r="K1617" s="3" t="s">
        <v>2972</v>
      </c>
      <c r="L1617" s="3" t="s">
        <v>3057</v>
      </c>
      <c r="M1617" s="3" t="s">
        <v>3056</v>
      </c>
      <c r="N1617" s="3"/>
      <c r="O1617" s="3"/>
    </row>
    <row r="1618" spans="1:15" s="4" customFormat="1">
      <c r="A1618" s="2">
        <v>1621</v>
      </c>
      <c r="B1618" s="3" t="s">
        <v>3422</v>
      </c>
      <c r="C1618" s="3" t="s">
        <v>3423</v>
      </c>
      <c r="D1618" s="2" t="s">
        <v>17</v>
      </c>
      <c r="E1618" s="2" t="s">
        <v>8</v>
      </c>
      <c r="F1618" s="2"/>
      <c r="G1618" s="2"/>
      <c r="H1618" s="16">
        <f>VLOOKUP(B:B,'[1]Master Sheet'!$B:$H,7,0)</f>
        <v>500</v>
      </c>
      <c r="I1618" s="16">
        <f>VLOOKUP(B:B,'[1]Master Sheet'!$B:$I,8,0)</f>
        <v>0</v>
      </c>
      <c r="J1618" s="2"/>
      <c r="K1618" s="3" t="s">
        <v>2972</v>
      </c>
      <c r="L1618" s="3" t="s">
        <v>3057</v>
      </c>
      <c r="M1618" s="3" t="s">
        <v>3056</v>
      </c>
      <c r="N1618" s="3"/>
      <c r="O1618" s="3"/>
    </row>
    <row r="1619" spans="1:15" s="4" customFormat="1">
      <c r="A1619" s="2">
        <v>1622</v>
      </c>
      <c r="B1619" s="3" t="s">
        <v>3424</v>
      </c>
      <c r="C1619" s="3" t="s">
        <v>3425</v>
      </c>
      <c r="D1619" s="2" t="s">
        <v>20</v>
      </c>
      <c r="E1619" s="2" t="s">
        <v>8</v>
      </c>
      <c r="F1619" s="2"/>
      <c r="G1619" s="2"/>
      <c r="H1619" s="16">
        <f>VLOOKUP(B:B,'[1]Master Sheet'!$B:$H,7,0)</f>
        <v>0</v>
      </c>
      <c r="I1619" s="16">
        <f>VLOOKUP(B:B,'[1]Master Sheet'!$B:$I,8,0)</f>
        <v>0</v>
      </c>
      <c r="J1619" s="2"/>
      <c r="K1619" s="3" t="s">
        <v>2991</v>
      </c>
      <c r="L1619" s="3" t="s">
        <v>3057</v>
      </c>
      <c r="M1619" s="3" t="s">
        <v>3056</v>
      </c>
      <c r="N1619" s="3"/>
      <c r="O1619" s="3"/>
    </row>
    <row r="1620" spans="1:15" s="4" customFormat="1">
      <c r="A1620" s="2">
        <v>1623</v>
      </c>
      <c r="B1620" s="3" t="s">
        <v>3426</v>
      </c>
      <c r="C1620" s="3" t="s">
        <v>3427</v>
      </c>
      <c r="D1620" s="2" t="s">
        <v>20</v>
      </c>
      <c r="E1620" s="2" t="s">
        <v>8</v>
      </c>
      <c r="F1620" s="2"/>
      <c r="G1620" s="2"/>
      <c r="H1620" s="16">
        <f>VLOOKUP(B:B,'[1]Master Sheet'!$B:$H,7,0)</f>
        <v>0</v>
      </c>
      <c r="I1620" s="16">
        <f>VLOOKUP(B:B,'[1]Master Sheet'!$B:$I,8,0)</f>
        <v>0</v>
      </c>
      <c r="J1620" s="2"/>
      <c r="K1620" s="3" t="s">
        <v>2991</v>
      </c>
      <c r="L1620" s="3" t="s">
        <v>3057</v>
      </c>
      <c r="M1620" s="3" t="s">
        <v>3056</v>
      </c>
      <c r="N1620" s="3"/>
      <c r="O1620" s="3"/>
    </row>
    <row r="1621" spans="1:15" s="4" customFormat="1">
      <c r="A1621" s="2">
        <v>1624</v>
      </c>
      <c r="B1621" s="3" t="s">
        <v>3428</v>
      </c>
      <c r="C1621" s="3" t="s">
        <v>3429</v>
      </c>
      <c r="D1621" s="2" t="s">
        <v>20</v>
      </c>
      <c r="E1621" s="2" t="s">
        <v>8</v>
      </c>
      <c r="F1621" s="2"/>
      <c r="G1621" s="2"/>
      <c r="H1621" s="16">
        <f>VLOOKUP(B:B,'[1]Master Sheet'!$B:$H,7,0)</f>
        <v>0</v>
      </c>
      <c r="I1621" s="16">
        <f>VLOOKUP(B:B,'[1]Master Sheet'!$B:$I,8,0)</f>
        <v>0</v>
      </c>
      <c r="J1621" s="2"/>
      <c r="K1621" s="3" t="s">
        <v>2991</v>
      </c>
      <c r="L1621" s="3" t="s">
        <v>3057</v>
      </c>
      <c r="M1621" s="3" t="s">
        <v>3056</v>
      </c>
      <c r="N1621" s="3"/>
      <c r="O1621" s="3"/>
    </row>
    <row r="1622" spans="1:15" s="4" customFormat="1">
      <c r="A1622" s="2">
        <v>1625</v>
      </c>
      <c r="B1622" s="3" t="s">
        <v>3430</v>
      </c>
      <c r="C1622" s="3" t="s">
        <v>3431</v>
      </c>
      <c r="D1622" s="2" t="s">
        <v>17</v>
      </c>
      <c r="E1622" s="2" t="s">
        <v>8</v>
      </c>
      <c r="F1622" s="2"/>
      <c r="G1622" s="2"/>
      <c r="H1622" s="16">
        <f>VLOOKUP(B:B,'[1]Master Sheet'!$B:$H,7,0)</f>
        <v>500</v>
      </c>
      <c r="I1622" s="16">
        <f>VLOOKUP(B:B,'[1]Master Sheet'!$B:$I,8,0)</f>
        <v>0</v>
      </c>
      <c r="J1622" s="2"/>
      <c r="K1622" s="3" t="s">
        <v>2972</v>
      </c>
      <c r="L1622" s="3" t="s">
        <v>3057</v>
      </c>
      <c r="M1622" s="3" t="s">
        <v>3056</v>
      </c>
      <c r="N1622" s="3"/>
      <c r="O1622" s="3"/>
    </row>
    <row r="1623" spans="1:15" s="4" customFormat="1">
      <c r="A1623" s="2">
        <v>1626</v>
      </c>
      <c r="B1623" s="3" t="s">
        <v>3432</v>
      </c>
      <c r="C1623" s="3" t="s">
        <v>3433</v>
      </c>
      <c r="D1623" s="2" t="s">
        <v>17</v>
      </c>
      <c r="E1623" s="2" t="s">
        <v>8</v>
      </c>
      <c r="F1623" s="2"/>
      <c r="G1623" s="2"/>
      <c r="H1623" s="16">
        <f>VLOOKUP(B:B,'[1]Master Sheet'!$B:$H,7,0)</f>
        <v>200</v>
      </c>
      <c r="I1623" s="16">
        <f>VLOOKUP(B:B,'[1]Master Sheet'!$B:$I,8,0)</f>
        <v>0</v>
      </c>
      <c r="J1623" s="2"/>
      <c r="K1623" s="3" t="s">
        <v>2972</v>
      </c>
      <c r="L1623" s="3" t="s">
        <v>3057</v>
      </c>
      <c r="M1623" s="3" t="s">
        <v>3056</v>
      </c>
      <c r="N1623" s="3"/>
      <c r="O1623" s="3"/>
    </row>
    <row r="1624" spans="1:15" s="4" customFormat="1">
      <c r="A1624" s="2">
        <v>1627</v>
      </c>
      <c r="B1624" s="3" t="s">
        <v>3434</v>
      </c>
      <c r="C1624" s="3" t="s">
        <v>3435</v>
      </c>
      <c r="D1624" s="2" t="s">
        <v>17</v>
      </c>
      <c r="E1624" s="2" t="s">
        <v>8</v>
      </c>
      <c r="F1624" s="2"/>
      <c r="G1624" s="2"/>
      <c r="H1624" s="16">
        <f>VLOOKUP(B:B,'[1]Master Sheet'!$B:$H,7,0)</f>
        <v>200</v>
      </c>
      <c r="I1624" s="16">
        <f>VLOOKUP(B:B,'[1]Master Sheet'!$B:$I,8,0)</f>
        <v>0</v>
      </c>
      <c r="J1624" s="2"/>
      <c r="K1624" s="3" t="s">
        <v>2972</v>
      </c>
      <c r="L1624" s="3" t="s">
        <v>3057</v>
      </c>
      <c r="M1624" s="3" t="s">
        <v>3056</v>
      </c>
      <c r="N1624" s="3"/>
      <c r="O1624" s="3"/>
    </row>
    <row r="1625" spans="1:15" s="4" customFormat="1">
      <c r="A1625" s="2">
        <v>1628</v>
      </c>
      <c r="B1625" s="3" t="s">
        <v>3436</v>
      </c>
      <c r="C1625" s="3" t="s">
        <v>3437</v>
      </c>
      <c r="D1625" s="2" t="s">
        <v>17</v>
      </c>
      <c r="E1625" s="2" t="s">
        <v>8</v>
      </c>
      <c r="F1625" s="2"/>
      <c r="G1625" s="2"/>
      <c r="H1625" s="16">
        <f>VLOOKUP(B:B,'[1]Master Sheet'!$B:$H,7,0)</f>
        <v>500</v>
      </c>
      <c r="I1625" s="16">
        <f>VLOOKUP(B:B,'[1]Master Sheet'!$B:$I,8,0)</f>
        <v>0</v>
      </c>
      <c r="J1625" s="2"/>
      <c r="K1625" s="3" t="s">
        <v>2972</v>
      </c>
      <c r="L1625" s="3" t="s">
        <v>3057</v>
      </c>
      <c r="M1625" s="3" t="s">
        <v>3056</v>
      </c>
      <c r="N1625" s="3"/>
      <c r="O1625" s="3"/>
    </row>
    <row r="1626" spans="1:15" s="4" customFormat="1">
      <c r="A1626" s="2">
        <v>1629</v>
      </c>
      <c r="B1626" s="3" t="s">
        <v>3438</v>
      </c>
      <c r="C1626" s="3" t="s">
        <v>3439</v>
      </c>
      <c r="D1626" s="2" t="s">
        <v>17</v>
      </c>
      <c r="E1626" s="2" t="s">
        <v>8</v>
      </c>
      <c r="F1626" s="2"/>
      <c r="G1626" s="2"/>
      <c r="H1626" s="16">
        <f>VLOOKUP(B:B,'[1]Master Sheet'!$B:$H,7,0)</f>
        <v>200</v>
      </c>
      <c r="I1626" s="16">
        <f>VLOOKUP(B:B,'[1]Master Sheet'!$B:$I,8,0)</f>
        <v>0</v>
      </c>
      <c r="J1626" s="2"/>
      <c r="K1626" s="3" t="s">
        <v>2972</v>
      </c>
      <c r="L1626" s="3" t="s">
        <v>3057</v>
      </c>
      <c r="M1626" s="3" t="s">
        <v>3056</v>
      </c>
      <c r="N1626" s="3"/>
      <c r="O1626" s="3"/>
    </row>
    <row r="1627" spans="1:15" s="4" customFormat="1">
      <c r="A1627" s="2">
        <v>1630</v>
      </c>
      <c r="B1627" s="3" t="s">
        <v>3440</v>
      </c>
      <c r="C1627" s="3" t="s">
        <v>3441</v>
      </c>
      <c r="D1627" s="2" t="s">
        <v>17</v>
      </c>
      <c r="E1627" s="2" t="s">
        <v>8</v>
      </c>
      <c r="F1627" s="2"/>
      <c r="G1627" s="2"/>
      <c r="H1627" s="16">
        <f>VLOOKUP(B:B,'[1]Master Sheet'!$B:$H,7,0)</f>
        <v>200</v>
      </c>
      <c r="I1627" s="16">
        <f>VLOOKUP(B:B,'[1]Master Sheet'!$B:$I,8,0)</f>
        <v>0</v>
      </c>
      <c r="J1627" s="2"/>
      <c r="K1627" s="3" t="s">
        <v>2972</v>
      </c>
      <c r="L1627" s="3" t="s">
        <v>3057</v>
      </c>
      <c r="M1627" s="3" t="s">
        <v>3056</v>
      </c>
      <c r="N1627" s="3"/>
      <c r="O1627" s="3"/>
    </row>
    <row r="1628" spans="1:15" s="4" customFormat="1">
      <c r="A1628" s="2">
        <v>1631</v>
      </c>
      <c r="B1628" s="3" t="s">
        <v>3442</v>
      </c>
      <c r="C1628" s="3" t="s">
        <v>3443</v>
      </c>
      <c r="D1628" s="2" t="s">
        <v>17</v>
      </c>
      <c r="E1628" s="2" t="s">
        <v>8</v>
      </c>
      <c r="F1628" s="2"/>
      <c r="G1628" s="2"/>
      <c r="H1628" s="16">
        <f>VLOOKUP(B:B,'[1]Master Sheet'!$B:$H,7,0)</f>
        <v>150</v>
      </c>
      <c r="I1628" s="16">
        <f>VLOOKUP(B:B,'[1]Master Sheet'!$B:$I,8,0)</f>
        <v>1000</v>
      </c>
      <c r="J1628" s="2"/>
      <c r="K1628" s="3" t="s">
        <v>2972</v>
      </c>
      <c r="L1628" s="3" t="s">
        <v>3055</v>
      </c>
      <c r="M1628" s="3" t="s">
        <v>3056</v>
      </c>
      <c r="N1628" s="3"/>
      <c r="O1628" s="3"/>
    </row>
    <row r="1629" spans="1:15" s="4" customFormat="1">
      <c r="A1629" s="2">
        <v>1632</v>
      </c>
      <c r="B1629" s="3" t="s">
        <v>3444</v>
      </c>
      <c r="C1629" s="3" t="s">
        <v>3445</v>
      </c>
      <c r="D1629" s="2" t="s">
        <v>17</v>
      </c>
      <c r="E1629" s="2" t="s">
        <v>8</v>
      </c>
      <c r="F1629" s="2"/>
      <c r="G1629" s="2"/>
      <c r="H1629" s="16">
        <f>VLOOKUP(B:B,'[1]Master Sheet'!$B:$H,7,0)</f>
        <v>200</v>
      </c>
      <c r="I1629" s="16">
        <f>VLOOKUP(B:B,'[1]Master Sheet'!$B:$I,8,0)</f>
        <v>0</v>
      </c>
      <c r="J1629" s="2"/>
      <c r="K1629" s="3" t="s">
        <v>2972</v>
      </c>
      <c r="L1629" s="3" t="s">
        <v>3057</v>
      </c>
      <c r="M1629" s="3" t="s">
        <v>3056</v>
      </c>
      <c r="N1629" s="3"/>
      <c r="O1629" s="3"/>
    </row>
    <row r="1630" spans="1:15" s="4" customFormat="1">
      <c r="A1630" s="2">
        <v>1633</v>
      </c>
      <c r="B1630" s="3" t="s">
        <v>3446</v>
      </c>
      <c r="C1630" s="3" t="s">
        <v>3447</v>
      </c>
      <c r="D1630" s="2" t="s">
        <v>17</v>
      </c>
      <c r="E1630" s="2" t="s">
        <v>8</v>
      </c>
      <c r="F1630" s="2"/>
      <c r="G1630" s="2"/>
      <c r="H1630" s="16">
        <f>VLOOKUP(B:B,'[1]Master Sheet'!$B:$H,7,0)</f>
        <v>500</v>
      </c>
      <c r="I1630" s="16">
        <f>VLOOKUP(B:B,'[1]Master Sheet'!$B:$I,8,0)</f>
        <v>0</v>
      </c>
      <c r="J1630" s="2"/>
      <c r="K1630" s="3" t="s">
        <v>2972</v>
      </c>
      <c r="L1630" s="3" t="s">
        <v>3057</v>
      </c>
      <c r="M1630" s="3" t="s">
        <v>3056</v>
      </c>
      <c r="N1630" s="3"/>
      <c r="O1630" s="3"/>
    </row>
    <row r="1631" spans="1:15" s="4" customFormat="1">
      <c r="A1631" s="2">
        <v>1634</v>
      </c>
      <c r="B1631" s="3" t="s">
        <v>3448</v>
      </c>
      <c r="C1631" s="3" t="s">
        <v>3449</v>
      </c>
      <c r="D1631" s="2" t="s">
        <v>17</v>
      </c>
      <c r="E1631" s="2" t="s">
        <v>8</v>
      </c>
      <c r="F1631" s="2"/>
      <c r="G1631" s="2"/>
      <c r="H1631" s="16">
        <f>VLOOKUP(B:B,'[1]Master Sheet'!$B:$H,7,0)</f>
        <v>200</v>
      </c>
      <c r="I1631" s="16">
        <f>VLOOKUP(B:B,'[1]Master Sheet'!$B:$I,8,0)</f>
        <v>0</v>
      </c>
      <c r="J1631" s="2"/>
      <c r="K1631" s="3" t="s">
        <v>2972</v>
      </c>
      <c r="L1631" s="3" t="s">
        <v>3057</v>
      </c>
      <c r="M1631" s="3" t="s">
        <v>3056</v>
      </c>
      <c r="N1631" s="3"/>
      <c r="O1631" s="3"/>
    </row>
    <row r="1632" spans="1:15" s="4" customFormat="1">
      <c r="A1632" s="2">
        <v>1635</v>
      </c>
      <c r="B1632" s="3" t="s">
        <v>3450</v>
      </c>
      <c r="C1632" s="3" t="s">
        <v>3451</v>
      </c>
      <c r="D1632" s="2" t="s">
        <v>17</v>
      </c>
      <c r="E1632" s="2" t="s">
        <v>8</v>
      </c>
      <c r="F1632" s="2"/>
      <c r="G1632" s="2"/>
      <c r="H1632" s="16">
        <f>VLOOKUP(B:B,'[1]Master Sheet'!$B:$H,7,0)</f>
        <v>500</v>
      </c>
      <c r="I1632" s="16">
        <f>VLOOKUP(B:B,'[1]Master Sheet'!$B:$I,8,0)</f>
        <v>0</v>
      </c>
      <c r="J1632" s="2"/>
      <c r="K1632" s="3" t="s">
        <v>2972</v>
      </c>
      <c r="L1632" s="3" t="s">
        <v>3057</v>
      </c>
      <c r="M1632" s="3" t="s">
        <v>3056</v>
      </c>
      <c r="N1632" s="3"/>
      <c r="O1632" s="3"/>
    </row>
    <row r="1633" spans="1:15" s="4" customFormat="1">
      <c r="A1633" s="2">
        <v>1636</v>
      </c>
      <c r="B1633" s="3" t="s">
        <v>3452</v>
      </c>
      <c r="C1633" s="3" t="s">
        <v>3453</v>
      </c>
      <c r="D1633" s="2" t="s">
        <v>17</v>
      </c>
      <c r="E1633" s="2" t="s">
        <v>8</v>
      </c>
      <c r="F1633" s="2"/>
      <c r="G1633" s="2"/>
      <c r="H1633" s="16">
        <f>VLOOKUP(B:B,'[1]Master Sheet'!$B:$H,7,0)</f>
        <v>500</v>
      </c>
      <c r="I1633" s="16">
        <f>VLOOKUP(B:B,'[1]Master Sheet'!$B:$I,8,0)</f>
        <v>0</v>
      </c>
      <c r="J1633" s="2"/>
      <c r="K1633" s="3" t="s">
        <v>2972</v>
      </c>
      <c r="L1633" s="3" t="s">
        <v>3057</v>
      </c>
      <c r="M1633" s="3" t="s">
        <v>3056</v>
      </c>
      <c r="N1633" s="3"/>
      <c r="O1633" s="3"/>
    </row>
    <row r="1634" spans="1:15" s="4" customFormat="1">
      <c r="A1634" s="2">
        <v>1637</v>
      </c>
      <c r="B1634" s="3" t="s">
        <v>3454</v>
      </c>
      <c r="C1634" s="3" t="s">
        <v>3455</v>
      </c>
      <c r="D1634" s="2" t="s">
        <v>17</v>
      </c>
      <c r="E1634" s="2" t="s">
        <v>8</v>
      </c>
      <c r="F1634" s="2"/>
      <c r="G1634" s="2"/>
      <c r="H1634" s="16">
        <f>VLOOKUP(B:B,'[1]Master Sheet'!$B:$H,7,0)</f>
        <v>500</v>
      </c>
      <c r="I1634" s="16">
        <f>VLOOKUP(B:B,'[1]Master Sheet'!$B:$I,8,0)</f>
        <v>0</v>
      </c>
      <c r="J1634" s="2"/>
      <c r="K1634" s="3" t="s">
        <v>2972</v>
      </c>
      <c r="L1634" s="3" t="s">
        <v>3057</v>
      </c>
      <c r="M1634" s="3" t="s">
        <v>3056</v>
      </c>
      <c r="N1634" s="3"/>
      <c r="O1634" s="3"/>
    </row>
    <row r="1635" spans="1:15" s="4" customFormat="1">
      <c r="A1635" s="2">
        <v>1638</v>
      </c>
      <c r="B1635" s="3" t="s">
        <v>3456</v>
      </c>
      <c r="C1635" s="3" t="s">
        <v>3457</v>
      </c>
      <c r="D1635" s="2" t="s">
        <v>17</v>
      </c>
      <c r="E1635" s="2" t="s">
        <v>8</v>
      </c>
      <c r="F1635" s="2"/>
      <c r="G1635" s="2"/>
      <c r="H1635" s="16">
        <f>VLOOKUP(B:B,'[1]Master Sheet'!$B:$H,7,0)</f>
        <v>0</v>
      </c>
      <c r="I1635" s="16">
        <f>VLOOKUP(B:B,'[1]Master Sheet'!$B:$I,8,0)</f>
        <v>0</v>
      </c>
      <c r="J1635" s="2"/>
      <c r="K1635" s="3" t="s">
        <v>2982</v>
      </c>
      <c r="L1635" s="3" t="s">
        <v>3060</v>
      </c>
      <c r="M1635" s="3" t="s">
        <v>3061</v>
      </c>
      <c r="N1635" s="3"/>
      <c r="O1635" s="3"/>
    </row>
    <row r="1636" spans="1:15" s="4" customFormat="1">
      <c r="A1636" s="2">
        <v>1639</v>
      </c>
      <c r="B1636" s="3" t="s">
        <v>3458</v>
      </c>
      <c r="C1636" s="3" t="s">
        <v>3459</v>
      </c>
      <c r="D1636" s="2" t="s">
        <v>17</v>
      </c>
      <c r="E1636" s="2" t="s">
        <v>8</v>
      </c>
      <c r="F1636" s="2"/>
      <c r="G1636" s="2"/>
      <c r="H1636" s="16">
        <f>VLOOKUP(B:B,'[1]Master Sheet'!$B:$H,7,0)</f>
        <v>500</v>
      </c>
      <c r="I1636" s="16">
        <f>VLOOKUP(B:B,'[1]Master Sheet'!$B:$I,8,0)</f>
        <v>0</v>
      </c>
      <c r="J1636" s="2"/>
      <c r="K1636" s="3" t="s">
        <v>2972</v>
      </c>
      <c r="L1636" s="3" t="s">
        <v>3057</v>
      </c>
      <c r="M1636" s="3" t="s">
        <v>3056</v>
      </c>
      <c r="N1636" s="3"/>
      <c r="O1636" s="3"/>
    </row>
    <row r="1637" spans="1:15" s="4" customFormat="1">
      <c r="A1637" s="2">
        <v>1640</v>
      </c>
      <c r="B1637" s="3" t="s">
        <v>3460</v>
      </c>
      <c r="C1637" s="3" t="s">
        <v>3461</v>
      </c>
      <c r="D1637" s="2" t="s">
        <v>20</v>
      </c>
      <c r="E1637" s="2" t="s">
        <v>8</v>
      </c>
      <c r="F1637" s="2"/>
      <c r="G1637" s="2"/>
      <c r="H1637" s="16">
        <f>VLOOKUP(B:B,'[1]Master Sheet'!$B:$H,7,0)</f>
        <v>60</v>
      </c>
      <c r="I1637" s="16">
        <f>VLOOKUP(B:B,'[1]Master Sheet'!$B:$I,8,0)</f>
        <v>0</v>
      </c>
      <c r="J1637" s="2"/>
      <c r="K1637" s="3" t="s">
        <v>2991</v>
      </c>
      <c r="L1637" s="3" t="s">
        <v>3057</v>
      </c>
      <c r="M1637" s="3" t="s">
        <v>3056</v>
      </c>
      <c r="N1637" s="3"/>
      <c r="O1637" s="3"/>
    </row>
    <row r="1638" spans="1:15" s="4" customFormat="1">
      <c r="A1638" s="2">
        <v>1641</v>
      </c>
      <c r="B1638" s="3" t="s">
        <v>3462</v>
      </c>
      <c r="C1638" s="3" t="s">
        <v>3463</v>
      </c>
      <c r="D1638" s="2" t="s">
        <v>20</v>
      </c>
      <c r="E1638" s="2" t="s">
        <v>8</v>
      </c>
      <c r="F1638" s="2"/>
      <c r="G1638" s="2"/>
      <c r="H1638" s="16">
        <f>VLOOKUP(B:B,'[1]Master Sheet'!$B:$H,7,0)</f>
        <v>60</v>
      </c>
      <c r="I1638" s="16">
        <f>VLOOKUP(B:B,'[1]Master Sheet'!$B:$I,8,0)</f>
        <v>0</v>
      </c>
      <c r="J1638" s="2"/>
      <c r="K1638" s="3" t="s">
        <v>2991</v>
      </c>
      <c r="L1638" s="3" t="s">
        <v>3057</v>
      </c>
      <c r="M1638" s="3" t="s">
        <v>3056</v>
      </c>
      <c r="N1638" s="3"/>
      <c r="O1638" s="3"/>
    </row>
    <row r="1639" spans="1:15" s="4" customFormat="1">
      <c r="A1639" s="2">
        <v>1642</v>
      </c>
      <c r="B1639" s="3" t="s">
        <v>3464</v>
      </c>
      <c r="C1639" s="3" t="s">
        <v>3465</v>
      </c>
      <c r="D1639" s="2" t="s">
        <v>20</v>
      </c>
      <c r="E1639" s="2" t="s">
        <v>8</v>
      </c>
      <c r="F1639" s="2"/>
      <c r="G1639" s="2"/>
      <c r="H1639" s="16">
        <f>VLOOKUP(B:B,'[1]Master Sheet'!$B:$H,7,0)</f>
        <v>60</v>
      </c>
      <c r="I1639" s="16">
        <f>VLOOKUP(B:B,'[1]Master Sheet'!$B:$I,8,0)</f>
        <v>0</v>
      </c>
      <c r="J1639" s="2"/>
      <c r="K1639" s="3" t="s">
        <v>2991</v>
      </c>
      <c r="L1639" s="3" t="s">
        <v>3057</v>
      </c>
      <c r="M1639" s="3" t="s">
        <v>3056</v>
      </c>
      <c r="N1639" s="3"/>
      <c r="O1639" s="3"/>
    </row>
    <row r="1640" spans="1:15" s="4" customFormat="1">
      <c r="A1640" s="2">
        <v>1643</v>
      </c>
      <c r="B1640" s="3" t="s">
        <v>3466</v>
      </c>
      <c r="C1640" s="3" t="s">
        <v>3467</v>
      </c>
      <c r="D1640" s="2" t="s">
        <v>20</v>
      </c>
      <c r="E1640" s="2" t="s">
        <v>8</v>
      </c>
      <c r="F1640" s="2"/>
      <c r="G1640" s="2"/>
      <c r="H1640" s="16">
        <f>VLOOKUP(B:B,'[1]Master Sheet'!$B:$H,7,0)</f>
        <v>60</v>
      </c>
      <c r="I1640" s="16">
        <f>VLOOKUP(B:B,'[1]Master Sheet'!$B:$I,8,0)</f>
        <v>0</v>
      </c>
      <c r="J1640" s="2"/>
      <c r="K1640" s="3" t="s">
        <v>2991</v>
      </c>
      <c r="L1640" s="3" t="s">
        <v>3057</v>
      </c>
      <c r="M1640" s="3" t="s">
        <v>3056</v>
      </c>
      <c r="N1640" s="3"/>
      <c r="O1640" s="3"/>
    </row>
    <row r="1641" spans="1:15" s="4" customFormat="1">
      <c r="A1641" s="2">
        <v>1644</v>
      </c>
      <c r="B1641" s="3" t="s">
        <v>3468</v>
      </c>
      <c r="C1641" s="3" t="s">
        <v>3469</v>
      </c>
      <c r="D1641" s="2" t="s">
        <v>20</v>
      </c>
      <c r="E1641" s="2" t="s">
        <v>8</v>
      </c>
      <c r="F1641" s="2"/>
      <c r="G1641" s="2"/>
      <c r="H1641" s="16">
        <f>VLOOKUP(B:B,'[1]Master Sheet'!$B:$H,7,0)</f>
        <v>60</v>
      </c>
      <c r="I1641" s="16">
        <f>VLOOKUP(B:B,'[1]Master Sheet'!$B:$I,8,0)</f>
        <v>0</v>
      </c>
      <c r="J1641" s="2"/>
      <c r="K1641" s="3" t="s">
        <v>2991</v>
      </c>
      <c r="L1641" s="3" t="s">
        <v>3057</v>
      </c>
      <c r="M1641" s="3" t="s">
        <v>3056</v>
      </c>
      <c r="N1641" s="3"/>
      <c r="O1641" s="3"/>
    </row>
    <row r="1642" spans="1:15" s="4" customFormat="1">
      <c r="A1642" s="2">
        <v>1645</v>
      </c>
      <c r="B1642" s="3" t="s">
        <v>3470</v>
      </c>
      <c r="C1642" s="3" t="s">
        <v>3471</v>
      </c>
      <c r="D1642" s="2" t="s">
        <v>20</v>
      </c>
      <c r="E1642" s="2" t="s">
        <v>8</v>
      </c>
      <c r="F1642" s="2"/>
      <c r="G1642" s="2"/>
      <c r="H1642" s="16">
        <f>VLOOKUP(B:B,'[1]Master Sheet'!$B:$H,7,0)</f>
        <v>60</v>
      </c>
      <c r="I1642" s="16">
        <f>VLOOKUP(B:B,'[1]Master Sheet'!$B:$I,8,0)</f>
        <v>0</v>
      </c>
      <c r="J1642" s="2"/>
      <c r="K1642" s="3" t="s">
        <v>2991</v>
      </c>
      <c r="L1642" s="3" t="s">
        <v>3057</v>
      </c>
      <c r="M1642" s="3" t="s">
        <v>3056</v>
      </c>
      <c r="N1642" s="3"/>
      <c r="O1642" s="3"/>
    </row>
    <row r="1643" spans="1:15" s="4" customFormat="1">
      <c r="A1643" s="2">
        <v>1646</v>
      </c>
      <c r="B1643" s="3" t="s">
        <v>3472</v>
      </c>
      <c r="C1643" s="3" t="s">
        <v>3473</v>
      </c>
      <c r="D1643" s="2" t="s">
        <v>20</v>
      </c>
      <c r="E1643" s="2" t="s">
        <v>8</v>
      </c>
      <c r="F1643" s="2"/>
      <c r="G1643" s="2"/>
      <c r="H1643" s="16">
        <f>VLOOKUP(B:B,'[1]Master Sheet'!$B:$H,7,0)</f>
        <v>60</v>
      </c>
      <c r="I1643" s="16">
        <f>VLOOKUP(B:B,'[1]Master Sheet'!$B:$I,8,0)</f>
        <v>0</v>
      </c>
      <c r="J1643" s="2"/>
      <c r="K1643" s="3" t="s">
        <v>2991</v>
      </c>
      <c r="L1643" s="3" t="s">
        <v>3057</v>
      </c>
      <c r="M1643" s="3" t="s">
        <v>3056</v>
      </c>
      <c r="N1643" s="3"/>
      <c r="O1643" s="3"/>
    </row>
    <row r="1644" spans="1:15" s="4" customFormat="1">
      <c r="A1644" s="2">
        <v>1647</v>
      </c>
      <c r="B1644" s="3" t="s">
        <v>3474</v>
      </c>
      <c r="C1644" s="3" t="s">
        <v>3475</v>
      </c>
      <c r="D1644" s="2" t="s">
        <v>20</v>
      </c>
      <c r="E1644" s="2" t="s">
        <v>8</v>
      </c>
      <c r="F1644" s="2"/>
      <c r="G1644" s="2"/>
      <c r="H1644" s="16">
        <f>VLOOKUP(B:B,'[1]Master Sheet'!$B:$H,7,0)</f>
        <v>60</v>
      </c>
      <c r="I1644" s="16">
        <f>VLOOKUP(B:B,'[1]Master Sheet'!$B:$I,8,0)</f>
        <v>0</v>
      </c>
      <c r="J1644" s="2"/>
      <c r="K1644" s="3" t="s">
        <v>2991</v>
      </c>
      <c r="L1644" s="3" t="s">
        <v>3057</v>
      </c>
      <c r="M1644" s="3" t="s">
        <v>3056</v>
      </c>
      <c r="N1644" s="3"/>
      <c r="O1644" s="3"/>
    </row>
    <row r="1645" spans="1:15" s="4" customFormat="1">
      <c r="A1645" s="2">
        <v>1648</v>
      </c>
      <c r="B1645" s="3" t="s">
        <v>3476</v>
      </c>
      <c r="C1645" s="3" t="s">
        <v>3477</v>
      </c>
      <c r="D1645" s="2" t="s">
        <v>20</v>
      </c>
      <c r="E1645" s="2" t="s">
        <v>8</v>
      </c>
      <c r="F1645" s="2"/>
      <c r="G1645" s="2"/>
      <c r="H1645" s="16">
        <f>VLOOKUP(B:B,'[1]Master Sheet'!$B:$H,7,0)</f>
        <v>350</v>
      </c>
      <c r="I1645" s="16">
        <f>VLOOKUP(B:B,'[1]Master Sheet'!$B:$I,8,0)</f>
        <v>0</v>
      </c>
      <c r="J1645" s="2"/>
      <c r="K1645" s="3" t="s">
        <v>3031</v>
      </c>
      <c r="L1645" s="3" t="s">
        <v>3057</v>
      </c>
      <c r="M1645" s="3" t="s">
        <v>3056</v>
      </c>
      <c r="N1645" s="3"/>
      <c r="O1645" s="3"/>
    </row>
    <row r="1646" spans="1:15" s="4" customFormat="1">
      <c r="A1646" s="2">
        <v>1649</v>
      </c>
      <c r="B1646" s="3" t="s">
        <v>3478</v>
      </c>
      <c r="C1646" s="3" t="s">
        <v>3479</v>
      </c>
      <c r="D1646" s="2" t="s">
        <v>17</v>
      </c>
      <c r="E1646" s="2" t="s">
        <v>8</v>
      </c>
      <c r="F1646" s="2"/>
      <c r="G1646" s="2"/>
      <c r="H1646" s="16">
        <f>VLOOKUP(B:B,'[1]Master Sheet'!$B:$H,7,0)</f>
        <v>5</v>
      </c>
      <c r="I1646" s="16">
        <f>VLOOKUP(B:B,'[1]Master Sheet'!$B:$I,8,0)</f>
        <v>0</v>
      </c>
      <c r="J1646" s="2"/>
      <c r="K1646" s="3" t="s">
        <v>3052</v>
      </c>
      <c r="L1646" s="3" t="s">
        <v>3062</v>
      </c>
      <c r="M1646" s="3" t="s">
        <v>3056</v>
      </c>
      <c r="N1646" s="3"/>
      <c r="O1646" s="3"/>
    </row>
    <row r="1647" spans="1:15" s="4" customFormat="1">
      <c r="A1647" s="2">
        <v>1650</v>
      </c>
      <c r="B1647" s="3" t="s">
        <v>3480</v>
      </c>
      <c r="C1647" s="3" t="s">
        <v>3481</v>
      </c>
      <c r="D1647" s="2" t="s">
        <v>20</v>
      </c>
      <c r="E1647" s="2" t="s">
        <v>8</v>
      </c>
      <c r="F1647" s="2"/>
      <c r="G1647" s="2"/>
      <c r="H1647" s="16">
        <f>VLOOKUP(B:B,'[1]Master Sheet'!$B:$H,7,0)</f>
        <v>1250</v>
      </c>
      <c r="I1647" s="16">
        <f>VLOOKUP(B:B,'[1]Master Sheet'!$B:$I,8,0)</f>
        <v>0</v>
      </c>
      <c r="J1647" s="2"/>
      <c r="K1647" s="3" t="s">
        <v>3000</v>
      </c>
      <c r="L1647" s="3" t="s">
        <v>3059</v>
      </c>
      <c r="M1647" s="3" t="s">
        <v>3056</v>
      </c>
      <c r="N1647" s="3"/>
      <c r="O1647" s="3"/>
    </row>
    <row r="1648" spans="1:15" s="4" customFormat="1">
      <c r="A1648" s="2">
        <v>1651</v>
      </c>
      <c r="B1648" s="3" t="s">
        <v>3482</v>
      </c>
      <c r="C1648" s="3" t="s">
        <v>3483</v>
      </c>
      <c r="D1648" s="2" t="s">
        <v>20</v>
      </c>
      <c r="E1648" s="2" t="s">
        <v>8</v>
      </c>
      <c r="F1648" s="2"/>
      <c r="G1648" s="2"/>
      <c r="H1648" s="16">
        <f>VLOOKUP(B:B,'[1]Master Sheet'!$B:$H,7,0)</f>
        <v>600</v>
      </c>
      <c r="I1648" s="16">
        <f>VLOOKUP(B:B,'[1]Master Sheet'!$B:$I,8,0)</f>
        <v>500</v>
      </c>
      <c r="J1648" s="2"/>
      <c r="K1648" s="3" t="s">
        <v>3000</v>
      </c>
      <c r="L1648" s="3" t="s">
        <v>3059</v>
      </c>
      <c r="M1648" s="3" t="s">
        <v>3056</v>
      </c>
      <c r="N1648" s="3"/>
      <c r="O1648" s="3"/>
    </row>
    <row r="1649" spans="1:15" s="4" customFormat="1">
      <c r="A1649" s="2">
        <v>1652</v>
      </c>
      <c r="B1649" s="3" t="s">
        <v>3484</v>
      </c>
      <c r="C1649" s="3" t="s">
        <v>3485</v>
      </c>
      <c r="D1649" s="2" t="s">
        <v>20</v>
      </c>
      <c r="E1649" s="2" t="s">
        <v>8</v>
      </c>
      <c r="F1649" s="2"/>
      <c r="G1649" s="2"/>
      <c r="H1649" s="16">
        <f>VLOOKUP(B:B,'[1]Master Sheet'!$B:$H,7,0)</f>
        <v>1250</v>
      </c>
      <c r="I1649" s="16">
        <f>VLOOKUP(B:B,'[1]Master Sheet'!$B:$I,8,0)</f>
        <v>0</v>
      </c>
      <c r="J1649" s="2"/>
      <c r="K1649" s="3" t="s">
        <v>3000</v>
      </c>
      <c r="L1649" s="3" t="s">
        <v>3059</v>
      </c>
      <c r="M1649" s="3" t="s">
        <v>3056</v>
      </c>
      <c r="N1649" s="3"/>
      <c r="O1649" s="3"/>
    </row>
    <row r="1650" spans="1:15" s="4" customFormat="1">
      <c r="A1650" s="2">
        <v>1653</v>
      </c>
      <c r="B1650" s="19" t="s">
        <v>3486</v>
      </c>
      <c r="C1650" s="19" t="s">
        <v>3487</v>
      </c>
      <c r="D1650" s="2" t="s">
        <v>7</v>
      </c>
      <c r="E1650" s="2" t="s">
        <v>8</v>
      </c>
      <c r="F1650" s="2"/>
      <c r="G1650" s="2"/>
      <c r="H1650" s="16">
        <f>VLOOKUP(B:B,'[1]Master Sheet'!$B:$H,7,0)</f>
        <v>500</v>
      </c>
      <c r="I1650" s="16">
        <f>VLOOKUP(B:B,'[1]Master Sheet'!$B:$I,8,0)</f>
        <v>0</v>
      </c>
      <c r="J1650" s="2"/>
      <c r="K1650" s="3" t="s">
        <v>2965</v>
      </c>
      <c r="L1650" s="3" t="s">
        <v>3055</v>
      </c>
      <c r="M1650" s="3" t="s">
        <v>3056</v>
      </c>
      <c r="N1650" s="3"/>
      <c r="O1650" s="3"/>
    </row>
    <row r="1651" spans="1:15" s="4" customFormat="1">
      <c r="A1651" s="2">
        <v>1654</v>
      </c>
      <c r="B1651" s="19" t="s">
        <v>3488</v>
      </c>
      <c r="C1651" s="19" t="s">
        <v>3489</v>
      </c>
      <c r="D1651" s="2" t="s">
        <v>17</v>
      </c>
      <c r="E1651" s="2" t="s">
        <v>8</v>
      </c>
      <c r="F1651" s="2"/>
      <c r="G1651" s="2"/>
      <c r="H1651" s="16">
        <f>VLOOKUP(B:B,'[1]Master Sheet'!$B:$H,7,0)</f>
        <v>600</v>
      </c>
      <c r="I1651" s="16">
        <f>VLOOKUP(B:B,'[1]Master Sheet'!$B:$I,8,0)</f>
        <v>0</v>
      </c>
      <c r="J1651" s="2"/>
      <c r="K1651" s="3" t="s">
        <v>3012</v>
      </c>
      <c r="L1651" s="3" t="s">
        <v>3057</v>
      </c>
      <c r="M1651" s="3" t="s">
        <v>3056</v>
      </c>
      <c r="N1651" s="3"/>
      <c r="O1651" s="3"/>
    </row>
    <row r="1652" spans="1:15" s="4" customFormat="1">
      <c r="A1652" s="2">
        <v>1655</v>
      </c>
      <c r="B1652" s="19" t="s">
        <v>3490</v>
      </c>
      <c r="C1652" s="19" t="s">
        <v>3491</v>
      </c>
      <c r="D1652" s="2" t="s">
        <v>17</v>
      </c>
      <c r="E1652" s="2" t="s">
        <v>8</v>
      </c>
      <c r="F1652" s="2"/>
      <c r="G1652" s="2"/>
      <c r="H1652" s="16">
        <f>VLOOKUP(B:B,'[1]Master Sheet'!$B:$H,7,0)</f>
        <v>900</v>
      </c>
      <c r="I1652" s="16">
        <f>VLOOKUP(B:B,'[1]Master Sheet'!$B:$I,8,0)</f>
        <v>0</v>
      </c>
      <c r="J1652" s="2"/>
      <c r="K1652" s="3" t="s">
        <v>3012</v>
      </c>
      <c r="L1652" s="3" t="s">
        <v>3057</v>
      </c>
      <c r="M1652" s="3" t="s">
        <v>3056</v>
      </c>
      <c r="N1652" s="3"/>
      <c r="O1652" s="3"/>
    </row>
    <row r="1653" spans="1:15" s="4" customFormat="1">
      <c r="A1653" s="2">
        <v>1656</v>
      </c>
      <c r="B1653" s="19" t="s">
        <v>3492</v>
      </c>
      <c r="C1653" s="19" t="s">
        <v>3493</v>
      </c>
      <c r="D1653" s="2" t="s">
        <v>17</v>
      </c>
      <c r="E1653" s="2" t="s">
        <v>8</v>
      </c>
      <c r="F1653" s="2"/>
      <c r="G1653" s="2"/>
      <c r="H1653" s="16">
        <f>VLOOKUP(B:B,'[1]Master Sheet'!$B:$H,7,0)</f>
        <v>900</v>
      </c>
      <c r="I1653" s="16">
        <f>VLOOKUP(B:B,'[1]Master Sheet'!$B:$I,8,0)</f>
        <v>0</v>
      </c>
      <c r="J1653" s="2"/>
      <c r="K1653" s="3" t="s">
        <v>3012</v>
      </c>
      <c r="L1653" s="3" t="s">
        <v>3057</v>
      </c>
      <c r="M1653" s="3" t="s">
        <v>3056</v>
      </c>
      <c r="N1653" s="3"/>
      <c r="O1653" s="3"/>
    </row>
    <row r="1654" spans="1:15" s="4" customFormat="1">
      <c r="A1654" s="2">
        <v>1657</v>
      </c>
      <c r="B1654" s="19" t="s">
        <v>3494</v>
      </c>
      <c r="C1654" s="19" t="s">
        <v>3495</v>
      </c>
      <c r="D1654" s="2" t="s">
        <v>17</v>
      </c>
      <c r="E1654" s="2" t="s">
        <v>8</v>
      </c>
      <c r="F1654" s="2"/>
      <c r="G1654" s="2"/>
      <c r="H1654" s="16">
        <f>VLOOKUP(B:B,'[1]Master Sheet'!$B:$H,7,0)</f>
        <v>600</v>
      </c>
      <c r="I1654" s="16">
        <f>VLOOKUP(B:B,'[1]Master Sheet'!$B:$I,8,0)</f>
        <v>0</v>
      </c>
      <c r="J1654" s="2"/>
      <c r="K1654" s="3" t="s">
        <v>3012</v>
      </c>
      <c r="L1654" s="3" t="s">
        <v>3057</v>
      </c>
      <c r="M1654" s="3" t="s">
        <v>3056</v>
      </c>
      <c r="N1654" s="3"/>
      <c r="O1654" s="3"/>
    </row>
    <row r="1655" spans="1:15" s="4" customFormat="1">
      <c r="A1655" s="2">
        <v>1658</v>
      </c>
      <c r="B1655" s="19" t="s">
        <v>3496</v>
      </c>
      <c r="C1655" s="19" t="s">
        <v>3497</v>
      </c>
      <c r="D1655" s="2" t="s">
        <v>17</v>
      </c>
      <c r="E1655" s="2" t="s">
        <v>8</v>
      </c>
      <c r="F1655" s="2"/>
      <c r="G1655" s="2"/>
      <c r="H1655" s="16">
        <f>VLOOKUP(B:B,'[1]Master Sheet'!$B:$H,7,0)</f>
        <v>600</v>
      </c>
      <c r="I1655" s="16">
        <f>VLOOKUP(B:B,'[1]Master Sheet'!$B:$I,8,0)</f>
        <v>0</v>
      </c>
      <c r="J1655" s="2"/>
      <c r="K1655" s="3" t="s">
        <v>3012</v>
      </c>
      <c r="L1655" s="3" t="s">
        <v>3057</v>
      </c>
      <c r="M1655" s="3" t="s">
        <v>3056</v>
      </c>
      <c r="N1655" s="3"/>
      <c r="O1655" s="3"/>
    </row>
    <row r="1656" spans="1:15" s="4" customFormat="1">
      <c r="A1656" s="2">
        <v>1659</v>
      </c>
      <c r="B1656" s="19" t="s">
        <v>3498</v>
      </c>
      <c r="C1656" s="19" t="s">
        <v>3499</v>
      </c>
      <c r="D1656" s="2" t="s">
        <v>17</v>
      </c>
      <c r="E1656" s="2" t="s">
        <v>8</v>
      </c>
      <c r="F1656" s="2"/>
      <c r="G1656" s="2"/>
      <c r="H1656" s="16">
        <f>VLOOKUP(B:B,'[1]Master Sheet'!$B:$H,7,0)</f>
        <v>1500</v>
      </c>
      <c r="I1656" s="16">
        <f>VLOOKUP(B:B,'[1]Master Sheet'!$B:$I,8,0)</f>
        <v>0</v>
      </c>
      <c r="J1656" s="2"/>
      <c r="K1656" s="3" t="s">
        <v>3012</v>
      </c>
      <c r="L1656" s="3" t="s">
        <v>3057</v>
      </c>
      <c r="M1656" s="3" t="s">
        <v>3056</v>
      </c>
      <c r="N1656" s="3"/>
      <c r="O1656" s="3"/>
    </row>
    <row r="1657" spans="1:15" s="4" customFormat="1">
      <c r="A1657" s="2">
        <v>1660</v>
      </c>
      <c r="B1657" s="19" t="s">
        <v>3500</v>
      </c>
      <c r="C1657" s="19" t="s">
        <v>3501</v>
      </c>
      <c r="D1657" s="2" t="s">
        <v>17</v>
      </c>
      <c r="E1657" s="2" t="s">
        <v>8</v>
      </c>
      <c r="F1657" s="2"/>
      <c r="G1657" s="2"/>
      <c r="H1657" s="16">
        <f>VLOOKUP(B:B,'[1]Master Sheet'!$B:$H,7,0)</f>
        <v>1500</v>
      </c>
      <c r="I1657" s="16">
        <f>VLOOKUP(B:B,'[1]Master Sheet'!$B:$I,8,0)</f>
        <v>0</v>
      </c>
      <c r="J1657" s="2"/>
      <c r="K1657" s="3" t="s">
        <v>3012</v>
      </c>
      <c r="L1657" s="3" t="s">
        <v>3057</v>
      </c>
      <c r="M1657" s="3" t="s">
        <v>3056</v>
      </c>
      <c r="N1657" s="3"/>
      <c r="O1657" s="3"/>
    </row>
    <row r="1658" spans="1:15" s="4" customFormat="1">
      <c r="A1658" s="2">
        <v>1661</v>
      </c>
      <c r="B1658" s="19" t="s">
        <v>3502</v>
      </c>
      <c r="C1658" s="19" t="s">
        <v>3503</v>
      </c>
      <c r="D1658" s="2" t="s">
        <v>17</v>
      </c>
      <c r="E1658" s="2" t="s">
        <v>8</v>
      </c>
      <c r="F1658" s="2"/>
      <c r="G1658" s="2"/>
      <c r="H1658" s="16">
        <f>VLOOKUP(B:B,'[1]Master Sheet'!$B:$H,7,0)</f>
        <v>150</v>
      </c>
      <c r="I1658" s="16">
        <f>VLOOKUP(B:B,'[1]Master Sheet'!$B:$I,8,0)</f>
        <v>0</v>
      </c>
      <c r="J1658" s="2"/>
      <c r="K1658" s="3" t="s">
        <v>3012</v>
      </c>
      <c r="L1658" s="3" t="s">
        <v>3057</v>
      </c>
      <c r="M1658" s="3" t="s">
        <v>3056</v>
      </c>
      <c r="N1658" s="3"/>
      <c r="O1658" s="3"/>
    </row>
    <row r="1659" spans="1:15" s="4" customFormat="1">
      <c r="A1659" s="2">
        <v>1662</v>
      </c>
      <c r="B1659" s="19" t="s">
        <v>3504</v>
      </c>
      <c r="C1659" s="19" t="s">
        <v>3505</v>
      </c>
      <c r="D1659" s="2" t="s">
        <v>17</v>
      </c>
      <c r="E1659" s="2" t="s">
        <v>8</v>
      </c>
      <c r="F1659" s="2"/>
      <c r="G1659" s="2"/>
      <c r="H1659" s="16">
        <f>VLOOKUP(B:B,'[1]Master Sheet'!$B:$H,7,0)</f>
        <v>100</v>
      </c>
      <c r="I1659" s="16">
        <f>VLOOKUP(B:B,'[1]Master Sheet'!$B:$I,8,0)</f>
        <v>0</v>
      </c>
      <c r="J1659" s="2"/>
      <c r="K1659" s="3" t="s">
        <v>3012</v>
      </c>
      <c r="L1659" s="3" t="s">
        <v>3057</v>
      </c>
      <c r="M1659" s="3" t="s">
        <v>3056</v>
      </c>
      <c r="N1659" s="3"/>
      <c r="O1659" s="3"/>
    </row>
    <row r="1660" spans="1:15" s="4" customFormat="1">
      <c r="A1660" s="2">
        <v>1663</v>
      </c>
      <c r="B1660" s="19" t="s">
        <v>3506</v>
      </c>
      <c r="C1660" s="19" t="s">
        <v>3507</v>
      </c>
      <c r="D1660" s="2" t="s">
        <v>17</v>
      </c>
      <c r="E1660" s="2" t="s">
        <v>8</v>
      </c>
      <c r="F1660" s="2"/>
      <c r="G1660" s="2"/>
      <c r="H1660" s="16">
        <f>VLOOKUP(B:B,'[1]Master Sheet'!$B:$H,7,0)</f>
        <v>100</v>
      </c>
      <c r="I1660" s="16">
        <f>VLOOKUP(B:B,'[1]Master Sheet'!$B:$I,8,0)</f>
        <v>0</v>
      </c>
      <c r="J1660" s="2"/>
      <c r="K1660" s="3" t="s">
        <v>3012</v>
      </c>
      <c r="L1660" s="3" t="s">
        <v>3057</v>
      </c>
      <c r="M1660" s="3" t="s">
        <v>3056</v>
      </c>
      <c r="N1660" s="3"/>
      <c r="O1660" s="3"/>
    </row>
    <row r="1661" spans="1:15" s="4" customFormat="1">
      <c r="A1661" s="2">
        <v>1664</v>
      </c>
      <c r="B1661" s="19" t="s">
        <v>3508</v>
      </c>
      <c r="C1661" s="19" t="s">
        <v>3509</v>
      </c>
      <c r="D1661" s="2" t="s">
        <v>17</v>
      </c>
      <c r="E1661" s="2" t="s">
        <v>8</v>
      </c>
      <c r="F1661" s="2"/>
      <c r="G1661" s="2"/>
      <c r="H1661" s="16">
        <f>VLOOKUP(B:B,'[1]Master Sheet'!$B:$H,7,0)</f>
        <v>10</v>
      </c>
      <c r="I1661" s="16">
        <f>VLOOKUP(B:B,'[1]Master Sheet'!$B:$I,8,0)</f>
        <v>0</v>
      </c>
      <c r="J1661" s="2"/>
      <c r="K1661" s="3" t="s">
        <v>3012</v>
      </c>
      <c r="L1661" s="3" t="s">
        <v>3057</v>
      </c>
      <c r="M1661" s="3" t="s">
        <v>3056</v>
      </c>
      <c r="N1661" s="3"/>
      <c r="O1661" s="3"/>
    </row>
    <row r="1662" spans="1:15" s="4" customFormat="1">
      <c r="A1662" s="2">
        <v>1665</v>
      </c>
      <c r="B1662" s="19" t="s">
        <v>3510</v>
      </c>
      <c r="C1662" s="19" t="s">
        <v>3511</v>
      </c>
      <c r="D1662" s="2" t="s">
        <v>17</v>
      </c>
      <c r="E1662" s="2" t="s">
        <v>8</v>
      </c>
      <c r="F1662" s="2"/>
      <c r="G1662" s="2"/>
      <c r="H1662" s="16">
        <f>VLOOKUP(B:B,'[1]Master Sheet'!$B:$H,7,0)</f>
        <v>10</v>
      </c>
      <c r="I1662" s="16">
        <f>VLOOKUP(B:B,'[1]Master Sheet'!$B:$I,8,0)</f>
        <v>0</v>
      </c>
      <c r="J1662" s="2"/>
      <c r="K1662" s="3" t="s">
        <v>3012</v>
      </c>
      <c r="L1662" s="3" t="s">
        <v>3057</v>
      </c>
      <c r="M1662" s="3" t="s">
        <v>3056</v>
      </c>
      <c r="N1662" s="3"/>
      <c r="O1662" s="3"/>
    </row>
    <row r="1663" spans="1:15" s="4" customFormat="1">
      <c r="A1663" s="2">
        <v>1666</v>
      </c>
      <c r="B1663" s="19" t="s">
        <v>3512</v>
      </c>
      <c r="C1663" s="19" t="s">
        <v>3513</v>
      </c>
      <c r="D1663" s="2" t="s">
        <v>17</v>
      </c>
      <c r="E1663" s="2" t="s">
        <v>8</v>
      </c>
      <c r="F1663" s="2"/>
      <c r="G1663" s="2"/>
      <c r="H1663" s="16">
        <f>VLOOKUP(B:B,'[1]Master Sheet'!$B:$H,7,0)</f>
        <v>10</v>
      </c>
      <c r="I1663" s="16">
        <f>VLOOKUP(B:B,'[1]Master Sheet'!$B:$I,8,0)</f>
        <v>0</v>
      </c>
      <c r="J1663" s="2"/>
      <c r="K1663" s="3" t="s">
        <v>3012</v>
      </c>
      <c r="L1663" s="3" t="s">
        <v>3057</v>
      </c>
      <c r="M1663" s="3" t="s">
        <v>3056</v>
      </c>
      <c r="N1663" s="3"/>
      <c r="O1663" s="3"/>
    </row>
    <row r="1664" spans="1:15" s="4" customFormat="1">
      <c r="A1664" s="2">
        <v>1667</v>
      </c>
      <c r="B1664" s="19" t="s">
        <v>3514</v>
      </c>
      <c r="C1664" s="19" t="s">
        <v>3515</v>
      </c>
      <c r="D1664" s="2" t="s">
        <v>17</v>
      </c>
      <c r="E1664" s="2" t="s">
        <v>8</v>
      </c>
      <c r="F1664" s="2"/>
      <c r="G1664" s="2"/>
      <c r="H1664" s="16">
        <f>VLOOKUP(B:B,'[1]Master Sheet'!$B:$H,7,0)</f>
        <v>10</v>
      </c>
      <c r="I1664" s="16">
        <f>VLOOKUP(B:B,'[1]Master Sheet'!$B:$I,8,0)</f>
        <v>0</v>
      </c>
      <c r="J1664" s="2"/>
      <c r="K1664" s="3" t="s">
        <v>3012</v>
      </c>
      <c r="L1664" s="3" t="s">
        <v>3057</v>
      </c>
      <c r="M1664" s="3" t="s">
        <v>3056</v>
      </c>
      <c r="N1664" s="3"/>
      <c r="O1664" s="3"/>
    </row>
    <row r="1665" spans="1:15" s="4" customFormat="1">
      <c r="A1665" s="2">
        <v>1668</v>
      </c>
      <c r="B1665" s="20" t="s">
        <v>3516</v>
      </c>
      <c r="C1665" s="20" t="s">
        <v>3517</v>
      </c>
      <c r="D1665" s="2" t="s">
        <v>17</v>
      </c>
      <c r="E1665" s="2" t="s">
        <v>8</v>
      </c>
      <c r="F1665" s="2"/>
      <c r="G1665" s="2"/>
      <c r="H1665" s="16">
        <f>VLOOKUP(B:B,'[1]Master Sheet'!$B:$H,7,0)</f>
        <v>7000</v>
      </c>
      <c r="I1665" s="16">
        <f>VLOOKUP(B:B,'[1]Master Sheet'!$B:$I,8,0)</f>
        <v>10000</v>
      </c>
      <c r="J1665" s="2"/>
      <c r="K1665" s="3" t="s">
        <v>2991</v>
      </c>
      <c r="L1665" s="3" t="s">
        <v>3057</v>
      </c>
      <c r="M1665" s="3" t="s">
        <v>3056</v>
      </c>
      <c r="N1665" s="3"/>
      <c r="O1665" s="3"/>
    </row>
    <row r="1666" spans="1:15" s="4" customFormat="1" ht="25.5">
      <c r="A1666" s="2">
        <v>1669</v>
      </c>
      <c r="B1666" s="20" t="s">
        <v>3518</v>
      </c>
      <c r="C1666" s="20" t="s">
        <v>3519</v>
      </c>
      <c r="D1666" s="21" t="s">
        <v>17</v>
      </c>
      <c r="E1666" s="21" t="s">
        <v>8</v>
      </c>
      <c r="F1666" s="2"/>
      <c r="G1666" s="2"/>
      <c r="H1666" s="16">
        <f>VLOOKUP(B:B,'[1]Master Sheet'!$B:$H,7,0)</f>
        <v>1000</v>
      </c>
      <c r="I1666" s="16">
        <f>VLOOKUP(B:B,'[1]Master Sheet'!$B:$I,8,0)</f>
        <v>2000</v>
      </c>
      <c r="J1666" s="2"/>
      <c r="K1666" s="3" t="s">
        <v>2972</v>
      </c>
      <c r="L1666" s="3" t="s">
        <v>3057</v>
      </c>
      <c r="M1666" s="3" t="s">
        <v>3056</v>
      </c>
      <c r="N1666" s="3"/>
      <c r="O1666" s="3"/>
    </row>
    <row r="1667" spans="1:15" s="4" customFormat="1">
      <c r="A1667" s="2">
        <v>1670</v>
      </c>
      <c r="B1667" s="3" t="s">
        <v>3520</v>
      </c>
      <c r="C1667" s="3" t="s">
        <v>3521</v>
      </c>
      <c r="D1667" s="2" t="s">
        <v>7</v>
      </c>
      <c r="E1667" s="21" t="s">
        <v>8</v>
      </c>
      <c r="F1667" s="2"/>
      <c r="G1667" s="2"/>
      <c r="H1667" s="16">
        <f>VLOOKUP(B:B,'[1]Master Sheet'!$B:$H,7,0)</f>
        <v>2000</v>
      </c>
      <c r="I1667" s="16">
        <f>VLOOKUP(B:B,'[1]Master Sheet'!$B:$I,8,0)</f>
        <v>0</v>
      </c>
      <c r="J1667" s="2"/>
      <c r="K1667" s="3" t="s">
        <v>2965</v>
      </c>
      <c r="L1667" s="3" t="s">
        <v>3060</v>
      </c>
      <c r="M1667" s="3" t="s">
        <v>3058</v>
      </c>
      <c r="N1667" s="3"/>
      <c r="O1667" s="3"/>
    </row>
    <row r="1668" spans="1:15" s="4" customFormat="1">
      <c r="A1668" s="2">
        <v>1671</v>
      </c>
      <c r="B1668" s="3" t="s">
        <v>3522</v>
      </c>
      <c r="C1668" s="3" t="s">
        <v>3523</v>
      </c>
      <c r="D1668" s="2" t="s">
        <v>17</v>
      </c>
      <c r="E1668" s="21" t="s">
        <v>8</v>
      </c>
      <c r="F1668" s="2"/>
      <c r="G1668" s="2"/>
      <c r="H1668" s="16">
        <f>VLOOKUP(B:B,'[1]Master Sheet'!$B:$H,7,0)</f>
        <v>0</v>
      </c>
      <c r="I1668" s="16">
        <f>VLOOKUP(B:B,'[1]Master Sheet'!$B:$I,8,0)</f>
        <v>0</v>
      </c>
      <c r="J1668" s="2"/>
      <c r="K1668" s="3" t="s">
        <v>2991</v>
      </c>
      <c r="L1668" s="3" t="s">
        <v>3057</v>
      </c>
      <c r="M1668" s="3" t="s">
        <v>3056</v>
      </c>
      <c r="N1668" s="3"/>
      <c r="O1668" s="3"/>
    </row>
    <row r="1669" spans="1:15" s="4" customFormat="1">
      <c r="A1669" s="2">
        <v>1672</v>
      </c>
      <c r="B1669" s="3" t="s">
        <v>3524</v>
      </c>
      <c r="C1669" s="3" t="s">
        <v>3525</v>
      </c>
      <c r="D1669" s="2" t="s">
        <v>17</v>
      </c>
      <c r="E1669" s="21" t="s">
        <v>8</v>
      </c>
      <c r="F1669" s="2"/>
      <c r="G1669" s="2"/>
      <c r="H1669" s="16">
        <f>VLOOKUP(B:B,'[1]Master Sheet'!$B:$H,7,0)</f>
        <v>7000</v>
      </c>
      <c r="I1669" s="16">
        <f>VLOOKUP(B:B,'[1]Master Sheet'!$B:$I,8,0)</f>
        <v>0</v>
      </c>
      <c r="J1669" s="2"/>
      <c r="K1669" s="3" t="s">
        <v>2972</v>
      </c>
      <c r="L1669" s="3" t="s">
        <v>3057</v>
      </c>
      <c r="M1669" s="3" t="s">
        <v>3056</v>
      </c>
      <c r="N1669" s="3"/>
      <c r="O1669" s="3"/>
    </row>
    <row r="1670" spans="1:15" s="4" customFormat="1">
      <c r="A1670" s="2">
        <v>1673</v>
      </c>
      <c r="B1670" s="3" t="s">
        <v>3526</v>
      </c>
      <c r="C1670" s="3" t="s">
        <v>3527</v>
      </c>
      <c r="D1670" s="2" t="s">
        <v>7</v>
      </c>
      <c r="E1670" s="21" t="s">
        <v>8</v>
      </c>
      <c r="F1670" s="2"/>
      <c r="G1670" s="2"/>
      <c r="H1670" s="16">
        <f>VLOOKUP(B:B,'[1]Master Sheet'!$B:$H,7,0)</f>
        <v>100</v>
      </c>
      <c r="I1670" s="16">
        <f>VLOOKUP(B:B,'[1]Master Sheet'!$B:$I,8,0)</f>
        <v>0</v>
      </c>
      <c r="J1670" s="2"/>
      <c r="K1670" s="3" t="s">
        <v>2965</v>
      </c>
      <c r="L1670" s="3" t="s">
        <v>3060</v>
      </c>
      <c r="M1670" s="3" t="s">
        <v>3058</v>
      </c>
      <c r="N1670" s="3"/>
      <c r="O1670" s="3"/>
    </row>
    <row r="1671" spans="1:15" s="4" customFormat="1">
      <c r="A1671" s="2">
        <v>1674</v>
      </c>
      <c r="B1671" s="3" t="s">
        <v>3528</v>
      </c>
      <c r="C1671" s="3" t="s">
        <v>3529</v>
      </c>
      <c r="D1671" s="2" t="s">
        <v>17</v>
      </c>
      <c r="E1671" s="21" t="s">
        <v>8</v>
      </c>
      <c r="F1671" s="2"/>
      <c r="G1671" s="2"/>
      <c r="H1671" s="16">
        <f>VLOOKUP(B:B,'[1]Master Sheet'!$B:$H,7,0)</f>
        <v>1500</v>
      </c>
      <c r="I1671" s="16">
        <f>VLOOKUP(B:B,'[1]Master Sheet'!$B:$I,8,0)</f>
        <v>0</v>
      </c>
      <c r="J1671" s="2"/>
      <c r="K1671" s="3" t="s">
        <v>3012</v>
      </c>
      <c r="L1671" s="3" t="s">
        <v>3057</v>
      </c>
      <c r="M1671" s="3" t="s">
        <v>3056</v>
      </c>
      <c r="N1671" s="3"/>
      <c r="O1671" s="3"/>
    </row>
    <row r="1672" spans="1:15" s="4" customFormat="1">
      <c r="A1672" s="2">
        <v>1675</v>
      </c>
      <c r="B1672" s="3" t="s">
        <v>3530</v>
      </c>
      <c r="C1672" s="3" t="s">
        <v>3531</v>
      </c>
      <c r="D1672" s="2" t="s">
        <v>17</v>
      </c>
      <c r="E1672" s="21" t="s">
        <v>8</v>
      </c>
      <c r="F1672" s="2"/>
      <c r="G1672" s="2"/>
      <c r="H1672" s="16">
        <f>VLOOKUP(B:B,'[1]Master Sheet'!$B:$H,7,0)</f>
        <v>10</v>
      </c>
      <c r="I1672" s="16">
        <f>VLOOKUP(B:B,'[1]Master Sheet'!$B:$I,8,0)</f>
        <v>0</v>
      </c>
      <c r="J1672" s="2"/>
      <c r="K1672" s="3" t="s">
        <v>3012</v>
      </c>
      <c r="L1672" s="3" t="s">
        <v>3057</v>
      </c>
      <c r="M1672" s="3" t="s">
        <v>3056</v>
      </c>
      <c r="N1672" s="3"/>
      <c r="O1672" s="3"/>
    </row>
    <row r="1673" spans="1:15" s="4" customFormat="1">
      <c r="A1673" s="2">
        <v>1676</v>
      </c>
      <c r="B1673" s="3" t="s">
        <v>3532</v>
      </c>
      <c r="C1673" s="3" t="s">
        <v>2816</v>
      </c>
      <c r="D1673" s="2" t="s">
        <v>17</v>
      </c>
      <c r="E1673" s="21" t="s">
        <v>8</v>
      </c>
      <c r="F1673" s="2"/>
      <c r="G1673" s="2"/>
      <c r="H1673" s="16">
        <f>VLOOKUP(B:B,'[1]Master Sheet'!$B:$H,7,0)</f>
        <v>10</v>
      </c>
      <c r="I1673" s="16">
        <f>VLOOKUP(B:B,'[1]Master Sheet'!$B:$I,8,0)</f>
        <v>0</v>
      </c>
      <c r="J1673" s="2"/>
      <c r="K1673" s="3" t="s">
        <v>3012</v>
      </c>
      <c r="L1673" s="3" t="s">
        <v>3057</v>
      </c>
      <c r="M1673" s="3" t="s">
        <v>3056</v>
      </c>
      <c r="N1673" s="3"/>
      <c r="O1673" s="3"/>
    </row>
    <row r="1674" spans="1:15" s="4" customFormat="1">
      <c r="A1674" s="2">
        <v>1677</v>
      </c>
      <c r="B1674" s="3" t="s">
        <v>3533</v>
      </c>
      <c r="C1674" s="3" t="s">
        <v>3534</v>
      </c>
      <c r="D1674" s="2" t="s">
        <v>17</v>
      </c>
      <c r="E1674" s="21" t="s">
        <v>8</v>
      </c>
      <c r="F1674" s="2"/>
      <c r="G1674" s="2"/>
      <c r="H1674" s="16">
        <f>VLOOKUP(B:B,'[1]Master Sheet'!$B:$H,7,0)</f>
        <v>1500</v>
      </c>
      <c r="I1674" s="16">
        <f>VLOOKUP(B:B,'[1]Master Sheet'!$B:$I,8,0)</f>
        <v>0</v>
      </c>
      <c r="J1674" s="2"/>
      <c r="K1674" s="3" t="s">
        <v>3012</v>
      </c>
      <c r="L1674" s="3" t="s">
        <v>3057</v>
      </c>
      <c r="M1674" s="3" t="s">
        <v>3056</v>
      </c>
      <c r="N1674" s="3"/>
      <c r="O1674" s="3"/>
    </row>
    <row r="1675" spans="1:15" s="4" customFormat="1">
      <c r="A1675" s="2">
        <v>1678</v>
      </c>
      <c r="B1675" s="3" t="s">
        <v>3535</v>
      </c>
      <c r="C1675" s="3" t="s">
        <v>3536</v>
      </c>
      <c r="D1675" s="2" t="s">
        <v>17</v>
      </c>
      <c r="E1675" s="21" t="s">
        <v>8</v>
      </c>
      <c r="F1675" s="2"/>
      <c r="G1675" s="2"/>
      <c r="H1675" s="16">
        <f>VLOOKUP(B:B,'[1]Master Sheet'!$B:$H,7,0)</f>
        <v>10</v>
      </c>
      <c r="I1675" s="16">
        <f>VLOOKUP(B:B,'[1]Master Sheet'!$B:$I,8,0)</f>
        <v>0</v>
      </c>
      <c r="J1675" s="2"/>
      <c r="K1675" s="3" t="s">
        <v>3012</v>
      </c>
      <c r="L1675" s="3" t="s">
        <v>3057</v>
      </c>
      <c r="M1675" s="3" t="s">
        <v>3056</v>
      </c>
      <c r="N1675" s="3"/>
      <c r="O1675" s="3"/>
    </row>
    <row r="1676" spans="1:15" s="4" customFormat="1">
      <c r="A1676" s="2">
        <v>1679</v>
      </c>
      <c r="B1676" s="3" t="s">
        <v>3537</v>
      </c>
      <c r="C1676" s="3" t="s">
        <v>2824</v>
      </c>
      <c r="D1676" s="2" t="s">
        <v>17</v>
      </c>
      <c r="E1676" s="21" t="s">
        <v>8</v>
      </c>
      <c r="F1676" s="2"/>
      <c r="G1676" s="2"/>
      <c r="H1676" s="16">
        <f>VLOOKUP(B:B,'[1]Master Sheet'!$B:$H,7,0)</f>
        <v>10</v>
      </c>
      <c r="I1676" s="16">
        <f>VLOOKUP(B:B,'[1]Master Sheet'!$B:$I,8,0)</f>
        <v>0</v>
      </c>
      <c r="J1676" s="2"/>
      <c r="K1676" s="3" t="s">
        <v>3012</v>
      </c>
      <c r="L1676" s="3" t="s">
        <v>3057</v>
      </c>
      <c r="M1676" s="3" t="s">
        <v>3056</v>
      </c>
      <c r="N1676" s="3"/>
      <c r="O1676" s="3"/>
    </row>
    <row r="1677" spans="1:15" s="4" customFormat="1">
      <c r="A1677" s="2">
        <v>1680</v>
      </c>
      <c r="B1677" s="3" t="s">
        <v>3538</v>
      </c>
      <c r="C1677" s="3" t="s">
        <v>3539</v>
      </c>
      <c r="D1677" s="2" t="s">
        <v>17</v>
      </c>
      <c r="E1677" s="21" t="s">
        <v>8</v>
      </c>
      <c r="F1677" s="2"/>
      <c r="G1677" s="2"/>
      <c r="H1677" s="16">
        <f>VLOOKUP(B:B,'[1]Master Sheet'!$B:$H,7,0)</f>
        <v>10</v>
      </c>
      <c r="I1677" s="16">
        <f>VLOOKUP(B:B,'[1]Master Sheet'!$B:$I,8,0)</f>
        <v>0</v>
      </c>
      <c r="J1677" s="2"/>
      <c r="K1677" s="3" t="s">
        <v>3012</v>
      </c>
      <c r="L1677" s="3" t="s">
        <v>3057</v>
      </c>
      <c r="M1677" s="3" t="s">
        <v>3056</v>
      </c>
      <c r="N1677" s="3"/>
      <c r="O1677" s="3"/>
    </row>
    <row r="1678" spans="1:15" s="4" customFormat="1">
      <c r="A1678" s="2">
        <v>1681</v>
      </c>
      <c r="B1678" s="3" t="s">
        <v>3540</v>
      </c>
      <c r="C1678" s="3" t="s">
        <v>2836</v>
      </c>
      <c r="D1678" s="2" t="s">
        <v>17</v>
      </c>
      <c r="E1678" s="21" t="s">
        <v>8</v>
      </c>
      <c r="F1678" s="2"/>
      <c r="G1678" s="2"/>
      <c r="H1678" s="16">
        <f>VLOOKUP(B:B,'[1]Master Sheet'!$B:$H,7,0)</f>
        <v>10</v>
      </c>
      <c r="I1678" s="16">
        <f>VLOOKUP(B:B,'[1]Master Sheet'!$B:$I,8,0)</f>
        <v>0</v>
      </c>
      <c r="J1678" s="2"/>
      <c r="K1678" s="3" t="s">
        <v>3012</v>
      </c>
      <c r="L1678" s="3" t="s">
        <v>3057</v>
      </c>
      <c r="M1678" s="3" t="s">
        <v>3056</v>
      </c>
      <c r="N1678" s="3"/>
      <c r="O1678" s="3"/>
    </row>
    <row r="1679" spans="1:15" s="4" customFormat="1">
      <c r="A1679" s="2">
        <v>1682</v>
      </c>
      <c r="B1679" s="3" t="s">
        <v>3541</v>
      </c>
      <c r="C1679" s="3" t="s">
        <v>3542</v>
      </c>
      <c r="D1679" s="2" t="s">
        <v>17</v>
      </c>
      <c r="E1679" s="21" t="s">
        <v>8</v>
      </c>
      <c r="F1679" s="2"/>
      <c r="G1679" s="2"/>
      <c r="H1679" s="16">
        <f>VLOOKUP(B:B,'[1]Master Sheet'!$B:$H,7,0)</f>
        <v>10</v>
      </c>
      <c r="I1679" s="16">
        <f>VLOOKUP(B:B,'[1]Master Sheet'!$B:$I,8,0)</f>
        <v>0</v>
      </c>
      <c r="J1679" s="2"/>
      <c r="K1679" s="3" t="s">
        <v>3012</v>
      </c>
      <c r="L1679" s="3" t="s">
        <v>3057</v>
      </c>
      <c r="M1679" s="3" t="s">
        <v>3056</v>
      </c>
      <c r="N1679" s="3"/>
      <c r="O1679" s="3"/>
    </row>
    <row r="1680" spans="1:15" s="4" customFormat="1">
      <c r="A1680" s="2">
        <v>1683</v>
      </c>
      <c r="B1680" s="3" t="s">
        <v>3543</v>
      </c>
      <c r="C1680" s="3" t="s">
        <v>2838</v>
      </c>
      <c r="D1680" s="2" t="s">
        <v>17</v>
      </c>
      <c r="E1680" s="21" t="s">
        <v>8</v>
      </c>
      <c r="F1680" s="2"/>
      <c r="G1680" s="2"/>
      <c r="H1680" s="16">
        <f>VLOOKUP(B:B,'[1]Master Sheet'!$B:$H,7,0)</f>
        <v>10</v>
      </c>
      <c r="I1680" s="16">
        <f>VLOOKUP(B:B,'[1]Master Sheet'!$B:$I,8,0)</f>
        <v>0</v>
      </c>
      <c r="J1680" s="2"/>
      <c r="K1680" s="3" t="s">
        <v>3012</v>
      </c>
      <c r="L1680" s="3" t="s">
        <v>3057</v>
      </c>
      <c r="M1680" s="3" t="s">
        <v>3056</v>
      </c>
      <c r="N1680" s="3"/>
      <c r="O1680" s="3"/>
    </row>
    <row r="1681" spans="1:15" s="4" customFormat="1">
      <c r="A1681" s="2">
        <v>1684</v>
      </c>
      <c r="B1681" s="3" t="s">
        <v>3544</v>
      </c>
      <c r="C1681" s="3" t="s">
        <v>3545</v>
      </c>
      <c r="D1681" s="2" t="s">
        <v>17</v>
      </c>
      <c r="E1681" s="21" t="s">
        <v>8</v>
      </c>
      <c r="F1681" s="2"/>
      <c r="G1681" s="2"/>
      <c r="H1681" s="16">
        <f>VLOOKUP(B:B,'[1]Master Sheet'!$B:$H,7,0)</f>
        <v>2000</v>
      </c>
      <c r="I1681" s="16">
        <f>VLOOKUP(B:B,'[1]Master Sheet'!$B:$I,8,0)</f>
        <v>0</v>
      </c>
      <c r="J1681" s="2"/>
      <c r="K1681" s="3" t="s">
        <v>2972</v>
      </c>
      <c r="L1681" s="3" t="s">
        <v>3057</v>
      </c>
      <c r="M1681" s="3" t="s">
        <v>3058</v>
      </c>
      <c r="N1681" s="3"/>
      <c r="O1681" s="3"/>
    </row>
    <row r="1682" spans="1:15" s="4" customFormat="1">
      <c r="A1682" s="2">
        <v>1685</v>
      </c>
      <c r="B1682" s="3" t="s">
        <v>3546</v>
      </c>
      <c r="C1682" s="3" t="s">
        <v>3547</v>
      </c>
      <c r="D1682" s="2" t="s">
        <v>17</v>
      </c>
      <c r="E1682" s="21" t="s">
        <v>8</v>
      </c>
      <c r="F1682" s="2"/>
      <c r="G1682" s="2"/>
      <c r="H1682" s="16">
        <f>VLOOKUP(B:B,'[1]Master Sheet'!$B:$H,7,0)</f>
        <v>2000</v>
      </c>
      <c r="I1682" s="16">
        <f>VLOOKUP(B:B,'[1]Master Sheet'!$B:$I,8,0)</f>
        <v>0</v>
      </c>
      <c r="J1682" s="2"/>
      <c r="K1682" s="3" t="s">
        <v>2991</v>
      </c>
      <c r="L1682" s="3" t="s">
        <v>3057</v>
      </c>
      <c r="M1682" s="3" t="s">
        <v>3058</v>
      </c>
      <c r="N1682" s="3"/>
      <c r="O1682" s="3"/>
    </row>
    <row r="1683" spans="1:15" s="4" customFormat="1">
      <c r="A1683" s="2">
        <v>1686</v>
      </c>
      <c r="B1683" s="3" t="s">
        <v>2552</v>
      </c>
      <c r="C1683" s="3" t="s">
        <v>2549</v>
      </c>
      <c r="D1683" s="2" t="s">
        <v>17</v>
      </c>
      <c r="E1683" s="21" t="s">
        <v>8</v>
      </c>
      <c r="F1683" s="2"/>
      <c r="G1683" s="2"/>
      <c r="H1683" s="16">
        <f>VLOOKUP(B:B,'[1]Master Sheet'!$B:$H,7,0)</f>
        <v>300</v>
      </c>
      <c r="I1683" s="16">
        <f>VLOOKUP(B:B,'[1]Master Sheet'!$B:$I,8,0)</f>
        <v>0</v>
      </c>
      <c r="J1683" s="2"/>
      <c r="K1683" s="3" t="s">
        <v>2991</v>
      </c>
      <c r="L1683" s="3" t="s">
        <v>3060</v>
      </c>
      <c r="M1683" s="3" t="s">
        <v>3058</v>
      </c>
      <c r="N1683" s="3"/>
      <c r="O1683" s="3"/>
    </row>
    <row r="1684" spans="1:15" s="4" customFormat="1" ht="15" customHeight="1">
      <c r="A1684" s="2">
        <v>1687</v>
      </c>
      <c r="B1684" s="3" t="s">
        <v>3548</v>
      </c>
      <c r="C1684" s="3" t="s">
        <v>3549</v>
      </c>
      <c r="D1684" s="2" t="s">
        <v>17</v>
      </c>
      <c r="E1684" s="21" t="s">
        <v>8</v>
      </c>
      <c r="F1684" s="2"/>
      <c r="G1684" s="2"/>
      <c r="H1684" s="16">
        <f>VLOOKUP(B:B,'[1]Master Sheet'!$B:$H,7,0)</f>
        <v>5000</v>
      </c>
      <c r="I1684" s="16">
        <f>VLOOKUP(B:B,'[1]Master Sheet'!$B:$I,8,0)</f>
        <v>3000</v>
      </c>
      <c r="J1684" s="2"/>
      <c r="K1684" s="3" t="s">
        <v>2972</v>
      </c>
      <c r="L1684" s="3" t="s">
        <v>3057</v>
      </c>
      <c r="M1684" s="3" t="s">
        <v>3056</v>
      </c>
      <c r="N1684" s="3"/>
      <c r="O1684" s="3"/>
    </row>
    <row r="1685" spans="1:15" ht="15" customHeight="1">
      <c r="A1685" s="2">
        <v>1688</v>
      </c>
      <c r="B1685" s="3" t="s">
        <v>3500</v>
      </c>
      <c r="C1685" s="17" t="s">
        <v>3501</v>
      </c>
      <c r="D1685" s="18" t="s">
        <v>17</v>
      </c>
      <c r="E1685" s="21" t="s">
        <v>8</v>
      </c>
      <c r="F1685" s="18"/>
      <c r="G1685" s="18"/>
      <c r="H1685" s="16">
        <f>VLOOKUP(B:B,'[1]Master Sheet'!$B:$H,7,0)</f>
        <v>1500</v>
      </c>
      <c r="I1685" s="16">
        <f>VLOOKUP(B:B,'[1]Master Sheet'!$B:$I,8,0)</f>
        <v>0</v>
      </c>
      <c r="J1685" s="18"/>
      <c r="K1685" s="17" t="s">
        <v>3012</v>
      </c>
      <c r="L1685" s="3" t="s">
        <v>3057</v>
      </c>
      <c r="M1685" s="3" t="s">
        <v>3056</v>
      </c>
      <c r="N1685" s="17"/>
      <c r="O1685" s="17"/>
    </row>
    <row r="1686" spans="1:15" ht="15" customHeight="1">
      <c r="A1686" s="2">
        <v>1689</v>
      </c>
      <c r="B1686" s="17" t="s">
        <v>3649</v>
      </c>
      <c r="C1686" s="17" t="s">
        <v>3650</v>
      </c>
      <c r="D1686" s="18" t="s">
        <v>7</v>
      </c>
      <c r="E1686" s="21" t="s">
        <v>8</v>
      </c>
      <c r="F1686" s="18"/>
      <c r="G1686" s="18"/>
      <c r="H1686" s="33">
        <v>700</v>
      </c>
      <c r="I1686" s="33">
        <v>0</v>
      </c>
      <c r="J1686" s="18"/>
      <c r="K1686" s="3" t="s">
        <v>2965</v>
      </c>
      <c r="L1686" s="3" t="s">
        <v>3055</v>
      </c>
      <c r="M1686" s="3" t="s">
        <v>3056</v>
      </c>
      <c r="N1686" s="17"/>
      <c r="O1686" s="17"/>
    </row>
    <row r="1687" spans="1:15" ht="15" customHeight="1">
      <c r="A1687" s="2">
        <v>1690</v>
      </c>
      <c r="B1687" s="17" t="s">
        <v>3651</v>
      </c>
      <c r="C1687" s="17" t="s">
        <v>3652</v>
      </c>
      <c r="D1687" s="18" t="s">
        <v>17</v>
      </c>
      <c r="E1687" s="18" t="s">
        <v>8</v>
      </c>
      <c r="F1687" s="18"/>
      <c r="G1687" s="18"/>
      <c r="H1687" s="33">
        <v>100</v>
      </c>
      <c r="I1687" s="33">
        <v>0</v>
      </c>
      <c r="J1687" s="18"/>
      <c r="K1687" s="3" t="s">
        <v>2982</v>
      </c>
      <c r="L1687" s="3" t="s">
        <v>3060</v>
      </c>
      <c r="M1687" s="3" t="s">
        <v>3061</v>
      </c>
      <c r="N1687" s="17"/>
      <c r="O1687" s="17"/>
    </row>
    <row r="1688" spans="1:15" s="31" customFormat="1" ht="15" customHeight="1">
      <c r="A1688" s="28">
        <v>1691</v>
      </c>
      <c r="B1688" s="27" t="s">
        <v>3579</v>
      </c>
      <c r="C1688" s="27" t="s">
        <v>3580</v>
      </c>
      <c r="D1688" s="27" t="s">
        <v>17</v>
      </c>
      <c r="E1688" s="32" t="s">
        <v>8</v>
      </c>
      <c r="F1688" s="29"/>
      <c r="G1688" s="29"/>
      <c r="H1688" s="34">
        <v>30</v>
      </c>
      <c r="I1688" s="34">
        <v>30</v>
      </c>
      <c r="J1688" s="29"/>
      <c r="K1688" s="30" t="s">
        <v>3002</v>
      </c>
      <c r="L1688" s="30" t="s">
        <v>3057</v>
      </c>
      <c r="M1688" s="30" t="s">
        <v>3674</v>
      </c>
      <c r="N1688" s="30"/>
      <c r="O1688" s="30"/>
    </row>
    <row r="1689" spans="1:15" s="31" customFormat="1" ht="15" customHeight="1">
      <c r="A1689" s="28">
        <v>1692</v>
      </c>
      <c r="B1689" s="27" t="s">
        <v>3581</v>
      </c>
      <c r="C1689" s="27" t="s">
        <v>3582</v>
      </c>
      <c r="D1689" s="27" t="s">
        <v>17</v>
      </c>
      <c r="E1689" s="32" t="s">
        <v>8</v>
      </c>
      <c r="F1689" s="29"/>
      <c r="G1689" s="29"/>
      <c r="H1689" s="34">
        <v>30</v>
      </c>
      <c r="I1689" s="34">
        <v>30</v>
      </c>
      <c r="J1689" s="29"/>
      <c r="K1689" s="30" t="s">
        <v>3002</v>
      </c>
      <c r="L1689" s="30" t="s">
        <v>3057</v>
      </c>
      <c r="M1689" s="30" t="s">
        <v>3674</v>
      </c>
      <c r="N1689" s="30"/>
      <c r="O1689" s="30"/>
    </row>
    <row r="1690" spans="1:15" ht="15" customHeight="1">
      <c r="A1690" s="28">
        <v>1693</v>
      </c>
      <c r="B1690" s="27" t="s">
        <v>3675</v>
      </c>
      <c r="C1690" s="27" t="s">
        <v>3676</v>
      </c>
      <c r="D1690" s="18" t="s">
        <v>17</v>
      </c>
      <c r="E1690" s="32" t="s">
        <v>8</v>
      </c>
      <c r="F1690" s="18"/>
      <c r="G1690" s="18"/>
      <c r="H1690" s="35">
        <v>0</v>
      </c>
      <c r="I1690" s="35">
        <v>30</v>
      </c>
      <c r="J1690" s="18"/>
      <c r="K1690" s="30" t="s">
        <v>3002</v>
      </c>
      <c r="L1690" s="17" t="s">
        <v>3057</v>
      </c>
      <c r="M1690" s="30" t="s">
        <v>3674</v>
      </c>
      <c r="N1690" s="17"/>
      <c r="O1690" s="17"/>
    </row>
  </sheetData>
  <autoFilter ref="A1:O169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T1229"/>
  <sheetViews>
    <sheetView tabSelected="1" workbookViewId="0">
      <pane ySplit="1" topLeftCell="A2" activePane="bottomLeft" state="frozen"/>
      <selection pane="bottomLeft" activeCell="C919" sqref="C919"/>
    </sheetView>
  </sheetViews>
  <sheetFormatPr defaultRowHeight="15"/>
  <cols>
    <col min="1" max="1" width="10.140625" customWidth="1"/>
    <col min="2" max="2" width="21" customWidth="1"/>
    <col min="3" max="3" width="67.140625" customWidth="1"/>
    <col min="4" max="4" width="21" customWidth="1"/>
    <col min="5" max="5" width="16.85546875" customWidth="1"/>
    <col min="6" max="14" width="21" hidden="1" customWidth="1"/>
    <col min="15" max="18" width="21" customWidth="1"/>
    <col min="19" max="20" width="25.140625" customWidth="1"/>
    <col min="257" max="257" width="10.140625" customWidth="1"/>
    <col min="258" max="258" width="21" customWidth="1"/>
    <col min="259" max="259" width="67.140625" customWidth="1"/>
    <col min="260" max="260" width="21" customWidth="1"/>
    <col min="261" max="261" width="16.85546875" customWidth="1"/>
    <col min="262" max="274" width="21" customWidth="1"/>
    <col min="275" max="276" width="25.140625" customWidth="1"/>
    <col min="513" max="513" width="10.140625" customWidth="1"/>
    <col min="514" max="514" width="21" customWidth="1"/>
    <col min="515" max="515" width="67.140625" customWidth="1"/>
    <col min="516" max="516" width="21" customWidth="1"/>
    <col min="517" max="517" width="16.85546875" customWidth="1"/>
    <col min="518" max="530" width="21" customWidth="1"/>
    <col min="531" max="532" width="25.140625" customWidth="1"/>
    <col min="769" max="769" width="10.140625" customWidth="1"/>
    <col min="770" max="770" width="21" customWidth="1"/>
    <col min="771" max="771" width="67.140625" customWidth="1"/>
    <col min="772" max="772" width="21" customWidth="1"/>
    <col min="773" max="773" width="16.85546875" customWidth="1"/>
    <col min="774" max="786" width="21" customWidth="1"/>
    <col min="787" max="788" width="25.140625" customWidth="1"/>
    <col min="1025" max="1025" width="10.140625" customWidth="1"/>
    <col min="1026" max="1026" width="21" customWidth="1"/>
    <col min="1027" max="1027" width="67.140625" customWidth="1"/>
    <col min="1028" max="1028" width="21" customWidth="1"/>
    <col min="1029" max="1029" width="16.85546875" customWidth="1"/>
    <col min="1030" max="1042" width="21" customWidth="1"/>
    <col min="1043" max="1044" width="25.140625" customWidth="1"/>
    <col min="1281" max="1281" width="10.140625" customWidth="1"/>
    <col min="1282" max="1282" width="21" customWidth="1"/>
    <col min="1283" max="1283" width="67.140625" customWidth="1"/>
    <col min="1284" max="1284" width="21" customWidth="1"/>
    <col min="1285" max="1285" width="16.85546875" customWidth="1"/>
    <col min="1286" max="1298" width="21" customWidth="1"/>
    <col min="1299" max="1300" width="25.140625" customWidth="1"/>
    <col min="1537" max="1537" width="10.140625" customWidth="1"/>
    <col min="1538" max="1538" width="21" customWidth="1"/>
    <col min="1539" max="1539" width="67.140625" customWidth="1"/>
    <col min="1540" max="1540" width="21" customWidth="1"/>
    <col min="1541" max="1541" width="16.85546875" customWidth="1"/>
    <col min="1542" max="1554" width="21" customWidth="1"/>
    <col min="1555" max="1556" width="25.140625" customWidth="1"/>
    <col min="1793" max="1793" width="10.140625" customWidth="1"/>
    <col min="1794" max="1794" width="21" customWidth="1"/>
    <col min="1795" max="1795" width="67.140625" customWidth="1"/>
    <col min="1796" max="1796" width="21" customWidth="1"/>
    <col min="1797" max="1797" width="16.85546875" customWidth="1"/>
    <col min="1798" max="1810" width="21" customWidth="1"/>
    <col min="1811" max="1812" width="25.140625" customWidth="1"/>
    <col min="2049" max="2049" width="10.140625" customWidth="1"/>
    <col min="2050" max="2050" width="21" customWidth="1"/>
    <col min="2051" max="2051" width="67.140625" customWidth="1"/>
    <col min="2052" max="2052" width="21" customWidth="1"/>
    <col min="2053" max="2053" width="16.85546875" customWidth="1"/>
    <col min="2054" max="2066" width="21" customWidth="1"/>
    <col min="2067" max="2068" width="25.140625" customWidth="1"/>
    <col min="2305" max="2305" width="10.140625" customWidth="1"/>
    <col min="2306" max="2306" width="21" customWidth="1"/>
    <col min="2307" max="2307" width="67.140625" customWidth="1"/>
    <col min="2308" max="2308" width="21" customWidth="1"/>
    <col min="2309" max="2309" width="16.85546875" customWidth="1"/>
    <col min="2310" max="2322" width="21" customWidth="1"/>
    <col min="2323" max="2324" width="25.140625" customWidth="1"/>
    <col min="2561" max="2561" width="10.140625" customWidth="1"/>
    <col min="2562" max="2562" width="21" customWidth="1"/>
    <col min="2563" max="2563" width="67.140625" customWidth="1"/>
    <col min="2564" max="2564" width="21" customWidth="1"/>
    <col min="2565" max="2565" width="16.85546875" customWidth="1"/>
    <col min="2566" max="2578" width="21" customWidth="1"/>
    <col min="2579" max="2580" width="25.140625" customWidth="1"/>
    <col min="2817" max="2817" width="10.140625" customWidth="1"/>
    <col min="2818" max="2818" width="21" customWidth="1"/>
    <col min="2819" max="2819" width="67.140625" customWidth="1"/>
    <col min="2820" max="2820" width="21" customWidth="1"/>
    <col min="2821" max="2821" width="16.85546875" customWidth="1"/>
    <col min="2822" max="2834" width="21" customWidth="1"/>
    <col min="2835" max="2836" width="25.140625" customWidth="1"/>
    <col min="3073" max="3073" width="10.140625" customWidth="1"/>
    <col min="3074" max="3074" width="21" customWidth="1"/>
    <col min="3075" max="3075" width="67.140625" customWidth="1"/>
    <col min="3076" max="3076" width="21" customWidth="1"/>
    <col min="3077" max="3077" width="16.85546875" customWidth="1"/>
    <col min="3078" max="3090" width="21" customWidth="1"/>
    <col min="3091" max="3092" width="25.140625" customWidth="1"/>
    <col min="3329" max="3329" width="10.140625" customWidth="1"/>
    <col min="3330" max="3330" width="21" customWidth="1"/>
    <col min="3331" max="3331" width="67.140625" customWidth="1"/>
    <col min="3332" max="3332" width="21" customWidth="1"/>
    <col min="3333" max="3333" width="16.85546875" customWidth="1"/>
    <col min="3334" max="3346" width="21" customWidth="1"/>
    <col min="3347" max="3348" width="25.140625" customWidth="1"/>
    <col min="3585" max="3585" width="10.140625" customWidth="1"/>
    <col min="3586" max="3586" width="21" customWidth="1"/>
    <col min="3587" max="3587" width="67.140625" customWidth="1"/>
    <col min="3588" max="3588" width="21" customWidth="1"/>
    <col min="3589" max="3589" width="16.85546875" customWidth="1"/>
    <col min="3590" max="3602" width="21" customWidth="1"/>
    <col min="3603" max="3604" width="25.140625" customWidth="1"/>
    <col min="3841" max="3841" width="10.140625" customWidth="1"/>
    <col min="3842" max="3842" width="21" customWidth="1"/>
    <col min="3843" max="3843" width="67.140625" customWidth="1"/>
    <col min="3844" max="3844" width="21" customWidth="1"/>
    <col min="3845" max="3845" width="16.85546875" customWidth="1"/>
    <col min="3846" max="3858" width="21" customWidth="1"/>
    <col min="3859" max="3860" width="25.140625" customWidth="1"/>
    <col min="4097" max="4097" width="10.140625" customWidth="1"/>
    <col min="4098" max="4098" width="21" customWidth="1"/>
    <col min="4099" max="4099" width="67.140625" customWidth="1"/>
    <col min="4100" max="4100" width="21" customWidth="1"/>
    <col min="4101" max="4101" width="16.85546875" customWidth="1"/>
    <col min="4102" max="4114" width="21" customWidth="1"/>
    <col min="4115" max="4116" width="25.140625" customWidth="1"/>
    <col min="4353" max="4353" width="10.140625" customWidth="1"/>
    <col min="4354" max="4354" width="21" customWidth="1"/>
    <col min="4355" max="4355" width="67.140625" customWidth="1"/>
    <col min="4356" max="4356" width="21" customWidth="1"/>
    <col min="4357" max="4357" width="16.85546875" customWidth="1"/>
    <col min="4358" max="4370" width="21" customWidth="1"/>
    <col min="4371" max="4372" width="25.140625" customWidth="1"/>
    <col min="4609" max="4609" width="10.140625" customWidth="1"/>
    <col min="4610" max="4610" width="21" customWidth="1"/>
    <col min="4611" max="4611" width="67.140625" customWidth="1"/>
    <col min="4612" max="4612" width="21" customWidth="1"/>
    <col min="4613" max="4613" width="16.85546875" customWidth="1"/>
    <col min="4614" max="4626" width="21" customWidth="1"/>
    <col min="4627" max="4628" width="25.140625" customWidth="1"/>
    <col min="4865" max="4865" width="10.140625" customWidth="1"/>
    <col min="4866" max="4866" width="21" customWidth="1"/>
    <col min="4867" max="4867" width="67.140625" customWidth="1"/>
    <col min="4868" max="4868" width="21" customWidth="1"/>
    <col min="4869" max="4869" width="16.85546875" customWidth="1"/>
    <col min="4870" max="4882" width="21" customWidth="1"/>
    <col min="4883" max="4884" width="25.140625" customWidth="1"/>
    <col min="5121" max="5121" width="10.140625" customWidth="1"/>
    <col min="5122" max="5122" width="21" customWidth="1"/>
    <col min="5123" max="5123" width="67.140625" customWidth="1"/>
    <col min="5124" max="5124" width="21" customWidth="1"/>
    <col min="5125" max="5125" width="16.85546875" customWidth="1"/>
    <col min="5126" max="5138" width="21" customWidth="1"/>
    <col min="5139" max="5140" width="25.140625" customWidth="1"/>
    <col min="5377" max="5377" width="10.140625" customWidth="1"/>
    <col min="5378" max="5378" width="21" customWidth="1"/>
    <col min="5379" max="5379" width="67.140625" customWidth="1"/>
    <col min="5380" max="5380" width="21" customWidth="1"/>
    <col min="5381" max="5381" width="16.85546875" customWidth="1"/>
    <col min="5382" max="5394" width="21" customWidth="1"/>
    <col min="5395" max="5396" width="25.140625" customWidth="1"/>
    <col min="5633" max="5633" width="10.140625" customWidth="1"/>
    <col min="5634" max="5634" width="21" customWidth="1"/>
    <col min="5635" max="5635" width="67.140625" customWidth="1"/>
    <col min="5636" max="5636" width="21" customWidth="1"/>
    <col min="5637" max="5637" width="16.85546875" customWidth="1"/>
    <col min="5638" max="5650" width="21" customWidth="1"/>
    <col min="5651" max="5652" width="25.140625" customWidth="1"/>
    <col min="5889" max="5889" width="10.140625" customWidth="1"/>
    <col min="5890" max="5890" width="21" customWidth="1"/>
    <col min="5891" max="5891" width="67.140625" customWidth="1"/>
    <col min="5892" max="5892" width="21" customWidth="1"/>
    <col min="5893" max="5893" width="16.85546875" customWidth="1"/>
    <col min="5894" max="5906" width="21" customWidth="1"/>
    <col min="5907" max="5908" width="25.140625" customWidth="1"/>
    <col min="6145" max="6145" width="10.140625" customWidth="1"/>
    <col min="6146" max="6146" width="21" customWidth="1"/>
    <col min="6147" max="6147" width="67.140625" customWidth="1"/>
    <col min="6148" max="6148" width="21" customWidth="1"/>
    <col min="6149" max="6149" width="16.85546875" customWidth="1"/>
    <col min="6150" max="6162" width="21" customWidth="1"/>
    <col min="6163" max="6164" width="25.140625" customWidth="1"/>
    <col min="6401" max="6401" width="10.140625" customWidth="1"/>
    <col min="6402" max="6402" width="21" customWidth="1"/>
    <col min="6403" max="6403" width="67.140625" customWidth="1"/>
    <col min="6404" max="6404" width="21" customWidth="1"/>
    <col min="6405" max="6405" width="16.85546875" customWidth="1"/>
    <col min="6406" max="6418" width="21" customWidth="1"/>
    <col min="6419" max="6420" width="25.140625" customWidth="1"/>
    <col min="6657" max="6657" width="10.140625" customWidth="1"/>
    <col min="6658" max="6658" width="21" customWidth="1"/>
    <col min="6659" max="6659" width="67.140625" customWidth="1"/>
    <col min="6660" max="6660" width="21" customWidth="1"/>
    <col min="6661" max="6661" width="16.85546875" customWidth="1"/>
    <col min="6662" max="6674" width="21" customWidth="1"/>
    <col min="6675" max="6676" width="25.140625" customWidth="1"/>
    <col min="6913" max="6913" width="10.140625" customWidth="1"/>
    <col min="6914" max="6914" width="21" customWidth="1"/>
    <col min="6915" max="6915" width="67.140625" customWidth="1"/>
    <col min="6916" max="6916" width="21" customWidth="1"/>
    <col min="6917" max="6917" width="16.85546875" customWidth="1"/>
    <col min="6918" max="6930" width="21" customWidth="1"/>
    <col min="6931" max="6932" width="25.140625" customWidth="1"/>
    <col min="7169" max="7169" width="10.140625" customWidth="1"/>
    <col min="7170" max="7170" width="21" customWidth="1"/>
    <col min="7171" max="7171" width="67.140625" customWidth="1"/>
    <col min="7172" max="7172" width="21" customWidth="1"/>
    <col min="7173" max="7173" width="16.85546875" customWidth="1"/>
    <col min="7174" max="7186" width="21" customWidth="1"/>
    <col min="7187" max="7188" width="25.140625" customWidth="1"/>
    <col min="7425" max="7425" width="10.140625" customWidth="1"/>
    <col min="7426" max="7426" width="21" customWidth="1"/>
    <col min="7427" max="7427" width="67.140625" customWidth="1"/>
    <col min="7428" max="7428" width="21" customWidth="1"/>
    <col min="7429" max="7429" width="16.85546875" customWidth="1"/>
    <col min="7430" max="7442" width="21" customWidth="1"/>
    <col min="7443" max="7444" width="25.140625" customWidth="1"/>
    <col min="7681" max="7681" width="10.140625" customWidth="1"/>
    <col min="7682" max="7682" width="21" customWidth="1"/>
    <col min="7683" max="7683" width="67.140625" customWidth="1"/>
    <col min="7684" max="7684" width="21" customWidth="1"/>
    <col min="7685" max="7685" width="16.85546875" customWidth="1"/>
    <col min="7686" max="7698" width="21" customWidth="1"/>
    <col min="7699" max="7700" width="25.140625" customWidth="1"/>
    <col min="7937" max="7937" width="10.140625" customWidth="1"/>
    <col min="7938" max="7938" width="21" customWidth="1"/>
    <col min="7939" max="7939" width="67.140625" customWidth="1"/>
    <col min="7940" max="7940" width="21" customWidth="1"/>
    <col min="7941" max="7941" width="16.85546875" customWidth="1"/>
    <col min="7942" max="7954" width="21" customWidth="1"/>
    <col min="7955" max="7956" width="25.140625" customWidth="1"/>
    <col min="8193" max="8193" width="10.140625" customWidth="1"/>
    <col min="8194" max="8194" width="21" customWidth="1"/>
    <col min="8195" max="8195" width="67.140625" customWidth="1"/>
    <col min="8196" max="8196" width="21" customWidth="1"/>
    <col min="8197" max="8197" width="16.85546875" customWidth="1"/>
    <col min="8198" max="8210" width="21" customWidth="1"/>
    <col min="8211" max="8212" width="25.140625" customWidth="1"/>
    <col min="8449" max="8449" width="10.140625" customWidth="1"/>
    <col min="8450" max="8450" width="21" customWidth="1"/>
    <col min="8451" max="8451" width="67.140625" customWidth="1"/>
    <col min="8452" max="8452" width="21" customWidth="1"/>
    <col min="8453" max="8453" width="16.85546875" customWidth="1"/>
    <col min="8454" max="8466" width="21" customWidth="1"/>
    <col min="8467" max="8468" width="25.140625" customWidth="1"/>
    <col min="8705" max="8705" width="10.140625" customWidth="1"/>
    <col min="8706" max="8706" width="21" customWidth="1"/>
    <col min="8707" max="8707" width="67.140625" customWidth="1"/>
    <col min="8708" max="8708" width="21" customWidth="1"/>
    <col min="8709" max="8709" width="16.85546875" customWidth="1"/>
    <col min="8710" max="8722" width="21" customWidth="1"/>
    <col min="8723" max="8724" width="25.140625" customWidth="1"/>
    <col min="8961" max="8961" width="10.140625" customWidth="1"/>
    <col min="8962" max="8962" width="21" customWidth="1"/>
    <col min="8963" max="8963" width="67.140625" customWidth="1"/>
    <col min="8964" max="8964" width="21" customWidth="1"/>
    <col min="8965" max="8965" width="16.85546875" customWidth="1"/>
    <col min="8966" max="8978" width="21" customWidth="1"/>
    <col min="8979" max="8980" width="25.140625" customWidth="1"/>
    <col min="9217" max="9217" width="10.140625" customWidth="1"/>
    <col min="9218" max="9218" width="21" customWidth="1"/>
    <col min="9219" max="9219" width="67.140625" customWidth="1"/>
    <col min="9220" max="9220" width="21" customWidth="1"/>
    <col min="9221" max="9221" width="16.85546875" customWidth="1"/>
    <col min="9222" max="9234" width="21" customWidth="1"/>
    <col min="9235" max="9236" width="25.140625" customWidth="1"/>
    <col min="9473" max="9473" width="10.140625" customWidth="1"/>
    <col min="9474" max="9474" width="21" customWidth="1"/>
    <col min="9475" max="9475" width="67.140625" customWidth="1"/>
    <col min="9476" max="9476" width="21" customWidth="1"/>
    <col min="9477" max="9477" width="16.85546875" customWidth="1"/>
    <col min="9478" max="9490" width="21" customWidth="1"/>
    <col min="9491" max="9492" width="25.140625" customWidth="1"/>
    <col min="9729" max="9729" width="10.140625" customWidth="1"/>
    <col min="9730" max="9730" width="21" customWidth="1"/>
    <col min="9731" max="9731" width="67.140625" customWidth="1"/>
    <col min="9732" max="9732" width="21" customWidth="1"/>
    <col min="9733" max="9733" width="16.85546875" customWidth="1"/>
    <col min="9734" max="9746" width="21" customWidth="1"/>
    <col min="9747" max="9748" width="25.140625" customWidth="1"/>
    <col min="9985" max="9985" width="10.140625" customWidth="1"/>
    <col min="9986" max="9986" width="21" customWidth="1"/>
    <col min="9987" max="9987" width="67.140625" customWidth="1"/>
    <col min="9988" max="9988" width="21" customWidth="1"/>
    <col min="9989" max="9989" width="16.85546875" customWidth="1"/>
    <col min="9990" max="10002" width="21" customWidth="1"/>
    <col min="10003" max="10004" width="25.140625" customWidth="1"/>
    <col min="10241" max="10241" width="10.140625" customWidth="1"/>
    <col min="10242" max="10242" width="21" customWidth="1"/>
    <col min="10243" max="10243" width="67.140625" customWidth="1"/>
    <col min="10244" max="10244" width="21" customWidth="1"/>
    <col min="10245" max="10245" width="16.85546875" customWidth="1"/>
    <col min="10246" max="10258" width="21" customWidth="1"/>
    <col min="10259" max="10260" width="25.140625" customWidth="1"/>
    <col min="10497" max="10497" width="10.140625" customWidth="1"/>
    <col min="10498" max="10498" width="21" customWidth="1"/>
    <col min="10499" max="10499" width="67.140625" customWidth="1"/>
    <col min="10500" max="10500" width="21" customWidth="1"/>
    <col min="10501" max="10501" width="16.85546875" customWidth="1"/>
    <col min="10502" max="10514" width="21" customWidth="1"/>
    <col min="10515" max="10516" width="25.140625" customWidth="1"/>
    <col min="10753" max="10753" width="10.140625" customWidth="1"/>
    <col min="10754" max="10754" width="21" customWidth="1"/>
    <col min="10755" max="10755" width="67.140625" customWidth="1"/>
    <col min="10756" max="10756" width="21" customWidth="1"/>
    <col min="10757" max="10757" width="16.85546875" customWidth="1"/>
    <col min="10758" max="10770" width="21" customWidth="1"/>
    <col min="10771" max="10772" width="25.140625" customWidth="1"/>
    <col min="11009" max="11009" width="10.140625" customWidth="1"/>
    <col min="11010" max="11010" width="21" customWidth="1"/>
    <col min="11011" max="11011" width="67.140625" customWidth="1"/>
    <col min="11012" max="11012" width="21" customWidth="1"/>
    <col min="11013" max="11013" width="16.85546875" customWidth="1"/>
    <col min="11014" max="11026" width="21" customWidth="1"/>
    <col min="11027" max="11028" width="25.140625" customWidth="1"/>
    <col min="11265" max="11265" width="10.140625" customWidth="1"/>
    <col min="11266" max="11266" width="21" customWidth="1"/>
    <col min="11267" max="11267" width="67.140625" customWidth="1"/>
    <col min="11268" max="11268" width="21" customWidth="1"/>
    <col min="11269" max="11269" width="16.85546875" customWidth="1"/>
    <col min="11270" max="11282" width="21" customWidth="1"/>
    <col min="11283" max="11284" width="25.140625" customWidth="1"/>
    <col min="11521" max="11521" width="10.140625" customWidth="1"/>
    <col min="11522" max="11522" width="21" customWidth="1"/>
    <col min="11523" max="11523" width="67.140625" customWidth="1"/>
    <col min="11524" max="11524" width="21" customWidth="1"/>
    <col min="11525" max="11525" width="16.85546875" customWidth="1"/>
    <col min="11526" max="11538" width="21" customWidth="1"/>
    <col min="11539" max="11540" width="25.140625" customWidth="1"/>
    <col min="11777" max="11777" width="10.140625" customWidth="1"/>
    <col min="11778" max="11778" width="21" customWidth="1"/>
    <col min="11779" max="11779" width="67.140625" customWidth="1"/>
    <col min="11780" max="11780" width="21" customWidth="1"/>
    <col min="11781" max="11781" width="16.85546875" customWidth="1"/>
    <col min="11782" max="11794" width="21" customWidth="1"/>
    <col min="11795" max="11796" width="25.140625" customWidth="1"/>
    <col min="12033" max="12033" width="10.140625" customWidth="1"/>
    <col min="12034" max="12034" width="21" customWidth="1"/>
    <col min="12035" max="12035" width="67.140625" customWidth="1"/>
    <col min="12036" max="12036" width="21" customWidth="1"/>
    <col min="12037" max="12037" width="16.85546875" customWidth="1"/>
    <col min="12038" max="12050" width="21" customWidth="1"/>
    <col min="12051" max="12052" width="25.140625" customWidth="1"/>
    <col min="12289" max="12289" width="10.140625" customWidth="1"/>
    <col min="12290" max="12290" width="21" customWidth="1"/>
    <col min="12291" max="12291" width="67.140625" customWidth="1"/>
    <col min="12292" max="12292" width="21" customWidth="1"/>
    <col min="12293" max="12293" width="16.85546875" customWidth="1"/>
    <col min="12294" max="12306" width="21" customWidth="1"/>
    <col min="12307" max="12308" width="25.140625" customWidth="1"/>
    <col min="12545" max="12545" width="10.140625" customWidth="1"/>
    <col min="12546" max="12546" width="21" customWidth="1"/>
    <col min="12547" max="12547" width="67.140625" customWidth="1"/>
    <col min="12548" max="12548" width="21" customWidth="1"/>
    <col min="12549" max="12549" width="16.85546875" customWidth="1"/>
    <col min="12550" max="12562" width="21" customWidth="1"/>
    <col min="12563" max="12564" width="25.140625" customWidth="1"/>
    <col min="12801" max="12801" width="10.140625" customWidth="1"/>
    <col min="12802" max="12802" width="21" customWidth="1"/>
    <col min="12803" max="12803" width="67.140625" customWidth="1"/>
    <col min="12804" max="12804" width="21" customWidth="1"/>
    <col min="12805" max="12805" width="16.85546875" customWidth="1"/>
    <col min="12806" max="12818" width="21" customWidth="1"/>
    <col min="12819" max="12820" width="25.140625" customWidth="1"/>
    <col min="13057" max="13057" width="10.140625" customWidth="1"/>
    <col min="13058" max="13058" width="21" customWidth="1"/>
    <col min="13059" max="13059" width="67.140625" customWidth="1"/>
    <col min="13060" max="13060" width="21" customWidth="1"/>
    <col min="13061" max="13061" width="16.85546875" customWidth="1"/>
    <col min="13062" max="13074" width="21" customWidth="1"/>
    <col min="13075" max="13076" width="25.140625" customWidth="1"/>
    <col min="13313" max="13313" width="10.140625" customWidth="1"/>
    <col min="13314" max="13314" width="21" customWidth="1"/>
    <col min="13315" max="13315" width="67.140625" customWidth="1"/>
    <col min="13316" max="13316" width="21" customWidth="1"/>
    <col min="13317" max="13317" width="16.85546875" customWidth="1"/>
    <col min="13318" max="13330" width="21" customWidth="1"/>
    <col min="13331" max="13332" width="25.140625" customWidth="1"/>
    <col min="13569" max="13569" width="10.140625" customWidth="1"/>
    <col min="13570" max="13570" width="21" customWidth="1"/>
    <col min="13571" max="13571" width="67.140625" customWidth="1"/>
    <col min="13572" max="13572" width="21" customWidth="1"/>
    <col min="13573" max="13573" width="16.85546875" customWidth="1"/>
    <col min="13574" max="13586" width="21" customWidth="1"/>
    <col min="13587" max="13588" width="25.140625" customWidth="1"/>
    <col min="13825" max="13825" width="10.140625" customWidth="1"/>
    <col min="13826" max="13826" width="21" customWidth="1"/>
    <col min="13827" max="13827" width="67.140625" customWidth="1"/>
    <col min="13828" max="13828" width="21" customWidth="1"/>
    <col min="13829" max="13829" width="16.85546875" customWidth="1"/>
    <col min="13830" max="13842" width="21" customWidth="1"/>
    <col min="13843" max="13844" width="25.140625" customWidth="1"/>
    <col min="14081" max="14081" width="10.140625" customWidth="1"/>
    <col min="14082" max="14082" width="21" customWidth="1"/>
    <col min="14083" max="14083" width="67.140625" customWidth="1"/>
    <col min="14084" max="14084" width="21" customWidth="1"/>
    <col min="14085" max="14085" width="16.85546875" customWidth="1"/>
    <col min="14086" max="14098" width="21" customWidth="1"/>
    <col min="14099" max="14100" width="25.140625" customWidth="1"/>
    <col min="14337" max="14337" width="10.140625" customWidth="1"/>
    <col min="14338" max="14338" width="21" customWidth="1"/>
    <col min="14339" max="14339" width="67.140625" customWidth="1"/>
    <col min="14340" max="14340" width="21" customWidth="1"/>
    <col min="14341" max="14341" width="16.85546875" customWidth="1"/>
    <col min="14342" max="14354" width="21" customWidth="1"/>
    <col min="14355" max="14356" width="25.140625" customWidth="1"/>
    <col min="14593" max="14593" width="10.140625" customWidth="1"/>
    <col min="14594" max="14594" width="21" customWidth="1"/>
    <col min="14595" max="14595" width="67.140625" customWidth="1"/>
    <col min="14596" max="14596" width="21" customWidth="1"/>
    <col min="14597" max="14597" width="16.85546875" customWidth="1"/>
    <col min="14598" max="14610" width="21" customWidth="1"/>
    <col min="14611" max="14612" width="25.140625" customWidth="1"/>
    <col min="14849" max="14849" width="10.140625" customWidth="1"/>
    <col min="14850" max="14850" width="21" customWidth="1"/>
    <col min="14851" max="14851" width="67.140625" customWidth="1"/>
    <col min="14852" max="14852" width="21" customWidth="1"/>
    <col min="14853" max="14853" width="16.85546875" customWidth="1"/>
    <col min="14854" max="14866" width="21" customWidth="1"/>
    <col min="14867" max="14868" width="25.140625" customWidth="1"/>
    <col min="15105" max="15105" width="10.140625" customWidth="1"/>
    <col min="15106" max="15106" width="21" customWidth="1"/>
    <col min="15107" max="15107" width="67.140625" customWidth="1"/>
    <col min="15108" max="15108" width="21" customWidth="1"/>
    <col min="15109" max="15109" width="16.85546875" customWidth="1"/>
    <col min="15110" max="15122" width="21" customWidth="1"/>
    <col min="15123" max="15124" width="25.140625" customWidth="1"/>
    <col min="15361" max="15361" width="10.140625" customWidth="1"/>
    <col min="15362" max="15362" width="21" customWidth="1"/>
    <col min="15363" max="15363" width="67.140625" customWidth="1"/>
    <col min="15364" max="15364" width="21" customWidth="1"/>
    <col min="15365" max="15365" width="16.85546875" customWidth="1"/>
    <col min="15366" max="15378" width="21" customWidth="1"/>
    <col min="15379" max="15380" width="25.140625" customWidth="1"/>
    <col min="15617" max="15617" width="10.140625" customWidth="1"/>
    <col min="15618" max="15618" width="21" customWidth="1"/>
    <col min="15619" max="15619" width="67.140625" customWidth="1"/>
    <col min="15620" max="15620" width="21" customWidth="1"/>
    <col min="15621" max="15621" width="16.85546875" customWidth="1"/>
    <col min="15622" max="15634" width="21" customWidth="1"/>
    <col min="15635" max="15636" width="25.140625" customWidth="1"/>
    <col min="15873" max="15873" width="10.140625" customWidth="1"/>
    <col min="15874" max="15874" width="21" customWidth="1"/>
    <col min="15875" max="15875" width="67.140625" customWidth="1"/>
    <col min="15876" max="15876" width="21" customWidth="1"/>
    <col min="15877" max="15877" width="16.85546875" customWidth="1"/>
    <col min="15878" max="15890" width="21" customWidth="1"/>
    <col min="15891" max="15892" width="25.140625" customWidth="1"/>
    <col min="16129" max="16129" width="10.140625" customWidth="1"/>
    <col min="16130" max="16130" width="21" customWidth="1"/>
    <col min="16131" max="16131" width="67.140625" customWidth="1"/>
    <col min="16132" max="16132" width="21" customWidth="1"/>
    <col min="16133" max="16133" width="16.85546875" customWidth="1"/>
    <col min="16134" max="16146" width="21" customWidth="1"/>
    <col min="16147" max="16148" width="25.140625" customWidth="1"/>
  </cols>
  <sheetData>
    <row r="1" spans="1:20" ht="20.100000000000001" customHeight="1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2934</v>
      </c>
      <c r="G1" s="7" t="s">
        <v>2948</v>
      </c>
      <c r="H1" s="7" t="s">
        <v>2949</v>
      </c>
      <c r="I1" s="8" t="s">
        <v>2935</v>
      </c>
      <c r="J1" s="8" t="s">
        <v>2950</v>
      </c>
      <c r="K1" s="8" t="s">
        <v>2951</v>
      </c>
      <c r="L1" s="8" t="s">
        <v>2936</v>
      </c>
      <c r="M1" s="8" t="s">
        <v>2952</v>
      </c>
      <c r="N1" s="7" t="s">
        <v>2953</v>
      </c>
      <c r="O1" s="7" t="s">
        <v>2937</v>
      </c>
      <c r="P1" s="7" t="s">
        <v>2954</v>
      </c>
      <c r="Q1" s="9" t="s">
        <v>2955</v>
      </c>
      <c r="R1" s="9" t="s">
        <v>2947</v>
      </c>
      <c r="S1" s="9" t="s">
        <v>2956</v>
      </c>
      <c r="T1" s="9" t="s">
        <v>2957</v>
      </c>
    </row>
    <row r="2" spans="1:20" ht="50.1" hidden="1" customHeight="1">
      <c r="A2" s="10">
        <v>1</v>
      </c>
      <c r="B2" s="11" t="s">
        <v>3600</v>
      </c>
      <c r="C2" s="11" t="s">
        <v>3601</v>
      </c>
      <c r="D2" s="11" t="s">
        <v>7</v>
      </c>
      <c r="E2" s="11" t="s">
        <v>8</v>
      </c>
      <c r="F2" s="12">
        <v>0</v>
      </c>
      <c r="G2" s="15"/>
      <c r="H2" s="14">
        <v>0</v>
      </c>
      <c r="I2" s="12">
        <v>2970</v>
      </c>
      <c r="J2" s="13">
        <v>37.296296300000002</v>
      </c>
      <c r="K2" s="14">
        <v>110770</v>
      </c>
      <c r="L2" s="12">
        <v>2970</v>
      </c>
      <c r="M2" s="13">
        <v>37.296296300000002</v>
      </c>
      <c r="N2" s="14">
        <v>110770</v>
      </c>
      <c r="O2" s="12">
        <v>0</v>
      </c>
      <c r="P2" s="15"/>
      <c r="Q2" s="14">
        <v>0</v>
      </c>
      <c r="R2" s="11" t="s">
        <v>3602</v>
      </c>
      <c r="S2" s="11" t="s">
        <v>3603</v>
      </c>
      <c r="T2" s="11" t="s">
        <v>2961</v>
      </c>
    </row>
    <row r="3" spans="1:20" ht="50.1" hidden="1" customHeight="1">
      <c r="A3" s="10">
        <v>2</v>
      </c>
      <c r="B3" s="11" t="s">
        <v>3550</v>
      </c>
      <c r="C3" s="11" t="s">
        <v>3551</v>
      </c>
      <c r="D3" s="11" t="s">
        <v>7</v>
      </c>
      <c r="E3" s="11" t="s">
        <v>8</v>
      </c>
      <c r="F3" s="12">
        <v>216</v>
      </c>
      <c r="G3" s="13">
        <v>47</v>
      </c>
      <c r="H3" s="14">
        <v>10152</v>
      </c>
      <c r="I3" s="12">
        <v>0</v>
      </c>
      <c r="J3" s="13"/>
      <c r="K3" s="14">
        <v>216</v>
      </c>
      <c r="L3" s="12">
        <v>0</v>
      </c>
      <c r="M3" s="13"/>
      <c r="N3" s="14">
        <v>0</v>
      </c>
      <c r="O3" s="12">
        <v>216</v>
      </c>
      <c r="P3" s="13">
        <v>48</v>
      </c>
      <c r="Q3" s="14">
        <v>10368</v>
      </c>
      <c r="R3" s="11" t="s">
        <v>3604</v>
      </c>
      <c r="S3" s="11" t="s">
        <v>3605</v>
      </c>
      <c r="T3" s="11" t="s">
        <v>2961</v>
      </c>
    </row>
    <row r="4" spans="1:20" ht="50.1" hidden="1" customHeight="1">
      <c r="A4" s="10">
        <v>3</v>
      </c>
      <c r="B4" s="11" t="s">
        <v>3606</v>
      </c>
      <c r="C4" s="11" t="s">
        <v>3607</v>
      </c>
      <c r="D4" s="11" t="s">
        <v>7</v>
      </c>
      <c r="E4" s="11" t="s">
        <v>8</v>
      </c>
      <c r="F4" s="12">
        <v>0</v>
      </c>
      <c r="G4" s="13"/>
      <c r="H4" s="14">
        <v>0</v>
      </c>
      <c r="I4" s="12">
        <v>5361</v>
      </c>
      <c r="J4" s="13">
        <v>54.864390970000002</v>
      </c>
      <c r="K4" s="14">
        <v>294128</v>
      </c>
      <c r="L4" s="12">
        <v>5361</v>
      </c>
      <c r="M4" s="13">
        <v>54.864390970000002</v>
      </c>
      <c r="N4" s="14">
        <v>294128</v>
      </c>
      <c r="O4" s="12">
        <v>0</v>
      </c>
      <c r="P4" s="13"/>
      <c r="Q4" s="14">
        <v>0</v>
      </c>
      <c r="R4" s="11" t="s">
        <v>3604</v>
      </c>
      <c r="S4" s="11" t="s">
        <v>3605</v>
      </c>
      <c r="T4" s="11" t="s">
        <v>2961</v>
      </c>
    </row>
    <row r="5" spans="1:20" ht="50.1" hidden="1" customHeight="1">
      <c r="A5" s="10">
        <v>4</v>
      </c>
      <c r="B5" s="11" t="s">
        <v>3552</v>
      </c>
      <c r="C5" s="11" t="s">
        <v>3553</v>
      </c>
      <c r="D5" s="11" t="s">
        <v>7</v>
      </c>
      <c r="E5" s="11" t="s">
        <v>8</v>
      </c>
      <c r="F5" s="12">
        <v>270</v>
      </c>
      <c r="G5" s="13">
        <v>79</v>
      </c>
      <c r="H5" s="14">
        <v>21330</v>
      </c>
      <c r="I5" s="12">
        <v>4200</v>
      </c>
      <c r="J5" s="13">
        <v>80.190476189999998</v>
      </c>
      <c r="K5" s="14">
        <v>336800</v>
      </c>
      <c r="L5" s="12">
        <v>3245</v>
      </c>
      <c r="M5" s="13">
        <v>79.785824349999999</v>
      </c>
      <c r="N5" s="14">
        <v>258905</v>
      </c>
      <c r="O5" s="12">
        <v>1225</v>
      </c>
      <c r="P5" s="13">
        <v>81</v>
      </c>
      <c r="Q5" s="14">
        <v>99225</v>
      </c>
      <c r="R5" s="11" t="s">
        <v>3602</v>
      </c>
      <c r="S5" s="11" t="s">
        <v>3603</v>
      </c>
      <c r="T5" s="11" t="s">
        <v>2961</v>
      </c>
    </row>
    <row r="6" spans="1:20" ht="50.1" hidden="1" customHeight="1">
      <c r="A6" s="10">
        <v>5</v>
      </c>
      <c r="B6" s="11" t="s">
        <v>3554</v>
      </c>
      <c r="C6" s="11" t="s">
        <v>3555</v>
      </c>
      <c r="D6" s="11" t="s">
        <v>7</v>
      </c>
      <c r="E6" s="11" t="s">
        <v>8</v>
      </c>
      <c r="F6" s="12">
        <v>0</v>
      </c>
      <c r="G6" s="13"/>
      <c r="H6" s="14">
        <v>0</v>
      </c>
      <c r="I6" s="12">
        <v>35</v>
      </c>
      <c r="J6" s="13">
        <v>527</v>
      </c>
      <c r="K6" s="14">
        <v>18445</v>
      </c>
      <c r="L6" s="12">
        <v>35</v>
      </c>
      <c r="M6" s="13">
        <v>527</v>
      </c>
      <c r="N6" s="14">
        <v>18445</v>
      </c>
      <c r="O6" s="12">
        <v>0</v>
      </c>
      <c r="P6" s="13"/>
      <c r="Q6" s="14">
        <v>0</v>
      </c>
      <c r="R6" s="11" t="s">
        <v>3608</v>
      </c>
      <c r="S6" s="11" t="s">
        <v>3609</v>
      </c>
      <c r="T6" s="11" t="s">
        <v>2961</v>
      </c>
    </row>
    <row r="7" spans="1:20" ht="50.1" hidden="1" customHeight="1">
      <c r="A7" s="10">
        <v>6</v>
      </c>
      <c r="B7" s="11" t="s">
        <v>337</v>
      </c>
      <c r="C7" s="11" t="s">
        <v>338</v>
      </c>
      <c r="D7" s="11" t="s">
        <v>17</v>
      </c>
      <c r="E7" s="11" t="s">
        <v>8</v>
      </c>
      <c r="F7" s="12">
        <v>61</v>
      </c>
      <c r="G7" s="13">
        <v>104.99983607</v>
      </c>
      <c r="H7" s="14">
        <v>6404.99</v>
      </c>
      <c r="I7" s="12">
        <v>128</v>
      </c>
      <c r="J7" s="13">
        <v>105</v>
      </c>
      <c r="K7" s="14">
        <v>13440</v>
      </c>
      <c r="L7" s="12">
        <v>90</v>
      </c>
      <c r="M7" s="13">
        <v>105</v>
      </c>
      <c r="N7" s="14">
        <v>9450</v>
      </c>
      <c r="O7" s="12">
        <v>99</v>
      </c>
      <c r="P7" s="13">
        <v>104.99989899000001</v>
      </c>
      <c r="Q7" s="14">
        <v>10394.99</v>
      </c>
      <c r="R7" s="11" t="s">
        <v>2962</v>
      </c>
      <c r="S7" s="11" t="s">
        <v>2963</v>
      </c>
      <c r="T7" s="11" t="s">
        <v>2961</v>
      </c>
    </row>
    <row r="8" spans="1:20" ht="50.1" hidden="1" customHeight="1">
      <c r="A8" s="10">
        <v>7</v>
      </c>
      <c r="B8" s="11" t="s">
        <v>646</v>
      </c>
      <c r="C8" s="11" t="s">
        <v>647</v>
      </c>
      <c r="D8" s="11" t="s">
        <v>7</v>
      </c>
      <c r="E8" s="11" t="s">
        <v>8</v>
      </c>
      <c r="F8" s="12">
        <v>19688.349999999999</v>
      </c>
      <c r="G8" s="13">
        <v>74.054297079999998</v>
      </c>
      <c r="H8" s="14">
        <v>1458006.92</v>
      </c>
      <c r="I8" s="12">
        <v>0</v>
      </c>
      <c r="J8" s="13"/>
      <c r="K8" s="14">
        <v>0</v>
      </c>
      <c r="L8" s="12">
        <v>3763</v>
      </c>
      <c r="M8" s="13">
        <v>74.054302419999999</v>
      </c>
      <c r="N8" s="14">
        <v>278666.34000000003</v>
      </c>
      <c r="O8" s="12">
        <v>15925.35</v>
      </c>
      <c r="P8" s="13">
        <v>74.054295819999993</v>
      </c>
      <c r="Q8" s="14">
        <v>1179340.58</v>
      </c>
      <c r="R8" s="11" t="s">
        <v>2964</v>
      </c>
      <c r="S8" s="11" t="s">
        <v>2965</v>
      </c>
      <c r="T8" s="11" t="s">
        <v>2966</v>
      </c>
    </row>
    <row r="9" spans="1:20" ht="50.1" hidden="1" customHeight="1">
      <c r="A9" s="10">
        <v>8</v>
      </c>
      <c r="B9" s="11" t="s">
        <v>2476</v>
      </c>
      <c r="C9" s="11" t="s">
        <v>2477</v>
      </c>
      <c r="D9" s="11" t="s">
        <v>7</v>
      </c>
      <c r="E9" s="11" t="s">
        <v>8</v>
      </c>
      <c r="F9" s="12">
        <v>1472.2</v>
      </c>
      <c r="G9" s="13">
        <v>50</v>
      </c>
      <c r="H9" s="14">
        <v>73610</v>
      </c>
      <c r="I9" s="12">
        <v>0</v>
      </c>
      <c r="J9" s="13"/>
      <c r="K9" s="14">
        <v>0</v>
      </c>
      <c r="L9" s="12">
        <v>0</v>
      </c>
      <c r="M9" s="13"/>
      <c r="N9" s="14">
        <v>0</v>
      </c>
      <c r="O9" s="12">
        <v>1472.2</v>
      </c>
      <c r="P9" s="13">
        <v>50</v>
      </c>
      <c r="Q9" s="14">
        <v>73610</v>
      </c>
      <c r="R9" s="11" t="s">
        <v>2964</v>
      </c>
      <c r="S9" s="11" t="s">
        <v>2965</v>
      </c>
      <c r="T9" s="11" t="s">
        <v>2966</v>
      </c>
    </row>
    <row r="10" spans="1:20" ht="50.1" hidden="1" customHeight="1">
      <c r="A10" s="10">
        <v>9</v>
      </c>
      <c r="B10" s="11" t="s">
        <v>648</v>
      </c>
      <c r="C10" s="11" t="s">
        <v>649</v>
      </c>
      <c r="D10" s="11" t="s">
        <v>7</v>
      </c>
      <c r="E10" s="11" t="s">
        <v>8</v>
      </c>
      <c r="F10" s="12">
        <v>1781.1</v>
      </c>
      <c r="G10" s="13">
        <v>181.34615124999999</v>
      </c>
      <c r="H10" s="14">
        <v>322995.63</v>
      </c>
      <c r="I10" s="12">
        <v>0</v>
      </c>
      <c r="J10" s="13"/>
      <c r="K10" s="14">
        <v>0</v>
      </c>
      <c r="L10" s="12">
        <v>0</v>
      </c>
      <c r="M10" s="13"/>
      <c r="N10" s="14">
        <v>0</v>
      </c>
      <c r="O10" s="12">
        <v>1781.1</v>
      </c>
      <c r="P10" s="13">
        <v>181.34615124999999</v>
      </c>
      <c r="Q10" s="14">
        <v>322995.63</v>
      </c>
      <c r="R10" s="11" t="s">
        <v>2964</v>
      </c>
      <c r="S10" s="11" t="s">
        <v>2965</v>
      </c>
      <c r="T10" s="11" t="s">
        <v>2966</v>
      </c>
    </row>
    <row r="11" spans="1:20" ht="50.1" hidden="1" customHeight="1">
      <c r="A11" s="10">
        <v>10</v>
      </c>
      <c r="B11" s="11" t="s">
        <v>650</v>
      </c>
      <c r="C11" s="11" t="s">
        <v>651</v>
      </c>
      <c r="D11" s="11" t="s">
        <v>7</v>
      </c>
      <c r="E11" s="11" t="s">
        <v>8</v>
      </c>
      <c r="F11" s="12">
        <v>2994.27</v>
      </c>
      <c r="G11" s="13">
        <v>184.77915150999999</v>
      </c>
      <c r="H11" s="14">
        <v>553278.67000000004</v>
      </c>
      <c r="I11" s="12">
        <v>0</v>
      </c>
      <c r="J11" s="13"/>
      <c r="K11" s="14">
        <v>0</v>
      </c>
      <c r="L11" s="12">
        <v>468</v>
      </c>
      <c r="M11" s="13">
        <v>184.77920940000001</v>
      </c>
      <c r="N11" s="14">
        <v>86476.67</v>
      </c>
      <c r="O11" s="12">
        <v>2526.27</v>
      </c>
      <c r="P11" s="13">
        <v>184.77914079000001</v>
      </c>
      <c r="Q11" s="14">
        <v>466802</v>
      </c>
      <c r="R11" s="11" t="s">
        <v>2964</v>
      </c>
      <c r="S11" s="11" t="s">
        <v>2965</v>
      </c>
      <c r="T11" s="11" t="s">
        <v>2966</v>
      </c>
    </row>
    <row r="12" spans="1:20" ht="50.1" hidden="1" customHeight="1">
      <c r="A12" s="10">
        <v>11</v>
      </c>
      <c r="B12" s="11" t="s">
        <v>652</v>
      </c>
      <c r="C12" s="11" t="s">
        <v>653</v>
      </c>
      <c r="D12" s="11" t="s">
        <v>7</v>
      </c>
      <c r="E12" s="11" t="s">
        <v>8</v>
      </c>
      <c r="F12" s="12">
        <v>2257.3000000000002</v>
      </c>
      <c r="G12" s="13">
        <v>204.47358348</v>
      </c>
      <c r="H12" s="14">
        <v>461558.22</v>
      </c>
      <c r="I12" s="12">
        <v>0</v>
      </c>
      <c r="J12" s="13"/>
      <c r="K12" s="14">
        <v>0</v>
      </c>
      <c r="L12" s="12">
        <v>40.700000000000003</v>
      </c>
      <c r="M12" s="13">
        <v>204.47371007000001</v>
      </c>
      <c r="N12" s="14">
        <v>8322.08</v>
      </c>
      <c r="O12" s="12">
        <v>2216.6</v>
      </c>
      <c r="P12" s="13">
        <v>204.47358116000001</v>
      </c>
      <c r="Q12" s="14">
        <v>453236.14</v>
      </c>
      <c r="R12" s="11" t="s">
        <v>2964</v>
      </c>
      <c r="S12" s="11" t="s">
        <v>2965</v>
      </c>
      <c r="T12" s="11" t="s">
        <v>2966</v>
      </c>
    </row>
    <row r="13" spans="1:20" ht="50.1" hidden="1" customHeight="1">
      <c r="A13" s="10">
        <v>12</v>
      </c>
      <c r="B13" s="11" t="s">
        <v>654</v>
      </c>
      <c r="C13" s="11" t="s">
        <v>655</v>
      </c>
      <c r="D13" s="11" t="s">
        <v>7</v>
      </c>
      <c r="E13" s="11" t="s">
        <v>8</v>
      </c>
      <c r="F13" s="12">
        <v>949.6</v>
      </c>
      <c r="G13" s="13">
        <v>190.8641112</v>
      </c>
      <c r="H13" s="14">
        <v>181244.56</v>
      </c>
      <c r="I13" s="12">
        <v>941</v>
      </c>
      <c r="J13" s="13">
        <v>178</v>
      </c>
      <c r="K13" s="14">
        <v>167498</v>
      </c>
      <c r="L13" s="12">
        <v>678</v>
      </c>
      <c r="M13" s="13">
        <v>186.78743363000001</v>
      </c>
      <c r="N13" s="14">
        <v>126641.88</v>
      </c>
      <c r="O13" s="12">
        <v>1212.5999999999999</v>
      </c>
      <c r="P13" s="13">
        <v>183.16071252</v>
      </c>
      <c r="Q13" s="14">
        <v>222100.68</v>
      </c>
      <c r="R13" s="11" t="s">
        <v>2964</v>
      </c>
      <c r="S13" s="11" t="s">
        <v>2965</v>
      </c>
      <c r="T13" s="11" t="s">
        <v>2966</v>
      </c>
    </row>
    <row r="14" spans="1:20" ht="50.1" hidden="1" customHeight="1">
      <c r="A14" s="10">
        <v>13</v>
      </c>
      <c r="B14" s="11" t="s">
        <v>656</v>
      </c>
      <c r="C14" s="11" t="s">
        <v>657</v>
      </c>
      <c r="D14" s="11" t="s">
        <v>7</v>
      </c>
      <c r="E14" s="11" t="s">
        <v>8</v>
      </c>
      <c r="F14" s="12">
        <v>280</v>
      </c>
      <c r="G14" s="13">
        <v>144.38664607000001</v>
      </c>
      <c r="H14" s="14">
        <v>40428.260900000001</v>
      </c>
      <c r="I14" s="12">
        <v>0</v>
      </c>
      <c r="J14" s="13"/>
      <c r="K14" s="14">
        <v>0</v>
      </c>
      <c r="L14" s="12">
        <v>51.5</v>
      </c>
      <c r="M14" s="13">
        <v>144.38660193999999</v>
      </c>
      <c r="N14" s="14">
        <v>7435.91</v>
      </c>
      <c r="O14" s="12">
        <v>228.5</v>
      </c>
      <c r="P14" s="13">
        <v>144.38665602</v>
      </c>
      <c r="Q14" s="14">
        <v>32992.350899999998</v>
      </c>
      <c r="R14" s="11" t="s">
        <v>2964</v>
      </c>
      <c r="S14" s="11" t="s">
        <v>2965</v>
      </c>
      <c r="T14" s="11" t="s">
        <v>2966</v>
      </c>
    </row>
    <row r="15" spans="1:20" ht="50.1" hidden="1" customHeight="1">
      <c r="A15" s="10">
        <v>14</v>
      </c>
      <c r="B15" s="11" t="s">
        <v>660</v>
      </c>
      <c r="C15" s="11" t="s">
        <v>661</v>
      </c>
      <c r="D15" s="11" t="s">
        <v>7</v>
      </c>
      <c r="E15" s="11" t="s">
        <v>8</v>
      </c>
      <c r="F15" s="12">
        <v>230</v>
      </c>
      <c r="G15" s="13">
        <v>295.13354304000001</v>
      </c>
      <c r="H15" s="14">
        <v>67880.714900000006</v>
      </c>
      <c r="I15" s="12">
        <v>0</v>
      </c>
      <c r="J15" s="13"/>
      <c r="K15" s="14">
        <v>0</v>
      </c>
      <c r="L15" s="12">
        <v>0</v>
      </c>
      <c r="M15" s="13"/>
      <c r="N15" s="14">
        <v>0</v>
      </c>
      <c r="O15" s="12">
        <v>230</v>
      </c>
      <c r="P15" s="13">
        <v>295.13354304000001</v>
      </c>
      <c r="Q15" s="14">
        <v>67880.714900000006</v>
      </c>
      <c r="R15" s="11" t="s">
        <v>2964</v>
      </c>
      <c r="S15" s="11" t="s">
        <v>2965</v>
      </c>
      <c r="T15" s="11" t="s">
        <v>2966</v>
      </c>
    </row>
    <row r="16" spans="1:20" ht="50.1" hidden="1" customHeight="1">
      <c r="A16" s="10">
        <v>15</v>
      </c>
      <c r="B16" s="11" t="s">
        <v>662</v>
      </c>
      <c r="C16" s="11" t="s">
        <v>663</v>
      </c>
      <c r="D16" s="11" t="s">
        <v>7</v>
      </c>
      <c r="E16" s="11" t="s">
        <v>8</v>
      </c>
      <c r="F16" s="12">
        <v>897.1</v>
      </c>
      <c r="G16" s="13">
        <v>221.16925917</v>
      </c>
      <c r="H16" s="14">
        <v>198410.9424</v>
      </c>
      <c r="I16" s="12">
        <v>0</v>
      </c>
      <c r="J16" s="13"/>
      <c r="K16" s="14">
        <v>0</v>
      </c>
      <c r="L16" s="12">
        <v>0</v>
      </c>
      <c r="M16" s="13"/>
      <c r="N16" s="14">
        <v>0</v>
      </c>
      <c r="O16" s="12">
        <v>897.1</v>
      </c>
      <c r="P16" s="13">
        <v>221.16925917</v>
      </c>
      <c r="Q16" s="14">
        <v>198410.9424</v>
      </c>
      <c r="R16" s="11" t="s">
        <v>2964</v>
      </c>
      <c r="S16" s="11" t="s">
        <v>2965</v>
      </c>
      <c r="T16" s="11" t="s">
        <v>2966</v>
      </c>
    </row>
    <row r="17" spans="1:20" ht="50.1" hidden="1" customHeight="1">
      <c r="A17" s="10">
        <v>16</v>
      </c>
      <c r="B17" s="11" t="s">
        <v>664</v>
      </c>
      <c r="C17" s="11" t="s">
        <v>665</v>
      </c>
      <c r="D17" s="11" t="s">
        <v>7</v>
      </c>
      <c r="E17" s="11" t="s">
        <v>8</v>
      </c>
      <c r="F17" s="12">
        <v>402</v>
      </c>
      <c r="G17" s="13">
        <v>294.00000198999999</v>
      </c>
      <c r="H17" s="14">
        <v>118188.00079999999</v>
      </c>
      <c r="I17" s="12">
        <v>0</v>
      </c>
      <c r="J17" s="13"/>
      <c r="K17" s="14">
        <v>0</v>
      </c>
      <c r="L17" s="12">
        <v>0</v>
      </c>
      <c r="M17" s="13"/>
      <c r="N17" s="14">
        <v>0</v>
      </c>
      <c r="O17" s="12">
        <v>402</v>
      </c>
      <c r="P17" s="13">
        <v>294.00000198999999</v>
      </c>
      <c r="Q17" s="14">
        <v>118188.00079999999</v>
      </c>
      <c r="R17" s="11" t="s">
        <v>2964</v>
      </c>
      <c r="S17" s="11" t="s">
        <v>2965</v>
      </c>
      <c r="T17" s="11" t="s">
        <v>2966</v>
      </c>
    </row>
    <row r="18" spans="1:20" ht="50.1" hidden="1" customHeight="1">
      <c r="A18" s="10">
        <v>17</v>
      </c>
      <c r="B18" s="11" t="s">
        <v>666</v>
      </c>
      <c r="C18" s="11" t="s">
        <v>667</v>
      </c>
      <c r="D18" s="11" t="s">
        <v>7</v>
      </c>
      <c r="E18" s="11" t="s">
        <v>8</v>
      </c>
      <c r="F18" s="12">
        <v>177.1</v>
      </c>
      <c r="G18" s="13">
        <v>727.25999887</v>
      </c>
      <c r="H18" s="14">
        <v>128797.7458</v>
      </c>
      <c r="I18" s="12">
        <v>0</v>
      </c>
      <c r="J18" s="13"/>
      <c r="K18" s="14">
        <v>0</v>
      </c>
      <c r="L18" s="12">
        <v>0</v>
      </c>
      <c r="M18" s="13"/>
      <c r="N18" s="14">
        <v>0</v>
      </c>
      <c r="O18" s="12">
        <v>177.1</v>
      </c>
      <c r="P18" s="13">
        <v>727.25999887</v>
      </c>
      <c r="Q18" s="14">
        <v>128797.7458</v>
      </c>
      <c r="R18" s="11" t="s">
        <v>2964</v>
      </c>
      <c r="S18" s="11" t="s">
        <v>2965</v>
      </c>
      <c r="T18" s="11" t="s">
        <v>2966</v>
      </c>
    </row>
    <row r="19" spans="1:20" ht="50.1" hidden="1" customHeight="1">
      <c r="A19" s="10">
        <v>18</v>
      </c>
      <c r="B19" s="11" t="s">
        <v>2731</v>
      </c>
      <c r="C19" s="11" t="s">
        <v>2732</v>
      </c>
      <c r="D19" s="11" t="s">
        <v>7</v>
      </c>
      <c r="E19" s="11" t="s">
        <v>8</v>
      </c>
      <c r="F19" s="12">
        <v>1337</v>
      </c>
      <c r="G19" s="13">
        <v>188</v>
      </c>
      <c r="H19" s="14">
        <v>251356</v>
      </c>
      <c r="I19" s="12">
        <v>760.7</v>
      </c>
      <c r="J19" s="13">
        <v>188</v>
      </c>
      <c r="K19" s="14">
        <v>143011.6</v>
      </c>
      <c r="L19" s="12">
        <v>329.5</v>
      </c>
      <c r="M19" s="13">
        <v>188</v>
      </c>
      <c r="N19" s="14">
        <v>61946</v>
      </c>
      <c r="O19" s="12">
        <v>1768.2</v>
      </c>
      <c r="P19" s="13">
        <v>188</v>
      </c>
      <c r="Q19" s="14">
        <v>332421.59999999998</v>
      </c>
      <c r="R19" s="11" t="s">
        <v>2964</v>
      </c>
      <c r="S19" s="11" t="s">
        <v>2965</v>
      </c>
      <c r="T19" s="11" t="s">
        <v>2961</v>
      </c>
    </row>
    <row r="20" spans="1:20" ht="50.1" hidden="1" customHeight="1">
      <c r="A20" s="10">
        <v>19</v>
      </c>
      <c r="B20" s="11" t="s">
        <v>2733</v>
      </c>
      <c r="C20" s="11" t="s">
        <v>2734</v>
      </c>
      <c r="D20" s="11" t="s">
        <v>7</v>
      </c>
      <c r="E20" s="11" t="s">
        <v>8</v>
      </c>
      <c r="F20" s="12">
        <v>1643.1</v>
      </c>
      <c r="G20" s="13">
        <v>188</v>
      </c>
      <c r="H20" s="14">
        <v>308902.8</v>
      </c>
      <c r="I20" s="12">
        <v>656.5</v>
      </c>
      <c r="J20" s="13">
        <v>188</v>
      </c>
      <c r="K20" s="14">
        <v>123422</v>
      </c>
      <c r="L20" s="12">
        <v>0</v>
      </c>
      <c r="M20" s="13"/>
      <c r="N20" s="14">
        <v>0</v>
      </c>
      <c r="O20" s="12">
        <v>2299.6</v>
      </c>
      <c r="P20" s="13">
        <v>188</v>
      </c>
      <c r="Q20" s="14">
        <v>432324.8</v>
      </c>
      <c r="R20" s="11" t="s">
        <v>2964</v>
      </c>
      <c r="S20" s="11" t="s">
        <v>2965</v>
      </c>
      <c r="T20" s="11" t="s">
        <v>2961</v>
      </c>
    </row>
    <row r="21" spans="1:20" ht="50.1" hidden="1" customHeight="1">
      <c r="A21" s="10">
        <v>20</v>
      </c>
      <c r="B21" s="11" t="s">
        <v>2735</v>
      </c>
      <c r="C21" s="11" t="s">
        <v>2736</v>
      </c>
      <c r="D21" s="11" t="s">
        <v>7</v>
      </c>
      <c r="E21" s="11" t="s">
        <v>8</v>
      </c>
      <c r="F21" s="12">
        <v>2259.6999999999998</v>
      </c>
      <c r="G21" s="13">
        <v>187.40898349</v>
      </c>
      <c r="H21" s="14">
        <v>423488.08</v>
      </c>
      <c r="I21" s="12">
        <v>218.6</v>
      </c>
      <c r="J21" s="13">
        <v>188</v>
      </c>
      <c r="K21" s="14">
        <v>41096.800000000003</v>
      </c>
      <c r="L21" s="12">
        <v>0</v>
      </c>
      <c r="M21" s="13"/>
      <c r="N21" s="14">
        <v>0</v>
      </c>
      <c r="O21" s="12">
        <v>2478.3000000000002</v>
      </c>
      <c r="P21" s="13">
        <v>187.46111447000001</v>
      </c>
      <c r="Q21" s="14">
        <v>464584.88</v>
      </c>
      <c r="R21" s="11" t="s">
        <v>2964</v>
      </c>
      <c r="S21" s="11" t="s">
        <v>2965</v>
      </c>
      <c r="T21" s="11" t="s">
        <v>2961</v>
      </c>
    </row>
    <row r="22" spans="1:20" ht="50.1" hidden="1" customHeight="1">
      <c r="A22" s="10">
        <v>21</v>
      </c>
      <c r="B22" s="11" t="s">
        <v>2737</v>
      </c>
      <c r="C22" s="11" t="s">
        <v>2738</v>
      </c>
      <c r="D22" s="11" t="s">
        <v>7</v>
      </c>
      <c r="E22" s="11" t="s">
        <v>8</v>
      </c>
      <c r="F22" s="12">
        <v>2079</v>
      </c>
      <c r="G22" s="13">
        <v>188</v>
      </c>
      <c r="H22" s="14">
        <v>390852</v>
      </c>
      <c r="I22" s="12">
        <v>0</v>
      </c>
      <c r="J22" s="13"/>
      <c r="K22" s="14">
        <v>0</v>
      </c>
      <c r="L22" s="12">
        <v>416</v>
      </c>
      <c r="M22" s="13">
        <v>188</v>
      </c>
      <c r="N22" s="14">
        <v>78208</v>
      </c>
      <c r="O22" s="12">
        <v>1663</v>
      </c>
      <c r="P22" s="13">
        <v>188</v>
      </c>
      <c r="Q22" s="14">
        <v>312644</v>
      </c>
      <c r="R22" s="11" t="s">
        <v>2964</v>
      </c>
      <c r="S22" s="11" t="s">
        <v>2965</v>
      </c>
      <c r="T22" s="11" t="s">
        <v>2966</v>
      </c>
    </row>
    <row r="23" spans="1:20" ht="50.1" hidden="1" customHeight="1">
      <c r="A23" s="10">
        <v>22</v>
      </c>
      <c r="B23" s="11" t="s">
        <v>2739</v>
      </c>
      <c r="C23" s="11" t="s">
        <v>2740</v>
      </c>
      <c r="D23" s="11" t="s">
        <v>7</v>
      </c>
      <c r="E23" s="11" t="s">
        <v>8</v>
      </c>
      <c r="F23" s="12">
        <v>2214.6</v>
      </c>
      <c r="G23" s="13">
        <v>188</v>
      </c>
      <c r="H23" s="14">
        <v>416344.8</v>
      </c>
      <c r="I23" s="12">
        <v>0</v>
      </c>
      <c r="J23" s="13"/>
      <c r="K23" s="14">
        <v>0</v>
      </c>
      <c r="L23" s="12">
        <v>50.7</v>
      </c>
      <c r="M23" s="13">
        <v>188</v>
      </c>
      <c r="N23" s="14">
        <v>9531.6</v>
      </c>
      <c r="O23" s="12">
        <v>2163.9</v>
      </c>
      <c r="P23" s="13">
        <v>188</v>
      </c>
      <c r="Q23" s="14">
        <v>406813.2</v>
      </c>
      <c r="R23" s="11" t="s">
        <v>2964</v>
      </c>
      <c r="S23" s="11" t="s">
        <v>2965</v>
      </c>
      <c r="T23" s="11" t="s">
        <v>2966</v>
      </c>
    </row>
    <row r="24" spans="1:20" ht="50.1" hidden="1" customHeight="1">
      <c r="A24" s="10">
        <v>23</v>
      </c>
      <c r="B24" s="11" t="s">
        <v>2741</v>
      </c>
      <c r="C24" s="11" t="s">
        <v>2742</v>
      </c>
      <c r="D24" s="11" t="s">
        <v>7</v>
      </c>
      <c r="E24" s="11" t="s">
        <v>8</v>
      </c>
      <c r="F24" s="12">
        <v>1584.4</v>
      </c>
      <c r="G24" s="13">
        <v>186.56395481000001</v>
      </c>
      <c r="H24" s="14">
        <v>295591.93</v>
      </c>
      <c r="I24" s="12">
        <v>537.20000000000005</v>
      </c>
      <c r="J24" s="13">
        <v>188</v>
      </c>
      <c r="K24" s="14">
        <v>100993.60000000001</v>
      </c>
      <c r="L24" s="12">
        <v>0</v>
      </c>
      <c r="M24" s="13"/>
      <c r="N24" s="14">
        <v>0</v>
      </c>
      <c r="O24" s="12">
        <v>2121.6</v>
      </c>
      <c r="P24" s="13">
        <v>186.92756882</v>
      </c>
      <c r="Q24" s="14">
        <v>396585.53</v>
      </c>
      <c r="R24" s="11" t="s">
        <v>2964</v>
      </c>
      <c r="S24" s="11" t="s">
        <v>2965</v>
      </c>
      <c r="T24" s="11" t="s">
        <v>2966</v>
      </c>
    </row>
    <row r="25" spans="1:20" ht="50.1" hidden="1" customHeight="1">
      <c r="A25" s="10">
        <v>24</v>
      </c>
      <c r="B25" s="11" t="s">
        <v>3170</v>
      </c>
      <c r="C25" s="11" t="s">
        <v>3171</v>
      </c>
      <c r="D25" s="11" t="s">
        <v>7</v>
      </c>
      <c r="E25" s="11" t="s">
        <v>8</v>
      </c>
      <c r="F25" s="12">
        <v>1813.2</v>
      </c>
      <c r="G25" s="13">
        <v>172</v>
      </c>
      <c r="H25" s="14">
        <v>311870.40000000002</v>
      </c>
      <c r="I25" s="12">
        <v>0</v>
      </c>
      <c r="J25" s="13"/>
      <c r="K25" s="14">
        <v>0</v>
      </c>
      <c r="L25" s="12">
        <v>60.3</v>
      </c>
      <c r="M25" s="13">
        <v>172</v>
      </c>
      <c r="N25" s="14">
        <v>10371.6</v>
      </c>
      <c r="O25" s="12">
        <v>1752.9</v>
      </c>
      <c r="P25" s="13">
        <v>172</v>
      </c>
      <c r="Q25" s="14">
        <v>301498.8</v>
      </c>
      <c r="R25" s="11" t="s">
        <v>2964</v>
      </c>
      <c r="S25" s="11" t="s">
        <v>2965</v>
      </c>
      <c r="T25" s="11" t="s">
        <v>2961</v>
      </c>
    </row>
    <row r="26" spans="1:20" ht="50.1" hidden="1" customHeight="1">
      <c r="A26" s="10">
        <v>25</v>
      </c>
      <c r="B26" s="11" t="s">
        <v>3172</v>
      </c>
      <c r="C26" s="11" t="s">
        <v>3173</v>
      </c>
      <c r="D26" s="11" t="s">
        <v>7</v>
      </c>
      <c r="E26" s="11" t="s">
        <v>8</v>
      </c>
      <c r="F26" s="12">
        <v>1004.3</v>
      </c>
      <c r="G26" s="13">
        <v>172</v>
      </c>
      <c r="H26" s="14">
        <v>172739.6</v>
      </c>
      <c r="I26" s="12">
        <v>0</v>
      </c>
      <c r="J26" s="13"/>
      <c r="K26" s="14">
        <v>0</v>
      </c>
      <c r="L26" s="12">
        <v>217.6</v>
      </c>
      <c r="M26" s="13">
        <v>172</v>
      </c>
      <c r="N26" s="14">
        <v>37427.199999999997</v>
      </c>
      <c r="O26" s="12">
        <v>786.7</v>
      </c>
      <c r="P26" s="13">
        <v>172</v>
      </c>
      <c r="Q26" s="14">
        <v>135312.4</v>
      </c>
      <c r="R26" s="11" t="s">
        <v>2964</v>
      </c>
      <c r="S26" s="11" t="s">
        <v>2965</v>
      </c>
      <c r="T26" s="11" t="s">
        <v>2961</v>
      </c>
    </row>
    <row r="27" spans="1:20" ht="50.1" hidden="1" customHeight="1">
      <c r="A27" s="10">
        <v>26</v>
      </c>
      <c r="B27" s="11" t="s">
        <v>2857</v>
      </c>
      <c r="C27" s="11" t="s">
        <v>2858</v>
      </c>
      <c r="D27" s="11" t="s">
        <v>7</v>
      </c>
      <c r="E27" s="11" t="s">
        <v>8</v>
      </c>
      <c r="F27" s="12">
        <v>1563</v>
      </c>
      <c r="G27" s="13">
        <v>265.11976966999998</v>
      </c>
      <c r="H27" s="14">
        <v>414382.2</v>
      </c>
      <c r="I27" s="12">
        <v>2802.5</v>
      </c>
      <c r="J27" s="13">
        <v>252.45804459999999</v>
      </c>
      <c r="K27" s="14">
        <v>707513.67</v>
      </c>
      <c r="L27" s="12">
        <v>867.5</v>
      </c>
      <c r="M27" s="13">
        <v>264.27152738000001</v>
      </c>
      <c r="N27" s="14">
        <v>229255.55</v>
      </c>
      <c r="O27" s="12">
        <v>3498</v>
      </c>
      <c r="P27" s="13">
        <v>255.18591194999999</v>
      </c>
      <c r="Q27" s="14">
        <v>892640.32</v>
      </c>
      <c r="R27" s="11" t="s">
        <v>2964</v>
      </c>
      <c r="S27" s="11" t="s">
        <v>2965</v>
      </c>
      <c r="T27" s="11" t="s">
        <v>2961</v>
      </c>
    </row>
    <row r="28" spans="1:20" ht="50.1" hidden="1" customHeight="1">
      <c r="A28" s="10">
        <v>27</v>
      </c>
      <c r="B28" s="11" t="s">
        <v>2861</v>
      </c>
      <c r="C28" s="11" t="s">
        <v>2862</v>
      </c>
      <c r="D28" s="11" t="s">
        <v>7</v>
      </c>
      <c r="E28" s="11" t="s">
        <v>8</v>
      </c>
      <c r="F28" s="12">
        <v>3479</v>
      </c>
      <c r="G28" s="13">
        <v>265.60205518999999</v>
      </c>
      <c r="H28" s="14">
        <v>924029.55</v>
      </c>
      <c r="I28" s="12">
        <v>2029</v>
      </c>
      <c r="J28" s="13">
        <v>247.97504189</v>
      </c>
      <c r="K28" s="14">
        <v>503141.36</v>
      </c>
      <c r="L28" s="12">
        <v>509</v>
      </c>
      <c r="M28" s="13">
        <v>265.04432220000001</v>
      </c>
      <c r="N28" s="14">
        <v>134907.56</v>
      </c>
      <c r="O28" s="12">
        <v>4999</v>
      </c>
      <c r="P28" s="13">
        <v>258.50437087</v>
      </c>
      <c r="Q28" s="14">
        <v>1292263.3500000001</v>
      </c>
      <c r="R28" s="11" t="s">
        <v>2964</v>
      </c>
      <c r="S28" s="11" t="s">
        <v>2965</v>
      </c>
      <c r="T28" s="11" t="s">
        <v>2961</v>
      </c>
    </row>
    <row r="29" spans="1:20" ht="50.1" hidden="1" customHeight="1">
      <c r="A29" s="10">
        <v>28</v>
      </c>
      <c r="B29" s="11" t="s">
        <v>668</v>
      </c>
      <c r="C29" s="11" t="s">
        <v>669</v>
      </c>
      <c r="D29" s="11" t="s">
        <v>7</v>
      </c>
      <c r="E29" s="11" t="s">
        <v>8</v>
      </c>
      <c r="F29" s="12">
        <v>70</v>
      </c>
      <c r="G29" s="13">
        <v>198.25039856999999</v>
      </c>
      <c r="H29" s="14">
        <v>13877.527899999999</v>
      </c>
      <c r="I29" s="12">
        <v>0</v>
      </c>
      <c r="J29" s="13"/>
      <c r="K29" s="14">
        <v>0</v>
      </c>
      <c r="L29" s="12">
        <v>0</v>
      </c>
      <c r="M29" s="13"/>
      <c r="N29" s="14">
        <v>0</v>
      </c>
      <c r="O29" s="12">
        <v>70</v>
      </c>
      <c r="P29" s="13">
        <v>198.25039856999999</v>
      </c>
      <c r="Q29" s="14">
        <v>13877.527899999999</v>
      </c>
      <c r="R29" s="11" t="s">
        <v>2964</v>
      </c>
      <c r="S29" s="11" t="s">
        <v>2965</v>
      </c>
      <c r="T29" s="11" t="s">
        <v>2966</v>
      </c>
    </row>
    <row r="30" spans="1:20" ht="50.1" hidden="1" customHeight="1">
      <c r="A30" s="10">
        <v>29</v>
      </c>
      <c r="B30" s="11" t="s">
        <v>670</v>
      </c>
      <c r="C30" s="11" t="s">
        <v>671</v>
      </c>
      <c r="D30" s="11" t="s">
        <v>7</v>
      </c>
      <c r="E30" s="11" t="s">
        <v>8</v>
      </c>
      <c r="F30" s="12">
        <v>285.3</v>
      </c>
      <c r="G30" s="13">
        <v>324.65089484999999</v>
      </c>
      <c r="H30" s="14">
        <v>92622.900299999994</v>
      </c>
      <c r="I30" s="12">
        <v>0</v>
      </c>
      <c r="J30" s="13"/>
      <c r="K30" s="14">
        <v>0</v>
      </c>
      <c r="L30" s="12">
        <v>0</v>
      </c>
      <c r="M30" s="13"/>
      <c r="N30" s="14">
        <v>0</v>
      </c>
      <c r="O30" s="12">
        <v>285.3</v>
      </c>
      <c r="P30" s="13">
        <v>324.65089484999999</v>
      </c>
      <c r="Q30" s="14">
        <v>92622.900299999994</v>
      </c>
      <c r="R30" s="11" t="s">
        <v>2964</v>
      </c>
      <c r="S30" s="11" t="s">
        <v>2965</v>
      </c>
      <c r="T30" s="11" t="s">
        <v>2966</v>
      </c>
    </row>
    <row r="31" spans="1:20" ht="50.1" hidden="1" customHeight="1">
      <c r="A31" s="10">
        <v>30</v>
      </c>
      <c r="B31" s="11" t="s">
        <v>674</v>
      </c>
      <c r="C31" s="11" t="s">
        <v>675</v>
      </c>
      <c r="D31" s="11" t="s">
        <v>7</v>
      </c>
      <c r="E31" s="11" t="s">
        <v>8</v>
      </c>
      <c r="F31" s="12">
        <v>158.69999999999999</v>
      </c>
      <c r="G31" s="13">
        <v>190.13250158</v>
      </c>
      <c r="H31" s="14">
        <v>30174.027999999998</v>
      </c>
      <c r="I31" s="12">
        <v>0</v>
      </c>
      <c r="J31" s="13"/>
      <c r="K31" s="14">
        <v>0</v>
      </c>
      <c r="L31" s="12">
        <v>45.6</v>
      </c>
      <c r="M31" s="13">
        <v>190.13245613999999</v>
      </c>
      <c r="N31" s="14">
        <v>8670.0400000000009</v>
      </c>
      <c r="O31" s="12">
        <v>113.1</v>
      </c>
      <c r="P31" s="13">
        <v>190.13251989</v>
      </c>
      <c r="Q31" s="14">
        <v>21503.988000000001</v>
      </c>
      <c r="R31" s="11" t="s">
        <v>2964</v>
      </c>
      <c r="S31" s="11" t="s">
        <v>2965</v>
      </c>
      <c r="T31" s="11" t="s">
        <v>2966</v>
      </c>
    </row>
    <row r="32" spans="1:20" ht="50.1" hidden="1" customHeight="1">
      <c r="A32" s="10">
        <v>31</v>
      </c>
      <c r="B32" s="11" t="s">
        <v>676</v>
      </c>
      <c r="C32" s="11" t="s">
        <v>677</v>
      </c>
      <c r="D32" s="11" t="s">
        <v>7</v>
      </c>
      <c r="E32" s="11" t="s">
        <v>8</v>
      </c>
      <c r="F32" s="12">
        <v>295.5</v>
      </c>
      <c r="G32" s="13">
        <v>164</v>
      </c>
      <c r="H32" s="14">
        <v>48462</v>
      </c>
      <c r="I32" s="12">
        <v>0</v>
      </c>
      <c r="J32" s="13"/>
      <c r="K32" s="14">
        <v>0</v>
      </c>
      <c r="L32" s="12">
        <v>0</v>
      </c>
      <c r="M32" s="13"/>
      <c r="N32" s="14">
        <v>0</v>
      </c>
      <c r="O32" s="12">
        <v>295.5</v>
      </c>
      <c r="P32" s="13">
        <v>164</v>
      </c>
      <c r="Q32" s="14">
        <v>48462</v>
      </c>
      <c r="R32" s="11" t="s">
        <v>2964</v>
      </c>
      <c r="S32" s="11" t="s">
        <v>2965</v>
      </c>
      <c r="T32" s="11" t="s">
        <v>2966</v>
      </c>
    </row>
    <row r="33" spans="1:20" ht="50.1" hidden="1" customHeight="1">
      <c r="A33" s="10">
        <v>32</v>
      </c>
      <c r="B33" s="11" t="s">
        <v>678</v>
      </c>
      <c r="C33" s="11" t="s">
        <v>679</v>
      </c>
      <c r="D33" s="11" t="s">
        <v>7</v>
      </c>
      <c r="E33" s="11" t="s">
        <v>8</v>
      </c>
      <c r="F33" s="12">
        <v>585.5</v>
      </c>
      <c r="G33" s="13">
        <v>115</v>
      </c>
      <c r="H33" s="14">
        <v>67332.5</v>
      </c>
      <c r="I33" s="12">
        <v>86</v>
      </c>
      <c r="J33" s="13">
        <v>115</v>
      </c>
      <c r="K33" s="14">
        <v>9890</v>
      </c>
      <c r="L33" s="12">
        <v>81</v>
      </c>
      <c r="M33" s="13">
        <v>115</v>
      </c>
      <c r="N33" s="14">
        <v>9315</v>
      </c>
      <c r="O33" s="12">
        <v>590.5</v>
      </c>
      <c r="P33" s="13">
        <v>115</v>
      </c>
      <c r="Q33" s="14">
        <v>67907.5</v>
      </c>
      <c r="R33" s="11" t="s">
        <v>2964</v>
      </c>
      <c r="S33" s="11" t="s">
        <v>2965</v>
      </c>
      <c r="T33" s="11" t="s">
        <v>2966</v>
      </c>
    </row>
    <row r="34" spans="1:20" ht="50.1" hidden="1" customHeight="1">
      <c r="A34" s="10">
        <v>33</v>
      </c>
      <c r="B34" s="11" t="s">
        <v>680</v>
      </c>
      <c r="C34" s="11" t="s">
        <v>681</v>
      </c>
      <c r="D34" s="11" t="s">
        <v>7</v>
      </c>
      <c r="E34" s="11" t="s">
        <v>8</v>
      </c>
      <c r="F34" s="12">
        <v>936.5</v>
      </c>
      <c r="G34" s="13">
        <v>115</v>
      </c>
      <c r="H34" s="14">
        <v>107697.5</v>
      </c>
      <c r="I34" s="12">
        <v>0</v>
      </c>
      <c r="J34" s="13"/>
      <c r="K34" s="14">
        <v>0</v>
      </c>
      <c r="L34" s="12">
        <v>0</v>
      </c>
      <c r="M34" s="13"/>
      <c r="N34" s="14">
        <v>0</v>
      </c>
      <c r="O34" s="12">
        <v>936.5</v>
      </c>
      <c r="P34" s="13">
        <v>115</v>
      </c>
      <c r="Q34" s="14">
        <v>107697.5</v>
      </c>
      <c r="R34" s="11" t="s">
        <v>2964</v>
      </c>
      <c r="S34" s="11" t="s">
        <v>2965</v>
      </c>
      <c r="T34" s="11" t="s">
        <v>2966</v>
      </c>
    </row>
    <row r="35" spans="1:20" ht="50.1" hidden="1" customHeight="1">
      <c r="A35" s="10">
        <v>34</v>
      </c>
      <c r="B35" s="11" t="s">
        <v>682</v>
      </c>
      <c r="C35" s="11" t="s">
        <v>683</v>
      </c>
      <c r="D35" s="11" t="s">
        <v>7</v>
      </c>
      <c r="E35" s="11" t="s">
        <v>8</v>
      </c>
      <c r="F35" s="12">
        <v>597.5</v>
      </c>
      <c r="G35" s="13">
        <v>115</v>
      </c>
      <c r="H35" s="14">
        <v>68712.5</v>
      </c>
      <c r="I35" s="12">
        <v>0</v>
      </c>
      <c r="J35" s="13"/>
      <c r="K35" s="14">
        <v>0</v>
      </c>
      <c r="L35" s="12">
        <v>0</v>
      </c>
      <c r="M35" s="13"/>
      <c r="N35" s="14">
        <v>0</v>
      </c>
      <c r="O35" s="12">
        <v>597.5</v>
      </c>
      <c r="P35" s="13">
        <v>115</v>
      </c>
      <c r="Q35" s="14">
        <v>68712.5</v>
      </c>
      <c r="R35" s="11" t="s">
        <v>2964</v>
      </c>
      <c r="S35" s="11" t="s">
        <v>2965</v>
      </c>
      <c r="T35" s="11" t="s">
        <v>2966</v>
      </c>
    </row>
    <row r="36" spans="1:20" ht="50.1" hidden="1" customHeight="1">
      <c r="A36" s="10">
        <v>35</v>
      </c>
      <c r="B36" s="11" t="s">
        <v>686</v>
      </c>
      <c r="C36" s="11" t="s">
        <v>687</v>
      </c>
      <c r="D36" s="11" t="s">
        <v>7</v>
      </c>
      <c r="E36" s="11" t="s">
        <v>8</v>
      </c>
      <c r="F36" s="12">
        <v>555</v>
      </c>
      <c r="G36" s="13">
        <v>115</v>
      </c>
      <c r="H36" s="14">
        <v>63825</v>
      </c>
      <c r="I36" s="12">
        <v>207</v>
      </c>
      <c r="J36" s="13">
        <v>115</v>
      </c>
      <c r="K36" s="14">
        <v>23805</v>
      </c>
      <c r="L36" s="12">
        <v>82</v>
      </c>
      <c r="M36" s="13">
        <v>115</v>
      </c>
      <c r="N36" s="14">
        <v>9430</v>
      </c>
      <c r="O36" s="12">
        <v>680</v>
      </c>
      <c r="P36" s="13">
        <v>115</v>
      </c>
      <c r="Q36" s="14">
        <v>78200</v>
      </c>
      <c r="R36" s="11" t="s">
        <v>2964</v>
      </c>
      <c r="S36" s="11" t="s">
        <v>2965</v>
      </c>
      <c r="T36" s="11" t="s">
        <v>2966</v>
      </c>
    </row>
    <row r="37" spans="1:20" ht="50.1" hidden="1" customHeight="1">
      <c r="A37" s="10">
        <v>36</v>
      </c>
      <c r="B37" s="11" t="s">
        <v>694</v>
      </c>
      <c r="C37" s="11" t="s">
        <v>695</v>
      </c>
      <c r="D37" s="11" t="s">
        <v>7</v>
      </c>
      <c r="E37" s="11" t="s">
        <v>8</v>
      </c>
      <c r="F37" s="12">
        <v>501</v>
      </c>
      <c r="G37" s="13">
        <v>160.01275448999999</v>
      </c>
      <c r="H37" s="14">
        <v>80166.39</v>
      </c>
      <c r="I37" s="12">
        <v>0</v>
      </c>
      <c r="J37" s="13"/>
      <c r="K37" s="14">
        <v>0</v>
      </c>
      <c r="L37" s="12">
        <v>0</v>
      </c>
      <c r="M37" s="13"/>
      <c r="N37" s="14">
        <v>0</v>
      </c>
      <c r="O37" s="12">
        <v>501</v>
      </c>
      <c r="P37" s="13">
        <v>160.01275448999999</v>
      </c>
      <c r="Q37" s="14">
        <v>80166.39</v>
      </c>
      <c r="R37" s="11" t="s">
        <v>2964</v>
      </c>
      <c r="S37" s="11" t="s">
        <v>2965</v>
      </c>
      <c r="T37" s="11" t="s">
        <v>2966</v>
      </c>
    </row>
    <row r="38" spans="1:20" ht="50.1" hidden="1" customHeight="1">
      <c r="A38" s="10">
        <v>37</v>
      </c>
      <c r="B38" s="11" t="s">
        <v>708</v>
      </c>
      <c r="C38" s="11" t="s">
        <v>709</v>
      </c>
      <c r="D38" s="11" t="s">
        <v>7</v>
      </c>
      <c r="E38" s="11" t="s">
        <v>8</v>
      </c>
      <c r="F38" s="12">
        <v>368.9</v>
      </c>
      <c r="G38" s="13">
        <v>167.16055732999999</v>
      </c>
      <c r="H38" s="14">
        <v>61665.529600000002</v>
      </c>
      <c r="I38" s="12">
        <v>0</v>
      </c>
      <c r="J38" s="13"/>
      <c r="K38" s="14">
        <v>0</v>
      </c>
      <c r="L38" s="12">
        <v>0</v>
      </c>
      <c r="M38" s="13"/>
      <c r="N38" s="14">
        <v>0</v>
      </c>
      <c r="O38" s="12">
        <v>368.9</v>
      </c>
      <c r="P38" s="13">
        <v>167.16055732999999</v>
      </c>
      <c r="Q38" s="14">
        <v>61665.529600000002</v>
      </c>
      <c r="R38" s="11" t="s">
        <v>2964</v>
      </c>
      <c r="S38" s="11" t="s">
        <v>2965</v>
      </c>
      <c r="T38" s="11" t="s">
        <v>2966</v>
      </c>
    </row>
    <row r="39" spans="1:20" ht="50.1" hidden="1" customHeight="1">
      <c r="A39" s="10">
        <v>38</v>
      </c>
      <c r="B39" s="11" t="s">
        <v>710</v>
      </c>
      <c r="C39" s="11" t="s">
        <v>711</v>
      </c>
      <c r="D39" s="11" t="s">
        <v>7</v>
      </c>
      <c r="E39" s="11" t="s">
        <v>8</v>
      </c>
      <c r="F39" s="12">
        <v>333.1</v>
      </c>
      <c r="G39" s="13">
        <v>172.01920294000001</v>
      </c>
      <c r="H39" s="14">
        <v>57299.5965</v>
      </c>
      <c r="I39" s="12">
        <v>0</v>
      </c>
      <c r="J39" s="13"/>
      <c r="K39" s="14">
        <v>0</v>
      </c>
      <c r="L39" s="12">
        <v>0</v>
      </c>
      <c r="M39" s="13"/>
      <c r="N39" s="14">
        <v>0</v>
      </c>
      <c r="O39" s="12">
        <v>333.1</v>
      </c>
      <c r="P39" s="13">
        <v>172.01920294000001</v>
      </c>
      <c r="Q39" s="14">
        <v>57299.5965</v>
      </c>
      <c r="R39" s="11" t="s">
        <v>2964</v>
      </c>
      <c r="S39" s="11" t="s">
        <v>2965</v>
      </c>
      <c r="T39" s="11" t="s">
        <v>2966</v>
      </c>
    </row>
    <row r="40" spans="1:20" ht="50.1" hidden="1" customHeight="1">
      <c r="A40" s="10">
        <v>39</v>
      </c>
      <c r="B40" s="11" t="s">
        <v>712</v>
      </c>
      <c r="C40" s="11" t="s">
        <v>713</v>
      </c>
      <c r="D40" s="11" t="s">
        <v>7</v>
      </c>
      <c r="E40" s="11" t="s">
        <v>8</v>
      </c>
      <c r="F40" s="12">
        <v>42.7</v>
      </c>
      <c r="G40" s="13">
        <v>275</v>
      </c>
      <c r="H40" s="14">
        <v>11742.5</v>
      </c>
      <c r="I40" s="12">
        <v>0</v>
      </c>
      <c r="J40" s="13"/>
      <c r="K40" s="14">
        <v>0</v>
      </c>
      <c r="L40" s="12">
        <v>0</v>
      </c>
      <c r="M40" s="13"/>
      <c r="N40" s="14">
        <v>0</v>
      </c>
      <c r="O40" s="12">
        <v>42.7</v>
      </c>
      <c r="P40" s="13">
        <v>275</v>
      </c>
      <c r="Q40" s="14">
        <v>11742.5</v>
      </c>
      <c r="R40" s="11" t="s">
        <v>2964</v>
      </c>
      <c r="S40" s="11" t="s">
        <v>2965</v>
      </c>
      <c r="T40" s="11" t="s">
        <v>2966</v>
      </c>
    </row>
    <row r="41" spans="1:20" ht="50.1" hidden="1" customHeight="1">
      <c r="A41" s="10">
        <v>40</v>
      </c>
      <c r="B41" s="11" t="s">
        <v>714</v>
      </c>
      <c r="C41" s="11" t="s">
        <v>715</v>
      </c>
      <c r="D41" s="11" t="s">
        <v>7</v>
      </c>
      <c r="E41" s="11" t="s">
        <v>8</v>
      </c>
      <c r="F41" s="12">
        <v>313.89999999999998</v>
      </c>
      <c r="G41" s="13">
        <v>172.02277795000001</v>
      </c>
      <c r="H41" s="14">
        <v>53997.95</v>
      </c>
      <c r="I41" s="12">
        <v>0</v>
      </c>
      <c r="J41" s="13"/>
      <c r="K41" s="14">
        <v>0</v>
      </c>
      <c r="L41" s="12">
        <v>0</v>
      </c>
      <c r="M41" s="13"/>
      <c r="N41" s="14">
        <v>0</v>
      </c>
      <c r="O41" s="12">
        <v>313.89999999999998</v>
      </c>
      <c r="P41" s="13">
        <v>172.02277795000001</v>
      </c>
      <c r="Q41" s="14">
        <v>53997.95</v>
      </c>
      <c r="R41" s="11" t="s">
        <v>2964</v>
      </c>
      <c r="S41" s="11" t="s">
        <v>2965</v>
      </c>
      <c r="T41" s="11" t="s">
        <v>2966</v>
      </c>
    </row>
    <row r="42" spans="1:20" ht="50.1" hidden="1" customHeight="1">
      <c r="A42" s="10">
        <v>41</v>
      </c>
      <c r="B42" s="11" t="s">
        <v>716</v>
      </c>
      <c r="C42" s="11" t="s">
        <v>717</v>
      </c>
      <c r="D42" s="11" t="s">
        <v>7</v>
      </c>
      <c r="E42" s="11" t="s">
        <v>8</v>
      </c>
      <c r="F42" s="12">
        <v>367.1</v>
      </c>
      <c r="G42" s="13">
        <v>208.09351674999999</v>
      </c>
      <c r="H42" s="14">
        <v>76391.13</v>
      </c>
      <c r="I42" s="12">
        <v>0</v>
      </c>
      <c r="J42" s="13"/>
      <c r="K42" s="14">
        <v>0</v>
      </c>
      <c r="L42" s="12">
        <v>41.8</v>
      </c>
      <c r="M42" s="13">
        <v>208.09354067000001</v>
      </c>
      <c r="N42" s="14">
        <v>8698.31</v>
      </c>
      <c r="O42" s="12">
        <v>325.3</v>
      </c>
      <c r="P42" s="13">
        <v>208.09351368</v>
      </c>
      <c r="Q42" s="14">
        <v>67692.820000000007</v>
      </c>
      <c r="R42" s="11" t="s">
        <v>2964</v>
      </c>
      <c r="S42" s="11" t="s">
        <v>2965</v>
      </c>
      <c r="T42" s="11" t="s">
        <v>2966</v>
      </c>
    </row>
    <row r="43" spans="1:20" ht="50.1" hidden="1" customHeight="1">
      <c r="A43" s="10">
        <v>42</v>
      </c>
      <c r="B43" s="11" t="s">
        <v>718</v>
      </c>
      <c r="C43" s="11" t="s">
        <v>719</v>
      </c>
      <c r="D43" s="11" t="s">
        <v>7</v>
      </c>
      <c r="E43" s="11" t="s">
        <v>8</v>
      </c>
      <c r="F43" s="12">
        <v>465.3</v>
      </c>
      <c r="G43" s="13">
        <v>223.95924908999999</v>
      </c>
      <c r="H43" s="14">
        <v>104208.2386</v>
      </c>
      <c r="I43" s="12">
        <v>0</v>
      </c>
      <c r="J43" s="13"/>
      <c r="K43" s="14">
        <v>0</v>
      </c>
      <c r="L43" s="12">
        <v>0</v>
      </c>
      <c r="M43" s="13"/>
      <c r="N43" s="14">
        <v>0</v>
      </c>
      <c r="O43" s="12">
        <v>465.3</v>
      </c>
      <c r="P43" s="13">
        <v>223.95924908999999</v>
      </c>
      <c r="Q43" s="14">
        <v>104208.2386</v>
      </c>
      <c r="R43" s="11" t="s">
        <v>2964</v>
      </c>
      <c r="S43" s="11" t="s">
        <v>2965</v>
      </c>
      <c r="T43" s="11" t="s">
        <v>2966</v>
      </c>
    </row>
    <row r="44" spans="1:20" ht="50.1" hidden="1" customHeight="1">
      <c r="A44" s="10">
        <v>43</v>
      </c>
      <c r="B44" s="11" t="s">
        <v>720</v>
      </c>
      <c r="C44" s="11" t="s">
        <v>721</v>
      </c>
      <c r="D44" s="11" t="s">
        <v>7</v>
      </c>
      <c r="E44" s="11" t="s">
        <v>8</v>
      </c>
      <c r="F44" s="12">
        <v>764.8</v>
      </c>
      <c r="G44" s="13">
        <v>222.98777393</v>
      </c>
      <c r="H44" s="14">
        <v>170541.04949999999</v>
      </c>
      <c r="I44" s="12">
        <v>0</v>
      </c>
      <c r="J44" s="13"/>
      <c r="K44" s="14">
        <v>0</v>
      </c>
      <c r="L44" s="12">
        <v>0</v>
      </c>
      <c r="M44" s="13"/>
      <c r="N44" s="14">
        <v>0</v>
      </c>
      <c r="O44" s="12">
        <v>764.8</v>
      </c>
      <c r="P44" s="13">
        <v>222.98777393</v>
      </c>
      <c r="Q44" s="14">
        <v>170541.04949999999</v>
      </c>
      <c r="R44" s="11" t="s">
        <v>2964</v>
      </c>
      <c r="S44" s="11" t="s">
        <v>2965</v>
      </c>
      <c r="T44" s="11" t="s">
        <v>2966</v>
      </c>
    </row>
    <row r="45" spans="1:20" ht="50.1" hidden="1" customHeight="1">
      <c r="A45" s="10">
        <v>44</v>
      </c>
      <c r="B45" s="11" t="s">
        <v>722</v>
      </c>
      <c r="C45" s="11" t="s">
        <v>723</v>
      </c>
      <c r="D45" s="11" t="s">
        <v>7</v>
      </c>
      <c r="E45" s="11" t="s">
        <v>8</v>
      </c>
      <c r="F45" s="12">
        <v>1620</v>
      </c>
      <c r="G45" s="13">
        <v>105.03314815</v>
      </c>
      <c r="H45" s="14">
        <v>170153.7</v>
      </c>
      <c r="I45" s="12">
        <v>0</v>
      </c>
      <c r="J45" s="13"/>
      <c r="K45" s="14">
        <v>0</v>
      </c>
      <c r="L45" s="12">
        <v>1454</v>
      </c>
      <c r="M45" s="13">
        <v>105.03320495</v>
      </c>
      <c r="N45" s="14">
        <v>152718.28</v>
      </c>
      <c r="O45" s="12">
        <v>166</v>
      </c>
      <c r="P45" s="13">
        <v>105.0326506</v>
      </c>
      <c r="Q45" s="14">
        <v>17435.419999999998</v>
      </c>
      <c r="R45" s="11" t="s">
        <v>2964</v>
      </c>
      <c r="S45" s="11" t="s">
        <v>2965</v>
      </c>
      <c r="T45" s="11" t="s">
        <v>2966</v>
      </c>
    </row>
    <row r="46" spans="1:20" ht="50.1" hidden="1" customHeight="1">
      <c r="A46" s="10">
        <v>45</v>
      </c>
      <c r="B46" s="11" t="s">
        <v>724</v>
      </c>
      <c r="C46" s="11" t="s">
        <v>725</v>
      </c>
      <c r="D46" s="11" t="s">
        <v>7</v>
      </c>
      <c r="E46" s="11" t="s">
        <v>8</v>
      </c>
      <c r="F46" s="12">
        <v>1619.5</v>
      </c>
      <c r="G46" s="13">
        <v>105.21824637</v>
      </c>
      <c r="H46" s="14">
        <v>170400.95</v>
      </c>
      <c r="I46" s="12">
        <v>2101.1999999999998</v>
      </c>
      <c r="J46" s="13">
        <v>107</v>
      </c>
      <c r="K46" s="14">
        <v>224828.4</v>
      </c>
      <c r="L46" s="12">
        <v>959.7</v>
      </c>
      <c r="M46" s="13">
        <v>105.57973325</v>
      </c>
      <c r="N46" s="14">
        <v>101324.87</v>
      </c>
      <c r="O46" s="12">
        <v>2761</v>
      </c>
      <c r="P46" s="13">
        <v>106.44856212000001</v>
      </c>
      <c r="Q46" s="14">
        <v>293904.48</v>
      </c>
      <c r="R46" s="11" t="s">
        <v>2964</v>
      </c>
      <c r="S46" s="11" t="s">
        <v>2965</v>
      </c>
      <c r="T46" s="11" t="s">
        <v>2966</v>
      </c>
    </row>
    <row r="47" spans="1:20" ht="50.1" hidden="1" customHeight="1">
      <c r="A47" s="10">
        <v>46</v>
      </c>
      <c r="B47" s="11" t="s">
        <v>726</v>
      </c>
      <c r="C47" s="11" t="s">
        <v>727</v>
      </c>
      <c r="D47" s="11" t="s">
        <v>7</v>
      </c>
      <c r="E47" s="11" t="s">
        <v>8</v>
      </c>
      <c r="F47" s="12">
        <v>3160</v>
      </c>
      <c r="G47" s="13">
        <v>122.35057911</v>
      </c>
      <c r="H47" s="14">
        <v>386627.83</v>
      </c>
      <c r="I47" s="12">
        <v>518.9</v>
      </c>
      <c r="J47" s="13">
        <v>110</v>
      </c>
      <c r="K47" s="14">
        <v>57079</v>
      </c>
      <c r="L47" s="12">
        <v>1176</v>
      </c>
      <c r="M47" s="13">
        <v>122.35058673</v>
      </c>
      <c r="N47" s="14">
        <v>143884.29</v>
      </c>
      <c r="O47" s="12">
        <v>2502.9</v>
      </c>
      <c r="P47" s="13">
        <v>119.79005952999999</v>
      </c>
      <c r="Q47" s="14">
        <v>299822.53999999998</v>
      </c>
      <c r="R47" s="11" t="s">
        <v>2964</v>
      </c>
      <c r="S47" s="11" t="s">
        <v>2965</v>
      </c>
      <c r="T47" s="11" t="s">
        <v>2966</v>
      </c>
    </row>
    <row r="48" spans="1:20" ht="50.1" hidden="1" customHeight="1">
      <c r="A48" s="10">
        <v>47</v>
      </c>
      <c r="B48" s="11" t="s">
        <v>728</v>
      </c>
      <c r="C48" s="11" t="s">
        <v>729</v>
      </c>
      <c r="D48" s="11" t="s">
        <v>7</v>
      </c>
      <c r="E48" s="11" t="s">
        <v>8</v>
      </c>
      <c r="F48" s="12">
        <v>1753.7</v>
      </c>
      <c r="G48" s="13">
        <v>117.13444147</v>
      </c>
      <c r="H48" s="14">
        <v>205418.67</v>
      </c>
      <c r="I48" s="12">
        <v>439.1</v>
      </c>
      <c r="J48" s="13">
        <v>110</v>
      </c>
      <c r="K48" s="14">
        <v>48301</v>
      </c>
      <c r="L48" s="12">
        <v>2013</v>
      </c>
      <c r="M48" s="13">
        <v>115.86119225</v>
      </c>
      <c r="N48" s="14">
        <v>233228.58</v>
      </c>
      <c r="O48" s="12">
        <v>179.8</v>
      </c>
      <c r="P48" s="13">
        <v>113.9660178</v>
      </c>
      <c r="Q48" s="14">
        <v>20491.09</v>
      </c>
      <c r="R48" s="11" t="s">
        <v>2964</v>
      </c>
      <c r="S48" s="11" t="s">
        <v>2965</v>
      </c>
      <c r="T48" s="11" t="s">
        <v>2966</v>
      </c>
    </row>
    <row r="49" spans="1:20" ht="50.1" hidden="1" customHeight="1">
      <c r="A49" s="10">
        <v>48</v>
      </c>
      <c r="B49" s="11" t="s">
        <v>2743</v>
      </c>
      <c r="C49" s="11" t="s">
        <v>2744</v>
      </c>
      <c r="D49" s="11" t="s">
        <v>7</v>
      </c>
      <c r="E49" s="11" t="s">
        <v>8</v>
      </c>
      <c r="F49" s="12">
        <v>6561</v>
      </c>
      <c r="G49" s="13">
        <v>94.773301329999995</v>
      </c>
      <c r="H49" s="14">
        <v>621807.63</v>
      </c>
      <c r="I49" s="12">
        <v>0</v>
      </c>
      <c r="J49" s="13"/>
      <c r="K49" s="14">
        <v>0</v>
      </c>
      <c r="L49" s="12">
        <v>1438</v>
      </c>
      <c r="M49" s="13">
        <v>94.773289289999994</v>
      </c>
      <c r="N49" s="14">
        <v>136283.99</v>
      </c>
      <c r="O49" s="12">
        <v>5123</v>
      </c>
      <c r="P49" s="13">
        <v>94.773304699999997</v>
      </c>
      <c r="Q49" s="14">
        <v>485523.64</v>
      </c>
      <c r="R49" s="11" t="s">
        <v>2964</v>
      </c>
      <c r="S49" s="11" t="s">
        <v>2965</v>
      </c>
      <c r="T49" s="11" t="s">
        <v>2961</v>
      </c>
    </row>
    <row r="50" spans="1:20" ht="50.1" hidden="1" customHeight="1">
      <c r="A50" s="10">
        <v>49</v>
      </c>
      <c r="B50" s="11" t="s">
        <v>2875</v>
      </c>
      <c r="C50" s="11" t="s">
        <v>2876</v>
      </c>
      <c r="D50" s="11" t="s">
        <v>7</v>
      </c>
      <c r="E50" s="11" t="s">
        <v>8</v>
      </c>
      <c r="F50" s="12">
        <v>8392.5</v>
      </c>
      <c r="G50" s="13">
        <v>95.091861780000002</v>
      </c>
      <c r="H50" s="14">
        <v>798058.45</v>
      </c>
      <c r="I50" s="12">
        <v>0</v>
      </c>
      <c r="J50" s="13"/>
      <c r="K50" s="14">
        <v>0</v>
      </c>
      <c r="L50" s="12">
        <v>888</v>
      </c>
      <c r="M50" s="13">
        <v>95.091903149999993</v>
      </c>
      <c r="N50" s="14">
        <v>84441.61</v>
      </c>
      <c r="O50" s="12">
        <v>7504.5</v>
      </c>
      <c r="P50" s="13">
        <v>95.091856890000003</v>
      </c>
      <c r="Q50" s="14">
        <v>713616.84</v>
      </c>
      <c r="R50" s="11" t="s">
        <v>2964</v>
      </c>
      <c r="S50" s="11" t="s">
        <v>2965</v>
      </c>
      <c r="T50" s="11" t="s">
        <v>2961</v>
      </c>
    </row>
    <row r="51" spans="1:20" ht="50.1" hidden="1" customHeight="1">
      <c r="A51" s="10">
        <v>50</v>
      </c>
      <c r="B51" s="11" t="s">
        <v>2745</v>
      </c>
      <c r="C51" s="11" t="s">
        <v>2746</v>
      </c>
      <c r="D51" s="11" t="s">
        <v>7</v>
      </c>
      <c r="E51" s="11" t="s">
        <v>8</v>
      </c>
      <c r="F51" s="12">
        <v>1001</v>
      </c>
      <c r="G51" s="13">
        <v>93.75014985</v>
      </c>
      <c r="H51" s="14">
        <v>93843.9</v>
      </c>
      <c r="I51" s="12">
        <v>453</v>
      </c>
      <c r="J51" s="13">
        <v>95</v>
      </c>
      <c r="K51" s="14">
        <v>43035</v>
      </c>
      <c r="L51" s="12">
        <v>323</v>
      </c>
      <c r="M51" s="13">
        <v>93.967461299999997</v>
      </c>
      <c r="N51" s="14">
        <v>30351.49</v>
      </c>
      <c r="O51" s="12">
        <v>1131</v>
      </c>
      <c r="P51" s="13">
        <v>94.188691419999998</v>
      </c>
      <c r="Q51" s="14">
        <v>106527.41</v>
      </c>
      <c r="R51" s="11" t="s">
        <v>2964</v>
      </c>
      <c r="S51" s="11" t="s">
        <v>2965</v>
      </c>
      <c r="T51" s="11" t="s">
        <v>2961</v>
      </c>
    </row>
    <row r="52" spans="1:20" ht="50.1" hidden="1" customHeight="1">
      <c r="A52" s="10">
        <v>51</v>
      </c>
      <c r="B52" s="11" t="s">
        <v>2747</v>
      </c>
      <c r="C52" s="11" t="s">
        <v>2748</v>
      </c>
      <c r="D52" s="11" t="s">
        <v>7</v>
      </c>
      <c r="E52" s="11" t="s">
        <v>8</v>
      </c>
      <c r="F52" s="12">
        <v>11773</v>
      </c>
      <c r="G52" s="13">
        <v>121.49096322</v>
      </c>
      <c r="H52" s="14">
        <v>1430313.11</v>
      </c>
      <c r="I52" s="12">
        <v>1569</v>
      </c>
      <c r="J52" s="13">
        <v>116.84512427999999</v>
      </c>
      <c r="K52" s="14">
        <v>183330</v>
      </c>
      <c r="L52" s="12">
        <v>5047</v>
      </c>
      <c r="M52" s="13">
        <v>120.99094512000001</v>
      </c>
      <c r="N52" s="14">
        <v>610641.30000000005</v>
      </c>
      <c r="O52" s="12">
        <v>8295</v>
      </c>
      <c r="P52" s="13">
        <v>120.91643279</v>
      </c>
      <c r="Q52" s="14">
        <v>1003001.81</v>
      </c>
      <c r="R52" s="11" t="s">
        <v>2964</v>
      </c>
      <c r="S52" s="11" t="s">
        <v>2965</v>
      </c>
      <c r="T52" s="11" t="s">
        <v>2961</v>
      </c>
    </row>
    <row r="53" spans="1:20" ht="50.1" hidden="1" customHeight="1">
      <c r="A53" s="10">
        <v>52</v>
      </c>
      <c r="B53" s="11" t="s">
        <v>2905</v>
      </c>
      <c r="C53" s="11" t="s">
        <v>2906</v>
      </c>
      <c r="D53" s="11" t="s">
        <v>7</v>
      </c>
      <c r="E53" s="11" t="s">
        <v>8</v>
      </c>
      <c r="F53" s="12">
        <v>9033</v>
      </c>
      <c r="G53" s="13">
        <v>120.13991365</v>
      </c>
      <c r="H53" s="14">
        <v>1085223.8400000001</v>
      </c>
      <c r="I53" s="12">
        <v>7607.5</v>
      </c>
      <c r="J53" s="13">
        <v>111.55391784</v>
      </c>
      <c r="K53" s="14">
        <v>848646.43</v>
      </c>
      <c r="L53" s="12">
        <v>3523.5</v>
      </c>
      <c r="M53" s="13">
        <v>119.04593444</v>
      </c>
      <c r="N53" s="14">
        <v>419458.35</v>
      </c>
      <c r="O53" s="12">
        <v>13117</v>
      </c>
      <c r="P53" s="13">
        <v>115.45413738000001</v>
      </c>
      <c r="Q53" s="14">
        <v>1514411.92</v>
      </c>
      <c r="R53" s="11" t="s">
        <v>2964</v>
      </c>
      <c r="S53" s="11" t="s">
        <v>2965</v>
      </c>
      <c r="T53" s="11" t="s">
        <v>2961</v>
      </c>
    </row>
    <row r="54" spans="1:20" ht="50.1" hidden="1" customHeight="1">
      <c r="A54" s="10">
        <v>53</v>
      </c>
      <c r="B54" s="11" t="s">
        <v>2749</v>
      </c>
      <c r="C54" s="11" t="s">
        <v>2750</v>
      </c>
      <c r="D54" s="11" t="s">
        <v>7</v>
      </c>
      <c r="E54" s="11" t="s">
        <v>8</v>
      </c>
      <c r="F54" s="12">
        <v>373</v>
      </c>
      <c r="G54" s="13">
        <v>120.28316354</v>
      </c>
      <c r="H54" s="14">
        <v>44865.62</v>
      </c>
      <c r="I54" s="12">
        <v>2648.5</v>
      </c>
      <c r="J54" s="13">
        <v>118.53407589</v>
      </c>
      <c r="K54" s="14">
        <v>313937.5</v>
      </c>
      <c r="L54" s="12">
        <v>823.5</v>
      </c>
      <c r="M54" s="13">
        <v>117.35102611000001</v>
      </c>
      <c r="N54" s="14">
        <v>96638.57</v>
      </c>
      <c r="O54" s="12">
        <v>2198</v>
      </c>
      <c r="P54" s="13">
        <v>119.27413558000001</v>
      </c>
      <c r="Q54" s="14">
        <v>262164.55</v>
      </c>
      <c r="R54" s="11" t="s">
        <v>2964</v>
      </c>
      <c r="S54" s="11" t="s">
        <v>2965</v>
      </c>
      <c r="T54" s="11" t="s">
        <v>2961</v>
      </c>
    </row>
    <row r="55" spans="1:20" ht="50.1" hidden="1" customHeight="1">
      <c r="A55" s="10">
        <v>54</v>
      </c>
      <c r="B55" s="11" t="s">
        <v>730</v>
      </c>
      <c r="C55" s="11" t="s">
        <v>731</v>
      </c>
      <c r="D55" s="11" t="s">
        <v>7</v>
      </c>
      <c r="E55" s="11" t="s">
        <v>8</v>
      </c>
      <c r="F55" s="12">
        <v>2183.4</v>
      </c>
      <c r="G55" s="13">
        <v>115.43135934999999</v>
      </c>
      <c r="H55" s="14">
        <v>252032.83</v>
      </c>
      <c r="I55" s="12">
        <v>0</v>
      </c>
      <c r="J55" s="13"/>
      <c r="K55" s="14">
        <v>0</v>
      </c>
      <c r="L55" s="12">
        <v>453</v>
      </c>
      <c r="M55" s="13">
        <v>115.4314128</v>
      </c>
      <c r="N55" s="14">
        <v>52290.43</v>
      </c>
      <c r="O55" s="12">
        <v>1730.4</v>
      </c>
      <c r="P55" s="13">
        <v>115.43134535</v>
      </c>
      <c r="Q55" s="14">
        <v>199742.4</v>
      </c>
      <c r="R55" s="11" t="s">
        <v>2964</v>
      </c>
      <c r="S55" s="11" t="s">
        <v>2965</v>
      </c>
      <c r="T55" s="11" t="s">
        <v>2961</v>
      </c>
    </row>
    <row r="56" spans="1:20" ht="50.1" hidden="1" customHeight="1">
      <c r="A56" s="10">
        <v>55</v>
      </c>
      <c r="B56" s="11" t="s">
        <v>732</v>
      </c>
      <c r="C56" s="11" t="s">
        <v>733</v>
      </c>
      <c r="D56" s="11" t="s">
        <v>7</v>
      </c>
      <c r="E56" s="11" t="s">
        <v>8</v>
      </c>
      <c r="F56" s="12">
        <v>325.3</v>
      </c>
      <c r="G56" s="13">
        <v>180.90847341</v>
      </c>
      <c r="H56" s="14">
        <v>58849.526400000002</v>
      </c>
      <c r="I56" s="12">
        <v>0</v>
      </c>
      <c r="J56" s="13"/>
      <c r="K56" s="14">
        <v>0</v>
      </c>
      <c r="L56" s="12">
        <v>0</v>
      </c>
      <c r="M56" s="13"/>
      <c r="N56" s="14">
        <v>0</v>
      </c>
      <c r="O56" s="12">
        <v>325.3</v>
      </c>
      <c r="P56" s="13">
        <v>180.90847341</v>
      </c>
      <c r="Q56" s="14">
        <v>58849.526400000002</v>
      </c>
      <c r="R56" s="11" t="s">
        <v>2964</v>
      </c>
      <c r="S56" s="11" t="s">
        <v>2965</v>
      </c>
      <c r="T56" s="11" t="s">
        <v>2966</v>
      </c>
    </row>
    <row r="57" spans="1:20" ht="50.1" hidden="1" customHeight="1">
      <c r="A57" s="10">
        <v>56</v>
      </c>
      <c r="B57" s="11" t="s">
        <v>734</v>
      </c>
      <c r="C57" s="11" t="s">
        <v>735</v>
      </c>
      <c r="D57" s="11" t="s">
        <v>7</v>
      </c>
      <c r="E57" s="11" t="s">
        <v>8</v>
      </c>
      <c r="F57" s="12">
        <v>330.5</v>
      </c>
      <c r="G57" s="13">
        <v>320.10898637999998</v>
      </c>
      <c r="H57" s="14">
        <v>105796.02</v>
      </c>
      <c r="I57" s="12">
        <v>268</v>
      </c>
      <c r="J57" s="13">
        <v>340</v>
      </c>
      <c r="K57" s="14">
        <v>91120</v>
      </c>
      <c r="L57" s="12">
        <v>0</v>
      </c>
      <c r="M57" s="13"/>
      <c r="N57" s="14">
        <v>0</v>
      </c>
      <c r="O57" s="12">
        <v>598.5</v>
      </c>
      <c r="P57" s="13">
        <v>329.01590642999997</v>
      </c>
      <c r="Q57" s="14">
        <v>196916.02</v>
      </c>
      <c r="R57" s="11" t="s">
        <v>2964</v>
      </c>
      <c r="S57" s="11" t="s">
        <v>2965</v>
      </c>
      <c r="T57" s="11" t="s">
        <v>2966</v>
      </c>
    </row>
    <row r="58" spans="1:20" ht="50.1" hidden="1" customHeight="1">
      <c r="A58" s="10">
        <v>57</v>
      </c>
      <c r="B58" s="11" t="s">
        <v>736</v>
      </c>
      <c r="C58" s="11" t="s">
        <v>737</v>
      </c>
      <c r="D58" s="11" t="s">
        <v>7</v>
      </c>
      <c r="E58" s="11" t="s">
        <v>8</v>
      </c>
      <c r="F58" s="12">
        <v>670</v>
      </c>
      <c r="G58" s="13">
        <v>263.75046269000001</v>
      </c>
      <c r="H58" s="14">
        <v>176712.81</v>
      </c>
      <c r="I58" s="12">
        <v>93.9</v>
      </c>
      <c r="J58" s="13">
        <v>243</v>
      </c>
      <c r="K58" s="14">
        <v>22817.7</v>
      </c>
      <c r="L58" s="12">
        <v>40.299999999999997</v>
      </c>
      <c r="M58" s="13">
        <v>263.75062035000002</v>
      </c>
      <c r="N58" s="14">
        <v>10629.15</v>
      </c>
      <c r="O58" s="12">
        <v>723.6</v>
      </c>
      <c r="P58" s="13">
        <v>261.05771143999999</v>
      </c>
      <c r="Q58" s="14">
        <v>188901.36</v>
      </c>
      <c r="R58" s="11" t="s">
        <v>2964</v>
      </c>
      <c r="S58" s="11" t="s">
        <v>2965</v>
      </c>
      <c r="T58" s="11" t="s">
        <v>2966</v>
      </c>
    </row>
    <row r="59" spans="1:20" ht="50.1" hidden="1" customHeight="1">
      <c r="A59" s="10">
        <v>58</v>
      </c>
      <c r="B59" s="11" t="s">
        <v>738</v>
      </c>
      <c r="C59" s="11" t="s">
        <v>739</v>
      </c>
      <c r="D59" s="11" t="s">
        <v>7</v>
      </c>
      <c r="E59" s="11" t="s">
        <v>8</v>
      </c>
      <c r="F59" s="12">
        <v>871.64</v>
      </c>
      <c r="G59" s="13">
        <v>271.21502752999999</v>
      </c>
      <c r="H59" s="14">
        <v>236401.86660000001</v>
      </c>
      <c r="I59" s="12">
        <v>0</v>
      </c>
      <c r="J59" s="13"/>
      <c r="K59" s="14">
        <v>0</v>
      </c>
      <c r="L59" s="12">
        <v>0</v>
      </c>
      <c r="M59" s="13"/>
      <c r="N59" s="14">
        <v>0</v>
      </c>
      <c r="O59" s="12">
        <v>871.64</v>
      </c>
      <c r="P59" s="13">
        <v>271.21502752999999</v>
      </c>
      <c r="Q59" s="14">
        <v>236401.86660000001</v>
      </c>
      <c r="R59" s="11" t="s">
        <v>2964</v>
      </c>
      <c r="S59" s="11" t="s">
        <v>2965</v>
      </c>
      <c r="T59" s="11" t="s">
        <v>2966</v>
      </c>
    </row>
    <row r="60" spans="1:20" ht="50.1" hidden="1" customHeight="1">
      <c r="A60" s="10">
        <v>59</v>
      </c>
      <c r="B60" s="11" t="s">
        <v>740</v>
      </c>
      <c r="C60" s="11" t="s">
        <v>741</v>
      </c>
      <c r="D60" s="11" t="s">
        <v>7</v>
      </c>
      <c r="E60" s="11" t="s">
        <v>8</v>
      </c>
      <c r="F60" s="12">
        <v>1019.23</v>
      </c>
      <c r="G60" s="13">
        <v>461.74014118999997</v>
      </c>
      <c r="H60" s="14">
        <v>470619.40409999999</v>
      </c>
      <c r="I60" s="12">
        <v>0</v>
      </c>
      <c r="J60" s="13"/>
      <c r="K60" s="14">
        <v>0</v>
      </c>
      <c r="L60" s="12">
        <v>121.6</v>
      </c>
      <c r="M60" s="13">
        <v>461.74013158000002</v>
      </c>
      <c r="N60" s="14">
        <v>56147.6</v>
      </c>
      <c r="O60" s="12">
        <v>897.63</v>
      </c>
      <c r="P60" s="13">
        <v>461.74014248999998</v>
      </c>
      <c r="Q60" s="14">
        <v>414471.80410000001</v>
      </c>
      <c r="R60" s="11" t="s">
        <v>2964</v>
      </c>
      <c r="S60" s="11" t="s">
        <v>2965</v>
      </c>
      <c r="T60" s="11" t="s">
        <v>2966</v>
      </c>
    </row>
    <row r="61" spans="1:20" ht="50.1" hidden="1" customHeight="1">
      <c r="A61" s="10">
        <v>60</v>
      </c>
      <c r="B61" s="11" t="s">
        <v>744</v>
      </c>
      <c r="C61" s="11" t="s">
        <v>745</v>
      </c>
      <c r="D61" s="11" t="s">
        <v>7</v>
      </c>
      <c r="E61" s="11" t="s">
        <v>8</v>
      </c>
      <c r="F61" s="12">
        <v>224.6</v>
      </c>
      <c r="G61" s="13">
        <v>381.74740383</v>
      </c>
      <c r="H61" s="14">
        <v>85740.466899999999</v>
      </c>
      <c r="I61" s="12">
        <v>0</v>
      </c>
      <c r="J61" s="13"/>
      <c r="K61" s="14">
        <v>0</v>
      </c>
      <c r="L61" s="12">
        <v>0</v>
      </c>
      <c r="M61" s="13"/>
      <c r="N61" s="14">
        <v>0</v>
      </c>
      <c r="O61" s="12">
        <v>224.6</v>
      </c>
      <c r="P61" s="13">
        <v>381.74740383</v>
      </c>
      <c r="Q61" s="14">
        <v>85740.466899999999</v>
      </c>
      <c r="R61" s="11" t="s">
        <v>2964</v>
      </c>
      <c r="S61" s="11" t="s">
        <v>2965</v>
      </c>
      <c r="T61" s="11" t="s">
        <v>2966</v>
      </c>
    </row>
    <row r="62" spans="1:20" ht="50.1" hidden="1" customHeight="1">
      <c r="A62" s="10">
        <v>61</v>
      </c>
      <c r="B62" s="11" t="s">
        <v>746</v>
      </c>
      <c r="C62" s="11" t="s">
        <v>747</v>
      </c>
      <c r="D62" s="11" t="s">
        <v>7</v>
      </c>
      <c r="E62" s="11" t="s">
        <v>8</v>
      </c>
      <c r="F62" s="12">
        <v>1085.76</v>
      </c>
      <c r="G62" s="13">
        <v>373.06204723000002</v>
      </c>
      <c r="H62" s="14">
        <v>405055.84840000002</v>
      </c>
      <c r="I62" s="12">
        <v>0</v>
      </c>
      <c r="J62" s="13"/>
      <c r="K62" s="14">
        <v>0</v>
      </c>
      <c r="L62" s="12">
        <v>0</v>
      </c>
      <c r="M62" s="13"/>
      <c r="N62" s="14">
        <v>0</v>
      </c>
      <c r="O62" s="12">
        <v>1085.76</v>
      </c>
      <c r="P62" s="13">
        <v>373.06204723000002</v>
      </c>
      <c r="Q62" s="14">
        <v>405055.84840000002</v>
      </c>
      <c r="R62" s="11" t="s">
        <v>2964</v>
      </c>
      <c r="S62" s="11" t="s">
        <v>2965</v>
      </c>
      <c r="T62" s="11" t="s">
        <v>2966</v>
      </c>
    </row>
    <row r="63" spans="1:20" ht="50.1" hidden="1" customHeight="1">
      <c r="A63" s="10">
        <v>62</v>
      </c>
      <c r="B63" s="11" t="s">
        <v>748</v>
      </c>
      <c r="C63" s="11" t="s">
        <v>749</v>
      </c>
      <c r="D63" s="11" t="s">
        <v>7</v>
      </c>
      <c r="E63" s="11" t="s">
        <v>8</v>
      </c>
      <c r="F63" s="12">
        <v>48</v>
      </c>
      <c r="G63" s="13">
        <v>1003.61666667</v>
      </c>
      <c r="H63" s="14">
        <v>48173.599999999999</v>
      </c>
      <c r="I63" s="12">
        <v>0</v>
      </c>
      <c r="J63" s="13"/>
      <c r="K63" s="14">
        <v>0</v>
      </c>
      <c r="L63" s="12">
        <v>0</v>
      </c>
      <c r="M63" s="13"/>
      <c r="N63" s="14">
        <v>0</v>
      </c>
      <c r="O63" s="12">
        <v>48</v>
      </c>
      <c r="P63" s="13">
        <v>1003.61666667</v>
      </c>
      <c r="Q63" s="14">
        <v>48173.599999999999</v>
      </c>
      <c r="R63" s="11" t="s">
        <v>2964</v>
      </c>
      <c r="S63" s="11" t="s">
        <v>2965</v>
      </c>
      <c r="T63" s="11" t="s">
        <v>2961</v>
      </c>
    </row>
    <row r="64" spans="1:20" ht="50.1" hidden="1" customHeight="1">
      <c r="A64" s="10">
        <v>63</v>
      </c>
      <c r="B64" s="11" t="s">
        <v>750</v>
      </c>
      <c r="C64" s="11" t="s">
        <v>751</v>
      </c>
      <c r="D64" s="11" t="s">
        <v>7</v>
      </c>
      <c r="E64" s="11" t="s">
        <v>8</v>
      </c>
      <c r="F64" s="12">
        <v>45</v>
      </c>
      <c r="G64" s="13">
        <v>1003.61666667</v>
      </c>
      <c r="H64" s="14">
        <v>45162.75</v>
      </c>
      <c r="I64" s="12">
        <v>0</v>
      </c>
      <c r="J64" s="13"/>
      <c r="K64" s="14">
        <v>0</v>
      </c>
      <c r="L64" s="12">
        <v>0</v>
      </c>
      <c r="M64" s="13"/>
      <c r="N64" s="14">
        <v>0</v>
      </c>
      <c r="O64" s="12">
        <v>45</v>
      </c>
      <c r="P64" s="13">
        <v>1003.61666667</v>
      </c>
      <c r="Q64" s="14">
        <v>45162.75</v>
      </c>
      <c r="R64" s="11" t="s">
        <v>2964</v>
      </c>
      <c r="S64" s="11" t="s">
        <v>2965</v>
      </c>
      <c r="T64" s="11" t="s">
        <v>2961</v>
      </c>
    </row>
    <row r="65" spans="1:20" ht="50.1" hidden="1" customHeight="1">
      <c r="A65" s="10">
        <v>64</v>
      </c>
      <c r="B65" s="11" t="s">
        <v>752</v>
      </c>
      <c r="C65" s="11" t="s">
        <v>753</v>
      </c>
      <c r="D65" s="11" t="s">
        <v>7</v>
      </c>
      <c r="E65" s="11" t="s">
        <v>8</v>
      </c>
      <c r="F65" s="12">
        <v>965</v>
      </c>
      <c r="G65" s="13">
        <v>97</v>
      </c>
      <c r="H65" s="14">
        <v>93605</v>
      </c>
      <c r="I65" s="12">
        <v>0</v>
      </c>
      <c r="J65" s="13"/>
      <c r="K65" s="14">
        <v>0</v>
      </c>
      <c r="L65" s="12">
        <v>390</v>
      </c>
      <c r="M65" s="13">
        <v>97</v>
      </c>
      <c r="N65" s="14">
        <v>37830</v>
      </c>
      <c r="O65" s="12">
        <v>575</v>
      </c>
      <c r="P65" s="13">
        <v>97</v>
      </c>
      <c r="Q65" s="14">
        <v>55775</v>
      </c>
      <c r="R65" s="11" t="s">
        <v>2964</v>
      </c>
      <c r="S65" s="11" t="s">
        <v>2965</v>
      </c>
      <c r="T65" s="11" t="s">
        <v>2961</v>
      </c>
    </row>
    <row r="66" spans="1:20" ht="50.1" hidden="1" customHeight="1">
      <c r="A66" s="10">
        <v>65</v>
      </c>
      <c r="B66" s="11" t="s">
        <v>754</v>
      </c>
      <c r="C66" s="11" t="s">
        <v>755</v>
      </c>
      <c r="D66" s="11" t="s">
        <v>7</v>
      </c>
      <c r="E66" s="11" t="s">
        <v>8</v>
      </c>
      <c r="F66" s="12">
        <v>3544</v>
      </c>
      <c r="G66" s="13">
        <v>97</v>
      </c>
      <c r="H66" s="14">
        <v>343768</v>
      </c>
      <c r="I66" s="12">
        <v>0</v>
      </c>
      <c r="J66" s="13"/>
      <c r="K66" s="14">
        <v>0</v>
      </c>
      <c r="L66" s="12">
        <v>305</v>
      </c>
      <c r="M66" s="13">
        <v>97</v>
      </c>
      <c r="N66" s="14">
        <v>29585</v>
      </c>
      <c r="O66" s="12">
        <v>3239</v>
      </c>
      <c r="P66" s="13">
        <v>97</v>
      </c>
      <c r="Q66" s="14">
        <v>314183</v>
      </c>
      <c r="R66" s="11" t="s">
        <v>2964</v>
      </c>
      <c r="S66" s="11" t="s">
        <v>2965</v>
      </c>
      <c r="T66" s="11" t="s">
        <v>2961</v>
      </c>
    </row>
    <row r="67" spans="1:20" ht="50.1" hidden="1" customHeight="1">
      <c r="A67" s="10">
        <v>66</v>
      </c>
      <c r="B67" s="11" t="s">
        <v>756</v>
      </c>
      <c r="C67" s="11" t="s">
        <v>757</v>
      </c>
      <c r="D67" s="11" t="s">
        <v>7</v>
      </c>
      <c r="E67" s="11" t="s">
        <v>8</v>
      </c>
      <c r="F67" s="12">
        <v>4889</v>
      </c>
      <c r="G67" s="13">
        <v>97</v>
      </c>
      <c r="H67" s="14">
        <v>474233</v>
      </c>
      <c r="I67" s="12">
        <v>0</v>
      </c>
      <c r="J67" s="13"/>
      <c r="K67" s="14">
        <v>0</v>
      </c>
      <c r="L67" s="12">
        <v>125</v>
      </c>
      <c r="M67" s="13">
        <v>97</v>
      </c>
      <c r="N67" s="14">
        <v>12125</v>
      </c>
      <c r="O67" s="12">
        <v>4764</v>
      </c>
      <c r="P67" s="13">
        <v>97</v>
      </c>
      <c r="Q67" s="14">
        <v>462108</v>
      </c>
      <c r="R67" s="11" t="s">
        <v>2964</v>
      </c>
      <c r="S67" s="11" t="s">
        <v>2965</v>
      </c>
      <c r="T67" s="11" t="s">
        <v>2961</v>
      </c>
    </row>
    <row r="68" spans="1:20" ht="50.1" hidden="1" customHeight="1">
      <c r="A68" s="10">
        <v>67</v>
      </c>
      <c r="B68" s="11" t="s">
        <v>772</v>
      </c>
      <c r="C68" s="11" t="s">
        <v>773</v>
      </c>
      <c r="D68" s="11" t="s">
        <v>7</v>
      </c>
      <c r="E68" s="11" t="s">
        <v>8</v>
      </c>
      <c r="F68" s="12">
        <v>104</v>
      </c>
      <c r="G68" s="13">
        <v>225.31673076999999</v>
      </c>
      <c r="H68" s="14">
        <v>23432.94</v>
      </c>
      <c r="I68" s="12">
        <v>0</v>
      </c>
      <c r="J68" s="13"/>
      <c r="K68" s="14">
        <v>0</v>
      </c>
      <c r="L68" s="12">
        <v>0</v>
      </c>
      <c r="M68" s="13"/>
      <c r="N68" s="14">
        <v>0</v>
      </c>
      <c r="O68" s="12">
        <v>104</v>
      </c>
      <c r="P68" s="13">
        <v>225.31673076999999</v>
      </c>
      <c r="Q68" s="14">
        <v>23432.94</v>
      </c>
      <c r="R68" s="11" t="s">
        <v>2964</v>
      </c>
      <c r="S68" s="11" t="s">
        <v>2965</v>
      </c>
      <c r="T68" s="11" t="s">
        <v>2966</v>
      </c>
    </row>
    <row r="69" spans="1:20" ht="50.1" hidden="1" customHeight="1">
      <c r="A69" s="10">
        <v>68</v>
      </c>
      <c r="B69" s="11" t="s">
        <v>774</v>
      </c>
      <c r="C69" s="11" t="s">
        <v>775</v>
      </c>
      <c r="D69" s="11" t="s">
        <v>7</v>
      </c>
      <c r="E69" s="11" t="s">
        <v>8</v>
      </c>
      <c r="F69" s="12">
        <v>532</v>
      </c>
      <c r="G69" s="13">
        <v>250.00000226</v>
      </c>
      <c r="H69" s="14">
        <v>133000.0012</v>
      </c>
      <c r="I69" s="12">
        <v>0</v>
      </c>
      <c r="J69" s="13"/>
      <c r="K69" s="14">
        <v>0</v>
      </c>
      <c r="L69" s="12">
        <v>51</v>
      </c>
      <c r="M69" s="13">
        <v>250</v>
      </c>
      <c r="N69" s="14">
        <v>12750</v>
      </c>
      <c r="O69" s="12">
        <v>481</v>
      </c>
      <c r="P69" s="13">
        <v>250.00000249000001</v>
      </c>
      <c r="Q69" s="14">
        <v>120250.0012</v>
      </c>
      <c r="R69" s="11" t="s">
        <v>2964</v>
      </c>
      <c r="S69" s="11" t="s">
        <v>2965</v>
      </c>
      <c r="T69" s="11" t="s">
        <v>2966</v>
      </c>
    </row>
    <row r="70" spans="1:20" ht="50.1" hidden="1" customHeight="1">
      <c r="A70" s="10">
        <v>69</v>
      </c>
      <c r="B70" s="11" t="s">
        <v>776</v>
      </c>
      <c r="C70" s="11" t="s">
        <v>777</v>
      </c>
      <c r="D70" s="11" t="s">
        <v>7</v>
      </c>
      <c r="E70" s="11" t="s">
        <v>8</v>
      </c>
      <c r="F70" s="12">
        <v>714</v>
      </c>
      <c r="G70" s="13">
        <v>250.03584552000001</v>
      </c>
      <c r="H70" s="14">
        <v>178525.5937</v>
      </c>
      <c r="I70" s="12">
        <v>218</v>
      </c>
      <c r="J70" s="13">
        <v>250</v>
      </c>
      <c r="K70" s="14">
        <v>54500</v>
      </c>
      <c r="L70" s="12">
        <v>44</v>
      </c>
      <c r="M70" s="13">
        <v>250.0275</v>
      </c>
      <c r="N70" s="14">
        <v>11001.21</v>
      </c>
      <c r="O70" s="12">
        <v>888</v>
      </c>
      <c r="P70" s="13">
        <v>250.02745912</v>
      </c>
      <c r="Q70" s="14">
        <v>222024.38370000001</v>
      </c>
      <c r="R70" s="11" t="s">
        <v>2964</v>
      </c>
      <c r="S70" s="11" t="s">
        <v>2965</v>
      </c>
      <c r="T70" s="11" t="s">
        <v>2966</v>
      </c>
    </row>
    <row r="71" spans="1:20" ht="50.1" hidden="1" customHeight="1">
      <c r="A71" s="10">
        <v>70</v>
      </c>
      <c r="B71" s="11" t="s">
        <v>778</v>
      </c>
      <c r="C71" s="11" t="s">
        <v>779</v>
      </c>
      <c r="D71" s="11" t="s">
        <v>7</v>
      </c>
      <c r="E71" s="11" t="s">
        <v>8</v>
      </c>
      <c r="F71" s="12">
        <v>342</v>
      </c>
      <c r="G71" s="13">
        <v>249.99825292</v>
      </c>
      <c r="H71" s="14">
        <v>85499.402499999997</v>
      </c>
      <c r="I71" s="12">
        <v>0</v>
      </c>
      <c r="J71" s="13"/>
      <c r="K71" s="14">
        <v>0</v>
      </c>
      <c r="L71" s="12">
        <v>65</v>
      </c>
      <c r="M71" s="13">
        <v>249.99815384999999</v>
      </c>
      <c r="N71" s="14">
        <v>16249.88</v>
      </c>
      <c r="O71" s="12">
        <v>277</v>
      </c>
      <c r="P71" s="13">
        <v>249.99827617</v>
      </c>
      <c r="Q71" s="14">
        <v>69249.522500000006</v>
      </c>
      <c r="R71" s="11" t="s">
        <v>2964</v>
      </c>
      <c r="S71" s="11" t="s">
        <v>2965</v>
      </c>
      <c r="T71" s="11" t="s">
        <v>2966</v>
      </c>
    </row>
    <row r="72" spans="1:20" ht="50.1" hidden="1" customHeight="1">
      <c r="A72" s="10">
        <v>71</v>
      </c>
      <c r="B72" s="11" t="s">
        <v>782</v>
      </c>
      <c r="C72" s="11" t="s">
        <v>783</v>
      </c>
      <c r="D72" s="11" t="s">
        <v>7</v>
      </c>
      <c r="E72" s="11" t="s">
        <v>8</v>
      </c>
      <c r="F72" s="12">
        <v>125.1</v>
      </c>
      <c r="G72" s="13">
        <v>160</v>
      </c>
      <c r="H72" s="14">
        <v>20016</v>
      </c>
      <c r="I72" s="12">
        <v>0</v>
      </c>
      <c r="J72" s="13"/>
      <c r="K72" s="14">
        <v>0</v>
      </c>
      <c r="L72" s="12">
        <v>0</v>
      </c>
      <c r="M72" s="13"/>
      <c r="N72" s="14">
        <v>0</v>
      </c>
      <c r="O72" s="12">
        <v>125.1</v>
      </c>
      <c r="P72" s="13">
        <v>160</v>
      </c>
      <c r="Q72" s="14">
        <v>20016</v>
      </c>
      <c r="R72" s="11" t="s">
        <v>2964</v>
      </c>
      <c r="S72" s="11" t="s">
        <v>2965</v>
      </c>
      <c r="T72" s="11" t="s">
        <v>2966</v>
      </c>
    </row>
    <row r="73" spans="1:20" ht="50.1" hidden="1" customHeight="1">
      <c r="A73" s="10">
        <v>72</v>
      </c>
      <c r="B73" s="11" t="s">
        <v>784</v>
      </c>
      <c r="C73" s="11" t="s">
        <v>785</v>
      </c>
      <c r="D73" s="11" t="s">
        <v>7</v>
      </c>
      <c r="E73" s="11" t="s">
        <v>8</v>
      </c>
      <c r="F73" s="12">
        <v>200</v>
      </c>
      <c r="G73" s="13">
        <v>214</v>
      </c>
      <c r="H73" s="14">
        <v>42800</v>
      </c>
      <c r="I73" s="12">
        <v>0</v>
      </c>
      <c r="J73" s="13"/>
      <c r="K73" s="14">
        <v>0</v>
      </c>
      <c r="L73" s="12">
        <v>0</v>
      </c>
      <c r="M73" s="13"/>
      <c r="N73" s="14">
        <v>0</v>
      </c>
      <c r="O73" s="12">
        <v>200</v>
      </c>
      <c r="P73" s="13">
        <v>214</v>
      </c>
      <c r="Q73" s="14">
        <v>42800</v>
      </c>
      <c r="R73" s="11" t="s">
        <v>2964</v>
      </c>
      <c r="S73" s="11" t="s">
        <v>2965</v>
      </c>
      <c r="T73" s="11" t="s">
        <v>2966</v>
      </c>
    </row>
    <row r="74" spans="1:20" ht="50.1" hidden="1" customHeight="1">
      <c r="A74" s="10">
        <v>73</v>
      </c>
      <c r="B74" s="11" t="s">
        <v>786</v>
      </c>
      <c r="C74" s="11" t="s">
        <v>787</v>
      </c>
      <c r="D74" s="11" t="s">
        <v>7</v>
      </c>
      <c r="E74" s="11" t="s">
        <v>8</v>
      </c>
      <c r="F74" s="12">
        <v>129.69999999999999</v>
      </c>
      <c r="G74" s="13">
        <v>219.17154973000001</v>
      </c>
      <c r="H74" s="14">
        <v>28426.55</v>
      </c>
      <c r="I74" s="12">
        <v>0</v>
      </c>
      <c r="J74" s="13"/>
      <c r="K74" s="14">
        <v>0</v>
      </c>
      <c r="L74" s="12">
        <v>0</v>
      </c>
      <c r="M74" s="13"/>
      <c r="N74" s="14">
        <v>0</v>
      </c>
      <c r="O74" s="12">
        <v>129.69999999999999</v>
      </c>
      <c r="P74" s="13">
        <v>219.17154973000001</v>
      </c>
      <c r="Q74" s="14">
        <v>28426.55</v>
      </c>
      <c r="R74" s="11" t="s">
        <v>2964</v>
      </c>
      <c r="S74" s="11" t="s">
        <v>2965</v>
      </c>
      <c r="T74" s="11" t="s">
        <v>2966</v>
      </c>
    </row>
    <row r="75" spans="1:20" ht="50.1" hidden="1" customHeight="1">
      <c r="A75" s="10">
        <v>74</v>
      </c>
      <c r="B75" s="11" t="s">
        <v>790</v>
      </c>
      <c r="C75" s="11" t="s">
        <v>791</v>
      </c>
      <c r="D75" s="11" t="s">
        <v>7</v>
      </c>
      <c r="E75" s="11" t="s">
        <v>8</v>
      </c>
      <c r="F75" s="12">
        <v>7937.2</v>
      </c>
      <c r="G75" s="13">
        <v>102.00001188</v>
      </c>
      <c r="H75" s="14">
        <v>809594.49430000002</v>
      </c>
      <c r="I75" s="12">
        <v>1007.2</v>
      </c>
      <c r="J75" s="13">
        <v>102</v>
      </c>
      <c r="K75" s="14">
        <v>102734.39999999999</v>
      </c>
      <c r="L75" s="12">
        <v>1828.3</v>
      </c>
      <c r="M75" s="13">
        <v>102</v>
      </c>
      <c r="N75" s="14">
        <v>186486.6</v>
      </c>
      <c r="O75" s="12">
        <v>7116.1</v>
      </c>
      <c r="P75" s="13">
        <v>102.00001324999999</v>
      </c>
      <c r="Q75" s="14">
        <v>725842.29429999995</v>
      </c>
      <c r="R75" s="11" t="s">
        <v>2964</v>
      </c>
      <c r="S75" s="11" t="s">
        <v>2965</v>
      </c>
      <c r="T75" s="11" t="s">
        <v>2966</v>
      </c>
    </row>
    <row r="76" spans="1:20" ht="50.1" hidden="1" customHeight="1">
      <c r="A76" s="10">
        <v>75</v>
      </c>
      <c r="B76" s="11" t="s">
        <v>792</v>
      </c>
      <c r="C76" s="11" t="s">
        <v>793</v>
      </c>
      <c r="D76" s="11" t="s">
        <v>7</v>
      </c>
      <c r="E76" s="11" t="s">
        <v>8</v>
      </c>
      <c r="F76" s="12">
        <v>11210.9</v>
      </c>
      <c r="G76" s="13">
        <v>96</v>
      </c>
      <c r="H76" s="14">
        <v>1076246.3999999999</v>
      </c>
      <c r="I76" s="12">
        <v>0</v>
      </c>
      <c r="J76" s="13"/>
      <c r="K76" s="14">
        <v>0</v>
      </c>
      <c r="L76" s="12">
        <v>925.2</v>
      </c>
      <c r="M76" s="13">
        <v>96</v>
      </c>
      <c r="N76" s="14">
        <v>88819.199999999997</v>
      </c>
      <c r="O76" s="12">
        <v>10285.700000000001</v>
      </c>
      <c r="P76" s="13">
        <v>96</v>
      </c>
      <c r="Q76" s="14">
        <v>987427.2</v>
      </c>
      <c r="R76" s="11" t="s">
        <v>2964</v>
      </c>
      <c r="S76" s="11" t="s">
        <v>2965</v>
      </c>
      <c r="T76" s="11" t="s">
        <v>2966</v>
      </c>
    </row>
    <row r="77" spans="1:20" ht="50.1" hidden="1" customHeight="1">
      <c r="A77" s="10">
        <v>76</v>
      </c>
      <c r="B77" s="11" t="s">
        <v>794</v>
      </c>
      <c r="C77" s="11" t="s">
        <v>795</v>
      </c>
      <c r="D77" s="11" t="s">
        <v>7</v>
      </c>
      <c r="E77" s="11" t="s">
        <v>8</v>
      </c>
      <c r="F77" s="12">
        <v>1995.85</v>
      </c>
      <c r="G77" s="13">
        <v>187.99838664999999</v>
      </c>
      <c r="H77" s="14">
        <v>375216.58</v>
      </c>
      <c r="I77" s="12">
        <v>274.5</v>
      </c>
      <c r="J77" s="13">
        <v>188</v>
      </c>
      <c r="K77" s="14">
        <v>51606</v>
      </c>
      <c r="L77" s="12">
        <v>195.1</v>
      </c>
      <c r="M77" s="13">
        <v>187.99841107</v>
      </c>
      <c r="N77" s="14">
        <v>36678.49</v>
      </c>
      <c r="O77" s="12">
        <v>2075.25</v>
      </c>
      <c r="P77" s="13">
        <v>187.99859776</v>
      </c>
      <c r="Q77" s="14">
        <v>390144.09</v>
      </c>
      <c r="R77" s="11" t="s">
        <v>2964</v>
      </c>
      <c r="S77" s="11" t="s">
        <v>2965</v>
      </c>
      <c r="T77" s="11" t="s">
        <v>2966</v>
      </c>
    </row>
    <row r="78" spans="1:20" ht="50.1" hidden="1" customHeight="1">
      <c r="A78" s="10">
        <v>77</v>
      </c>
      <c r="B78" s="11" t="s">
        <v>798</v>
      </c>
      <c r="C78" s="11" t="s">
        <v>799</v>
      </c>
      <c r="D78" s="11" t="s">
        <v>7</v>
      </c>
      <c r="E78" s="11" t="s">
        <v>8</v>
      </c>
      <c r="F78" s="12">
        <v>1493.5</v>
      </c>
      <c r="G78" s="13">
        <v>171.85026447999999</v>
      </c>
      <c r="H78" s="14">
        <v>256658.37</v>
      </c>
      <c r="I78" s="12">
        <v>0</v>
      </c>
      <c r="J78" s="13"/>
      <c r="K78" s="14">
        <v>0</v>
      </c>
      <c r="L78" s="12">
        <v>243.8</v>
      </c>
      <c r="M78" s="13">
        <v>171.85028711999999</v>
      </c>
      <c r="N78" s="14">
        <v>41897.1</v>
      </c>
      <c r="O78" s="12">
        <v>1249.7</v>
      </c>
      <c r="P78" s="13">
        <v>171.85026006000001</v>
      </c>
      <c r="Q78" s="14">
        <v>214761.27</v>
      </c>
      <c r="R78" s="11" t="s">
        <v>2964</v>
      </c>
      <c r="S78" s="11" t="s">
        <v>2965</v>
      </c>
      <c r="T78" s="11" t="s">
        <v>2966</v>
      </c>
    </row>
    <row r="79" spans="1:20" ht="50.1" hidden="1" customHeight="1">
      <c r="A79" s="10">
        <v>78</v>
      </c>
      <c r="B79" s="11" t="s">
        <v>800</v>
      </c>
      <c r="C79" s="11" t="s">
        <v>801</v>
      </c>
      <c r="D79" s="11" t="s">
        <v>7</v>
      </c>
      <c r="E79" s="11" t="s">
        <v>8</v>
      </c>
      <c r="F79" s="12">
        <v>711.3</v>
      </c>
      <c r="G79" s="13">
        <v>119.07035006</v>
      </c>
      <c r="H79" s="14">
        <v>84694.74</v>
      </c>
      <c r="I79" s="12">
        <v>0</v>
      </c>
      <c r="J79" s="13"/>
      <c r="K79" s="14">
        <v>0</v>
      </c>
      <c r="L79" s="12">
        <v>84</v>
      </c>
      <c r="M79" s="13">
        <v>119.07035714</v>
      </c>
      <c r="N79" s="14">
        <v>10001.91</v>
      </c>
      <c r="O79" s="12">
        <v>627.29999999999995</v>
      </c>
      <c r="P79" s="13">
        <v>119.07034912</v>
      </c>
      <c r="Q79" s="14">
        <v>74692.83</v>
      </c>
      <c r="R79" s="11" t="s">
        <v>2964</v>
      </c>
      <c r="S79" s="11" t="s">
        <v>2965</v>
      </c>
      <c r="T79" s="11" t="s">
        <v>2966</v>
      </c>
    </row>
    <row r="80" spans="1:20" ht="50.1" hidden="1" customHeight="1">
      <c r="A80" s="10">
        <v>79</v>
      </c>
      <c r="B80" s="11" t="s">
        <v>802</v>
      </c>
      <c r="C80" s="11" t="s">
        <v>803</v>
      </c>
      <c r="D80" s="11" t="s">
        <v>7</v>
      </c>
      <c r="E80" s="11" t="s">
        <v>8</v>
      </c>
      <c r="F80" s="12">
        <v>2371.5</v>
      </c>
      <c r="G80" s="13">
        <v>120.26158128</v>
      </c>
      <c r="H80" s="14">
        <v>285200.34000000003</v>
      </c>
      <c r="I80" s="12">
        <v>0</v>
      </c>
      <c r="J80" s="13"/>
      <c r="K80" s="14">
        <v>0</v>
      </c>
      <c r="L80" s="12">
        <v>0</v>
      </c>
      <c r="M80" s="13"/>
      <c r="N80" s="14">
        <v>0</v>
      </c>
      <c r="O80" s="12">
        <v>2371.5</v>
      </c>
      <c r="P80" s="13">
        <v>120.26158128</v>
      </c>
      <c r="Q80" s="14">
        <v>285200.34000000003</v>
      </c>
      <c r="R80" s="11" t="s">
        <v>2964</v>
      </c>
      <c r="S80" s="11" t="s">
        <v>2965</v>
      </c>
      <c r="T80" s="11" t="s">
        <v>2966</v>
      </c>
    </row>
    <row r="81" spans="1:20" ht="50.1" hidden="1" customHeight="1">
      <c r="A81" s="10">
        <v>80</v>
      </c>
      <c r="B81" s="11" t="s">
        <v>804</v>
      </c>
      <c r="C81" s="11" t="s">
        <v>805</v>
      </c>
      <c r="D81" s="11" t="s">
        <v>7</v>
      </c>
      <c r="E81" s="11" t="s">
        <v>8</v>
      </c>
      <c r="F81" s="12">
        <v>843</v>
      </c>
      <c r="G81" s="13">
        <v>168.36154436999999</v>
      </c>
      <c r="H81" s="14">
        <v>141928.7819</v>
      </c>
      <c r="I81" s="12">
        <v>0</v>
      </c>
      <c r="J81" s="13"/>
      <c r="K81" s="14">
        <v>0</v>
      </c>
      <c r="L81" s="12">
        <v>0</v>
      </c>
      <c r="M81" s="13"/>
      <c r="N81" s="14">
        <v>0</v>
      </c>
      <c r="O81" s="12">
        <v>843</v>
      </c>
      <c r="P81" s="13">
        <v>168.36154436999999</v>
      </c>
      <c r="Q81" s="14">
        <v>141928.7819</v>
      </c>
      <c r="R81" s="11" t="s">
        <v>2964</v>
      </c>
      <c r="S81" s="11" t="s">
        <v>2965</v>
      </c>
      <c r="T81" s="11" t="s">
        <v>2966</v>
      </c>
    </row>
    <row r="82" spans="1:20" ht="50.1" hidden="1" customHeight="1">
      <c r="A82" s="10">
        <v>81</v>
      </c>
      <c r="B82" s="11" t="s">
        <v>806</v>
      </c>
      <c r="C82" s="11" t="s">
        <v>807</v>
      </c>
      <c r="D82" s="11" t="s">
        <v>7</v>
      </c>
      <c r="E82" s="11" t="s">
        <v>8</v>
      </c>
      <c r="F82" s="12">
        <v>465.9</v>
      </c>
      <c r="G82" s="13">
        <v>168.04383171999999</v>
      </c>
      <c r="H82" s="14">
        <v>78291.621199999994</v>
      </c>
      <c r="I82" s="12">
        <v>0</v>
      </c>
      <c r="J82" s="13"/>
      <c r="K82" s="14">
        <v>0</v>
      </c>
      <c r="L82" s="12">
        <v>0</v>
      </c>
      <c r="M82" s="13"/>
      <c r="N82" s="14">
        <v>0</v>
      </c>
      <c r="O82" s="12">
        <v>465.9</v>
      </c>
      <c r="P82" s="13">
        <v>168.04383171999999</v>
      </c>
      <c r="Q82" s="14">
        <v>78291.621199999994</v>
      </c>
      <c r="R82" s="11" t="s">
        <v>2964</v>
      </c>
      <c r="S82" s="11" t="s">
        <v>2965</v>
      </c>
      <c r="T82" s="11" t="s">
        <v>2966</v>
      </c>
    </row>
    <row r="83" spans="1:20" ht="50.1" hidden="1" customHeight="1">
      <c r="A83" s="10">
        <v>82</v>
      </c>
      <c r="B83" s="11" t="s">
        <v>808</v>
      </c>
      <c r="C83" s="11" t="s">
        <v>809</v>
      </c>
      <c r="D83" s="11" t="s">
        <v>7</v>
      </c>
      <c r="E83" s="11" t="s">
        <v>8</v>
      </c>
      <c r="F83" s="12">
        <v>581</v>
      </c>
      <c r="G83" s="13">
        <v>233.99999484</v>
      </c>
      <c r="H83" s="14">
        <v>135953.997</v>
      </c>
      <c r="I83" s="12">
        <v>0</v>
      </c>
      <c r="J83" s="13"/>
      <c r="K83" s="14">
        <v>0</v>
      </c>
      <c r="L83" s="12">
        <v>0</v>
      </c>
      <c r="M83" s="13"/>
      <c r="N83" s="14">
        <v>0</v>
      </c>
      <c r="O83" s="12">
        <v>581</v>
      </c>
      <c r="P83" s="13">
        <v>233.99999484</v>
      </c>
      <c r="Q83" s="14">
        <v>135953.997</v>
      </c>
      <c r="R83" s="11" t="s">
        <v>2964</v>
      </c>
      <c r="S83" s="11" t="s">
        <v>2965</v>
      </c>
      <c r="T83" s="11" t="s">
        <v>2966</v>
      </c>
    </row>
    <row r="84" spans="1:20" ht="50.1" hidden="1" customHeight="1">
      <c r="A84" s="10">
        <v>83</v>
      </c>
      <c r="B84" s="11" t="s">
        <v>810</v>
      </c>
      <c r="C84" s="11" t="s">
        <v>811</v>
      </c>
      <c r="D84" s="11" t="s">
        <v>7</v>
      </c>
      <c r="E84" s="11" t="s">
        <v>8</v>
      </c>
      <c r="F84" s="12">
        <v>843.6</v>
      </c>
      <c r="G84" s="13">
        <v>246.75600842</v>
      </c>
      <c r="H84" s="14">
        <v>208163.36869999999</v>
      </c>
      <c r="I84" s="12">
        <v>0</v>
      </c>
      <c r="J84" s="13"/>
      <c r="K84" s="14">
        <v>0</v>
      </c>
      <c r="L84" s="12">
        <v>0</v>
      </c>
      <c r="M84" s="13"/>
      <c r="N84" s="14">
        <v>0</v>
      </c>
      <c r="O84" s="12">
        <v>843.6</v>
      </c>
      <c r="P84" s="13">
        <v>246.75600842</v>
      </c>
      <c r="Q84" s="14">
        <v>208163.36869999999</v>
      </c>
      <c r="R84" s="11" t="s">
        <v>2964</v>
      </c>
      <c r="S84" s="11" t="s">
        <v>2965</v>
      </c>
      <c r="T84" s="11" t="s">
        <v>2966</v>
      </c>
    </row>
    <row r="85" spans="1:20" ht="50.1" hidden="1" customHeight="1">
      <c r="A85" s="10">
        <v>84</v>
      </c>
      <c r="B85" s="11" t="s">
        <v>812</v>
      </c>
      <c r="C85" s="11" t="s">
        <v>813</v>
      </c>
      <c r="D85" s="11" t="s">
        <v>7</v>
      </c>
      <c r="E85" s="11" t="s">
        <v>8</v>
      </c>
      <c r="F85" s="12">
        <v>265.39999999999998</v>
      </c>
      <c r="G85" s="13">
        <v>166.70678222000001</v>
      </c>
      <c r="H85" s="14">
        <v>44243.98</v>
      </c>
      <c r="I85" s="12">
        <v>0</v>
      </c>
      <c r="J85" s="13"/>
      <c r="K85" s="14">
        <v>0</v>
      </c>
      <c r="L85" s="12">
        <v>70.5</v>
      </c>
      <c r="M85" s="13">
        <v>166.70680851</v>
      </c>
      <c r="N85" s="14">
        <v>11752.83</v>
      </c>
      <c r="O85" s="12">
        <v>194.9</v>
      </c>
      <c r="P85" s="13">
        <v>166.70677269999999</v>
      </c>
      <c r="Q85" s="14">
        <v>32491.15</v>
      </c>
      <c r="R85" s="11" t="s">
        <v>2964</v>
      </c>
      <c r="S85" s="11" t="s">
        <v>2965</v>
      </c>
      <c r="T85" s="11" t="s">
        <v>2966</v>
      </c>
    </row>
    <row r="86" spans="1:20" ht="50.1" hidden="1" customHeight="1">
      <c r="A86" s="10">
        <v>85</v>
      </c>
      <c r="B86" s="11" t="s">
        <v>814</v>
      </c>
      <c r="C86" s="11" t="s">
        <v>815</v>
      </c>
      <c r="D86" s="11" t="s">
        <v>7</v>
      </c>
      <c r="E86" s="11" t="s">
        <v>8</v>
      </c>
      <c r="F86" s="12">
        <v>357.3</v>
      </c>
      <c r="G86" s="13">
        <v>668.67636496</v>
      </c>
      <c r="H86" s="14">
        <v>238918.06520000001</v>
      </c>
      <c r="I86" s="12">
        <v>0</v>
      </c>
      <c r="J86" s="13"/>
      <c r="K86" s="14">
        <v>0</v>
      </c>
      <c r="L86" s="12">
        <v>58.9</v>
      </c>
      <c r="M86" s="13">
        <v>668.67623089999995</v>
      </c>
      <c r="N86" s="14">
        <v>39385.03</v>
      </c>
      <c r="O86" s="12">
        <v>298.39999999999998</v>
      </c>
      <c r="P86" s="13">
        <v>668.67639141999996</v>
      </c>
      <c r="Q86" s="14">
        <v>199533.03520000001</v>
      </c>
      <c r="R86" s="11" t="s">
        <v>2964</v>
      </c>
      <c r="S86" s="11" t="s">
        <v>2965</v>
      </c>
      <c r="T86" s="11" t="s">
        <v>2966</v>
      </c>
    </row>
    <row r="87" spans="1:20" ht="50.1" hidden="1" customHeight="1">
      <c r="A87" s="10">
        <v>86</v>
      </c>
      <c r="B87" s="11" t="s">
        <v>818</v>
      </c>
      <c r="C87" s="11" t="s">
        <v>819</v>
      </c>
      <c r="D87" s="11" t="s">
        <v>7</v>
      </c>
      <c r="E87" s="11" t="s">
        <v>8</v>
      </c>
      <c r="F87" s="12">
        <v>215.82</v>
      </c>
      <c r="G87" s="13">
        <v>668</v>
      </c>
      <c r="H87" s="14">
        <v>144167.76</v>
      </c>
      <c r="I87" s="12">
        <v>0</v>
      </c>
      <c r="J87" s="13"/>
      <c r="K87" s="14">
        <v>0</v>
      </c>
      <c r="L87" s="12">
        <v>0</v>
      </c>
      <c r="M87" s="13"/>
      <c r="N87" s="14">
        <v>0</v>
      </c>
      <c r="O87" s="12">
        <v>215.82</v>
      </c>
      <c r="P87" s="13">
        <v>668</v>
      </c>
      <c r="Q87" s="14">
        <v>144167.76</v>
      </c>
      <c r="R87" s="11" t="s">
        <v>2964</v>
      </c>
      <c r="S87" s="11" t="s">
        <v>2965</v>
      </c>
      <c r="T87" s="11" t="s">
        <v>2966</v>
      </c>
    </row>
    <row r="88" spans="1:20" ht="50.1" hidden="1" customHeight="1">
      <c r="A88" s="10">
        <v>87</v>
      </c>
      <c r="B88" s="11" t="s">
        <v>820</v>
      </c>
      <c r="C88" s="11" t="s">
        <v>821</v>
      </c>
      <c r="D88" s="11" t="s">
        <v>7</v>
      </c>
      <c r="E88" s="11" t="s">
        <v>8</v>
      </c>
      <c r="F88" s="12">
        <v>432.8</v>
      </c>
      <c r="G88" s="13">
        <v>614.64204251000001</v>
      </c>
      <c r="H88" s="14">
        <v>266017.076</v>
      </c>
      <c r="I88" s="12">
        <v>0</v>
      </c>
      <c r="J88" s="13"/>
      <c r="K88" s="14">
        <v>0</v>
      </c>
      <c r="L88" s="12">
        <v>0</v>
      </c>
      <c r="M88" s="13"/>
      <c r="N88" s="14">
        <v>0</v>
      </c>
      <c r="O88" s="12">
        <v>432.8</v>
      </c>
      <c r="P88" s="13">
        <v>614.64204251000001</v>
      </c>
      <c r="Q88" s="14">
        <v>266017.076</v>
      </c>
      <c r="R88" s="11" t="s">
        <v>2964</v>
      </c>
      <c r="S88" s="11" t="s">
        <v>2965</v>
      </c>
      <c r="T88" s="11" t="s">
        <v>2966</v>
      </c>
    </row>
    <row r="89" spans="1:20" ht="50.1" hidden="1" customHeight="1">
      <c r="A89" s="10">
        <v>88</v>
      </c>
      <c r="B89" s="11" t="s">
        <v>822</v>
      </c>
      <c r="C89" s="11" t="s">
        <v>823</v>
      </c>
      <c r="D89" s="11" t="s">
        <v>7</v>
      </c>
      <c r="E89" s="11" t="s">
        <v>8</v>
      </c>
      <c r="F89" s="12">
        <v>207</v>
      </c>
      <c r="G89" s="13">
        <v>309.21059323999998</v>
      </c>
      <c r="H89" s="14">
        <v>64006.592799999999</v>
      </c>
      <c r="I89" s="12">
        <v>0</v>
      </c>
      <c r="J89" s="13"/>
      <c r="K89" s="14">
        <v>0</v>
      </c>
      <c r="L89" s="12">
        <v>115</v>
      </c>
      <c r="M89" s="13">
        <v>309.21069564999999</v>
      </c>
      <c r="N89" s="14">
        <v>35559.230000000003</v>
      </c>
      <c r="O89" s="12">
        <v>92</v>
      </c>
      <c r="P89" s="13">
        <v>309.21046522</v>
      </c>
      <c r="Q89" s="14">
        <v>28447.362799999999</v>
      </c>
      <c r="R89" s="11" t="s">
        <v>2964</v>
      </c>
      <c r="S89" s="11" t="s">
        <v>2965</v>
      </c>
      <c r="T89" s="11" t="s">
        <v>2966</v>
      </c>
    </row>
    <row r="90" spans="1:20" ht="50.1" hidden="1" customHeight="1">
      <c r="A90" s="10">
        <v>89</v>
      </c>
      <c r="B90" s="11" t="s">
        <v>824</v>
      </c>
      <c r="C90" s="11" t="s">
        <v>825</v>
      </c>
      <c r="D90" s="11" t="s">
        <v>7</v>
      </c>
      <c r="E90" s="11" t="s">
        <v>8</v>
      </c>
      <c r="F90" s="12">
        <v>505</v>
      </c>
      <c r="G90" s="13">
        <v>297.97792297000001</v>
      </c>
      <c r="H90" s="14">
        <v>150478.8511</v>
      </c>
      <c r="I90" s="12">
        <v>0</v>
      </c>
      <c r="J90" s="13"/>
      <c r="K90" s="14">
        <v>0</v>
      </c>
      <c r="L90" s="12">
        <v>0</v>
      </c>
      <c r="M90" s="13"/>
      <c r="N90" s="14">
        <v>0</v>
      </c>
      <c r="O90" s="12">
        <v>505</v>
      </c>
      <c r="P90" s="13">
        <v>297.97792297000001</v>
      </c>
      <c r="Q90" s="14">
        <v>150478.8511</v>
      </c>
      <c r="R90" s="11" t="s">
        <v>2964</v>
      </c>
      <c r="S90" s="11" t="s">
        <v>2965</v>
      </c>
      <c r="T90" s="11" t="s">
        <v>2966</v>
      </c>
    </row>
    <row r="91" spans="1:20" ht="50.1" hidden="1" customHeight="1">
      <c r="A91" s="10">
        <v>90</v>
      </c>
      <c r="B91" s="11" t="s">
        <v>828</v>
      </c>
      <c r="C91" s="11" t="s">
        <v>829</v>
      </c>
      <c r="D91" s="11" t="s">
        <v>17</v>
      </c>
      <c r="E91" s="11" t="s">
        <v>8</v>
      </c>
      <c r="F91" s="12">
        <v>127</v>
      </c>
      <c r="G91" s="13">
        <v>195.75</v>
      </c>
      <c r="H91" s="14">
        <v>24860.25</v>
      </c>
      <c r="I91" s="12">
        <v>0</v>
      </c>
      <c r="J91" s="13"/>
      <c r="K91" s="14">
        <v>0</v>
      </c>
      <c r="L91" s="12">
        <v>0</v>
      </c>
      <c r="M91" s="13"/>
      <c r="N91" s="14">
        <v>0</v>
      </c>
      <c r="O91" s="12">
        <v>127</v>
      </c>
      <c r="P91" s="13">
        <v>195.75</v>
      </c>
      <c r="Q91" s="14">
        <v>24860.25</v>
      </c>
      <c r="R91" s="11" t="s">
        <v>2964</v>
      </c>
      <c r="S91" s="11" t="s">
        <v>2965</v>
      </c>
      <c r="T91" s="11" t="s">
        <v>2966</v>
      </c>
    </row>
    <row r="92" spans="1:20" ht="50.1" hidden="1" customHeight="1">
      <c r="A92" s="10">
        <v>91</v>
      </c>
      <c r="B92" s="11" t="s">
        <v>830</v>
      </c>
      <c r="C92" s="11" t="s">
        <v>831</v>
      </c>
      <c r="D92" s="11" t="s">
        <v>20</v>
      </c>
      <c r="E92" s="11" t="s">
        <v>8</v>
      </c>
      <c r="F92" s="12">
        <v>494.4</v>
      </c>
      <c r="G92" s="13">
        <v>370.00000243</v>
      </c>
      <c r="H92" s="14">
        <v>182928.0012</v>
      </c>
      <c r="I92" s="12">
        <v>0</v>
      </c>
      <c r="J92" s="13"/>
      <c r="K92" s="14">
        <v>0</v>
      </c>
      <c r="L92" s="12">
        <v>0</v>
      </c>
      <c r="M92" s="13"/>
      <c r="N92" s="14">
        <v>0</v>
      </c>
      <c r="O92" s="12">
        <v>494.4</v>
      </c>
      <c r="P92" s="13">
        <v>370.00000243</v>
      </c>
      <c r="Q92" s="14">
        <v>182928.0012</v>
      </c>
      <c r="R92" s="11" t="s">
        <v>2964</v>
      </c>
      <c r="S92" s="11" t="s">
        <v>2965</v>
      </c>
      <c r="T92" s="11" t="s">
        <v>2966</v>
      </c>
    </row>
    <row r="93" spans="1:20" ht="50.1" hidden="1" customHeight="1">
      <c r="A93" s="10">
        <v>92</v>
      </c>
      <c r="B93" s="11" t="s">
        <v>832</v>
      </c>
      <c r="C93" s="11" t="s">
        <v>833</v>
      </c>
      <c r="D93" s="11" t="s">
        <v>7</v>
      </c>
      <c r="E93" s="11" t="s">
        <v>8</v>
      </c>
      <c r="F93" s="12">
        <v>2500</v>
      </c>
      <c r="G93" s="13">
        <v>165.707356</v>
      </c>
      <c r="H93" s="14">
        <v>414268.39</v>
      </c>
      <c r="I93" s="12">
        <v>287</v>
      </c>
      <c r="J93" s="13">
        <v>155</v>
      </c>
      <c r="K93" s="14">
        <v>44485</v>
      </c>
      <c r="L93" s="12">
        <v>280</v>
      </c>
      <c r="M93" s="13">
        <v>165.12685714</v>
      </c>
      <c r="N93" s="14">
        <v>46235.519999999997</v>
      </c>
      <c r="O93" s="12">
        <v>2507</v>
      </c>
      <c r="P93" s="13">
        <v>164.54641803000001</v>
      </c>
      <c r="Q93" s="14">
        <v>412517.87</v>
      </c>
      <c r="R93" s="11" t="s">
        <v>2964</v>
      </c>
      <c r="S93" s="11" t="s">
        <v>2965</v>
      </c>
      <c r="T93" s="11" t="s">
        <v>2966</v>
      </c>
    </row>
    <row r="94" spans="1:20" ht="50.1" hidden="1" customHeight="1">
      <c r="A94" s="10">
        <v>93</v>
      </c>
      <c r="B94" s="11" t="s">
        <v>834</v>
      </c>
      <c r="C94" s="11" t="s">
        <v>835</v>
      </c>
      <c r="D94" s="11" t="s">
        <v>7</v>
      </c>
      <c r="E94" s="11" t="s">
        <v>8</v>
      </c>
      <c r="F94" s="12">
        <v>190</v>
      </c>
      <c r="G94" s="13">
        <v>179.19263158000001</v>
      </c>
      <c r="H94" s="14">
        <v>34046.6</v>
      </c>
      <c r="I94" s="12">
        <v>0</v>
      </c>
      <c r="J94" s="13"/>
      <c r="K94" s="14">
        <v>0</v>
      </c>
      <c r="L94" s="12">
        <v>0</v>
      </c>
      <c r="M94" s="13"/>
      <c r="N94" s="14">
        <v>0</v>
      </c>
      <c r="O94" s="12">
        <v>190</v>
      </c>
      <c r="P94" s="13">
        <v>179.19263158000001</v>
      </c>
      <c r="Q94" s="14">
        <v>34046.6</v>
      </c>
      <c r="R94" s="11" t="s">
        <v>2964</v>
      </c>
      <c r="S94" s="11" t="s">
        <v>2965</v>
      </c>
      <c r="T94" s="11" t="s">
        <v>2966</v>
      </c>
    </row>
    <row r="95" spans="1:20" ht="50.1" hidden="1" customHeight="1">
      <c r="A95" s="10">
        <v>94</v>
      </c>
      <c r="B95" s="11" t="s">
        <v>836</v>
      </c>
      <c r="C95" s="11" t="s">
        <v>837</v>
      </c>
      <c r="D95" s="11" t="s">
        <v>7</v>
      </c>
      <c r="E95" s="11" t="s">
        <v>8</v>
      </c>
      <c r="F95" s="12">
        <v>565</v>
      </c>
      <c r="G95" s="13">
        <v>172.75382300999999</v>
      </c>
      <c r="H95" s="14">
        <v>97605.91</v>
      </c>
      <c r="I95" s="12">
        <v>141</v>
      </c>
      <c r="J95" s="13">
        <v>172</v>
      </c>
      <c r="K95" s="14">
        <v>24252</v>
      </c>
      <c r="L95" s="12">
        <v>346</v>
      </c>
      <c r="M95" s="13">
        <v>172.71245665000001</v>
      </c>
      <c r="N95" s="14">
        <v>59758.51</v>
      </c>
      <c r="O95" s="12">
        <v>360</v>
      </c>
      <c r="P95" s="13">
        <v>172.49833333000001</v>
      </c>
      <c r="Q95" s="14">
        <v>62099.4</v>
      </c>
      <c r="R95" s="11" t="s">
        <v>2964</v>
      </c>
      <c r="S95" s="11" t="s">
        <v>2965</v>
      </c>
      <c r="T95" s="11" t="s">
        <v>2961</v>
      </c>
    </row>
    <row r="96" spans="1:20" ht="50.1" hidden="1" customHeight="1">
      <c r="A96" s="10">
        <v>95</v>
      </c>
      <c r="B96" s="11" t="s">
        <v>1978</v>
      </c>
      <c r="C96" s="11" t="s">
        <v>1979</v>
      </c>
      <c r="D96" s="11" t="s">
        <v>7</v>
      </c>
      <c r="E96" s="11" t="s">
        <v>8</v>
      </c>
      <c r="F96" s="12">
        <v>188.7</v>
      </c>
      <c r="G96" s="13">
        <v>237.63810280999999</v>
      </c>
      <c r="H96" s="14">
        <v>44842.31</v>
      </c>
      <c r="I96" s="12">
        <v>0</v>
      </c>
      <c r="J96" s="13"/>
      <c r="K96" s="14">
        <v>0</v>
      </c>
      <c r="L96" s="12">
        <v>0</v>
      </c>
      <c r="M96" s="13"/>
      <c r="N96" s="14">
        <v>0</v>
      </c>
      <c r="O96" s="12">
        <v>188.7</v>
      </c>
      <c r="P96" s="13">
        <v>237.63810280999999</v>
      </c>
      <c r="Q96" s="14">
        <v>44842.31</v>
      </c>
      <c r="R96" s="11" t="s">
        <v>2964</v>
      </c>
      <c r="S96" s="11" t="s">
        <v>2965</v>
      </c>
      <c r="T96" s="11" t="s">
        <v>2961</v>
      </c>
    </row>
    <row r="97" spans="1:20" ht="50.1" hidden="1" customHeight="1">
      <c r="A97" s="10">
        <v>96</v>
      </c>
      <c r="B97" s="11" t="s">
        <v>1289</v>
      </c>
      <c r="C97" s="11" t="s">
        <v>3274</v>
      </c>
      <c r="D97" s="11" t="s">
        <v>7</v>
      </c>
      <c r="E97" s="11" t="s">
        <v>8</v>
      </c>
      <c r="F97" s="12">
        <v>1956.7</v>
      </c>
      <c r="G97" s="13">
        <v>216</v>
      </c>
      <c r="H97" s="14">
        <v>422647.2</v>
      </c>
      <c r="I97" s="12">
        <v>445.9</v>
      </c>
      <c r="J97" s="13">
        <v>216</v>
      </c>
      <c r="K97" s="14">
        <v>96314.4</v>
      </c>
      <c r="L97" s="12">
        <v>637.29999999999995</v>
      </c>
      <c r="M97" s="13">
        <v>216</v>
      </c>
      <c r="N97" s="14">
        <v>137656.79999999999</v>
      </c>
      <c r="O97" s="12">
        <v>1765.3</v>
      </c>
      <c r="P97" s="13">
        <v>216</v>
      </c>
      <c r="Q97" s="14">
        <v>381304.8</v>
      </c>
      <c r="R97" s="11" t="s">
        <v>2964</v>
      </c>
      <c r="S97" s="11" t="s">
        <v>2965</v>
      </c>
      <c r="T97" s="11" t="s">
        <v>2966</v>
      </c>
    </row>
    <row r="98" spans="1:20" ht="50.1" hidden="1" customHeight="1">
      <c r="A98" s="10">
        <v>97</v>
      </c>
      <c r="B98" s="11" t="s">
        <v>2241</v>
      </c>
      <c r="C98" s="11" t="s">
        <v>2242</v>
      </c>
      <c r="D98" s="11" t="s">
        <v>7</v>
      </c>
      <c r="E98" s="11" t="s">
        <v>8</v>
      </c>
      <c r="F98" s="12">
        <v>393</v>
      </c>
      <c r="G98" s="13">
        <v>110.27905852000001</v>
      </c>
      <c r="H98" s="14">
        <v>43339.67</v>
      </c>
      <c r="I98" s="12">
        <v>0</v>
      </c>
      <c r="J98" s="13"/>
      <c r="K98" s="14">
        <v>0</v>
      </c>
      <c r="L98" s="12">
        <v>80</v>
      </c>
      <c r="M98" s="13">
        <v>110.27925</v>
      </c>
      <c r="N98" s="14">
        <v>8822.34</v>
      </c>
      <c r="O98" s="12">
        <v>313</v>
      </c>
      <c r="P98" s="13">
        <v>110.27900957999999</v>
      </c>
      <c r="Q98" s="14">
        <v>34517.33</v>
      </c>
      <c r="R98" s="11" t="s">
        <v>2964</v>
      </c>
      <c r="S98" s="11" t="s">
        <v>2965</v>
      </c>
      <c r="T98" s="11" t="s">
        <v>2966</v>
      </c>
    </row>
    <row r="99" spans="1:20" ht="50.1" hidden="1" customHeight="1">
      <c r="A99" s="10">
        <v>98</v>
      </c>
      <c r="B99" s="11" t="s">
        <v>2243</v>
      </c>
      <c r="C99" s="11" t="s">
        <v>2244</v>
      </c>
      <c r="D99" s="11" t="s">
        <v>7</v>
      </c>
      <c r="E99" s="11" t="s">
        <v>8</v>
      </c>
      <c r="F99" s="12">
        <v>822</v>
      </c>
      <c r="G99" s="13">
        <v>110.08798054</v>
      </c>
      <c r="H99" s="14">
        <v>90492.32</v>
      </c>
      <c r="I99" s="12">
        <v>0</v>
      </c>
      <c r="J99" s="13"/>
      <c r="K99" s="14">
        <v>0</v>
      </c>
      <c r="L99" s="12">
        <v>80</v>
      </c>
      <c r="M99" s="13">
        <v>110.08799999999999</v>
      </c>
      <c r="N99" s="14">
        <v>8807.0400000000009</v>
      </c>
      <c r="O99" s="12">
        <v>742</v>
      </c>
      <c r="P99" s="13">
        <v>110.08797844</v>
      </c>
      <c r="Q99" s="14">
        <v>81685.279999999999</v>
      </c>
      <c r="R99" s="11" t="s">
        <v>2964</v>
      </c>
      <c r="S99" s="11" t="s">
        <v>2965</v>
      </c>
      <c r="T99" s="11" t="s">
        <v>2966</v>
      </c>
    </row>
    <row r="100" spans="1:20" ht="50.1" hidden="1" customHeight="1">
      <c r="A100" s="10">
        <v>99</v>
      </c>
      <c r="B100" s="11" t="s">
        <v>2245</v>
      </c>
      <c r="C100" s="11" t="s">
        <v>2246</v>
      </c>
      <c r="D100" s="11" t="s">
        <v>7</v>
      </c>
      <c r="E100" s="11" t="s">
        <v>8</v>
      </c>
      <c r="F100" s="12">
        <v>1364</v>
      </c>
      <c r="G100" s="13">
        <v>245.57842375000001</v>
      </c>
      <c r="H100" s="14">
        <v>334968.96999999997</v>
      </c>
      <c r="I100" s="12">
        <v>366</v>
      </c>
      <c r="J100" s="13">
        <v>246.21540984000001</v>
      </c>
      <c r="K100" s="14">
        <v>90114.84</v>
      </c>
      <c r="L100" s="12">
        <v>154</v>
      </c>
      <c r="M100" s="13">
        <v>245.64772726999999</v>
      </c>
      <c r="N100" s="14">
        <v>37829.75</v>
      </c>
      <c r="O100" s="12">
        <v>1576</v>
      </c>
      <c r="P100" s="13">
        <v>245.71958122000001</v>
      </c>
      <c r="Q100" s="14">
        <v>387254.06</v>
      </c>
      <c r="R100" s="11" t="s">
        <v>2964</v>
      </c>
      <c r="S100" s="11" t="s">
        <v>2965</v>
      </c>
      <c r="T100" s="11" t="s">
        <v>2966</v>
      </c>
    </row>
    <row r="101" spans="1:20" ht="50.1" hidden="1" customHeight="1">
      <c r="A101" s="10">
        <v>100</v>
      </c>
      <c r="B101" s="11" t="s">
        <v>2335</v>
      </c>
      <c r="C101" s="11" t="s">
        <v>2336</v>
      </c>
      <c r="D101" s="11" t="s">
        <v>7</v>
      </c>
      <c r="E101" s="11" t="s">
        <v>8</v>
      </c>
      <c r="F101" s="12">
        <v>1159</v>
      </c>
      <c r="G101" s="13">
        <v>245.61936152000001</v>
      </c>
      <c r="H101" s="14">
        <v>284672.84000000003</v>
      </c>
      <c r="I101" s="12">
        <v>450</v>
      </c>
      <c r="J101" s="13">
        <v>247.34831111</v>
      </c>
      <c r="K101" s="14">
        <v>111306.74</v>
      </c>
      <c r="L101" s="12">
        <v>0</v>
      </c>
      <c r="M101" s="13"/>
      <c r="N101" s="14">
        <v>0</v>
      </c>
      <c r="O101" s="12">
        <v>1609</v>
      </c>
      <c r="P101" s="13">
        <v>246.10290864000001</v>
      </c>
      <c r="Q101" s="14">
        <v>395979.58</v>
      </c>
      <c r="R101" s="11" t="s">
        <v>2964</v>
      </c>
      <c r="S101" s="11" t="s">
        <v>2965</v>
      </c>
      <c r="T101" s="11" t="s">
        <v>2966</v>
      </c>
    </row>
    <row r="102" spans="1:20" ht="50.1" hidden="1" customHeight="1">
      <c r="A102" s="10">
        <v>101</v>
      </c>
      <c r="B102" s="11" t="s">
        <v>2337</v>
      </c>
      <c r="C102" s="11" t="s">
        <v>2338</v>
      </c>
      <c r="D102" s="11" t="s">
        <v>7</v>
      </c>
      <c r="E102" s="11" t="s">
        <v>8</v>
      </c>
      <c r="F102" s="12">
        <v>257</v>
      </c>
      <c r="G102" s="13">
        <v>220</v>
      </c>
      <c r="H102" s="14">
        <v>56540</v>
      </c>
      <c r="I102" s="12">
        <v>141</v>
      </c>
      <c r="J102" s="13">
        <v>223.61489362</v>
      </c>
      <c r="K102" s="14">
        <v>31529.7</v>
      </c>
      <c r="L102" s="12">
        <v>287</v>
      </c>
      <c r="M102" s="13">
        <v>221.22379791</v>
      </c>
      <c r="N102" s="14">
        <v>63491.23</v>
      </c>
      <c r="O102" s="12">
        <v>111</v>
      </c>
      <c r="P102" s="13">
        <v>221.42765765999999</v>
      </c>
      <c r="Q102" s="14">
        <v>24578.47</v>
      </c>
      <c r="R102" s="11" t="s">
        <v>2964</v>
      </c>
      <c r="S102" s="11" t="s">
        <v>2965</v>
      </c>
      <c r="T102" s="11" t="s">
        <v>2966</v>
      </c>
    </row>
    <row r="103" spans="1:20" ht="50.1" hidden="1" customHeight="1">
      <c r="A103" s="10">
        <v>102</v>
      </c>
      <c r="B103" s="11" t="s">
        <v>2247</v>
      </c>
      <c r="C103" s="11" t="s">
        <v>2248</v>
      </c>
      <c r="D103" s="11" t="s">
        <v>7</v>
      </c>
      <c r="E103" s="11" t="s">
        <v>8</v>
      </c>
      <c r="F103" s="12">
        <v>268</v>
      </c>
      <c r="G103" s="13">
        <v>221.52835820999999</v>
      </c>
      <c r="H103" s="14">
        <v>59369.599999999999</v>
      </c>
      <c r="I103" s="12">
        <v>341</v>
      </c>
      <c r="J103" s="13">
        <v>223.98630499000001</v>
      </c>
      <c r="K103" s="14">
        <v>76379.33</v>
      </c>
      <c r="L103" s="12">
        <v>134</v>
      </c>
      <c r="M103" s="13">
        <v>222.90462686999999</v>
      </c>
      <c r="N103" s="14">
        <v>29869.22</v>
      </c>
      <c r="O103" s="12">
        <v>475</v>
      </c>
      <c r="P103" s="13">
        <v>222.90465262999999</v>
      </c>
      <c r="Q103" s="14">
        <v>105879.71</v>
      </c>
      <c r="R103" s="11" t="s">
        <v>2964</v>
      </c>
      <c r="S103" s="11" t="s">
        <v>2965</v>
      </c>
      <c r="T103" s="11" t="s">
        <v>2966</v>
      </c>
    </row>
    <row r="104" spans="1:20" ht="50.1" hidden="1" customHeight="1">
      <c r="A104" s="10">
        <v>103</v>
      </c>
      <c r="B104" s="11" t="s">
        <v>2249</v>
      </c>
      <c r="C104" s="11" t="s">
        <v>2250</v>
      </c>
      <c r="D104" s="11" t="s">
        <v>7</v>
      </c>
      <c r="E104" s="11" t="s">
        <v>8</v>
      </c>
      <c r="F104" s="12">
        <v>1089</v>
      </c>
      <c r="G104" s="13">
        <v>166.88034894</v>
      </c>
      <c r="H104" s="14">
        <v>181732.7</v>
      </c>
      <c r="I104" s="12">
        <v>0</v>
      </c>
      <c r="J104" s="13"/>
      <c r="K104" s="14">
        <v>0</v>
      </c>
      <c r="L104" s="12">
        <v>307</v>
      </c>
      <c r="M104" s="13">
        <v>166.88029316000001</v>
      </c>
      <c r="N104" s="14">
        <v>51232.25</v>
      </c>
      <c r="O104" s="12">
        <v>782</v>
      </c>
      <c r="P104" s="13">
        <v>166.88037084000001</v>
      </c>
      <c r="Q104" s="14">
        <v>130500.45</v>
      </c>
      <c r="R104" s="11" t="s">
        <v>2964</v>
      </c>
      <c r="S104" s="11" t="s">
        <v>2965</v>
      </c>
      <c r="T104" s="11" t="s">
        <v>2966</v>
      </c>
    </row>
    <row r="105" spans="1:20" ht="50.1" hidden="1" customHeight="1">
      <c r="A105" s="10">
        <v>104</v>
      </c>
      <c r="B105" s="11" t="s">
        <v>2251</v>
      </c>
      <c r="C105" s="11" t="s">
        <v>2252</v>
      </c>
      <c r="D105" s="11" t="s">
        <v>7</v>
      </c>
      <c r="E105" s="11" t="s">
        <v>8</v>
      </c>
      <c r="F105" s="12">
        <v>1580</v>
      </c>
      <c r="G105" s="13">
        <v>166.32193670999999</v>
      </c>
      <c r="H105" s="14">
        <v>262788.65999999997</v>
      </c>
      <c r="I105" s="12">
        <v>577</v>
      </c>
      <c r="J105" s="13">
        <v>167.62088388000001</v>
      </c>
      <c r="K105" s="14">
        <v>96717.25</v>
      </c>
      <c r="L105" s="12">
        <v>605</v>
      </c>
      <c r="M105" s="13">
        <v>166.61644627999999</v>
      </c>
      <c r="N105" s="14">
        <v>100802.95</v>
      </c>
      <c r="O105" s="12">
        <v>1552</v>
      </c>
      <c r="P105" s="13">
        <v>166.69005154999999</v>
      </c>
      <c r="Q105" s="14">
        <v>258702.96</v>
      </c>
      <c r="R105" s="11" t="s">
        <v>2964</v>
      </c>
      <c r="S105" s="11" t="s">
        <v>2965</v>
      </c>
      <c r="T105" s="11" t="s">
        <v>2966</v>
      </c>
    </row>
    <row r="106" spans="1:20" ht="50.1" hidden="1" customHeight="1">
      <c r="A106" s="10">
        <v>105</v>
      </c>
      <c r="B106" s="11" t="s">
        <v>1980</v>
      </c>
      <c r="C106" s="11" t="s">
        <v>1981</v>
      </c>
      <c r="D106" s="11" t="s">
        <v>7</v>
      </c>
      <c r="E106" s="11" t="s">
        <v>8</v>
      </c>
      <c r="F106" s="12">
        <v>80</v>
      </c>
      <c r="G106" s="13">
        <v>540</v>
      </c>
      <c r="H106" s="14">
        <v>43200</v>
      </c>
      <c r="I106" s="12">
        <v>0</v>
      </c>
      <c r="J106" s="13"/>
      <c r="K106" s="14">
        <v>0</v>
      </c>
      <c r="L106" s="12">
        <v>40</v>
      </c>
      <c r="M106" s="13">
        <v>540</v>
      </c>
      <c r="N106" s="14">
        <v>21600</v>
      </c>
      <c r="O106" s="12">
        <v>40</v>
      </c>
      <c r="P106" s="13">
        <v>540</v>
      </c>
      <c r="Q106" s="14">
        <v>21600</v>
      </c>
      <c r="R106" s="11" t="s">
        <v>2964</v>
      </c>
      <c r="S106" s="11" t="s">
        <v>2965</v>
      </c>
      <c r="T106" s="11" t="s">
        <v>2966</v>
      </c>
    </row>
    <row r="107" spans="1:20" ht="50.1" hidden="1" customHeight="1">
      <c r="A107" s="10">
        <v>106</v>
      </c>
      <c r="B107" s="11" t="s">
        <v>1982</v>
      </c>
      <c r="C107" s="11" t="s">
        <v>1983</v>
      </c>
      <c r="D107" s="11" t="s">
        <v>7</v>
      </c>
      <c r="E107" s="11" t="s">
        <v>8</v>
      </c>
      <c r="F107" s="12">
        <v>160</v>
      </c>
      <c r="G107" s="13">
        <v>540</v>
      </c>
      <c r="H107" s="14">
        <v>86400</v>
      </c>
      <c r="I107" s="12">
        <v>0</v>
      </c>
      <c r="J107" s="13"/>
      <c r="K107" s="14">
        <v>0</v>
      </c>
      <c r="L107" s="12">
        <v>40</v>
      </c>
      <c r="M107" s="13">
        <v>540</v>
      </c>
      <c r="N107" s="14">
        <v>21600</v>
      </c>
      <c r="O107" s="12">
        <v>120</v>
      </c>
      <c r="P107" s="13">
        <v>540</v>
      </c>
      <c r="Q107" s="14">
        <v>64800</v>
      </c>
      <c r="R107" s="11" t="s">
        <v>2964</v>
      </c>
      <c r="S107" s="11" t="s">
        <v>2965</v>
      </c>
      <c r="T107" s="11" t="s">
        <v>2966</v>
      </c>
    </row>
    <row r="108" spans="1:20" ht="50.1" hidden="1" customHeight="1">
      <c r="A108" s="10">
        <v>107</v>
      </c>
      <c r="B108" s="11" t="s">
        <v>1292</v>
      </c>
      <c r="C108" s="11" t="s">
        <v>1293</v>
      </c>
      <c r="D108" s="11" t="s">
        <v>7</v>
      </c>
      <c r="E108" s="11" t="s">
        <v>8</v>
      </c>
      <c r="F108" s="12">
        <v>120</v>
      </c>
      <c r="G108" s="13">
        <v>237.60791667000001</v>
      </c>
      <c r="H108" s="14">
        <v>28512.95</v>
      </c>
      <c r="I108" s="12">
        <v>0</v>
      </c>
      <c r="J108" s="13"/>
      <c r="K108" s="14">
        <v>0</v>
      </c>
      <c r="L108" s="12">
        <v>0</v>
      </c>
      <c r="M108" s="13"/>
      <c r="N108" s="14">
        <v>0</v>
      </c>
      <c r="O108" s="12">
        <v>120</v>
      </c>
      <c r="P108" s="13">
        <v>237.60791667000001</v>
      </c>
      <c r="Q108" s="14">
        <v>28512.95</v>
      </c>
      <c r="R108" s="11" t="s">
        <v>2964</v>
      </c>
      <c r="S108" s="11" t="s">
        <v>2965</v>
      </c>
      <c r="T108" s="11" t="s">
        <v>2966</v>
      </c>
    </row>
    <row r="109" spans="1:20" ht="50.1" hidden="1" customHeight="1">
      <c r="A109" s="10">
        <v>108</v>
      </c>
      <c r="B109" s="11" t="s">
        <v>1294</v>
      </c>
      <c r="C109" s="11" t="s">
        <v>1295</v>
      </c>
      <c r="D109" s="11" t="s">
        <v>7</v>
      </c>
      <c r="E109" s="11" t="s">
        <v>8</v>
      </c>
      <c r="F109" s="12">
        <v>140</v>
      </c>
      <c r="G109" s="13">
        <v>762.85400000000004</v>
      </c>
      <c r="H109" s="14">
        <v>106799.56</v>
      </c>
      <c r="I109" s="12">
        <v>0</v>
      </c>
      <c r="J109" s="13"/>
      <c r="K109" s="14">
        <v>0</v>
      </c>
      <c r="L109" s="12">
        <v>0</v>
      </c>
      <c r="M109" s="13"/>
      <c r="N109" s="14">
        <v>0</v>
      </c>
      <c r="O109" s="12">
        <v>140</v>
      </c>
      <c r="P109" s="13">
        <v>762.85400000000004</v>
      </c>
      <c r="Q109" s="14">
        <v>106799.56</v>
      </c>
      <c r="R109" s="11" t="s">
        <v>2964</v>
      </c>
      <c r="S109" s="11" t="s">
        <v>2965</v>
      </c>
      <c r="T109" s="11" t="s">
        <v>2966</v>
      </c>
    </row>
    <row r="110" spans="1:20" ht="50.1" hidden="1" customHeight="1">
      <c r="A110" s="10">
        <v>109</v>
      </c>
      <c r="B110" s="11" t="s">
        <v>1984</v>
      </c>
      <c r="C110" s="11" t="s">
        <v>1985</v>
      </c>
      <c r="D110" s="11" t="s">
        <v>7</v>
      </c>
      <c r="E110" s="11" t="s">
        <v>8</v>
      </c>
      <c r="F110" s="12">
        <v>971.5</v>
      </c>
      <c r="G110" s="13">
        <v>620</v>
      </c>
      <c r="H110" s="14">
        <v>602330</v>
      </c>
      <c r="I110" s="12">
        <v>0</v>
      </c>
      <c r="J110" s="13"/>
      <c r="K110" s="14">
        <v>0</v>
      </c>
      <c r="L110" s="12">
        <v>0</v>
      </c>
      <c r="M110" s="13"/>
      <c r="N110" s="14">
        <v>0</v>
      </c>
      <c r="O110" s="12">
        <v>971.5</v>
      </c>
      <c r="P110" s="13">
        <v>620</v>
      </c>
      <c r="Q110" s="14">
        <v>602330</v>
      </c>
      <c r="R110" s="11" t="s">
        <v>2964</v>
      </c>
      <c r="S110" s="11" t="s">
        <v>2965</v>
      </c>
      <c r="T110" s="11" t="s">
        <v>2966</v>
      </c>
    </row>
    <row r="111" spans="1:20" ht="50.1" hidden="1" customHeight="1">
      <c r="A111" s="10">
        <v>110</v>
      </c>
      <c r="B111" s="11" t="s">
        <v>2341</v>
      </c>
      <c r="C111" s="11" t="s">
        <v>2342</v>
      </c>
      <c r="D111" s="11" t="s">
        <v>7</v>
      </c>
      <c r="E111" s="11" t="s">
        <v>8</v>
      </c>
      <c r="F111" s="12">
        <v>958.7</v>
      </c>
      <c r="G111" s="13">
        <v>203.96024825000001</v>
      </c>
      <c r="H111" s="14">
        <v>195536.69</v>
      </c>
      <c r="I111" s="12">
        <v>0</v>
      </c>
      <c r="J111" s="13"/>
      <c r="K111" s="14">
        <v>0</v>
      </c>
      <c r="L111" s="12">
        <v>50</v>
      </c>
      <c r="M111" s="13">
        <v>203.96039999999999</v>
      </c>
      <c r="N111" s="14">
        <v>10198.02</v>
      </c>
      <c r="O111" s="12">
        <v>908.7</v>
      </c>
      <c r="P111" s="13">
        <v>203.9602399</v>
      </c>
      <c r="Q111" s="14">
        <v>185338.67</v>
      </c>
      <c r="R111" s="11" t="s">
        <v>2964</v>
      </c>
      <c r="S111" s="11" t="s">
        <v>2965</v>
      </c>
      <c r="T111" s="11" t="s">
        <v>2966</v>
      </c>
    </row>
    <row r="112" spans="1:20" ht="50.1" hidden="1" customHeight="1">
      <c r="A112" s="10">
        <v>111</v>
      </c>
      <c r="B112" s="11" t="s">
        <v>2343</v>
      </c>
      <c r="C112" s="11" t="s">
        <v>2344</v>
      </c>
      <c r="D112" s="11" t="s">
        <v>7</v>
      </c>
      <c r="E112" s="11" t="s">
        <v>8</v>
      </c>
      <c r="F112" s="12">
        <v>1683.8</v>
      </c>
      <c r="G112" s="13">
        <v>449.15361682000002</v>
      </c>
      <c r="H112" s="14">
        <v>756284.86</v>
      </c>
      <c r="I112" s="12">
        <v>0</v>
      </c>
      <c r="J112" s="13"/>
      <c r="K112" s="14">
        <v>0</v>
      </c>
      <c r="L112" s="12">
        <v>0</v>
      </c>
      <c r="M112" s="13"/>
      <c r="N112" s="14">
        <v>0</v>
      </c>
      <c r="O112" s="12">
        <v>1683.8</v>
      </c>
      <c r="P112" s="13">
        <v>449.15361682000002</v>
      </c>
      <c r="Q112" s="14">
        <v>756284.86</v>
      </c>
      <c r="R112" s="11" t="s">
        <v>2964</v>
      </c>
      <c r="S112" s="11" t="s">
        <v>2965</v>
      </c>
      <c r="T112" s="11" t="s">
        <v>2966</v>
      </c>
    </row>
    <row r="113" spans="1:20" ht="50.1" hidden="1" customHeight="1">
      <c r="A113" s="10">
        <v>112</v>
      </c>
      <c r="B113" s="11" t="s">
        <v>2345</v>
      </c>
      <c r="C113" s="11" t="s">
        <v>2346</v>
      </c>
      <c r="D113" s="11" t="s">
        <v>7</v>
      </c>
      <c r="E113" s="11" t="s">
        <v>8</v>
      </c>
      <c r="F113" s="12">
        <v>484</v>
      </c>
      <c r="G113" s="13">
        <v>235</v>
      </c>
      <c r="H113" s="14">
        <v>113740</v>
      </c>
      <c r="I113" s="12">
        <v>0</v>
      </c>
      <c r="J113" s="13"/>
      <c r="K113" s="14">
        <v>0</v>
      </c>
      <c r="L113" s="12">
        <v>0</v>
      </c>
      <c r="M113" s="13"/>
      <c r="N113" s="14">
        <v>0</v>
      </c>
      <c r="O113" s="12">
        <v>484</v>
      </c>
      <c r="P113" s="13">
        <v>235</v>
      </c>
      <c r="Q113" s="14">
        <v>113740</v>
      </c>
      <c r="R113" s="11" t="s">
        <v>2964</v>
      </c>
      <c r="S113" s="11" t="s">
        <v>2965</v>
      </c>
      <c r="T113" s="11" t="s">
        <v>2966</v>
      </c>
    </row>
    <row r="114" spans="1:20" ht="50.1" hidden="1" customHeight="1">
      <c r="A114" s="10">
        <v>113</v>
      </c>
      <c r="B114" s="11" t="s">
        <v>1296</v>
      </c>
      <c r="C114" s="11" t="s">
        <v>2967</v>
      </c>
      <c r="D114" s="11" t="s">
        <v>7</v>
      </c>
      <c r="E114" s="11" t="s">
        <v>8</v>
      </c>
      <c r="F114" s="12">
        <v>284.5</v>
      </c>
      <c r="G114" s="13">
        <v>271.13086115999999</v>
      </c>
      <c r="H114" s="14">
        <v>77136.73</v>
      </c>
      <c r="I114" s="12">
        <v>0</v>
      </c>
      <c r="J114" s="13"/>
      <c r="K114" s="14">
        <v>0</v>
      </c>
      <c r="L114" s="12">
        <v>136</v>
      </c>
      <c r="M114" s="13">
        <v>271.13080882000003</v>
      </c>
      <c r="N114" s="14">
        <v>36873.79</v>
      </c>
      <c r="O114" s="12">
        <v>148.5</v>
      </c>
      <c r="P114" s="13">
        <v>271.13090908999999</v>
      </c>
      <c r="Q114" s="14">
        <v>40262.94</v>
      </c>
      <c r="R114" s="11" t="s">
        <v>2964</v>
      </c>
      <c r="S114" s="11" t="s">
        <v>2965</v>
      </c>
      <c r="T114" s="11" t="s">
        <v>2966</v>
      </c>
    </row>
    <row r="115" spans="1:20" ht="50.1" hidden="1" customHeight="1">
      <c r="A115" s="10">
        <v>114</v>
      </c>
      <c r="B115" s="11" t="s">
        <v>1297</v>
      </c>
      <c r="C115" s="11" t="s">
        <v>2968</v>
      </c>
      <c r="D115" s="11" t="s">
        <v>7</v>
      </c>
      <c r="E115" s="11" t="s">
        <v>8</v>
      </c>
      <c r="F115" s="12">
        <v>193</v>
      </c>
      <c r="G115" s="13">
        <v>681.11191710000003</v>
      </c>
      <c r="H115" s="14">
        <v>131454.6</v>
      </c>
      <c r="I115" s="12">
        <v>0</v>
      </c>
      <c r="J115" s="13"/>
      <c r="K115" s="14">
        <v>0</v>
      </c>
      <c r="L115" s="12">
        <v>68</v>
      </c>
      <c r="M115" s="13">
        <v>681.11191176</v>
      </c>
      <c r="N115" s="14">
        <v>46315.61</v>
      </c>
      <c r="O115" s="12">
        <v>125</v>
      </c>
      <c r="P115" s="13">
        <v>681.11192000000005</v>
      </c>
      <c r="Q115" s="14">
        <v>85138.99</v>
      </c>
      <c r="R115" s="11" t="s">
        <v>2964</v>
      </c>
      <c r="S115" s="11" t="s">
        <v>2965</v>
      </c>
      <c r="T115" s="11" t="s">
        <v>2966</v>
      </c>
    </row>
    <row r="116" spans="1:20" ht="50.1" hidden="1" customHeight="1">
      <c r="A116" s="10">
        <v>115</v>
      </c>
      <c r="B116" s="11" t="s">
        <v>1298</v>
      </c>
      <c r="C116" s="11" t="s">
        <v>1299</v>
      </c>
      <c r="D116" s="11" t="s">
        <v>7</v>
      </c>
      <c r="E116" s="11" t="s">
        <v>8</v>
      </c>
      <c r="F116" s="12">
        <v>450</v>
      </c>
      <c r="G116" s="13">
        <v>272.04562221999998</v>
      </c>
      <c r="H116" s="14">
        <v>122420.53</v>
      </c>
      <c r="I116" s="12">
        <v>0</v>
      </c>
      <c r="J116" s="13"/>
      <c r="K116" s="14">
        <v>0</v>
      </c>
      <c r="L116" s="12">
        <v>0</v>
      </c>
      <c r="M116" s="13"/>
      <c r="N116" s="14">
        <v>0</v>
      </c>
      <c r="O116" s="12">
        <v>450</v>
      </c>
      <c r="P116" s="13">
        <v>272.04562221999998</v>
      </c>
      <c r="Q116" s="14">
        <v>122420.53</v>
      </c>
      <c r="R116" s="11" t="s">
        <v>2964</v>
      </c>
      <c r="S116" s="11" t="s">
        <v>2965</v>
      </c>
      <c r="T116" s="11" t="s">
        <v>2966</v>
      </c>
    </row>
    <row r="117" spans="1:20" ht="50.1" hidden="1" customHeight="1">
      <c r="A117" s="10">
        <v>116</v>
      </c>
      <c r="B117" s="11" t="s">
        <v>1300</v>
      </c>
      <c r="C117" s="11" t="s">
        <v>1301</v>
      </c>
      <c r="D117" s="11" t="s">
        <v>7</v>
      </c>
      <c r="E117" s="11" t="s">
        <v>8</v>
      </c>
      <c r="F117" s="12">
        <v>156</v>
      </c>
      <c r="G117" s="13">
        <v>760.37769231000004</v>
      </c>
      <c r="H117" s="14">
        <v>118618.92</v>
      </c>
      <c r="I117" s="12">
        <v>0</v>
      </c>
      <c r="J117" s="13"/>
      <c r="K117" s="14">
        <v>0</v>
      </c>
      <c r="L117" s="12">
        <v>0</v>
      </c>
      <c r="M117" s="13"/>
      <c r="N117" s="14">
        <v>0</v>
      </c>
      <c r="O117" s="12">
        <v>156</v>
      </c>
      <c r="P117" s="13">
        <v>760.37769231000004</v>
      </c>
      <c r="Q117" s="14">
        <v>118618.92</v>
      </c>
      <c r="R117" s="11" t="s">
        <v>2964</v>
      </c>
      <c r="S117" s="11" t="s">
        <v>2965</v>
      </c>
      <c r="T117" s="11" t="s">
        <v>2966</v>
      </c>
    </row>
    <row r="118" spans="1:20" ht="50.1" hidden="1" customHeight="1">
      <c r="A118" s="10">
        <v>117</v>
      </c>
      <c r="B118" s="11" t="s">
        <v>2347</v>
      </c>
      <c r="C118" s="11" t="s">
        <v>2348</v>
      </c>
      <c r="D118" s="11" t="s">
        <v>7</v>
      </c>
      <c r="E118" s="11" t="s">
        <v>8</v>
      </c>
      <c r="F118" s="12">
        <v>585.9</v>
      </c>
      <c r="G118" s="13">
        <v>680.23517664999997</v>
      </c>
      <c r="H118" s="14">
        <v>398549.79</v>
      </c>
      <c r="I118" s="12">
        <v>0</v>
      </c>
      <c r="J118" s="13"/>
      <c r="K118" s="14">
        <v>0</v>
      </c>
      <c r="L118" s="12">
        <v>35</v>
      </c>
      <c r="M118" s="13">
        <v>680.23514286</v>
      </c>
      <c r="N118" s="14">
        <v>23808.23</v>
      </c>
      <c r="O118" s="12">
        <v>550.9</v>
      </c>
      <c r="P118" s="13">
        <v>680.23517879999997</v>
      </c>
      <c r="Q118" s="14">
        <v>374741.56</v>
      </c>
      <c r="R118" s="11" t="s">
        <v>2964</v>
      </c>
      <c r="S118" s="11" t="s">
        <v>2965</v>
      </c>
      <c r="T118" s="11" t="s">
        <v>2966</v>
      </c>
    </row>
    <row r="119" spans="1:20" ht="50.1" hidden="1" customHeight="1">
      <c r="A119" s="10">
        <v>118</v>
      </c>
      <c r="B119" s="11" t="s">
        <v>2139</v>
      </c>
      <c r="C119" s="11" t="s">
        <v>2969</v>
      </c>
      <c r="D119" s="11" t="s">
        <v>7</v>
      </c>
      <c r="E119" s="11" t="s">
        <v>8</v>
      </c>
      <c r="F119" s="12">
        <v>965</v>
      </c>
      <c r="G119" s="13">
        <v>214.74355439999999</v>
      </c>
      <c r="H119" s="14">
        <v>207227.53</v>
      </c>
      <c r="I119" s="12">
        <v>0</v>
      </c>
      <c r="J119" s="13"/>
      <c r="K119" s="14">
        <v>0</v>
      </c>
      <c r="L119" s="12">
        <v>0</v>
      </c>
      <c r="M119" s="13"/>
      <c r="N119" s="14">
        <v>0</v>
      </c>
      <c r="O119" s="12">
        <v>965</v>
      </c>
      <c r="P119" s="13">
        <v>214.74355439999999</v>
      </c>
      <c r="Q119" s="14">
        <v>207227.53</v>
      </c>
      <c r="R119" s="11" t="s">
        <v>2964</v>
      </c>
      <c r="S119" s="11" t="s">
        <v>2965</v>
      </c>
      <c r="T119" s="11" t="s">
        <v>2966</v>
      </c>
    </row>
    <row r="120" spans="1:20" ht="50.1" hidden="1" customHeight="1">
      <c r="A120" s="10">
        <v>119</v>
      </c>
      <c r="B120" s="11" t="s">
        <v>2349</v>
      </c>
      <c r="C120" s="11" t="s">
        <v>2350</v>
      </c>
      <c r="D120" s="11" t="s">
        <v>7</v>
      </c>
      <c r="E120" s="11" t="s">
        <v>8</v>
      </c>
      <c r="F120" s="12">
        <v>1425.2</v>
      </c>
      <c r="G120" s="13">
        <v>445.40965478999999</v>
      </c>
      <c r="H120" s="14">
        <v>634797.84</v>
      </c>
      <c r="I120" s="12">
        <v>0</v>
      </c>
      <c r="J120" s="13"/>
      <c r="K120" s="14">
        <v>0</v>
      </c>
      <c r="L120" s="12">
        <v>0</v>
      </c>
      <c r="M120" s="13"/>
      <c r="N120" s="14">
        <v>0</v>
      </c>
      <c r="O120" s="12">
        <v>1425.2</v>
      </c>
      <c r="P120" s="13">
        <v>445.40965478999999</v>
      </c>
      <c r="Q120" s="14">
        <v>634797.84</v>
      </c>
      <c r="R120" s="11" t="s">
        <v>2964</v>
      </c>
      <c r="S120" s="11" t="s">
        <v>2965</v>
      </c>
      <c r="T120" s="11" t="s">
        <v>2966</v>
      </c>
    </row>
    <row r="121" spans="1:20" ht="50.1" hidden="1" customHeight="1">
      <c r="A121" s="10">
        <v>120</v>
      </c>
      <c r="B121" s="11" t="s">
        <v>2478</v>
      </c>
      <c r="C121" s="11" t="s">
        <v>2479</v>
      </c>
      <c r="D121" s="11" t="s">
        <v>7</v>
      </c>
      <c r="E121" s="11" t="s">
        <v>8</v>
      </c>
      <c r="F121" s="12">
        <v>1029</v>
      </c>
      <c r="G121" s="13">
        <v>68</v>
      </c>
      <c r="H121" s="14">
        <v>69972</v>
      </c>
      <c r="I121" s="12">
        <v>1244</v>
      </c>
      <c r="J121" s="13">
        <v>68</v>
      </c>
      <c r="K121" s="14">
        <v>84592</v>
      </c>
      <c r="L121" s="12">
        <v>1102.8</v>
      </c>
      <c r="M121" s="13">
        <v>68</v>
      </c>
      <c r="N121" s="14">
        <v>74990.399999999994</v>
      </c>
      <c r="O121" s="12">
        <v>1170.2</v>
      </c>
      <c r="P121" s="13">
        <v>68</v>
      </c>
      <c r="Q121" s="14">
        <v>79573.600000000006</v>
      </c>
      <c r="R121" s="11" t="s">
        <v>2964</v>
      </c>
      <c r="S121" s="11" t="s">
        <v>2965</v>
      </c>
      <c r="T121" s="11" t="s">
        <v>2966</v>
      </c>
    </row>
    <row r="122" spans="1:20" ht="50.1" hidden="1" customHeight="1">
      <c r="A122" s="10">
        <v>121</v>
      </c>
      <c r="B122" s="11" t="s">
        <v>2480</v>
      </c>
      <c r="C122" s="11" t="s">
        <v>2481</v>
      </c>
      <c r="D122" s="11" t="s">
        <v>7</v>
      </c>
      <c r="E122" s="11" t="s">
        <v>8</v>
      </c>
      <c r="F122" s="12">
        <v>1343</v>
      </c>
      <c r="G122" s="13">
        <v>68</v>
      </c>
      <c r="H122" s="14">
        <v>91324</v>
      </c>
      <c r="I122" s="12">
        <v>657.5</v>
      </c>
      <c r="J122" s="13">
        <v>68</v>
      </c>
      <c r="K122" s="14">
        <v>44710</v>
      </c>
      <c r="L122" s="12">
        <v>107.5</v>
      </c>
      <c r="M122" s="13">
        <v>68</v>
      </c>
      <c r="N122" s="14">
        <v>7310</v>
      </c>
      <c r="O122" s="12">
        <v>1893</v>
      </c>
      <c r="P122" s="13">
        <v>68</v>
      </c>
      <c r="Q122" s="14">
        <v>128724</v>
      </c>
      <c r="R122" s="11" t="s">
        <v>2964</v>
      </c>
      <c r="S122" s="11" t="s">
        <v>2965</v>
      </c>
      <c r="T122" s="11" t="s">
        <v>2966</v>
      </c>
    </row>
    <row r="123" spans="1:20" ht="50.1" hidden="1" customHeight="1">
      <c r="A123" s="10">
        <v>122</v>
      </c>
      <c r="B123" s="11" t="s">
        <v>2141</v>
      </c>
      <c r="C123" s="11" t="s">
        <v>2142</v>
      </c>
      <c r="D123" s="11" t="s">
        <v>7</v>
      </c>
      <c r="E123" s="11" t="s">
        <v>8</v>
      </c>
      <c r="F123" s="12">
        <v>1684</v>
      </c>
      <c r="G123" s="13">
        <v>105</v>
      </c>
      <c r="H123" s="14">
        <v>176820</v>
      </c>
      <c r="I123" s="12">
        <v>0</v>
      </c>
      <c r="J123" s="13"/>
      <c r="K123" s="14">
        <v>0</v>
      </c>
      <c r="L123" s="12">
        <v>450</v>
      </c>
      <c r="M123" s="13">
        <v>105</v>
      </c>
      <c r="N123" s="14">
        <v>47250</v>
      </c>
      <c r="O123" s="12">
        <v>1234</v>
      </c>
      <c r="P123" s="13">
        <v>105</v>
      </c>
      <c r="Q123" s="14">
        <v>129570</v>
      </c>
      <c r="R123" s="11" t="s">
        <v>2964</v>
      </c>
      <c r="S123" s="11" t="s">
        <v>2965</v>
      </c>
      <c r="T123" s="11" t="s">
        <v>2966</v>
      </c>
    </row>
    <row r="124" spans="1:20" ht="50.1" hidden="1" customHeight="1">
      <c r="A124" s="10">
        <v>123</v>
      </c>
      <c r="B124" s="11" t="s">
        <v>1986</v>
      </c>
      <c r="C124" s="11" t="s">
        <v>1987</v>
      </c>
      <c r="D124" s="11" t="s">
        <v>7</v>
      </c>
      <c r="E124" s="11" t="s">
        <v>8</v>
      </c>
      <c r="F124" s="12">
        <v>1389.2</v>
      </c>
      <c r="G124" s="13">
        <v>234.49994240999999</v>
      </c>
      <c r="H124" s="14">
        <v>325767.32</v>
      </c>
      <c r="I124" s="12">
        <v>0</v>
      </c>
      <c r="J124" s="13"/>
      <c r="K124" s="14">
        <v>0</v>
      </c>
      <c r="L124" s="12">
        <v>0</v>
      </c>
      <c r="M124" s="13"/>
      <c r="N124" s="14">
        <v>0</v>
      </c>
      <c r="O124" s="12">
        <v>1389.2</v>
      </c>
      <c r="P124" s="13">
        <v>234.49994240999999</v>
      </c>
      <c r="Q124" s="14">
        <v>325767.32</v>
      </c>
      <c r="R124" s="11" t="s">
        <v>2964</v>
      </c>
      <c r="S124" s="11" t="s">
        <v>2965</v>
      </c>
      <c r="T124" s="11" t="s">
        <v>2961</v>
      </c>
    </row>
    <row r="125" spans="1:20" ht="50.1" hidden="1" customHeight="1">
      <c r="A125" s="10">
        <v>124</v>
      </c>
      <c r="B125" s="11" t="s">
        <v>1302</v>
      </c>
      <c r="C125" s="11" t="s">
        <v>1303</v>
      </c>
      <c r="D125" s="11" t="s">
        <v>20</v>
      </c>
      <c r="E125" s="11" t="s">
        <v>8</v>
      </c>
      <c r="F125" s="12">
        <v>56.4</v>
      </c>
      <c r="G125" s="13">
        <v>380</v>
      </c>
      <c r="H125" s="14">
        <v>21432</v>
      </c>
      <c r="I125" s="12">
        <v>0</v>
      </c>
      <c r="J125" s="13"/>
      <c r="K125" s="14">
        <v>0</v>
      </c>
      <c r="L125" s="12">
        <v>0</v>
      </c>
      <c r="M125" s="13"/>
      <c r="N125" s="14">
        <v>0</v>
      </c>
      <c r="O125" s="12">
        <v>56.4</v>
      </c>
      <c r="P125" s="13">
        <v>380</v>
      </c>
      <c r="Q125" s="14">
        <v>21432</v>
      </c>
      <c r="R125" s="11" t="s">
        <v>2964</v>
      </c>
      <c r="S125" s="11" t="s">
        <v>2965</v>
      </c>
      <c r="T125" s="11" t="s">
        <v>2966</v>
      </c>
    </row>
    <row r="126" spans="1:20" ht="50.1" hidden="1" customHeight="1">
      <c r="A126" s="10">
        <v>125</v>
      </c>
      <c r="B126" s="11" t="s">
        <v>1304</v>
      </c>
      <c r="C126" s="11" t="s">
        <v>1305</v>
      </c>
      <c r="D126" s="11" t="s">
        <v>7</v>
      </c>
      <c r="E126" s="11" t="s">
        <v>8</v>
      </c>
      <c r="F126" s="12">
        <v>512.1</v>
      </c>
      <c r="G126" s="13">
        <v>170</v>
      </c>
      <c r="H126" s="14">
        <v>87057</v>
      </c>
      <c r="I126" s="12">
        <v>1228</v>
      </c>
      <c r="J126" s="13">
        <v>170</v>
      </c>
      <c r="K126" s="14">
        <v>208760</v>
      </c>
      <c r="L126" s="12">
        <v>44.7</v>
      </c>
      <c r="M126" s="13">
        <v>170</v>
      </c>
      <c r="N126" s="14">
        <v>7599</v>
      </c>
      <c r="O126" s="12">
        <v>1695.4</v>
      </c>
      <c r="P126" s="13">
        <v>170</v>
      </c>
      <c r="Q126" s="14">
        <v>288218</v>
      </c>
      <c r="R126" s="11" t="s">
        <v>2964</v>
      </c>
      <c r="S126" s="11" t="s">
        <v>2965</v>
      </c>
      <c r="T126" s="11" t="s">
        <v>2966</v>
      </c>
    </row>
    <row r="127" spans="1:20" ht="50.1" hidden="1" customHeight="1">
      <c r="A127" s="10">
        <v>126</v>
      </c>
      <c r="B127" s="11" t="s">
        <v>1308</v>
      </c>
      <c r="C127" s="11" t="s">
        <v>1309</v>
      </c>
      <c r="D127" s="11" t="s">
        <v>7</v>
      </c>
      <c r="E127" s="11" t="s">
        <v>8</v>
      </c>
      <c r="F127" s="12">
        <v>785.1</v>
      </c>
      <c r="G127" s="13">
        <v>165</v>
      </c>
      <c r="H127" s="14">
        <v>129541.5</v>
      </c>
      <c r="I127" s="12">
        <v>0</v>
      </c>
      <c r="J127" s="13"/>
      <c r="K127" s="14">
        <v>0</v>
      </c>
      <c r="L127" s="12">
        <v>270.39999999999998</v>
      </c>
      <c r="M127" s="13">
        <v>165</v>
      </c>
      <c r="N127" s="14">
        <v>44616</v>
      </c>
      <c r="O127" s="12">
        <v>514.70000000000005</v>
      </c>
      <c r="P127" s="13">
        <v>165</v>
      </c>
      <c r="Q127" s="14">
        <v>84925.5</v>
      </c>
      <c r="R127" s="11" t="s">
        <v>2964</v>
      </c>
      <c r="S127" s="11" t="s">
        <v>2965</v>
      </c>
      <c r="T127" s="11" t="s">
        <v>2966</v>
      </c>
    </row>
    <row r="128" spans="1:20" ht="50.1" hidden="1" customHeight="1">
      <c r="A128" s="10">
        <v>127</v>
      </c>
      <c r="B128" s="11" t="s">
        <v>1310</v>
      </c>
      <c r="C128" s="11" t="s">
        <v>1311</v>
      </c>
      <c r="D128" s="11" t="s">
        <v>7</v>
      </c>
      <c r="E128" s="11" t="s">
        <v>8</v>
      </c>
      <c r="F128" s="12">
        <v>178.3</v>
      </c>
      <c r="G128" s="13">
        <v>178.00612283000001</v>
      </c>
      <c r="H128" s="14">
        <v>31738.491699999999</v>
      </c>
      <c r="I128" s="12">
        <v>0</v>
      </c>
      <c r="J128" s="13"/>
      <c r="K128" s="14">
        <v>0</v>
      </c>
      <c r="L128" s="12">
        <v>49.4</v>
      </c>
      <c r="M128" s="13">
        <v>178.00607287</v>
      </c>
      <c r="N128" s="14">
        <v>8793.5</v>
      </c>
      <c r="O128" s="12">
        <v>128.9</v>
      </c>
      <c r="P128" s="13">
        <v>178.00614196999999</v>
      </c>
      <c r="Q128" s="14">
        <v>22944.991699999999</v>
      </c>
      <c r="R128" s="11" t="s">
        <v>2964</v>
      </c>
      <c r="S128" s="11" t="s">
        <v>2965</v>
      </c>
      <c r="T128" s="11" t="s">
        <v>2966</v>
      </c>
    </row>
    <row r="129" spans="1:20" ht="50.1" hidden="1" customHeight="1">
      <c r="A129" s="10">
        <v>128</v>
      </c>
      <c r="B129" s="11" t="s">
        <v>1312</v>
      </c>
      <c r="C129" s="11" t="s">
        <v>1313</v>
      </c>
      <c r="D129" s="11" t="s">
        <v>7</v>
      </c>
      <c r="E129" s="11" t="s">
        <v>8</v>
      </c>
      <c r="F129" s="12">
        <v>128.1</v>
      </c>
      <c r="G129" s="13">
        <v>178.00620921000001</v>
      </c>
      <c r="H129" s="14">
        <v>22802.595399999998</v>
      </c>
      <c r="I129" s="12">
        <v>204.9</v>
      </c>
      <c r="J129" s="13">
        <v>235</v>
      </c>
      <c r="K129" s="14">
        <v>48151.5</v>
      </c>
      <c r="L129" s="12">
        <v>121.5</v>
      </c>
      <c r="M129" s="13">
        <v>213.07539095000001</v>
      </c>
      <c r="N129" s="14">
        <v>25888.66</v>
      </c>
      <c r="O129" s="12">
        <v>211.5</v>
      </c>
      <c r="P129" s="13">
        <v>213.07534468</v>
      </c>
      <c r="Q129" s="14">
        <v>45065.435400000002</v>
      </c>
      <c r="R129" s="11" t="s">
        <v>2964</v>
      </c>
      <c r="S129" s="11" t="s">
        <v>2965</v>
      </c>
      <c r="T129" s="11" t="s">
        <v>2966</v>
      </c>
    </row>
    <row r="130" spans="1:20" ht="50.1" hidden="1" customHeight="1">
      <c r="A130" s="10">
        <v>129</v>
      </c>
      <c r="B130" s="11" t="s">
        <v>1314</v>
      </c>
      <c r="C130" s="11" t="s">
        <v>1315</v>
      </c>
      <c r="D130" s="11" t="s">
        <v>7</v>
      </c>
      <c r="E130" s="11" t="s">
        <v>8</v>
      </c>
      <c r="F130" s="12">
        <v>175</v>
      </c>
      <c r="G130" s="13">
        <v>341.17971428999999</v>
      </c>
      <c r="H130" s="14">
        <v>59706.45</v>
      </c>
      <c r="I130" s="12">
        <v>0</v>
      </c>
      <c r="J130" s="13"/>
      <c r="K130" s="14">
        <v>0</v>
      </c>
      <c r="L130" s="12">
        <v>51</v>
      </c>
      <c r="M130" s="13">
        <v>341.17960784000002</v>
      </c>
      <c r="N130" s="14">
        <v>17400.16</v>
      </c>
      <c r="O130" s="12">
        <v>124</v>
      </c>
      <c r="P130" s="13">
        <v>341.17975805999998</v>
      </c>
      <c r="Q130" s="14">
        <v>42306.29</v>
      </c>
      <c r="R130" s="11" t="s">
        <v>2964</v>
      </c>
      <c r="S130" s="11" t="s">
        <v>2965</v>
      </c>
      <c r="T130" s="11" t="s">
        <v>2966</v>
      </c>
    </row>
    <row r="131" spans="1:20" ht="50.1" hidden="1" customHeight="1">
      <c r="A131" s="10">
        <v>130</v>
      </c>
      <c r="B131" s="11" t="s">
        <v>1316</v>
      </c>
      <c r="C131" s="11" t="s">
        <v>1317</v>
      </c>
      <c r="D131" s="11" t="s">
        <v>7</v>
      </c>
      <c r="E131" s="11" t="s">
        <v>8</v>
      </c>
      <c r="F131" s="12">
        <v>261.5</v>
      </c>
      <c r="G131" s="13">
        <v>276.25281071000001</v>
      </c>
      <c r="H131" s="14">
        <v>72240.11</v>
      </c>
      <c r="I131" s="12">
        <v>0</v>
      </c>
      <c r="J131" s="13"/>
      <c r="K131" s="14">
        <v>0</v>
      </c>
      <c r="L131" s="12">
        <v>0</v>
      </c>
      <c r="M131" s="13"/>
      <c r="N131" s="14">
        <v>0</v>
      </c>
      <c r="O131" s="12">
        <v>261.5</v>
      </c>
      <c r="P131" s="13">
        <v>276.25281071000001</v>
      </c>
      <c r="Q131" s="14">
        <v>72240.11</v>
      </c>
      <c r="R131" s="11" t="s">
        <v>2964</v>
      </c>
      <c r="S131" s="11" t="s">
        <v>2965</v>
      </c>
      <c r="T131" s="11" t="s">
        <v>2966</v>
      </c>
    </row>
    <row r="132" spans="1:20" ht="50.1" hidden="1" customHeight="1">
      <c r="A132" s="10">
        <v>131</v>
      </c>
      <c r="B132" s="11" t="s">
        <v>1318</v>
      </c>
      <c r="C132" s="11" t="s">
        <v>1319</v>
      </c>
      <c r="D132" s="11" t="s">
        <v>7</v>
      </c>
      <c r="E132" s="11" t="s">
        <v>8</v>
      </c>
      <c r="F132" s="12">
        <v>2513</v>
      </c>
      <c r="G132" s="13">
        <v>59.345411859999999</v>
      </c>
      <c r="H132" s="14">
        <v>149135.01999999999</v>
      </c>
      <c r="I132" s="12">
        <v>0</v>
      </c>
      <c r="J132" s="13"/>
      <c r="K132" s="14">
        <v>0</v>
      </c>
      <c r="L132" s="12">
        <v>200</v>
      </c>
      <c r="M132" s="13">
        <v>59.345399999999998</v>
      </c>
      <c r="N132" s="14">
        <v>11869.08</v>
      </c>
      <c r="O132" s="12">
        <v>2313</v>
      </c>
      <c r="P132" s="13">
        <v>59.345412879999998</v>
      </c>
      <c r="Q132" s="14">
        <v>137265.94</v>
      </c>
      <c r="R132" s="11" t="s">
        <v>2964</v>
      </c>
      <c r="S132" s="11" t="s">
        <v>2965</v>
      </c>
      <c r="T132" s="11" t="s">
        <v>2966</v>
      </c>
    </row>
    <row r="133" spans="1:20" ht="50.1" hidden="1" customHeight="1">
      <c r="A133" s="10">
        <v>132</v>
      </c>
      <c r="B133" s="11" t="s">
        <v>1322</v>
      </c>
      <c r="C133" s="11" t="s">
        <v>1323</v>
      </c>
      <c r="D133" s="11" t="s">
        <v>7</v>
      </c>
      <c r="E133" s="11" t="s">
        <v>8</v>
      </c>
      <c r="F133" s="12">
        <v>736.4</v>
      </c>
      <c r="G133" s="13">
        <v>106.06334871999999</v>
      </c>
      <c r="H133" s="14">
        <v>78105.05</v>
      </c>
      <c r="I133" s="12">
        <v>625</v>
      </c>
      <c r="J133" s="13">
        <v>106.06329599999999</v>
      </c>
      <c r="K133" s="14">
        <v>66289.56</v>
      </c>
      <c r="L133" s="12">
        <v>850.9</v>
      </c>
      <c r="M133" s="13">
        <v>106.06334468999999</v>
      </c>
      <c r="N133" s="14">
        <v>90249.3</v>
      </c>
      <c r="O133" s="12">
        <v>510.5</v>
      </c>
      <c r="P133" s="13">
        <v>106.06329089</v>
      </c>
      <c r="Q133" s="14">
        <v>54145.31</v>
      </c>
      <c r="R133" s="11" t="s">
        <v>2964</v>
      </c>
      <c r="S133" s="11" t="s">
        <v>2965</v>
      </c>
      <c r="T133" s="11" t="s">
        <v>2966</v>
      </c>
    </row>
    <row r="134" spans="1:20" ht="50.1" hidden="1" customHeight="1">
      <c r="A134" s="10">
        <v>133</v>
      </c>
      <c r="B134" s="11" t="s">
        <v>3649</v>
      </c>
      <c r="C134" s="11" t="s">
        <v>3650</v>
      </c>
      <c r="D134" s="11" t="s">
        <v>7</v>
      </c>
      <c r="E134" s="11" t="s">
        <v>8</v>
      </c>
      <c r="F134" s="12">
        <v>0</v>
      </c>
      <c r="G134" s="13"/>
      <c r="H134" s="14">
        <v>0</v>
      </c>
      <c r="I134" s="12">
        <v>1897.5</v>
      </c>
      <c r="J134" s="13">
        <v>81.108105399999999</v>
      </c>
      <c r="K134" s="14">
        <v>153902.63</v>
      </c>
      <c r="L134" s="12">
        <v>616.75</v>
      </c>
      <c r="M134" s="13">
        <v>81.108098909999995</v>
      </c>
      <c r="N134" s="14">
        <v>50023.42</v>
      </c>
      <c r="O134" s="12">
        <v>1280.75</v>
      </c>
      <c r="P134" s="13">
        <v>81.108108529999996</v>
      </c>
      <c r="Q134" s="14">
        <v>103879.21</v>
      </c>
      <c r="R134" s="11" t="s">
        <v>2964</v>
      </c>
      <c r="S134" s="11" t="s">
        <v>2965</v>
      </c>
      <c r="T134" s="11" t="s">
        <v>2966</v>
      </c>
    </row>
    <row r="135" spans="1:20" ht="50.1" hidden="1" customHeight="1">
      <c r="A135" s="10">
        <v>134</v>
      </c>
      <c r="B135" s="11" t="s">
        <v>1326</v>
      </c>
      <c r="C135" s="11" t="s">
        <v>1327</v>
      </c>
      <c r="D135" s="11" t="s">
        <v>7</v>
      </c>
      <c r="E135" s="11" t="s">
        <v>8</v>
      </c>
      <c r="F135" s="12">
        <v>4957.8</v>
      </c>
      <c r="G135" s="13">
        <v>123.82993868</v>
      </c>
      <c r="H135" s="14">
        <v>613924.06999999995</v>
      </c>
      <c r="I135" s="12">
        <v>8197.7999999999993</v>
      </c>
      <c r="J135" s="13">
        <v>122.09434238</v>
      </c>
      <c r="K135" s="14">
        <v>1000905</v>
      </c>
      <c r="L135" s="12">
        <v>9796.6</v>
      </c>
      <c r="M135" s="13">
        <v>122.32733806</v>
      </c>
      <c r="N135" s="14">
        <v>1198392</v>
      </c>
      <c r="O135" s="12">
        <v>3359</v>
      </c>
      <c r="P135" s="13">
        <v>123.97650194000001</v>
      </c>
      <c r="Q135" s="14">
        <v>416437.07</v>
      </c>
      <c r="R135" s="11" t="s">
        <v>2964</v>
      </c>
      <c r="S135" s="11" t="s">
        <v>2965</v>
      </c>
      <c r="T135" s="11" t="s">
        <v>2966</v>
      </c>
    </row>
    <row r="136" spans="1:20" ht="50.1" hidden="1" customHeight="1">
      <c r="A136" s="10">
        <v>135</v>
      </c>
      <c r="B136" s="11" t="s">
        <v>1328</v>
      </c>
      <c r="C136" s="11" t="s">
        <v>1329</v>
      </c>
      <c r="D136" s="11" t="s">
        <v>7</v>
      </c>
      <c r="E136" s="11" t="s">
        <v>8</v>
      </c>
      <c r="F136" s="12">
        <v>109</v>
      </c>
      <c r="G136" s="13">
        <v>130</v>
      </c>
      <c r="H136" s="14">
        <v>14170</v>
      </c>
      <c r="I136" s="12">
        <v>0</v>
      </c>
      <c r="J136" s="13"/>
      <c r="K136" s="14">
        <v>0</v>
      </c>
      <c r="L136" s="12">
        <v>29</v>
      </c>
      <c r="M136" s="13">
        <v>130</v>
      </c>
      <c r="N136" s="14">
        <v>3770</v>
      </c>
      <c r="O136" s="12">
        <v>80</v>
      </c>
      <c r="P136" s="13">
        <v>130</v>
      </c>
      <c r="Q136" s="14">
        <v>10400</v>
      </c>
      <c r="R136" s="11" t="s">
        <v>2964</v>
      </c>
      <c r="S136" s="11" t="s">
        <v>2965</v>
      </c>
      <c r="T136" s="11" t="s">
        <v>2966</v>
      </c>
    </row>
    <row r="137" spans="1:20" ht="50.1" hidden="1" customHeight="1">
      <c r="A137" s="10">
        <v>136</v>
      </c>
      <c r="B137" s="11" t="s">
        <v>1330</v>
      </c>
      <c r="C137" s="11" t="s">
        <v>1331</v>
      </c>
      <c r="D137" s="11" t="s">
        <v>7</v>
      </c>
      <c r="E137" s="11" t="s">
        <v>8</v>
      </c>
      <c r="F137" s="12">
        <v>4180</v>
      </c>
      <c r="G137" s="13">
        <v>122.65465311</v>
      </c>
      <c r="H137" s="14">
        <v>512696.45</v>
      </c>
      <c r="I137" s="12">
        <v>0</v>
      </c>
      <c r="J137" s="13"/>
      <c r="K137" s="14">
        <v>0</v>
      </c>
      <c r="L137" s="12">
        <v>221</v>
      </c>
      <c r="M137" s="13">
        <v>122.65466063</v>
      </c>
      <c r="N137" s="14">
        <v>27106.68</v>
      </c>
      <c r="O137" s="12">
        <v>3959</v>
      </c>
      <c r="P137" s="13">
        <v>122.65465269000001</v>
      </c>
      <c r="Q137" s="14">
        <v>485589.77</v>
      </c>
      <c r="R137" s="11" t="s">
        <v>2964</v>
      </c>
      <c r="S137" s="11" t="s">
        <v>2965</v>
      </c>
      <c r="T137" s="11" t="s">
        <v>2966</v>
      </c>
    </row>
    <row r="138" spans="1:20" ht="50.1" hidden="1" customHeight="1">
      <c r="A138" s="10">
        <v>137</v>
      </c>
      <c r="B138" s="11" t="s">
        <v>1332</v>
      </c>
      <c r="C138" s="11" t="s">
        <v>1333</v>
      </c>
      <c r="D138" s="11" t="s">
        <v>7</v>
      </c>
      <c r="E138" s="11" t="s">
        <v>8</v>
      </c>
      <c r="F138" s="12">
        <v>168.5</v>
      </c>
      <c r="G138" s="13">
        <v>247.01858100999999</v>
      </c>
      <c r="H138" s="14">
        <v>41622.630899999996</v>
      </c>
      <c r="I138" s="12">
        <v>0</v>
      </c>
      <c r="J138" s="13"/>
      <c r="K138" s="14">
        <v>0</v>
      </c>
      <c r="L138" s="12">
        <v>59.5</v>
      </c>
      <c r="M138" s="13">
        <v>247.01865545999999</v>
      </c>
      <c r="N138" s="14">
        <v>14697.61</v>
      </c>
      <c r="O138" s="12">
        <v>109</v>
      </c>
      <c r="P138" s="13">
        <v>247.01854037000001</v>
      </c>
      <c r="Q138" s="14">
        <v>26925.0209</v>
      </c>
      <c r="R138" s="11" t="s">
        <v>2964</v>
      </c>
      <c r="S138" s="11" t="s">
        <v>2965</v>
      </c>
      <c r="T138" s="11" t="s">
        <v>2966</v>
      </c>
    </row>
    <row r="139" spans="1:20" ht="50.1" hidden="1" customHeight="1">
      <c r="A139" s="10">
        <v>138</v>
      </c>
      <c r="B139" s="11" t="s">
        <v>1334</v>
      </c>
      <c r="C139" s="11" t="s">
        <v>1335</v>
      </c>
      <c r="D139" s="11" t="s">
        <v>7</v>
      </c>
      <c r="E139" s="11" t="s">
        <v>8</v>
      </c>
      <c r="F139" s="12">
        <v>368.8</v>
      </c>
      <c r="G139" s="13">
        <v>248.19790347</v>
      </c>
      <c r="H139" s="14">
        <v>91535.386799999993</v>
      </c>
      <c r="I139" s="12">
        <v>0</v>
      </c>
      <c r="J139" s="13"/>
      <c r="K139" s="14">
        <v>0</v>
      </c>
      <c r="L139" s="12">
        <v>0</v>
      </c>
      <c r="M139" s="13"/>
      <c r="N139" s="14">
        <v>0</v>
      </c>
      <c r="O139" s="12">
        <v>368.8</v>
      </c>
      <c r="P139" s="13">
        <v>248.19790347</v>
      </c>
      <c r="Q139" s="14">
        <v>91535.386799999993</v>
      </c>
      <c r="R139" s="11" t="s">
        <v>2964</v>
      </c>
      <c r="S139" s="11" t="s">
        <v>2965</v>
      </c>
      <c r="T139" s="11" t="s">
        <v>2966</v>
      </c>
    </row>
    <row r="140" spans="1:20" ht="50.1" hidden="1" customHeight="1">
      <c r="A140" s="10">
        <v>139</v>
      </c>
      <c r="B140" s="11" t="s">
        <v>1336</v>
      </c>
      <c r="C140" s="11" t="s">
        <v>1337</v>
      </c>
      <c r="D140" s="11" t="s">
        <v>7</v>
      </c>
      <c r="E140" s="11" t="s">
        <v>8</v>
      </c>
      <c r="F140" s="12">
        <v>0</v>
      </c>
      <c r="G140" s="13"/>
      <c r="H140" s="14">
        <v>0</v>
      </c>
      <c r="I140" s="12">
        <v>297</v>
      </c>
      <c r="J140" s="13">
        <v>155</v>
      </c>
      <c r="K140" s="14">
        <v>46035</v>
      </c>
      <c r="L140" s="12">
        <v>0</v>
      </c>
      <c r="M140" s="13"/>
      <c r="N140" s="14">
        <v>0</v>
      </c>
      <c r="O140" s="12">
        <v>297</v>
      </c>
      <c r="P140" s="13">
        <v>155.00000438000001</v>
      </c>
      <c r="Q140" s="14">
        <v>46035.001300000004</v>
      </c>
      <c r="R140" s="11" t="s">
        <v>2964</v>
      </c>
      <c r="S140" s="11" t="s">
        <v>2965</v>
      </c>
      <c r="T140" s="11" t="s">
        <v>2966</v>
      </c>
    </row>
    <row r="141" spans="1:20" ht="50.1" hidden="1" customHeight="1">
      <c r="A141" s="10">
        <v>140</v>
      </c>
      <c r="B141" s="11" t="s">
        <v>1338</v>
      </c>
      <c r="C141" s="11" t="s">
        <v>1339</v>
      </c>
      <c r="D141" s="11" t="s">
        <v>7</v>
      </c>
      <c r="E141" s="11" t="s">
        <v>8</v>
      </c>
      <c r="F141" s="12">
        <v>318</v>
      </c>
      <c r="G141" s="13">
        <v>131.99999591</v>
      </c>
      <c r="H141" s="14">
        <v>41975.998699999996</v>
      </c>
      <c r="I141" s="12">
        <v>0</v>
      </c>
      <c r="J141" s="13"/>
      <c r="K141" s="14">
        <v>0</v>
      </c>
      <c r="L141" s="12">
        <v>161.6</v>
      </c>
      <c r="M141" s="13">
        <v>132</v>
      </c>
      <c r="N141" s="14">
        <v>21331.200000000001</v>
      </c>
      <c r="O141" s="12">
        <v>156.4</v>
      </c>
      <c r="P141" s="13">
        <v>131.99999169</v>
      </c>
      <c r="Q141" s="14">
        <v>20644.798699999999</v>
      </c>
      <c r="R141" s="11" t="s">
        <v>2964</v>
      </c>
      <c r="S141" s="11" t="s">
        <v>2965</v>
      </c>
      <c r="T141" s="11" t="s">
        <v>2966</v>
      </c>
    </row>
    <row r="142" spans="1:20" ht="50.1" hidden="1" customHeight="1">
      <c r="A142" s="10">
        <v>141</v>
      </c>
      <c r="B142" s="11" t="s">
        <v>1342</v>
      </c>
      <c r="C142" s="11" t="s">
        <v>1343</v>
      </c>
      <c r="D142" s="11" t="s">
        <v>7</v>
      </c>
      <c r="E142" s="11" t="s">
        <v>8</v>
      </c>
      <c r="F142" s="12">
        <v>1111.9000000000001</v>
      </c>
      <c r="G142" s="13">
        <v>253.88101745</v>
      </c>
      <c r="H142" s="14">
        <v>282290.30330000003</v>
      </c>
      <c r="I142" s="12">
        <v>257</v>
      </c>
      <c r="J142" s="13">
        <v>257</v>
      </c>
      <c r="K142" s="14">
        <v>66049</v>
      </c>
      <c r="L142" s="12">
        <v>153</v>
      </c>
      <c r="M142" s="13">
        <v>253.88098038999999</v>
      </c>
      <c r="N142" s="14">
        <v>38843.79</v>
      </c>
      <c r="O142" s="12">
        <v>1215.9000000000001</v>
      </c>
      <c r="P142" s="13">
        <v>254.54026918</v>
      </c>
      <c r="Q142" s="14">
        <v>309495.51329999999</v>
      </c>
      <c r="R142" s="11" t="s">
        <v>2964</v>
      </c>
      <c r="S142" s="11" t="s">
        <v>2965</v>
      </c>
      <c r="T142" s="11" t="s">
        <v>2966</v>
      </c>
    </row>
    <row r="143" spans="1:20" ht="50.1" hidden="1" customHeight="1">
      <c r="A143" s="10">
        <v>142</v>
      </c>
      <c r="B143" s="11" t="s">
        <v>2691</v>
      </c>
      <c r="C143" s="11" t="s">
        <v>2692</v>
      </c>
      <c r="D143" s="11" t="s">
        <v>7</v>
      </c>
      <c r="E143" s="11" t="s">
        <v>8</v>
      </c>
      <c r="F143" s="12">
        <v>110.8</v>
      </c>
      <c r="G143" s="13">
        <v>182</v>
      </c>
      <c r="H143" s="14">
        <v>20165.599999999999</v>
      </c>
      <c r="I143" s="12">
        <v>0</v>
      </c>
      <c r="J143" s="13"/>
      <c r="K143" s="14">
        <v>0</v>
      </c>
      <c r="L143" s="12">
        <v>0</v>
      </c>
      <c r="M143" s="13"/>
      <c r="N143" s="14">
        <v>0</v>
      </c>
      <c r="O143" s="12">
        <v>110.8</v>
      </c>
      <c r="P143" s="13">
        <v>182</v>
      </c>
      <c r="Q143" s="14">
        <v>20165.599999999999</v>
      </c>
      <c r="R143" s="11" t="s">
        <v>2964</v>
      </c>
      <c r="S143" s="11" t="s">
        <v>2965</v>
      </c>
      <c r="T143" s="11" t="s">
        <v>2961</v>
      </c>
    </row>
    <row r="144" spans="1:20" ht="50.1" hidden="1" customHeight="1">
      <c r="A144" s="10">
        <v>143</v>
      </c>
      <c r="B144" s="11" t="s">
        <v>2693</v>
      </c>
      <c r="C144" s="11" t="s">
        <v>2694</v>
      </c>
      <c r="D144" s="11" t="s">
        <v>7</v>
      </c>
      <c r="E144" s="11" t="s">
        <v>8</v>
      </c>
      <c r="F144" s="12">
        <v>210.2</v>
      </c>
      <c r="G144" s="13">
        <v>202</v>
      </c>
      <c r="H144" s="14">
        <v>42460.4</v>
      </c>
      <c r="I144" s="12">
        <v>0</v>
      </c>
      <c r="J144" s="13"/>
      <c r="K144" s="14">
        <v>0</v>
      </c>
      <c r="L144" s="12">
        <v>0</v>
      </c>
      <c r="M144" s="13"/>
      <c r="N144" s="14">
        <v>0</v>
      </c>
      <c r="O144" s="12">
        <v>210.2</v>
      </c>
      <c r="P144" s="13">
        <v>202</v>
      </c>
      <c r="Q144" s="14">
        <v>42460.4</v>
      </c>
      <c r="R144" s="11" t="s">
        <v>2964</v>
      </c>
      <c r="S144" s="11" t="s">
        <v>2965</v>
      </c>
      <c r="T144" s="11" t="s">
        <v>2961</v>
      </c>
    </row>
    <row r="145" spans="1:20" ht="50.1" hidden="1" customHeight="1">
      <c r="A145" s="10">
        <v>144</v>
      </c>
      <c r="B145" s="11" t="s">
        <v>2695</v>
      </c>
      <c r="C145" s="11" t="s">
        <v>2696</v>
      </c>
      <c r="D145" s="11" t="s">
        <v>7</v>
      </c>
      <c r="E145" s="11" t="s">
        <v>8</v>
      </c>
      <c r="F145" s="12">
        <v>797</v>
      </c>
      <c r="G145" s="13">
        <v>202</v>
      </c>
      <c r="H145" s="14">
        <v>160994</v>
      </c>
      <c r="I145" s="12">
        <v>469.5</v>
      </c>
      <c r="J145" s="13">
        <v>202</v>
      </c>
      <c r="K145" s="14">
        <v>94839</v>
      </c>
      <c r="L145" s="12">
        <v>100.2</v>
      </c>
      <c r="M145" s="13">
        <v>202</v>
      </c>
      <c r="N145" s="14">
        <v>20240.400000000001</v>
      </c>
      <c r="O145" s="12">
        <v>1166.3</v>
      </c>
      <c r="P145" s="13">
        <v>202</v>
      </c>
      <c r="Q145" s="14">
        <v>235592.6</v>
      </c>
      <c r="R145" s="11" t="s">
        <v>2964</v>
      </c>
      <c r="S145" s="11" t="s">
        <v>2965</v>
      </c>
      <c r="T145" s="11" t="s">
        <v>2961</v>
      </c>
    </row>
    <row r="146" spans="1:20" ht="50.1" hidden="1" customHeight="1">
      <c r="A146" s="10">
        <v>145</v>
      </c>
      <c r="B146" s="11" t="s">
        <v>2697</v>
      </c>
      <c r="C146" s="11" t="s">
        <v>2698</v>
      </c>
      <c r="D146" s="11" t="s">
        <v>7</v>
      </c>
      <c r="E146" s="11" t="s">
        <v>8</v>
      </c>
      <c r="F146" s="12">
        <v>708.7</v>
      </c>
      <c r="G146" s="13">
        <v>182</v>
      </c>
      <c r="H146" s="14">
        <v>128983.4</v>
      </c>
      <c r="I146" s="12">
        <v>0</v>
      </c>
      <c r="J146" s="13"/>
      <c r="K146" s="14">
        <v>0</v>
      </c>
      <c r="L146" s="12">
        <v>146.19999999999999</v>
      </c>
      <c r="M146" s="13">
        <v>182</v>
      </c>
      <c r="N146" s="14">
        <v>26608.400000000001</v>
      </c>
      <c r="O146" s="12">
        <v>562.5</v>
      </c>
      <c r="P146" s="13">
        <v>182</v>
      </c>
      <c r="Q146" s="14">
        <v>102375</v>
      </c>
      <c r="R146" s="11" t="s">
        <v>2964</v>
      </c>
      <c r="S146" s="11" t="s">
        <v>2965</v>
      </c>
      <c r="T146" s="11" t="s">
        <v>2961</v>
      </c>
    </row>
    <row r="147" spans="1:20" ht="50.1" hidden="1" customHeight="1">
      <c r="A147" s="10">
        <v>146</v>
      </c>
      <c r="B147" s="11" t="s">
        <v>2699</v>
      </c>
      <c r="C147" s="11" t="s">
        <v>2700</v>
      </c>
      <c r="D147" s="11" t="s">
        <v>7</v>
      </c>
      <c r="E147" s="11" t="s">
        <v>8</v>
      </c>
      <c r="F147" s="12">
        <v>777.1</v>
      </c>
      <c r="G147" s="13">
        <v>202</v>
      </c>
      <c r="H147" s="14">
        <v>156974.20000000001</v>
      </c>
      <c r="I147" s="12">
        <v>1112</v>
      </c>
      <c r="J147" s="13">
        <v>202</v>
      </c>
      <c r="K147" s="14">
        <v>224624</v>
      </c>
      <c r="L147" s="12">
        <v>267.60000000000002</v>
      </c>
      <c r="M147" s="13">
        <v>202</v>
      </c>
      <c r="N147" s="14">
        <v>54055.199999999997</v>
      </c>
      <c r="O147" s="12">
        <v>1621.5</v>
      </c>
      <c r="P147" s="13">
        <v>202</v>
      </c>
      <c r="Q147" s="14">
        <v>327543</v>
      </c>
      <c r="R147" s="11" t="s">
        <v>2964</v>
      </c>
      <c r="S147" s="11" t="s">
        <v>2965</v>
      </c>
      <c r="T147" s="11" t="s">
        <v>2961</v>
      </c>
    </row>
    <row r="148" spans="1:20" ht="50.1" hidden="1" customHeight="1">
      <c r="A148" s="10">
        <v>147</v>
      </c>
      <c r="B148" s="11" t="s">
        <v>1344</v>
      </c>
      <c r="C148" s="11" t="s">
        <v>1345</v>
      </c>
      <c r="D148" s="11" t="s">
        <v>7</v>
      </c>
      <c r="E148" s="11" t="s">
        <v>8</v>
      </c>
      <c r="F148" s="12">
        <v>440.35</v>
      </c>
      <c r="G148" s="13">
        <v>206.35187919000001</v>
      </c>
      <c r="H148" s="14">
        <v>90867.05</v>
      </c>
      <c r="I148" s="12">
        <v>0</v>
      </c>
      <c r="J148" s="13"/>
      <c r="K148" s="14">
        <v>0</v>
      </c>
      <c r="L148" s="12">
        <v>302</v>
      </c>
      <c r="M148" s="13">
        <v>206.35198675000001</v>
      </c>
      <c r="N148" s="14">
        <v>62318.3</v>
      </c>
      <c r="O148" s="12">
        <v>138.35</v>
      </c>
      <c r="P148" s="13">
        <v>206.35164438000001</v>
      </c>
      <c r="Q148" s="14">
        <v>28548.75</v>
      </c>
      <c r="R148" s="11" t="s">
        <v>2964</v>
      </c>
      <c r="S148" s="11" t="s">
        <v>2965</v>
      </c>
      <c r="T148" s="11" t="s">
        <v>2966</v>
      </c>
    </row>
    <row r="149" spans="1:20" ht="50.1" hidden="1" customHeight="1">
      <c r="A149" s="10">
        <v>148</v>
      </c>
      <c r="B149" s="11" t="s">
        <v>1346</v>
      </c>
      <c r="C149" s="11" t="s">
        <v>1347</v>
      </c>
      <c r="D149" s="11" t="s">
        <v>7</v>
      </c>
      <c r="E149" s="11" t="s">
        <v>8</v>
      </c>
      <c r="F149" s="12">
        <v>1003.5</v>
      </c>
      <c r="G149" s="13">
        <v>190.56741405</v>
      </c>
      <c r="H149" s="14">
        <v>191234.4</v>
      </c>
      <c r="I149" s="12">
        <v>0</v>
      </c>
      <c r="J149" s="13"/>
      <c r="K149" s="14">
        <v>0</v>
      </c>
      <c r="L149" s="12">
        <v>309.7</v>
      </c>
      <c r="M149" s="13">
        <v>190.56738779</v>
      </c>
      <c r="N149" s="14">
        <v>59018.720000000001</v>
      </c>
      <c r="O149" s="12">
        <v>693.8</v>
      </c>
      <c r="P149" s="13">
        <v>190.56742577</v>
      </c>
      <c r="Q149" s="14">
        <v>132215.67999999999</v>
      </c>
      <c r="R149" s="11" t="s">
        <v>2964</v>
      </c>
      <c r="S149" s="11" t="s">
        <v>2965</v>
      </c>
      <c r="T149" s="11" t="s">
        <v>2966</v>
      </c>
    </row>
    <row r="150" spans="1:20" ht="50.1" hidden="1" customHeight="1">
      <c r="A150" s="10">
        <v>149</v>
      </c>
      <c r="B150" s="11" t="s">
        <v>1350</v>
      </c>
      <c r="C150" s="11" t="s">
        <v>1351</v>
      </c>
      <c r="D150" s="11" t="s">
        <v>20</v>
      </c>
      <c r="E150" s="11" t="s">
        <v>8</v>
      </c>
      <c r="F150" s="12">
        <v>133.28</v>
      </c>
      <c r="G150" s="13">
        <v>520.54936375</v>
      </c>
      <c r="H150" s="14">
        <v>69378.819199999998</v>
      </c>
      <c r="I150" s="12">
        <v>0</v>
      </c>
      <c r="J150" s="13"/>
      <c r="K150" s="14">
        <v>0</v>
      </c>
      <c r="L150" s="12">
        <v>0</v>
      </c>
      <c r="M150" s="13"/>
      <c r="N150" s="14">
        <v>0</v>
      </c>
      <c r="O150" s="12">
        <v>133.28</v>
      </c>
      <c r="P150" s="13">
        <v>520.54936375</v>
      </c>
      <c r="Q150" s="14">
        <v>69378.819199999998</v>
      </c>
      <c r="R150" s="11" t="s">
        <v>2964</v>
      </c>
      <c r="S150" s="11" t="s">
        <v>2965</v>
      </c>
      <c r="T150" s="11" t="s">
        <v>2966</v>
      </c>
    </row>
    <row r="151" spans="1:20" ht="50.1" hidden="1" customHeight="1">
      <c r="A151" s="10">
        <v>150</v>
      </c>
      <c r="B151" s="11" t="s">
        <v>1352</v>
      </c>
      <c r="C151" s="11" t="s">
        <v>1353</v>
      </c>
      <c r="D151" s="11" t="s">
        <v>20</v>
      </c>
      <c r="E151" s="11" t="s">
        <v>8</v>
      </c>
      <c r="F151" s="12">
        <v>233.9</v>
      </c>
      <c r="G151" s="13">
        <v>736.00001239999995</v>
      </c>
      <c r="H151" s="14">
        <v>172150.40289999999</v>
      </c>
      <c r="I151" s="12">
        <v>0</v>
      </c>
      <c r="J151" s="13"/>
      <c r="K151" s="14">
        <v>0</v>
      </c>
      <c r="L151" s="12">
        <v>0</v>
      </c>
      <c r="M151" s="13"/>
      <c r="N151" s="14">
        <v>0</v>
      </c>
      <c r="O151" s="12">
        <v>233.9</v>
      </c>
      <c r="P151" s="13">
        <v>736.00001239999995</v>
      </c>
      <c r="Q151" s="14">
        <v>172150.40289999999</v>
      </c>
      <c r="R151" s="11" t="s">
        <v>2964</v>
      </c>
      <c r="S151" s="11" t="s">
        <v>2965</v>
      </c>
      <c r="T151" s="11" t="s">
        <v>2966</v>
      </c>
    </row>
    <row r="152" spans="1:20" ht="50.1" hidden="1" customHeight="1">
      <c r="A152" s="10">
        <v>151</v>
      </c>
      <c r="B152" s="11" t="s">
        <v>1354</v>
      </c>
      <c r="C152" s="11" t="s">
        <v>1355</v>
      </c>
      <c r="D152" s="11" t="s">
        <v>20</v>
      </c>
      <c r="E152" s="11" t="s">
        <v>8</v>
      </c>
      <c r="F152" s="12">
        <v>310.89999999999998</v>
      </c>
      <c r="G152" s="13">
        <v>734.36108073000003</v>
      </c>
      <c r="H152" s="14">
        <v>228312.86</v>
      </c>
      <c r="I152" s="12">
        <v>0</v>
      </c>
      <c r="J152" s="13"/>
      <c r="K152" s="14">
        <v>0</v>
      </c>
      <c r="L152" s="12">
        <v>0</v>
      </c>
      <c r="M152" s="13"/>
      <c r="N152" s="14">
        <v>0</v>
      </c>
      <c r="O152" s="12">
        <v>310.89999999999998</v>
      </c>
      <c r="P152" s="13">
        <v>734.36108073000003</v>
      </c>
      <c r="Q152" s="14">
        <v>228312.86</v>
      </c>
      <c r="R152" s="11" t="s">
        <v>2964</v>
      </c>
      <c r="S152" s="11" t="s">
        <v>2965</v>
      </c>
      <c r="T152" s="11" t="s">
        <v>2966</v>
      </c>
    </row>
    <row r="153" spans="1:20" ht="50.1" hidden="1" customHeight="1">
      <c r="A153" s="10">
        <v>152</v>
      </c>
      <c r="B153" s="11" t="s">
        <v>1356</v>
      </c>
      <c r="C153" s="11" t="s">
        <v>1357</v>
      </c>
      <c r="D153" s="11" t="s">
        <v>7</v>
      </c>
      <c r="E153" s="11" t="s">
        <v>8</v>
      </c>
      <c r="F153" s="12">
        <v>136</v>
      </c>
      <c r="G153" s="13">
        <v>235.75551471</v>
      </c>
      <c r="H153" s="14">
        <v>32062.75</v>
      </c>
      <c r="I153" s="12">
        <v>0</v>
      </c>
      <c r="J153" s="13"/>
      <c r="K153" s="14">
        <v>0</v>
      </c>
      <c r="L153" s="12">
        <v>0</v>
      </c>
      <c r="M153" s="13"/>
      <c r="N153" s="14">
        <v>0</v>
      </c>
      <c r="O153" s="12">
        <v>136</v>
      </c>
      <c r="P153" s="13">
        <v>235.75551471</v>
      </c>
      <c r="Q153" s="14">
        <v>32062.75</v>
      </c>
      <c r="R153" s="11" t="s">
        <v>2964</v>
      </c>
      <c r="S153" s="11" t="s">
        <v>2965</v>
      </c>
      <c r="T153" s="11" t="s">
        <v>2966</v>
      </c>
    </row>
    <row r="154" spans="1:20" ht="50.1" hidden="1" customHeight="1">
      <c r="A154" s="10">
        <v>153</v>
      </c>
      <c r="B154" s="11" t="s">
        <v>1358</v>
      </c>
      <c r="C154" s="11" t="s">
        <v>1359</v>
      </c>
      <c r="D154" s="11" t="s">
        <v>7</v>
      </c>
      <c r="E154" s="11" t="s">
        <v>8</v>
      </c>
      <c r="F154" s="12">
        <v>1821</v>
      </c>
      <c r="G154" s="13">
        <v>204.89350736</v>
      </c>
      <c r="H154" s="14">
        <v>373111.07689999999</v>
      </c>
      <c r="I154" s="12">
        <v>0</v>
      </c>
      <c r="J154" s="13"/>
      <c r="K154" s="14">
        <v>0</v>
      </c>
      <c r="L154" s="12">
        <v>0</v>
      </c>
      <c r="M154" s="13"/>
      <c r="N154" s="14">
        <v>0</v>
      </c>
      <c r="O154" s="12">
        <v>1821</v>
      </c>
      <c r="P154" s="13">
        <v>204.89350736</v>
      </c>
      <c r="Q154" s="14">
        <v>373111.07689999999</v>
      </c>
      <c r="R154" s="11" t="s">
        <v>2964</v>
      </c>
      <c r="S154" s="11" t="s">
        <v>2965</v>
      </c>
      <c r="T154" s="11" t="s">
        <v>2966</v>
      </c>
    </row>
    <row r="155" spans="1:20" ht="50.1" hidden="1" customHeight="1">
      <c r="A155" s="10">
        <v>154</v>
      </c>
      <c r="B155" s="11" t="s">
        <v>2351</v>
      </c>
      <c r="C155" s="11" t="s">
        <v>2352</v>
      </c>
      <c r="D155" s="11" t="s">
        <v>7</v>
      </c>
      <c r="E155" s="11" t="s">
        <v>8</v>
      </c>
      <c r="F155" s="12">
        <v>352.2</v>
      </c>
      <c r="G155" s="13">
        <v>280.60874503000002</v>
      </c>
      <c r="H155" s="14">
        <v>98830.399999999994</v>
      </c>
      <c r="I155" s="12">
        <v>0</v>
      </c>
      <c r="J155" s="13"/>
      <c r="K155" s="14">
        <v>0</v>
      </c>
      <c r="L155" s="12">
        <v>0</v>
      </c>
      <c r="M155" s="13"/>
      <c r="N155" s="14">
        <v>0</v>
      </c>
      <c r="O155" s="12">
        <v>352.2</v>
      </c>
      <c r="P155" s="13">
        <v>280.60874503000002</v>
      </c>
      <c r="Q155" s="14">
        <v>98830.399999999994</v>
      </c>
      <c r="R155" s="11" t="s">
        <v>2964</v>
      </c>
      <c r="S155" s="11" t="s">
        <v>2965</v>
      </c>
      <c r="T155" s="11" t="s">
        <v>2966</v>
      </c>
    </row>
    <row r="156" spans="1:20" ht="50.1" hidden="1" customHeight="1">
      <c r="A156" s="10">
        <v>155</v>
      </c>
      <c r="B156" s="11" t="s">
        <v>2353</v>
      </c>
      <c r="C156" s="11" t="s">
        <v>2354</v>
      </c>
      <c r="D156" s="11" t="s">
        <v>7</v>
      </c>
      <c r="E156" s="11" t="s">
        <v>8</v>
      </c>
      <c r="F156" s="12">
        <v>263</v>
      </c>
      <c r="G156" s="13">
        <v>288.30901140999998</v>
      </c>
      <c r="H156" s="14">
        <v>75825.27</v>
      </c>
      <c r="I156" s="12">
        <v>0</v>
      </c>
      <c r="J156" s="13"/>
      <c r="K156" s="14">
        <v>0</v>
      </c>
      <c r="L156" s="12">
        <v>0</v>
      </c>
      <c r="M156" s="13"/>
      <c r="N156" s="14">
        <v>0</v>
      </c>
      <c r="O156" s="12">
        <v>263</v>
      </c>
      <c r="P156" s="13">
        <v>288.30901140999998</v>
      </c>
      <c r="Q156" s="14">
        <v>75825.27</v>
      </c>
      <c r="R156" s="11" t="s">
        <v>2964</v>
      </c>
      <c r="S156" s="11" t="s">
        <v>2965</v>
      </c>
      <c r="T156" s="11" t="s">
        <v>2966</v>
      </c>
    </row>
    <row r="157" spans="1:20" ht="50.1" hidden="1" customHeight="1">
      <c r="A157" s="10">
        <v>156</v>
      </c>
      <c r="B157" s="11" t="s">
        <v>2355</v>
      </c>
      <c r="C157" s="11" t="s">
        <v>2356</v>
      </c>
      <c r="D157" s="11" t="s">
        <v>7</v>
      </c>
      <c r="E157" s="11" t="s">
        <v>8</v>
      </c>
      <c r="F157" s="12">
        <v>546</v>
      </c>
      <c r="G157" s="13">
        <v>236.78443222999999</v>
      </c>
      <c r="H157" s="14">
        <v>129284.3</v>
      </c>
      <c r="I157" s="12">
        <v>0</v>
      </c>
      <c r="J157" s="13"/>
      <c r="K157" s="14">
        <v>0</v>
      </c>
      <c r="L157" s="12">
        <v>0</v>
      </c>
      <c r="M157" s="13"/>
      <c r="N157" s="14">
        <v>0</v>
      </c>
      <c r="O157" s="12">
        <v>546</v>
      </c>
      <c r="P157" s="13">
        <v>236.78443222999999</v>
      </c>
      <c r="Q157" s="14">
        <v>129284.3</v>
      </c>
      <c r="R157" s="11" t="s">
        <v>2964</v>
      </c>
      <c r="S157" s="11" t="s">
        <v>2965</v>
      </c>
      <c r="T157" s="11" t="s">
        <v>2966</v>
      </c>
    </row>
    <row r="158" spans="1:20" ht="50.1" hidden="1" customHeight="1">
      <c r="A158" s="10">
        <v>157</v>
      </c>
      <c r="B158" s="11" t="s">
        <v>1360</v>
      </c>
      <c r="C158" s="11" t="s">
        <v>1361</v>
      </c>
      <c r="D158" s="11" t="s">
        <v>7</v>
      </c>
      <c r="E158" s="11" t="s">
        <v>8</v>
      </c>
      <c r="F158" s="12">
        <v>816</v>
      </c>
      <c r="G158" s="13">
        <v>185.31290944</v>
      </c>
      <c r="H158" s="14">
        <v>151215.33410000001</v>
      </c>
      <c r="I158" s="12">
        <v>0</v>
      </c>
      <c r="J158" s="13"/>
      <c r="K158" s="14">
        <v>0</v>
      </c>
      <c r="L158" s="12">
        <v>0</v>
      </c>
      <c r="M158" s="13"/>
      <c r="N158" s="14">
        <v>0</v>
      </c>
      <c r="O158" s="12">
        <v>816</v>
      </c>
      <c r="P158" s="13">
        <v>185.31290944</v>
      </c>
      <c r="Q158" s="14">
        <v>151215.33410000001</v>
      </c>
      <c r="R158" s="11" t="s">
        <v>2964</v>
      </c>
      <c r="S158" s="11" t="s">
        <v>2965</v>
      </c>
      <c r="T158" s="11" t="s">
        <v>2966</v>
      </c>
    </row>
    <row r="159" spans="1:20" ht="50.1" hidden="1" customHeight="1">
      <c r="A159" s="10">
        <v>158</v>
      </c>
      <c r="B159" s="11" t="s">
        <v>2357</v>
      </c>
      <c r="C159" s="11" t="s">
        <v>2358</v>
      </c>
      <c r="D159" s="11" t="s">
        <v>7</v>
      </c>
      <c r="E159" s="11" t="s">
        <v>8</v>
      </c>
      <c r="F159" s="12">
        <v>634.20000000000005</v>
      </c>
      <c r="G159" s="13">
        <v>245.11862188999999</v>
      </c>
      <c r="H159" s="14">
        <v>155454.23000000001</v>
      </c>
      <c r="I159" s="12">
        <v>0</v>
      </c>
      <c r="J159" s="13"/>
      <c r="K159" s="14">
        <v>0</v>
      </c>
      <c r="L159" s="12">
        <v>65</v>
      </c>
      <c r="M159" s="13">
        <v>245.11861537999999</v>
      </c>
      <c r="N159" s="14">
        <v>15932.71</v>
      </c>
      <c r="O159" s="12">
        <v>569.20000000000005</v>
      </c>
      <c r="P159" s="13">
        <v>245.11862263</v>
      </c>
      <c r="Q159" s="14">
        <v>139521.51999999999</v>
      </c>
      <c r="R159" s="11" t="s">
        <v>2964</v>
      </c>
      <c r="S159" s="11" t="s">
        <v>2965</v>
      </c>
      <c r="T159" s="11" t="s">
        <v>2966</v>
      </c>
    </row>
    <row r="160" spans="1:20" ht="50.1" hidden="1" customHeight="1">
      <c r="A160" s="10">
        <v>159</v>
      </c>
      <c r="B160" s="11" t="s">
        <v>1362</v>
      </c>
      <c r="C160" s="11" t="s">
        <v>1363</v>
      </c>
      <c r="D160" s="11" t="s">
        <v>7</v>
      </c>
      <c r="E160" s="11" t="s">
        <v>8</v>
      </c>
      <c r="F160" s="12">
        <v>648</v>
      </c>
      <c r="G160" s="13">
        <v>185.62785693999999</v>
      </c>
      <c r="H160" s="14">
        <v>120286.85129999999</v>
      </c>
      <c r="I160" s="12">
        <v>0</v>
      </c>
      <c r="J160" s="13"/>
      <c r="K160" s="14">
        <v>0</v>
      </c>
      <c r="L160" s="12">
        <v>0</v>
      </c>
      <c r="M160" s="13"/>
      <c r="N160" s="14">
        <v>0</v>
      </c>
      <c r="O160" s="12">
        <v>648</v>
      </c>
      <c r="P160" s="13">
        <v>185.62785693999999</v>
      </c>
      <c r="Q160" s="14">
        <v>120286.85129999999</v>
      </c>
      <c r="R160" s="11" t="s">
        <v>2964</v>
      </c>
      <c r="S160" s="11" t="s">
        <v>2965</v>
      </c>
      <c r="T160" s="11" t="s">
        <v>2966</v>
      </c>
    </row>
    <row r="161" spans="1:20" ht="50.1" hidden="1" customHeight="1">
      <c r="A161" s="10">
        <v>160</v>
      </c>
      <c r="B161" s="11" t="s">
        <v>1988</v>
      </c>
      <c r="C161" s="11" t="s">
        <v>1989</v>
      </c>
      <c r="D161" s="11" t="s">
        <v>7</v>
      </c>
      <c r="E161" s="11" t="s">
        <v>8</v>
      </c>
      <c r="F161" s="12">
        <v>291.89999999999998</v>
      </c>
      <c r="G161" s="13">
        <v>190</v>
      </c>
      <c r="H161" s="14">
        <v>55461</v>
      </c>
      <c r="I161" s="12">
        <v>0</v>
      </c>
      <c r="J161" s="13"/>
      <c r="K161" s="14">
        <v>0</v>
      </c>
      <c r="L161" s="12">
        <v>0</v>
      </c>
      <c r="M161" s="13"/>
      <c r="N161" s="14">
        <v>0</v>
      </c>
      <c r="O161" s="12">
        <v>291.89999999999998</v>
      </c>
      <c r="P161" s="13">
        <v>190</v>
      </c>
      <c r="Q161" s="14">
        <v>55461</v>
      </c>
      <c r="R161" s="11" t="s">
        <v>2964</v>
      </c>
      <c r="S161" s="11" t="s">
        <v>2965</v>
      </c>
      <c r="T161" s="11" t="s">
        <v>2966</v>
      </c>
    </row>
    <row r="162" spans="1:20" ht="50.1" hidden="1" customHeight="1">
      <c r="A162" s="10">
        <v>161</v>
      </c>
      <c r="B162" s="11" t="s">
        <v>1990</v>
      </c>
      <c r="C162" s="11" t="s">
        <v>1991</v>
      </c>
      <c r="D162" s="11" t="s">
        <v>7</v>
      </c>
      <c r="E162" s="11" t="s">
        <v>8</v>
      </c>
      <c r="F162" s="12">
        <v>298.60000000000002</v>
      </c>
      <c r="G162" s="13">
        <v>244.25227728999999</v>
      </c>
      <c r="H162" s="14">
        <v>72933.73</v>
      </c>
      <c r="I162" s="12">
        <v>0</v>
      </c>
      <c r="J162" s="13"/>
      <c r="K162" s="14">
        <v>0</v>
      </c>
      <c r="L162" s="12">
        <v>0</v>
      </c>
      <c r="M162" s="13"/>
      <c r="N162" s="14">
        <v>0</v>
      </c>
      <c r="O162" s="12">
        <v>298.60000000000002</v>
      </c>
      <c r="P162" s="13">
        <v>244.25227728999999</v>
      </c>
      <c r="Q162" s="14">
        <v>72933.73</v>
      </c>
      <c r="R162" s="11" t="s">
        <v>2964</v>
      </c>
      <c r="S162" s="11" t="s">
        <v>2965</v>
      </c>
      <c r="T162" s="11" t="s">
        <v>2966</v>
      </c>
    </row>
    <row r="163" spans="1:20" ht="50.1" hidden="1" customHeight="1">
      <c r="A163" s="10">
        <v>162</v>
      </c>
      <c r="B163" s="11" t="s">
        <v>2751</v>
      </c>
      <c r="C163" s="11" t="s">
        <v>2752</v>
      </c>
      <c r="D163" s="11" t="s">
        <v>7</v>
      </c>
      <c r="E163" s="11" t="s">
        <v>8</v>
      </c>
      <c r="F163" s="12">
        <v>896.1</v>
      </c>
      <c r="G163" s="13">
        <v>188.00223188999999</v>
      </c>
      <c r="H163" s="14">
        <v>168468.8</v>
      </c>
      <c r="I163" s="12">
        <v>716.6</v>
      </c>
      <c r="J163" s="13">
        <v>188</v>
      </c>
      <c r="K163" s="14">
        <v>134720.79999999999</v>
      </c>
      <c r="L163" s="12">
        <v>147.5</v>
      </c>
      <c r="M163" s="13">
        <v>188.00122034</v>
      </c>
      <c r="N163" s="14">
        <v>27730.18</v>
      </c>
      <c r="O163" s="12">
        <v>1465.2</v>
      </c>
      <c r="P163" s="13">
        <v>188.00124215</v>
      </c>
      <c r="Q163" s="14">
        <v>275459.42</v>
      </c>
      <c r="R163" s="11" t="s">
        <v>2964</v>
      </c>
      <c r="S163" s="11" t="s">
        <v>2965</v>
      </c>
      <c r="T163" s="11" t="s">
        <v>2966</v>
      </c>
    </row>
    <row r="164" spans="1:20" ht="50.1" hidden="1" customHeight="1">
      <c r="A164" s="10">
        <v>163</v>
      </c>
      <c r="B164" s="11" t="s">
        <v>2753</v>
      </c>
      <c r="C164" s="11" t="s">
        <v>2754</v>
      </c>
      <c r="D164" s="11" t="s">
        <v>7</v>
      </c>
      <c r="E164" s="11" t="s">
        <v>8</v>
      </c>
      <c r="F164" s="12">
        <v>1545.9</v>
      </c>
      <c r="G164" s="13">
        <v>188.02835888000001</v>
      </c>
      <c r="H164" s="14">
        <v>290673.03999999998</v>
      </c>
      <c r="I164" s="12">
        <v>520.1</v>
      </c>
      <c r="J164" s="13">
        <v>188</v>
      </c>
      <c r="K164" s="14">
        <v>97778.8</v>
      </c>
      <c r="L164" s="12">
        <v>0</v>
      </c>
      <c r="M164" s="13"/>
      <c r="N164" s="14">
        <v>0</v>
      </c>
      <c r="O164" s="12">
        <v>2066</v>
      </c>
      <c r="P164" s="13">
        <v>188.02121975</v>
      </c>
      <c r="Q164" s="14">
        <v>388451.84000000003</v>
      </c>
      <c r="R164" s="11" t="s">
        <v>2964</v>
      </c>
      <c r="S164" s="11" t="s">
        <v>2965</v>
      </c>
      <c r="T164" s="11" t="s">
        <v>2966</v>
      </c>
    </row>
    <row r="165" spans="1:20" ht="50.1" hidden="1" customHeight="1">
      <c r="A165" s="10">
        <v>164</v>
      </c>
      <c r="B165" s="11" t="s">
        <v>2755</v>
      </c>
      <c r="C165" s="11" t="s">
        <v>2756</v>
      </c>
      <c r="D165" s="11" t="s">
        <v>7</v>
      </c>
      <c r="E165" s="11" t="s">
        <v>8</v>
      </c>
      <c r="F165" s="12">
        <v>1528.9</v>
      </c>
      <c r="G165" s="13">
        <v>188.22134868000001</v>
      </c>
      <c r="H165" s="14">
        <v>287771.62</v>
      </c>
      <c r="I165" s="12">
        <v>228.4</v>
      </c>
      <c r="J165" s="13">
        <v>188</v>
      </c>
      <c r="K165" s="14">
        <v>42939.199999999997</v>
      </c>
      <c r="L165" s="12">
        <v>0</v>
      </c>
      <c r="M165" s="13"/>
      <c r="N165" s="14">
        <v>0</v>
      </c>
      <c r="O165" s="12">
        <v>1757.3</v>
      </c>
      <c r="P165" s="13">
        <v>188.19257952999999</v>
      </c>
      <c r="Q165" s="14">
        <v>330710.82</v>
      </c>
      <c r="R165" s="11" t="s">
        <v>2964</v>
      </c>
      <c r="S165" s="11" t="s">
        <v>2965</v>
      </c>
      <c r="T165" s="11" t="s">
        <v>2966</v>
      </c>
    </row>
    <row r="166" spans="1:20" ht="50.1" hidden="1" customHeight="1">
      <c r="A166" s="10">
        <v>165</v>
      </c>
      <c r="B166" s="11" t="s">
        <v>2763</v>
      </c>
      <c r="C166" s="11" t="s">
        <v>2764</v>
      </c>
      <c r="D166" s="11" t="s">
        <v>7</v>
      </c>
      <c r="E166" s="11" t="s">
        <v>8</v>
      </c>
      <c r="F166" s="12">
        <v>1152.9000000000001</v>
      </c>
      <c r="G166" s="13">
        <v>188</v>
      </c>
      <c r="H166" s="14">
        <v>216745.2</v>
      </c>
      <c r="I166" s="12">
        <v>340.6</v>
      </c>
      <c r="J166" s="13">
        <v>188</v>
      </c>
      <c r="K166" s="14">
        <v>64032.800000000003</v>
      </c>
      <c r="L166" s="12">
        <v>417.7</v>
      </c>
      <c r="M166" s="13">
        <v>188</v>
      </c>
      <c r="N166" s="14">
        <v>78527.600000000006</v>
      </c>
      <c r="O166" s="12">
        <v>1075.8</v>
      </c>
      <c r="P166" s="13">
        <v>188</v>
      </c>
      <c r="Q166" s="14">
        <v>202250.4</v>
      </c>
      <c r="R166" s="11" t="s">
        <v>2964</v>
      </c>
      <c r="S166" s="11" t="s">
        <v>2965</v>
      </c>
      <c r="T166" s="11" t="s">
        <v>2966</v>
      </c>
    </row>
    <row r="167" spans="1:20" ht="50.1" hidden="1" customHeight="1">
      <c r="A167" s="10">
        <v>166</v>
      </c>
      <c r="B167" s="11" t="s">
        <v>2765</v>
      </c>
      <c r="C167" s="11" t="s">
        <v>2766</v>
      </c>
      <c r="D167" s="11" t="s">
        <v>7</v>
      </c>
      <c r="E167" s="11" t="s">
        <v>8</v>
      </c>
      <c r="F167" s="12">
        <v>836.6</v>
      </c>
      <c r="G167" s="13">
        <v>187.95252210999999</v>
      </c>
      <c r="H167" s="14">
        <v>157241.07999999999</v>
      </c>
      <c r="I167" s="12">
        <v>591.5</v>
      </c>
      <c r="J167" s="13">
        <v>188</v>
      </c>
      <c r="K167" s="14">
        <v>111202</v>
      </c>
      <c r="L167" s="12">
        <v>112.3</v>
      </c>
      <c r="M167" s="13">
        <v>187.97212823000001</v>
      </c>
      <c r="N167" s="14">
        <v>21109.27</v>
      </c>
      <c r="O167" s="12">
        <v>1315.8</v>
      </c>
      <c r="P167" s="13">
        <v>187.97219182000001</v>
      </c>
      <c r="Q167" s="14">
        <v>247333.81</v>
      </c>
      <c r="R167" s="11" t="s">
        <v>2964</v>
      </c>
      <c r="S167" s="11" t="s">
        <v>2965</v>
      </c>
      <c r="T167" s="11" t="s">
        <v>2966</v>
      </c>
    </row>
    <row r="168" spans="1:20" ht="50.1" hidden="1" customHeight="1">
      <c r="A168" s="10">
        <v>167</v>
      </c>
      <c r="B168" s="11" t="s">
        <v>2767</v>
      </c>
      <c r="C168" s="11" t="s">
        <v>2768</v>
      </c>
      <c r="D168" s="11" t="s">
        <v>7</v>
      </c>
      <c r="E168" s="11" t="s">
        <v>8</v>
      </c>
      <c r="F168" s="12">
        <v>950.4</v>
      </c>
      <c r="G168" s="13">
        <v>188.00318813000001</v>
      </c>
      <c r="H168" s="14">
        <v>178678.23</v>
      </c>
      <c r="I168" s="12">
        <v>526</v>
      </c>
      <c r="J168" s="13">
        <v>188</v>
      </c>
      <c r="K168" s="14">
        <v>98888</v>
      </c>
      <c r="L168" s="12">
        <v>0</v>
      </c>
      <c r="M168" s="13"/>
      <c r="N168" s="14">
        <v>0</v>
      </c>
      <c r="O168" s="12">
        <v>1476.4</v>
      </c>
      <c r="P168" s="13">
        <v>188.00205228999999</v>
      </c>
      <c r="Q168" s="14">
        <v>277566.23</v>
      </c>
      <c r="R168" s="11" t="s">
        <v>2964</v>
      </c>
      <c r="S168" s="11" t="s">
        <v>2965</v>
      </c>
      <c r="T168" s="11" t="s">
        <v>2966</v>
      </c>
    </row>
    <row r="169" spans="1:20" ht="50.1" hidden="1" customHeight="1">
      <c r="A169" s="10">
        <v>168</v>
      </c>
      <c r="B169" s="11" t="s">
        <v>2907</v>
      </c>
      <c r="C169" s="11" t="s">
        <v>2908</v>
      </c>
      <c r="D169" s="11" t="s">
        <v>7</v>
      </c>
      <c r="E169" s="11" t="s">
        <v>8</v>
      </c>
      <c r="F169" s="12">
        <v>1377.1</v>
      </c>
      <c r="G169" s="13">
        <v>173.31708663000001</v>
      </c>
      <c r="H169" s="14">
        <v>238674.96</v>
      </c>
      <c r="I169" s="12">
        <v>0</v>
      </c>
      <c r="J169" s="13"/>
      <c r="K169" s="14">
        <v>0</v>
      </c>
      <c r="L169" s="12">
        <v>0</v>
      </c>
      <c r="M169" s="13"/>
      <c r="N169" s="14">
        <v>0</v>
      </c>
      <c r="O169" s="12">
        <v>1377.1</v>
      </c>
      <c r="P169" s="13">
        <v>173.31708663000001</v>
      </c>
      <c r="Q169" s="14">
        <v>238674.96</v>
      </c>
      <c r="R169" s="11" t="s">
        <v>2964</v>
      </c>
      <c r="S169" s="11" t="s">
        <v>2965</v>
      </c>
      <c r="T169" s="11" t="s">
        <v>2961</v>
      </c>
    </row>
    <row r="170" spans="1:20" ht="50.1" hidden="1" customHeight="1">
      <c r="A170" s="10">
        <v>169</v>
      </c>
      <c r="B170" s="11" t="s">
        <v>2909</v>
      </c>
      <c r="C170" s="11" t="s">
        <v>2910</v>
      </c>
      <c r="D170" s="11" t="s">
        <v>7</v>
      </c>
      <c r="E170" s="11" t="s">
        <v>8</v>
      </c>
      <c r="F170" s="12">
        <v>869.7</v>
      </c>
      <c r="G170" s="13">
        <v>173.96209038000001</v>
      </c>
      <c r="H170" s="14">
        <v>151294.82999999999</v>
      </c>
      <c r="I170" s="12">
        <v>597.5</v>
      </c>
      <c r="J170" s="13">
        <v>172</v>
      </c>
      <c r="K170" s="14">
        <v>102770</v>
      </c>
      <c r="L170" s="12">
        <v>51</v>
      </c>
      <c r="M170" s="13">
        <v>173.16313725000001</v>
      </c>
      <c r="N170" s="14">
        <v>8831.32</v>
      </c>
      <c r="O170" s="12">
        <v>1416.2</v>
      </c>
      <c r="P170" s="13">
        <v>173.163049</v>
      </c>
      <c r="Q170" s="14">
        <v>245233.51</v>
      </c>
      <c r="R170" s="11" t="s">
        <v>2964</v>
      </c>
      <c r="S170" s="11" t="s">
        <v>2965</v>
      </c>
      <c r="T170" s="11" t="s">
        <v>2961</v>
      </c>
    </row>
    <row r="171" spans="1:20" ht="50.1" hidden="1" customHeight="1">
      <c r="A171" s="10">
        <v>170</v>
      </c>
      <c r="B171" s="11" t="s">
        <v>2911</v>
      </c>
      <c r="C171" s="11" t="s">
        <v>2912</v>
      </c>
      <c r="D171" s="11" t="s">
        <v>7</v>
      </c>
      <c r="E171" s="11" t="s">
        <v>8</v>
      </c>
      <c r="F171" s="12">
        <v>213.8</v>
      </c>
      <c r="G171" s="13">
        <v>132</v>
      </c>
      <c r="H171" s="14">
        <v>28221.599999999999</v>
      </c>
      <c r="I171" s="12">
        <v>691.5</v>
      </c>
      <c r="J171" s="13">
        <v>134.17382502000001</v>
      </c>
      <c r="K171" s="14">
        <v>92781.2</v>
      </c>
      <c r="L171" s="12">
        <v>80.099999999999994</v>
      </c>
      <c r="M171" s="13">
        <v>132</v>
      </c>
      <c r="N171" s="14">
        <v>10573.2</v>
      </c>
      <c r="O171" s="12">
        <v>825.2</v>
      </c>
      <c r="P171" s="13">
        <v>133.821619</v>
      </c>
      <c r="Q171" s="14">
        <v>110429.6</v>
      </c>
      <c r="R171" s="11" t="s">
        <v>2964</v>
      </c>
      <c r="S171" s="11" t="s">
        <v>2965</v>
      </c>
      <c r="T171" s="11" t="s">
        <v>2966</v>
      </c>
    </row>
    <row r="172" spans="1:20" ht="50.1" hidden="1" customHeight="1">
      <c r="A172" s="10">
        <v>171</v>
      </c>
      <c r="B172" s="11" t="s">
        <v>2769</v>
      </c>
      <c r="C172" s="11" t="s">
        <v>2770</v>
      </c>
      <c r="D172" s="11" t="s">
        <v>7</v>
      </c>
      <c r="E172" s="11" t="s">
        <v>8</v>
      </c>
      <c r="F172" s="12">
        <v>3807.2</v>
      </c>
      <c r="G172" s="13">
        <v>234</v>
      </c>
      <c r="H172" s="14">
        <v>890884.8</v>
      </c>
      <c r="I172" s="12">
        <v>2821.7</v>
      </c>
      <c r="J172" s="13">
        <v>234</v>
      </c>
      <c r="K172" s="14">
        <v>660277.80000000005</v>
      </c>
      <c r="L172" s="12">
        <v>524.9</v>
      </c>
      <c r="M172" s="13">
        <v>234</v>
      </c>
      <c r="N172" s="14">
        <v>122826.6</v>
      </c>
      <c r="O172" s="12">
        <v>6104</v>
      </c>
      <c r="P172" s="13">
        <v>234</v>
      </c>
      <c r="Q172" s="14">
        <v>1428336</v>
      </c>
      <c r="R172" s="11" t="s">
        <v>2964</v>
      </c>
      <c r="S172" s="11" t="s">
        <v>2965</v>
      </c>
      <c r="T172" s="11" t="s">
        <v>2966</v>
      </c>
    </row>
    <row r="173" spans="1:20" ht="50.1" hidden="1" customHeight="1">
      <c r="A173" s="10">
        <v>172</v>
      </c>
      <c r="B173" s="11" t="s">
        <v>2771</v>
      </c>
      <c r="C173" s="11" t="s">
        <v>2772</v>
      </c>
      <c r="D173" s="11" t="s">
        <v>7</v>
      </c>
      <c r="E173" s="11" t="s">
        <v>8</v>
      </c>
      <c r="F173" s="12">
        <v>233.3</v>
      </c>
      <c r="G173" s="13">
        <v>234</v>
      </c>
      <c r="H173" s="14">
        <v>54592.2</v>
      </c>
      <c r="I173" s="12">
        <v>0</v>
      </c>
      <c r="J173" s="13"/>
      <c r="K173" s="14">
        <v>0</v>
      </c>
      <c r="L173" s="12">
        <v>0</v>
      </c>
      <c r="M173" s="13"/>
      <c r="N173" s="14">
        <v>0</v>
      </c>
      <c r="O173" s="12">
        <v>233.3</v>
      </c>
      <c r="P173" s="13">
        <v>234</v>
      </c>
      <c r="Q173" s="14">
        <v>54592.2</v>
      </c>
      <c r="R173" s="11" t="s">
        <v>2964</v>
      </c>
      <c r="S173" s="11" t="s">
        <v>2965</v>
      </c>
      <c r="T173" s="11" t="s">
        <v>2961</v>
      </c>
    </row>
    <row r="174" spans="1:20" ht="50.1" hidden="1" customHeight="1">
      <c r="A174" s="10">
        <v>173</v>
      </c>
      <c r="B174" s="11" t="s">
        <v>2773</v>
      </c>
      <c r="C174" s="11" t="s">
        <v>2774</v>
      </c>
      <c r="D174" s="11" t="s">
        <v>7</v>
      </c>
      <c r="E174" s="11" t="s">
        <v>8</v>
      </c>
      <c r="F174" s="12">
        <v>3615</v>
      </c>
      <c r="G174" s="13">
        <v>234</v>
      </c>
      <c r="H174" s="14">
        <v>845910</v>
      </c>
      <c r="I174" s="12">
        <v>4905.8999999999996</v>
      </c>
      <c r="J174" s="13">
        <v>234</v>
      </c>
      <c r="K174" s="14">
        <v>1147980.6000000001</v>
      </c>
      <c r="L174" s="12">
        <v>642.29999999999995</v>
      </c>
      <c r="M174" s="13">
        <v>234</v>
      </c>
      <c r="N174" s="14">
        <v>150298.20000000001</v>
      </c>
      <c r="O174" s="12">
        <v>7878.6</v>
      </c>
      <c r="P174" s="13">
        <v>234</v>
      </c>
      <c r="Q174" s="14">
        <v>1843592.4</v>
      </c>
      <c r="R174" s="11" t="s">
        <v>2964</v>
      </c>
      <c r="S174" s="11" t="s">
        <v>2965</v>
      </c>
      <c r="T174" s="11" t="s">
        <v>2966</v>
      </c>
    </row>
    <row r="175" spans="1:20" ht="50.1" hidden="1" customHeight="1">
      <c r="A175" s="10">
        <v>174</v>
      </c>
      <c r="B175" s="11" t="s">
        <v>1364</v>
      </c>
      <c r="C175" s="11" t="s">
        <v>1365</v>
      </c>
      <c r="D175" s="11" t="s">
        <v>7</v>
      </c>
      <c r="E175" s="11" t="s">
        <v>8</v>
      </c>
      <c r="F175" s="12">
        <v>102</v>
      </c>
      <c r="G175" s="13">
        <v>220.22585196</v>
      </c>
      <c r="H175" s="14">
        <v>22463.036899999999</v>
      </c>
      <c r="I175" s="12">
        <v>0</v>
      </c>
      <c r="J175" s="13"/>
      <c r="K175" s="14">
        <v>0</v>
      </c>
      <c r="L175" s="12">
        <v>0</v>
      </c>
      <c r="M175" s="13"/>
      <c r="N175" s="14">
        <v>0</v>
      </c>
      <c r="O175" s="12">
        <v>102</v>
      </c>
      <c r="P175" s="13">
        <v>220.22585196</v>
      </c>
      <c r="Q175" s="14">
        <v>22463.036899999999</v>
      </c>
      <c r="R175" s="11" t="s">
        <v>2964</v>
      </c>
      <c r="S175" s="11" t="s">
        <v>2965</v>
      </c>
      <c r="T175" s="11" t="s">
        <v>2966</v>
      </c>
    </row>
    <row r="176" spans="1:20" ht="50.1" hidden="1" customHeight="1">
      <c r="A176" s="10">
        <v>175</v>
      </c>
      <c r="B176" s="11" t="s">
        <v>2359</v>
      </c>
      <c r="C176" s="11" t="s">
        <v>2360</v>
      </c>
      <c r="D176" s="11" t="s">
        <v>7</v>
      </c>
      <c r="E176" s="11" t="s">
        <v>8</v>
      </c>
      <c r="F176" s="12">
        <v>2886.7</v>
      </c>
      <c r="G176" s="13">
        <v>250</v>
      </c>
      <c r="H176" s="14">
        <v>721675</v>
      </c>
      <c r="I176" s="12">
        <v>0</v>
      </c>
      <c r="J176" s="13"/>
      <c r="K176" s="14">
        <v>0</v>
      </c>
      <c r="L176" s="12">
        <v>89.5</v>
      </c>
      <c r="M176" s="13">
        <v>250</v>
      </c>
      <c r="N176" s="14">
        <v>22375</v>
      </c>
      <c r="O176" s="12">
        <v>2797.2</v>
      </c>
      <c r="P176" s="13">
        <v>250</v>
      </c>
      <c r="Q176" s="14">
        <v>699300</v>
      </c>
      <c r="R176" s="11" t="s">
        <v>2964</v>
      </c>
      <c r="S176" s="11" t="s">
        <v>2965</v>
      </c>
      <c r="T176" s="11" t="s">
        <v>2966</v>
      </c>
    </row>
    <row r="177" spans="1:20" ht="50.1" hidden="1" customHeight="1">
      <c r="A177" s="10">
        <v>176</v>
      </c>
      <c r="B177" s="11" t="s">
        <v>2361</v>
      </c>
      <c r="C177" s="11" t="s">
        <v>2362</v>
      </c>
      <c r="D177" s="11" t="s">
        <v>7</v>
      </c>
      <c r="E177" s="11" t="s">
        <v>8</v>
      </c>
      <c r="F177" s="12">
        <v>2563.25</v>
      </c>
      <c r="G177" s="13">
        <v>257.35676192</v>
      </c>
      <c r="H177" s="14">
        <v>659669.72</v>
      </c>
      <c r="I177" s="12">
        <v>0</v>
      </c>
      <c r="J177" s="13"/>
      <c r="K177" s="14">
        <v>0</v>
      </c>
      <c r="L177" s="12">
        <v>0</v>
      </c>
      <c r="M177" s="13"/>
      <c r="N177" s="14">
        <v>0</v>
      </c>
      <c r="O177" s="12">
        <v>2563.25</v>
      </c>
      <c r="P177" s="13">
        <v>257.35676192</v>
      </c>
      <c r="Q177" s="14">
        <v>659669.72</v>
      </c>
      <c r="R177" s="11" t="s">
        <v>2964</v>
      </c>
      <c r="S177" s="11" t="s">
        <v>2965</v>
      </c>
      <c r="T177" s="11" t="s">
        <v>2966</v>
      </c>
    </row>
    <row r="178" spans="1:20" ht="50.1" hidden="1" customHeight="1">
      <c r="A178" s="10">
        <v>177</v>
      </c>
      <c r="B178" s="11" t="s">
        <v>2363</v>
      </c>
      <c r="C178" s="11" t="s">
        <v>2364</v>
      </c>
      <c r="D178" s="11" t="s">
        <v>7</v>
      </c>
      <c r="E178" s="11" t="s">
        <v>8</v>
      </c>
      <c r="F178" s="12">
        <v>2489.1</v>
      </c>
      <c r="G178" s="13">
        <v>250</v>
      </c>
      <c r="H178" s="14">
        <v>622275</v>
      </c>
      <c r="I178" s="12">
        <v>0</v>
      </c>
      <c r="J178" s="13"/>
      <c r="K178" s="14">
        <v>0</v>
      </c>
      <c r="L178" s="12">
        <v>0</v>
      </c>
      <c r="M178" s="13"/>
      <c r="N178" s="14">
        <v>0</v>
      </c>
      <c r="O178" s="12">
        <v>2489.1</v>
      </c>
      <c r="P178" s="13">
        <v>250</v>
      </c>
      <c r="Q178" s="14">
        <v>622275</v>
      </c>
      <c r="R178" s="11" t="s">
        <v>2964</v>
      </c>
      <c r="S178" s="11" t="s">
        <v>2965</v>
      </c>
      <c r="T178" s="11" t="s">
        <v>2966</v>
      </c>
    </row>
    <row r="179" spans="1:20" ht="50.1" hidden="1" customHeight="1">
      <c r="A179" s="10">
        <v>178</v>
      </c>
      <c r="B179" s="11" t="s">
        <v>1366</v>
      </c>
      <c r="C179" s="11" t="s">
        <v>1367</v>
      </c>
      <c r="D179" s="11" t="s">
        <v>7</v>
      </c>
      <c r="E179" s="11" t="s">
        <v>8</v>
      </c>
      <c r="F179" s="12">
        <v>578.79999999999995</v>
      </c>
      <c r="G179" s="13">
        <v>227.66459710000001</v>
      </c>
      <c r="H179" s="14">
        <v>131772.26879999999</v>
      </c>
      <c r="I179" s="12">
        <v>0</v>
      </c>
      <c r="J179" s="13"/>
      <c r="K179" s="14">
        <v>0</v>
      </c>
      <c r="L179" s="12">
        <v>0</v>
      </c>
      <c r="M179" s="13"/>
      <c r="N179" s="14">
        <v>0</v>
      </c>
      <c r="O179" s="12">
        <v>578.79999999999995</v>
      </c>
      <c r="P179" s="13">
        <v>227.66459710000001</v>
      </c>
      <c r="Q179" s="14">
        <v>131772.26879999999</v>
      </c>
      <c r="R179" s="11" t="s">
        <v>2964</v>
      </c>
      <c r="S179" s="11" t="s">
        <v>2965</v>
      </c>
      <c r="T179" s="11" t="s">
        <v>2966</v>
      </c>
    </row>
    <row r="180" spans="1:20" ht="50.1" hidden="1" customHeight="1">
      <c r="A180" s="10">
        <v>179</v>
      </c>
      <c r="B180" s="11" t="s">
        <v>2365</v>
      </c>
      <c r="C180" s="11" t="s">
        <v>2366</v>
      </c>
      <c r="D180" s="11" t="s">
        <v>7</v>
      </c>
      <c r="E180" s="11" t="s">
        <v>8</v>
      </c>
      <c r="F180" s="12">
        <v>1596.1</v>
      </c>
      <c r="G180" s="13">
        <v>250</v>
      </c>
      <c r="H180" s="14">
        <v>399025</v>
      </c>
      <c r="I180" s="12">
        <v>0</v>
      </c>
      <c r="J180" s="13"/>
      <c r="K180" s="14">
        <v>0</v>
      </c>
      <c r="L180" s="12">
        <v>0</v>
      </c>
      <c r="M180" s="13"/>
      <c r="N180" s="14">
        <v>0</v>
      </c>
      <c r="O180" s="12">
        <v>1596.1</v>
      </c>
      <c r="P180" s="13">
        <v>250</v>
      </c>
      <c r="Q180" s="14">
        <v>399025</v>
      </c>
      <c r="R180" s="11" t="s">
        <v>2964</v>
      </c>
      <c r="S180" s="11" t="s">
        <v>2965</v>
      </c>
      <c r="T180" s="11" t="s">
        <v>2966</v>
      </c>
    </row>
    <row r="181" spans="1:20" ht="50.1" hidden="1" customHeight="1">
      <c r="A181" s="10">
        <v>180</v>
      </c>
      <c r="B181" s="11" t="s">
        <v>1368</v>
      </c>
      <c r="C181" s="11" t="s">
        <v>1369</v>
      </c>
      <c r="D181" s="11" t="s">
        <v>7</v>
      </c>
      <c r="E181" s="11" t="s">
        <v>8</v>
      </c>
      <c r="F181" s="12">
        <v>445.1</v>
      </c>
      <c r="G181" s="13">
        <v>228.00000224999999</v>
      </c>
      <c r="H181" s="14">
        <v>101482.80100000001</v>
      </c>
      <c r="I181" s="12">
        <v>0</v>
      </c>
      <c r="J181" s="13"/>
      <c r="K181" s="14">
        <v>0</v>
      </c>
      <c r="L181" s="12">
        <v>0</v>
      </c>
      <c r="M181" s="13"/>
      <c r="N181" s="14">
        <v>0</v>
      </c>
      <c r="O181" s="12">
        <v>445.1</v>
      </c>
      <c r="P181" s="13">
        <v>228.00000224999999</v>
      </c>
      <c r="Q181" s="14">
        <v>101482.80100000001</v>
      </c>
      <c r="R181" s="11" t="s">
        <v>2964</v>
      </c>
      <c r="S181" s="11" t="s">
        <v>2965</v>
      </c>
      <c r="T181" s="11" t="s">
        <v>2966</v>
      </c>
    </row>
    <row r="182" spans="1:20" ht="50.1" hidden="1" customHeight="1">
      <c r="A182" s="10">
        <v>181</v>
      </c>
      <c r="B182" s="11" t="s">
        <v>3276</v>
      </c>
      <c r="C182" s="11" t="s">
        <v>3277</v>
      </c>
      <c r="D182" s="11" t="s">
        <v>7</v>
      </c>
      <c r="E182" s="11" t="s">
        <v>8</v>
      </c>
      <c r="F182" s="12">
        <v>66</v>
      </c>
      <c r="G182" s="13">
        <v>144</v>
      </c>
      <c r="H182" s="14">
        <v>9504</v>
      </c>
      <c r="I182" s="12">
        <v>0</v>
      </c>
      <c r="J182" s="13"/>
      <c r="K182" s="14">
        <v>0</v>
      </c>
      <c r="L182" s="12">
        <v>0</v>
      </c>
      <c r="M182" s="13"/>
      <c r="N182" s="14">
        <v>0</v>
      </c>
      <c r="O182" s="12">
        <v>66</v>
      </c>
      <c r="P182" s="13">
        <v>144</v>
      </c>
      <c r="Q182" s="14">
        <v>9504</v>
      </c>
      <c r="R182" s="11" t="s">
        <v>2964</v>
      </c>
      <c r="S182" s="11" t="s">
        <v>2965</v>
      </c>
      <c r="T182" s="11" t="s">
        <v>2961</v>
      </c>
    </row>
    <row r="183" spans="1:20" ht="50.1" hidden="1" customHeight="1">
      <c r="A183" s="10">
        <v>182</v>
      </c>
      <c r="B183" s="11" t="s">
        <v>3278</v>
      </c>
      <c r="C183" s="11" t="s">
        <v>3279</v>
      </c>
      <c r="D183" s="11" t="s">
        <v>7</v>
      </c>
      <c r="E183" s="11" t="s">
        <v>8</v>
      </c>
      <c r="F183" s="12">
        <v>3442.8</v>
      </c>
      <c r="G183" s="13">
        <v>165.30907981999999</v>
      </c>
      <c r="H183" s="14">
        <v>569126.1</v>
      </c>
      <c r="I183" s="12">
        <v>0</v>
      </c>
      <c r="J183" s="13"/>
      <c r="K183" s="14">
        <v>0</v>
      </c>
      <c r="L183" s="12">
        <v>472</v>
      </c>
      <c r="M183" s="13">
        <v>165.30908898000001</v>
      </c>
      <c r="N183" s="14">
        <v>78025.89</v>
      </c>
      <c r="O183" s="12">
        <v>2970.8</v>
      </c>
      <c r="P183" s="13">
        <v>165.30907836</v>
      </c>
      <c r="Q183" s="14">
        <v>491100.21</v>
      </c>
      <c r="R183" s="11" t="s">
        <v>2964</v>
      </c>
      <c r="S183" s="11" t="s">
        <v>2965</v>
      </c>
      <c r="T183" s="11" t="s">
        <v>2961</v>
      </c>
    </row>
    <row r="184" spans="1:20" ht="50.1" hidden="1" customHeight="1">
      <c r="A184" s="10">
        <v>183</v>
      </c>
      <c r="B184" s="11" t="s">
        <v>1370</v>
      </c>
      <c r="C184" s="11" t="s">
        <v>1371</v>
      </c>
      <c r="D184" s="11" t="s">
        <v>7</v>
      </c>
      <c r="E184" s="11" t="s">
        <v>8</v>
      </c>
      <c r="F184" s="12">
        <v>1539</v>
      </c>
      <c r="G184" s="13">
        <v>269.99999941999999</v>
      </c>
      <c r="H184" s="14">
        <v>415529.99910000002</v>
      </c>
      <c r="I184" s="12">
        <v>0</v>
      </c>
      <c r="J184" s="13"/>
      <c r="K184" s="14">
        <v>0</v>
      </c>
      <c r="L184" s="12">
        <v>0</v>
      </c>
      <c r="M184" s="13"/>
      <c r="N184" s="14">
        <v>0</v>
      </c>
      <c r="O184" s="12">
        <v>1539</v>
      </c>
      <c r="P184" s="13">
        <v>269.99999941999999</v>
      </c>
      <c r="Q184" s="14">
        <v>415529.99910000002</v>
      </c>
      <c r="R184" s="11" t="s">
        <v>2964</v>
      </c>
      <c r="S184" s="11" t="s">
        <v>2965</v>
      </c>
      <c r="T184" s="11" t="s">
        <v>2966</v>
      </c>
    </row>
    <row r="185" spans="1:20" ht="50.1" hidden="1" customHeight="1">
      <c r="A185" s="10">
        <v>184</v>
      </c>
      <c r="B185" s="11" t="s">
        <v>1372</v>
      </c>
      <c r="C185" s="11" t="s">
        <v>1373</v>
      </c>
      <c r="D185" s="11" t="s">
        <v>7</v>
      </c>
      <c r="E185" s="11" t="s">
        <v>8</v>
      </c>
      <c r="F185" s="12">
        <v>231</v>
      </c>
      <c r="G185" s="13">
        <v>308.90051948000001</v>
      </c>
      <c r="H185" s="14">
        <v>71356.02</v>
      </c>
      <c r="I185" s="12">
        <v>355</v>
      </c>
      <c r="J185" s="13">
        <v>258</v>
      </c>
      <c r="K185" s="14">
        <v>91590</v>
      </c>
      <c r="L185" s="12">
        <v>0</v>
      </c>
      <c r="M185" s="13"/>
      <c r="N185" s="14">
        <v>0</v>
      </c>
      <c r="O185" s="12">
        <v>586</v>
      </c>
      <c r="P185" s="13">
        <v>278.06488055</v>
      </c>
      <c r="Q185" s="14">
        <v>162946.01999999999</v>
      </c>
      <c r="R185" s="11" t="s">
        <v>2964</v>
      </c>
      <c r="S185" s="11" t="s">
        <v>2965</v>
      </c>
      <c r="T185" s="11" t="s">
        <v>2966</v>
      </c>
    </row>
    <row r="186" spans="1:20" ht="50.1" hidden="1" customHeight="1">
      <c r="A186" s="10">
        <v>185</v>
      </c>
      <c r="B186" s="11" t="s">
        <v>1376</v>
      </c>
      <c r="C186" s="11" t="s">
        <v>1377</v>
      </c>
      <c r="D186" s="11" t="s">
        <v>7</v>
      </c>
      <c r="E186" s="11" t="s">
        <v>8</v>
      </c>
      <c r="F186" s="12">
        <v>2645</v>
      </c>
      <c r="G186" s="13">
        <v>180.45772699</v>
      </c>
      <c r="H186" s="14">
        <v>477310.68790000002</v>
      </c>
      <c r="I186" s="12">
        <v>0</v>
      </c>
      <c r="J186" s="13"/>
      <c r="K186" s="14">
        <v>0</v>
      </c>
      <c r="L186" s="12">
        <v>730</v>
      </c>
      <c r="M186" s="13">
        <v>180.45771232999999</v>
      </c>
      <c r="N186" s="14">
        <v>131734.13</v>
      </c>
      <c r="O186" s="12">
        <v>1915</v>
      </c>
      <c r="P186" s="13">
        <v>180.45773258</v>
      </c>
      <c r="Q186" s="14">
        <v>345576.55790000001</v>
      </c>
      <c r="R186" s="11" t="s">
        <v>2964</v>
      </c>
      <c r="S186" s="11" t="s">
        <v>2965</v>
      </c>
      <c r="T186" s="11" t="s">
        <v>2966</v>
      </c>
    </row>
    <row r="187" spans="1:20" ht="50.1" hidden="1" customHeight="1">
      <c r="A187" s="10">
        <v>186</v>
      </c>
      <c r="B187" s="11" t="s">
        <v>1378</v>
      </c>
      <c r="C187" s="11" t="s">
        <v>1379</v>
      </c>
      <c r="D187" s="11" t="s">
        <v>7</v>
      </c>
      <c r="E187" s="11" t="s">
        <v>8</v>
      </c>
      <c r="F187" s="12">
        <v>126.3</v>
      </c>
      <c r="G187" s="13">
        <v>235.00001584</v>
      </c>
      <c r="H187" s="14">
        <v>29680.502</v>
      </c>
      <c r="I187" s="12">
        <v>117.6</v>
      </c>
      <c r="J187" s="13">
        <v>165</v>
      </c>
      <c r="K187" s="14">
        <v>19404</v>
      </c>
      <c r="L187" s="12">
        <v>177.3</v>
      </c>
      <c r="M187" s="13">
        <v>207.36796390000001</v>
      </c>
      <c r="N187" s="14">
        <v>36766.339999999997</v>
      </c>
      <c r="O187" s="12">
        <v>66.599999999999994</v>
      </c>
      <c r="P187" s="13">
        <v>184.95738739000001</v>
      </c>
      <c r="Q187" s="14">
        <v>12318.162</v>
      </c>
      <c r="R187" s="11" t="s">
        <v>2964</v>
      </c>
      <c r="S187" s="11" t="s">
        <v>2965</v>
      </c>
      <c r="T187" s="11" t="s">
        <v>2966</v>
      </c>
    </row>
    <row r="188" spans="1:20" ht="50.1" hidden="1" customHeight="1">
      <c r="A188" s="10">
        <v>187</v>
      </c>
      <c r="B188" s="11" t="s">
        <v>1380</v>
      </c>
      <c r="C188" s="11" t="s">
        <v>1381</v>
      </c>
      <c r="D188" s="11" t="s">
        <v>7</v>
      </c>
      <c r="E188" s="11" t="s">
        <v>8</v>
      </c>
      <c r="F188" s="12">
        <v>359.4</v>
      </c>
      <c r="G188" s="13">
        <v>208.65153033000001</v>
      </c>
      <c r="H188" s="14">
        <v>74989.36</v>
      </c>
      <c r="I188" s="12">
        <v>0</v>
      </c>
      <c r="J188" s="13"/>
      <c r="K188" s="14">
        <v>0</v>
      </c>
      <c r="L188" s="12">
        <v>45.6</v>
      </c>
      <c r="M188" s="13">
        <v>208.65153509000001</v>
      </c>
      <c r="N188" s="14">
        <v>9514.51</v>
      </c>
      <c r="O188" s="12">
        <v>313.8</v>
      </c>
      <c r="P188" s="13">
        <v>208.65152964000001</v>
      </c>
      <c r="Q188" s="14">
        <v>65474.85</v>
      </c>
      <c r="R188" s="11" t="s">
        <v>2964</v>
      </c>
      <c r="S188" s="11" t="s">
        <v>2965</v>
      </c>
      <c r="T188" s="11" t="s">
        <v>2966</v>
      </c>
    </row>
    <row r="189" spans="1:20" ht="50.1" hidden="1" customHeight="1">
      <c r="A189" s="10">
        <v>188</v>
      </c>
      <c r="B189" s="11" t="s">
        <v>1382</v>
      </c>
      <c r="C189" s="11" t="s">
        <v>1383</v>
      </c>
      <c r="D189" s="11" t="s">
        <v>7</v>
      </c>
      <c r="E189" s="11" t="s">
        <v>8</v>
      </c>
      <c r="F189" s="12">
        <v>857</v>
      </c>
      <c r="G189" s="13">
        <v>231.11191224999999</v>
      </c>
      <c r="H189" s="14">
        <v>198062.9088</v>
      </c>
      <c r="I189" s="12">
        <v>0</v>
      </c>
      <c r="J189" s="13"/>
      <c r="K189" s="14">
        <v>0</v>
      </c>
      <c r="L189" s="12">
        <v>40</v>
      </c>
      <c r="M189" s="13">
        <v>231.11199999999999</v>
      </c>
      <c r="N189" s="14">
        <v>9244.48</v>
      </c>
      <c r="O189" s="12">
        <v>817</v>
      </c>
      <c r="P189" s="13">
        <v>231.11190796</v>
      </c>
      <c r="Q189" s="14">
        <v>188818.42879999999</v>
      </c>
      <c r="R189" s="11" t="s">
        <v>2964</v>
      </c>
      <c r="S189" s="11" t="s">
        <v>2965</v>
      </c>
      <c r="T189" s="11" t="s">
        <v>2966</v>
      </c>
    </row>
    <row r="190" spans="1:20" ht="50.1" hidden="1" customHeight="1">
      <c r="A190" s="10">
        <v>189</v>
      </c>
      <c r="B190" s="11" t="s">
        <v>1384</v>
      </c>
      <c r="C190" s="11" t="s">
        <v>1385</v>
      </c>
      <c r="D190" s="11" t="s">
        <v>20</v>
      </c>
      <c r="E190" s="11" t="s">
        <v>8</v>
      </c>
      <c r="F190" s="12">
        <v>1375.4</v>
      </c>
      <c r="G190" s="13">
        <v>332.52536877</v>
      </c>
      <c r="H190" s="14">
        <v>457355.3922</v>
      </c>
      <c r="I190" s="12">
        <v>0</v>
      </c>
      <c r="J190" s="13"/>
      <c r="K190" s="14">
        <v>0</v>
      </c>
      <c r="L190" s="12">
        <v>463.1</v>
      </c>
      <c r="M190" s="13">
        <v>332.52541567999998</v>
      </c>
      <c r="N190" s="14">
        <v>153992.51999999999</v>
      </c>
      <c r="O190" s="12">
        <v>912.3</v>
      </c>
      <c r="P190" s="13">
        <v>332.52534494999998</v>
      </c>
      <c r="Q190" s="14">
        <v>303362.87219999998</v>
      </c>
      <c r="R190" s="11" t="s">
        <v>2964</v>
      </c>
      <c r="S190" s="11" t="s">
        <v>2965</v>
      </c>
      <c r="T190" s="11" t="s">
        <v>2966</v>
      </c>
    </row>
    <row r="191" spans="1:20" ht="50.1" hidden="1" customHeight="1">
      <c r="A191" s="10">
        <v>190</v>
      </c>
      <c r="B191" s="11" t="s">
        <v>1390</v>
      </c>
      <c r="C191" s="11" t="s">
        <v>1391</v>
      </c>
      <c r="D191" s="11" t="s">
        <v>7</v>
      </c>
      <c r="E191" s="11" t="s">
        <v>8</v>
      </c>
      <c r="F191" s="12">
        <v>1014.5</v>
      </c>
      <c r="G191" s="13">
        <v>99.338245439999994</v>
      </c>
      <c r="H191" s="14">
        <v>100778.65</v>
      </c>
      <c r="I191" s="12">
        <v>0</v>
      </c>
      <c r="J191" s="13"/>
      <c r="K191" s="14">
        <v>0</v>
      </c>
      <c r="L191" s="12">
        <v>0</v>
      </c>
      <c r="M191" s="13"/>
      <c r="N191" s="14">
        <v>0</v>
      </c>
      <c r="O191" s="12">
        <v>1014.5</v>
      </c>
      <c r="P191" s="13">
        <v>99.338245439999994</v>
      </c>
      <c r="Q191" s="14">
        <v>100778.65</v>
      </c>
      <c r="R191" s="11" t="s">
        <v>2964</v>
      </c>
      <c r="S191" s="11" t="s">
        <v>2965</v>
      </c>
      <c r="T191" s="11" t="s">
        <v>2966</v>
      </c>
    </row>
    <row r="192" spans="1:20" ht="50.1" hidden="1" customHeight="1">
      <c r="A192" s="10">
        <v>191</v>
      </c>
      <c r="B192" s="11" t="s">
        <v>1394</v>
      </c>
      <c r="C192" s="11" t="s">
        <v>1395</v>
      </c>
      <c r="D192" s="11" t="s">
        <v>7</v>
      </c>
      <c r="E192" s="11" t="s">
        <v>8</v>
      </c>
      <c r="F192" s="12">
        <v>3276</v>
      </c>
      <c r="G192" s="13">
        <v>95.519499389999993</v>
      </c>
      <c r="H192" s="14">
        <v>312921.88</v>
      </c>
      <c r="I192" s="12">
        <v>3279</v>
      </c>
      <c r="J192" s="13">
        <v>93.125038119999999</v>
      </c>
      <c r="K192" s="14">
        <v>305357</v>
      </c>
      <c r="L192" s="12">
        <v>1743</v>
      </c>
      <c r="M192" s="13">
        <v>94.416643719999996</v>
      </c>
      <c r="N192" s="14">
        <v>164568.21</v>
      </c>
      <c r="O192" s="12">
        <v>4812</v>
      </c>
      <c r="P192" s="13">
        <v>94.287337910000005</v>
      </c>
      <c r="Q192" s="14">
        <v>453710.67</v>
      </c>
      <c r="R192" s="11" t="s">
        <v>2964</v>
      </c>
      <c r="S192" s="11" t="s">
        <v>2965</v>
      </c>
      <c r="T192" s="11" t="s">
        <v>2966</v>
      </c>
    </row>
    <row r="193" spans="1:20" ht="50.1" hidden="1" customHeight="1">
      <c r="A193" s="10">
        <v>192</v>
      </c>
      <c r="B193" s="11" t="s">
        <v>1400</v>
      </c>
      <c r="C193" s="11" t="s">
        <v>1401</v>
      </c>
      <c r="D193" s="11" t="s">
        <v>7</v>
      </c>
      <c r="E193" s="11" t="s">
        <v>8</v>
      </c>
      <c r="F193" s="12">
        <v>2732</v>
      </c>
      <c r="G193" s="13">
        <v>100</v>
      </c>
      <c r="H193" s="14">
        <v>273200</v>
      </c>
      <c r="I193" s="12">
        <v>0</v>
      </c>
      <c r="J193" s="13"/>
      <c r="K193" s="14">
        <v>0</v>
      </c>
      <c r="L193" s="12">
        <v>275.5</v>
      </c>
      <c r="M193" s="13">
        <v>100</v>
      </c>
      <c r="N193" s="14">
        <v>27550</v>
      </c>
      <c r="O193" s="12">
        <v>2456.5</v>
      </c>
      <c r="P193" s="13">
        <v>100</v>
      </c>
      <c r="Q193" s="14">
        <v>245650</v>
      </c>
      <c r="R193" s="11" t="s">
        <v>2964</v>
      </c>
      <c r="S193" s="11" t="s">
        <v>2965</v>
      </c>
      <c r="T193" s="11" t="s">
        <v>2966</v>
      </c>
    </row>
    <row r="194" spans="1:20" ht="50.1" hidden="1" customHeight="1">
      <c r="A194" s="10">
        <v>193</v>
      </c>
      <c r="B194" s="11" t="s">
        <v>1402</v>
      </c>
      <c r="C194" s="11" t="s">
        <v>1403</v>
      </c>
      <c r="D194" s="11" t="s">
        <v>7</v>
      </c>
      <c r="E194" s="11" t="s">
        <v>8</v>
      </c>
      <c r="F194" s="12">
        <v>2184</v>
      </c>
      <c r="G194" s="13">
        <v>105.03642720000001</v>
      </c>
      <c r="H194" s="14">
        <v>229399.557</v>
      </c>
      <c r="I194" s="12">
        <v>0</v>
      </c>
      <c r="J194" s="13"/>
      <c r="K194" s="14">
        <v>0</v>
      </c>
      <c r="L194" s="12">
        <v>0</v>
      </c>
      <c r="M194" s="13"/>
      <c r="N194" s="14">
        <v>0</v>
      </c>
      <c r="O194" s="12">
        <v>2184</v>
      </c>
      <c r="P194" s="13">
        <v>105.03642720000001</v>
      </c>
      <c r="Q194" s="14">
        <v>229399.557</v>
      </c>
      <c r="R194" s="11" t="s">
        <v>2964</v>
      </c>
      <c r="S194" s="11" t="s">
        <v>2965</v>
      </c>
      <c r="T194" s="11" t="s">
        <v>2966</v>
      </c>
    </row>
    <row r="195" spans="1:20" ht="50.1" hidden="1" customHeight="1">
      <c r="A195" s="10">
        <v>194</v>
      </c>
      <c r="B195" s="11" t="s">
        <v>1404</v>
      </c>
      <c r="C195" s="11" t="s">
        <v>1405</v>
      </c>
      <c r="D195" s="11" t="s">
        <v>7</v>
      </c>
      <c r="E195" s="11" t="s">
        <v>8</v>
      </c>
      <c r="F195" s="12">
        <v>1448.7</v>
      </c>
      <c r="G195" s="13">
        <v>95.868979080000003</v>
      </c>
      <c r="H195" s="14">
        <v>138885.39000000001</v>
      </c>
      <c r="I195" s="12">
        <v>0</v>
      </c>
      <c r="J195" s="13"/>
      <c r="K195" s="14">
        <v>0</v>
      </c>
      <c r="L195" s="12">
        <v>156.4</v>
      </c>
      <c r="M195" s="13">
        <v>95.869053710000003</v>
      </c>
      <c r="N195" s="14">
        <v>14993.92</v>
      </c>
      <c r="O195" s="12">
        <v>1292.3</v>
      </c>
      <c r="P195" s="13">
        <v>95.868970050000001</v>
      </c>
      <c r="Q195" s="14">
        <v>123891.47</v>
      </c>
      <c r="R195" s="11" t="s">
        <v>2964</v>
      </c>
      <c r="S195" s="11" t="s">
        <v>2965</v>
      </c>
      <c r="T195" s="11" t="s">
        <v>2966</v>
      </c>
    </row>
    <row r="196" spans="1:20" ht="50.1" hidden="1" customHeight="1">
      <c r="A196" s="10">
        <v>195</v>
      </c>
      <c r="B196" s="11" t="s">
        <v>1408</v>
      </c>
      <c r="C196" s="11" t="s">
        <v>1409</v>
      </c>
      <c r="D196" s="11" t="s">
        <v>7</v>
      </c>
      <c r="E196" s="11" t="s">
        <v>8</v>
      </c>
      <c r="F196" s="12">
        <v>17852</v>
      </c>
      <c r="G196" s="13">
        <v>118.15035063000001</v>
      </c>
      <c r="H196" s="14">
        <v>2109220.0595</v>
      </c>
      <c r="I196" s="12">
        <v>0</v>
      </c>
      <c r="J196" s="13"/>
      <c r="K196" s="14">
        <v>0</v>
      </c>
      <c r="L196" s="12">
        <v>3343</v>
      </c>
      <c r="M196" s="13">
        <v>118.15031408999999</v>
      </c>
      <c r="N196" s="14">
        <v>394976.5</v>
      </c>
      <c r="O196" s="12">
        <v>14509</v>
      </c>
      <c r="P196" s="13">
        <v>118.15035905000001</v>
      </c>
      <c r="Q196" s="14">
        <v>1714243.5595</v>
      </c>
      <c r="R196" s="11" t="s">
        <v>2964</v>
      </c>
      <c r="S196" s="11" t="s">
        <v>2965</v>
      </c>
      <c r="T196" s="11" t="s">
        <v>2966</v>
      </c>
    </row>
    <row r="197" spans="1:20" ht="50.1" hidden="1" customHeight="1">
      <c r="A197" s="10">
        <v>196</v>
      </c>
      <c r="B197" s="11" t="s">
        <v>1410</v>
      </c>
      <c r="C197" s="11" t="s">
        <v>1411</v>
      </c>
      <c r="D197" s="11" t="s">
        <v>7</v>
      </c>
      <c r="E197" s="11" t="s">
        <v>8</v>
      </c>
      <c r="F197" s="12">
        <v>3604</v>
      </c>
      <c r="G197" s="13">
        <v>109.01700816</v>
      </c>
      <c r="H197" s="14">
        <v>392897.29739999998</v>
      </c>
      <c r="I197" s="12">
        <v>0</v>
      </c>
      <c r="J197" s="13"/>
      <c r="K197" s="14">
        <v>0</v>
      </c>
      <c r="L197" s="12">
        <v>305</v>
      </c>
      <c r="M197" s="13">
        <v>109.01701638999999</v>
      </c>
      <c r="N197" s="14">
        <v>33250.19</v>
      </c>
      <c r="O197" s="12">
        <v>3299</v>
      </c>
      <c r="P197" s="13">
        <v>109.0170074</v>
      </c>
      <c r="Q197" s="14">
        <v>359647.10739999998</v>
      </c>
      <c r="R197" s="11" t="s">
        <v>2964</v>
      </c>
      <c r="S197" s="11" t="s">
        <v>2965</v>
      </c>
      <c r="T197" s="11" t="s">
        <v>2966</v>
      </c>
    </row>
    <row r="198" spans="1:20" ht="50.1" hidden="1" customHeight="1">
      <c r="A198" s="10">
        <v>197</v>
      </c>
      <c r="B198" s="11" t="s">
        <v>1412</v>
      </c>
      <c r="C198" s="11" t="s">
        <v>1413</v>
      </c>
      <c r="D198" s="11" t="s">
        <v>7</v>
      </c>
      <c r="E198" s="11" t="s">
        <v>8</v>
      </c>
      <c r="F198" s="12">
        <v>1771</v>
      </c>
      <c r="G198" s="13">
        <v>114.87708922</v>
      </c>
      <c r="H198" s="14">
        <v>203447.32500000001</v>
      </c>
      <c r="I198" s="12">
        <v>0</v>
      </c>
      <c r="J198" s="13"/>
      <c r="K198" s="14">
        <v>0</v>
      </c>
      <c r="L198" s="12">
        <v>0</v>
      </c>
      <c r="M198" s="13"/>
      <c r="N198" s="14">
        <v>0</v>
      </c>
      <c r="O198" s="12">
        <v>1771</v>
      </c>
      <c r="P198" s="13">
        <v>114.87708922</v>
      </c>
      <c r="Q198" s="14">
        <v>203447.32500000001</v>
      </c>
      <c r="R198" s="11" t="s">
        <v>2964</v>
      </c>
      <c r="S198" s="11" t="s">
        <v>2965</v>
      </c>
      <c r="T198" s="11" t="s">
        <v>2966</v>
      </c>
    </row>
    <row r="199" spans="1:20" ht="50.1" hidden="1" customHeight="1">
      <c r="A199" s="10">
        <v>198</v>
      </c>
      <c r="B199" s="11" t="s">
        <v>1414</v>
      </c>
      <c r="C199" s="11" t="s">
        <v>1415</v>
      </c>
      <c r="D199" s="11" t="s">
        <v>7</v>
      </c>
      <c r="E199" s="11" t="s">
        <v>8</v>
      </c>
      <c r="F199" s="12">
        <v>1991.2</v>
      </c>
      <c r="G199" s="13">
        <v>106.00030635</v>
      </c>
      <c r="H199" s="14">
        <v>211067.81</v>
      </c>
      <c r="I199" s="12">
        <v>0</v>
      </c>
      <c r="J199" s="13"/>
      <c r="K199" s="14">
        <v>0</v>
      </c>
      <c r="L199" s="12">
        <v>321</v>
      </c>
      <c r="M199" s="13">
        <v>106.00031153</v>
      </c>
      <c r="N199" s="14">
        <v>34026.1</v>
      </c>
      <c r="O199" s="12">
        <v>1670.2</v>
      </c>
      <c r="P199" s="13">
        <v>106.00030535</v>
      </c>
      <c r="Q199" s="14">
        <v>177041.71</v>
      </c>
      <c r="R199" s="11" t="s">
        <v>2964</v>
      </c>
      <c r="S199" s="11" t="s">
        <v>2965</v>
      </c>
      <c r="T199" s="11" t="s">
        <v>2966</v>
      </c>
    </row>
    <row r="200" spans="1:20" ht="50.1" hidden="1" customHeight="1">
      <c r="A200" s="10">
        <v>199</v>
      </c>
      <c r="B200" s="11" t="s">
        <v>1416</v>
      </c>
      <c r="C200" s="11" t="s">
        <v>1417</v>
      </c>
      <c r="D200" s="11" t="s">
        <v>7</v>
      </c>
      <c r="E200" s="11" t="s">
        <v>8</v>
      </c>
      <c r="F200" s="12">
        <v>540</v>
      </c>
      <c r="G200" s="13">
        <v>116.72583704</v>
      </c>
      <c r="H200" s="14">
        <v>63031.951999999997</v>
      </c>
      <c r="I200" s="12">
        <v>0</v>
      </c>
      <c r="J200" s="13"/>
      <c r="K200" s="14">
        <v>0</v>
      </c>
      <c r="L200" s="12">
        <v>0</v>
      </c>
      <c r="M200" s="13"/>
      <c r="N200" s="14">
        <v>0</v>
      </c>
      <c r="O200" s="12">
        <v>540</v>
      </c>
      <c r="P200" s="13">
        <v>116.72583704</v>
      </c>
      <c r="Q200" s="14">
        <v>63031.951999999997</v>
      </c>
      <c r="R200" s="11" t="s">
        <v>2964</v>
      </c>
      <c r="S200" s="11" t="s">
        <v>2965</v>
      </c>
      <c r="T200" s="11" t="s">
        <v>2966</v>
      </c>
    </row>
    <row r="201" spans="1:20" ht="50.1" hidden="1" customHeight="1">
      <c r="A201" s="10">
        <v>200</v>
      </c>
      <c r="B201" s="11" t="s">
        <v>1418</v>
      </c>
      <c r="C201" s="11" t="s">
        <v>1419</v>
      </c>
      <c r="D201" s="11" t="s">
        <v>7</v>
      </c>
      <c r="E201" s="11" t="s">
        <v>8</v>
      </c>
      <c r="F201" s="12">
        <v>9685</v>
      </c>
      <c r="G201" s="13">
        <v>106.4528126</v>
      </c>
      <c r="H201" s="14">
        <v>1030995.49</v>
      </c>
      <c r="I201" s="12">
        <v>0</v>
      </c>
      <c r="J201" s="13"/>
      <c r="K201" s="14">
        <v>0</v>
      </c>
      <c r="L201" s="12">
        <v>0</v>
      </c>
      <c r="M201" s="13"/>
      <c r="N201" s="14">
        <v>0</v>
      </c>
      <c r="O201" s="12">
        <v>9685</v>
      </c>
      <c r="P201" s="13">
        <v>106.4528126</v>
      </c>
      <c r="Q201" s="14">
        <v>1030995.49</v>
      </c>
      <c r="R201" s="11" t="s">
        <v>2964</v>
      </c>
      <c r="S201" s="11" t="s">
        <v>2965</v>
      </c>
      <c r="T201" s="11" t="s">
        <v>2966</v>
      </c>
    </row>
    <row r="202" spans="1:20" ht="50.1" hidden="1" customHeight="1">
      <c r="A202" s="10">
        <v>201</v>
      </c>
      <c r="B202" s="11" t="s">
        <v>1420</v>
      </c>
      <c r="C202" s="11" t="s">
        <v>1421</v>
      </c>
      <c r="D202" s="11" t="s">
        <v>7</v>
      </c>
      <c r="E202" s="11" t="s">
        <v>8</v>
      </c>
      <c r="F202" s="12">
        <v>5774.6</v>
      </c>
      <c r="G202" s="13">
        <v>107.56035743</v>
      </c>
      <c r="H202" s="14">
        <v>621118.04</v>
      </c>
      <c r="I202" s="12">
        <v>0</v>
      </c>
      <c r="J202" s="13"/>
      <c r="K202" s="14">
        <v>0</v>
      </c>
      <c r="L202" s="12">
        <v>290.5</v>
      </c>
      <c r="M202" s="13">
        <v>107.56041308</v>
      </c>
      <c r="N202" s="14">
        <v>31246.3</v>
      </c>
      <c r="O202" s="12">
        <v>5484.1</v>
      </c>
      <c r="P202" s="13">
        <v>107.56035448</v>
      </c>
      <c r="Q202" s="14">
        <v>589871.74</v>
      </c>
      <c r="R202" s="11" t="s">
        <v>2964</v>
      </c>
      <c r="S202" s="11" t="s">
        <v>2965</v>
      </c>
      <c r="T202" s="11" t="s">
        <v>2966</v>
      </c>
    </row>
    <row r="203" spans="1:20" ht="50.1" hidden="1" customHeight="1">
      <c r="A203" s="10">
        <v>202</v>
      </c>
      <c r="B203" s="11" t="s">
        <v>1422</v>
      </c>
      <c r="C203" s="11" t="s">
        <v>1423</v>
      </c>
      <c r="D203" s="11" t="s">
        <v>7</v>
      </c>
      <c r="E203" s="11" t="s">
        <v>8</v>
      </c>
      <c r="F203" s="12">
        <v>1564</v>
      </c>
      <c r="G203" s="13">
        <v>118.72045531000001</v>
      </c>
      <c r="H203" s="14">
        <v>185678.79209999999</v>
      </c>
      <c r="I203" s="12">
        <v>16767</v>
      </c>
      <c r="J203" s="13">
        <v>128.01662014999999</v>
      </c>
      <c r="K203" s="14">
        <v>2146454.67</v>
      </c>
      <c r="L203" s="12">
        <v>3334</v>
      </c>
      <c r="M203" s="13">
        <v>118.66897121</v>
      </c>
      <c r="N203" s="14">
        <v>395642.35</v>
      </c>
      <c r="O203" s="12">
        <v>14997</v>
      </c>
      <c r="P203" s="13">
        <v>129.12523252</v>
      </c>
      <c r="Q203" s="14">
        <v>1936491.1121</v>
      </c>
      <c r="R203" s="11" t="s">
        <v>2964</v>
      </c>
      <c r="S203" s="11" t="s">
        <v>2965</v>
      </c>
      <c r="T203" s="11" t="s">
        <v>2966</v>
      </c>
    </row>
    <row r="204" spans="1:20" ht="50.1" hidden="1" customHeight="1">
      <c r="A204" s="10">
        <v>203</v>
      </c>
      <c r="B204" s="11" t="s">
        <v>1424</v>
      </c>
      <c r="C204" s="11" t="s">
        <v>1425</v>
      </c>
      <c r="D204" s="11" t="s">
        <v>7</v>
      </c>
      <c r="E204" s="11" t="s">
        <v>8</v>
      </c>
      <c r="F204" s="12">
        <v>2007.07</v>
      </c>
      <c r="G204" s="13">
        <v>106.45852336999999</v>
      </c>
      <c r="H204" s="14">
        <v>213669.70850000001</v>
      </c>
      <c r="I204" s="12">
        <v>0</v>
      </c>
      <c r="J204" s="13"/>
      <c r="K204" s="14">
        <v>0</v>
      </c>
      <c r="L204" s="12">
        <v>0</v>
      </c>
      <c r="M204" s="13"/>
      <c r="N204" s="14">
        <v>0</v>
      </c>
      <c r="O204" s="12">
        <v>2007.07</v>
      </c>
      <c r="P204" s="13">
        <v>106.45852336999999</v>
      </c>
      <c r="Q204" s="14">
        <v>213669.70850000001</v>
      </c>
      <c r="R204" s="11" t="s">
        <v>2964</v>
      </c>
      <c r="S204" s="11" t="s">
        <v>2965</v>
      </c>
      <c r="T204" s="11" t="s">
        <v>2966</v>
      </c>
    </row>
    <row r="205" spans="1:20" ht="50.1" hidden="1" customHeight="1">
      <c r="A205" s="10">
        <v>204</v>
      </c>
      <c r="B205" s="11" t="s">
        <v>1426</v>
      </c>
      <c r="C205" s="11" t="s">
        <v>1427</v>
      </c>
      <c r="D205" s="11" t="s">
        <v>7</v>
      </c>
      <c r="E205" s="11" t="s">
        <v>8</v>
      </c>
      <c r="F205" s="12">
        <v>359.5</v>
      </c>
      <c r="G205" s="13">
        <v>235.62460472999999</v>
      </c>
      <c r="H205" s="14">
        <v>84707.045400000003</v>
      </c>
      <c r="I205" s="12">
        <v>0</v>
      </c>
      <c r="J205" s="13"/>
      <c r="K205" s="14">
        <v>0</v>
      </c>
      <c r="L205" s="12">
        <v>0</v>
      </c>
      <c r="M205" s="13"/>
      <c r="N205" s="14">
        <v>0</v>
      </c>
      <c r="O205" s="12">
        <v>359.5</v>
      </c>
      <c r="P205" s="13">
        <v>235.62460472999999</v>
      </c>
      <c r="Q205" s="14">
        <v>84707.045400000003</v>
      </c>
      <c r="R205" s="11" t="s">
        <v>2964</v>
      </c>
      <c r="S205" s="11" t="s">
        <v>2965</v>
      </c>
      <c r="T205" s="11" t="s">
        <v>2966</v>
      </c>
    </row>
    <row r="206" spans="1:20" ht="50.1" hidden="1" customHeight="1">
      <c r="A206" s="10">
        <v>205</v>
      </c>
      <c r="B206" s="11" t="s">
        <v>1428</v>
      </c>
      <c r="C206" s="11" t="s">
        <v>1429</v>
      </c>
      <c r="D206" s="11" t="s">
        <v>7</v>
      </c>
      <c r="E206" s="11" t="s">
        <v>8</v>
      </c>
      <c r="F206" s="12">
        <v>1310.5999999999999</v>
      </c>
      <c r="G206" s="13">
        <v>205.55044262000001</v>
      </c>
      <c r="H206" s="14">
        <v>269394.41009999998</v>
      </c>
      <c r="I206" s="12">
        <v>0</v>
      </c>
      <c r="J206" s="13"/>
      <c r="K206" s="14">
        <v>0</v>
      </c>
      <c r="L206" s="12">
        <v>0</v>
      </c>
      <c r="M206" s="13"/>
      <c r="N206" s="14">
        <v>0</v>
      </c>
      <c r="O206" s="12">
        <v>1310.5999999999999</v>
      </c>
      <c r="P206" s="13">
        <v>205.55044262000001</v>
      </c>
      <c r="Q206" s="14">
        <v>269394.41009999998</v>
      </c>
      <c r="R206" s="11" t="s">
        <v>2964</v>
      </c>
      <c r="S206" s="11" t="s">
        <v>2965</v>
      </c>
      <c r="T206" s="11" t="s">
        <v>2966</v>
      </c>
    </row>
    <row r="207" spans="1:20" ht="50.1" hidden="1" customHeight="1">
      <c r="A207" s="10">
        <v>206</v>
      </c>
      <c r="B207" s="11" t="s">
        <v>1430</v>
      </c>
      <c r="C207" s="11" t="s">
        <v>1431</v>
      </c>
      <c r="D207" s="11" t="s">
        <v>7</v>
      </c>
      <c r="E207" s="11" t="s">
        <v>8</v>
      </c>
      <c r="F207" s="12">
        <v>1055</v>
      </c>
      <c r="G207" s="13">
        <v>218.63577441000001</v>
      </c>
      <c r="H207" s="14">
        <v>230660.742</v>
      </c>
      <c r="I207" s="12">
        <v>0</v>
      </c>
      <c r="J207" s="13"/>
      <c r="K207" s="14">
        <v>0</v>
      </c>
      <c r="L207" s="12">
        <v>0</v>
      </c>
      <c r="M207" s="13"/>
      <c r="N207" s="14">
        <v>0</v>
      </c>
      <c r="O207" s="12">
        <v>1055</v>
      </c>
      <c r="P207" s="13">
        <v>218.63577441000001</v>
      </c>
      <c r="Q207" s="14">
        <v>230660.742</v>
      </c>
      <c r="R207" s="11" t="s">
        <v>2964</v>
      </c>
      <c r="S207" s="11" t="s">
        <v>2965</v>
      </c>
      <c r="T207" s="11" t="s">
        <v>2966</v>
      </c>
    </row>
    <row r="208" spans="1:20" ht="50.1" hidden="1" customHeight="1">
      <c r="A208" s="10">
        <v>207</v>
      </c>
      <c r="B208" s="11" t="s">
        <v>1432</v>
      </c>
      <c r="C208" s="11" t="s">
        <v>1433</v>
      </c>
      <c r="D208" s="11" t="s">
        <v>7</v>
      </c>
      <c r="E208" s="11" t="s">
        <v>8</v>
      </c>
      <c r="F208" s="12">
        <v>470.58</v>
      </c>
      <c r="G208" s="13">
        <v>161.48670747</v>
      </c>
      <c r="H208" s="14">
        <v>75992.414799999999</v>
      </c>
      <c r="I208" s="12">
        <v>0</v>
      </c>
      <c r="J208" s="13"/>
      <c r="K208" s="14">
        <v>0</v>
      </c>
      <c r="L208" s="12">
        <v>0</v>
      </c>
      <c r="M208" s="13"/>
      <c r="N208" s="14">
        <v>0</v>
      </c>
      <c r="O208" s="12">
        <v>470.58</v>
      </c>
      <c r="P208" s="13">
        <v>161.48670747</v>
      </c>
      <c r="Q208" s="14">
        <v>75992.414799999999</v>
      </c>
      <c r="R208" s="11" t="s">
        <v>2964</v>
      </c>
      <c r="S208" s="11" t="s">
        <v>2965</v>
      </c>
      <c r="T208" s="11" t="s">
        <v>2966</v>
      </c>
    </row>
    <row r="209" spans="1:20" ht="50.1" hidden="1" customHeight="1">
      <c r="A209" s="10">
        <v>208</v>
      </c>
      <c r="B209" s="11" t="s">
        <v>1434</v>
      </c>
      <c r="C209" s="11" t="s">
        <v>1435</v>
      </c>
      <c r="D209" s="11" t="s">
        <v>7</v>
      </c>
      <c r="E209" s="11" t="s">
        <v>8</v>
      </c>
      <c r="F209" s="12">
        <v>161.30000000000001</v>
      </c>
      <c r="G209" s="13">
        <v>235.68628394000001</v>
      </c>
      <c r="H209" s="14">
        <v>38016.1976</v>
      </c>
      <c r="I209" s="12">
        <v>0</v>
      </c>
      <c r="J209" s="13"/>
      <c r="K209" s="14">
        <v>0</v>
      </c>
      <c r="L209" s="12">
        <v>0</v>
      </c>
      <c r="M209" s="13"/>
      <c r="N209" s="14">
        <v>0</v>
      </c>
      <c r="O209" s="12">
        <v>161.30000000000001</v>
      </c>
      <c r="P209" s="13">
        <v>235.68628394000001</v>
      </c>
      <c r="Q209" s="14">
        <v>38016.1976</v>
      </c>
      <c r="R209" s="11" t="s">
        <v>2964</v>
      </c>
      <c r="S209" s="11" t="s">
        <v>2965</v>
      </c>
      <c r="T209" s="11" t="s">
        <v>2966</v>
      </c>
    </row>
    <row r="210" spans="1:20" ht="50.1" hidden="1" customHeight="1">
      <c r="A210" s="10">
        <v>209</v>
      </c>
      <c r="B210" s="11" t="s">
        <v>1436</v>
      </c>
      <c r="C210" s="11" t="s">
        <v>1437</v>
      </c>
      <c r="D210" s="11" t="s">
        <v>7</v>
      </c>
      <c r="E210" s="11" t="s">
        <v>8</v>
      </c>
      <c r="F210" s="12">
        <v>2494.1999999999998</v>
      </c>
      <c r="G210" s="13">
        <v>220.40129945000001</v>
      </c>
      <c r="H210" s="14">
        <v>549724.92110000004</v>
      </c>
      <c r="I210" s="12">
        <v>0</v>
      </c>
      <c r="J210" s="13"/>
      <c r="K210" s="14">
        <v>0</v>
      </c>
      <c r="L210" s="12">
        <v>0</v>
      </c>
      <c r="M210" s="13"/>
      <c r="N210" s="14">
        <v>0</v>
      </c>
      <c r="O210" s="12">
        <v>2494.1999999999998</v>
      </c>
      <c r="P210" s="13">
        <v>220.40129945000001</v>
      </c>
      <c r="Q210" s="14">
        <v>549724.92110000004</v>
      </c>
      <c r="R210" s="11" t="s">
        <v>2964</v>
      </c>
      <c r="S210" s="11" t="s">
        <v>2965</v>
      </c>
      <c r="T210" s="11" t="s">
        <v>2966</v>
      </c>
    </row>
    <row r="211" spans="1:20" ht="50.1" hidden="1" customHeight="1">
      <c r="A211" s="10">
        <v>210</v>
      </c>
      <c r="B211" s="11" t="s">
        <v>1438</v>
      </c>
      <c r="C211" s="11" t="s">
        <v>1439</v>
      </c>
      <c r="D211" s="11" t="s">
        <v>20</v>
      </c>
      <c r="E211" s="11" t="s">
        <v>8</v>
      </c>
      <c r="F211" s="12">
        <v>195.6</v>
      </c>
      <c r="G211" s="13">
        <v>369.82290081999997</v>
      </c>
      <c r="H211" s="14">
        <v>72337.359400000001</v>
      </c>
      <c r="I211" s="12">
        <v>0</v>
      </c>
      <c r="J211" s="13"/>
      <c r="K211" s="14">
        <v>0</v>
      </c>
      <c r="L211" s="12">
        <v>0</v>
      </c>
      <c r="M211" s="13"/>
      <c r="N211" s="14">
        <v>0</v>
      </c>
      <c r="O211" s="12">
        <v>195.6</v>
      </c>
      <c r="P211" s="13">
        <v>369.82290081999997</v>
      </c>
      <c r="Q211" s="14">
        <v>72337.359400000001</v>
      </c>
      <c r="R211" s="11" t="s">
        <v>2964</v>
      </c>
      <c r="S211" s="11" t="s">
        <v>2965</v>
      </c>
      <c r="T211" s="11" t="s">
        <v>2966</v>
      </c>
    </row>
    <row r="212" spans="1:20" ht="50.1" hidden="1" customHeight="1">
      <c r="A212" s="10">
        <v>211</v>
      </c>
      <c r="B212" s="11" t="s">
        <v>1440</v>
      </c>
      <c r="C212" s="11" t="s">
        <v>1441</v>
      </c>
      <c r="D212" s="11" t="s">
        <v>20</v>
      </c>
      <c r="E212" s="11" t="s">
        <v>8</v>
      </c>
      <c r="F212" s="12">
        <v>336.9</v>
      </c>
      <c r="G212" s="13">
        <v>384.04867052999998</v>
      </c>
      <c r="H212" s="14">
        <v>129385.99709999999</v>
      </c>
      <c r="I212" s="12">
        <v>0</v>
      </c>
      <c r="J212" s="13"/>
      <c r="K212" s="14">
        <v>0</v>
      </c>
      <c r="L212" s="12">
        <v>83.4</v>
      </c>
      <c r="M212" s="13">
        <v>384.04868105999998</v>
      </c>
      <c r="N212" s="14">
        <v>32029.66</v>
      </c>
      <c r="O212" s="12">
        <v>253.5</v>
      </c>
      <c r="P212" s="13">
        <v>384.04866706000001</v>
      </c>
      <c r="Q212" s="14">
        <v>97356.337100000004</v>
      </c>
      <c r="R212" s="11" t="s">
        <v>2964</v>
      </c>
      <c r="S212" s="11" t="s">
        <v>2965</v>
      </c>
      <c r="T212" s="11" t="s">
        <v>2966</v>
      </c>
    </row>
    <row r="213" spans="1:20" ht="50.1" hidden="1" customHeight="1">
      <c r="A213" s="10">
        <v>212</v>
      </c>
      <c r="B213" s="11" t="s">
        <v>2775</v>
      </c>
      <c r="C213" s="11" t="s">
        <v>2776</v>
      </c>
      <c r="D213" s="11" t="s">
        <v>7</v>
      </c>
      <c r="E213" s="11" t="s">
        <v>8</v>
      </c>
      <c r="F213" s="12">
        <v>1539.9</v>
      </c>
      <c r="G213" s="13">
        <v>132.67708941999999</v>
      </c>
      <c r="H213" s="14">
        <v>204309.45</v>
      </c>
      <c r="I213" s="12">
        <v>2395.1999999999998</v>
      </c>
      <c r="J213" s="13">
        <v>132.5756513</v>
      </c>
      <c r="K213" s="14">
        <v>317545.2</v>
      </c>
      <c r="L213" s="12">
        <v>2491.1</v>
      </c>
      <c r="M213" s="13">
        <v>132.70146521999999</v>
      </c>
      <c r="N213" s="14">
        <v>330572.62</v>
      </c>
      <c r="O213" s="12">
        <v>1444</v>
      </c>
      <c r="P213" s="13">
        <v>132.46677978</v>
      </c>
      <c r="Q213" s="14">
        <v>191282.03</v>
      </c>
      <c r="R213" s="11" t="s">
        <v>2964</v>
      </c>
      <c r="S213" s="11" t="s">
        <v>2965</v>
      </c>
      <c r="T213" s="11" t="s">
        <v>2961</v>
      </c>
    </row>
    <row r="214" spans="1:20" ht="50.1" hidden="1" customHeight="1">
      <c r="A214" s="10">
        <v>213</v>
      </c>
      <c r="B214" s="11" t="s">
        <v>2777</v>
      </c>
      <c r="C214" s="11" t="s">
        <v>2778</v>
      </c>
      <c r="D214" s="11" t="s">
        <v>7</v>
      </c>
      <c r="E214" s="11" t="s">
        <v>8</v>
      </c>
      <c r="F214" s="12">
        <v>1998.3</v>
      </c>
      <c r="G214" s="13">
        <v>132.78827003000001</v>
      </c>
      <c r="H214" s="14">
        <v>265350.8</v>
      </c>
      <c r="I214" s="12">
        <v>3653</v>
      </c>
      <c r="J214" s="13">
        <v>132.69115794999999</v>
      </c>
      <c r="K214" s="14">
        <v>484720.8</v>
      </c>
      <c r="L214" s="12">
        <v>2201.1</v>
      </c>
      <c r="M214" s="13">
        <v>132.84166099000001</v>
      </c>
      <c r="N214" s="14">
        <v>292397.78000000003</v>
      </c>
      <c r="O214" s="12">
        <v>3450.2</v>
      </c>
      <c r="P214" s="13">
        <v>132.65138833</v>
      </c>
      <c r="Q214" s="14">
        <v>457673.82</v>
      </c>
      <c r="R214" s="11" t="s">
        <v>2964</v>
      </c>
      <c r="S214" s="11" t="s">
        <v>2965</v>
      </c>
      <c r="T214" s="11" t="s">
        <v>2961</v>
      </c>
    </row>
    <row r="215" spans="1:20" ht="50.1" hidden="1" customHeight="1">
      <c r="A215" s="10">
        <v>214</v>
      </c>
      <c r="B215" s="11" t="s">
        <v>2779</v>
      </c>
      <c r="C215" s="11" t="s">
        <v>2780</v>
      </c>
      <c r="D215" s="11" t="s">
        <v>7</v>
      </c>
      <c r="E215" s="11" t="s">
        <v>8</v>
      </c>
      <c r="F215" s="12">
        <v>4684</v>
      </c>
      <c r="G215" s="13">
        <v>178.59333262000001</v>
      </c>
      <c r="H215" s="14">
        <v>836531.17</v>
      </c>
      <c r="I215" s="12">
        <v>5629</v>
      </c>
      <c r="J215" s="13">
        <v>176.86701901000001</v>
      </c>
      <c r="K215" s="14">
        <v>995584.45</v>
      </c>
      <c r="L215" s="12">
        <v>3508.8</v>
      </c>
      <c r="M215" s="13">
        <v>177.50832192999999</v>
      </c>
      <c r="N215" s="14">
        <v>622841.19999999995</v>
      </c>
      <c r="O215" s="12">
        <v>6804.2</v>
      </c>
      <c r="P215" s="13">
        <v>177.72470239</v>
      </c>
      <c r="Q215" s="14">
        <v>1209274.42</v>
      </c>
      <c r="R215" s="11" t="s">
        <v>2964</v>
      </c>
      <c r="S215" s="11" t="s">
        <v>2965</v>
      </c>
      <c r="T215" s="11" t="s">
        <v>2961</v>
      </c>
    </row>
    <row r="216" spans="1:20" ht="50.1" hidden="1" customHeight="1">
      <c r="A216" s="10">
        <v>215</v>
      </c>
      <c r="B216" s="11" t="s">
        <v>2781</v>
      </c>
      <c r="C216" s="11" t="s">
        <v>2782</v>
      </c>
      <c r="D216" s="11" t="s">
        <v>7</v>
      </c>
      <c r="E216" s="11" t="s">
        <v>8</v>
      </c>
      <c r="F216" s="12">
        <v>2681</v>
      </c>
      <c r="G216" s="13">
        <v>176.11998507999999</v>
      </c>
      <c r="H216" s="14">
        <v>472177.68</v>
      </c>
      <c r="I216" s="12">
        <v>12776.5</v>
      </c>
      <c r="J216" s="13">
        <v>160.84313309999999</v>
      </c>
      <c r="K216" s="14">
        <v>2055012.29</v>
      </c>
      <c r="L216" s="12">
        <v>2832</v>
      </c>
      <c r="M216" s="13">
        <v>176.43403248999999</v>
      </c>
      <c r="N216" s="14">
        <v>499661.18</v>
      </c>
      <c r="O216" s="12">
        <v>12625.5</v>
      </c>
      <c r="P216" s="13">
        <v>160.58997980000001</v>
      </c>
      <c r="Q216" s="14">
        <v>2027528.79</v>
      </c>
      <c r="R216" s="11" t="s">
        <v>2964</v>
      </c>
      <c r="S216" s="11" t="s">
        <v>2965</v>
      </c>
      <c r="T216" s="11" t="s">
        <v>2961</v>
      </c>
    </row>
    <row r="217" spans="1:20" ht="50.1" hidden="1" customHeight="1">
      <c r="A217" s="10">
        <v>216</v>
      </c>
      <c r="B217" s="11" t="s">
        <v>3486</v>
      </c>
      <c r="C217" s="11" t="s">
        <v>3487</v>
      </c>
      <c r="D217" s="11" t="s">
        <v>7</v>
      </c>
      <c r="E217" s="11" t="s">
        <v>8</v>
      </c>
      <c r="F217" s="12">
        <v>277</v>
      </c>
      <c r="G217" s="13">
        <v>95</v>
      </c>
      <c r="H217" s="14">
        <v>26315</v>
      </c>
      <c r="I217" s="12">
        <v>0</v>
      </c>
      <c r="J217" s="13"/>
      <c r="K217" s="14">
        <v>0</v>
      </c>
      <c r="L217" s="12">
        <v>0</v>
      </c>
      <c r="M217" s="13"/>
      <c r="N217" s="14">
        <v>0</v>
      </c>
      <c r="O217" s="12">
        <v>277</v>
      </c>
      <c r="P217" s="13">
        <v>95</v>
      </c>
      <c r="Q217" s="14">
        <v>26315</v>
      </c>
      <c r="R217" s="11" t="s">
        <v>2964</v>
      </c>
      <c r="S217" s="11" t="s">
        <v>2965</v>
      </c>
      <c r="T217" s="11" t="s">
        <v>2961</v>
      </c>
    </row>
    <row r="218" spans="1:20" ht="50.1" hidden="1" customHeight="1">
      <c r="A218" s="10">
        <v>217</v>
      </c>
      <c r="B218" s="11" t="s">
        <v>2573</v>
      </c>
      <c r="C218" s="11" t="s">
        <v>2574</v>
      </c>
      <c r="D218" s="11" t="s">
        <v>7</v>
      </c>
      <c r="E218" s="11" t="s">
        <v>8</v>
      </c>
      <c r="F218" s="12">
        <v>734</v>
      </c>
      <c r="G218" s="13">
        <v>92.132520439999993</v>
      </c>
      <c r="H218" s="14">
        <v>67625.27</v>
      </c>
      <c r="I218" s="12">
        <v>12977</v>
      </c>
      <c r="J218" s="13">
        <v>90.962405790000005</v>
      </c>
      <c r="K218" s="14">
        <v>1180419.1399999999</v>
      </c>
      <c r="L218" s="12">
        <v>5851</v>
      </c>
      <c r="M218" s="13">
        <v>92.361712530000005</v>
      </c>
      <c r="N218" s="14">
        <v>540408.38</v>
      </c>
      <c r="O218" s="12">
        <v>7860</v>
      </c>
      <c r="P218" s="13">
        <v>90.030029260000006</v>
      </c>
      <c r="Q218" s="14">
        <v>707636.03</v>
      </c>
      <c r="R218" s="11" t="s">
        <v>2964</v>
      </c>
      <c r="S218" s="11" t="s">
        <v>2965</v>
      </c>
      <c r="T218" s="11" t="s">
        <v>2961</v>
      </c>
    </row>
    <row r="219" spans="1:20" ht="50.1" hidden="1" customHeight="1">
      <c r="A219" s="10">
        <v>218</v>
      </c>
      <c r="B219" s="11" t="s">
        <v>1444</v>
      </c>
      <c r="C219" s="11" t="s">
        <v>1445</v>
      </c>
      <c r="D219" s="11" t="s">
        <v>7</v>
      </c>
      <c r="E219" s="11" t="s">
        <v>8</v>
      </c>
      <c r="F219" s="12">
        <v>1416</v>
      </c>
      <c r="G219" s="13">
        <v>317.69995466</v>
      </c>
      <c r="H219" s="14">
        <v>449863.13579999999</v>
      </c>
      <c r="I219" s="12">
        <v>0</v>
      </c>
      <c r="J219" s="13"/>
      <c r="K219" s="14">
        <v>0</v>
      </c>
      <c r="L219" s="12">
        <v>45.25</v>
      </c>
      <c r="M219" s="13">
        <v>317.70011049999999</v>
      </c>
      <c r="N219" s="14">
        <v>14375.93</v>
      </c>
      <c r="O219" s="12">
        <v>1370.75</v>
      </c>
      <c r="P219" s="13">
        <v>317.69994952000002</v>
      </c>
      <c r="Q219" s="14">
        <v>435487.2058</v>
      </c>
      <c r="R219" s="11" t="s">
        <v>2964</v>
      </c>
      <c r="S219" s="11" t="s">
        <v>2965</v>
      </c>
      <c r="T219" s="11" t="s">
        <v>2966</v>
      </c>
    </row>
    <row r="220" spans="1:20" ht="50.1" hidden="1" customHeight="1">
      <c r="A220" s="10">
        <v>219</v>
      </c>
      <c r="B220" s="11" t="s">
        <v>1446</v>
      </c>
      <c r="C220" s="11" t="s">
        <v>1447</v>
      </c>
      <c r="D220" s="11" t="s">
        <v>7</v>
      </c>
      <c r="E220" s="11" t="s">
        <v>8</v>
      </c>
      <c r="F220" s="12">
        <v>671</v>
      </c>
      <c r="G220" s="13">
        <v>160.77271833</v>
      </c>
      <c r="H220" s="14">
        <v>107878.49400000001</v>
      </c>
      <c r="I220" s="12">
        <v>0</v>
      </c>
      <c r="J220" s="13"/>
      <c r="K220" s="14">
        <v>0</v>
      </c>
      <c r="L220" s="12">
        <v>55</v>
      </c>
      <c r="M220" s="13">
        <v>160.77272726999999</v>
      </c>
      <c r="N220" s="14">
        <v>8842.5</v>
      </c>
      <c r="O220" s="12">
        <v>616</v>
      </c>
      <c r="P220" s="13">
        <v>160.77271752999999</v>
      </c>
      <c r="Q220" s="14">
        <v>99035.994000000006</v>
      </c>
      <c r="R220" s="11" t="s">
        <v>2964</v>
      </c>
      <c r="S220" s="11" t="s">
        <v>2965</v>
      </c>
      <c r="T220" s="11" t="s">
        <v>2966</v>
      </c>
    </row>
    <row r="221" spans="1:20" ht="50.1" hidden="1" customHeight="1">
      <c r="A221" s="10">
        <v>220</v>
      </c>
      <c r="B221" s="11" t="s">
        <v>1448</v>
      </c>
      <c r="C221" s="11" t="s">
        <v>1449</v>
      </c>
      <c r="D221" s="11" t="s">
        <v>7</v>
      </c>
      <c r="E221" s="11" t="s">
        <v>8</v>
      </c>
      <c r="F221" s="12">
        <v>390.05</v>
      </c>
      <c r="G221" s="13">
        <v>1023.17333726</v>
      </c>
      <c r="H221" s="14">
        <v>399088.76020000002</v>
      </c>
      <c r="I221" s="12">
        <v>0</v>
      </c>
      <c r="J221" s="13"/>
      <c r="K221" s="14">
        <v>0</v>
      </c>
      <c r="L221" s="12">
        <v>84</v>
      </c>
      <c r="M221" s="13">
        <v>1023.17321429</v>
      </c>
      <c r="N221" s="14">
        <v>85946.55</v>
      </c>
      <c r="O221" s="12">
        <v>306.05</v>
      </c>
      <c r="P221" s="13">
        <v>1023.17337102</v>
      </c>
      <c r="Q221" s="14">
        <v>313142.21019999997</v>
      </c>
      <c r="R221" s="11" t="s">
        <v>2964</v>
      </c>
      <c r="S221" s="11" t="s">
        <v>2965</v>
      </c>
      <c r="T221" s="11" t="s">
        <v>2966</v>
      </c>
    </row>
    <row r="222" spans="1:20" ht="50.1" hidden="1" customHeight="1">
      <c r="A222" s="10">
        <v>221</v>
      </c>
      <c r="B222" s="11" t="s">
        <v>5</v>
      </c>
      <c r="C222" s="11" t="s">
        <v>6</v>
      </c>
      <c r="D222" s="11" t="s">
        <v>7</v>
      </c>
      <c r="E222" s="11" t="s">
        <v>8</v>
      </c>
      <c r="F222" s="12">
        <v>433</v>
      </c>
      <c r="G222" s="13">
        <v>340.65390300000001</v>
      </c>
      <c r="H222" s="14">
        <v>147503.14000000001</v>
      </c>
      <c r="I222" s="12">
        <v>247</v>
      </c>
      <c r="J222" s="13">
        <v>155</v>
      </c>
      <c r="K222" s="14">
        <v>38285</v>
      </c>
      <c r="L222" s="12">
        <v>0</v>
      </c>
      <c r="M222" s="13"/>
      <c r="N222" s="14">
        <v>0</v>
      </c>
      <c r="O222" s="12">
        <v>680</v>
      </c>
      <c r="P222" s="13">
        <v>273.21785294</v>
      </c>
      <c r="Q222" s="14">
        <v>185788.14</v>
      </c>
      <c r="R222" s="11" t="s">
        <v>2964</v>
      </c>
      <c r="S222" s="11" t="s">
        <v>2965</v>
      </c>
      <c r="T222" s="11" t="s">
        <v>2966</v>
      </c>
    </row>
    <row r="223" spans="1:20" ht="50.1" hidden="1" customHeight="1">
      <c r="A223" s="10">
        <v>222</v>
      </c>
      <c r="B223" s="11" t="s">
        <v>11</v>
      </c>
      <c r="C223" s="11" t="s">
        <v>2970</v>
      </c>
      <c r="D223" s="11" t="s">
        <v>7</v>
      </c>
      <c r="E223" s="11" t="s">
        <v>8</v>
      </c>
      <c r="F223" s="12">
        <v>455</v>
      </c>
      <c r="G223" s="13">
        <v>175.34626374000001</v>
      </c>
      <c r="H223" s="14">
        <v>79782.55</v>
      </c>
      <c r="I223" s="12">
        <v>0</v>
      </c>
      <c r="J223" s="13"/>
      <c r="K223" s="14">
        <v>0</v>
      </c>
      <c r="L223" s="12">
        <v>70</v>
      </c>
      <c r="M223" s="13">
        <v>175.34614285999999</v>
      </c>
      <c r="N223" s="14">
        <v>12274.23</v>
      </c>
      <c r="O223" s="12">
        <v>385</v>
      </c>
      <c r="P223" s="13">
        <v>175.34628570999999</v>
      </c>
      <c r="Q223" s="14">
        <v>67508.320000000007</v>
      </c>
      <c r="R223" s="11" t="s">
        <v>2964</v>
      </c>
      <c r="S223" s="11" t="s">
        <v>2965</v>
      </c>
      <c r="T223" s="11" t="s">
        <v>2966</v>
      </c>
    </row>
    <row r="224" spans="1:20" ht="50.1" hidden="1" customHeight="1">
      <c r="A224" s="10">
        <v>223</v>
      </c>
      <c r="B224" s="11" t="s">
        <v>14</v>
      </c>
      <c r="C224" s="11" t="s">
        <v>15</v>
      </c>
      <c r="D224" s="11" t="s">
        <v>7</v>
      </c>
      <c r="E224" s="11" t="s">
        <v>8</v>
      </c>
      <c r="F224" s="12">
        <v>696.4</v>
      </c>
      <c r="G224" s="13">
        <v>294.99444284999998</v>
      </c>
      <c r="H224" s="14">
        <v>205434.13</v>
      </c>
      <c r="I224" s="12">
        <v>0</v>
      </c>
      <c r="J224" s="13"/>
      <c r="K224" s="14">
        <v>0</v>
      </c>
      <c r="L224" s="12">
        <v>230.8</v>
      </c>
      <c r="M224" s="13">
        <v>294.99441074999999</v>
      </c>
      <c r="N224" s="14">
        <v>68084.710000000006</v>
      </c>
      <c r="O224" s="12">
        <v>465.6</v>
      </c>
      <c r="P224" s="13">
        <v>294.99445875999999</v>
      </c>
      <c r="Q224" s="14">
        <v>137349.42000000001</v>
      </c>
      <c r="R224" s="11" t="s">
        <v>2964</v>
      </c>
      <c r="S224" s="11" t="s">
        <v>2965</v>
      </c>
      <c r="T224" s="11" t="s">
        <v>2966</v>
      </c>
    </row>
    <row r="225" spans="1:20" ht="50.1" hidden="1" customHeight="1">
      <c r="A225" s="10">
        <v>224</v>
      </c>
      <c r="B225" s="11" t="s">
        <v>339</v>
      </c>
      <c r="C225" s="11" t="s">
        <v>340</v>
      </c>
      <c r="D225" s="11" t="s">
        <v>20</v>
      </c>
      <c r="E225" s="11" t="s">
        <v>8</v>
      </c>
      <c r="F225" s="12">
        <v>53.84</v>
      </c>
      <c r="G225" s="13">
        <v>179.91177562999999</v>
      </c>
      <c r="H225" s="14">
        <v>9686.4500000000007</v>
      </c>
      <c r="I225" s="12">
        <v>0</v>
      </c>
      <c r="J225" s="13"/>
      <c r="K225" s="14">
        <v>0</v>
      </c>
      <c r="L225" s="12">
        <v>7.74</v>
      </c>
      <c r="M225" s="13">
        <v>179.9121447</v>
      </c>
      <c r="N225" s="14">
        <v>1392.52</v>
      </c>
      <c r="O225" s="12">
        <v>46.1</v>
      </c>
      <c r="P225" s="13">
        <v>179.91171367000001</v>
      </c>
      <c r="Q225" s="14">
        <v>8293.93</v>
      </c>
      <c r="R225" s="11" t="s">
        <v>2971</v>
      </c>
      <c r="S225" s="11" t="s">
        <v>2972</v>
      </c>
      <c r="T225" s="11" t="s">
        <v>2966</v>
      </c>
    </row>
    <row r="226" spans="1:20" ht="50.1" hidden="1" customHeight="1">
      <c r="A226" s="10">
        <v>225</v>
      </c>
      <c r="B226" s="11" t="s">
        <v>341</v>
      </c>
      <c r="C226" s="11" t="s">
        <v>342</v>
      </c>
      <c r="D226" s="11" t="s">
        <v>17</v>
      </c>
      <c r="E226" s="11" t="s">
        <v>8</v>
      </c>
      <c r="F226" s="12">
        <v>80</v>
      </c>
      <c r="G226" s="13">
        <v>69.766859999999994</v>
      </c>
      <c r="H226" s="14">
        <v>5581.3487999999998</v>
      </c>
      <c r="I226" s="12">
        <v>350</v>
      </c>
      <c r="J226" s="13">
        <v>70</v>
      </c>
      <c r="K226" s="14">
        <v>24500</v>
      </c>
      <c r="L226" s="12">
        <v>200</v>
      </c>
      <c r="M226" s="13">
        <v>69.916499999999999</v>
      </c>
      <c r="N226" s="14">
        <v>13983.3</v>
      </c>
      <c r="O226" s="12">
        <v>230</v>
      </c>
      <c r="P226" s="13">
        <v>69.991516520000005</v>
      </c>
      <c r="Q226" s="14">
        <v>16098.0488</v>
      </c>
      <c r="R226" s="11" t="s">
        <v>2973</v>
      </c>
      <c r="S226" s="11" t="s">
        <v>2974</v>
      </c>
      <c r="T226" s="11" t="s">
        <v>2966</v>
      </c>
    </row>
    <row r="227" spans="1:20" ht="50.1" hidden="1" customHeight="1">
      <c r="A227" s="10">
        <v>226</v>
      </c>
      <c r="B227" s="11" t="s">
        <v>3354</v>
      </c>
      <c r="C227" s="11" t="s">
        <v>3355</v>
      </c>
      <c r="D227" s="11" t="s">
        <v>17</v>
      </c>
      <c r="E227" s="11" t="s">
        <v>8</v>
      </c>
      <c r="F227" s="12">
        <v>11</v>
      </c>
      <c r="G227" s="13">
        <v>150</v>
      </c>
      <c r="H227" s="14">
        <v>1650</v>
      </c>
      <c r="I227" s="12">
        <v>0</v>
      </c>
      <c r="J227" s="13"/>
      <c r="K227" s="14">
        <v>0</v>
      </c>
      <c r="L227" s="12">
        <v>0</v>
      </c>
      <c r="M227" s="13"/>
      <c r="N227" s="14">
        <v>0</v>
      </c>
      <c r="O227" s="12">
        <v>11</v>
      </c>
      <c r="P227" s="13">
        <v>150</v>
      </c>
      <c r="Q227" s="14">
        <v>1650</v>
      </c>
      <c r="R227" s="11" t="s">
        <v>2973</v>
      </c>
      <c r="S227" s="11" t="s">
        <v>2974</v>
      </c>
      <c r="T227" s="11" t="s">
        <v>2966</v>
      </c>
    </row>
    <row r="228" spans="1:20" ht="50.1" hidden="1" customHeight="1">
      <c r="A228" s="10">
        <v>227</v>
      </c>
      <c r="B228" s="11" t="s">
        <v>3356</v>
      </c>
      <c r="C228" s="11" t="s">
        <v>3357</v>
      </c>
      <c r="D228" s="11" t="s">
        <v>17</v>
      </c>
      <c r="E228" s="11" t="s">
        <v>8</v>
      </c>
      <c r="F228" s="12">
        <v>20</v>
      </c>
      <c r="G228" s="13">
        <v>150</v>
      </c>
      <c r="H228" s="14">
        <v>3000</v>
      </c>
      <c r="I228" s="12">
        <v>99</v>
      </c>
      <c r="J228" s="13">
        <v>80</v>
      </c>
      <c r="K228" s="14">
        <v>7920</v>
      </c>
      <c r="L228" s="12">
        <v>20</v>
      </c>
      <c r="M228" s="13">
        <v>150</v>
      </c>
      <c r="N228" s="14">
        <v>3000</v>
      </c>
      <c r="O228" s="12">
        <v>99</v>
      </c>
      <c r="P228" s="13">
        <v>80</v>
      </c>
      <c r="Q228" s="14">
        <v>7920</v>
      </c>
      <c r="R228" s="11" t="s">
        <v>2973</v>
      </c>
      <c r="S228" s="11" t="s">
        <v>2974</v>
      </c>
      <c r="T228" s="11" t="s">
        <v>2966</v>
      </c>
    </row>
    <row r="229" spans="1:20" ht="50.1" hidden="1" customHeight="1">
      <c r="A229" s="10">
        <v>228</v>
      </c>
      <c r="B229" s="11" t="s">
        <v>343</v>
      </c>
      <c r="C229" s="11" t="s">
        <v>344</v>
      </c>
      <c r="D229" s="11" t="s">
        <v>17</v>
      </c>
      <c r="E229" s="11" t="s">
        <v>8</v>
      </c>
      <c r="F229" s="12">
        <v>23600</v>
      </c>
      <c r="G229" s="13">
        <v>2.00000161</v>
      </c>
      <c r="H229" s="14">
        <v>47200.037900000003</v>
      </c>
      <c r="I229" s="12">
        <v>25000</v>
      </c>
      <c r="J229" s="13">
        <v>2</v>
      </c>
      <c r="K229" s="14">
        <v>50000</v>
      </c>
      <c r="L229" s="12">
        <v>20100</v>
      </c>
      <c r="M229" s="13">
        <v>2</v>
      </c>
      <c r="N229" s="14">
        <v>40200</v>
      </c>
      <c r="O229" s="12">
        <v>28500</v>
      </c>
      <c r="P229" s="13">
        <v>2.0000013299999999</v>
      </c>
      <c r="Q229" s="14">
        <v>57000.037900000003</v>
      </c>
      <c r="R229" s="11" t="s">
        <v>2973</v>
      </c>
      <c r="S229" s="11" t="s">
        <v>2974</v>
      </c>
      <c r="T229" s="11" t="s">
        <v>2966</v>
      </c>
    </row>
    <row r="230" spans="1:20" ht="50.1" hidden="1" customHeight="1">
      <c r="A230" s="10">
        <v>229</v>
      </c>
      <c r="B230" s="11" t="s">
        <v>345</v>
      </c>
      <c r="C230" s="11" t="s">
        <v>346</v>
      </c>
      <c r="D230" s="11" t="s">
        <v>17</v>
      </c>
      <c r="E230" s="11" t="s">
        <v>8</v>
      </c>
      <c r="F230" s="12">
        <v>72</v>
      </c>
      <c r="G230" s="13">
        <v>39.999997219999997</v>
      </c>
      <c r="H230" s="14">
        <v>2879.9998000000001</v>
      </c>
      <c r="I230" s="12">
        <v>216</v>
      </c>
      <c r="J230" s="13">
        <v>40</v>
      </c>
      <c r="K230" s="14">
        <v>8640</v>
      </c>
      <c r="L230" s="12">
        <v>186</v>
      </c>
      <c r="M230" s="13">
        <v>40</v>
      </c>
      <c r="N230" s="14">
        <v>7440</v>
      </c>
      <c r="O230" s="12">
        <v>102</v>
      </c>
      <c r="P230" s="13">
        <v>39.999998040000001</v>
      </c>
      <c r="Q230" s="14">
        <v>4079.9998000000001</v>
      </c>
      <c r="R230" s="11" t="s">
        <v>2962</v>
      </c>
      <c r="S230" s="11" t="s">
        <v>2963</v>
      </c>
      <c r="T230" s="11" t="s">
        <v>2961</v>
      </c>
    </row>
    <row r="231" spans="1:20" ht="50.1" hidden="1" customHeight="1">
      <c r="A231" s="10">
        <v>230</v>
      </c>
      <c r="B231" s="11" t="s">
        <v>16</v>
      </c>
      <c r="C231" s="11" t="s">
        <v>2979</v>
      </c>
      <c r="D231" s="11" t="s">
        <v>17</v>
      </c>
      <c r="E231" s="11" t="s">
        <v>8</v>
      </c>
      <c r="F231" s="12">
        <v>193</v>
      </c>
      <c r="G231" s="13">
        <v>490</v>
      </c>
      <c r="H231" s="14">
        <v>94570</v>
      </c>
      <c r="I231" s="12">
        <v>0</v>
      </c>
      <c r="J231" s="13"/>
      <c r="K231" s="14">
        <v>0</v>
      </c>
      <c r="L231" s="12">
        <v>40</v>
      </c>
      <c r="M231" s="13">
        <v>490</v>
      </c>
      <c r="N231" s="14">
        <v>19600</v>
      </c>
      <c r="O231" s="12">
        <v>153</v>
      </c>
      <c r="P231" s="13">
        <v>490</v>
      </c>
      <c r="Q231" s="14">
        <v>74970</v>
      </c>
      <c r="R231" s="11" t="s">
        <v>2962</v>
      </c>
      <c r="S231" s="11" t="s">
        <v>2963</v>
      </c>
      <c r="T231" s="11" t="s">
        <v>2966</v>
      </c>
    </row>
    <row r="232" spans="1:20" ht="50.1" hidden="1" customHeight="1">
      <c r="A232" s="10">
        <v>231</v>
      </c>
      <c r="B232" s="11" t="s">
        <v>349</v>
      </c>
      <c r="C232" s="11" t="s">
        <v>2980</v>
      </c>
      <c r="D232" s="11" t="s">
        <v>17</v>
      </c>
      <c r="E232" s="11" t="s">
        <v>8</v>
      </c>
      <c r="F232" s="12">
        <v>141</v>
      </c>
      <c r="G232" s="13">
        <v>400</v>
      </c>
      <c r="H232" s="14">
        <v>56400</v>
      </c>
      <c r="I232" s="12">
        <v>0</v>
      </c>
      <c r="J232" s="13"/>
      <c r="K232" s="14">
        <v>0</v>
      </c>
      <c r="L232" s="12">
        <v>4</v>
      </c>
      <c r="M232" s="13">
        <v>400</v>
      </c>
      <c r="N232" s="14">
        <v>1600</v>
      </c>
      <c r="O232" s="12">
        <v>137</v>
      </c>
      <c r="P232" s="13">
        <v>400</v>
      </c>
      <c r="Q232" s="14">
        <v>54800</v>
      </c>
      <c r="R232" s="11" t="s">
        <v>2981</v>
      </c>
      <c r="S232" s="11" t="s">
        <v>2982</v>
      </c>
      <c r="T232" s="11" t="s">
        <v>2966</v>
      </c>
    </row>
    <row r="233" spans="1:20" ht="50.1" hidden="1" customHeight="1">
      <c r="A233" s="10">
        <v>232</v>
      </c>
      <c r="B233" s="11" t="s">
        <v>351</v>
      </c>
      <c r="C233" s="11" t="s">
        <v>2983</v>
      </c>
      <c r="D233" s="11" t="s">
        <v>17</v>
      </c>
      <c r="E233" s="11" t="s">
        <v>8</v>
      </c>
      <c r="F233" s="12">
        <v>222</v>
      </c>
      <c r="G233" s="13">
        <v>425</v>
      </c>
      <c r="H233" s="14">
        <v>94350</v>
      </c>
      <c r="I233" s="12">
        <v>0</v>
      </c>
      <c r="J233" s="13"/>
      <c r="K233" s="14">
        <v>0</v>
      </c>
      <c r="L233" s="12">
        <v>0</v>
      </c>
      <c r="M233" s="13"/>
      <c r="N233" s="14">
        <v>0</v>
      </c>
      <c r="O233" s="12">
        <v>222</v>
      </c>
      <c r="P233" s="13">
        <v>425</v>
      </c>
      <c r="Q233" s="14">
        <v>94350</v>
      </c>
      <c r="R233" s="11" t="s">
        <v>2981</v>
      </c>
      <c r="S233" s="11" t="s">
        <v>2982</v>
      </c>
      <c r="T233" s="11" t="s">
        <v>2966</v>
      </c>
    </row>
    <row r="234" spans="1:20" ht="50.1" hidden="1" customHeight="1">
      <c r="A234" s="10">
        <v>233</v>
      </c>
      <c r="B234" s="11" t="s">
        <v>353</v>
      </c>
      <c r="C234" s="11" t="s">
        <v>2984</v>
      </c>
      <c r="D234" s="11" t="s">
        <v>17</v>
      </c>
      <c r="E234" s="11" t="s">
        <v>8</v>
      </c>
      <c r="F234" s="12">
        <v>160</v>
      </c>
      <c r="G234" s="13">
        <v>450</v>
      </c>
      <c r="H234" s="14">
        <v>72000</v>
      </c>
      <c r="I234" s="12">
        <v>0</v>
      </c>
      <c r="J234" s="13"/>
      <c r="K234" s="14">
        <v>0</v>
      </c>
      <c r="L234" s="12">
        <v>0</v>
      </c>
      <c r="M234" s="13"/>
      <c r="N234" s="14">
        <v>0</v>
      </c>
      <c r="O234" s="12">
        <v>160</v>
      </c>
      <c r="P234" s="13">
        <v>450</v>
      </c>
      <c r="Q234" s="14">
        <v>72000</v>
      </c>
      <c r="R234" s="11" t="s">
        <v>2981</v>
      </c>
      <c r="S234" s="11" t="s">
        <v>2982</v>
      </c>
      <c r="T234" s="11" t="s">
        <v>2966</v>
      </c>
    </row>
    <row r="235" spans="1:20" ht="50.1" hidden="1" customHeight="1">
      <c r="A235" s="10">
        <v>234</v>
      </c>
      <c r="B235" s="11" t="s">
        <v>355</v>
      </c>
      <c r="C235" s="11" t="s">
        <v>2985</v>
      </c>
      <c r="D235" s="11" t="s">
        <v>17</v>
      </c>
      <c r="E235" s="11" t="s">
        <v>8</v>
      </c>
      <c r="F235" s="12">
        <v>174</v>
      </c>
      <c r="G235" s="13">
        <v>475</v>
      </c>
      <c r="H235" s="14">
        <v>82650</v>
      </c>
      <c r="I235" s="12">
        <v>0</v>
      </c>
      <c r="J235" s="13"/>
      <c r="K235" s="14">
        <v>0</v>
      </c>
      <c r="L235" s="12">
        <v>2</v>
      </c>
      <c r="M235" s="13">
        <v>475</v>
      </c>
      <c r="N235" s="14">
        <v>950</v>
      </c>
      <c r="O235" s="12">
        <v>172</v>
      </c>
      <c r="P235" s="13">
        <v>475</v>
      </c>
      <c r="Q235" s="14">
        <v>81700</v>
      </c>
      <c r="R235" s="11" t="s">
        <v>2981</v>
      </c>
      <c r="S235" s="11" t="s">
        <v>2982</v>
      </c>
      <c r="T235" s="11" t="s">
        <v>2966</v>
      </c>
    </row>
    <row r="236" spans="1:20" ht="50.1" hidden="1" customHeight="1">
      <c r="A236" s="10">
        <v>235</v>
      </c>
      <c r="B236" s="11" t="s">
        <v>357</v>
      </c>
      <c r="C236" s="11" t="s">
        <v>2986</v>
      </c>
      <c r="D236" s="11" t="s">
        <v>17</v>
      </c>
      <c r="E236" s="11" t="s">
        <v>8</v>
      </c>
      <c r="F236" s="12">
        <v>200</v>
      </c>
      <c r="G236" s="13">
        <v>500</v>
      </c>
      <c r="H236" s="14">
        <v>100000</v>
      </c>
      <c r="I236" s="12">
        <v>0</v>
      </c>
      <c r="J236" s="13"/>
      <c r="K236" s="14">
        <v>0</v>
      </c>
      <c r="L236" s="12">
        <v>18</v>
      </c>
      <c r="M236" s="13">
        <v>500</v>
      </c>
      <c r="N236" s="14">
        <v>9000</v>
      </c>
      <c r="O236" s="12">
        <v>182</v>
      </c>
      <c r="P236" s="13">
        <v>500</v>
      </c>
      <c r="Q236" s="14">
        <v>91000</v>
      </c>
      <c r="R236" s="11" t="s">
        <v>2981</v>
      </c>
      <c r="S236" s="11" t="s">
        <v>2982</v>
      </c>
      <c r="T236" s="11" t="s">
        <v>2966</v>
      </c>
    </row>
    <row r="237" spans="1:20" ht="50.1" hidden="1" customHeight="1">
      <c r="A237" s="10">
        <v>236</v>
      </c>
      <c r="B237" s="11" t="s">
        <v>359</v>
      </c>
      <c r="C237" s="11" t="s">
        <v>2987</v>
      </c>
      <c r="D237" s="11" t="s">
        <v>17</v>
      </c>
      <c r="E237" s="11" t="s">
        <v>8</v>
      </c>
      <c r="F237" s="12">
        <v>260</v>
      </c>
      <c r="G237" s="13">
        <v>525</v>
      </c>
      <c r="H237" s="14">
        <v>136500</v>
      </c>
      <c r="I237" s="12">
        <v>0</v>
      </c>
      <c r="J237" s="13"/>
      <c r="K237" s="14">
        <v>0</v>
      </c>
      <c r="L237" s="12">
        <v>10</v>
      </c>
      <c r="M237" s="13">
        <v>525</v>
      </c>
      <c r="N237" s="14">
        <v>5250</v>
      </c>
      <c r="O237" s="12">
        <v>250</v>
      </c>
      <c r="P237" s="13">
        <v>525</v>
      </c>
      <c r="Q237" s="14">
        <v>131250</v>
      </c>
      <c r="R237" s="11" t="s">
        <v>2981</v>
      </c>
      <c r="S237" s="11" t="s">
        <v>2982</v>
      </c>
      <c r="T237" s="11" t="s">
        <v>2966</v>
      </c>
    </row>
    <row r="238" spans="1:20" ht="50.1" hidden="1" customHeight="1">
      <c r="A238" s="10">
        <v>237</v>
      </c>
      <c r="B238" s="11" t="s">
        <v>361</v>
      </c>
      <c r="C238" s="11" t="s">
        <v>2988</v>
      </c>
      <c r="D238" s="11" t="s">
        <v>17</v>
      </c>
      <c r="E238" s="11" t="s">
        <v>8</v>
      </c>
      <c r="F238" s="12">
        <v>135</v>
      </c>
      <c r="G238" s="13">
        <v>550</v>
      </c>
      <c r="H238" s="14">
        <v>74250</v>
      </c>
      <c r="I238" s="12">
        <v>0</v>
      </c>
      <c r="J238" s="13"/>
      <c r="K238" s="14">
        <v>0</v>
      </c>
      <c r="L238" s="12">
        <v>0</v>
      </c>
      <c r="M238" s="13"/>
      <c r="N238" s="14">
        <v>0</v>
      </c>
      <c r="O238" s="12">
        <v>135</v>
      </c>
      <c r="P238" s="13">
        <v>550</v>
      </c>
      <c r="Q238" s="14">
        <v>74250</v>
      </c>
      <c r="R238" s="11" t="s">
        <v>2981</v>
      </c>
      <c r="S238" s="11" t="s">
        <v>2982</v>
      </c>
      <c r="T238" s="11" t="s">
        <v>2966</v>
      </c>
    </row>
    <row r="239" spans="1:20" ht="50.1" hidden="1" customHeight="1">
      <c r="A239" s="10">
        <v>238</v>
      </c>
      <c r="B239" s="11" t="s">
        <v>363</v>
      </c>
      <c r="C239" s="11" t="s">
        <v>2989</v>
      </c>
      <c r="D239" s="11" t="s">
        <v>17</v>
      </c>
      <c r="E239" s="11" t="s">
        <v>8</v>
      </c>
      <c r="F239" s="12">
        <v>149</v>
      </c>
      <c r="G239" s="13">
        <v>575</v>
      </c>
      <c r="H239" s="14">
        <v>85675</v>
      </c>
      <c r="I239" s="12">
        <v>0</v>
      </c>
      <c r="J239" s="13"/>
      <c r="K239" s="14">
        <v>0</v>
      </c>
      <c r="L239" s="12">
        <v>10</v>
      </c>
      <c r="M239" s="13">
        <v>575</v>
      </c>
      <c r="N239" s="14">
        <v>5750</v>
      </c>
      <c r="O239" s="12">
        <v>139</v>
      </c>
      <c r="P239" s="13">
        <v>575</v>
      </c>
      <c r="Q239" s="14">
        <v>79925</v>
      </c>
      <c r="R239" s="11" t="s">
        <v>2981</v>
      </c>
      <c r="S239" s="11" t="s">
        <v>2982</v>
      </c>
      <c r="T239" s="11" t="s">
        <v>2966</v>
      </c>
    </row>
    <row r="240" spans="1:20" ht="50.1" hidden="1" customHeight="1">
      <c r="A240" s="10">
        <v>239</v>
      </c>
      <c r="B240" s="11" t="s">
        <v>367</v>
      </c>
      <c r="C240" s="11" t="s">
        <v>368</v>
      </c>
      <c r="D240" s="11" t="s">
        <v>17</v>
      </c>
      <c r="E240" s="11" t="s">
        <v>8</v>
      </c>
      <c r="F240" s="12">
        <v>1833</v>
      </c>
      <c r="G240" s="13">
        <v>12.37323786</v>
      </c>
      <c r="H240" s="14">
        <v>22680.145</v>
      </c>
      <c r="I240" s="12">
        <v>0</v>
      </c>
      <c r="J240" s="13"/>
      <c r="K240" s="14">
        <v>0</v>
      </c>
      <c r="L240" s="12">
        <v>0</v>
      </c>
      <c r="M240" s="13"/>
      <c r="N240" s="14">
        <v>0</v>
      </c>
      <c r="O240" s="12">
        <v>1833</v>
      </c>
      <c r="P240" s="13">
        <v>12.37323786</v>
      </c>
      <c r="Q240" s="14">
        <v>22680.145</v>
      </c>
      <c r="R240" s="11" t="s">
        <v>2990</v>
      </c>
      <c r="S240" s="11" t="s">
        <v>2991</v>
      </c>
      <c r="T240" s="11" t="s">
        <v>2966</v>
      </c>
    </row>
    <row r="241" spans="1:20" ht="50.1" hidden="1" customHeight="1">
      <c r="A241" s="10">
        <v>240</v>
      </c>
      <c r="B241" s="11" t="s">
        <v>2992</v>
      </c>
      <c r="C241" s="11" t="s">
        <v>2993</v>
      </c>
      <c r="D241" s="11" t="s">
        <v>17</v>
      </c>
      <c r="E241" s="11" t="s">
        <v>8</v>
      </c>
      <c r="F241" s="12">
        <v>0</v>
      </c>
      <c r="G241" s="13"/>
      <c r="H241" s="14">
        <v>-522</v>
      </c>
      <c r="I241" s="12">
        <v>0</v>
      </c>
      <c r="J241" s="13"/>
      <c r="K241" s="14">
        <v>0</v>
      </c>
      <c r="L241" s="12">
        <v>0</v>
      </c>
      <c r="M241" s="13"/>
      <c r="N241" s="14">
        <v>0</v>
      </c>
      <c r="O241" s="12">
        <v>0</v>
      </c>
      <c r="P241" s="13"/>
      <c r="Q241" s="14">
        <v>-522</v>
      </c>
      <c r="R241" s="11" t="s">
        <v>2994</v>
      </c>
      <c r="S241" s="11" t="s">
        <v>2995</v>
      </c>
      <c r="T241" s="11" t="s">
        <v>2966</v>
      </c>
    </row>
    <row r="242" spans="1:20" ht="50.1" hidden="1" customHeight="1">
      <c r="A242" s="10">
        <v>241</v>
      </c>
      <c r="B242" s="11" t="s">
        <v>838</v>
      </c>
      <c r="C242" s="11" t="s">
        <v>839</v>
      </c>
      <c r="D242" s="11" t="s">
        <v>17</v>
      </c>
      <c r="E242" s="11" t="s">
        <v>8</v>
      </c>
      <c r="F242" s="12">
        <v>2160</v>
      </c>
      <c r="G242" s="13">
        <v>5</v>
      </c>
      <c r="H242" s="14">
        <v>10800</v>
      </c>
      <c r="I242" s="12">
        <v>0</v>
      </c>
      <c r="J242" s="13"/>
      <c r="K242" s="14">
        <v>0</v>
      </c>
      <c r="L242" s="12">
        <v>0</v>
      </c>
      <c r="M242" s="13"/>
      <c r="N242" s="14">
        <v>0</v>
      </c>
      <c r="O242" s="12">
        <v>2160</v>
      </c>
      <c r="P242" s="13">
        <v>5</v>
      </c>
      <c r="Q242" s="14">
        <v>10800</v>
      </c>
      <c r="R242" s="11" t="s">
        <v>2973</v>
      </c>
      <c r="S242" s="11" t="s">
        <v>2974</v>
      </c>
      <c r="T242" s="11" t="s">
        <v>2966</v>
      </c>
    </row>
    <row r="243" spans="1:20" ht="50.1" hidden="1" customHeight="1">
      <c r="A243" s="10">
        <v>242</v>
      </c>
      <c r="B243" s="11" t="s">
        <v>840</v>
      </c>
      <c r="C243" s="11" t="s">
        <v>841</v>
      </c>
      <c r="D243" s="11" t="s">
        <v>17</v>
      </c>
      <c r="E243" s="11" t="s">
        <v>8</v>
      </c>
      <c r="F243" s="12">
        <v>1000</v>
      </c>
      <c r="G243" s="13">
        <v>0.7</v>
      </c>
      <c r="H243" s="14">
        <v>700</v>
      </c>
      <c r="I243" s="12">
        <v>3000</v>
      </c>
      <c r="J243" s="13">
        <v>0.75</v>
      </c>
      <c r="K243" s="14">
        <v>2250</v>
      </c>
      <c r="L243" s="12">
        <v>2000</v>
      </c>
      <c r="M243" s="13">
        <v>0.73750000000000004</v>
      </c>
      <c r="N243" s="14">
        <v>1475</v>
      </c>
      <c r="O243" s="12">
        <v>2000</v>
      </c>
      <c r="P243" s="13">
        <v>0.73750000000000004</v>
      </c>
      <c r="Q243" s="14">
        <v>1475</v>
      </c>
      <c r="R243" s="11" t="s">
        <v>2971</v>
      </c>
      <c r="S243" s="11" t="s">
        <v>2972</v>
      </c>
      <c r="T243" s="11" t="s">
        <v>2966</v>
      </c>
    </row>
    <row r="244" spans="1:20" ht="50.1" hidden="1" customHeight="1">
      <c r="A244" s="10">
        <v>243</v>
      </c>
      <c r="B244" s="11" t="s">
        <v>842</v>
      </c>
      <c r="C244" s="11" t="s">
        <v>843</v>
      </c>
      <c r="D244" s="11" t="s">
        <v>17</v>
      </c>
      <c r="E244" s="11" t="s">
        <v>8</v>
      </c>
      <c r="F244" s="12">
        <v>9100</v>
      </c>
      <c r="G244" s="13">
        <v>0.8</v>
      </c>
      <c r="H244" s="14">
        <v>7280</v>
      </c>
      <c r="I244" s="12">
        <v>24000</v>
      </c>
      <c r="J244" s="13">
        <v>0.8</v>
      </c>
      <c r="K244" s="14">
        <v>19200</v>
      </c>
      <c r="L244" s="12">
        <v>14472</v>
      </c>
      <c r="M244" s="13">
        <v>0.8</v>
      </c>
      <c r="N244" s="14">
        <v>11577.6</v>
      </c>
      <c r="O244" s="12">
        <v>18628</v>
      </c>
      <c r="P244" s="13">
        <v>0.8</v>
      </c>
      <c r="Q244" s="14">
        <v>14902.4</v>
      </c>
      <c r="R244" s="11" t="s">
        <v>2971</v>
      </c>
      <c r="S244" s="11" t="s">
        <v>2972</v>
      </c>
      <c r="T244" s="11" t="s">
        <v>2966</v>
      </c>
    </row>
    <row r="245" spans="1:20" ht="50.1" hidden="1" customHeight="1">
      <c r="A245" s="10">
        <v>244</v>
      </c>
      <c r="B245" s="11" t="s">
        <v>2421</v>
      </c>
      <c r="C245" s="11" t="s">
        <v>2422</v>
      </c>
      <c r="D245" s="11" t="s">
        <v>17</v>
      </c>
      <c r="E245" s="11" t="s">
        <v>8</v>
      </c>
      <c r="F245" s="12">
        <v>0</v>
      </c>
      <c r="G245" s="13"/>
      <c r="H245" s="14">
        <v>0</v>
      </c>
      <c r="I245" s="12">
        <v>4</v>
      </c>
      <c r="J245" s="13">
        <v>250</v>
      </c>
      <c r="K245" s="14">
        <v>1000</v>
      </c>
      <c r="L245" s="12">
        <v>4</v>
      </c>
      <c r="M245" s="13">
        <v>250</v>
      </c>
      <c r="N245" s="14">
        <v>1000</v>
      </c>
      <c r="O245" s="12">
        <v>0</v>
      </c>
      <c r="P245" s="13"/>
      <c r="Q245" s="14">
        <v>0</v>
      </c>
      <c r="R245" s="11" t="s">
        <v>2964</v>
      </c>
      <c r="S245" s="11" t="s">
        <v>2965</v>
      </c>
      <c r="T245" s="11" t="s">
        <v>2966</v>
      </c>
    </row>
    <row r="246" spans="1:20" ht="50.1" hidden="1" customHeight="1">
      <c r="A246" s="10">
        <v>245</v>
      </c>
      <c r="B246" s="11" t="s">
        <v>848</v>
      </c>
      <c r="C246" s="11" t="s">
        <v>849</v>
      </c>
      <c r="D246" s="11" t="s">
        <v>17</v>
      </c>
      <c r="E246" s="11" t="s">
        <v>8</v>
      </c>
      <c r="F246" s="12">
        <v>267</v>
      </c>
      <c r="G246" s="13">
        <v>8.9996760299999998</v>
      </c>
      <c r="H246" s="14">
        <v>2402.9135000000001</v>
      </c>
      <c r="I246" s="12">
        <v>0</v>
      </c>
      <c r="J246" s="13"/>
      <c r="K246" s="14">
        <v>0</v>
      </c>
      <c r="L246" s="12">
        <v>100</v>
      </c>
      <c r="M246" s="13">
        <v>8.9997000000000007</v>
      </c>
      <c r="N246" s="14">
        <v>899.97</v>
      </c>
      <c r="O246" s="12">
        <v>167</v>
      </c>
      <c r="P246" s="13">
        <v>8.9996616800000009</v>
      </c>
      <c r="Q246" s="14">
        <v>1502.9435000000001</v>
      </c>
      <c r="R246" s="11" t="s">
        <v>2971</v>
      </c>
      <c r="S246" s="11" t="s">
        <v>2972</v>
      </c>
      <c r="T246" s="11" t="s">
        <v>2966</v>
      </c>
    </row>
    <row r="247" spans="1:20" ht="50.1" hidden="1" customHeight="1">
      <c r="A247" s="10">
        <v>246</v>
      </c>
      <c r="B247" s="11" t="s">
        <v>850</v>
      </c>
      <c r="C247" s="11" t="s">
        <v>851</v>
      </c>
      <c r="D247" s="11" t="s">
        <v>17</v>
      </c>
      <c r="E247" s="11" t="s">
        <v>8</v>
      </c>
      <c r="F247" s="12">
        <v>100</v>
      </c>
      <c r="G247" s="13">
        <v>159</v>
      </c>
      <c r="H247" s="14">
        <v>15900</v>
      </c>
      <c r="I247" s="12">
        <v>150</v>
      </c>
      <c r="J247" s="13">
        <v>159</v>
      </c>
      <c r="K247" s="14">
        <v>23850</v>
      </c>
      <c r="L247" s="12">
        <v>20</v>
      </c>
      <c r="M247" s="13">
        <v>159</v>
      </c>
      <c r="N247" s="14">
        <v>3180</v>
      </c>
      <c r="O247" s="12">
        <v>230</v>
      </c>
      <c r="P247" s="13">
        <v>159</v>
      </c>
      <c r="Q247" s="14">
        <v>36570</v>
      </c>
      <c r="R247" s="11" t="s">
        <v>2981</v>
      </c>
      <c r="S247" s="11" t="s">
        <v>2982</v>
      </c>
      <c r="T247" s="11" t="s">
        <v>2966</v>
      </c>
    </row>
    <row r="248" spans="1:20" ht="50.1" customHeight="1">
      <c r="A248" s="10">
        <v>247</v>
      </c>
      <c r="B248" s="11" t="s">
        <v>852</v>
      </c>
      <c r="C248" s="11" t="s">
        <v>853</v>
      </c>
      <c r="D248" s="11" t="s">
        <v>17</v>
      </c>
      <c r="E248" s="11" t="s">
        <v>8</v>
      </c>
      <c r="F248" s="12">
        <v>230</v>
      </c>
      <c r="G248" s="13">
        <v>321</v>
      </c>
      <c r="H248" s="14">
        <v>73830</v>
      </c>
      <c r="I248" s="12">
        <v>300</v>
      </c>
      <c r="J248" s="13">
        <v>321</v>
      </c>
      <c r="K248" s="14">
        <v>96300</v>
      </c>
      <c r="L248" s="12">
        <v>150</v>
      </c>
      <c r="M248" s="13">
        <v>321</v>
      </c>
      <c r="N248" s="14">
        <v>48150</v>
      </c>
      <c r="O248" s="12">
        <v>380</v>
      </c>
      <c r="P248" s="13">
        <v>321</v>
      </c>
      <c r="Q248" s="14">
        <v>121980</v>
      </c>
      <c r="R248" s="11" t="s">
        <v>2981</v>
      </c>
      <c r="S248" s="11" t="s">
        <v>2982</v>
      </c>
      <c r="T248" s="11" t="s">
        <v>2966</v>
      </c>
    </row>
    <row r="249" spans="1:20" ht="50.1" hidden="1" customHeight="1">
      <c r="A249" s="10">
        <v>248</v>
      </c>
      <c r="B249" s="11" t="s">
        <v>856</v>
      </c>
      <c r="C249" s="11" t="s">
        <v>857</v>
      </c>
      <c r="D249" s="11" t="s">
        <v>17</v>
      </c>
      <c r="E249" s="11" t="s">
        <v>8</v>
      </c>
      <c r="F249" s="12">
        <v>348</v>
      </c>
      <c r="G249" s="13">
        <v>35.351494250000002</v>
      </c>
      <c r="H249" s="14">
        <v>12302.32</v>
      </c>
      <c r="I249" s="12">
        <v>500</v>
      </c>
      <c r="J249" s="13">
        <v>35</v>
      </c>
      <c r="K249" s="14">
        <v>17500</v>
      </c>
      <c r="L249" s="12">
        <v>0</v>
      </c>
      <c r="M249" s="13"/>
      <c r="N249" s="14">
        <v>0</v>
      </c>
      <c r="O249" s="12">
        <v>848</v>
      </c>
      <c r="P249" s="13">
        <v>35.14424528</v>
      </c>
      <c r="Q249" s="14">
        <v>29802.32</v>
      </c>
      <c r="R249" s="11" t="s">
        <v>2964</v>
      </c>
      <c r="S249" s="11" t="s">
        <v>2965</v>
      </c>
      <c r="T249" s="11" t="s">
        <v>2966</v>
      </c>
    </row>
    <row r="250" spans="1:20" ht="50.1" hidden="1" customHeight="1">
      <c r="A250" s="10">
        <v>249</v>
      </c>
      <c r="B250" s="11" t="s">
        <v>3522</v>
      </c>
      <c r="C250" s="11" t="s">
        <v>3523</v>
      </c>
      <c r="D250" s="11" t="s">
        <v>17</v>
      </c>
      <c r="E250" s="11" t="s">
        <v>8</v>
      </c>
      <c r="F250" s="12">
        <v>10100</v>
      </c>
      <c r="G250" s="13">
        <v>1.35</v>
      </c>
      <c r="H250" s="14">
        <v>13635</v>
      </c>
      <c r="I250" s="12">
        <v>500</v>
      </c>
      <c r="J250" s="13">
        <v>1.35</v>
      </c>
      <c r="K250" s="14">
        <v>675</v>
      </c>
      <c r="L250" s="12">
        <v>8500</v>
      </c>
      <c r="M250" s="13">
        <v>1.35</v>
      </c>
      <c r="N250" s="14">
        <v>11475</v>
      </c>
      <c r="O250" s="12">
        <v>2100</v>
      </c>
      <c r="P250" s="13">
        <v>1.35</v>
      </c>
      <c r="Q250" s="14">
        <v>2835</v>
      </c>
      <c r="R250" s="11" t="s">
        <v>2990</v>
      </c>
      <c r="S250" s="11" t="s">
        <v>2991</v>
      </c>
      <c r="T250" s="11" t="s">
        <v>2966</v>
      </c>
    </row>
    <row r="251" spans="1:20" ht="50.1" hidden="1" customHeight="1">
      <c r="A251" s="10">
        <v>250</v>
      </c>
      <c r="B251" s="11" t="s">
        <v>862</v>
      </c>
      <c r="C251" s="11" t="s">
        <v>863</v>
      </c>
      <c r="D251" s="11" t="s">
        <v>17</v>
      </c>
      <c r="E251" s="11" t="s">
        <v>8</v>
      </c>
      <c r="F251" s="12">
        <v>86</v>
      </c>
      <c r="G251" s="13">
        <v>8.4</v>
      </c>
      <c r="H251" s="14">
        <v>722.4</v>
      </c>
      <c r="I251" s="12">
        <v>0</v>
      </c>
      <c r="J251" s="13"/>
      <c r="K251" s="14">
        <v>0</v>
      </c>
      <c r="L251" s="12">
        <v>0</v>
      </c>
      <c r="M251" s="13"/>
      <c r="N251" s="14">
        <v>0</v>
      </c>
      <c r="O251" s="12">
        <v>86</v>
      </c>
      <c r="P251" s="13">
        <v>8.4</v>
      </c>
      <c r="Q251" s="14">
        <v>722.4</v>
      </c>
      <c r="R251" s="11" t="s">
        <v>2971</v>
      </c>
      <c r="S251" s="11" t="s">
        <v>2972</v>
      </c>
      <c r="T251" s="11" t="s">
        <v>2966</v>
      </c>
    </row>
    <row r="252" spans="1:20" ht="50.1" hidden="1" customHeight="1">
      <c r="A252" s="10">
        <v>251</v>
      </c>
      <c r="B252" s="11" t="s">
        <v>1450</v>
      </c>
      <c r="C252" s="11" t="s">
        <v>1451</v>
      </c>
      <c r="D252" s="11" t="s">
        <v>17</v>
      </c>
      <c r="E252" s="11" t="s">
        <v>8</v>
      </c>
      <c r="F252" s="12">
        <v>1036</v>
      </c>
      <c r="G252" s="13">
        <v>25.324343630000001</v>
      </c>
      <c r="H252" s="14">
        <v>26236.02</v>
      </c>
      <c r="I252" s="12">
        <v>0</v>
      </c>
      <c r="J252" s="13"/>
      <c r="K252" s="14">
        <v>0</v>
      </c>
      <c r="L252" s="12">
        <v>0</v>
      </c>
      <c r="M252" s="13"/>
      <c r="N252" s="14">
        <v>0</v>
      </c>
      <c r="O252" s="12">
        <v>1036</v>
      </c>
      <c r="P252" s="13">
        <v>25.324343630000001</v>
      </c>
      <c r="Q252" s="14">
        <v>26236.02</v>
      </c>
      <c r="R252" s="11" t="s">
        <v>2971</v>
      </c>
      <c r="S252" s="11" t="s">
        <v>2972</v>
      </c>
      <c r="T252" s="11" t="s">
        <v>2966</v>
      </c>
    </row>
    <row r="253" spans="1:20" ht="50.1" hidden="1" customHeight="1">
      <c r="A253" s="10">
        <v>252</v>
      </c>
      <c r="B253" s="11" t="s">
        <v>1454</v>
      </c>
      <c r="C253" s="11" t="s">
        <v>1455</v>
      </c>
      <c r="D253" s="11" t="s">
        <v>17</v>
      </c>
      <c r="E253" s="11" t="s">
        <v>8</v>
      </c>
      <c r="F253" s="12">
        <v>1302</v>
      </c>
      <c r="G253" s="13">
        <v>4.7594623699999996</v>
      </c>
      <c r="H253" s="14">
        <v>6196.82</v>
      </c>
      <c r="I253" s="12">
        <v>0</v>
      </c>
      <c r="J253" s="13"/>
      <c r="K253" s="14">
        <v>0</v>
      </c>
      <c r="L253" s="12">
        <v>0</v>
      </c>
      <c r="M253" s="13"/>
      <c r="N253" s="14">
        <v>0</v>
      </c>
      <c r="O253" s="12">
        <v>1302</v>
      </c>
      <c r="P253" s="13">
        <v>4.7594623699999996</v>
      </c>
      <c r="Q253" s="14">
        <v>6196.82</v>
      </c>
      <c r="R253" s="11" t="s">
        <v>2971</v>
      </c>
      <c r="S253" s="11" t="s">
        <v>2972</v>
      </c>
      <c r="T253" s="11" t="s">
        <v>2966</v>
      </c>
    </row>
    <row r="254" spans="1:20" ht="50.1" hidden="1" customHeight="1">
      <c r="A254" s="10">
        <v>253</v>
      </c>
      <c r="B254" s="11" t="s">
        <v>1456</v>
      </c>
      <c r="C254" s="11" t="s">
        <v>2996</v>
      </c>
      <c r="D254" s="11" t="s">
        <v>17</v>
      </c>
      <c r="E254" s="11" t="s">
        <v>8</v>
      </c>
      <c r="F254" s="12">
        <v>475</v>
      </c>
      <c r="G254" s="13">
        <v>8.2243048400000003</v>
      </c>
      <c r="H254" s="14">
        <v>3906.5448000000001</v>
      </c>
      <c r="I254" s="12">
        <v>0</v>
      </c>
      <c r="J254" s="13"/>
      <c r="K254" s="14">
        <v>0</v>
      </c>
      <c r="L254" s="12">
        <v>0</v>
      </c>
      <c r="M254" s="13"/>
      <c r="N254" s="14">
        <v>0</v>
      </c>
      <c r="O254" s="12">
        <v>475</v>
      </c>
      <c r="P254" s="13">
        <v>8.2243048400000003</v>
      </c>
      <c r="Q254" s="14">
        <v>3906.5448000000001</v>
      </c>
      <c r="R254" s="11" t="s">
        <v>2971</v>
      </c>
      <c r="S254" s="11" t="s">
        <v>2972</v>
      </c>
      <c r="T254" s="11" t="s">
        <v>2966</v>
      </c>
    </row>
    <row r="255" spans="1:20" ht="50.1" hidden="1" customHeight="1">
      <c r="A255" s="10">
        <v>254</v>
      </c>
      <c r="B255" s="11" t="s">
        <v>1462</v>
      </c>
      <c r="C255" s="11" t="s">
        <v>1463</v>
      </c>
      <c r="D255" s="11" t="s">
        <v>20</v>
      </c>
      <c r="E255" s="11" t="s">
        <v>8</v>
      </c>
      <c r="F255" s="12">
        <v>572.94000000000005</v>
      </c>
      <c r="G255" s="13">
        <v>289.25217300000003</v>
      </c>
      <c r="H255" s="14">
        <v>165724.14000000001</v>
      </c>
      <c r="I255" s="12">
        <v>0</v>
      </c>
      <c r="J255" s="13"/>
      <c r="K255" s="14">
        <v>0</v>
      </c>
      <c r="L255" s="12">
        <v>0</v>
      </c>
      <c r="M255" s="13"/>
      <c r="N255" s="14">
        <v>0</v>
      </c>
      <c r="O255" s="12">
        <v>572.94000000000005</v>
      </c>
      <c r="P255" s="13">
        <v>289.25217300000003</v>
      </c>
      <c r="Q255" s="14">
        <v>165724.14000000001</v>
      </c>
      <c r="R255" s="11" t="s">
        <v>2971</v>
      </c>
      <c r="S255" s="11" t="s">
        <v>2972</v>
      </c>
      <c r="T255" s="11" t="s">
        <v>2966</v>
      </c>
    </row>
    <row r="256" spans="1:20" ht="50.1" hidden="1" customHeight="1">
      <c r="A256" s="10">
        <v>255</v>
      </c>
      <c r="B256" s="11" t="s">
        <v>1464</v>
      </c>
      <c r="C256" s="11" t="s">
        <v>1465</v>
      </c>
      <c r="D256" s="11" t="s">
        <v>20</v>
      </c>
      <c r="E256" s="11" t="s">
        <v>8</v>
      </c>
      <c r="F256" s="12">
        <v>64</v>
      </c>
      <c r="G256" s="13">
        <v>285.09578125000002</v>
      </c>
      <c r="H256" s="14">
        <v>18246.13</v>
      </c>
      <c r="I256" s="12">
        <v>0</v>
      </c>
      <c r="J256" s="13"/>
      <c r="K256" s="14">
        <v>0</v>
      </c>
      <c r="L256" s="12">
        <v>0</v>
      </c>
      <c r="M256" s="13"/>
      <c r="N256" s="14">
        <v>0</v>
      </c>
      <c r="O256" s="12">
        <v>64</v>
      </c>
      <c r="P256" s="13">
        <v>285.09578125000002</v>
      </c>
      <c r="Q256" s="14">
        <v>18246.13</v>
      </c>
      <c r="R256" s="11" t="s">
        <v>2971</v>
      </c>
      <c r="S256" s="11" t="s">
        <v>2972</v>
      </c>
      <c r="T256" s="11" t="s">
        <v>2966</v>
      </c>
    </row>
    <row r="257" spans="1:20" ht="50.1" hidden="1" customHeight="1">
      <c r="A257" s="10">
        <v>256</v>
      </c>
      <c r="B257" s="11" t="s">
        <v>1466</v>
      </c>
      <c r="C257" s="11" t="s">
        <v>1467</v>
      </c>
      <c r="D257" s="11" t="s">
        <v>17</v>
      </c>
      <c r="E257" s="11" t="s">
        <v>8</v>
      </c>
      <c r="F257" s="12">
        <v>129</v>
      </c>
      <c r="G257" s="13">
        <v>12.92984496</v>
      </c>
      <c r="H257" s="14">
        <v>1667.95</v>
      </c>
      <c r="I257" s="12">
        <v>0</v>
      </c>
      <c r="J257" s="13"/>
      <c r="K257" s="14">
        <v>0</v>
      </c>
      <c r="L257" s="12">
        <v>13</v>
      </c>
      <c r="M257" s="13">
        <v>12.93</v>
      </c>
      <c r="N257" s="14">
        <v>168.09</v>
      </c>
      <c r="O257" s="12">
        <v>116</v>
      </c>
      <c r="P257" s="13">
        <v>12.92982759</v>
      </c>
      <c r="Q257" s="14">
        <v>1499.86</v>
      </c>
      <c r="R257" s="11" t="s">
        <v>2971</v>
      </c>
      <c r="S257" s="11" t="s">
        <v>2972</v>
      </c>
      <c r="T257" s="11" t="s">
        <v>2966</v>
      </c>
    </row>
    <row r="258" spans="1:20" ht="50.1" hidden="1" customHeight="1">
      <c r="A258" s="10">
        <v>257</v>
      </c>
      <c r="B258" s="11" t="s">
        <v>1468</v>
      </c>
      <c r="C258" s="11" t="s">
        <v>1469</v>
      </c>
      <c r="D258" s="11" t="s">
        <v>17</v>
      </c>
      <c r="E258" s="11" t="s">
        <v>8</v>
      </c>
      <c r="F258" s="12">
        <v>103</v>
      </c>
      <c r="G258" s="13">
        <v>123</v>
      </c>
      <c r="H258" s="14">
        <v>12669</v>
      </c>
      <c r="I258" s="12">
        <v>0</v>
      </c>
      <c r="J258" s="13"/>
      <c r="K258" s="14">
        <v>0</v>
      </c>
      <c r="L258" s="12">
        <v>80</v>
      </c>
      <c r="M258" s="13">
        <v>123</v>
      </c>
      <c r="N258" s="14">
        <v>9840</v>
      </c>
      <c r="O258" s="12">
        <v>23</v>
      </c>
      <c r="P258" s="13">
        <v>123</v>
      </c>
      <c r="Q258" s="14">
        <v>2829</v>
      </c>
      <c r="R258" s="11" t="s">
        <v>2981</v>
      </c>
      <c r="S258" s="11" t="s">
        <v>2982</v>
      </c>
      <c r="T258" s="11" t="s">
        <v>2966</v>
      </c>
    </row>
    <row r="259" spans="1:20" ht="50.1" hidden="1" customHeight="1">
      <c r="A259" s="10">
        <v>258</v>
      </c>
      <c r="B259" s="11" t="s">
        <v>1470</v>
      </c>
      <c r="C259" s="11" t="s">
        <v>1471</v>
      </c>
      <c r="D259" s="11" t="s">
        <v>17</v>
      </c>
      <c r="E259" s="11" t="s">
        <v>8</v>
      </c>
      <c r="F259" s="12">
        <v>182</v>
      </c>
      <c r="G259" s="13">
        <v>123</v>
      </c>
      <c r="H259" s="14">
        <v>22386</v>
      </c>
      <c r="I259" s="12">
        <v>0</v>
      </c>
      <c r="J259" s="13"/>
      <c r="K259" s="14">
        <v>0</v>
      </c>
      <c r="L259" s="12">
        <v>85</v>
      </c>
      <c r="M259" s="13">
        <v>123</v>
      </c>
      <c r="N259" s="14">
        <v>10455</v>
      </c>
      <c r="O259" s="12">
        <v>97</v>
      </c>
      <c r="P259" s="13">
        <v>123</v>
      </c>
      <c r="Q259" s="14">
        <v>11931</v>
      </c>
      <c r="R259" s="11" t="s">
        <v>2981</v>
      </c>
      <c r="S259" s="11" t="s">
        <v>2982</v>
      </c>
      <c r="T259" s="11" t="s">
        <v>2966</v>
      </c>
    </row>
    <row r="260" spans="1:20" ht="50.1" hidden="1" customHeight="1">
      <c r="A260" s="10">
        <v>259</v>
      </c>
      <c r="B260" s="11" t="s">
        <v>1472</v>
      </c>
      <c r="C260" s="11" t="s">
        <v>1473</v>
      </c>
      <c r="D260" s="11" t="s">
        <v>17</v>
      </c>
      <c r="E260" s="11" t="s">
        <v>8</v>
      </c>
      <c r="F260" s="12">
        <v>181</v>
      </c>
      <c r="G260" s="13">
        <v>100</v>
      </c>
      <c r="H260" s="14">
        <v>18100</v>
      </c>
      <c r="I260" s="12">
        <v>0</v>
      </c>
      <c r="J260" s="13"/>
      <c r="K260" s="14">
        <v>0</v>
      </c>
      <c r="L260" s="12">
        <v>110</v>
      </c>
      <c r="M260" s="13">
        <v>100</v>
      </c>
      <c r="N260" s="14">
        <v>11000</v>
      </c>
      <c r="O260" s="12">
        <v>71</v>
      </c>
      <c r="P260" s="13">
        <v>100</v>
      </c>
      <c r="Q260" s="14">
        <v>7100</v>
      </c>
      <c r="R260" s="11" t="s">
        <v>2981</v>
      </c>
      <c r="S260" s="11" t="s">
        <v>2982</v>
      </c>
      <c r="T260" s="11" t="s">
        <v>2966</v>
      </c>
    </row>
    <row r="261" spans="1:20" ht="50.1" hidden="1" customHeight="1">
      <c r="A261" s="10">
        <v>260</v>
      </c>
      <c r="B261" s="11" t="s">
        <v>1474</v>
      </c>
      <c r="C261" s="11" t="s">
        <v>1475</v>
      </c>
      <c r="D261" s="11" t="s">
        <v>17</v>
      </c>
      <c r="E261" s="11" t="s">
        <v>8</v>
      </c>
      <c r="F261" s="12">
        <v>124</v>
      </c>
      <c r="G261" s="13">
        <v>100</v>
      </c>
      <c r="H261" s="14">
        <v>12400</v>
      </c>
      <c r="I261" s="12">
        <v>0</v>
      </c>
      <c r="J261" s="13"/>
      <c r="K261" s="14">
        <v>0</v>
      </c>
      <c r="L261" s="12">
        <v>85</v>
      </c>
      <c r="M261" s="13">
        <v>100</v>
      </c>
      <c r="N261" s="14">
        <v>8500</v>
      </c>
      <c r="O261" s="12">
        <v>39</v>
      </c>
      <c r="P261" s="13">
        <v>100</v>
      </c>
      <c r="Q261" s="14">
        <v>3900</v>
      </c>
      <c r="R261" s="11" t="s">
        <v>2981</v>
      </c>
      <c r="S261" s="11" t="s">
        <v>2982</v>
      </c>
      <c r="T261" s="11" t="s">
        <v>2966</v>
      </c>
    </row>
    <row r="262" spans="1:20" ht="50.1" hidden="1" customHeight="1">
      <c r="A262" s="10">
        <v>261</v>
      </c>
      <c r="B262" s="11" t="s">
        <v>1476</v>
      </c>
      <c r="C262" s="11" t="s">
        <v>1477</v>
      </c>
      <c r="D262" s="11" t="s">
        <v>17</v>
      </c>
      <c r="E262" s="11" t="s">
        <v>8</v>
      </c>
      <c r="F262" s="12">
        <v>25</v>
      </c>
      <c r="G262" s="13">
        <v>440.94760000000002</v>
      </c>
      <c r="H262" s="14">
        <v>11023.69</v>
      </c>
      <c r="I262" s="12">
        <v>0</v>
      </c>
      <c r="J262" s="13"/>
      <c r="K262" s="14">
        <v>0</v>
      </c>
      <c r="L262" s="12">
        <v>3</v>
      </c>
      <c r="M262" s="13">
        <v>440.94333332999997</v>
      </c>
      <c r="N262" s="14">
        <v>1322.83</v>
      </c>
      <c r="O262" s="12">
        <v>22</v>
      </c>
      <c r="P262" s="13">
        <v>440.94818182</v>
      </c>
      <c r="Q262" s="14">
        <v>9700.86</v>
      </c>
      <c r="R262" s="11" t="s">
        <v>2981</v>
      </c>
      <c r="S262" s="11" t="s">
        <v>2982</v>
      </c>
      <c r="T262" s="11" t="s">
        <v>2966</v>
      </c>
    </row>
    <row r="263" spans="1:20" ht="50.1" hidden="1" customHeight="1">
      <c r="A263" s="10">
        <v>262</v>
      </c>
      <c r="B263" s="11" t="s">
        <v>1478</v>
      </c>
      <c r="C263" s="11" t="s">
        <v>1479</v>
      </c>
      <c r="D263" s="11" t="s">
        <v>17</v>
      </c>
      <c r="E263" s="11" t="s">
        <v>8</v>
      </c>
      <c r="F263" s="12">
        <v>11</v>
      </c>
      <c r="G263" s="13">
        <v>288.55181818</v>
      </c>
      <c r="H263" s="14">
        <v>3174.07</v>
      </c>
      <c r="I263" s="12">
        <v>0</v>
      </c>
      <c r="J263" s="13"/>
      <c r="K263" s="14">
        <v>0</v>
      </c>
      <c r="L263" s="12">
        <v>0</v>
      </c>
      <c r="M263" s="13"/>
      <c r="N263" s="14">
        <v>0</v>
      </c>
      <c r="O263" s="12">
        <v>11</v>
      </c>
      <c r="P263" s="13">
        <v>288.55181818</v>
      </c>
      <c r="Q263" s="14">
        <v>3174.07</v>
      </c>
      <c r="R263" s="11" t="s">
        <v>2981</v>
      </c>
      <c r="S263" s="11" t="s">
        <v>2982</v>
      </c>
      <c r="T263" s="11" t="s">
        <v>2966</v>
      </c>
    </row>
    <row r="264" spans="1:20" ht="50.1" hidden="1" customHeight="1">
      <c r="A264" s="10">
        <v>263</v>
      </c>
      <c r="B264" s="11" t="s">
        <v>1480</v>
      </c>
      <c r="C264" s="11" t="s">
        <v>1481</v>
      </c>
      <c r="D264" s="11" t="s">
        <v>17</v>
      </c>
      <c r="E264" s="11" t="s">
        <v>8</v>
      </c>
      <c r="F264" s="12">
        <v>15</v>
      </c>
      <c r="G264" s="13">
        <v>289.56533332999999</v>
      </c>
      <c r="H264" s="14">
        <v>4343.4799999999996</v>
      </c>
      <c r="I264" s="12">
        <v>0</v>
      </c>
      <c r="J264" s="13"/>
      <c r="K264" s="14">
        <v>0</v>
      </c>
      <c r="L264" s="12">
        <v>0</v>
      </c>
      <c r="M264" s="13"/>
      <c r="N264" s="14">
        <v>0</v>
      </c>
      <c r="O264" s="12">
        <v>15</v>
      </c>
      <c r="P264" s="13">
        <v>289.56533332999999</v>
      </c>
      <c r="Q264" s="14">
        <v>4343.4799999999996</v>
      </c>
      <c r="R264" s="11" t="s">
        <v>2981</v>
      </c>
      <c r="S264" s="11" t="s">
        <v>2982</v>
      </c>
      <c r="T264" s="11" t="s">
        <v>2966</v>
      </c>
    </row>
    <row r="265" spans="1:20" ht="50.1" hidden="1" customHeight="1">
      <c r="A265" s="10">
        <v>264</v>
      </c>
      <c r="B265" s="11" t="s">
        <v>1482</v>
      </c>
      <c r="C265" s="11" t="s">
        <v>1483</v>
      </c>
      <c r="D265" s="11" t="s">
        <v>17</v>
      </c>
      <c r="E265" s="11" t="s">
        <v>8</v>
      </c>
      <c r="F265" s="12">
        <v>9</v>
      </c>
      <c r="G265" s="13">
        <v>476.5</v>
      </c>
      <c r="H265" s="14">
        <v>4288.5</v>
      </c>
      <c r="I265" s="12">
        <v>0</v>
      </c>
      <c r="J265" s="13"/>
      <c r="K265" s="14">
        <v>0</v>
      </c>
      <c r="L265" s="12">
        <v>7</v>
      </c>
      <c r="M265" s="13">
        <v>476.5</v>
      </c>
      <c r="N265" s="14">
        <v>3335.5</v>
      </c>
      <c r="O265" s="12">
        <v>2</v>
      </c>
      <c r="P265" s="13">
        <v>476.5</v>
      </c>
      <c r="Q265" s="14">
        <v>953</v>
      </c>
      <c r="R265" s="11" t="s">
        <v>2981</v>
      </c>
      <c r="S265" s="11" t="s">
        <v>2982</v>
      </c>
      <c r="T265" s="11" t="s">
        <v>2966</v>
      </c>
    </row>
    <row r="266" spans="1:20" ht="50.1" hidden="1" customHeight="1">
      <c r="A266" s="10">
        <v>265</v>
      </c>
      <c r="B266" s="11" t="s">
        <v>1484</v>
      </c>
      <c r="C266" s="11" t="s">
        <v>1485</v>
      </c>
      <c r="D266" s="11" t="s">
        <v>17</v>
      </c>
      <c r="E266" s="11" t="s">
        <v>8</v>
      </c>
      <c r="F266" s="12">
        <v>224</v>
      </c>
      <c r="G266" s="13">
        <v>5</v>
      </c>
      <c r="H266" s="14">
        <v>1120</v>
      </c>
      <c r="I266" s="12">
        <v>0</v>
      </c>
      <c r="J266" s="13"/>
      <c r="K266" s="14">
        <v>0</v>
      </c>
      <c r="L266" s="12">
        <v>0</v>
      </c>
      <c r="M266" s="13"/>
      <c r="N266" s="14">
        <v>0</v>
      </c>
      <c r="O266" s="12">
        <v>224</v>
      </c>
      <c r="P266" s="13">
        <v>5</v>
      </c>
      <c r="Q266" s="14">
        <v>1120</v>
      </c>
      <c r="R266" s="11" t="s">
        <v>2971</v>
      </c>
      <c r="S266" s="11" t="s">
        <v>2972</v>
      </c>
      <c r="T266" s="11" t="s">
        <v>2966</v>
      </c>
    </row>
    <row r="267" spans="1:20" ht="50.1" hidden="1" customHeight="1">
      <c r="A267" s="10">
        <v>266</v>
      </c>
      <c r="B267" s="11" t="s">
        <v>1486</v>
      </c>
      <c r="C267" s="11" t="s">
        <v>1487</v>
      </c>
      <c r="D267" s="11" t="s">
        <v>17</v>
      </c>
      <c r="E267" s="11" t="s">
        <v>8</v>
      </c>
      <c r="F267" s="12">
        <v>171</v>
      </c>
      <c r="G267" s="13">
        <v>1282.3170175400001</v>
      </c>
      <c r="H267" s="14">
        <v>219276.21</v>
      </c>
      <c r="I267" s="12">
        <v>0</v>
      </c>
      <c r="J267" s="13"/>
      <c r="K267" s="14">
        <v>0</v>
      </c>
      <c r="L267" s="12">
        <v>110</v>
      </c>
      <c r="M267" s="13">
        <v>1282.3171818200001</v>
      </c>
      <c r="N267" s="14">
        <v>141054.89000000001</v>
      </c>
      <c r="O267" s="12">
        <v>61</v>
      </c>
      <c r="P267" s="13">
        <v>1282.31672131</v>
      </c>
      <c r="Q267" s="14">
        <v>78221.320000000007</v>
      </c>
      <c r="R267" s="11" t="s">
        <v>2997</v>
      </c>
      <c r="S267" s="11" t="s">
        <v>2998</v>
      </c>
      <c r="T267" s="11" t="s">
        <v>2966</v>
      </c>
    </row>
    <row r="268" spans="1:20" ht="50.1" customHeight="1">
      <c r="A268" s="10">
        <v>267</v>
      </c>
      <c r="B268" s="11" t="s">
        <v>1488</v>
      </c>
      <c r="C268" s="11" t="s">
        <v>1489</v>
      </c>
      <c r="D268" s="11" t="s">
        <v>17</v>
      </c>
      <c r="E268" s="11" t="s">
        <v>8</v>
      </c>
      <c r="F268" s="12">
        <v>227</v>
      </c>
      <c r="G268" s="13">
        <v>29</v>
      </c>
      <c r="H268" s="14">
        <v>6583</v>
      </c>
      <c r="I268" s="12">
        <v>0</v>
      </c>
      <c r="J268" s="13"/>
      <c r="K268" s="14">
        <v>0</v>
      </c>
      <c r="L268" s="12">
        <v>0</v>
      </c>
      <c r="M268" s="13"/>
      <c r="N268" s="14">
        <v>0</v>
      </c>
      <c r="O268" s="12">
        <v>227</v>
      </c>
      <c r="P268" s="13">
        <v>29</v>
      </c>
      <c r="Q268" s="14">
        <v>6583</v>
      </c>
      <c r="R268" s="11" t="s">
        <v>2981</v>
      </c>
      <c r="S268" s="11" t="s">
        <v>2982</v>
      </c>
      <c r="T268" s="11" t="s">
        <v>2966</v>
      </c>
    </row>
    <row r="269" spans="1:20" ht="50.1" hidden="1" customHeight="1">
      <c r="A269" s="10">
        <v>268</v>
      </c>
      <c r="B269" s="11" t="s">
        <v>1490</v>
      </c>
      <c r="C269" s="11" t="s">
        <v>1491</v>
      </c>
      <c r="D269" s="11" t="s">
        <v>7</v>
      </c>
      <c r="E269" s="11" t="s">
        <v>8</v>
      </c>
      <c r="F269" s="12">
        <v>528.29999999999995</v>
      </c>
      <c r="G269" s="13">
        <v>233.76395987000001</v>
      </c>
      <c r="H269" s="14">
        <v>123497.5</v>
      </c>
      <c r="I269" s="12">
        <v>0</v>
      </c>
      <c r="J269" s="13"/>
      <c r="K269" s="14">
        <v>0</v>
      </c>
      <c r="L269" s="12">
        <v>0</v>
      </c>
      <c r="M269" s="13"/>
      <c r="N269" s="14">
        <v>0</v>
      </c>
      <c r="O269" s="12">
        <v>528.29999999999995</v>
      </c>
      <c r="P269" s="13">
        <v>233.76395987000001</v>
      </c>
      <c r="Q269" s="14">
        <v>123497.5</v>
      </c>
      <c r="R269" s="11" t="s">
        <v>2964</v>
      </c>
      <c r="S269" s="11" t="s">
        <v>2965</v>
      </c>
      <c r="T269" s="11" t="s">
        <v>2966</v>
      </c>
    </row>
    <row r="270" spans="1:20" ht="50.1" hidden="1" customHeight="1">
      <c r="A270" s="10">
        <v>269</v>
      </c>
      <c r="B270" s="11" t="s">
        <v>1492</v>
      </c>
      <c r="C270" s="11" t="s">
        <v>1493</v>
      </c>
      <c r="D270" s="11" t="s">
        <v>7</v>
      </c>
      <c r="E270" s="11" t="s">
        <v>8</v>
      </c>
      <c r="F270" s="12">
        <v>428.4</v>
      </c>
      <c r="G270" s="13">
        <v>206</v>
      </c>
      <c r="H270" s="14">
        <v>88250.4</v>
      </c>
      <c r="I270" s="12">
        <v>0</v>
      </c>
      <c r="J270" s="13"/>
      <c r="K270" s="14">
        <v>0</v>
      </c>
      <c r="L270" s="12">
        <v>0</v>
      </c>
      <c r="M270" s="13"/>
      <c r="N270" s="14">
        <v>0</v>
      </c>
      <c r="O270" s="12">
        <v>428.4</v>
      </c>
      <c r="P270" s="13">
        <v>206</v>
      </c>
      <c r="Q270" s="14">
        <v>88250.4</v>
      </c>
      <c r="R270" s="11" t="s">
        <v>2964</v>
      </c>
      <c r="S270" s="11" t="s">
        <v>2965</v>
      </c>
      <c r="T270" s="11" t="s">
        <v>2966</v>
      </c>
    </row>
    <row r="271" spans="1:20" ht="50.1" hidden="1" customHeight="1">
      <c r="A271" s="10">
        <v>270</v>
      </c>
      <c r="B271" s="11" t="s">
        <v>1494</v>
      </c>
      <c r="C271" s="11" t="s">
        <v>1495</v>
      </c>
      <c r="D271" s="11" t="s">
        <v>7</v>
      </c>
      <c r="E271" s="11" t="s">
        <v>8</v>
      </c>
      <c r="F271" s="12">
        <v>180.3</v>
      </c>
      <c r="G271" s="13">
        <v>199.59423183999999</v>
      </c>
      <c r="H271" s="14">
        <v>35986.839999999997</v>
      </c>
      <c r="I271" s="12">
        <v>0</v>
      </c>
      <c r="J271" s="13"/>
      <c r="K271" s="14">
        <v>0</v>
      </c>
      <c r="L271" s="12">
        <v>0</v>
      </c>
      <c r="M271" s="13"/>
      <c r="N271" s="14">
        <v>0</v>
      </c>
      <c r="O271" s="12">
        <v>180.3</v>
      </c>
      <c r="P271" s="13">
        <v>199.59423183999999</v>
      </c>
      <c r="Q271" s="14">
        <v>35986.839999999997</v>
      </c>
      <c r="R271" s="11" t="s">
        <v>2964</v>
      </c>
      <c r="S271" s="11" t="s">
        <v>2965</v>
      </c>
      <c r="T271" s="11" t="s">
        <v>2966</v>
      </c>
    </row>
    <row r="272" spans="1:20" ht="50.1" hidden="1" customHeight="1">
      <c r="A272" s="10">
        <v>271</v>
      </c>
      <c r="B272" s="11" t="s">
        <v>1496</v>
      </c>
      <c r="C272" s="11" t="s">
        <v>1497</v>
      </c>
      <c r="D272" s="11" t="s">
        <v>7</v>
      </c>
      <c r="E272" s="11" t="s">
        <v>8</v>
      </c>
      <c r="F272" s="12">
        <v>2355.9</v>
      </c>
      <c r="G272" s="13">
        <v>122.20507662</v>
      </c>
      <c r="H272" s="14">
        <v>287902.94</v>
      </c>
      <c r="I272" s="12">
        <v>1579.95</v>
      </c>
      <c r="J272" s="13">
        <v>83.761600049999998</v>
      </c>
      <c r="K272" s="14">
        <v>132339.14000000001</v>
      </c>
      <c r="L272" s="12">
        <v>1264.25</v>
      </c>
      <c r="M272" s="13">
        <v>109.65419023</v>
      </c>
      <c r="N272" s="14">
        <v>138630.31</v>
      </c>
      <c r="O272" s="12">
        <v>2671.6</v>
      </c>
      <c r="P272" s="13">
        <v>105.40940635</v>
      </c>
      <c r="Q272" s="14">
        <v>281611.77</v>
      </c>
      <c r="R272" s="11" t="s">
        <v>2964</v>
      </c>
      <c r="S272" s="11" t="s">
        <v>2965</v>
      </c>
      <c r="T272" s="11" t="s">
        <v>2966</v>
      </c>
    </row>
    <row r="273" spans="1:20" ht="50.1" hidden="1" customHeight="1">
      <c r="A273" s="10">
        <v>272</v>
      </c>
      <c r="B273" s="11" t="s">
        <v>1500</v>
      </c>
      <c r="C273" s="11" t="s">
        <v>1501</v>
      </c>
      <c r="D273" s="11" t="s">
        <v>17</v>
      </c>
      <c r="E273" s="11" t="s">
        <v>8</v>
      </c>
      <c r="F273" s="12">
        <v>67</v>
      </c>
      <c r="G273" s="13">
        <v>3.98462687</v>
      </c>
      <c r="H273" s="14">
        <v>266.97000000000003</v>
      </c>
      <c r="I273" s="12">
        <v>0</v>
      </c>
      <c r="J273" s="13"/>
      <c r="K273" s="14">
        <v>0</v>
      </c>
      <c r="L273" s="12">
        <v>0</v>
      </c>
      <c r="M273" s="13"/>
      <c r="N273" s="14">
        <v>0</v>
      </c>
      <c r="O273" s="12">
        <v>67</v>
      </c>
      <c r="P273" s="13">
        <v>3.98462687</v>
      </c>
      <c r="Q273" s="14">
        <v>266.97000000000003</v>
      </c>
      <c r="R273" s="11" t="s">
        <v>2971</v>
      </c>
      <c r="S273" s="11" t="s">
        <v>2972</v>
      </c>
      <c r="T273" s="11" t="s">
        <v>2966</v>
      </c>
    </row>
    <row r="274" spans="1:20" ht="50.1" hidden="1" customHeight="1">
      <c r="A274" s="10">
        <v>273</v>
      </c>
      <c r="B274" s="11" t="s">
        <v>1502</v>
      </c>
      <c r="C274" s="11" t="s">
        <v>1503</v>
      </c>
      <c r="D274" s="11" t="s">
        <v>17</v>
      </c>
      <c r="E274" s="11" t="s">
        <v>8</v>
      </c>
      <c r="F274" s="12">
        <v>57</v>
      </c>
      <c r="G274" s="13">
        <v>4</v>
      </c>
      <c r="H274" s="14">
        <v>228</v>
      </c>
      <c r="I274" s="12">
        <v>0</v>
      </c>
      <c r="J274" s="13"/>
      <c r="K274" s="14">
        <v>0</v>
      </c>
      <c r="L274" s="12">
        <v>0</v>
      </c>
      <c r="M274" s="13"/>
      <c r="N274" s="14">
        <v>0</v>
      </c>
      <c r="O274" s="12">
        <v>57</v>
      </c>
      <c r="P274" s="13">
        <v>4</v>
      </c>
      <c r="Q274" s="14">
        <v>228</v>
      </c>
      <c r="R274" s="11" t="s">
        <v>2971</v>
      </c>
      <c r="S274" s="11" t="s">
        <v>2972</v>
      </c>
      <c r="T274" s="11" t="s">
        <v>2966</v>
      </c>
    </row>
    <row r="275" spans="1:20" ht="50.1" hidden="1" customHeight="1">
      <c r="A275" s="10">
        <v>274</v>
      </c>
      <c r="B275" s="11" t="s">
        <v>1504</v>
      </c>
      <c r="C275" s="11" t="s">
        <v>1505</v>
      </c>
      <c r="D275" s="11" t="s">
        <v>7</v>
      </c>
      <c r="E275" s="11" t="s">
        <v>8</v>
      </c>
      <c r="F275" s="12">
        <v>360</v>
      </c>
      <c r="G275" s="13">
        <v>7.99999167</v>
      </c>
      <c r="H275" s="14">
        <v>2879.9969999999998</v>
      </c>
      <c r="I275" s="12">
        <v>0</v>
      </c>
      <c r="J275" s="13"/>
      <c r="K275" s="14">
        <v>0</v>
      </c>
      <c r="L275" s="12">
        <v>0</v>
      </c>
      <c r="M275" s="13"/>
      <c r="N275" s="14">
        <v>0</v>
      </c>
      <c r="O275" s="12">
        <v>360</v>
      </c>
      <c r="P275" s="13">
        <v>7.99999167</v>
      </c>
      <c r="Q275" s="14">
        <v>2879.9969999999998</v>
      </c>
      <c r="R275" s="11" t="s">
        <v>2990</v>
      </c>
      <c r="S275" s="11" t="s">
        <v>2991</v>
      </c>
      <c r="T275" s="11" t="s">
        <v>2966</v>
      </c>
    </row>
    <row r="276" spans="1:20" ht="50.1" hidden="1" customHeight="1">
      <c r="A276" s="10">
        <v>275</v>
      </c>
      <c r="B276" s="11" t="s">
        <v>1506</v>
      </c>
      <c r="C276" s="11" t="s">
        <v>1507</v>
      </c>
      <c r="D276" s="11" t="s">
        <v>17</v>
      </c>
      <c r="E276" s="11" t="s">
        <v>8</v>
      </c>
      <c r="F276" s="12">
        <v>450</v>
      </c>
      <c r="G276" s="13">
        <v>115</v>
      </c>
      <c r="H276" s="14">
        <v>51750</v>
      </c>
      <c r="I276" s="12">
        <v>0</v>
      </c>
      <c r="J276" s="13"/>
      <c r="K276" s="14">
        <v>0</v>
      </c>
      <c r="L276" s="12">
        <v>0</v>
      </c>
      <c r="M276" s="13"/>
      <c r="N276" s="14">
        <v>0</v>
      </c>
      <c r="O276" s="12">
        <v>450</v>
      </c>
      <c r="P276" s="13">
        <v>115</v>
      </c>
      <c r="Q276" s="14">
        <v>51750</v>
      </c>
      <c r="R276" s="11" t="s">
        <v>2990</v>
      </c>
      <c r="S276" s="11" t="s">
        <v>2991</v>
      </c>
      <c r="T276" s="11" t="s">
        <v>2966</v>
      </c>
    </row>
    <row r="277" spans="1:20" ht="50.1" hidden="1" customHeight="1">
      <c r="A277" s="10">
        <v>276</v>
      </c>
      <c r="B277" s="11" t="s">
        <v>1508</v>
      </c>
      <c r="C277" s="11" t="s">
        <v>1509</v>
      </c>
      <c r="D277" s="11" t="s">
        <v>17</v>
      </c>
      <c r="E277" s="11" t="s">
        <v>8</v>
      </c>
      <c r="F277" s="12">
        <v>250</v>
      </c>
      <c r="G277" s="13">
        <v>2.249984</v>
      </c>
      <c r="H277" s="14">
        <v>562.49599999999998</v>
      </c>
      <c r="I277" s="12">
        <v>0</v>
      </c>
      <c r="J277" s="13"/>
      <c r="K277" s="14">
        <v>0</v>
      </c>
      <c r="L277" s="12">
        <v>0</v>
      </c>
      <c r="M277" s="13"/>
      <c r="N277" s="14">
        <v>0</v>
      </c>
      <c r="O277" s="12">
        <v>250</v>
      </c>
      <c r="P277" s="13">
        <v>2.249984</v>
      </c>
      <c r="Q277" s="14">
        <v>562.49599999999998</v>
      </c>
      <c r="R277" s="11" t="s">
        <v>2990</v>
      </c>
      <c r="S277" s="11" t="s">
        <v>2991</v>
      </c>
      <c r="T277" s="11" t="s">
        <v>2966</v>
      </c>
    </row>
    <row r="278" spans="1:20" ht="50.1" customHeight="1">
      <c r="A278" s="10">
        <v>277</v>
      </c>
      <c r="B278" s="11" t="s">
        <v>1510</v>
      </c>
      <c r="C278" s="11" t="s">
        <v>1511</v>
      </c>
      <c r="D278" s="11" t="s">
        <v>17</v>
      </c>
      <c r="E278" s="11" t="s">
        <v>8</v>
      </c>
      <c r="F278" s="12">
        <v>130</v>
      </c>
      <c r="G278" s="13">
        <v>96</v>
      </c>
      <c r="H278" s="14">
        <v>12480</v>
      </c>
      <c r="I278" s="12">
        <v>150</v>
      </c>
      <c r="J278" s="13">
        <v>96</v>
      </c>
      <c r="K278" s="14">
        <v>14400</v>
      </c>
      <c r="L278" s="12">
        <v>60</v>
      </c>
      <c r="M278" s="13">
        <v>96</v>
      </c>
      <c r="N278" s="14">
        <v>5760</v>
      </c>
      <c r="O278" s="12">
        <v>220</v>
      </c>
      <c r="P278" s="13">
        <v>96</v>
      </c>
      <c r="Q278" s="14">
        <v>21120</v>
      </c>
      <c r="R278" s="11" t="s">
        <v>2981</v>
      </c>
      <c r="S278" s="11" t="s">
        <v>2982</v>
      </c>
      <c r="T278" s="11" t="s">
        <v>2966</v>
      </c>
    </row>
    <row r="279" spans="1:20" ht="50.1" hidden="1" customHeight="1">
      <c r="A279" s="10">
        <v>278</v>
      </c>
      <c r="B279" s="11" t="s">
        <v>1512</v>
      </c>
      <c r="C279" s="11" t="s">
        <v>1513</v>
      </c>
      <c r="D279" s="11" t="s">
        <v>17</v>
      </c>
      <c r="E279" s="11" t="s">
        <v>8</v>
      </c>
      <c r="F279" s="12">
        <v>0</v>
      </c>
      <c r="G279" s="13"/>
      <c r="H279" s="14">
        <v>0</v>
      </c>
      <c r="I279" s="12">
        <v>600</v>
      </c>
      <c r="J279" s="13">
        <v>18</v>
      </c>
      <c r="K279" s="14">
        <v>10800</v>
      </c>
      <c r="L279" s="12">
        <v>75</v>
      </c>
      <c r="M279" s="13">
        <v>18</v>
      </c>
      <c r="N279" s="14">
        <v>1350</v>
      </c>
      <c r="O279" s="12">
        <v>525</v>
      </c>
      <c r="P279" s="13">
        <v>18</v>
      </c>
      <c r="Q279" s="14">
        <v>9450</v>
      </c>
      <c r="R279" s="11" t="s">
        <v>2973</v>
      </c>
      <c r="S279" s="11" t="s">
        <v>2974</v>
      </c>
      <c r="T279" s="11" t="s">
        <v>2966</v>
      </c>
    </row>
    <row r="280" spans="1:20" ht="50.1" hidden="1" customHeight="1">
      <c r="A280" s="10">
        <v>279</v>
      </c>
      <c r="B280" s="11" t="s">
        <v>1514</v>
      </c>
      <c r="C280" s="11" t="s">
        <v>1515</v>
      </c>
      <c r="D280" s="11" t="s">
        <v>135</v>
      </c>
      <c r="E280" s="11" t="s">
        <v>8</v>
      </c>
      <c r="F280" s="12">
        <v>26000</v>
      </c>
      <c r="G280" s="13">
        <v>1.1677834600000001</v>
      </c>
      <c r="H280" s="14">
        <v>30362.37</v>
      </c>
      <c r="I280" s="12">
        <v>0</v>
      </c>
      <c r="J280" s="13"/>
      <c r="K280" s="14">
        <v>0</v>
      </c>
      <c r="L280" s="12">
        <v>2000</v>
      </c>
      <c r="M280" s="13">
        <v>1.1677999999999999</v>
      </c>
      <c r="N280" s="14">
        <v>2335.6</v>
      </c>
      <c r="O280" s="12">
        <v>24000</v>
      </c>
      <c r="P280" s="13">
        <v>1.1677820800000001</v>
      </c>
      <c r="Q280" s="14">
        <v>28026.77</v>
      </c>
      <c r="R280" s="11" t="s">
        <v>2973</v>
      </c>
      <c r="S280" s="11" t="s">
        <v>2974</v>
      </c>
      <c r="T280" s="11" t="s">
        <v>2966</v>
      </c>
    </row>
    <row r="281" spans="1:20" ht="50.1" hidden="1" customHeight="1">
      <c r="A281" s="10">
        <v>280</v>
      </c>
      <c r="B281" s="11" t="s">
        <v>1516</v>
      </c>
      <c r="C281" s="11" t="s">
        <v>1517</v>
      </c>
      <c r="D281" s="11" t="s">
        <v>17</v>
      </c>
      <c r="E281" s="11" t="s">
        <v>8</v>
      </c>
      <c r="F281" s="12">
        <v>8600</v>
      </c>
      <c r="G281" s="13">
        <v>1.5084302300000001</v>
      </c>
      <c r="H281" s="14">
        <v>12972.5</v>
      </c>
      <c r="I281" s="12">
        <v>0</v>
      </c>
      <c r="J281" s="13"/>
      <c r="K281" s="14">
        <v>0</v>
      </c>
      <c r="L281" s="12">
        <v>0</v>
      </c>
      <c r="M281" s="13"/>
      <c r="N281" s="14">
        <v>0</v>
      </c>
      <c r="O281" s="12">
        <v>8600</v>
      </c>
      <c r="P281" s="13">
        <v>1.5084302300000001</v>
      </c>
      <c r="Q281" s="14">
        <v>12972.5</v>
      </c>
      <c r="R281" s="11" t="s">
        <v>2971</v>
      </c>
      <c r="S281" s="11" t="s">
        <v>2972</v>
      </c>
      <c r="T281" s="11" t="s">
        <v>2966</v>
      </c>
    </row>
    <row r="282" spans="1:20" ht="50.1" hidden="1" customHeight="1">
      <c r="A282" s="10">
        <v>281</v>
      </c>
      <c r="B282" s="11" t="s">
        <v>1518</v>
      </c>
      <c r="C282" s="11" t="s">
        <v>1519</v>
      </c>
      <c r="D282" s="11" t="s">
        <v>17</v>
      </c>
      <c r="E282" s="11" t="s">
        <v>8</v>
      </c>
      <c r="F282" s="12">
        <v>974</v>
      </c>
      <c r="G282" s="13">
        <v>8.5</v>
      </c>
      <c r="H282" s="14">
        <v>8279</v>
      </c>
      <c r="I282" s="12">
        <v>0</v>
      </c>
      <c r="J282" s="13"/>
      <c r="K282" s="14">
        <v>0</v>
      </c>
      <c r="L282" s="12">
        <v>0</v>
      </c>
      <c r="M282" s="13"/>
      <c r="N282" s="14">
        <v>0</v>
      </c>
      <c r="O282" s="12">
        <v>974</v>
      </c>
      <c r="P282" s="13">
        <v>8.5</v>
      </c>
      <c r="Q282" s="14">
        <v>8279</v>
      </c>
      <c r="R282" s="11" t="s">
        <v>2971</v>
      </c>
      <c r="S282" s="11" t="s">
        <v>2972</v>
      </c>
      <c r="T282" s="11" t="s">
        <v>2961</v>
      </c>
    </row>
    <row r="283" spans="1:20" ht="50.1" hidden="1" customHeight="1">
      <c r="A283" s="10">
        <v>282</v>
      </c>
      <c r="B283" s="11" t="s">
        <v>1522</v>
      </c>
      <c r="C283" s="11" t="s">
        <v>1523</v>
      </c>
      <c r="D283" s="11" t="s">
        <v>135</v>
      </c>
      <c r="E283" s="11" t="s">
        <v>8</v>
      </c>
      <c r="F283" s="12">
        <v>5000</v>
      </c>
      <c r="G283" s="13">
        <v>4.7001238399999998</v>
      </c>
      <c r="H283" s="14">
        <v>23500.619200000001</v>
      </c>
      <c r="I283" s="12">
        <v>0</v>
      </c>
      <c r="J283" s="13"/>
      <c r="K283" s="14">
        <v>0</v>
      </c>
      <c r="L283" s="12">
        <v>500</v>
      </c>
      <c r="M283" s="13">
        <v>4.7000999999999999</v>
      </c>
      <c r="N283" s="14">
        <v>2350.0500000000002</v>
      </c>
      <c r="O283" s="12">
        <v>4500</v>
      </c>
      <c r="P283" s="13">
        <v>4.7001264899999997</v>
      </c>
      <c r="Q283" s="14">
        <v>21150.569200000002</v>
      </c>
      <c r="R283" s="11" t="s">
        <v>2971</v>
      </c>
      <c r="S283" s="11" t="s">
        <v>2972</v>
      </c>
      <c r="T283" s="11" t="s">
        <v>2966</v>
      </c>
    </row>
    <row r="284" spans="1:20" ht="50.1" hidden="1" customHeight="1">
      <c r="A284" s="10">
        <v>283</v>
      </c>
      <c r="B284" s="11" t="s">
        <v>1524</v>
      </c>
      <c r="C284" s="11" t="s">
        <v>1525</v>
      </c>
      <c r="D284" s="11" t="s">
        <v>17</v>
      </c>
      <c r="E284" s="11" t="s">
        <v>8</v>
      </c>
      <c r="F284" s="12">
        <v>2000</v>
      </c>
      <c r="G284" s="13">
        <v>2.0972499999999998</v>
      </c>
      <c r="H284" s="14">
        <v>4194.5</v>
      </c>
      <c r="I284" s="12">
        <v>0</v>
      </c>
      <c r="J284" s="13"/>
      <c r="K284" s="14">
        <v>0</v>
      </c>
      <c r="L284" s="12">
        <v>0</v>
      </c>
      <c r="M284" s="13"/>
      <c r="N284" s="14">
        <v>0</v>
      </c>
      <c r="O284" s="12">
        <v>2000</v>
      </c>
      <c r="P284" s="13">
        <v>2.0972499999999998</v>
      </c>
      <c r="Q284" s="14">
        <v>4194.5</v>
      </c>
      <c r="R284" s="11" t="s">
        <v>2971</v>
      </c>
      <c r="S284" s="11" t="s">
        <v>2972</v>
      </c>
      <c r="T284" s="11" t="s">
        <v>2966</v>
      </c>
    </row>
    <row r="285" spans="1:20" ht="50.1" hidden="1" customHeight="1">
      <c r="A285" s="10">
        <v>284</v>
      </c>
      <c r="B285" s="11" t="s">
        <v>2427</v>
      </c>
      <c r="C285" s="11" t="s">
        <v>2428</v>
      </c>
      <c r="D285" s="11" t="s">
        <v>17</v>
      </c>
      <c r="E285" s="11" t="s">
        <v>8</v>
      </c>
      <c r="F285" s="12">
        <v>4000</v>
      </c>
      <c r="G285" s="13">
        <v>9</v>
      </c>
      <c r="H285" s="14">
        <v>36000</v>
      </c>
      <c r="I285" s="12">
        <v>0</v>
      </c>
      <c r="J285" s="13"/>
      <c r="K285" s="14">
        <v>0</v>
      </c>
      <c r="L285" s="12">
        <v>1500</v>
      </c>
      <c r="M285" s="13">
        <v>9</v>
      </c>
      <c r="N285" s="14">
        <v>13500</v>
      </c>
      <c r="O285" s="12">
        <v>2500</v>
      </c>
      <c r="P285" s="13">
        <v>9</v>
      </c>
      <c r="Q285" s="14">
        <v>22500</v>
      </c>
      <c r="R285" s="11" t="s">
        <v>2971</v>
      </c>
      <c r="S285" s="11" t="s">
        <v>2972</v>
      </c>
      <c r="T285" s="11" t="s">
        <v>2966</v>
      </c>
    </row>
    <row r="286" spans="1:20" ht="50.1" hidden="1" customHeight="1">
      <c r="A286" s="10">
        <v>285</v>
      </c>
      <c r="B286" s="11" t="s">
        <v>1528</v>
      </c>
      <c r="C286" s="11" t="s">
        <v>1529</v>
      </c>
      <c r="D286" s="11" t="s">
        <v>17</v>
      </c>
      <c r="E286" s="11" t="s">
        <v>8</v>
      </c>
      <c r="F286" s="12">
        <v>300</v>
      </c>
      <c r="G286" s="13">
        <v>8.9999850000000006</v>
      </c>
      <c r="H286" s="14">
        <v>2699.9955</v>
      </c>
      <c r="I286" s="12">
        <v>0</v>
      </c>
      <c r="J286" s="13"/>
      <c r="K286" s="14">
        <v>0</v>
      </c>
      <c r="L286" s="12">
        <v>0</v>
      </c>
      <c r="M286" s="13"/>
      <c r="N286" s="14">
        <v>0</v>
      </c>
      <c r="O286" s="12">
        <v>300</v>
      </c>
      <c r="P286" s="13">
        <v>8.9999850000000006</v>
      </c>
      <c r="Q286" s="14">
        <v>2699.9955</v>
      </c>
      <c r="R286" s="11" t="s">
        <v>2971</v>
      </c>
      <c r="S286" s="11" t="s">
        <v>2972</v>
      </c>
      <c r="T286" s="11" t="s">
        <v>2966</v>
      </c>
    </row>
    <row r="287" spans="1:20" ht="50.1" hidden="1" customHeight="1">
      <c r="A287" s="10">
        <v>286</v>
      </c>
      <c r="B287" s="11" t="s">
        <v>1530</v>
      </c>
      <c r="C287" s="11" t="s">
        <v>1531</v>
      </c>
      <c r="D287" s="11" t="s">
        <v>135</v>
      </c>
      <c r="E287" s="11" t="s">
        <v>8</v>
      </c>
      <c r="F287" s="12">
        <v>64800</v>
      </c>
      <c r="G287" s="13">
        <v>4.6365804700000002</v>
      </c>
      <c r="H287" s="14">
        <v>300450.41440000001</v>
      </c>
      <c r="I287" s="12">
        <v>0</v>
      </c>
      <c r="J287" s="13"/>
      <c r="K287" s="14">
        <v>0</v>
      </c>
      <c r="L287" s="12">
        <v>18000</v>
      </c>
      <c r="M287" s="13">
        <v>4.6367000000000003</v>
      </c>
      <c r="N287" s="14">
        <v>83460.600000000006</v>
      </c>
      <c r="O287" s="12">
        <v>46800</v>
      </c>
      <c r="P287" s="13">
        <v>4.6365344999999998</v>
      </c>
      <c r="Q287" s="14">
        <v>216989.8144</v>
      </c>
      <c r="R287" s="11" t="s">
        <v>2973</v>
      </c>
      <c r="S287" s="11" t="s">
        <v>2974</v>
      </c>
      <c r="T287" s="11" t="s">
        <v>2966</v>
      </c>
    </row>
    <row r="288" spans="1:20" ht="50.1" hidden="1" customHeight="1">
      <c r="A288" s="10">
        <v>287</v>
      </c>
      <c r="B288" s="11" t="s">
        <v>1532</v>
      </c>
      <c r="C288" s="11" t="s">
        <v>1533</v>
      </c>
      <c r="D288" s="11" t="s">
        <v>135</v>
      </c>
      <c r="E288" s="11" t="s">
        <v>8</v>
      </c>
      <c r="F288" s="12">
        <v>5300</v>
      </c>
      <c r="G288" s="13">
        <v>10.35187638</v>
      </c>
      <c r="H288" s="14">
        <v>54864.944799999997</v>
      </c>
      <c r="I288" s="12">
        <v>0</v>
      </c>
      <c r="J288" s="13"/>
      <c r="K288" s="14">
        <v>0</v>
      </c>
      <c r="L288" s="12">
        <v>600</v>
      </c>
      <c r="M288" s="13">
        <v>10.351800000000001</v>
      </c>
      <c r="N288" s="14">
        <v>6211.08</v>
      </c>
      <c r="O288" s="12">
        <v>4700</v>
      </c>
      <c r="P288" s="13">
        <v>10.35188613</v>
      </c>
      <c r="Q288" s="14">
        <v>48653.864800000003</v>
      </c>
      <c r="R288" s="11" t="s">
        <v>2973</v>
      </c>
      <c r="S288" s="11" t="s">
        <v>2974</v>
      </c>
      <c r="T288" s="11" t="s">
        <v>2966</v>
      </c>
    </row>
    <row r="289" spans="1:20" ht="50.1" hidden="1" customHeight="1">
      <c r="A289" s="10">
        <v>288</v>
      </c>
      <c r="B289" s="11" t="s">
        <v>1534</v>
      </c>
      <c r="C289" s="11" t="s">
        <v>1535</v>
      </c>
      <c r="D289" s="11" t="s">
        <v>135</v>
      </c>
      <c r="E289" s="11" t="s">
        <v>8</v>
      </c>
      <c r="F289" s="12">
        <v>8300</v>
      </c>
      <c r="G289" s="13">
        <v>10.095368669999999</v>
      </c>
      <c r="H289" s="14">
        <v>83791.56</v>
      </c>
      <c r="I289" s="12">
        <v>0</v>
      </c>
      <c r="J289" s="13"/>
      <c r="K289" s="14">
        <v>0</v>
      </c>
      <c r="L289" s="12">
        <v>200</v>
      </c>
      <c r="M289" s="13">
        <v>10.0954</v>
      </c>
      <c r="N289" s="14">
        <v>2019.08</v>
      </c>
      <c r="O289" s="12">
        <v>8100</v>
      </c>
      <c r="P289" s="13">
        <v>10.095367899999999</v>
      </c>
      <c r="Q289" s="14">
        <v>81772.479999999996</v>
      </c>
      <c r="R289" s="11" t="s">
        <v>2973</v>
      </c>
      <c r="S289" s="11" t="s">
        <v>2974</v>
      </c>
      <c r="T289" s="11" t="s">
        <v>2966</v>
      </c>
    </row>
    <row r="290" spans="1:20" ht="50.1" hidden="1" customHeight="1">
      <c r="A290" s="10">
        <v>289</v>
      </c>
      <c r="B290" s="11" t="s">
        <v>1536</v>
      </c>
      <c r="C290" s="11" t="s">
        <v>1537</v>
      </c>
      <c r="D290" s="11" t="s">
        <v>135</v>
      </c>
      <c r="E290" s="11" t="s">
        <v>8</v>
      </c>
      <c r="F290" s="12">
        <v>6300</v>
      </c>
      <c r="G290" s="13">
        <v>13.44636948</v>
      </c>
      <c r="H290" s="14">
        <v>84712.127699999997</v>
      </c>
      <c r="I290" s="12">
        <v>0</v>
      </c>
      <c r="J290" s="13"/>
      <c r="K290" s="14">
        <v>0</v>
      </c>
      <c r="L290" s="12">
        <v>800</v>
      </c>
      <c r="M290" s="13">
        <v>13.446300000000001</v>
      </c>
      <c r="N290" s="14">
        <v>10757.04</v>
      </c>
      <c r="O290" s="12">
        <v>5500</v>
      </c>
      <c r="P290" s="13">
        <v>13.44637958</v>
      </c>
      <c r="Q290" s="14">
        <v>73955.087700000004</v>
      </c>
      <c r="R290" s="11" t="s">
        <v>2973</v>
      </c>
      <c r="S290" s="11" t="s">
        <v>2974</v>
      </c>
      <c r="T290" s="11" t="s">
        <v>2966</v>
      </c>
    </row>
    <row r="291" spans="1:20" ht="50.1" hidden="1" customHeight="1">
      <c r="A291" s="10">
        <v>290</v>
      </c>
      <c r="B291" s="11" t="s">
        <v>1538</v>
      </c>
      <c r="C291" s="11" t="s">
        <v>1539</v>
      </c>
      <c r="D291" s="11" t="s">
        <v>17</v>
      </c>
      <c r="E291" s="11" t="s">
        <v>8</v>
      </c>
      <c r="F291" s="12">
        <v>3600</v>
      </c>
      <c r="G291" s="13">
        <v>2.1000100000000002</v>
      </c>
      <c r="H291" s="14">
        <v>7560.0360000000001</v>
      </c>
      <c r="I291" s="12">
        <v>4997</v>
      </c>
      <c r="J291" s="13">
        <v>2.1</v>
      </c>
      <c r="K291" s="14">
        <v>10493.7</v>
      </c>
      <c r="L291" s="12">
        <v>2600</v>
      </c>
      <c r="M291" s="13">
        <v>2.1</v>
      </c>
      <c r="N291" s="14">
        <v>5460</v>
      </c>
      <c r="O291" s="12">
        <v>5997</v>
      </c>
      <c r="P291" s="13">
        <v>2.100006</v>
      </c>
      <c r="Q291" s="14">
        <v>12593.736000000001</v>
      </c>
      <c r="R291" s="11" t="s">
        <v>2973</v>
      </c>
      <c r="S291" s="11" t="s">
        <v>2974</v>
      </c>
      <c r="T291" s="11" t="s">
        <v>2966</v>
      </c>
    </row>
    <row r="292" spans="1:20" ht="50.1" hidden="1" customHeight="1">
      <c r="A292" s="10">
        <v>291</v>
      </c>
      <c r="B292" s="11" t="s">
        <v>1540</v>
      </c>
      <c r="C292" s="11" t="s">
        <v>1541</v>
      </c>
      <c r="D292" s="11" t="s">
        <v>17</v>
      </c>
      <c r="E292" s="11" t="s">
        <v>8</v>
      </c>
      <c r="F292" s="12">
        <v>500</v>
      </c>
      <c r="G292" s="13">
        <v>8.3867600000000007</v>
      </c>
      <c r="H292" s="14">
        <v>4193.38</v>
      </c>
      <c r="I292" s="12">
        <v>0</v>
      </c>
      <c r="J292" s="13"/>
      <c r="K292" s="14">
        <v>0</v>
      </c>
      <c r="L292" s="12">
        <v>0</v>
      </c>
      <c r="M292" s="13"/>
      <c r="N292" s="14">
        <v>0</v>
      </c>
      <c r="O292" s="12">
        <v>500</v>
      </c>
      <c r="P292" s="13">
        <v>8.3867600000000007</v>
      </c>
      <c r="Q292" s="14">
        <v>4193.38</v>
      </c>
      <c r="R292" s="11" t="s">
        <v>2971</v>
      </c>
      <c r="S292" s="11" t="s">
        <v>2972</v>
      </c>
      <c r="T292" s="11" t="s">
        <v>2966</v>
      </c>
    </row>
    <row r="293" spans="1:20" ht="50.1" hidden="1" customHeight="1">
      <c r="A293" s="10">
        <v>292</v>
      </c>
      <c r="B293" s="11" t="s">
        <v>1542</v>
      </c>
      <c r="C293" s="11" t="s">
        <v>1543</v>
      </c>
      <c r="D293" s="11" t="s">
        <v>20</v>
      </c>
      <c r="E293" s="11" t="s">
        <v>8</v>
      </c>
      <c r="F293" s="12">
        <v>215.16</v>
      </c>
      <c r="G293" s="13">
        <v>64.896042940000001</v>
      </c>
      <c r="H293" s="14">
        <v>13963.0326</v>
      </c>
      <c r="I293" s="12">
        <v>0</v>
      </c>
      <c r="J293" s="13"/>
      <c r="K293" s="14">
        <v>0</v>
      </c>
      <c r="L293" s="12">
        <v>55.44</v>
      </c>
      <c r="M293" s="13">
        <v>64.8961039</v>
      </c>
      <c r="N293" s="14">
        <v>3597.84</v>
      </c>
      <c r="O293" s="12">
        <v>159.72</v>
      </c>
      <c r="P293" s="13">
        <v>64.896021790000006</v>
      </c>
      <c r="Q293" s="14">
        <v>10365.1926</v>
      </c>
      <c r="R293" s="11" t="s">
        <v>2999</v>
      </c>
      <c r="S293" s="11" t="s">
        <v>3000</v>
      </c>
      <c r="T293" s="11" t="s">
        <v>2966</v>
      </c>
    </row>
    <row r="294" spans="1:20" ht="50.1" hidden="1" customHeight="1">
      <c r="A294" s="10">
        <v>293</v>
      </c>
      <c r="B294" s="11" t="s">
        <v>1544</v>
      </c>
      <c r="C294" s="11" t="s">
        <v>1545</v>
      </c>
      <c r="D294" s="11" t="s">
        <v>20</v>
      </c>
      <c r="E294" s="11" t="s">
        <v>8</v>
      </c>
      <c r="F294" s="12">
        <v>1980</v>
      </c>
      <c r="G294" s="13">
        <v>76.177933940000003</v>
      </c>
      <c r="H294" s="14">
        <v>150832.30919999999</v>
      </c>
      <c r="I294" s="12">
        <v>0</v>
      </c>
      <c r="J294" s="13"/>
      <c r="K294" s="14">
        <v>0</v>
      </c>
      <c r="L294" s="12">
        <v>352</v>
      </c>
      <c r="M294" s="13">
        <v>76.177897729999998</v>
      </c>
      <c r="N294" s="14">
        <v>26814.62</v>
      </c>
      <c r="O294" s="12">
        <v>1628</v>
      </c>
      <c r="P294" s="13">
        <v>76.177941770000004</v>
      </c>
      <c r="Q294" s="14">
        <v>124017.68919999999</v>
      </c>
      <c r="R294" s="11" t="s">
        <v>2999</v>
      </c>
      <c r="S294" s="11" t="s">
        <v>3000</v>
      </c>
      <c r="T294" s="11" t="s">
        <v>2966</v>
      </c>
    </row>
    <row r="295" spans="1:20" ht="50.1" hidden="1" customHeight="1">
      <c r="A295" s="10">
        <v>294</v>
      </c>
      <c r="B295" s="11" t="s">
        <v>1546</v>
      </c>
      <c r="C295" s="11" t="s">
        <v>1547</v>
      </c>
      <c r="D295" s="11" t="s">
        <v>20</v>
      </c>
      <c r="E295" s="11" t="s">
        <v>8</v>
      </c>
      <c r="F295" s="12">
        <v>510.14</v>
      </c>
      <c r="G295" s="13">
        <v>65.924926099999993</v>
      </c>
      <c r="H295" s="14">
        <v>33630.941800000001</v>
      </c>
      <c r="I295" s="12">
        <v>0</v>
      </c>
      <c r="J295" s="13"/>
      <c r="K295" s="14">
        <v>0</v>
      </c>
      <c r="L295" s="12">
        <v>0</v>
      </c>
      <c r="M295" s="13"/>
      <c r="N295" s="14">
        <v>0</v>
      </c>
      <c r="O295" s="12">
        <v>510.14</v>
      </c>
      <c r="P295" s="13">
        <v>65.924926099999993</v>
      </c>
      <c r="Q295" s="14">
        <v>33630.941800000001</v>
      </c>
      <c r="R295" s="11" t="s">
        <v>2999</v>
      </c>
      <c r="S295" s="11" t="s">
        <v>3000</v>
      </c>
      <c r="T295" s="11" t="s">
        <v>2966</v>
      </c>
    </row>
    <row r="296" spans="1:20" ht="50.1" hidden="1" customHeight="1">
      <c r="A296" s="10">
        <v>295</v>
      </c>
      <c r="B296" s="11" t="s">
        <v>1548</v>
      </c>
      <c r="C296" s="11" t="s">
        <v>1549</v>
      </c>
      <c r="D296" s="11" t="s">
        <v>17</v>
      </c>
      <c r="E296" s="11" t="s">
        <v>8</v>
      </c>
      <c r="F296" s="12">
        <v>30</v>
      </c>
      <c r="G296" s="13">
        <v>18.617666669999998</v>
      </c>
      <c r="H296" s="14">
        <v>558.53</v>
      </c>
      <c r="I296" s="12">
        <v>0</v>
      </c>
      <c r="J296" s="13"/>
      <c r="K296" s="14">
        <v>0</v>
      </c>
      <c r="L296" s="12">
        <v>11</v>
      </c>
      <c r="M296" s="13">
        <v>18.61818182</v>
      </c>
      <c r="N296" s="14">
        <v>204.8</v>
      </c>
      <c r="O296" s="12">
        <v>19</v>
      </c>
      <c r="P296" s="13">
        <v>18.617368419999998</v>
      </c>
      <c r="Q296" s="14">
        <v>353.73</v>
      </c>
      <c r="R296" s="11" t="s">
        <v>2971</v>
      </c>
      <c r="S296" s="11" t="s">
        <v>2972</v>
      </c>
      <c r="T296" s="11" t="s">
        <v>2966</v>
      </c>
    </row>
    <row r="297" spans="1:20" ht="50.1" hidden="1" customHeight="1">
      <c r="A297" s="10">
        <v>296</v>
      </c>
      <c r="B297" s="11" t="s">
        <v>1550</v>
      </c>
      <c r="C297" s="11" t="s">
        <v>1551</v>
      </c>
      <c r="D297" s="11" t="s">
        <v>7</v>
      </c>
      <c r="E297" s="11" t="s">
        <v>8</v>
      </c>
      <c r="F297" s="12">
        <v>2400</v>
      </c>
      <c r="G297" s="13">
        <v>4.1974812500000001</v>
      </c>
      <c r="H297" s="14">
        <v>10073.955</v>
      </c>
      <c r="I297" s="12">
        <v>3800</v>
      </c>
      <c r="J297" s="13">
        <v>4.3</v>
      </c>
      <c r="K297" s="14">
        <v>16340</v>
      </c>
      <c r="L297" s="12">
        <v>4200</v>
      </c>
      <c r="M297" s="13">
        <v>4.2422571400000004</v>
      </c>
      <c r="N297" s="14">
        <v>17817.48</v>
      </c>
      <c r="O297" s="12">
        <v>2000</v>
      </c>
      <c r="P297" s="13">
        <v>4.2982374999999999</v>
      </c>
      <c r="Q297" s="14">
        <v>8596.4750000000004</v>
      </c>
      <c r="R297" s="11" t="s">
        <v>2971</v>
      </c>
      <c r="S297" s="11" t="s">
        <v>2972</v>
      </c>
      <c r="T297" s="11" t="s">
        <v>2966</v>
      </c>
    </row>
    <row r="298" spans="1:20" ht="50.1" hidden="1" customHeight="1">
      <c r="A298" s="10">
        <v>297</v>
      </c>
      <c r="B298" s="11" t="s">
        <v>1552</v>
      </c>
      <c r="C298" s="11" t="s">
        <v>1553</v>
      </c>
      <c r="D298" s="11" t="s">
        <v>17</v>
      </c>
      <c r="E298" s="11" t="s">
        <v>8</v>
      </c>
      <c r="F298" s="12">
        <v>7589</v>
      </c>
      <c r="G298" s="13">
        <v>5.1807532500000004</v>
      </c>
      <c r="H298" s="14">
        <v>39316.736400000002</v>
      </c>
      <c r="I298" s="12">
        <v>0</v>
      </c>
      <c r="J298" s="13"/>
      <c r="K298" s="14">
        <v>0</v>
      </c>
      <c r="L298" s="12">
        <v>0</v>
      </c>
      <c r="M298" s="13"/>
      <c r="N298" s="14">
        <v>0</v>
      </c>
      <c r="O298" s="12">
        <v>7589</v>
      </c>
      <c r="P298" s="13">
        <v>5.1807532500000004</v>
      </c>
      <c r="Q298" s="14">
        <v>39316.736400000002</v>
      </c>
      <c r="R298" s="11" t="s">
        <v>2971</v>
      </c>
      <c r="S298" s="11" t="s">
        <v>2972</v>
      </c>
      <c r="T298" s="11" t="s">
        <v>2966</v>
      </c>
    </row>
    <row r="299" spans="1:20" ht="50.1" hidden="1" customHeight="1">
      <c r="A299" s="10">
        <v>298</v>
      </c>
      <c r="B299" s="11" t="s">
        <v>1554</v>
      </c>
      <c r="C299" s="11" t="s">
        <v>1555</v>
      </c>
      <c r="D299" s="11" t="s">
        <v>17</v>
      </c>
      <c r="E299" s="11" t="s">
        <v>8</v>
      </c>
      <c r="F299" s="12">
        <v>900</v>
      </c>
      <c r="G299" s="13">
        <v>8.99924444</v>
      </c>
      <c r="H299" s="14">
        <v>8099.32</v>
      </c>
      <c r="I299" s="12">
        <v>0</v>
      </c>
      <c r="J299" s="13"/>
      <c r="K299" s="14">
        <v>0</v>
      </c>
      <c r="L299" s="12">
        <v>0</v>
      </c>
      <c r="M299" s="13"/>
      <c r="N299" s="14">
        <v>0</v>
      </c>
      <c r="O299" s="12">
        <v>900</v>
      </c>
      <c r="P299" s="13">
        <v>8.99924444</v>
      </c>
      <c r="Q299" s="14">
        <v>8099.32</v>
      </c>
      <c r="R299" s="11" t="s">
        <v>2971</v>
      </c>
      <c r="S299" s="11" t="s">
        <v>2972</v>
      </c>
      <c r="T299" s="11" t="s">
        <v>2966</v>
      </c>
    </row>
    <row r="300" spans="1:20" ht="50.1" hidden="1" customHeight="1">
      <c r="A300" s="10">
        <v>299</v>
      </c>
      <c r="B300" s="11" t="s">
        <v>1556</v>
      </c>
      <c r="C300" s="11" t="s">
        <v>1557</v>
      </c>
      <c r="D300" s="11" t="s">
        <v>17</v>
      </c>
      <c r="E300" s="11" t="s">
        <v>8</v>
      </c>
      <c r="F300" s="12">
        <v>957</v>
      </c>
      <c r="G300" s="13">
        <v>180.21076833999999</v>
      </c>
      <c r="H300" s="14">
        <v>172461.7053</v>
      </c>
      <c r="I300" s="12">
        <v>0</v>
      </c>
      <c r="J300" s="13"/>
      <c r="K300" s="14">
        <v>0</v>
      </c>
      <c r="L300" s="12">
        <v>49</v>
      </c>
      <c r="M300" s="13">
        <v>180.21061223999999</v>
      </c>
      <c r="N300" s="14">
        <v>8830.32</v>
      </c>
      <c r="O300" s="12">
        <v>908</v>
      </c>
      <c r="P300" s="13">
        <v>180.21077675999999</v>
      </c>
      <c r="Q300" s="14">
        <v>163631.38529999999</v>
      </c>
      <c r="R300" s="11" t="s">
        <v>2971</v>
      </c>
      <c r="S300" s="11" t="s">
        <v>2972</v>
      </c>
      <c r="T300" s="11" t="s">
        <v>2966</v>
      </c>
    </row>
    <row r="301" spans="1:20" ht="50.1" hidden="1" customHeight="1">
      <c r="A301" s="10">
        <v>300</v>
      </c>
      <c r="B301" s="11" t="s">
        <v>1558</v>
      </c>
      <c r="C301" s="11" t="s">
        <v>1559</v>
      </c>
      <c r="D301" s="11" t="s">
        <v>17</v>
      </c>
      <c r="E301" s="11" t="s">
        <v>8</v>
      </c>
      <c r="F301" s="12">
        <v>31</v>
      </c>
      <c r="G301" s="13">
        <v>12.75</v>
      </c>
      <c r="H301" s="14">
        <v>395.25</v>
      </c>
      <c r="I301" s="12">
        <v>52</v>
      </c>
      <c r="J301" s="13">
        <v>4</v>
      </c>
      <c r="K301" s="14">
        <v>208</v>
      </c>
      <c r="L301" s="12">
        <v>12</v>
      </c>
      <c r="M301" s="13">
        <v>7.2683333299999999</v>
      </c>
      <c r="N301" s="14">
        <v>87.22</v>
      </c>
      <c r="O301" s="12">
        <v>71</v>
      </c>
      <c r="P301" s="13">
        <v>7.26802817</v>
      </c>
      <c r="Q301" s="14">
        <v>516.03</v>
      </c>
      <c r="R301" s="11" t="s">
        <v>2971</v>
      </c>
      <c r="S301" s="11" t="s">
        <v>2972</v>
      </c>
      <c r="T301" s="11" t="s">
        <v>2966</v>
      </c>
    </row>
    <row r="302" spans="1:20" ht="50.1" hidden="1" customHeight="1">
      <c r="A302" s="10">
        <v>301</v>
      </c>
      <c r="B302" s="11" t="s">
        <v>1560</v>
      </c>
      <c r="C302" s="11" t="s">
        <v>1561</v>
      </c>
      <c r="D302" s="11" t="s">
        <v>17</v>
      </c>
      <c r="E302" s="11" t="s">
        <v>8</v>
      </c>
      <c r="F302" s="12">
        <v>1400</v>
      </c>
      <c r="G302" s="13">
        <v>74.222151069999995</v>
      </c>
      <c r="H302" s="14">
        <v>103911.01149999999</v>
      </c>
      <c r="I302" s="12">
        <v>0</v>
      </c>
      <c r="J302" s="13"/>
      <c r="K302" s="14">
        <v>0</v>
      </c>
      <c r="L302" s="12">
        <v>0</v>
      </c>
      <c r="M302" s="13"/>
      <c r="N302" s="14">
        <v>0</v>
      </c>
      <c r="O302" s="12">
        <v>1400</v>
      </c>
      <c r="P302" s="13">
        <v>74.222151069999995</v>
      </c>
      <c r="Q302" s="14">
        <v>103911.01149999999</v>
      </c>
      <c r="R302" s="11" t="s">
        <v>2971</v>
      </c>
      <c r="S302" s="11" t="s">
        <v>2972</v>
      </c>
      <c r="T302" s="11" t="s">
        <v>2966</v>
      </c>
    </row>
    <row r="303" spans="1:20" ht="50.1" hidden="1" customHeight="1">
      <c r="A303" s="10">
        <v>302</v>
      </c>
      <c r="B303" s="11" t="s">
        <v>1562</v>
      </c>
      <c r="C303" s="11" t="s">
        <v>1563</v>
      </c>
      <c r="D303" s="11" t="s">
        <v>17</v>
      </c>
      <c r="E303" s="11" t="s">
        <v>8</v>
      </c>
      <c r="F303" s="12">
        <v>320</v>
      </c>
      <c r="G303" s="13">
        <v>85.429656249999994</v>
      </c>
      <c r="H303" s="14">
        <v>27337.49</v>
      </c>
      <c r="I303" s="12">
        <v>0</v>
      </c>
      <c r="J303" s="13"/>
      <c r="K303" s="14">
        <v>0</v>
      </c>
      <c r="L303" s="12">
        <v>0</v>
      </c>
      <c r="M303" s="13"/>
      <c r="N303" s="14">
        <v>0</v>
      </c>
      <c r="O303" s="12">
        <v>320</v>
      </c>
      <c r="P303" s="13">
        <v>85.429656249999994</v>
      </c>
      <c r="Q303" s="14">
        <v>27337.49</v>
      </c>
      <c r="R303" s="11" t="s">
        <v>2971</v>
      </c>
      <c r="S303" s="11" t="s">
        <v>2972</v>
      </c>
      <c r="T303" s="11" t="s">
        <v>2966</v>
      </c>
    </row>
    <row r="304" spans="1:20" ht="50.1" hidden="1" customHeight="1">
      <c r="A304" s="10">
        <v>303</v>
      </c>
      <c r="B304" s="11" t="s">
        <v>1564</v>
      </c>
      <c r="C304" s="11" t="s">
        <v>1565</v>
      </c>
      <c r="D304" s="11" t="s">
        <v>17</v>
      </c>
      <c r="E304" s="11" t="s">
        <v>8</v>
      </c>
      <c r="F304" s="12">
        <v>6000</v>
      </c>
      <c r="G304" s="13">
        <v>5.9916372000000004</v>
      </c>
      <c r="H304" s="14">
        <v>35949.823199999999</v>
      </c>
      <c r="I304" s="12">
        <v>0</v>
      </c>
      <c r="J304" s="13"/>
      <c r="K304" s="14">
        <v>0</v>
      </c>
      <c r="L304" s="12">
        <v>0</v>
      </c>
      <c r="M304" s="13"/>
      <c r="N304" s="14">
        <v>0</v>
      </c>
      <c r="O304" s="12">
        <v>6000</v>
      </c>
      <c r="P304" s="13">
        <v>5.9916372000000004</v>
      </c>
      <c r="Q304" s="14">
        <v>35949.823199999999</v>
      </c>
      <c r="R304" s="11" t="s">
        <v>2971</v>
      </c>
      <c r="S304" s="11" t="s">
        <v>2972</v>
      </c>
      <c r="T304" s="11" t="s">
        <v>2966</v>
      </c>
    </row>
    <row r="305" spans="1:20" ht="50.1" hidden="1" customHeight="1">
      <c r="A305" s="10">
        <v>304</v>
      </c>
      <c r="B305" s="11" t="s">
        <v>3358</v>
      </c>
      <c r="C305" s="11" t="s">
        <v>3359</v>
      </c>
      <c r="D305" s="11" t="s">
        <v>20</v>
      </c>
      <c r="E305" s="11" t="s">
        <v>8</v>
      </c>
      <c r="F305" s="12">
        <v>275.8</v>
      </c>
      <c r="G305" s="13">
        <v>65</v>
      </c>
      <c r="H305" s="14">
        <v>17927</v>
      </c>
      <c r="I305" s="12">
        <v>1009.8</v>
      </c>
      <c r="J305" s="13">
        <v>65</v>
      </c>
      <c r="K305" s="14">
        <v>65637</v>
      </c>
      <c r="L305" s="12">
        <v>389.7</v>
      </c>
      <c r="M305" s="13">
        <v>65</v>
      </c>
      <c r="N305" s="14">
        <v>25330.5</v>
      </c>
      <c r="O305" s="12">
        <v>895.9</v>
      </c>
      <c r="P305" s="13">
        <v>65</v>
      </c>
      <c r="Q305" s="14">
        <v>58233.5</v>
      </c>
      <c r="R305" s="11" t="s">
        <v>2999</v>
      </c>
      <c r="S305" s="11" t="s">
        <v>3000</v>
      </c>
      <c r="T305" s="11" t="s">
        <v>2966</v>
      </c>
    </row>
    <row r="306" spans="1:20" ht="50.1" hidden="1" customHeight="1">
      <c r="A306" s="10">
        <v>305</v>
      </c>
      <c r="B306" s="11" t="s">
        <v>3360</v>
      </c>
      <c r="C306" s="11" t="s">
        <v>3361</v>
      </c>
      <c r="D306" s="11" t="s">
        <v>20</v>
      </c>
      <c r="E306" s="11" t="s">
        <v>8</v>
      </c>
      <c r="F306" s="12">
        <v>0</v>
      </c>
      <c r="G306" s="13"/>
      <c r="H306" s="14">
        <v>0</v>
      </c>
      <c r="I306" s="12">
        <v>2687.5</v>
      </c>
      <c r="J306" s="13">
        <v>65</v>
      </c>
      <c r="K306" s="14">
        <v>174687.5</v>
      </c>
      <c r="L306" s="12">
        <v>2596.1</v>
      </c>
      <c r="M306" s="13">
        <v>65</v>
      </c>
      <c r="N306" s="14">
        <v>168746.5</v>
      </c>
      <c r="O306" s="12">
        <v>91.4</v>
      </c>
      <c r="P306" s="13">
        <v>65</v>
      </c>
      <c r="Q306" s="14">
        <v>5941</v>
      </c>
      <c r="R306" s="11" t="s">
        <v>2999</v>
      </c>
      <c r="S306" s="11" t="s">
        <v>3000</v>
      </c>
      <c r="T306" s="11" t="s">
        <v>2966</v>
      </c>
    </row>
    <row r="307" spans="1:20" ht="50.1" hidden="1" customHeight="1">
      <c r="A307" s="10">
        <v>306</v>
      </c>
      <c r="B307" s="11" t="s">
        <v>3362</v>
      </c>
      <c r="C307" s="11" t="s">
        <v>3363</v>
      </c>
      <c r="D307" s="11" t="s">
        <v>20</v>
      </c>
      <c r="E307" s="11" t="s">
        <v>8</v>
      </c>
      <c r="F307" s="12">
        <v>467.3</v>
      </c>
      <c r="G307" s="13">
        <v>65</v>
      </c>
      <c r="H307" s="14">
        <v>30374.5</v>
      </c>
      <c r="I307" s="12">
        <v>515</v>
      </c>
      <c r="J307" s="13">
        <v>65</v>
      </c>
      <c r="K307" s="14">
        <v>33475</v>
      </c>
      <c r="L307" s="12">
        <v>982.3</v>
      </c>
      <c r="M307" s="13">
        <v>65</v>
      </c>
      <c r="N307" s="14">
        <v>63849.5</v>
      </c>
      <c r="O307" s="12">
        <v>0</v>
      </c>
      <c r="P307" s="13"/>
      <c r="Q307" s="14">
        <v>0</v>
      </c>
      <c r="R307" s="11" t="s">
        <v>2999</v>
      </c>
      <c r="S307" s="11" t="s">
        <v>3000</v>
      </c>
      <c r="T307" s="11" t="s">
        <v>2966</v>
      </c>
    </row>
    <row r="308" spans="1:20" ht="50.1" hidden="1" customHeight="1">
      <c r="A308" s="10">
        <v>307</v>
      </c>
      <c r="B308" s="11" t="s">
        <v>3480</v>
      </c>
      <c r="C308" s="11" t="s">
        <v>3481</v>
      </c>
      <c r="D308" s="11" t="s">
        <v>20</v>
      </c>
      <c r="E308" s="11" t="s">
        <v>8</v>
      </c>
      <c r="F308" s="12">
        <v>667</v>
      </c>
      <c r="G308" s="13">
        <v>65</v>
      </c>
      <c r="H308" s="14">
        <v>43355</v>
      </c>
      <c r="I308" s="12">
        <v>241.7</v>
      </c>
      <c r="J308" s="13">
        <v>65</v>
      </c>
      <c r="K308" s="14">
        <v>15710.5</v>
      </c>
      <c r="L308" s="12">
        <v>142</v>
      </c>
      <c r="M308" s="13">
        <v>65</v>
      </c>
      <c r="N308" s="14">
        <v>9230</v>
      </c>
      <c r="O308" s="12">
        <v>766.7</v>
      </c>
      <c r="P308" s="13">
        <v>65</v>
      </c>
      <c r="Q308" s="14">
        <v>49835.5</v>
      </c>
      <c r="R308" s="11" t="s">
        <v>2999</v>
      </c>
      <c r="S308" s="11" t="s">
        <v>3000</v>
      </c>
      <c r="T308" s="11" t="s">
        <v>2966</v>
      </c>
    </row>
    <row r="309" spans="1:20" ht="50.1" hidden="1" customHeight="1">
      <c r="A309" s="10">
        <v>308</v>
      </c>
      <c r="B309" s="11" t="s">
        <v>3364</v>
      </c>
      <c r="C309" s="11" t="s">
        <v>3365</v>
      </c>
      <c r="D309" s="11" t="s">
        <v>20</v>
      </c>
      <c r="E309" s="11" t="s">
        <v>8</v>
      </c>
      <c r="F309" s="12">
        <v>500.5</v>
      </c>
      <c r="G309" s="13">
        <v>65</v>
      </c>
      <c r="H309" s="14">
        <v>32532.5</v>
      </c>
      <c r="I309" s="12">
        <v>0</v>
      </c>
      <c r="J309" s="13"/>
      <c r="K309" s="14">
        <v>0</v>
      </c>
      <c r="L309" s="12">
        <v>0</v>
      </c>
      <c r="M309" s="13"/>
      <c r="N309" s="14">
        <v>0</v>
      </c>
      <c r="O309" s="12">
        <v>500.5</v>
      </c>
      <c r="P309" s="13">
        <v>65</v>
      </c>
      <c r="Q309" s="14">
        <v>32532.5</v>
      </c>
      <c r="R309" s="11" t="s">
        <v>2999</v>
      </c>
      <c r="S309" s="11" t="s">
        <v>3000</v>
      </c>
      <c r="T309" s="11" t="s">
        <v>2966</v>
      </c>
    </row>
    <row r="310" spans="1:20" ht="50.1" hidden="1" customHeight="1">
      <c r="A310" s="10">
        <v>309</v>
      </c>
      <c r="B310" s="11" t="s">
        <v>3366</v>
      </c>
      <c r="C310" s="11" t="s">
        <v>3367</v>
      </c>
      <c r="D310" s="11" t="s">
        <v>20</v>
      </c>
      <c r="E310" s="11" t="s">
        <v>8</v>
      </c>
      <c r="F310" s="12">
        <v>3648.6</v>
      </c>
      <c r="G310" s="13">
        <v>65</v>
      </c>
      <c r="H310" s="14">
        <v>237159</v>
      </c>
      <c r="I310" s="12">
        <v>0</v>
      </c>
      <c r="J310" s="13"/>
      <c r="K310" s="14">
        <v>0</v>
      </c>
      <c r="L310" s="12">
        <v>814.5</v>
      </c>
      <c r="M310" s="13">
        <v>65</v>
      </c>
      <c r="N310" s="14">
        <v>52942.5</v>
      </c>
      <c r="O310" s="12">
        <v>2834.1</v>
      </c>
      <c r="P310" s="13">
        <v>65</v>
      </c>
      <c r="Q310" s="14">
        <v>184216.5</v>
      </c>
      <c r="R310" s="11" t="s">
        <v>2999</v>
      </c>
      <c r="S310" s="11" t="s">
        <v>3000</v>
      </c>
      <c r="T310" s="11" t="s">
        <v>2966</v>
      </c>
    </row>
    <row r="311" spans="1:20" ht="50.1" hidden="1" customHeight="1">
      <c r="A311" s="10">
        <v>310</v>
      </c>
      <c r="B311" s="11" t="s">
        <v>2913</v>
      </c>
      <c r="C311" s="11" t="s">
        <v>2914</v>
      </c>
      <c r="D311" s="11" t="s">
        <v>20</v>
      </c>
      <c r="E311" s="11" t="s">
        <v>8</v>
      </c>
      <c r="F311" s="12">
        <v>1189.4000000000001</v>
      </c>
      <c r="G311" s="13">
        <v>65</v>
      </c>
      <c r="H311" s="14">
        <v>77311</v>
      </c>
      <c r="I311" s="12">
        <v>593.20000000000005</v>
      </c>
      <c r="J311" s="13">
        <v>65</v>
      </c>
      <c r="K311" s="14">
        <v>38558</v>
      </c>
      <c r="L311" s="12">
        <v>1782.6</v>
      </c>
      <c r="M311" s="13">
        <v>65</v>
      </c>
      <c r="N311" s="14">
        <v>115869</v>
      </c>
      <c r="O311" s="12">
        <v>0</v>
      </c>
      <c r="P311" s="13"/>
      <c r="Q311" s="14">
        <v>0</v>
      </c>
      <c r="R311" s="11" t="s">
        <v>2999</v>
      </c>
      <c r="S311" s="11" t="s">
        <v>3000</v>
      </c>
      <c r="T311" s="11" t="s">
        <v>2966</v>
      </c>
    </row>
    <row r="312" spans="1:20" ht="50.1" hidden="1" customHeight="1">
      <c r="A312" s="10">
        <v>311</v>
      </c>
      <c r="B312" s="11" t="s">
        <v>2577</v>
      </c>
      <c r="C312" s="11" t="s">
        <v>2578</v>
      </c>
      <c r="D312" s="11" t="s">
        <v>20</v>
      </c>
      <c r="E312" s="11" t="s">
        <v>8</v>
      </c>
      <c r="F312" s="12">
        <v>0</v>
      </c>
      <c r="G312" s="13"/>
      <c r="H312" s="14">
        <v>0</v>
      </c>
      <c r="I312" s="12">
        <v>20703.400000000001</v>
      </c>
      <c r="J312" s="13">
        <v>65</v>
      </c>
      <c r="K312" s="14">
        <v>1345721</v>
      </c>
      <c r="L312" s="12">
        <v>13345.6</v>
      </c>
      <c r="M312" s="13">
        <v>65</v>
      </c>
      <c r="N312" s="14">
        <v>867464</v>
      </c>
      <c r="O312" s="12">
        <v>7357.8</v>
      </c>
      <c r="P312" s="13">
        <v>65</v>
      </c>
      <c r="Q312" s="14">
        <v>478257</v>
      </c>
      <c r="R312" s="11" t="s">
        <v>2999</v>
      </c>
      <c r="S312" s="11" t="s">
        <v>3000</v>
      </c>
      <c r="T312" s="11" t="s">
        <v>2966</v>
      </c>
    </row>
    <row r="313" spans="1:20" ht="50.1" hidden="1" customHeight="1">
      <c r="A313" s="10">
        <v>312</v>
      </c>
      <c r="B313" s="11" t="s">
        <v>2579</v>
      </c>
      <c r="C313" s="11" t="s">
        <v>2580</v>
      </c>
      <c r="D313" s="11" t="s">
        <v>20</v>
      </c>
      <c r="E313" s="11" t="s">
        <v>8</v>
      </c>
      <c r="F313" s="12">
        <v>0</v>
      </c>
      <c r="G313" s="13"/>
      <c r="H313" s="14">
        <v>0</v>
      </c>
      <c r="I313" s="12">
        <v>7487.9</v>
      </c>
      <c r="J313" s="13">
        <v>65</v>
      </c>
      <c r="K313" s="14">
        <v>486713.5</v>
      </c>
      <c r="L313" s="12">
        <v>4336.1000000000004</v>
      </c>
      <c r="M313" s="13">
        <v>65</v>
      </c>
      <c r="N313" s="14">
        <v>281846.5</v>
      </c>
      <c r="O313" s="12">
        <v>3151.8</v>
      </c>
      <c r="P313" s="13">
        <v>65</v>
      </c>
      <c r="Q313" s="14">
        <v>204867</v>
      </c>
      <c r="R313" s="11" t="s">
        <v>2999</v>
      </c>
      <c r="S313" s="11" t="s">
        <v>3000</v>
      </c>
      <c r="T313" s="11" t="s">
        <v>2966</v>
      </c>
    </row>
    <row r="314" spans="1:20" ht="50.1" hidden="1" customHeight="1">
      <c r="A314" s="10">
        <v>313</v>
      </c>
      <c r="B314" s="11" t="s">
        <v>3368</v>
      </c>
      <c r="C314" s="11" t="s">
        <v>3369</v>
      </c>
      <c r="D314" s="11" t="s">
        <v>20</v>
      </c>
      <c r="E314" s="11" t="s">
        <v>8</v>
      </c>
      <c r="F314" s="12">
        <v>897.2</v>
      </c>
      <c r="G314" s="13">
        <v>65</v>
      </c>
      <c r="H314" s="14">
        <v>58318</v>
      </c>
      <c r="I314" s="12">
        <v>0</v>
      </c>
      <c r="J314" s="13"/>
      <c r="K314" s="14">
        <v>0</v>
      </c>
      <c r="L314" s="12">
        <v>0</v>
      </c>
      <c r="M314" s="13"/>
      <c r="N314" s="14">
        <v>0</v>
      </c>
      <c r="O314" s="12">
        <v>897.2</v>
      </c>
      <c r="P314" s="13">
        <v>65</v>
      </c>
      <c r="Q314" s="14">
        <v>58318</v>
      </c>
      <c r="R314" s="11" t="s">
        <v>2999</v>
      </c>
      <c r="S314" s="11" t="s">
        <v>3000</v>
      </c>
      <c r="T314" s="11" t="s">
        <v>2966</v>
      </c>
    </row>
    <row r="315" spans="1:20" ht="50.1" hidden="1" customHeight="1">
      <c r="A315" s="10">
        <v>314</v>
      </c>
      <c r="B315" s="11" t="s">
        <v>3482</v>
      </c>
      <c r="C315" s="11" t="s">
        <v>3483</v>
      </c>
      <c r="D315" s="11" t="s">
        <v>20</v>
      </c>
      <c r="E315" s="11" t="s">
        <v>8</v>
      </c>
      <c r="F315" s="12">
        <v>133.19999999999999</v>
      </c>
      <c r="G315" s="13">
        <v>65</v>
      </c>
      <c r="H315" s="14">
        <v>8658</v>
      </c>
      <c r="I315" s="12">
        <v>306.7</v>
      </c>
      <c r="J315" s="13">
        <v>65</v>
      </c>
      <c r="K315" s="14">
        <v>19935.5</v>
      </c>
      <c r="L315" s="12">
        <v>0</v>
      </c>
      <c r="M315" s="13"/>
      <c r="N315" s="14">
        <v>0</v>
      </c>
      <c r="O315" s="12">
        <v>439.9</v>
      </c>
      <c r="P315" s="13">
        <v>65</v>
      </c>
      <c r="Q315" s="14">
        <v>28593.5</v>
      </c>
      <c r="R315" s="11" t="s">
        <v>2999</v>
      </c>
      <c r="S315" s="11" t="s">
        <v>3000</v>
      </c>
      <c r="T315" s="11" t="s">
        <v>2966</v>
      </c>
    </row>
    <row r="316" spans="1:20" ht="50.1" hidden="1" customHeight="1">
      <c r="A316" s="10">
        <v>315</v>
      </c>
      <c r="B316" s="11" t="s">
        <v>3370</v>
      </c>
      <c r="C316" s="11" t="s">
        <v>3371</v>
      </c>
      <c r="D316" s="11" t="s">
        <v>20</v>
      </c>
      <c r="E316" s="11" t="s">
        <v>8</v>
      </c>
      <c r="F316" s="12">
        <v>1549.9</v>
      </c>
      <c r="G316" s="13">
        <v>65</v>
      </c>
      <c r="H316" s="14">
        <v>100743.5</v>
      </c>
      <c r="I316" s="12">
        <v>0</v>
      </c>
      <c r="J316" s="13"/>
      <c r="K316" s="14">
        <v>0</v>
      </c>
      <c r="L316" s="12">
        <v>772.5</v>
      </c>
      <c r="M316" s="13">
        <v>65</v>
      </c>
      <c r="N316" s="14">
        <v>50212.5</v>
      </c>
      <c r="O316" s="12">
        <v>777.4</v>
      </c>
      <c r="P316" s="13">
        <v>65</v>
      </c>
      <c r="Q316" s="14">
        <v>50531</v>
      </c>
      <c r="R316" s="11" t="s">
        <v>2999</v>
      </c>
      <c r="S316" s="11" t="s">
        <v>3000</v>
      </c>
      <c r="T316" s="11" t="s">
        <v>2966</v>
      </c>
    </row>
    <row r="317" spans="1:20" ht="50.1" hidden="1" customHeight="1">
      <c r="A317" s="10">
        <v>316</v>
      </c>
      <c r="B317" s="11" t="s">
        <v>2581</v>
      </c>
      <c r="C317" s="11" t="s">
        <v>2582</v>
      </c>
      <c r="D317" s="11" t="s">
        <v>20</v>
      </c>
      <c r="E317" s="11" t="s">
        <v>8</v>
      </c>
      <c r="F317" s="12">
        <v>2571.4</v>
      </c>
      <c r="G317" s="13">
        <v>65.000089450000004</v>
      </c>
      <c r="H317" s="14">
        <v>167141.23000000001</v>
      </c>
      <c r="I317" s="12">
        <v>1717.3</v>
      </c>
      <c r="J317" s="13">
        <v>65</v>
      </c>
      <c r="K317" s="14">
        <v>111624.5</v>
      </c>
      <c r="L317" s="12">
        <v>4095</v>
      </c>
      <c r="M317" s="13">
        <v>65.000068380000002</v>
      </c>
      <c r="N317" s="14">
        <v>266175.28000000003</v>
      </c>
      <c r="O317" s="12">
        <v>193.7</v>
      </c>
      <c r="P317" s="13">
        <v>64.999741869999994</v>
      </c>
      <c r="Q317" s="14">
        <v>12590.45</v>
      </c>
      <c r="R317" s="11" t="s">
        <v>2999</v>
      </c>
      <c r="S317" s="11" t="s">
        <v>3000</v>
      </c>
      <c r="T317" s="11" t="s">
        <v>2966</v>
      </c>
    </row>
    <row r="318" spans="1:20" ht="50.1" hidden="1" customHeight="1">
      <c r="A318" s="10">
        <v>317</v>
      </c>
      <c r="B318" s="11" t="s">
        <v>3372</v>
      </c>
      <c r="C318" s="11" t="s">
        <v>3373</v>
      </c>
      <c r="D318" s="11" t="s">
        <v>20</v>
      </c>
      <c r="E318" s="11" t="s">
        <v>8</v>
      </c>
      <c r="F318" s="12">
        <v>2844.2</v>
      </c>
      <c r="G318" s="13">
        <v>65</v>
      </c>
      <c r="H318" s="14">
        <v>184873</v>
      </c>
      <c r="I318" s="12">
        <v>0</v>
      </c>
      <c r="J318" s="13"/>
      <c r="K318" s="14">
        <v>0</v>
      </c>
      <c r="L318" s="12">
        <v>0.7</v>
      </c>
      <c r="M318" s="13">
        <v>65</v>
      </c>
      <c r="N318" s="14">
        <v>45.5</v>
      </c>
      <c r="O318" s="12">
        <v>2843.5</v>
      </c>
      <c r="P318" s="13">
        <v>65</v>
      </c>
      <c r="Q318" s="14">
        <v>184827.5</v>
      </c>
      <c r="R318" s="11" t="s">
        <v>2999</v>
      </c>
      <c r="S318" s="11" t="s">
        <v>3000</v>
      </c>
      <c r="T318" s="11" t="s">
        <v>2966</v>
      </c>
    </row>
    <row r="319" spans="1:20" ht="50.1" hidden="1" customHeight="1">
      <c r="A319" s="10">
        <v>318</v>
      </c>
      <c r="B319" s="11" t="s">
        <v>2583</v>
      </c>
      <c r="C319" s="11" t="s">
        <v>2584</v>
      </c>
      <c r="D319" s="11" t="s">
        <v>20</v>
      </c>
      <c r="E319" s="11" t="s">
        <v>8</v>
      </c>
      <c r="F319" s="12">
        <v>567.4</v>
      </c>
      <c r="G319" s="13">
        <v>65</v>
      </c>
      <c r="H319" s="14">
        <v>36881</v>
      </c>
      <c r="I319" s="12">
        <v>6759.1</v>
      </c>
      <c r="J319" s="13">
        <v>65</v>
      </c>
      <c r="K319" s="14">
        <v>439341.5</v>
      </c>
      <c r="L319" s="12">
        <v>7326.5</v>
      </c>
      <c r="M319" s="13">
        <v>65</v>
      </c>
      <c r="N319" s="14">
        <v>476222.5</v>
      </c>
      <c r="O319" s="12">
        <v>0</v>
      </c>
      <c r="P319" s="13"/>
      <c r="Q319" s="14">
        <v>0</v>
      </c>
      <c r="R319" s="11" t="s">
        <v>2999</v>
      </c>
      <c r="S319" s="11" t="s">
        <v>3000</v>
      </c>
      <c r="T319" s="11" t="s">
        <v>2966</v>
      </c>
    </row>
    <row r="320" spans="1:20" ht="50.1" hidden="1" customHeight="1">
      <c r="A320" s="10">
        <v>319</v>
      </c>
      <c r="B320" s="11" t="s">
        <v>1566</v>
      </c>
      <c r="C320" s="11" t="s">
        <v>1567</v>
      </c>
      <c r="D320" s="11" t="s">
        <v>20</v>
      </c>
      <c r="E320" s="11" t="s">
        <v>8</v>
      </c>
      <c r="F320" s="12">
        <v>4340.34</v>
      </c>
      <c r="G320" s="13">
        <v>65.537004820000007</v>
      </c>
      <c r="H320" s="14">
        <v>284452.8835</v>
      </c>
      <c r="I320" s="12">
        <v>0</v>
      </c>
      <c r="J320" s="13"/>
      <c r="K320" s="14">
        <v>0</v>
      </c>
      <c r="L320" s="12">
        <v>616.29999999999995</v>
      </c>
      <c r="M320" s="13">
        <v>65.537011199999995</v>
      </c>
      <c r="N320" s="14">
        <v>40390.46</v>
      </c>
      <c r="O320" s="12">
        <v>3724.04</v>
      </c>
      <c r="P320" s="13">
        <v>65.537003760000005</v>
      </c>
      <c r="Q320" s="14">
        <v>244062.4235</v>
      </c>
      <c r="R320" s="11" t="s">
        <v>2999</v>
      </c>
      <c r="S320" s="11" t="s">
        <v>3000</v>
      </c>
      <c r="T320" s="11" t="s">
        <v>2966</v>
      </c>
    </row>
    <row r="321" spans="1:20" ht="50.1" hidden="1" customHeight="1">
      <c r="A321" s="10">
        <v>320</v>
      </c>
      <c r="B321" s="11" t="s">
        <v>1568</v>
      </c>
      <c r="C321" s="11" t="s">
        <v>1569</v>
      </c>
      <c r="D321" s="11" t="s">
        <v>20</v>
      </c>
      <c r="E321" s="11" t="s">
        <v>8</v>
      </c>
      <c r="F321" s="12">
        <v>5920.2</v>
      </c>
      <c r="G321" s="13">
        <v>66.153518379999994</v>
      </c>
      <c r="H321" s="14">
        <v>391642.05949999997</v>
      </c>
      <c r="I321" s="12">
        <v>0</v>
      </c>
      <c r="J321" s="13"/>
      <c r="K321" s="14">
        <v>0</v>
      </c>
      <c r="L321" s="12">
        <v>68.400000000000006</v>
      </c>
      <c r="M321" s="13">
        <v>66.153508770000002</v>
      </c>
      <c r="N321" s="14">
        <v>4524.8999999999996</v>
      </c>
      <c r="O321" s="12">
        <v>5851.8</v>
      </c>
      <c r="P321" s="13">
        <v>66.153518489999996</v>
      </c>
      <c r="Q321" s="14">
        <v>387117.15950000001</v>
      </c>
      <c r="R321" s="11" t="s">
        <v>2999</v>
      </c>
      <c r="S321" s="11" t="s">
        <v>3000</v>
      </c>
      <c r="T321" s="11" t="s">
        <v>2966</v>
      </c>
    </row>
    <row r="322" spans="1:20" ht="50.1" hidden="1" customHeight="1">
      <c r="A322" s="10">
        <v>321</v>
      </c>
      <c r="B322" s="11" t="s">
        <v>1570</v>
      </c>
      <c r="C322" s="11" t="s">
        <v>1571</v>
      </c>
      <c r="D322" s="11" t="s">
        <v>20</v>
      </c>
      <c r="E322" s="11" t="s">
        <v>8</v>
      </c>
      <c r="F322" s="12">
        <v>9521.7000000000007</v>
      </c>
      <c r="G322" s="13">
        <v>65.765944759999996</v>
      </c>
      <c r="H322" s="14">
        <v>626203.59620000003</v>
      </c>
      <c r="I322" s="12">
        <v>0</v>
      </c>
      <c r="J322" s="13"/>
      <c r="K322" s="14">
        <v>0</v>
      </c>
      <c r="L322" s="12">
        <v>1180</v>
      </c>
      <c r="M322" s="13">
        <v>65.765898309999997</v>
      </c>
      <c r="N322" s="14">
        <v>77603.759999999995</v>
      </c>
      <c r="O322" s="12">
        <v>8341.7000000000007</v>
      </c>
      <c r="P322" s="13">
        <v>65.765951329999993</v>
      </c>
      <c r="Q322" s="14">
        <v>548599.83620000002</v>
      </c>
      <c r="R322" s="11" t="s">
        <v>2999</v>
      </c>
      <c r="S322" s="11" t="s">
        <v>3000</v>
      </c>
      <c r="T322" s="11" t="s">
        <v>2966</v>
      </c>
    </row>
    <row r="323" spans="1:20" ht="50.1" hidden="1" customHeight="1">
      <c r="A323" s="10">
        <v>322</v>
      </c>
      <c r="B323" s="11" t="s">
        <v>18</v>
      </c>
      <c r="C323" s="11" t="s">
        <v>19</v>
      </c>
      <c r="D323" s="11" t="s">
        <v>20</v>
      </c>
      <c r="E323" s="11" t="s">
        <v>8</v>
      </c>
      <c r="F323" s="12">
        <v>3486</v>
      </c>
      <c r="G323" s="13">
        <v>74.475964829999995</v>
      </c>
      <c r="H323" s="14">
        <v>259623.21340000001</v>
      </c>
      <c r="I323" s="12">
        <v>0</v>
      </c>
      <c r="J323" s="13"/>
      <c r="K323" s="14">
        <v>0</v>
      </c>
      <c r="L323" s="12">
        <v>2207.8000000000002</v>
      </c>
      <c r="M323" s="13">
        <v>74.475998730000001</v>
      </c>
      <c r="N323" s="14">
        <v>164428.10999999999</v>
      </c>
      <c r="O323" s="12">
        <v>1278.2</v>
      </c>
      <c r="P323" s="13">
        <v>74.475906269999996</v>
      </c>
      <c r="Q323" s="14">
        <v>95195.103400000007</v>
      </c>
      <c r="R323" s="11" t="s">
        <v>2999</v>
      </c>
      <c r="S323" s="11" t="s">
        <v>3000</v>
      </c>
      <c r="T323" s="11" t="s">
        <v>2966</v>
      </c>
    </row>
    <row r="324" spans="1:20" ht="50.1" hidden="1" customHeight="1">
      <c r="A324" s="10">
        <v>323</v>
      </c>
      <c r="B324" s="11" t="s">
        <v>21</v>
      </c>
      <c r="C324" s="11" t="s">
        <v>22</v>
      </c>
      <c r="D324" s="11" t="s">
        <v>20</v>
      </c>
      <c r="E324" s="11" t="s">
        <v>8</v>
      </c>
      <c r="F324" s="12">
        <v>3214.63</v>
      </c>
      <c r="G324" s="13">
        <v>65.032903880000006</v>
      </c>
      <c r="H324" s="14">
        <v>209056.72380000001</v>
      </c>
      <c r="I324" s="12">
        <v>0</v>
      </c>
      <c r="J324" s="13"/>
      <c r="K324" s="14">
        <v>0</v>
      </c>
      <c r="L324" s="12">
        <v>316.8</v>
      </c>
      <c r="M324" s="13">
        <v>65.032891410000005</v>
      </c>
      <c r="N324" s="14">
        <v>20602.419999999998</v>
      </c>
      <c r="O324" s="12">
        <v>2897.83</v>
      </c>
      <c r="P324" s="13">
        <v>65.032905240000005</v>
      </c>
      <c r="Q324" s="14">
        <v>188454.30379999999</v>
      </c>
      <c r="R324" s="11" t="s">
        <v>2999</v>
      </c>
      <c r="S324" s="11" t="s">
        <v>3000</v>
      </c>
      <c r="T324" s="11" t="s">
        <v>2966</v>
      </c>
    </row>
    <row r="325" spans="1:20" ht="50.1" hidden="1" customHeight="1">
      <c r="A325" s="10">
        <v>324</v>
      </c>
      <c r="B325" s="11" t="s">
        <v>23</v>
      </c>
      <c r="C325" s="11" t="s">
        <v>24</v>
      </c>
      <c r="D325" s="11" t="s">
        <v>20</v>
      </c>
      <c r="E325" s="11" t="s">
        <v>8</v>
      </c>
      <c r="F325" s="12">
        <v>2054.6999999999998</v>
      </c>
      <c r="G325" s="13">
        <v>65.024612160000004</v>
      </c>
      <c r="H325" s="14">
        <v>133606.07060000001</v>
      </c>
      <c r="I325" s="12">
        <v>0</v>
      </c>
      <c r="J325" s="13"/>
      <c r="K325" s="14">
        <v>0</v>
      </c>
      <c r="L325" s="12">
        <v>0</v>
      </c>
      <c r="M325" s="13"/>
      <c r="N325" s="14">
        <v>0</v>
      </c>
      <c r="O325" s="12">
        <v>2054.6999999999998</v>
      </c>
      <c r="P325" s="13">
        <v>65.024612160000004</v>
      </c>
      <c r="Q325" s="14">
        <v>133606.07060000001</v>
      </c>
      <c r="R325" s="11" t="s">
        <v>2999</v>
      </c>
      <c r="S325" s="11" t="s">
        <v>3000</v>
      </c>
      <c r="T325" s="11" t="s">
        <v>2966</v>
      </c>
    </row>
    <row r="326" spans="1:20" ht="50.1" hidden="1" customHeight="1">
      <c r="A326" s="10">
        <v>325</v>
      </c>
      <c r="B326" s="11" t="s">
        <v>25</v>
      </c>
      <c r="C326" s="11" t="s">
        <v>26</v>
      </c>
      <c r="D326" s="11" t="s">
        <v>20</v>
      </c>
      <c r="E326" s="11" t="s">
        <v>8</v>
      </c>
      <c r="F326" s="12">
        <v>4719.8999999999996</v>
      </c>
      <c r="G326" s="13">
        <v>65.148443270000001</v>
      </c>
      <c r="H326" s="14">
        <v>307494.13740000001</v>
      </c>
      <c r="I326" s="12">
        <v>0</v>
      </c>
      <c r="J326" s="13"/>
      <c r="K326" s="14">
        <v>0</v>
      </c>
      <c r="L326" s="12">
        <v>710.4</v>
      </c>
      <c r="M326" s="13">
        <v>65.148507879999997</v>
      </c>
      <c r="N326" s="14">
        <v>46281.5</v>
      </c>
      <c r="O326" s="12">
        <v>4009.5</v>
      </c>
      <c r="P326" s="13">
        <v>65.148431819999999</v>
      </c>
      <c r="Q326" s="14">
        <v>261212.63740000001</v>
      </c>
      <c r="R326" s="11" t="s">
        <v>2999</v>
      </c>
      <c r="S326" s="11" t="s">
        <v>3000</v>
      </c>
      <c r="T326" s="11" t="s">
        <v>2966</v>
      </c>
    </row>
    <row r="327" spans="1:20" ht="50.1" hidden="1" customHeight="1">
      <c r="A327" s="10">
        <v>326</v>
      </c>
      <c r="B327" s="11" t="s">
        <v>27</v>
      </c>
      <c r="C327" s="11" t="s">
        <v>28</v>
      </c>
      <c r="D327" s="11" t="s">
        <v>20</v>
      </c>
      <c r="E327" s="11" t="s">
        <v>8</v>
      </c>
      <c r="F327" s="12">
        <v>9228.14</v>
      </c>
      <c r="G327" s="13">
        <v>64.816698720000005</v>
      </c>
      <c r="H327" s="14">
        <v>598137.57010000001</v>
      </c>
      <c r="I327" s="12">
        <v>0</v>
      </c>
      <c r="J327" s="13"/>
      <c r="K327" s="14">
        <v>0</v>
      </c>
      <c r="L327" s="12">
        <v>2316.6</v>
      </c>
      <c r="M327" s="13">
        <v>64.816696879999995</v>
      </c>
      <c r="N327" s="14">
        <v>150154.35999999999</v>
      </c>
      <c r="O327" s="12">
        <v>6911.54</v>
      </c>
      <c r="P327" s="13">
        <v>64.816699330000006</v>
      </c>
      <c r="Q327" s="14">
        <v>447983.21010000003</v>
      </c>
      <c r="R327" s="11" t="s">
        <v>2999</v>
      </c>
      <c r="S327" s="11" t="s">
        <v>3000</v>
      </c>
      <c r="T327" s="11" t="s">
        <v>2966</v>
      </c>
    </row>
    <row r="328" spans="1:20" ht="50.1" hidden="1" customHeight="1">
      <c r="A328" s="10">
        <v>327</v>
      </c>
      <c r="B328" s="11" t="s">
        <v>3484</v>
      </c>
      <c r="C328" s="11" t="s">
        <v>3485</v>
      </c>
      <c r="D328" s="11" t="s">
        <v>20</v>
      </c>
      <c r="E328" s="11" t="s">
        <v>8</v>
      </c>
      <c r="F328" s="12">
        <v>552.29999999999995</v>
      </c>
      <c r="G328" s="13">
        <v>65</v>
      </c>
      <c r="H328" s="14">
        <v>35899.5</v>
      </c>
      <c r="I328" s="12">
        <v>1058.9000000000001</v>
      </c>
      <c r="J328" s="13">
        <v>65</v>
      </c>
      <c r="K328" s="14">
        <v>68828.5</v>
      </c>
      <c r="L328" s="12">
        <v>584.5</v>
      </c>
      <c r="M328" s="13">
        <v>65</v>
      </c>
      <c r="N328" s="14">
        <v>37992.5</v>
      </c>
      <c r="O328" s="12">
        <v>1026.7</v>
      </c>
      <c r="P328" s="13">
        <v>65</v>
      </c>
      <c r="Q328" s="14">
        <v>66735.5</v>
      </c>
      <c r="R328" s="11" t="s">
        <v>2999</v>
      </c>
      <c r="S328" s="11" t="s">
        <v>3000</v>
      </c>
      <c r="T328" s="11" t="s">
        <v>2966</v>
      </c>
    </row>
    <row r="329" spans="1:20" ht="50.1" hidden="1" customHeight="1">
      <c r="A329" s="10">
        <v>328</v>
      </c>
      <c r="B329" s="11" t="s">
        <v>29</v>
      </c>
      <c r="C329" s="11" t="s">
        <v>30</v>
      </c>
      <c r="D329" s="11" t="s">
        <v>17</v>
      </c>
      <c r="E329" s="11" t="s">
        <v>8</v>
      </c>
      <c r="F329" s="12">
        <v>2000</v>
      </c>
      <c r="G329" s="13">
        <v>5.4899987499999998</v>
      </c>
      <c r="H329" s="14">
        <v>10979.997499999999</v>
      </c>
      <c r="I329" s="12">
        <v>0</v>
      </c>
      <c r="J329" s="13"/>
      <c r="K329" s="14">
        <v>0</v>
      </c>
      <c r="L329" s="12">
        <v>400</v>
      </c>
      <c r="M329" s="13">
        <v>5.49</v>
      </c>
      <c r="N329" s="14">
        <v>2196</v>
      </c>
      <c r="O329" s="12">
        <v>1600</v>
      </c>
      <c r="P329" s="13">
        <v>5.4899984399999999</v>
      </c>
      <c r="Q329" s="14">
        <v>8783.9974999999995</v>
      </c>
      <c r="R329" s="11" t="s">
        <v>2971</v>
      </c>
      <c r="S329" s="11" t="s">
        <v>2972</v>
      </c>
      <c r="T329" s="11" t="s">
        <v>2966</v>
      </c>
    </row>
    <row r="330" spans="1:20" ht="50.1" hidden="1" customHeight="1">
      <c r="A330" s="10">
        <v>329</v>
      </c>
      <c r="B330" s="11" t="s">
        <v>31</v>
      </c>
      <c r="C330" s="11" t="s">
        <v>32</v>
      </c>
      <c r="D330" s="11" t="s">
        <v>20</v>
      </c>
      <c r="E330" s="11" t="s">
        <v>8</v>
      </c>
      <c r="F330" s="12">
        <v>1936</v>
      </c>
      <c r="G330" s="13">
        <v>312.88939606999998</v>
      </c>
      <c r="H330" s="14">
        <v>605753.87080000003</v>
      </c>
      <c r="I330" s="12">
        <v>1270</v>
      </c>
      <c r="J330" s="13">
        <v>313.59842520000001</v>
      </c>
      <c r="K330" s="14">
        <v>398270</v>
      </c>
      <c r="L330" s="12">
        <v>1527</v>
      </c>
      <c r="M330" s="13">
        <v>315.18894564999999</v>
      </c>
      <c r="N330" s="14">
        <v>481293.52</v>
      </c>
      <c r="O330" s="12">
        <v>1679</v>
      </c>
      <c r="P330" s="13">
        <v>311.33433638999998</v>
      </c>
      <c r="Q330" s="14">
        <v>522730.35080000001</v>
      </c>
      <c r="R330" s="11" t="s">
        <v>2973</v>
      </c>
      <c r="S330" s="11" t="s">
        <v>2974</v>
      </c>
      <c r="T330" s="11" t="s">
        <v>2966</v>
      </c>
    </row>
    <row r="331" spans="1:20" ht="50.1" hidden="1" customHeight="1">
      <c r="A331" s="10">
        <v>330</v>
      </c>
      <c r="B331" s="11" t="s">
        <v>33</v>
      </c>
      <c r="C331" s="11" t="s">
        <v>34</v>
      </c>
      <c r="D331" s="11" t="s">
        <v>17</v>
      </c>
      <c r="E331" s="11" t="s">
        <v>8</v>
      </c>
      <c r="F331" s="12">
        <v>16</v>
      </c>
      <c r="G331" s="13">
        <v>18254.269375</v>
      </c>
      <c r="H331" s="14">
        <v>292068.31</v>
      </c>
      <c r="I331" s="12">
        <v>0</v>
      </c>
      <c r="J331" s="13"/>
      <c r="K331" s="14">
        <v>0</v>
      </c>
      <c r="L331" s="12">
        <v>0</v>
      </c>
      <c r="M331" s="13"/>
      <c r="N331" s="14">
        <v>0</v>
      </c>
      <c r="O331" s="12">
        <v>16</v>
      </c>
      <c r="P331" s="13">
        <v>18254.269375</v>
      </c>
      <c r="Q331" s="14">
        <v>292068.31</v>
      </c>
      <c r="R331" s="11" t="s">
        <v>3001</v>
      </c>
      <c r="S331" s="11" t="s">
        <v>3002</v>
      </c>
      <c r="T331" s="11" t="s">
        <v>2966</v>
      </c>
    </row>
    <row r="332" spans="1:20" ht="50.1" hidden="1" customHeight="1">
      <c r="A332" s="10">
        <v>331</v>
      </c>
      <c r="B332" s="11" t="s">
        <v>35</v>
      </c>
      <c r="C332" s="11" t="s">
        <v>36</v>
      </c>
      <c r="D332" s="11" t="s">
        <v>17</v>
      </c>
      <c r="E332" s="11" t="s">
        <v>8</v>
      </c>
      <c r="F332" s="12">
        <v>12</v>
      </c>
      <c r="G332" s="13">
        <v>24819.04916667</v>
      </c>
      <c r="H332" s="14">
        <v>297828.59000000003</v>
      </c>
      <c r="I332" s="12">
        <v>0</v>
      </c>
      <c r="J332" s="13"/>
      <c r="K332" s="14">
        <v>0</v>
      </c>
      <c r="L332" s="12">
        <v>4</v>
      </c>
      <c r="M332" s="13">
        <v>24819.055</v>
      </c>
      <c r="N332" s="14">
        <v>99276.22</v>
      </c>
      <c r="O332" s="12">
        <v>8</v>
      </c>
      <c r="P332" s="13">
        <v>24819.046249999999</v>
      </c>
      <c r="Q332" s="14">
        <v>198552.37</v>
      </c>
      <c r="R332" s="11" t="s">
        <v>3001</v>
      </c>
      <c r="S332" s="11" t="s">
        <v>3002</v>
      </c>
      <c r="T332" s="11" t="s">
        <v>2966</v>
      </c>
    </row>
    <row r="333" spans="1:20" ht="50.1" hidden="1" customHeight="1">
      <c r="A333" s="10">
        <v>332</v>
      </c>
      <c r="B333" s="11" t="s">
        <v>3579</v>
      </c>
      <c r="C333" s="11" t="s">
        <v>3580</v>
      </c>
      <c r="D333" s="11" t="s">
        <v>17</v>
      </c>
      <c r="E333" s="11" t="s">
        <v>8</v>
      </c>
      <c r="F333" s="12">
        <v>0</v>
      </c>
      <c r="G333" s="13"/>
      <c r="H333" s="14">
        <v>0</v>
      </c>
      <c r="I333" s="12">
        <v>120</v>
      </c>
      <c r="J333" s="13">
        <v>1115</v>
      </c>
      <c r="K333" s="14">
        <v>133800</v>
      </c>
      <c r="L333" s="12">
        <v>75</v>
      </c>
      <c r="M333" s="13">
        <v>1115</v>
      </c>
      <c r="N333" s="14">
        <v>83625</v>
      </c>
      <c r="O333" s="12">
        <v>45</v>
      </c>
      <c r="P333" s="13">
        <v>1115</v>
      </c>
      <c r="Q333" s="14">
        <v>50175</v>
      </c>
      <c r="R333" s="11" t="s">
        <v>3001</v>
      </c>
      <c r="S333" s="11" t="s">
        <v>3002</v>
      </c>
      <c r="T333" s="11" t="s">
        <v>2966</v>
      </c>
    </row>
    <row r="334" spans="1:20" ht="50.1" hidden="1" customHeight="1">
      <c r="A334" s="10">
        <v>333</v>
      </c>
      <c r="B334" s="11" t="s">
        <v>3581</v>
      </c>
      <c r="C334" s="11" t="s">
        <v>3582</v>
      </c>
      <c r="D334" s="11" t="s">
        <v>17</v>
      </c>
      <c r="E334" s="11" t="s">
        <v>8</v>
      </c>
      <c r="F334" s="12">
        <v>0</v>
      </c>
      <c r="G334" s="13"/>
      <c r="H334" s="14">
        <v>0</v>
      </c>
      <c r="I334" s="12">
        <v>80</v>
      </c>
      <c r="J334" s="13">
        <v>1338</v>
      </c>
      <c r="K334" s="14">
        <v>107040</v>
      </c>
      <c r="L334" s="12">
        <v>70</v>
      </c>
      <c r="M334" s="13">
        <v>1338</v>
      </c>
      <c r="N334" s="14">
        <v>93660</v>
      </c>
      <c r="O334" s="12">
        <v>10</v>
      </c>
      <c r="P334" s="13">
        <v>1338</v>
      </c>
      <c r="Q334" s="14">
        <v>13380</v>
      </c>
      <c r="R334" s="11" t="s">
        <v>3001</v>
      </c>
      <c r="S334" s="11" t="s">
        <v>3002</v>
      </c>
      <c r="T334" s="11" t="s">
        <v>2966</v>
      </c>
    </row>
    <row r="335" spans="1:20" ht="50.1" hidden="1" customHeight="1">
      <c r="A335" s="10">
        <v>334</v>
      </c>
      <c r="B335" s="11" t="s">
        <v>3077</v>
      </c>
      <c r="C335" s="11" t="s">
        <v>3078</v>
      </c>
      <c r="D335" s="11" t="s">
        <v>17</v>
      </c>
      <c r="E335" s="11" t="s">
        <v>8</v>
      </c>
      <c r="F335" s="12">
        <v>0</v>
      </c>
      <c r="G335" s="13"/>
      <c r="H335" s="14">
        <v>0</v>
      </c>
      <c r="I335" s="12">
        <v>23</v>
      </c>
      <c r="J335" s="13">
        <v>117040.28913043</v>
      </c>
      <c r="K335" s="14">
        <v>2691926.65</v>
      </c>
      <c r="L335" s="12">
        <v>0</v>
      </c>
      <c r="M335" s="13"/>
      <c r="N335" s="14">
        <v>0</v>
      </c>
      <c r="O335" s="12">
        <v>23</v>
      </c>
      <c r="P335" s="13">
        <v>117040.28913043</v>
      </c>
      <c r="Q335" s="14">
        <v>2691926.65</v>
      </c>
      <c r="R335" s="11" t="s">
        <v>2962</v>
      </c>
      <c r="S335" s="11" t="s">
        <v>2963</v>
      </c>
      <c r="T335" s="11" t="s">
        <v>2961</v>
      </c>
    </row>
    <row r="336" spans="1:20" ht="50.1" hidden="1" customHeight="1">
      <c r="A336" s="10">
        <v>335</v>
      </c>
      <c r="B336" s="11" t="s">
        <v>37</v>
      </c>
      <c r="C336" s="11" t="s">
        <v>38</v>
      </c>
      <c r="D336" s="11" t="s">
        <v>17</v>
      </c>
      <c r="E336" s="11" t="s">
        <v>8</v>
      </c>
      <c r="F336" s="12">
        <v>200</v>
      </c>
      <c r="G336" s="13">
        <v>178.63114999999999</v>
      </c>
      <c r="H336" s="14">
        <v>35726.230000000003</v>
      </c>
      <c r="I336" s="12">
        <v>0</v>
      </c>
      <c r="J336" s="13"/>
      <c r="K336" s="14">
        <v>0</v>
      </c>
      <c r="L336" s="12">
        <v>0</v>
      </c>
      <c r="M336" s="13"/>
      <c r="N336" s="14">
        <v>0</v>
      </c>
      <c r="O336" s="12">
        <v>200</v>
      </c>
      <c r="P336" s="13">
        <v>178.63114999999999</v>
      </c>
      <c r="Q336" s="14">
        <v>35726.230000000003</v>
      </c>
      <c r="R336" s="11" t="s">
        <v>2990</v>
      </c>
      <c r="S336" s="11" t="s">
        <v>2991</v>
      </c>
      <c r="T336" s="11" t="s">
        <v>2966</v>
      </c>
    </row>
    <row r="337" spans="1:20" ht="50.1" hidden="1" customHeight="1">
      <c r="A337" s="10">
        <v>336</v>
      </c>
      <c r="B337" s="11" t="s">
        <v>39</v>
      </c>
      <c r="C337" s="11" t="s">
        <v>40</v>
      </c>
      <c r="D337" s="11" t="s">
        <v>17</v>
      </c>
      <c r="E337" s="11" t="s">
        <v>8</v>
      </c>
      <c r="F337" s="12">
        <v>6100</v>
      </c>
      <c r="G337" s="13">
        <v>3.9652747000000002</v>
      </c>
      <c r="H337" s="14">
        <v>24188.1757</v>
      </c>
      <c r="I337" s="12">
        <v>0</v>
      </c>
      <c r="J337" s="13"/>
      <c r="K337" s="14">
        <v>0</v>
      </c>
      <c r="L337" s="12">
        <v>600</v>
      </c>
      <c r="M337" s="13">
        <v>3.9653</v>
      </c>
      <c r="N337" s="14">
        <v>2379.1799999999998</v>
      </c>
      <c r="O337" s="12">
        <v>5500</v>
      </c>
      <c r="P337" s="13">
        <v>3.96527195</v>
      </c>
      <c r="Q337" s="14">
        <v>21808.995699999999</v>
      </c>
      <c r="R337" s="11" t="s">
        <v>2971</v>
      </c>
      <c r="S337" s="11" t="s">
        <v>2972</v>
      </c>
      <c r="T337" s="11" t="s">
        <v>2966</v>
      </c>
    </row>
    <row r="338" spans="1:20" ht="50.1" hidden="1" customHeight="1">
      <c r="A338" s="10">
        <v>337</v>
      </c>
      <c r="B338" s="11" t="s">
        <v>43</v>
      </c>
      <c r="C338" s="11" t="s">
        <v>44</v>
      </c>
      <c r="D338" s="11" t="s">
        <v>17</v>
      </c>
      <c r="E338" s="11" t="s">
        <v>8</v>
      </c>
      <c r="F338" s="12">
        <v>9127</v>
      </c>
      <c r="G338" s="13">
        <v>4.98212951</v>
      </c>
      <c r="H338" s="14">
        <v>45471.896000000001</v>
      </c>
      <c r="I338" s="12">
        <v>0</v>
      </c>
      <c r="J338" s="13"/>
      <c r="K338" s="14">
        <v>0</v>
      </c>
      <c r="L338" s="12">
        <v>0</v>
      </c>
      <c r="M338" s="13"/>
      <c r="N338" s="14">
        <v>0</v>
      </c>
      <c r="O338" s="12">
        <v>9127</v>
      </c>
      <c r="P338" s="13">
        <v>4.98212951</v>
      </c>
      <c r="Q338" s="14">
        <v>45471.896000000001</v>
      </c>
      <c r="R338" s="11" t="s">
        <v>2971</v>
      </c>
      <c r="S338" s="11" t="s">
        <v>2972</v>
      </c>
      <c r="T338" s="11" t="s">
        <v>2966</v>
      </c>
    </row>
    <row r="339" spans="1:20" ht="50.1" hidden="1" customHeight="1">
      <c r="A339" s="10">
        <v>338</v>
      </c>
      <c r="B339" s="11" t="s">
        <v>45</v>
      </c>
      <c r="C339" s="11" t="s">
        <v>46</v>
      </c>
      <c r="D339" s="11" t="s">
        <v>17</v>
      </c>
      <c r="E339" s="11" t="s">
        <v>8</v>
      </c>
      <c r="F339" s="12">
        <v>100</v>
      </c>
      <c r="G339" s="13">
        <v>109.99999200000001</v>
      </c>
      <c r="H339" s="14">
        <v>10999.9992</v>
      </c>
      <c r="I339" s="12">
        <v>0</v>
      </c>
      <c r="J339" s="13"/>
      <c r="K339" s="14">
        <v>0</v>
      </c>
      <c r="L339" s="12">
        <v>0</v>
      </c>
      <c r="M339" s="13"/>
      <c r="N339" s="14">
        <v>0</v>
      </c>
      <c r="O339" s="12">
        <v>100</v>
      </c>
      <c r="P339" s="13">
        <v>109.99999200000001</v>
      </c>
      <c r="Q339" s="14">
        <v>10999.9992</v>
      </c>
      <c r="R339" s="11" t="s">
        <v>2990</v>
      </c>
      <c r="S339" s="11" t="s">
        <v>2991</v>
      </c>
      <c r="T339" s="11" t="s">
        <v>2966</v>
      </c>
    </row>
    <row r="340" spans="1:20" ht="50.1" hidden="1" customHeight="1">
      <c r="A340" s="10">
        <v>339</v>
      </c>
      <c r="B340" s="11" t="s">
        <v>47</v>
      </c>
      <c r="C340" s="11" t="s">
        <v>48</v>
      </c>
      <c r="D340" s="11" t="s">
        <v>20</v>
      </c>
      <c r="E340" s="11" t="s">
        <v>8</v>
      </c>
      <c r="F340" s="12">
        <v>4414.3999999999996</v>
      </c>
      <c r="G340" s="13">
        <v>114.29293448999999</v>
      </c>
      <c r="H340" s="14">
        <v>504534.73</v>
      </c>
      <c r="I340" s="12">
        <v>0</v>
      </c>
      <c r="J340" s="13"/>
      <c r="K340" s="14">
        <v>0</v>
      </c>
      <c r="L340" s="12">
        <v>322.3</v>
      </c>
      <c r="M340" s="13">
        <v>114.29289482</v>
      </c>
      <c r="N340" s="14">
        <v>36836.6</v>
      </c>
      <c r="O340" s="12">
        <v>4092.1</v>
      </c>
      <c r="P340" s="13">
        <v>114.29293761</v>
      </c>
      <c r="Q340" s="14">
        <v>467698.13</v>
      </c>
      <c r="R340" s="11" t="s">
        <v>2990</v>
      </c>
      <c r="S340" s="11" t="s">
        <v>2991</v>
      </c>
      <c r="T340" s="11" t="s">
        <v>2966</v>
      </c>
    </row>
    <row r="341" spans="1:20" ht="50.1" hidden="1" customHeight="1">
      <c r="A341" s="10">
        <v>340</v>
      </c>
      <c r="B341" s="11" t="s">
        <v>49</v>
      </c>
      <c r="C341" s="11" t="s">
        <v>50</v>
      </c>
      <c r="D341" s="11" t="s">
        <v>20</v>
      </c>
      <c r="E341" s="11" t="s">
        <v>8</v>
      </c>
      <c r="F341" s="12">
        <v>1899.2</v>
      </c>
      <c r="G341" s="13">
        <v>116.75985383</v>
      </c>
      <c r="H341" s="14">
        <v>221750.3144</v>
      </c>
      <c r="I341" s="12">
        <v>0</v>
      </c>
      <c r="J341" s="13"/>
      <c r="K341" s="14">
        <v>0</v>
      </c>
      <c r="L341" s="12">
        <v>40</v>
      </c>
      <c r="M341" s="13">
        <v>116.76</v>
      </c>
      <c r="N341" s="14">
        <v>4670.3999999999996</v>
      </c>
      <c r="O341" s="12">
        <v>1859.2</v>
      </c>
      <c r="P341" s="13">
        <v>116.75985068999999</v>
      </c>
      <c r="Q341" s="14">
        <v>217079.91440000001</v>
      </c>
      <c r="R341" s="11" t="s">
        <v>2990</v>
      </c>
      <c r="S341" s="11" t="s">
        <v>2991</v>
      </c>
      <c r="T341" s="11" t="s">
        <v>2961</v>
      </c>
    </row>
    <row r="342" spans="1:20" ht="50.1" hidden="1" customHeight="1">
      <c r="A342" s="10">
        <v>341</v>
      </c>
      <c r="B342" s="11" t="s">
        <v>51</v>
      </c>
      <c r="C342" s="11" t="s">
        <v>52</v>
      </c>
      <c r="D342" s="11" t="s">
        <v>20</v>
      </c>
      <c r="E342" s="11" t="s">
        <v>8</v>
      </c>
      <c r="F342" s="12">
        <v>1119.8</v>
      </c>
      <c r="G342" s="13">
        <v>108.33499732</v>
      </c>
      <c r="H342" s="14">
        <v>121313.53</v>
      </c>
      <c r="I342" s="12">
        <v>5821.6</v>
      </c>
      <c r="J342" s="13">
        <v>123</v>
      </c>
      <c r="K342" s="14">
        <v>716056.8</v>
      </c>
      <c r="L342" s="12">
        <v>2691.3</v>
      </c>
      <c r="M342" s="13">
        <v>120.6342028</v>
      </c>
      <c r="N342" s="14">
        <v>324662.83</v>
      </c>
      <c r="O342" s="12">
        <v>4250.1000000000004</v>
      </c>
      <c r="P342" s="13">
        <v>120.63422036999999</v>
      </c>
      <c r="Q342" s="14">
        <v>512707.5</v>
      </c>
      <c r="R342" s="11" t="s">
        <v>2990</v>
      </c>
      <c r="S342" s="11" t="s">
        <v>2991</v>
      </c>
      <c r="T342" s="11" t="s">
        <v>2961</v>
      </c>
    </row>
    <row r="343" spans="1:20" ht="50.1" hidden="1" customHeight="1">
      <c r="A343" s="10">
        <v>342</v>
      </c>
      <c r="B343" s="11" t="s">
        <v>53</v>
      </c>
      <c r="C343" s="11" t="s">
        <v>54</v>
      </c>
      <c r="D343" s="11" t="s">
        <v>20</v>
      </c>
      <c r="E343" s="11" t="s">
        <v>8</v>
      </c>
      <c r="F343" s="12">
        <v>14234.98</v>
      </c>
      <c r="G343" s="13">
        <v>113.05856643</v>
      </c>
      <c r="H343" s="14">
        <v>1609386.432</v>
      </c>
      <c r="I343" s="12">
        <v>17.3</v>
      </c>
      <c r="J343" s="13">
        <v>114.19537572</v>
      </c>
      <c r="K343" s="14">
        <v>1975.58</v>
      </c>
      <c r="L343" s="12">
        <v>10345.156999999999</v>
      </c>
      <c r="M343" s="13">
        <v>113.05999996</v>
      </c>
      <c r="N343" s="14">
        <v>1169623.45</v>
      </c>
      <c r="O343" s="12">
        <v>3907.123</v>
      </c>
      <c r="P343" s="13">
        <v>113.05980436</v>
      </c>
      <c r="Q343" s="14">
        <v>441738.56199999998</v>
      </c>
      <c r="R343" s="11" t="s">
        <v>2990</v>
      </c>
      <c r="S343" s="11" t="s">
        <v>2991</v>
      </c>
      <c r="T343" s="11" t="s">
        <v>2961</v>
      </c>
    </row>
    <row r="344" spans="1:20" ht="50.1" hidden="1" customHeight="1">
      <c r="A344" s="10">
        <v>343</v>
      </c>
      <c r="B344" s="11" t="s">
        <v>55</v>
      </c>
      <c r="C344" s="11" t="s">
        <v>56</v>
      </c>
      <c r="D344" s="11" t="s">
        <v>7</v>
      </c>
      <c r="E344" s="11" t="s">
        <v>8</v>
      </c>
      <c r="F344" s="12">
        <v>133.16</v>
      </c>
      <c r="G344" s="13">
        <v>442.07191874</v>
      </c>
      <c r="H344" s="14">
        <v>58866.296699999999</v>
      </c>
      <c r="I344" s="12">
        <v>0</v>
      </c>
      <c r="J344" s="13"/>
      <c r="K344" s="14">
        <v>0</v>
      </c>
      <c r="L344" s="12">
        <v>7</v>
      </c>
      <c r="M344" s="13">
        <v>442.07142857000002</v>
      </c>
      <c r="N344" s="14">
        <v>3094.5</v>
      </c>
      <c r="O344" s="12">
        <v>126.16</v>
      </c>
      <c r="P344" s="13">
        <v>442.07194593999998</v>
      </c>
      <c r="Q344" s="14">
        <v>55771.796699999999</v>
      </c>
      <c r="R344" s="11" t="s">
        <v>2964</v>
      </c>
      <c r="S344" s="11" t="s">
        <v>2965</v>
      </c>
      <c r="T344" s="11" t="s">
        <v>2966</v>
      </c>
    </row>
    <row r="345" spans="1:20" ht="50.1" hidden="1" customHeight="1">
      <c r="A345" s="10">
        <v>344</v>
      </c>
      <c r="B345" s="11" t="s">
        <v>57</v>
      </c>
      <c r="C345" s="11" t="s">
        <v>58</v>
      </c>
      <c r="D345" s="11" t="s">
        <v>17</v>
      </c>
      <c r="E345" s="11" t="s">
        <v>8</v>
      </c>
      <c r="F345" s="12">
        <v>26086</v>
      </c>
      <c r="G345" s="13">
        <v>7.8952208099999996</v>
      </c>
      <c r="H345" s="14">
        <v>205954.73</v>
      </c>
      <c r="I345" s="12">
        <v>0</v>
      </c>
      <c r="J345" s="13"/>
      <c r="K345" s="14">
        <v>0</v>
      </c>
      <c r="L345" s="12">
        <v>4250</v>
      </c>
      <c r="M345" s="13">
        <v>7.8952</v>
      </c>
      <c r="N345" s="14">
        <v>33554.6</v>
      </c>
      <c r="O345" s="12">
        <v>21836</v>
      </c>
      <c r="P345" s="13">
        <v>7.8952248599999999</v>
      </c>
      <c r="Q345" s="14">
        <v>172400.13</v>
      </c>
      <c r="R345" s="11" t="s">
        <v>2990</v>
      </c>
      <c r="S345" s="11" t="s">
        <v>2991</v>
      </c>
      <c r="T345" s="11" t="s">
        <v>2966</v>
      </c>
    </row>
    <row r="346" spans="1:20" ht="50.1" hidden="1" customHeight="1">
      <c r="A346" s="10">
        <v>345</v>
      </c>
      <c r="B346" s="11" t="s">
        <v>59</v>
      </c>
      <c r="C346" s="11" t="s">
        <v>60</v>
      </c>
      <c r="D346" s="11" t="s">
        <v>17</v>
      </c>
      <c r="E346" s="11" t="s">
        <v>8</v>
      </c>
      <c r="F346" s="12">
        <v>1475</v>
      </c>
      <c r="G346" s="13">
        <v>9.0000002699999992</v>
      </c>
      <c r="H346" s="14">
        <v>13275.000400000001</v>
      </c>
      <c r="I346" s="12">
        <v>0</v>
      </c>
      <c r="J346" s="13"/>
      <c r="K346" s="14">
        <v>0</v>
      </c>
      <c r="L346" s="12">
        <v>0</v>
      </c>
      <c r="M346" s="13"/>
      <c r="N346" s="14">
        <v>0</v>
      </c>
      <c r="O346" s="12">
        <v>1475</v>
      </c>
      <c r="P346" s="13">
        <v>9.0000002699999992</v>
      </c>
      <c r="Q346" s="14">
        <v>13275.000400000001</v>
      </c>
      <c r="R346" s="11" t="s">
        <v>2971</v>
      </c>
      <c r="S346" s="11" t="s">
        <v>2972</v>
      </c>
      <c r="T346" s="11" t="s">
        <v>2966</v>
      </c>
    </row>
    <row r="347" spans="1:20" ht="50.1" hidden="1" customHeight="1">
      <c r="A347" s="10">
        <v>346</v>
      </c>
      <c r="B347" s="11" t="s">
        <v>2367</v>
      </c>
      <c r="C347" s="11" t="s">
        <v>3003</v>
      </c>
      <c r="D347" s="11" t="s">
        <v>17</v>
      </c>
      <c r="E347" s="11" t="s">
        <v>8</v>
      </c>
      <c r="F347" s="12">
        <v>1900</v>
      </c>
      <c r="G347" s="13">
        <v>9</v>
      </c>
      <c r="H347" s="14">
        <v>17100</v>
      </c>
      <c r="I347" s="12">
        <v>0</v>
      </c>
      <c r="J347" s="13"/>
      <c r="K347" s="14">
        <v>0</v>
      </c>
      <c r="L347" s="12">
        <v>0</v>
      </c>
      <c r="M347" s="13"/>
      <c r="N347" s="14">
        <v>0</v>
      </c>
      <c r="O347" s="12">
        <v>1900</v>
      </c>
      <c r="P347" s="13">
        <v>9</v>
      </c>
      <c r="Q347" s="14">
        <v>17100</v>
      </c>
      <c r="R347" s="11" t="s">
        <v>2971</v>
      </c>
      <c r="S347" s="11" t="s">
        <v>2972</v>
      </c>
      <c r="T347" s="11" t="s">
        <v>2966</v>
      </c>
    </row>
    <row r="348" spans="1:20" ht="50.1" hidden="1" customHeight="1">
      <c r="A348" s="10">
        <v>347</v>
      </c>
      <c r="B348" s="11" t="s">
        <v>61</v>
      </c>
      <c r="C348" s="11" t="s">
        <v>62</v>
      </c>
      <c r="D348" s="11" t="s">
        <v>7</v>
      </c>
      <c r="E348" s="11" t="s">
        <v>8</v>
      </c>
      <c r="F348" s="12">
        <v>8400</v>
      </c>
      <c r="G348" s="13">
        <v>3.9144402399999998</v>
      </c>
      <c r="H348" s="14">
        <v>32881.298000000003</v>
      </c>
      <c r="I348" s="12">
        <v>0</v>
      </c>
      <c r="J348" s="13"/>
      <c r="K348" s="14">
        <v>0</v>
      </c>
      <c r="L348" s="12">
        <v>8400</v>
      </c>
      <c r="M348" s="13">
        <v>3.9144404800000001</v>
      </c>
      <c r="N348" s="14">
        <v>32881.300000000003</v>
      </c>
      <c r="O348" s="12">
        <v>0</v>
      </c>
      <c r="P348" s="13"/>
      <c r="Q348" s="14">
        <v>0</v>
      </c>
      <c r="R348" s="11" t="s">
        <v>2971</v>
      </c>
      <c r="S348" s="11" t="s">
        <v>2972</v>
      </c>
      <c r="T348" s="11" t="s">
        <v>2966</v>
      </c>
    </row>
    <row r="349" spans="1:20" ht="50.1" hidden="1" customHeight="1">
      <c r="A349" s="10">
        <v>348</v>
      </c>
      <c r="B349" s="11" t="s">
        <v>65</v>
      </c>
      <c r="C349" s="11" t="s">
        <v>66</v>
      </c>
      <c r="D349" s="11" t="s">
        <v>17</v>
      </c>
      <c r="E349" s="11" t="s">
        <v>8</v>
      </c>
      <c r="F349" s="12">
        <v>4000</v>
      </c>
      <c r="G349" s="13">
        <v>8.85</v>
      </c>
      <c r="H349" s="14">
        <v>35400</v>
      </c>
      <c r="I349" s="12">
        <v>0</v>
      </c>
      <c r="J349" s="13"/>
      <c r="K349" s="14">
        <v>0</v>
      </c>
      <c r="L349" s="12">
        <v>1500</v>
      </c>
      <c r="M349" s="13">
        <v>8.85</v>
      </c>
      <c r="N349" s="14">
        <v>13275</v>
      </c>
      <c r="O349" s="12">
        <v>2500</v>
      </c>
      <c r="P349" s="13">
        <v>8.85</v>
      </c>
      <c r="Q349" s="14">
        <v>22125</v>
      </c>
      <c r="R349" s="11" t="s">
        <v>2971</v>
      </c>
      <c r="S349" s="11" t="s">
        <v>2972</v>
      </c>
      <c r="T349" s="11" t="s">
        <v>2966</v>
      </c>
    </row>
    <row r="350" spans="1:20" ht="50.1" hidden="1" customHeight="1">
      <c r="A350" s="10">
        <v>349</v>
      </c>
      <c r="B350" s="11" t="s">
        <v>68</v>
      </c>
      <c r="C350" s="11" t="s">
        <v>69</v>
      </c>
      <c r="D350" s="11" t="s">
        <v>17</v>
      </c>
      <c r="E350" s="11" t="s">
        <v>8</v>
      </c>
      <c r="F350" s="12">
        <v>32903</v>
      </c>
      <c r="G350" s="13">
        <v>6.3</v>
      </c>
      <c r="H350" s="14">
        <v>207288.9</v>
      </c>
      <c r="I350" s="12">
        <v>0</v>
      </c>
      <c r="J350" s="13"/>
      <c r="K350" s="14">
        <v>0</v>
      </c>
      <c r="L350" s="12">
        <v>3200</v>
      </c>
      <c r="M350" s="13">
        <v>6.3</v>
      </c>
      <c r="N350" s="14">
        <v>20160</v>
      </c>
      <c r="O350" s="12">
        <v>29703</v>
      </c>
      <c r="P350" s="13">
        <v>6.3</v>
      </c>
      <c r="Q350" s="14">
        <v>187128.9</v>
      </c>
      <c r="R350" s="11" t="s">
        <v>2990</v>
      </c>
      <c r="S350" s="11" t="s">
        <v>2991</v>
      </c>
      <c r="T350" s="11" t="s">
        <v>2966</v>
      </c>
    </row>
    <row r="351" spans="1:20" ht="50.1" hidden="1" customHeight="1">
      <c r="A351" s="10">
        <v>350</v>
      </c>
      <c r="B351" s="11" t="s">
        <v>70</v>
      </c>
      <c r="C351" s="11" t="s">
        <v>71</v>
      </c>
      <c r="D351" s="11" t="s">
        <v>17</v>
      </c>
      <c r="E351" s="11" t="s">
        <v>8</v>
      </c>
      <c r="F351" s="12">
        <v>42</v>
      </c>
      <c r="G351" s="13">
        <v>13.43419048</v>
      </c>
      <c r="H351" s="14">
        <v>564.23599999999999</v>
      </c>
      <c r="I351" s="12">
        <v>0</v>
      </c>
      <c r="J351" s="13"/>
      <c r="K351" s="14">
        <v>0</v>
      </c>
      <c r="L351" s="12">
        <v>12</v>
      </c>
      <c r="M351" s="13">
        <v>13.43416667</v>
      </c>
      <c r="N351" s="14">
        <v>161.21</v>
      </c>
      <c r="O351" s="12">
        <v>30</v>
      </c>
      <c r="P351" s="13">
        <v>13.434200000000001</v>
      </c>
      <c r="Q351" s="14">
        <v>403.02600000000001</v>
      </c>
      <c r="R351" s="11" t="s">
        <v>2971</v>
      </c>
      <c r="S351" s="11" t="s">
        <v>2972</v>
      </c>
      <c r="T351" s="11" t="s">
        <v>2966</v>
      </c>
    </row>
    <row r="352" spans="1:20" ht="50.1" hidden="1" customHeight="1">
      <c r="A352" s="10">
        <v>351</v>
      </c>
      <c r="B352" s="11" t="s">
        <v>72</v>
      </c>
      <c r="C352" s="11" t="s">
        <v>73</v>
      </c>
      <c r="D352" s="11" t="s">
        <v>17</v>
      </c>
      <c r="E352" s="11" t="s">
        <v>8</v>
      </c>
      <c r="F352" s="12">
        <v>258</v>
      </c>
      <c r="G352" s="13">
        <v>329</v>
      </c>
      <c r="H352" s="14">
        <v>84882</v>
      </c>
      <c r="I352" s="12">
        <v>0</v>
      </c>
      <c r="J352" s="13"/>
      <c r="K352" s="14">
        <v>0</v>
      </c>
      <c r="L352" s="12">
        <v>40</v>
      </c>
      <c r="M352" s="13">
        <v>329</v>
      </c>
      <c r="N352" s="14">
        <v>13160</v>
      </c>
      <c r="O352" s="12">
        <v>218</v>
      </c>
      <c r="P352" s="13">
        <v>329</v>
      </c>
      <c r="Q352" s="14">
        <v>71722</v>
      </c>
      <c r="R352" s="11" t="s">
        <v>2981</v>
      </c>
      <c r="S352" s="11" t="s">
        <v>2982</v>
      </c>
      <c r="T352" s="11" t="s">
        <v>2966</v>
      </c>
    </row>
    <row r="353" spans="1:20" ht="50.1" hidden="1" customHeight="1">
      <c r="A353" s="10">
        <v>352</v>
      </c>
      <c r="B353" s="11" t="s">
        <v>74</v>
      </c>
      <c r="C353" s="11" t="s">
        <v>75</v>
      </c>
      <c r="D353" s="11" t="s">
        <v>17</v>
      </c>
      <c r="E353" s="11" t="s">
        <v>8</v>
      </c>
      <c r="F353" s="12">
        <v>5590</v>
      </c>
      <c r="G353" s="13">
        <v>28.412096600000002</v>
      </c>
      <c r="H353" s="14">
        <v>158823.62</v>
      </c>
      <c r="I353" s="12">
        <v>0</v>
      </c>
      <c r="J353" s="13"/>
      <c r="K353" s="14">
        <v>0</v>
      </c>
      <c r="L353" s="12">
        <v>0</v>
      </c>
      <c r="M353" s="13"/>
      <c r="N353" s="14">
        <v>0</v>
      </c>
      <c r="O353" s="12">
        <v>5590</v>
      </c>
      <c r="P353" s="13">
        <v>28.412096600000002</v>
      </c>
      <c r="Q353" s="14">
        <v>158823.62</v>
      </c>
      <c r="R353" s="11" t="s">
        <v>2990</v>
      </c>
      <c r="S353" s="11" t="s">
        <v>2991</v>
      </c>
      <c r="T353" s="11" t="s">
        <v>2966</v>
      </c>
    </row>
    <row r="354" spans="1:20" ht="50.1" hidden="1" customHeight="1">
      <c r="A354" s="10">
        <v>353</v>
      </c>
      <c r="B354" s="11" t="s">
        <v>76</v>
      </c>
      <c r="C354" s="11" t="s">
        <v>77</v>
      </c>
      <c r="D354" s="11" t="s">
        <v>17</v>
      </c>
      <c r="E354" s="11" t="s">
        <v>8</v>
      </c>
      <c r="F354" s="12">
        <v>400</v>
      </c>
      <c r="G354" s="13">
        <v>21.909099999999999</v>
      </c>
      <c r="H354" s="14">
        <v>8763.64</v>
      </c>
      <c r="I354" s="12">
        <v>0</v>
      </c>
      <c r="J354" s="13"/>
      <c r="K354" s="14">
        <v>0</v>
      </c>
      <c r="L354" s="12">
        <v>0</v>
      </c>
      <c r="M354" s="13"/>
      <c r="N354" s="14">
        <v>0</v>
      </c>
      <c r="O354" s="12">
        <v>400</v>
      </c>
      <c r="P354" s="13">
        <v>21.909099999999999</v>
      </c>
      <c r="Q354" s="14">
        <v>8763.64</v>
      </c>
      <c r="R354" s="11" t="s">
        <v>2990</v>
      </c>
      <c r="S354" s="11" t="s">
        <v>2991</v>
      </c>
      <c r="T354" s="11" t="s">
        <v>2966</v>
      </c>
    </row>
    <row r="355" spans="1:20" ht="50.1" hidden="1" customHeight="1">
      <c r="A355" s="10">
        <v>354</v>
      </c>
      <c r="B355" s="11" t="s">
        <v>3246</v>
      </c>
      <c r="C355" s="11" t="s">
        <v>3247</v>
      </c>
      <c r="D355" s="11" t="s">
        <v>17</v>
      </c>
      <c r="E355" s="11" t="s">
        <v>8</v>
      </c>
      <c r="F355" s="12">
        <v>0</v>
      </c>
      <c r="G355" s="13"/>
      <c r="H355" s="14">
        <v>0</v>
      </c>
      <c r="I355" s="12">
        <v>8500</v>
      </c>
      <c r="J355" s="13">
        <v>1.2</v>
      </c>
      <c r="K355" s="14">
        <v>10200</v>
      </c>
      <c r="L355" s="12">
        <v>8000</v>
      </c>
      <c r="M355" s="13">
        <v>1.2</v>
      </c>
      <c r="N355" s="14">
        <v>9600</v>
      </c>
      <c r="O355" s="12">
        <v>500</v>
      </c>
      <c r="P355" s="13">
        <v>1.1999987999999999</v>
      </c>
      <c r="Q355" s="14">
        <v>599.99940000000004</v>
      </c>
      <c r="R355" s="11" t="s">
        <v>2971</v>
      </c>
      <c r="S355" s="11" t="s">
        <v>2972</v>
      </c>
      <c r="T355" s="11" t="s">
        <v>2966</v>
      </c>
    </row>
    <row r="356" spans="1:20" ht="50.1" hidden="1" customHeight="1">
      <c r="A356" s="10">
        <v>355</v>
      </c>
      <c r="B356" s="11" t="s">
        <v>80</v>
      </c>
      <c r="C356" s="11" t="s">
        <v>81</v>
      </c>
      <c r="D356" s="11" t="s">
        <v>17</v>
      </c>
      <c r="E356" s="11" t="s">
        <v>8</v>
      </c>
      <c r="F356" s="12">
        <v>3786</v>
      </c>
      <c r="G356" s="13">
        <v>1.2090930499999999</v>
      </c>
      <c r="H356" s="14">
        <v>4577.6262999999999</v>
      </c>
      <c r="I356" s="12">
        <v>0</v>
      </c>
      <c r="J356" s="13"/>
      <c r="K356" s="14">
        <v>0</v>
      </c>
      <c r="L356" s="12">
        <v>0</v>
      </c>
      <c r="M356" s="13"/>
      <c r="N356" s="14">
        <v>0</v>
      </c>
      <c r="O356" s="12">
        <v>3786</v>
      </c>
      <c r="P356" s="13">
        <v>1.2090930499999999</v>
      </c>
      <c r="Q356" s="14">
        <v>4577.6262999999999</v>
      </c>
      <c r="R356" s="11" t="s">
        <v>2971</v>
      </c>
      <c r="S356" s="11" t="s">
        <v>2972</v>
      </c>
      <c r="T356" s="11" t="s">
        <v>2966</v>
      </c>
    </row>
    <row r="357" spans="1:20" ht="50.1" hidden="1" customHeight="1">
      <c r="A357" s="10">
        <v>356</v>
      </c>
      <c r="B357" s="11" t="s">
        <v>86</v>
      </c>
      <c r="C357" s="11" t="s">
        <v>87</v>
      </c>
      <c r="D357" s="11" t="s">
        <v>17</v>
      </c>
      <c r="E357" s="11" t="s">
        <v>8</v>
      </c>
      <c r="F357" s="12">
        <v>8439</v>
      </c>
      <c r="G357" s="13">
        <v>1.2000513799999999</v>
      </c>
      <c r="H357" s="14">
        <v>10127.2336</v>
      </c>
      <c r="I357" s="12">
        <v>0</v>
      </c>
      <c r="J357" s="13"/>
      <c r="K357" s="14">
        <v>0</v>
      </c>
      <c r="L357" s="12">
        <v>1000</v>
      </c>
      <c r="M357" s="13">
        <v>1.2</v>
      </c>
      <c r="N357" s="14">
        <v>1200</v>
      </c>
      <c r="O357" s="12">
        <v>7439</v>
      </c>
      <c r="P357" s="13">
        <v>1.2000582900000001</v>
      </c>
      <c r="Q357" s="14">
        <v>8927.2335999999996</v>
      </c>
      <c r="R357" s="11" t="s">
        <v>2971</v>
      </c>
      <c r="S357" s="11" t="s">
        <v>2972</v>
      </c>
      <c r="T357" s="11" t="s">
        <v>2966</v>
      </c>
    </row>
    <row r="358" spans="1:20" ht="50.1" hidden="1" customHeight="1">
      <c r="A358" s="10">
        <v>357</v>
      </c>
      <c r="B358" s="11" t="s">
        <v>88</v>
      </c>
      <c r="C358" s="11" t="s">
        <v>89</v>
      </c>
      <c r="D358" s="11" t="s">
        <v>17</v>
      </c>
      <c r="E358" s="11" t="s">
        <v>8</v>
      </c>
      <c r="F358" s="12">
        <v>5070</v>
      </c>
      <c r="G358" s="13">
        <v>1.2565088799999999</v>
      </c>
      <c r="H358" s="14">
        <v>6370.5</v>
      </c>
      <c r="I358" s="12">
        <v>11470</v>
      </c>
      <c r="J358" s="13">
        <v>1.2</v>
      </c>
      <c r="K358" s="14">
        <v>13764</v>
      </c>
      <c r="L358" s="12">
        <v>6929</v>
      </c>
      <c r="M358" s="13">
        <v>1.2291283</v>
      </c>
      <c r="N358" s="14">
        <v>8516.6299999999992</v>
      </c>
      <c r="O358" s="12">
        <v>9611</v>
      </c>
      <c r="P358" s="13">
        <v>1.2088097</v>
      </c>
      <c r="Q358" s="14">
        <v>11617.87</v>
      </c>
      <c r="R358" s="11" t="s">
        <v>2971</v>
      </c>
      <c r="S358" s="11" t="s">
        <v>2972</v>
      </c>
      <c r="T358" s="11" t="s">
        <v>2966</v>
      </c>
    </row>
    <row r="359" spans="1:20" ht="50.1" hidden="1" customHeight="1">
      <c r="A359" s="10">
        <v>358</v>
      </c>
      <c r="B359" s="11" t="s">
        <v>90</v>
      </c>
      <c r="C359" s="11" t="s">
        <v>91</v>
      </c>
      <c r="D359" s="11" t="s">
        <v>17</v>
      </c>
      <c r="E359" s="11" t="s">
        <v>8</v>
      </c>
      <c r="F359" s="12">
        <v>7040</v>
      </c>
      <c r="G359" s="13">
        <v>21.5</v>
      </c>
      <c r="H359" s="14">
        <v>151360</v>
      </c>
      <c r="I359" s="12">
        <v>0</v>
      </c>
      <c r="J359" s="13"/>
      <c r="K359" s="14">
        <v>0</v>
      </c>
      <c r="L359" s="12">
        <v>0</v>
      </c>
      <c r="M359" s="13"/>
      <c r="N359" s="14">
        <v>0</v>
      </c>
      <c r="O359" s="12">
        <v>7040</v>
      </c>
      <c r="P359" s="13">
        <v>21.5</v>
      </c>
      <c r="Q359" s="14">
        <v>151360</v>
      </c>
      <c r="R359" s="11" t="s">
        <v>2990</v>
      </c>
      <c r="S359" s="11" t="s">
        <v>2991</v>
      </c>
      <c r="T359" s="11" t="s">
        <v>2966</v>
      </c>
    </row>
    <row r="360" spans="1:20" ht="50.1" hidden="1" customHeight="1">
      <c r="A360" s="10">
        <v>359</v>
      </c>
      <c r="B360" s="11" t="s">
        <v>92</v>
      </c>
      <c r="C360" s="11" t="s">
        <v>93</v>
      </c>
      <c r="D360" s="11" t="s">
        <v>17</v>
      </c>
      <c r="E360" s="11" t="s">
        <v>8</v>
      </c>
      <c r="F360" s="12">
        <v>31250</v>
      </c>
      <c r="G360" s="13">
        <v>12.9000048</v>
      </c>
      <c r="H360" s="14">
        <v>403125.15</v>
      </c>
      <c r="I360" s="12">
        <v>0</v>
      </c>
      <c r="J360" s="13"/>
      <c r="K360" s="14">
        <v>0</v>
      </c>
      <c r="L360" s="12">
        <v>3000</v>
      </c>
      <c r="M360" s="13">
        <v>12.9</v>
      </c>
      <c r="N360" s="14">
        <v>38700</v>
      </c>
      <c r="O360" s="12">
        <v>28250</v>
      </c>
      <c r="P360" s="13">
        <v>12.900005309999999</v>
      </c>
      <c r="Q360" s="14">
        <v>364425.15</v>
      </c>
      <c r="R360" s="11" t="s">
        <v>2990</v>
      </c>
      <c r="S360" s="11" t="s">
        <v>2991</v>
      </c>
      <c r="T360" s="11" t="s">
        <v>2966</v>
      </c>
    </row>
    <row r="361" spans="1:20" ht="50.1" hidden="1" customHeight="1">
      <c r="A361" s="10">
        <v>360</v>
      </c>
      <c r="B361" s="11" t="s">
        <v>94</v>
      </c>
      <c r="C361" s="11" t="s">
        <v>95</v>
      </c>
      <c r="D361" s="11" t="s">
        <v>17</v>
      </c>
      <c r="E361" s="11" t="s">
        <v>8</v>
      </c>
      <c r="F361" s="12">
        <v>16630</v>
      </c>
      <c r="G361" s="13">
        <v>12.39999998</v>
      </c>
      <c r="H361" s="14">
        <v>206211.99969999999</v>
      </c>
      <c r="I361" s="12">
        <v>0</v>
      </c>
      <c r="J361" s="13"/>
      <c r="K361" s="14">
        <v>0</v>
      </c>
      <c r="L361" s="12">
        <v>2000</v>
      </c>
      <c r="M361" s="13">
        <v>12.4</v>
      </c>
      <c r="N361" s="14">
        <v>24800</v>
      </c>
      <c r="O361" s="12">
        <v>14630</v>
      </c>
      <c r="P361" s="13">
        <v>12.39999998</v>
      </c>
      <c r="Q361" s="14">
        <v>181411.99969999999</v>
      </c>
      <c r="R361" s="11" t="s">
        <v>2990</v>
      </c>
      <c r="S361" s="11" t="s">
        <v>2991</v>
      </c>
      <c r="T361" s="11" t="s">
        <v>2966</v>
      </c>
    </row>
    <row r="362" spans="1:20" ht="50.1" hidden="1" customHeight="1">
      <c r="A362" s="10">
        <v>361</v>
      </c>
      <c r="B362" s="11" t="s">
        <v>96</v>
      </c>
      <c r="C362" s="11" t="s">
        <v>97</v>
      </c>
      <c r="D362" s="11" t="s">
        <v>17</v>
      </c>
      <c r="E362" s="11" t="s">
        <v>8</v>
      </c>
      <c r="F362" s="12">
        <v>13000</v>
      </c>
      <c r="G362" s="13">
        <v>15.75</v>
      </c>
      <c r="H362" s="14">
        <v>204750</v>
      </c>
      <c r="I362" s="12">
        <v>0</v>
      </c>
      <c r="J362" s="13"/>
      <c r="K362" s="14">
        <v>0</v>
      </c>
      <c r="L362" s="12">
        <v>2000</v>
      </c>
      <c r="M362" s="13">
        <v>15.75</v>
      </c>
      <c r="N362" s="14">
        <v>31500</v>
      </c>
      <c r="O362" s="12">
        <v>11000</v>
      </c>
      <c r="P362" s="13">
        <v>15.75</v>
      </c>
      <c r="Q362" s="14">
        <v>173250</v>
      </c>
      <c r="R362" s="11" t="s">
        <v>2990</v>
      </c>
      <c r="S362" s="11" t="s">
        <v>2991</v>
      </c>
      <c r="T362" s="11" t="s">
        <v>2966</v>
      </c>
    </row>
    <row r="363" spans="1:20" ht="50.1" hidden="1" customHeight="1">
      <c r="A363" s="10">
        <v>362</v>
      </c>
      <c r="B363" s="11" t="s">
        <v>98</v>
      </c>
      <c r="C363" s="11" t="s">
        <v>99</v>
      </c>
      <c r="D363" s="11" t="s">
        <v>20</v>
      </c>
      <c r="E363" s="11" t="s">
        <v>8</v>
      </c>
      <c r="F363" s="12">
        <v>942.6</v>
      </c>
      <c r="G363" s="13">
        <v>179.66527689</v>
      </c>
      <c r="H363" s="14">
        <v>169352.49</v>
      </c>
      <c r="I363" s="12">
        <v>450</v>
      </c>
      <c r="J363" s="13">
        <v>180</v>
      </c>
      <c r="K363" s="14">
        <v>81000</v>
      </c>
      <c r="L363" s="12">
        <v>50</v>
      </c>
      <c r="M363" s="13">
        <v>179.77340000000001</v>
      </c>
      <c r="N363" s="14">
        <v>8988.67</v>
      </c>
      <c r="O363" s="12">
        <v>1342.6</v>
      </c>
      <c r="P363" s="13">
        <v>179.77343959000001</v>
      </c>
      <c r="Q363" s="14">
        <v>241363.82</v>
      </c>
      <c r="R363" s="11" t="s">
        <v>2990</v>
      </c>
      <c r="S363" s="11" t="s">
        <v>2991</v>
      </c>
      <c r="T363" s="11" t="s">
        <v>2966</v>
      </c>
    </row>
    <row r="364" spans="1:20" ht="50.1" hidden="1" customHeight="1">
      <c r="A364" s="10">
        <v>363</v>
      </c>
      <c r="B364" s="11" t="s">
        <v>100</v>
      </c>
      <c r="C364" s="11" t="s">
        <v>101</v>
      </c>
      <c r="D364" s="11" t="s">
        <v>20</v>
      </c>
      <c r="E364" s="11" t="s">
        <v>8</v>
      </c>
      <c r="F364" s="12">
        <v>2015.83</v>
      </c>
      <c r="G364" s="13">
        <v>179.99998016000001</v>
      </c>
      <c r="H364" s="14">
        <v>362849.36</v>
      </c>
      <c r="I364" s="12">
        <v>1500.5</v>
      </c>
      <c r="J364" s="13">
        <v>180</v>
      </c>
      <c r="K364" s="14">
        <v>270090</v>
      </c>
      <c r="L364" s="12">
        <v>1000</v>
      </c>
      <c r="M364" s="13">
        <v>180</v>
      </c>
      <c r="N364" s="14">
        <v>180000</v>
      </c>
      <c r="O364" s="12">
        <v>2516.33</v>
      </c>
      <c r="P364" s="13">
        <v>179.99998410000001</v>
      </c>
      <c r="Q364" s="14">
        <v>452939.36</v>
      </c>
      <c r="R364" s="11" t="s">
        <v>2990</v>
      </c>
      <c r="S364" s="11" t="s">
        <v>2991</v>
      </c>
      <c r="T364" s="11" t="s">
        <v>2966</v>
      </c>
    </row>
    <row r="365" spans="1:20" ht="50.1" hidden="1" customHeight="1">
      <c r="A365" s="10">
        <v>364</v>
      </c>
      <c r="B365" s="11" t="s">
        <v>102</v>
      </c>
      <c r="C365" s="11" t="s">
        <v>103</v>
      </c>
      <c r="D365" s="11" t="s">
        <v>17</v>
      </c>
      <c r="E365" s="11" t="s">
        <v>8</v>
      </c>
      <c r="F365" s="12">
        <v>16000</v>
      </c>
      <c r="G365" s="13">
        <v>0.6</v>
      </c>
      <c r="H365" s="14">
        <v>9600</v>
      </c>
      <c r="I365" s="12">
        <v>0</v>
      </c>
      <c r="J365" s="13"/>
      <c r="K365" s="14">
        <v>0</v>
      </c>
      <c r="L365" s="12">
        <v>2000</v>
      </c>
      <c r="M365" s="13">
        <v>0.6</v>
      </c>
      <c r="N365" s="14">
        <v>1200</v>
      </c>
      <c r="O365" s="12">
        <v>14000</v>
      </c>
      <c r="P365" s="13">
        <v>0.6</v>
      </c>
      <c r="Q365" s="14">
        <v>8400</v>
      </c>
      <c r="R365" s="11" t="s">
        <v>2971</v>
      </c>
      <c r="S365" s="11" t="s">
        <v>2972</v>
      </c>
      <c r="T365" s="11" t="s">
        <v>2966</v>
      </c>
    </row>
    <row r="366" spans="1:20" ht="50.1" hidden="1" customHeight="1">
      <c r="A366" s="10">
        <v>365</v>
      </c>
      <c r="B366" s="11" t="s">
        <v>104</v>
      </c>
      <c r="C366" s="11" t="s">
        <v>105</v>
      </c>
      <c r="D366" s="11" t="s">
        <v>17</v>
      </c>
      <c r="E366" s="11" t="s">
        <v>8</v>
      </c>
      <c r="F366" s="12">
        <v>4000</v>
      </c>
      <c r="G366" s="13">
        <v>0.6</v>
      </c>
      <c r="H366" s="14">
        <v>2400</v>
      </c>
      <c r="I366" s="12">
        <v>0</v>
      </c>
      <c r="J366" s="13"/>
      <c r="K366" s="14">
        <v>0</v>
      </c>
      <c r="L366" s="12">
        <v>2500</v>
      </c>
      <c r="M366" s="13">
        <v>0.6</v>
      </c>
      <c r="N366" s="14">
        <v>1500</v>
      </c>
      <c r="O366" s="12">
        <v>1500</v>
      </c>
      <c r="P366" s="13">
        <v>0.6</v>
      </c>
      <c r="Q366" s="14">
        <v>900</v>
      </c>
      <c r="R366" s="11" t="s">
        <v>2971</v>
      </c>
      <c r="S366" s="11" t="s">
        <v>2972</v>
      </c>
      <c r="T366" s="11" t="s">
        <v>2966</v>
      </c>
    </row>
    <row r="367" spans="1:20" ht="50.1" hidden="1" customHeight="1">
      <c r="A367" s="10">
        <v>366</v>
      </c>
      <c r="B367" s="11" t="s">
        <v>106</v>
      </c>
      <c r="C367" s="11" t="s">
        <v>107</v>
      </c>
      <c r="D367" s="11" t="s">
        <v>17</v>
      </c>
      <c r="E367" s="11" t="s">
        <v>8</v>
      </c>
      <c r="F367" s="12">
        <v>11100</v>
      </c>
      <c r="G367" s="13">
        <v>0.60001802000000004</v>
      </c>
      <c r="H367" s="14">
        <v>6660.2</v>
      </c>
      <c r="I367" s="12">
        <v>0</v>
      </c>
      <c r="J367" s="13"/>
      <c r="K367" s="14">
        <v>0</v>
      </c>
      <c r="L367" s="12">
        <v>3000</v>
      </c>
      <c r="M367" s="13">
        <v>0.6</v>
      </c>
      <c r="N367" s="14">
        <v>1800</v>
      </c>
      <c r="O367" s="12">
        <v>8100</v>
      </c>
      <c r="P367" s="13">
        <v>0.60002469000000003</v>
      </c>
      <c r="Q367" s="14">
        <v>4860.2</v>
      </c>
      <c r="R367" s="11" t="s">
        <v>2971</v>
      </c>
      <c r="S367" s="11" t="s">
        <v>2972</v>
      </c>
      <c r="T367" s="11" t="s">
        <v>2966</v>
      </c>
    </row>
    <row r="368" spans="1:20" ht="50.1" hidden="1" customHeight="1">
      <c r="A368" s="10">
        <v>367</v>
      </c>
      <c r="B368" s="11" t="s">
        <v>108</v>
      </c>
      <c r="C368" s="11" t="s">
        <v>109</v>
      </c>
      <c r="D368" s="11" t="s">
        <v>17</v>
      </c>
      <c r="E368" s="11" t="s">
        <v>8</v>
      </c>
      <c r="F368" s="12">
        <v>25000</v>
      </c>
      <c r="G368" s="13">
        <v>0.6</v>
      </c>
      <c r="H368" s="14">
        <v>15000</v>
      </c>
      <c r="I368" s="12">
        <v>0</v>
      </c>
      <c r="J368" s="13"/>
      <c r="K368" s="14">
        <v>0</v>
      </c>
      <c r="L368" s="12">
        <v>8000</v>
      </c>
      <c r="M368" s="13">
        <v>0.6</v>
      </c>
      <c r="N368" s="14">
        <v>4800</v>
      </c>
      <c r="O368" s="12">
        <v>17000</v>
      </c>
      <c r="P368" s="13">
        <v>0.6</v>
      </c>
      <c r="Q368" s="14">
        <v>10200</v>
      </c>
      <c r="R368" s="11" t="s">
        <v>2971</v>
      </c>
      <c r="S368" s="11" t="s">
        <v>2972</v>
      </c>
      <c r="T368" s="11" t="s">
        <v>2966</v>
      </c>
    </row>
    <row r="369" spans="1:20" ht="50.1" hidden="1" customHeight="1">
      <c r="A369" s="10">
        <v>368</v>
      </c>
      <c r="B369" s="11" t="s">
        <v>110</v>
      </c>
      <c r="C369" s="11" t="s">
        <v>111</v>
      </c>
      <c r="D369" s="11" t="s">
        <v>7</v>
      </c>
      <c r="E369" s="11" t="s">
        <v>8</v>
      </c>
      <c r="F369" s="12">
        <v>2500</v>
      </c>
      <c r="G369" s="13">
        <v>1.1000000000000001</v>
      </c>
      <c r="H369" s="14">
        <v>2750</v>
      </c>
      <c r="I369" s="12">
        <v>0</v>
      </c>
      <c r="J369" s="13"/>
      <c r="K369" s="14">
        <v>0</v>
      </c>
      <c r="L369" s="12">
        <v>0</v>
      </c>
      <c r="M369" s="13"/>
      <c r="N369" s="14">
        <v>0</v>
      </c>
      <c r="O369" s="12">
        <v>2500</v>
      </c>
      <c r="P369" s="13">
        <v>1.1000000000000001</v>
      </c>
      <c r="Q369" s="14">
        <v>2750</v>
      </c>
      <c r="R369" s="11" t="s">
        <v>2971</v>
      </c>
      <c r="S369" s="11" t="s">
        <v>2972</v>
      </c>
      <c r="T369" s="11" t="s">
        <v>2966</v>
      </c>
    </row>
    <row r="370" spans="1:20" ht="50.1" hidden="1" customHeight="1">
      <c r="A370" s="10">
        <v>369</v>
      </c>
      <c r="B370" s="11" t="s">
        <v>112</v>
      </c>
      <c r="C370" s="11" t="s">
        <v>113</v>
      </c>
      <c r="D370" s="11" t="s">
        <v>7</v>
      </c>
      <c r="E370" s="11" t="s">
        <v>8</v>
      </c>
      <c r="F370" s="12">
        <v>1130</v>
      </c>
      <c r="G370" s="13">
        <v>3.5260014200000001</v>
      </c>
      <c r="H370" s="14">
        <v>3984.3816000000002</v>
      </c>
      <c r="I370" s="12">
        <v>2780</v>
      </c>
      <c r="J370" s="13">
        <v>2.95</v>
      </c>
      <c r="K370" s="14">
        <v>8201</v>
      </c>
      <c r="L370" s="12">
        <v>2930</v>
      </c>
      <c r="M370" s="13">
        <v>3.1165017100000001</v>
      </c>
      <c r="N370" s="14">
        <v>9131.35</v>
      </c>
      <c r="O370" s="12">
        <v>980</v>
      </c>
      <c r="P370" s="13">
        <v>3.1163587800000001</v>
      </c>
      <c r="Q370" s="14">
        <v>3054.0315999999998</v>
      </c>
      <c r="R370" s="11" t="s">
        <v>3005</v>
      </c>
      <c r="S370" s="11" t="s">
        <v>3006</v>
      </c>
      <c r="T370" s="11" t="s">
        <v>2966</v>
      </c>
    </row>
    <row r="371" spans="1:20" ht="50.1" hidden="1" customHeight="1">
      <c r="A371" s="10">
        <v>370</v>
      </c>
      <c r="B371" s="11" t="s">
        <v>114</v>
      </c>
      <c r="C371" s="11" t="s">
        <v>115</v>
      </c>
      <c r="D371" s="11" t="s">
        <v>116</v>
      </c>
      <c r="E371" s="11" t="s">
        <v>8</v>
      </c>
      <c r="F371" s="12">
        <v>162</v>
      </c>
      <c r="G371" s="13">
        <v>2422.7716111099999</v>
      </c>
      <c r="H371" s="14">
        <v>392489.00099999999</v>
      </c>
      <c r="I371" s="12">
        <v>0</v>
      </c>
      <c r="J371" s="13"/>
      <c r="K371" s="14">
        <v>0</v>
      </c>
      <c r="L371" s="12">
        <v>0</v>
      </c>
      <c r="M371" s="13"/>
      <c r="N371" s="14">
        <v>0</v>
      </c>
      <c r="O371" s="12">
        <v>162</v>
      </c>
      <c r="P371" s="13">
        <v>2422.7716111099999</v>
      </c>
      <c r="Q371" s="14">
        <v>392489.00099999999</v>
      </c>
      <c r="R371" s="11" t="s">
        <v>2973</v>
      </c>
      <c r="S371" s="11" t="s">
        <v>2974</v>
      </c>
      <c r="T371" s="11" t="s">
        <v>2966</v>
      </c>
    </row>
    <row r="372" spans="1:20" ht="50.1" hidden="1" customHeight="1">
      <c r="A372" s="10">
        <v>371</v>
      </c>
      <c r="B372" s="11" t="s">
        <v>117</v>
      </c>
      <c r="C372" s="11" t="s">
        <v>118</v>
      </c>
      <c r="D372" s="11" t="s">
        <v>7</v>
      </c>
      <c r="E372" s="11" t="s">
        <v>8</v>
      </c>
      <c r="F372" s="12">
        <v>700</v>
      </c>
      <c r="G372" s="13">
        <v>5.5</v>
      </c>
      <c r="H372" s="14">
        <v>3850</v>
      </c>
      <c r="I372" s="12">
        <v>0</v>
      </c>
      <c r="J372" s="13"/>
      <c r="K372" s="14">
        <v>0</v>
      </c>
      <c r="L372" s="12">
        <v>0</v>
      </c>
      <c r="M372" s="13"/>
      <c r="N372" s="14">
        <v>0</v>
      </c>
      <c r="O372" s="12">
        <v>700</v>
      </c>
      <c r="P372" s="13">
        <v>5.5</v>
      </c>
      <c r="Q372" s="14">
        <v>3850</v>
      </c>
      <c r="R372" s="11" t="s">
        <v>3005</v>
      </c>
      <c r="S372" s="11" t="s">
        <v>3006</v>
      </c>
      <c r="T372" s="11" t="s">
        <v>2966</v>
      </c>
    </row>
    <row r="373" spans="1:20" ht="50.1" hidden="1" customHeight="1">
      <c r="A373" s="10">
        <v>372</v>
      </c>
      <c r="B373" s="11" t="s">
        <v>119</v>
      </c>
      <c r="C373" s="11" t="s">
        <v>120</v>
      </c>
      <c r="D373" s="11" t="s">
        <v>17</v>
      </c>
      <c r="E373" s="11" t="s">
        <v>8</v>
      </c>
      <c r="F373" s="12">
        <v>51</v>
      </c>
      <c r="G373" s="13">
        <v>14.5</v>
      </c>
      <c r="H373" s="14">
        <v>739.5</v>
      </c>
      <c r="I373" s="12">
        <v>0</v>
      </c>
      <c r="J373" s="13"/>
      <c r="K373" s="14">
        <v>0</v>
      </c>
      <c r="L373" s="12">
        <v>0</v>
      </c>
      <c r="M373" s="13"/>
      <c r="N373" s="14">
        <v>0</v>
      </c>
      <c r="O373" s="12">
        <v>51</v>
      </c>
      <c r="P373" s="13">
        <v>14.5</v>
      </c>
      <c r="Q373" s="14">
        <v>739.5</v>
      </c>
      <c r="R373" s="11" t="s">
        <v>2990</v>
      </c>
      <c r="S373" s="11" t="s">
        <v>2991</v>
      </c>
      <c r="T373" s="11" t="s">
        <v>2966</v>
      </c>
    </row>
    <row r="374" spans="1:20" ht="50.1" hidden="1" customHeight="1">
      <c r="A374" s="10">
        <v>373</v>
      </c>
      <c r="B374" s="11" t="s">
        <v>121</v>
      </c>
      <c r="C374" s="11" t="s">
        <v>122</v>
      </c>
      <c r="D374" s="11" t="s">
        <v>17</v>
      </c>
      <c r="E374" s="11" t="s">
        <v>8</v>
      </c>
      <c r="F374" s="12">
        <v>541</v>
      </c>
      <c r="G374" s="13">
        <v>4.02536044</v>
      </c>
      <c r="H374" s="14">
        <v>2177.7199999999998</v>
      </c>
      <c r="I374" s="12">
        <v>0</v>
      </c>
      <c r="J374" s="13"/>
      <c r="K374" s="14">
        <v>0</v>
      </c>
      <c r="L374" s="12">
        <v>0</v>
      </c>
      <c r="M374" s="13"/>
      <c r="N374" s="14">
        <v>0</v>
      </c>
      <c r="O374" s="12">
        <v>541</v>
      </c>
      <c r="P374" s="13">
        <v>4.02536044</v>
      </c>
      <c r="Q374" s="14">
        <v>2177.7199999999998</v>
      </c>
      <c r="R374" s="11" t="s">
        <v>2990</v>
      </c>
      <c r="S374" s="11" t="s">
        <v>2991</v>
      </c>
      <c r="T374" s="11" t="s">
        <v>2966</v>
      </c>
    </row>
    <row r="375" spans="1:20" ht="50.1" hidden="1" customHeight="1">
      <c r="A375" s="10">
        <v>374</v>
      </c>
      <c r="B375" s="11" t="s">
        <v>125</v>
      </c>
      <c r="C375" s="11" t="s">
        <v>126</v>
      </c>
      <c r="D375" s="11" t="s">
        <v>17</v>
      </c>
      <c r="E375" s="11" t="s">
        <v>8</v>
      </c>
      <c r="F375" s="12">
        <v>2000</v>
      </c>
      <c r="G375" s="13">
        <v>2.2349999999999999</v>
      </c>
      <c r="H375" s="14">
        <v>4470</v>
      </c>
      <c r="I375" s="12">
        <v>0</v>
      </c>
      <c r="J375" s="13"/>
      <c r="K375" s="14">
        <v>0</v>
      </c>
      <c r="L375" s="12">
        <v>0</v>
      </c>
      <c r="M375" s="13"/>
      <c r="N375" s="14">
        <v>0</v>
      </c>
      <c r="O375" s="12">
        <v>2000</v>
      </c>
      <c r="P375" s="13">
        <v>2.2349999999999999</v>
      </c>
      <c r="Q375" s="14">
        <v>4470</v>
      </c>
      <c r="R375" s="11" t="s">
        <v>2971</v>
      </c>
      <c r="S375" s="11" t="s">
        <v>2972</v>
      </c>
      <c r="T375" s="11" t="s">
        <v>2966</v>
      </c>
    </row>
    <row r="376" spans="1:20" ht="50.1" hidden="1" customHeight="1">
      <c r="A376" s="10">
        <v>375</v>
      </c>
      <c r="B376" s="11" t="s">
        <v>127</v>
      </c>
      <c r="C376" s="11" t="s">
        <v>128</v>
      </c>
      <c r="D376" s="11" t="s">
        <v>17</v>
      </c>
      <c r="E376" s="11" t="s">
        <v>8</v>
      </c>
      <c r="F376" s="12">
        <v>4745</v>
      </c>
      <c r="G376" s="13">
        <v>22</v>
      </c>
      <c r="H376" s="14">
        <v>104390</v>
      </c>
      <c r="I376" s="12">
        <v>0</v>
      </c>
      <c r="J376" s="13"/>
      <c r="K376" s="14">
        <v>0</v>
      </c>
      <c r="L376" s="12">
        <v>0</v>
      </c>
      <c r="M376" s="13"/>
      <c r="N376" s="14">
        <v>0</v>
      </c>
      <c r="O376" s="12">
        <v>4745</v>
      </c>
      <c r="P376" s="13">
        <v>22</v>
      </c>
      <c r="Q376" s="14">
        <v>104390</v>
      </c>
      <c r="R376" s="11" t="s">
        <v>2990</v>
      </c>
      <c r="S376" s="11" t="s">
        <v>2991</v>
      </c>
      <c r="T376" s="11" t="s">
        <v>2966</v>
      </c>
    </row>
    <row r="377" spans="1:20" ht="50.1" hidden="1" customHeight="1">
      <c r="A377" s="10">
        <v>376</v>
      </c>
      <c r="B377" s="11" t="s">
        <v>3174</v>
      </c>
      <c r="C377" s="11" t="s">
        <v>3175</v>
      </c>
      <c r="D377" s="11" t="s">
        <v>7</v>
      </c>
      <c r="E377" s="11" t="s">
        <v>8</v>
      </c>
      <c r="F377" s="12">
        <v>1200</v>
      </c>
      <c r="G377" s="13">
        <v>2.9</v>
      </c>
      <c r="H377" s="14">
        <v>3480</v>
      </c>
      <c r="I377" s="12">
        <v>0</v>
      </c>
      <c r="J377" s="13"/>
      <c r="K377" s="14">
        <v>0</v>
      </c>
      <c r="L377" s="12">
        <v>0</v>
      </c>
      <c r="M377" s="13"/>
      <c r="N377" s="14">
        <v>0</v>
      </c>
      <c r="O377" s="12">
        <v>1200</v>
      </c>
      <c r="P377" s="13">
        <v>2.9</v>
      </c>
      <c r="Q377" s="14">
        <v>3480</v>
      </c>
      <c r="R377" s="11" t="s">
        <v>2971</v>
      </c>
      <c r="S377" s="11" t="s">
        <v>2972</v>
      </c>
      <c r="T377" s="11" t="s">
        <v>2966</v>
      </c>
    </row>
    <row r="378" spans="1:20" ht="50.1" hidden="1" customHeight="1">
      <c r="A378" s="10">
        <v>377</v>
      </c>
      <c r="B378" s="11" t="s">
        <v>2783</v>
      </c>
      <c r="C378" s="11" t="s">
        <v>2784</v>
      </c>
      <c r="D378" s="11" t="s">
        <v>7</v>
      </c>
      <c r="E378" s="11" t="s">
        <v>8</v>
      </c>
      <c r="F378" s="12">
        <v>85400</v>
      </c>
      <c r="G378" s="13">
        <v>3.06275246</v>
      </c>
      <c r="H378" s="14">
        <v>261559.06</v>
      </c>
      <c r="I378" s="12">
        <v>0</v>
      </c>
      <c r="J378" s="13"/>
      <c r="K378" s="14">
        <v>0</v>
      </c>
      <c r="L378" s="12">
        <v>11400</v>
      </c>
      <c r="M378" s="13">
        <v>3.0627</v>
      </c>
      <c r="N378" s="14">
        <v>34914.78</v>
      </c>
      <c r="O378" s="12">
        <v>74000</v>
      </c>
      <c r="P378" s="13">
        <v>3.0627605400000002</v>
      </c>
      <c r="Q378" s="14">
        <v>226644.28</v>
      </c>
      <c r="R378" s="11" t="s">
        <v>2971</v>
      </c>
      <c r="S378" s="11" t="s">
        <v>2972</v>
      </c>
      <c r="T378" s="11" t="s">
        <v>2966</v>
      </c>
    </row>
    <row r="379" spans="1:20" ht="50.1" hidden="1" customHeight="1">
      <c r="A379" s="10">
        <v>378</v>
      </c>
      <c r="B379" s="11" t="s">
        <v>2785</v>
      </c>
      <c r="C379" s="11" t="s">
        <v>2786</v>
      </c>
      <c r="D379" s="11" t="s">
        <v>17</v>
      </c>
      <c r="E379" s="11" t="s">
        <v>8</v>
      </c>
      <c r="F379" s="12">
        <v>1587</v>
      </c>
      <c r="G379" s="13">
        <v>7.5</v>
      </c>
      <c r="H379" s="14">
        <v>11902.5</v>
      </c>
      <c r="I379" s="12">
        <v>0</v>
      </c>
      <c r="J379" s="13"/>
      <c r="K379" s="14">
        <v>0</v>
      </c>
      <c r="L379" s="12">
        <v>0</v>
      </c>
      <c r="M379" s="13"/>
      <c r="N379" s="14">
        <v>0</v>
      </c>
      <c r="O379" s="12">
        <v>1587</v>
      </c>
      <c r="P379" s="13">
        <v>7.5</v>
      </c>
      <c r="Q379" s="14">
        <v>11902.5</v>
      </c>
      <c r="R379" s="11" t="s">
        <v>2971</v>
      </c>
      <c r="S379" s="11" t="s">
        <v>2972</v>
      </c>
      <c r="T379" s="11" t="s">
        <v>2966</v>
      </c>
    </row>
    <row r="380" spans="1:20" ht="50.1" hidden="1" customHeight="1">
      <c r="A380" s="10">
        <v>379</v>
      </c>
      <c r="B380" s="11" t="s">
        <v>129</v>
      </c>
      <c r="C380" s="11" t="s">
        <v>130</v>
      </c>
      <c r="D380" s="11" t="s">
        <v>17</v>
      </c>
      <c r="E380" s="11" t="s">
        <v>8</v>
      </c>
      <c r="F380" s="12">
        <v>175</v>
      </c>
      <c r="G380" s="13">
        <v>95.324114289999997</v>
      </c>
      <c r="H380" s="14">
        <v>16681.72</v>
      </c>
      <c r="I380" s="12">
        <v>0</v>
      </c>
      <c r="J380" s="13"/>
      <c r="K380" s="14">
        <v>0</v>
      </c>
      <c r="L380" s="12">
        <v>0</v>
      </c>
      <c r="M380" s="13"/>
      <c r="N380" s="14">
        <v>0</v>
      </c>
      <c r="O380" s="12">
        <v>175</v>
      </c>
      <c r="P380" s="13">
        <v>95.324114289999997</v>
      </c>
      <c r="Q380" s="14">
        <v>16681.72</v>
      </c>
      <c r="R380" s="11" t="s">
        <v>2990</v>
      </c>
      <c r="S380" s="11" t="s">
        <v>2991</v>
      </c>
      <c r="T380" s="11" t="s">
        <v>2966</v>
      </c>
    </row>
    <row r="381" spans="1:20" ht="50.1" hidden="1" customHeight="1">
      <c r="A381" s="10">
        <v>380</v>
      </c>
      <c r="B381" s="11" t="s">
        <v>131</v>
      </c>
      <c r="C381" s="11" t="s">
        <v>132</v>
      </c>
      <c r="D381" s="11" t="s">
        <v>17</v>
      </c>
      <c r="E381" s="11" t="s">
        <v>8</v>
      </c>
      <c r="F381" s="12">
        <v>1600</v>
      </c>
      <c r="G381" s="13">
        <v>1.0565625000000001</v>
      </c>
      <c r="H381" s="14">
        <v>1690.5</v>
      </c>
      <c r="I381" s="12">
        <v>0</v>
      </c>
      <c r="J381" s="13"/>
      <c r="K381" s="14">
        <v>0</v>
      </c>
      <c r="L381" s="12">
        <v>0</v>
      </c>
      <c r="M381" s="13"/>
      <c r="N381" s="14">
        <v>0</v>
      </c>
      <c r="O381" s="12">
        <v>1600</v>
      </c>
      <c r="P381" s="13">
        <v>1.0565625000000001</v>
      </c>
      <c r="Q381" s="14">
        <v>1690.5</v>
      </c>
      <c r="R381" s="11" t="s">
        <v>2971</v>
      </c>
      <c r="S381" s="11" t="s">
        <v>2972</v>
      </c>
      <c r="T381" s="11" t="s">
        <v>2966</v>
      </c>
    </row>
    <row r="382" spans="1:20" ht="50.1" hidden="1" customHeight="1">
      <c r="A382" s="10">
        <v>381</v>
      </c>
      <c r="B382" s="11" t="s">
        <v>3160</v>
      </c>
      <c r="C382" s="11" t="s">
        <v>3556</v>
      </c>
      <c r="D382" s="11" t="s">
        <v>17</v>
      </c>
      <c r="E382" s="11" t="s">
        <v>8</v>
      </c>
      <c r="F382" s="12">
        <v>49</v>
      </c>
      <c r="G382" s="13">
        <v>150.03020408</v>
      </c>
      <c r="H382" s="14">
        <v>7351.48</v>
      </c>
      <c r="I382" s="12">
        <v>0</v>
      </c>
      <c r="J382" s="13"/>
      <c r="K382" s="14">
        <v>0</v>
      </c>
      <c r="L382" s="12">
        <v>0</v>
      </c>
      <c r="M382" s="13"/>
      <c r="N382" s="14">
        <v>0</v>
      </c>
      <c r="O382" s="12">
        <v>49</v>
      </c>
      <c r="P382" s="13">
        <v>150.03020408</v>
      </c>
      <c r="Q382" s="14">
        <v>7351.48</v>
      </c>
      <c r="R382" s="11" t="s">
        <v>2990</v>
      </c>
      <c r="S382" s="11" t="s">
        <v>2991</v>
      </c>
      <c r="T382" s="11" t="s">
        <v>2961</v>
      </c>
    </row>
    <row r="383" spans="1:20" ht="50.1" hidden="1" customHeight="1">
      <c r="A383" s="10">
        <v>382</v>
      </c>
      <c r="B383" s="11" t="s">
        <v>3156</v>
      </c>
      <c r="C383" s="11" t="s">
        <v>3157</v>
      </c>
      <c r="D383" s="11" t="s">
        <v>7</v>
      </c>
      <c r="E383" s="11" t="s">
        <v>8</v>
      </c>
      <c r="F383" s="12">
        <v>1440</v>
      </c>
      <c r="G383" s="13">
        <v>6</v>
      </c>
      <c r="H383" s="14">
        <v>8640</v>
      </c>
      <c r="I383" s="12">
        <v>900</v>
      </c>
      <c r="J383" s="13">
        <v>6</v>
      </c>
      <c r="K383" s="14">
        <v>5400</v>
      </c>
      <c r="L383" s="12">
        <v>1440</v>
      </c>
      <c r="M383" s="13">
        <v>6</v>
      </c>
      <c r="N383" s="14">
        <v>8640</v>
      </c>
      <c r="O383" s="12">
        <v>900</v>
      </c>
      <c r="P383" s="13">
        <v>6</v>
      </c>
      <c r="Q383" s="14">
        <v>5400</v>
      </c>
      <c r="R383" s="11" t="s">
        <v>2971</v>
      </c>
      <c r="S383" s="11" t="s">
        <v>2972</v>
      </c>
      <c r="T383" s="11" t="s">
        <v>2966</v>
      </c>
    </row>
    <row r="384" spans="1:20" ht="50.1" hidden="1" customHeight="1">
      <c r="A384" s="10">
        <v>383</v>
      </c>
      <c r="B384" s="11" t="s">
        <v>133</v>
      </c>
      <c r="C384" s="11" t="s">
        <v>134</v>
      </c>
      <c r="D384" s="11" t="s">
        <v>135</v>
      </c>
      <c r="E384" s="11" t="s">
        <v>8</v>
      </c>
      <c r="F384" s="12">
        <v>56</v>
      </c>
      <c r="G384" s="13">
        <v>133.67571429</v>
      </c>
      <c r="H384" s="14">
        <v>7485.84</v>
      </c>
      <c r="I384" s="12">
        <v>0</v>
      </c>
      <c r="J384" s="13"/>
      <c r="K384" s="14">
        <v>0</v>
      </c>
      <c r="L384" s="12">
        <v>0</v>
      </c>
      <c r="M384" s="13"/>
      <c r="N384" s="14">
        <v>0</v>
      </c>
      <c r="O384" s="12">
        <v>56</v>
      </c>
      <c r="P384" s="13">
        <v>133.67571429</v>
      </c>
      <c r="Q384" s="14">
        <v>7485.84</v>
      </c>
      <c r="R384" s="11" t="s">
        <v>2997</v>
      </c>
      <c r="S384" s="11" t="s">
        <v>2998</v>
      </c>
      <c r="T384" s="11" t="s">
        <v>2966</v>
      </c>
    </row>
    <row r="385" spans="1:20" ht="50.1" hidden="1" customHeight="1">
      <c r="A385" s="10">
        <v>384</v>
      </c>
      <c r="B385" s="11" t="s">
        <v>136</v>
      </c>
      <c r="C385" s="11" t="s">
        <v>137</v>
      </c>
      <c r="D385" s="11" t="s">
        <v>17</v>
      </c>
      <c r="E385" s="11" t="s">
        <v>8</v>
      </c>
      <c r="F385" s="12">
        <v>38</v>
      </c>
      <c r="G385" s="13">
        <v>32</v>
      </c>
      <c r="H385" s="14">
        <v>1216</v>
      </c>
      <c r="I385" s="12">
        <v>0</v>
      </c>
      <c r="J385" s="13"/>
      <c r="K385" s="14">
        <v>0</v>
      </c>
      <c r="L385" s="12">
        <v>0</v>
      </c>
      <c r="M385" s="13"/>
      <c r="N385" s="14">
        <v>0</v>
      </c>
      <c r="O385" s="12">
        <v>38</v>
      </c>
      <c r="P385" s="13">
        <v>32</v>
      </c>
      <c r="Q385" s="14">
        <v>1216</v>
      </c>
      <c r="R385" s="11" t="s">
        <v>2990</v>
      </c>
      <c r="S385" s="11" t="s">
        <v>2991</v>
      </c>
      <c r="T385" s="11" t="s">
        <v>2966</v>
      </c>
    </row>
    <row r="386" spans="1:20" ht="50.1" hidden="1" customHeight="1">
      <c r="A386" s="10">
        <v>385</v>
      </c>
      <c r="B386" s="11" t="s">
        <v>138</v>
      </c>
      <c r="C386" s="11" t="s">
        <v>139</v>
      </c>
      <c r="D386" s="11" t="s">
        <v>17</v>
      </c>
      <c r="E386" s="11" t="s">
        <v>8</v>
      </c>
      <c r="F386" s="12">
        <v>92</v>
      </c>
      <c r="G386" s="13">
        <v>18.452500000000001</v>
      </c>
      <c r="H386" s="14">
        <v>1697.63</v>
      </c>
      <c r="I386" s="12">
        <v>0</v>
      </c>
      <c r="J386" s="13"/>
      <c r="K386" s="14">
        <v>0</v>
      </c>
      <c r="L386" s="12">
        <v>0</v>
      </c>
      <c r="M386" s="13"/>
      <c r="N386" s="14">
        <v>0</v>
      </c>
      <c r="O386" s="12">
        <v>92</v>
      </c>
      <c r="P386" s="13">
        <v>18.452500000000001</v>
      </c>
      <c r="Q386" s="14">
        <v>1697.63</v>
      </c>
      <c r="R386" s="11" t="s">
        <v>2990</v>
      </c>
      <c r="S386" s="11" t="s">
        <v>2991</v>
      </c>
      <c r="T386" s="11" t="s">
        <v>2966</v>
      </c>
    </row>
    <row r="387" spans="1:20" ht="50.1" hidden="1" customHeight="1">
      <c r="A387" s="10">
        <v>386</v>
      </c>
      <c r="B387" s="11" t="s">
        <v>140</v>
      </c>
      <c r="C387" s="11" t="s">
        <v>141</v>
      </c>
      <c r="D387" s="11" t="s">
        <v>17</v>
      </c>
      <c r="E387" s="11" t="s">
        <v>8</v>
      </c>
      <c r="F387" s="12">
        <v>11600</v>
      </c>
      <c r="G387" s="13">
        <v>13.01876536</v>
      </c>
      <c r="H387" s="14">
        <v>151017.67819999999</v>
      </c>
      <c r="I387" s="12">
        <v>0</v>
      </c>
      <c r="J387" s="13"/>
      <c r="K387" s="14">
        <v>0</v>
      </c>
      <c r="L387" s="12">
        <v>0</v>
      </c>
      <c r="M387" s="13"/>
      <c r="N387" s="14">
        <v>0</v>
      </c>
      <c r="O387" s="12">
        <v>11600</v>
      </c>
      <c r="P387" s="13">
        <v>13.01876536</v>
      </c>
      <c r="Q387" s="14">
        <v>151017.67819999999</v>
      </c>
      <c r="R387" s="11" t="s">
        <v>2990</v>
      </c>
      <c r="S387" s="11" t="s">
        <v>2991</v>
      </c>
      <c r="T387" s="11" t="s">
        <v>2966</v>
      </c>
    </row>
    <row r="388" spans="1:20" ht="50.1" hidden="1" customHeight="1">
      <c r="A388" s="10">
        <v>387</v>
      </c>
      <c r="B388" s="11" t="s">
        <v>3294</v>
      </c>
      <c r="C388" s="11" t="s">
        <v>3576</v>
      </c>
      <c r="D388" s="11" t="s">
        <v>17</v>
      </c>
      <c r="E388" s="11" t="s">
        <v>8</v>
      </c>
      <c r="F388" s="12">
        <v>18000</v>
      </c>
      <c r="G388" s="13">
        <v>18</v>
      </c>
      <c r="H388" s="14">
        <v>324000</v>
      </c>
      <c r="I388" s="12">
        <v>0</v>
      </c>
      <c r="J388" s="13"/>
      <c r="K388" s="14">
        <v>0</v>
      </c>
      <c r="L388" s="12">
        <v>8500</v>
      </c>
      <c r="M388" s="13">
        <v>18</v>
      </c>
      <c r="N388" s="14">
        <v>153000</v>
      </c>
      <c r="O388" s="12">
        <v>9500</v>
      </c>
      <c r="P388" s="13">
        <v>18</v>
      </c>
      <c r="Q388" s="14">
        <v>171000</v>
      </c>
      <c r="R388" s="11" t="s">
        <v>2971</v>
      </c>
      <c r="S388" s="11" t="s">
        <v>2972</v>
      </c>
      <c r="T388" s="11" t="s">
        <v>2966</v>
      </c>
    </row>
    <row r="389" spans="1:20" ht="50.1" hidden="1" customHeight="1">
      <c r="A389" s="10">
        <v>388</v>
      </c>
      <c r="B389" s="11" t="s">
        <v>864</v>
      </c>
      <c r="C389" s="11" t="s">
        <v>865</v>
      </c>
      <c r="D389" s="11" t="s">
        <v>20</v>
      </c>
      <c r="E389" s="11" t="s">
        <v>8</v>
      </c>
      <c r="F389" s="12">
        <v>0</v>
      </c>
      <c r="G389" s="13"/>
      <c r="H389" s="14">
        <v>0</v>
      </c>
      <c r="I389" s="12">
        <v>10</v>
      </c>
      <c r="J389" s="13">
        <v>125</v>
      </c>
      <c r="K389" s="14">
        <v>1250</v>
      </c>
      <c r="L389" s="12">
        <v>0</v>
      </c>
      <c r="M389" s="13"/>
      <c r="N389" s="14">
        <v>0</v>
      </c>
      <c r="O389" s="12">
        <v>10</v>
      </c>
      <c r="P389" s="13">
        <v>125</v>
      </c>
      <c r="Q389" s="14">
        <v>1250</v>
      </c>
      <c r="R389" s="11" t="s">
        <v>2990</v>
      </c>
      <c r="S389" s="11" t="s">
        <v>2991</v>
      </c>
      <c r="T389" s="11" t="s">
        <v>2966</v>
      </c>
    </row>
    <row r="390" spans="1:20" ht="50.1" hidden="1" customHeight="1">
      <c r="A390" s="10">
        <v>389</v>
      </c>
      <c r="B390" s="11" t="s">
        <v>866</v>
      </c>
      <c r="C390" s="11" t="s">
        <v>867</v>
      </c>
      <c r="D390" s="11" t="s">
        <v>17</v>
      </c>
      <c r="E390" s="11" t="s">
        <v>8</v>
      </c>
      <c r="F390" s="12">
        <v>1700</v>
      </c>
      <c r="G390" s="13">
        <v>0.98636471000000003</v>
      </c>
      <c r="H390" s="14">
        <v>1676.82</v>
      </c>
      <c r="I390" s="12">
        <v>0</v>
      </c>
      <c r="J390" s="13"/>
      <c r="K390" s="14">
        <v>0</v>
      </c>
      <c r="L390" s="12">
        <v>0</v>
      </c>
      <c r="M390" s="13"/>
      <c r="N390" s="14">
        <v>0</v>
      </c>
      <c r="O390" s="12">
        <v>1700</v>
      </c>
      <c r="P390" s="13">
        <v>0.98636471000000003</v>
      </c>
      <c r="Q390" s="14">
        <v>1676.82</v>
      </c>
      <c r="R390" s="11" t="s">
        <v>2971</v>
      </c>
      <c r="S390" s="11" t="s">
        <v>2972</v>
      </c>
      <c r="T390" s="11" t="s">
        <v>2966</v>
      </c>
    </row>
    <row r="391" spans="1:20" ht="50.1" hidden="1" customHeight="1">
      <c r="A391" s="10">
        <v>390</v>
      </c>
      <c r="B391" s="11" t="s">
        <v>868</v>
      </c>
      <c r="C391" s="11" t="s">
        <v>869</v>
      </c>
      <c r="D391" s="11" t="s">
        <v>17</v>
      </c>
      <c r="E391" s="11" t="s">
        <v>8</v>
      </c>
      <c r="F391" s="12">
        <v>393</v>
      </c>
      <c r="G391" s="13">
        <v>100</v>
      </c>
      <c r="H391" s="14">
        <v>39300</v>
      </c>
      <c r="I391" s="12">
        <v>0</v>
      </c>
      <c r="J391" s="13"/>
      <c r="K391" s="14">
        <v>0</v>
      </c>
      <c r="L391" s="12">
        <v>210</v>
      </c>
      <c r="M391" s="13">
        <v>100</v>
      </c>
      <c r="N391" s="14">
        <v>21000</v>
      </c>
      <c r="O391" s="12">
        <v>183</v>
      </c>
      <c r="P391" s="13">
        <v>100</v>
      </c>
      <c r="Q391" s="14">
        <v>18300</v>
      </c>
      <c r="R391" s="11" t="s">
        <v>2990</v>
      </c>
      <c r="S391" s="11" t="s">
        <v>2991</v>
      </c>
      <c r="T391" s="11" t="s">
        <v>2966</v>
      </c>
    </row>
    <row r="392" spans="1:20" ht="50.1" hidden="1" customHeight="1">
      <c r="A392" s="10">
        <v>391</v>
      </c>
      <c r="B392" s="11" t="s">
        <v>870</v>
      </c>
      <c r="C392" s="11" t="s">
        <v>871</v>
      </c>
      <c r="D392" s="11" t="s">
        <v>17</v>
      </c>
      <c r="E392" s="11" t="s">
        <v>8</v>
      </c>
      <c r="F392" s="12">
        <v>150</v>
      </c>
      <c r="G392" s="13">
        <v>19</v>
      </c>
      <c r="H392" s="14">
        <v>2850</v>
      </c>
      <c r="I392" s="12">
        <v>450</v>
      </c>
      <c r="J392" s="13">
        <v>19</v>
      </c>
      <c r="K392" s="14">
        <v>8550</v>
      </c>
      <c r="L392" s="12">
        <v>0</v>
      </c>
      <c r="M392" s="13"/>
      <c r="N392" s="14">
        <v>0</v>
      </c>
      <c r="O392" s="12">
        <v>600</v>
      </c>
      <c r="P392" s="13">
        <v>19</v>
      </c>
      <c r="Q392" s="14">
        <v>11400</v>
      </c>
      <c r="R392" s="11" t="s">
        <v>2973</v>
      </c>
      <c r="S392" s="11" t="s">
        <v>2974</v>
      </c>
      <c r="T392" s="11" t="s">
        <v>2966</v>
      </c>
    </row>
    <row r="393" spans="1:20" ht="50.1" hidden="1" customHeight="1">
      <c r="A393" s="10">
        <v>392</v>
      </c>
      <c r="B393" s="11" t="s">
        <v>872</v>
      </c>
      <c r="C393" s="11" t="s">
        <v>873</v>
      </c>
      <c r="D393" s="11" t="s">
        <v>17</v>
      </c>
      <c r="E393" s="11" t="s">
        <v>8</v>
      </c>
      <c r="F393" s="12">
        <v>950</v>
      </c>
      <c r="G393" s="13">
        <v>105</v>
      </c>
      <c r="H393" s="14">
        <v>99750</v>
      </c>
      <c r="I393" s="12">
        <v>534</v>
      </c>
      <c r="J393" s="13">
        <v>105</v>
      </c>
      <c r="K393" s="14">
        <v>56070</v>
      </c>
      <c r="L393" s="12">
        <v>300</v>
      </c>
      <c r="M393" s="13">
        <v>105</v>
      </c>
      <c r="N393" s="14">
        <v>31500</v>
      </c>
      <c r="O393" s="12">
        <v>1184</v>
      </c>
      <c r="P393" s="13">
        <v>105</v>
      </c>
      <c r="Q393" s="14">
        <v>124320</v>
      </c>
      <c r="R393" s="11" t="s">
        <v>3007</v>
      </c>
      <c r="S393" s="11" t="s">
        <v>3008</v>
      </c>
      <c r="T393" s="11" t="s">
        <v>2966</v>
      </c>
    </row>
    <row r="394" spans="1:20" ht="50.1" hidden="1" customHeight="1">
      <c r="A394" s="10">
        <v>393</v>
      </c>
      <c r="B394" s="11" t="s">
        <v>874</v>
      </c>
      <c r="C394" s="11" t="s">
        <v>875</v>
      </c>
      <c r="D394" s="11" t="s">
        <v>17</v>
      </c>
      <c r="E394" s="11" t="s">
        <v>8</v>
      </c>
      <c r="F394" s="12">
        <v>23000</v>
      </c>
      <c r="G394" s="13">
        <v>0.12908696</v>
      </c>
      <c r="H394" s="14">
        <v>2969</v>
      </c>
      <c r="I394" s="12">
        <v>12000</v>
      </c>
      <c r="J394" s="13">
        <v>0.12</v>
      </c>
      <c r="K394" s="14">
        <v>1440</v>
      </c>
      <c r="L394" s="12">
        <v>3000</v>
      </c>
      <c r="M394" s="13">
        <v>0.126</v>
      </c>
      <c r="N394" s="14">
        <v>378</v>
      </c>
      <c r="O394" s="12">
        <v>32000</v>
      </c>
      <c r="P394" s="13">
        <v>0.12596874999999999</v>
      </c>
      <c r="Q394" s="14">
        <v>4031</v>
      </c>
      <c r="R394" s="11" t="s">
        <v>2971</v>
      </c>
      <c r="S394" s="11" t="s">
        <v>2972</v>
      </c>
      <c r="T394" s="11" t="s">
        <v>2966</v>
      </c>
    </row>
    <row r="395" spans="1:20" ht="50.1" hidden="1" customHeight="1">
      <c r="A395" s="10">
        <v>394</v>
      </c>
      <c r="B395" s="11" t="s">
        <v>876</v>
      </c>
      <c r="C395" s="11" t="s">
        <v>877</v>
      </c>
      <c r="D395" s="11" t="s">
        <v>17</v>
      </c>
      <c r="E395" s="11" t="s">
        <v>8</v>
      </c>
      <c r="F395" s="12">
        <v>50</v>
      </c>
      <c r="G395" s="13">
        <v>594</v>
      </c>
      <c r="H395" s="14">
        <v>29700</v>
      </c>
      <c r="I395" s="12">
        <v>10</v>
      </c>
      <c r="J395" s="13">
        <v>378</v>
      </c>
      <c r="K395" s="14">
        <v>3780</v>
      </c>
      <c r="L395" s="12">
        <v>20</v>
      </c>
      <c r="M395" s="13">
        <v>558</v>
      </c>
      <c r="N395" s="14">
        <v>11160</v>
      </c>
      <c r="O395" s="12">
        <v>40</v>
      </c>
      <c r="P395" s="13">
        <v>558</v>
      </c>
      <c r="Q395" s="14">
        <v>22320</v>
      </c>
      <c r="R395" s="11" t="s">
        <v>2971</v>
      </c>
      <c r="S395" s="11" t="s">
        <v>2972</v>
      </c>
      <c r="T395" s="11" t="s">
        <v>2966</v>
      </c>
    </row>
    <row r="396" spans="1:20" ht="50.1" hidden="1" customHeight="1">
      <c r="A396" s="10">
        <v>395</v>
      </c>
      <c r="B396" s="11" t="s">
        <v>878</v>
      </c>
      <c r="C396" s="11" t="s">
        <v>879</v>
      </c>
      <c r="D396" s="11" t="s">
        <v>17</v>
      </c>
      <c r="E396" s="11" t="s">
        <v>8</v>
      </c>
      <c r="F396" s="12">
        <v>34</v>
      </c>
      <c r="G396" s="13">
        <v>324</v>
      </c>
      <c r="H396" s="14">
        <v>11016</v>
      </c>
      <c r="I396" s="12">
        <v>0</v>
      </c>
      <c r="J396" s="13"/>
      <c r="K396" s="14">
        <v>0</v>
      </c>
      <c r="L396" s="12">
        <v>0</v>
      </c>
      <c r="M396" s="13"/>
      <c r="N396" s="14">
        <v>0</v>
      </c>
      <c r="O396" s="12">
        <v>34</v>
      </c>
      <c r="P396" s="13">
        <v>324</v>
      </c>
      <c r="Q396" s="14">
        <v>11016</v>
      </c>
      <c r="R396" s="11" t="s">
        <v>3005</v>
      </c>
      <c r="S396" s="11" t="s">
        <v>3006</v>
      </c>
      <c r="T396" s="11" t="s">
        <v>2966</v>
      </c>
    </row>
    <row r="397" spans="1:20" ht="50.1" hidden="1" customHeight="1">
      <c r="A397" s="10">
        <v>396</v>
      </c>
      <c r="B397" s="11" t="s">
        <v>884</v>
      </c>
      <c r="C397" s="11" t="s">
        <v>885</v>
      </c>
      <c r="D397" s="11" t="s">
        <v>17</v>
      </c>
      <c r="E397" s="11" t="s">
        <v>8</v>
      </c>
      <c r="F397" s="12">
        <v>4650</v>
      </c>
      <c r="G397" s="13">
        <v>7</v>
      </c>
      <c r="H397" s="14">
        <v>32550</v>
      </c>
      <c r="I397" s="12">
        <v>0</v>
      </c>
      <c r="J397" s="13"/>
      <c r="K397" s="14">
        <v>0</v>
      </c>
      <c r="L397" s="12">
        <v>0</v>
      </c>
      <c r="M397" s="13"/>
      <c r="N397" s="14">
        <v>0</v>
      </c>
      <c r="O397" s="12">
        <v>4650</v>
      </c>
      <c r="P397" s="13">
        <v>7</v>
      </c>
      <c r="Q397" s="14">
        <v>32550</v>
      </c>
      <c r="R397" s="11" t="s">
        <v>2962</v>
      </c>
      <c r="S397" s="11" t="s">
        <v>2963</v>
      </c>
      <c r="T397" s="11" t="s">
        <v>2966</v>
      </c>
    </row>
    <row r="398" spans="1:20" ht="50.1" hidden="1" customHeight="1">
      <c r="A398" s="10">
        <v>397</v>
      </c>
      <c r="B398" s="11" t="s">
        <v>888</v>
      </c>
      <c r="C398" s="11" t="s">
        <v>889</v>
      </c>
      <c r="D398" s="11" t="s">
        <v>7</v>
      </c>
      <c r="E398" s="11" t="s">
        <v>8</v>
      </c>
      <c r="F398" s="12">
        <v>3780</v>
      </c>
      <c r="G398" s="13">
        <v>5.5</v>
      </c>
      <c r="H398" s="14">
        <v>20790</v>
      </c>
      <c r="I398" s="12">
        <v>360</v>
      </c>
      <c r="J398" s="13">
        <v>5.5</v>
      </c>
      <c r="K398" s="14">
        <v>1980</v>
      </c>
      <c r="L398" s="12">
        <v>3980</v>
      </c>
      <c r="M398" s="13">
        <v>5.5</v>
      </c>
      <c r="N398" s="14">
        <v>21890</v>
      </c>
      <c r="O398" s="12">
        <v>160</v>
      </c>
      <c r="P398" s="13">
        <v>5.5</v>
      </c>
      <c r="Q398" s="14">
        <v>880</v>
      </c>
      <c r="R398" s="11" t="s">
        <v>2971</v>
      </c>
      <c r="S398" s="11" t="s">
        <v>2972</v>
      </c>
      <c r="T398" s="11" t="s">
        <v>2966</v>
      </c>
    </row>
    <row r="399" spans="1:20" ht="50.1" hidden="1" customHeight="1">
      <c r="A399" s="10">
        <v>398</v>
      </c>
      <c r="B399" s="11" t="s">
        <v>890</v>
      </c>
      <c r="C399" s="11" t="s">
        <v>891</v>
      </c>
      <c r="D399" s="11" t="s">
        <v>17</v>
      </c>
      <c r="E399" s="11" t="s">
        <v>8</v>
      </c>
      <c r="F399" s="12">
        <v>186</v>
      </c>
      <c r="G399" s="13">
        <v>93.334569889999997</v>
      </c>
      <c r="H399" s="14">
        <v>17360.23</v>
      </c>
      <c r="I399" s="12">
        <v>0</v>
      </c>
      <c r="J399" s="13"/>
      <c r="K399" s="14">
        <v>0</v>
      </c>
      <c r="L399" s="12">
        <v>0</v>
      </c>
      <c r="M399" s="13"/>
      <c r="N399" s="14">
        <v>0</v>
      </c>
      <c r="O399" s="12">
        <v>186</v>
      </c>
      <c r="P399" s="13">
        <v>93.334569889999997</v>
      </c>
      <c r="Q399" s="14">
        <v>17360.23</v>
      </c>
      <c r="R399" s="11" t="s">
        <v>2971</v>
      </c>
      <c r="S399" s="11" t="s">
        <v>2972</v>
      </c>
      <c r="T399" s="11" t="s">
        <v>2961</v>
      </c>
    </row>
    <row r="400" spans="1:20" ht="50.1" hidden="1" customHeight="1">
      <c r="A400" s="10">
        <v>399</v>
      </c>
      <c r="B400" s="11" t="s">
        <v>892</v>
      </c>
      <c r="C400" s="11" t="s">
        <v>893</v>
      </c>
      <c r="D400" s="11" t="s">
        <v>17</v>
      </c>
      <c r="E400" s="11" t="s">
        <v>8</v>
      </c>
      <c r="F400" s="12">
        <v>300</v>
      </c>
      <c r="G400" s="13">
        <v>77</v>
      </c>
      <c r="H400" s="14">
        <v>23100</v>
      </c>
      <c r="I400" s="12">
        <v>0</v>
      </c>
      <c r="J400" s="13"/>
      <c r="K400" s="14">
        <v>0</v>
      </c>
      <c r="L400" s="12">
        <v>0</v>
      </c>
      <c r="M400" s="13"/>
      <c r="N400" s="14">
        <v>0</v>
      </c>
      <c r="O400" s="12">
        <v>300</v>
      </c>
      <c r="P400" s="13">
        <v>77</v>
      </c>
      <c r="Q400" s="14">
        <v>23100</v>
      </c>
      <c r="R400" s="11" t="s">
        <v>2971</v>
      </c>
      <c r="S400" s="11" t="s">
        <v>2972</v>
      </c>
      <c r="T400" s="11" t="s">
        <v>2961</v>
      </c>
    </row>
    <row r="401" spans="1:20" ht="50.1" hidden="1" customHeight="1">
      <c r="A401" s="10">
        <v>400</v>
      </c>
      <c r="B401" s="11" t="s">
        <v>894</v>
      </c>
      <c r="C401" s="11" t="s">
        <v>895</v>
      </c>
      <c r="D401" s="11" t="s">
        <v>17</v>
      </c>
      <c r="E401" s="11" t="s">
        <v>8</v>
      </c>
      <c r="F401" s="12">
        <v>500</v>
      </c>
      <c r="G401" s="13">
        <v>3.5</v>
      </c>
      <c r="H401" s="14">
        <v>1750</v>
      </c>
      <c r="I401" s="12">
        <v>0</v>
      </c>
      <c r="J401" s="13"/>
      <c r="K401" s="14">
        <v>0</v>
      </c>
      <c r="L401" s="12">
        <v>0</v>
      </c>
      <c r="M401" s="13"/>
      <c r="N401" s="14">
        <v>0</v>
      </c>
      <c r="O401" s="12">
        <v>500</v>
      </c>
      <c r="P401" s="13">
        <v>3.5</v>
      </c>
      <c r="Q401" s="14">
        <v>1750</v>
      </c>
      <c r="R401" s="11" t="s">
        <v>2971</v>
      </c>
      <c r="S401" s="11" t="s">
        <v>2972</v>
      </c>
      <c r="T401" s="11" t="s">
        <v>2961</v>
      </c>
    </row>
    <row r="402" spans="1:20" ht="50.1" hidden="1" customHeight="1">
      <c r="A402" s="10">
        <v>401</v>
      </c>
      <c r="B402" s="11" t="s">
        <v>898</v>
      </c>
      <c r="C402" s="11" t="s">
        <v>899</v>
      </c>
      <c r="D402" s="11" t="s">
        <v>17</v>
      </c>
      <c r="E402" s="11" t="s">
        <v>8</v>
      </c>
      <c r="F402" s="12">
        <v>1200</v>
      </c>
      <c r="G402" s="13">
        <v>10</v>
      </c>
      <c r="H402" s="14">
        <v>12000</v>
      </c>
      <c r="I402" s="12">
        <v>0</v>
      </c>
      <c r="J402" s="13"/>
      <c r="K402" s="14">
        <v>0</v>
      </c>
      <c r="L402" s="12">
        <v>800</v>
      </c>
      <c r="M402" s="13">
        <v>10</v>
      </c>
      <c r="N402" s="14">
        <v>8000</v>
      </c>
      <c r="O402" s="12">
        <v>400</v>
      </c>
      <c r="P402" s="13">
        <v>10</v>
      </c>
      <c r="Q402" s="14">
        <v>4000</v>
      </c>
      <c r="R402" s="11" t="s">
        <v>2990</v>
      </c>
      <c r="S402" s="11" t="s">
        <v>2991</v>
      </c>
      <c r="T402" s="11" t="s">
        <v>2966</v>
      </c>
    </row>
    <row r="403" spans="1:20" ht="50.1" hidden="1" customHeight="1">
      <c r="A403" s="10">
        <v>402</v>
      </c>
      <c r="B403" s="11" t="s">
        <v>900</v>
      </c>
      <c r="C403" s="11" t="s">
        <v>901</v>
      </c>
      <c r="D403" s="11" t="s">
        <v>20</v>
      </c>
      <c r="E403" s="11" t="s">
        <v>8</v>
      </c>
      <c r="F403" s="12">
        <v>7.95</v>
      </c>
      <c r="G403" s="13">
        <v>235</v>
      </c>
      <c r="H403" s="14">
        <v>1868.25</v>
      </c>
      <c r="I403" s="12">
        <v>9</v>
      </c>
      <c r="J403" s="13">
        <v>235</v>
      </c>
      <c r="K403" s="14">
        <v>2115</v>
      </c>
      <c r="L403" s="12">
        <v>0</v>
      </c>
      <c r="M403" s="13"/>
      <c r="N403" s="14">
        <v>0</v>
      </c>
      <c r="O403" s="12">
        <v>16.95</v>
      </c>
      <c r="P403" s="13">
        <v>235</v>
      </c>
      <c r="Q403" s="14">
        <v>3983.25</v>
      </c>
      <c r="R403" s="11" t="s">
        <v>2971</v>
      </c>
      <c r="S403" s="11" t="s">
        <v>2972</v>
      </c>
      <c r="T403" s="11" t="s">
        <v>2961</v>
      </c>
    </row>
    <row r="404" spans="1:20" ht="50.1" hidden="1" customHeight="1">
      <c r="A404" s="10">
        <v>403</v>
      </c>
      <c r="B404" s="11" t="s">
        <v>902</v>
      </c>
      <c r="C404" s="11" t="s">
        <v>903</v>
      </c>
      <c r="D404" s="11" t="s">
        <v>17</v>
      </c>
      <c r="E404" s="11" t="s">
        <v>8</v>
      </c>
      <c r="F404" s="12">
        <v>500</v>
      </c>
      <c r="G404" s="13">
        <v>12</v>
      </c>
      <c r="H404" s="14">
        <v>6000</v>
      </c>
      <c r="I404" s="12">
        <v>0</v>
      </c>
      <c r="J404" s="13"/>
      <c r="K404" s="14">
        <v>0</v>
      </c>
      <c r="L404" s="12">
        <v>0</v>
      </c>
      <c r="M404" s="13"/>
      <c r="N404" s="14">
        <v>0</v>
      </c>
      <c r="O404" s="12">
        <v>500</v>
      </c>
      <c r="P404" s="13">
        <v>12</v>
      </c>
      <c r="Q404" s="14">
        <v>6000</v>
      </c>
      <c r="R404" s="11" t="s">
        <v>2990</v>
      </c>
      <c r="S404" s="11" t="s">
        <v>2991</v>
      </c>
      <c r="T404" s="11" t="s">
        <v>2966</v>
      </c>
    </row>
    <row r="405" spans="1:20" ht="50.1" hidden="1" customHeight="1">
      <c r="A405" s="10">
        <v>404</v>
      </c>
      <c r="B405" s="11" t="s">
        <v>3302</v>
      </c>
      <c r="C405" s="11" t="s">
        <v>3303</v>
      </c>
      <c r="D405" s="11" t="s">
        <v>7</v>
      </c>
      <c r="E405" s="11" t="s">
        <v>8</v>
      </c>
      <c r="F405" s="12">
        <v>600</v>
      </c>
      <c r="G405" s="13">
        <v>9.1999999999999993</v>
      </c>
      <c r="H405" s="14">
        <v>5520</v>
      </c>
      <c r="I405" s="12">
        <v>0</v>
      </c>
      <c r="J405" s="13"/>
      <c r="K405" s="14">
        <v>0</v>
      </c>
      <c r="L405" s="12">
        <v>300</v>
      </c>
      <c r="M405" s="13">
        <v>9.1999999999999993</v>
      </c>
      <c r="N405" s="14">
        <v>2760</v>
      </c>
      <c r="O405" s="12">
        <v>300</v>
      </c>
      <c r="P405" s="13">
        <v>9.1999999999999993</v>
      </c>
      <c r="Q405" s="14">
        <v>2760</v>
      </c>
      <c r="R405" s="11" t="s">
        <v>2990</v>
      </c>
      <c r="S405" s="11" t="s">
        <v>2991</v>
      </c>
      <c r="T405" s="11" t="s">
        <v>2966</v>
      </c>
    </row>
    <row r="406" spans="1:20" ht="50.1" hidden="1" customHeight="1">
      <c r="A406" s="10">
        <v>405</v>
      </c>
      <c r="B406" s="11" t="s">
        <v>904</v>
      </c>
      <c r="C406" s="11" t="s">
        <v>905</v>
      </c>
      <c r="D406" s="11" t="s">
        <v>17</v>
      </c>
      <c r="E406" s="11" t="s">
        <v>8</v>
      </c>
      <c r="F406" s="12">
        <v>4000</v>
      </c>
      <c r="G406" s="13">
        <v>4.4800000000000004</v>
      </c>
      <c r="H406" s="14">
        <v>17920</v>
      </c>
      <c r="I406" s="12">
        <v>3000</v>
      </c>
      <c r="J406" s="13">
        <v>4.4800000000000004</v>
      </c>
      <c r="K406" s="14">
        <v>13440</v>
      </c>
      <c r="L406" s="12">
        <v>2500</v>
      </c>
      <c r="M406" s="13">
        <v>4.4800000000000004</v>
      </c>
      <c r="N406" s="14">
        <v>11200</v>
      </c>
      <c r="O406" s="12">
        <v>4500</v>
      </c>
      <c r="P406" s="13">
        <v>4.4800000000000004</v>
      </c>
      <c r="Q406" s="14">
        <v>20160</v>
      </c>
      <c r="R406" s="11" t="s">
        <v>2973</v>
      </c>
      <c r="S406" s="11" t="s">
        <v>2974</v>
      </c>
      <c r="T406" s="11" t="s">
        <v>2966</v>
      </c>
    </row>
    <row r="407" spans="1:20" ht="50.1" hidden="1" customHeight="1">
      <c r="A407" s="10">
        <v>406</v>
      </c>
      <c r="B407" s="11" t="s">
        <v>3610</v>
      </c>
      <c r="C407" s="11" t="s">
        <v>3611</v>
      </c>
      <c r="D407" s="11" t="s">
        <v>17</v>
      </c>
      <c r="E407" s="11" t="s">
        <v>8</v>
      </c>
      <c r="F407" s="12">
        <v>0</v>
      </c>
      <c r="G407" s="13"/>
      <c r="H407" s="14">
        <v>0</v>
      </c>
      <c r="I407" s="12">
        <v>100</v>
      </c>
      <c r="J407" s="13">
        <v>0.61</v>
      </c>
      <c r="K407" s="14">
        <v>61</v>
      </c>
      <c r="L407" s="12">
        <v>100</v>
      </c>
      <c r="M407" s="13">
        <v>0.61</v>
      </c>
      <c r="N407" s="14">
        <v>61</v>
      </c>
      <c r="O407" s="12">
        <v>0</v>
      </c>
      <c r="P407" s="13"/>
      <c r="Q407" s="14">
        <v>0</v>
      </c>
      <c r="R407" s="11" t="s">
        <v>2990</v>
      </c>
      <c r="S407" s="11" t="s">
        <v>2991</v>
      </c>
      <c r="T407" s="11" t="s">
        <v>2961</v>
      </c>
    </row>
    <row r="408" spans="1:20" ht="50.1" hidden="1" customHeight="1">
      <c r="A408" s="10">
        <v>407</v>
      </c>
      <c r="B408" s="11" t="s">
        <v>906</v>
      </c>
      <c r="C408" s="11" t="s">
        <v>907</v>
      </c>
      <c r="D408" s="11" t="s">
        <v>17</v>
      </c>
      <c r="E408" s="11" t="s">
        <v>8</v>
      </c>
      <c r="F408" s="12">
        <v>70</v>
      </c>
      <c r="G408" s="13">
        <v>168</v>
      </c>
      <c r="H408" s="14">
        <v>11760</v>
      </c>
      <c r="I408" s="12">
        <v>0</v>
      </c>
      <c r="J408" s="13"/>
      <c r="K408" s="14">
        <v>0</v>
      </c>
      <c r="L408" s="12">
        <v>0</v>
      </c>
      <c r="M408" s="13"/>
      <c r="N408" s="14">
        <v>0</v>
      </c>
      <c r="O408" s="12">
        <v>70</v>
      </c>
      <c r="P408" s="13">
        <v>168</v>
      </c>
      <c r="Q408" s="14">
        <v>11760</v>
      </c>
      <c r="R408" s="11" t="s">
        <v>2971</v>
      </c>
      <c r="S408" s="11" t="s">
        <v>2972</v>
      </c>
      <c r="T408" s="11" t="s">
        <v>2966</v>
      </c>
    </row>
    <row r="409" spans="1:20" ht="50.1" hidden="1" customHeight="1">
      <c r="A409" s="10">
        <v>408</v>
      </c>
      <c r="B409" s="11" t="s">
        <v>908</v>
      </c>
      <c r="C409" s="11" t="s">
        <v>909</v>
      </c>
      <c r="D409" s="11" t="s">
        <v>17</v>
      </c>
      <c r="E409" s="11" t="s">
        <v>8</v>
      </c>
      <c r="F409" s="12">
        <v>127</v>
      </c>
      <c r="G409" s="13">
        <v>22.5</v>
      </c>
      <c r="H409" s="14">
        <v>2857.5</v>
      </c>
      <c r="I409" s="12">
        <v>0</v>
      </c>
      <c r="J409" s="13"/>
      <c r="K409" s="14">
        <v>0</v>
      </c>
      <c r="L409" s="12">
        <v>0</v>
      </c>
      <c r="M409" s="13"/>
      <c r="N409" s="14">
        <v>0</v>
      </c>
      <c r="O409" s="12">
        <v>127</v>
      </c>
      <c r="P409" s="13">
        <v>22.5</v>
      </c>
      <c r="Q409" s="14">
        <v>2857.5</v>
      </c>
      <c r="R409" s="11" t="s">
        <v>2971</v>
      </c>
      <c r="S409" s="11" t="s">
        <v>2972</v>
      </c>
      <c r="T409" s="11" t="s">
        <v>2966</v>
      </c>
    </row>
    <row r="410" spans="1:20" ht="50.1" hidden="1" customHeight="1">
      <c r="A410" s="10">
        <v>409</v>
      </c>
      <c r="B410" s="11" t="s">
        <v>910</v>
      </c>
      <c r="C410" s="11" t="s">
        <v>911</v>
      </c>
      <c r="D410" s="11" t="s">
        <v>17</v>
      </c>
      <c r="E410" s="11" t="s">
        <v>8</v>
      </c>
      <c r="F410" s="12">
        <v>100</v>
      </c>
      <c r="G410" s="13">
        <v>44.352600000000002</v>
      </c>
      <c r="H410" s="14">
        <v>4435.26</v>
      </c>
      <c r="I410" s="12">
        <v>0</v>
      </c>
      <c r="J410" s="13"/>
      <c r="K410" s="14">
        <v>0</v>
      </c>
      <c r="L410" s="12">
        <v>0</v>
      </c>
      <c r="M410" s="13"/>
      <c r="N410" s="14">
        <v>0</v>
      </c>
      <c r="O410" s="12">
        <v>100</v>
      </c>
      <c r="P410" s="13">
        <v>44.352600000000002</v>
      </c>
      <c r="Q410" s="14">
        <v>4435.26</v>
      </c>
      <c r="R410" s="11" t="s">
        <v>2990</v>
      </c>
      <c r="S410" s="11" t="s">
        <v>2991</v>
      </c>
      <c r="T410" s="11" t="s">
        <v>2966</v>
      </c>
    </row>
    <row r="411" spans="1:20" ht="50.1" hidden="1" customHeight="1">
      <c r="A411" s="10">
        <v>410</v>
      </c>
      <c r="B411" s="11" t="s">
        <v>3292</v>
      </c>
      <c r="C411" s="11" t="s">
        <v>3293</v>
      </c>
      <c r="D411" s="11" t="s">
        <v>20</v>
      </c>
      <c r="E411" s="11" t="s">
        <v>8</v>
      </c>
      <c r="F411" s="12">
        <v>586.1</v>
      </c>
      <c r="G411" s="13">
        <v>230</v>
      </c>
      <c r="H411" s="14">
        <v>134803</v>
      </c>
      <c r="I411" s="12">
        <v>837.1</v>
      </c>
      <c r="J411" s="13">
        <v>230</v>
      </c>
      <c r="K411" s="14">
        <v>192533</v>
      </c>
      <c r="L411" s="12">
        <v>405.3</v>
      </c>
      <c r="M411" s="13">
        <v>230</v>
      </c>
      <c r="N411" s="14">
        <v>93219</v>
      </c>
      <c r="O411" s="12">
        <v>1017.9</v>
      </c>
      <c r="P411" s="13">
        <v>230</v>
      </c>
      <c r="Q411" s="14">
        <v>234117</v>
      </c>
      <c r="R411" s="11" t="s">
        <v>2971</v>
      </c>
      <c r="S411" s="11" t="s">
        <v>2972</v>
      </c>
      <c r="T411" s="11" t="s">
        <v>2961</v>
      </c>
    </row>
    <row r="412" spans="1:20" ht="50.1" hidden="1" customHeight="1">
      <c r="A412" s="10">
        <v>411</v>
      </c>
      <c r="B412" s="11" t="s">
        <v>912</v>
      </c>
      <c r="C412" s="11" t="s">
        <v>913</v>
      </c>
      <c r="D412" s="11" t="s">
        <v>20</v>
      </c>
      <c r="E412" s="11" t="s">
        <v>8</v>
      </c>
      <c r="F412" s="12">
        <v>52</v>
      </c>
      <c r="G412" s="13">
        <v>286.26673076999998</v>
      </c>
      <c r="H412" s="14">
        <v>14885.87</v>
      </c>
      <c r="I412" s="12">
        <v>0</v>
      </c>
      <c r="J412" s="13"/>
      <c r="K412" s="14">
        <v>0</v>
      </c>
      <c r="L412" s="12">
        <v>0</v>
      </c>
      <c r="M412" s="13"/>
      <c r="N412" s="14">
        <v>0</v>
      </c>
      <c r="O412" s="12">
        <v>52</v>
      </c>
      <c r="P412" s="13">
        <v>286.26673076999998</v>
      </c>
      <c r="Q412" s="14">
        <v>14885.87</v>
      </c>
      <c r="R412" s="11" t="s">
        <v>2971</v>
      </c>
      <c r="S412" s="11" t="s">
        <v>2972</v>
      </c>
      <c r="T412" s="11" t="s">
        <v>2966</v>
      </c>
    </row>
    <row r="413" spans="1:20" ht="50.1" hidden="1" customHeight="1">
      <c r="A413" s="10">
        <v>412</v>
      </c>
      <c r="B413" s="11" t="s">
        <v>914</v>
      </c>
      <c r="C413" s="11" t="s">
        <v>915</v>
      </c>
      <c r="D413" s="11" t="s">
        <v>20</v>
      </c>
      <c r="E413" s="11" t="s">
        <v>8</v>
      </c>
      <c r="F413" s="12">
        <v>328.3</v>
      </c>
      <c r="G413" s="13">
        <v>300</v>
      </c>
      <c r="H413" s="14">
        <v>98490</v>
      </c>
      <c r="I413" s="12">
        <v>0</v>
      </c>
      <c r="J413" s="13"/>
      <c r="K413" s="14">
        <v>0</v>
      </c>
      <c r="L413" s="12">
        <v>47</v>
      </c>
      <c r="M413" s="13">
        <v>300</v>
      </c>
      <c r="N413" s="14">
        <v>14100</v>
      </c>
      <c r="O413" s="12">
        <v>281.3</v>
      </c>
      <c r="P413" s="13">
        <v>300</v>
      </c>
      <c r="Q413" s="14">
        <v>84390</v>
      </c>
      <c r="R413" s="11" t="s">
        <v>2971</v>
      </c>
      <c r="S413" s="11" t="s">
        <v>2972</v>
      </c>
      <c r="T413" s="11" t="s">
        <v>2966</v>
      </c>
    </row>
    <row r="414" spans="1:20" ht="50.1" hidden="1" customHeight="1">
      <c r="A414" s="10">
        <v>413</v>
      </c>
      <c r="B414" s="11" t="s">
        <v>918</v>
      </c>
      <c r="C414" s="11" t="s">
        <v>919</v>
      </c>
      <c r="D414" s="11" t="s">
        <v>20</v>
      </c>
      <c r="E414" s="11" t="s">
        <v>8</v>
      </c>
      <c r="F414" s="12">
        <v>610.85</v>
      </c>
      <c r="G414" s="13">
        <v>230.1380699</v>
      </c>
      <c r="H414" s="14">
        <v>140579.84</v>
      </c>
      <c r="I414" s="12">
        <v>1319.5</v>
      </c>
      <c r="J414" s="13">
        <v>230</v>
      </c>
      <c r="K414" s="14">
        <v>303485</v>
      </c>
      <c r="L414" s="12">
        <v>822.65</v>
      </c>
      <c r="M414" s="13">
        <v>230.06931259000001</v>
      </c>
      <c r="N414" s="14">
        <v>189266.52</v>
      </c>
      <c r="O414" s="12">
        <v>1107.7</v>
      </c>
      <c r="P414" s="13">
        <v>230.02466372000001</v>
      </c>
      <c r="Q414" s="14">
        <v>254798.32</v>
      </c>
      <c r="R414" s="11" t="s">
        <v>2971</v>
      </c>
      <c r="S414" s="11" t="s">
        <v>2972</v>
      </c>
      <c r="T414" s="11" t="s">
        <v>2966</v>
      </c>
    </row>
    <row r="415" spans="1:20" ht="50.1" hidden="1" customHeight="1">
      <c r="A415" s="10">
        <v>414</v>
      </c>
      <c r="B415" s="11" t="s">
        <v>920</v>
      </c>
      <c r="C415" s="11" t="s">
        <v>921</v>
      </c>
      <c r="D415" s="11" t="s">
        <v>20</v>
      </c>
      <c r="E415" s="11" t="s">
        <v>8</v>
      </c>
      <c r="F415" s="12">
        <v>54</v>
      </c>
      <c r="G415" s="13">
        <v>266.95481296000003</v>
      </c>
      <c r="H415" s="14">
        <v>14415.5599</v>
      </c>
      <c r="I415" s="12">
        <v>0</v>
      </c>
      <c r="J415" s="13"/>
      <c r="K415" s="14">
        <v>0</v>
      </c>
      <c r="L415" s="12">
        <v>0</v>
      </c>
      <c r="M415" s="13"/>
      <c r="N415" s="14">
        <v>0</v>
      </c>
      <c r="O415" s="12">
        <v>54</v>
      </c>
      <c r="P415" s="13">
        <v>266.95481296000003</v>
      </c>
      <c r="Q415" s="14">
        <v>14415.5599</v>
      </c>
      <c r="R415" s="11" t="s">
        <v>2971</v>
      </c>
      <c r="S415" s="11" t="s">
        <v>2972</v>
      </c>
      <c r="T415" s="11" t="s">
        <v>2961</v>
      </c>
    </row>
    <row r="416" spans="1:20" ht="50.1" hidden="1" customHeight="1">
      <c r="A416" s="10">
        <v>415</v>
      </c>
      <c r="B416" s="11" t="s">
        <v>922</v>
      </c>
      <c r="C416" s="11" t="s">
        <v>923</v>
      </c>
      <c r="D416" s="11" t="s">
        <v>20</v>
      </c>
      <c r="E416" s="11" t="s">
        <v>8</v>
      </c>
      <c r="F416" s="12">
        <v>265.60000000000002</v>
      </c>
      <c r="G416" s="13">
        <v>300</v>
      </c>
      <c r="H416" s="14">
        <v>79680</v>
      </c>
      <c r="I416" s="12">
        <v>0</v>
      </c>
      <c r="J416" s="13"/>
      <c r="K416" s="14">
        <v>0</v>
      </c>
      <c r="L416" s="12">
        <v>0</v>
      </c>
      <c r="M416" s="13"/>
      <c r="N416" s="14">
        <v>0</v>
      </c>
      <c r="O416" s="12">
        <v>265.60000000000002</v>
      </c>
      <c r="P416" s="13">
        <v>300</v>
      </c>
      <c r="Q416" s="14">
        <v>79680</v>
      </c>
      <c r="R416" s="11" t="s">
        <v>2971</v>
      </c>
      <c r="S416" s="11" t="s">
        <v>2972</v>
      </c>
      <c r="T416" s="11" t="s">
        <v>2966</v>
      </c>
    </row>
    <row r="417" spans="1:20" ht="50.1" hidden="1" customHeight="1">
      <c r="A417" s="10">
        <v>416</v>
      </c>
      <c r="B417" s="11" t="s">
        <v>924</v>
      </c>
      <c r="C417" s="11" t="s">
        <v>925</v>
      </c>
      <c r="D417" s="11" t="s">
        <v>20</v>
      </c>
      <c r="E417" s="11" t="s">
        <v>8</v>
      </c>
      <c r="F417" s="12">
        <v>308.3</v>
      </c>
      <c r="G417" s="13">
        <v>283.94305319</v>
      </c>
      <c r="H417" s="14">
        <v>87539.643299999996</v>
      </c>
      <c r="I417" s="12">
        <v>0</v>
      </c>
      <c r="J417" s="13"/>
      <c r="K417" s="14">
        <v>0</v>
      </c>
      <c r="L417" s="12">
        <v>0</v>
      </c>
      <c r="M417" s="13"/>
      <c r="N417" s="14">
        <v>0</v>
      </c>
      <c r="O417" s="12">
        <v>308.3</v>
      </c>
      <c r="P417" s="13">
        <v>283.94305319</v>
      </c>
      <c r="Q417" s="14">
        <v>87539.643299999996</v>
      </c>
      <c r="R417" s="11" t="s">
        <v>2971</v>
      </c>
      <c r="S417" s="11" t="s">
        <v>2972</v>
      </c>
      <c r="T417" s="11" t="s">
        <v>2966</v>
      </c>
    </row>
    <row r="418" spans="1:20" ht="50.1" hidden="1" customHeight="1">
      <c r="A418" s="10">
        <v>417</v>
      </c>
      <c r="B418" s="11" t="s">
        <v>926</v>
      </c>
      <c r="C418" s="11" t="s">
        <v>927</v>
      </c>
      <c r="D418" s="11" t="s">
        <v>20</v>
      </c>
      <c r="E418" s="11" t="s">
        <v>8</v>
      </c>
      <c r="F418" s="12">
        <v>1468</v>
      </c>
      <c r="G418" s="13">
        <v>299.99699489</v>
      </c>
      <c r="H418" s="14">
        <v>440395.58850000001</v>
      </c>
      <c r="I418" s="12">
        <v>0</v>
      </c>
      <c r="J418" s="13"/>
      <c r="K418" s="14">
        <v>0</v>
      </c>
      <c r="L418" s="12">
        <v>112.9</v>
      </c>
      <c r="M418" s="13">
        <v>299.99698848999998</v>
      </c>
      <c r="N418" s="14">
        <v>33869.660000000003</v>
      </c>
      <c r="O418" s="12">
        <v>1355.1</v>
      </c>
      <c r="P418" s="13">
        <v>299.99699542000002</v>
      </c>
      <c r="Q418" s="14">
        <v>406525.92849999998</v>
      </c>
      <c r="R418" s="11" t="s">
        <v>2971</v>
      </c>
      <c r="S418" s="11" t="s">
        <v>2972</v>
      </c>
      <c r="T418" s="11" t="s">
        <v>2966</v>
      </c>
    </row>
    <row r="419" spans="1:20" ht="50.1" hidden="1" customHeight="1">
      <c r="A419" s="10">
        <v>418</v>
      </c>
      <c r="B419" s="11" t="s">
        <v>928</v>
      </c>
      <c r="C419" s="11" t="s">
        <v>929</v>
      </c>
      <c r="D419" s="11" t="s">
        <v>20</v>
      </c>
      <c r="E419" s="11" t="s">
        <v>8</v>
      </c>
      <c r="F419" s="12">
        <v>437.2</v>
      </c>
      <c r="G419" s="13">
        <v>299.97367108999998</v>
      </c>
      <c r="H419" s="14">
        <v>131148.489</v>
      </c>
      <c r="I419" s="12">
        <v>0</v>
      </c>
      <c r="J419" s="13"/>
      <c r="K419" s="14">
        <v>0</v>
      </c>
      <c r="L419" s="12">
        <v>0</v>
      </c>
      <c r="M419" s="13"/>
      <c r="N419" s="14">
        <v>0</v>
      </c>
      <c r="O419" s="12">
        <v>437.2</v>
      </c>
      <c r="P419" s="13">
        <v>299.97367108999998</v>
      </c>
      <c r="Q419" s="14">
        <v>131148.489</v>
      </c>
      <c r="R419" s="11" t="s">
        <v>2971</v>
      </c>
      <c r="S419" s="11" t="s">
        <v>2972</v>
      </c>
      <c r="T419" s="11" t="s">
        <v>2966</v>
      </c>
    </row>
    <row r="420" spans="1:20" ht="50.1" hidden="1" customHeight="1">
      <c r="A420" s="10">
        <v>419</v>
      </c>
      <c r="B420" s="11" t="s">
        <v>930</v>
      </c>
      <c r="C420" s="11" t="s">
        <v>931</v>
      </c>
      <c r="D420" s="11" t="s">
        <v>20</v>
      </c>
      <c r="E420" s="11" t="s">
        <v>8</v>
      </c>
      <c r="F420" s="12">
        <v>166.7</v>
      </c>
      <c r="G420" s="13">
        <v>290</v>
      </c>
      <c r="H420" s="14">
        <v>48343</v>
      </c>
      <c r="I420" s="12">
        <v>0</v>
      </c>
      <c r="J420" s="13"/>
      <c r="K420" s="14">
        <v>0</v>
      </c>
      <c r="L420" s="12">
        <v>0</v>
      </c>
      <c r="M420" s="13"/>
      <c r="N420" s="14">
        <v>0</v>
      </c>
      <c r="O420" s="12">
        <v>166.7</v>
      </c>
      <c r="P420" s="13">
        <v>290</v>
      </c>
      <c r="Q420" s="14">
        <v>48343</v>
      </c>
      <c r="R420" s="11" t="s">
        <v>2971</v>
      </c>
      <c r="S420" s="11" t="s">
        <v>2972</v>
      </c>
      <c r="T420" s="11" t="s">
        <v>2966</v>
      </c>
    </row>
    <row r="421" spans="1:20" ht="50.1" hidden="1" customHeight="1">
      <c r="A421" s="10">
        <v>420</v>
      </c>
      <c r="B421" s="11" t="s">
        <v>932</v>
      </c>
      <c r="C421" s="11" t="s">
        <v>933</v>
      </c>
      <c r="D421" s="11" t="s">
        <v>20</v>
      </c>
      <c r="E421" s="11" t="s">
        <v>8</v>
      </c>
      <c r="F421" s="12">
        <v>1503.16</v>
      </c>
      <c r="G421" s="13">
        <v>270</v>
      </c>
      <c r="H421" s="14">
        <v>405853.2</v>
      </c>
      <c r="I421" s="12">
        <v>0</v>
      </c>
      <c r="J421" s="13"/>
      <c r="K421" s="14">
        <v>0</v>
      </c>
      <c r="L421" s="12">
        <v>0</v>
      </c>
      <c r="M421" s="13"/>
      <c r="N421" s="14">
        <v>0</v>
      </c>
      <c r="O421" s="12">
        <v>1503.16</v>
      </c>
      <c r="P421" s="13">
        <v>270</v>
      </c>
      <c r="Q421" s="14">
        <v>405853.2</v>
      </c>
      <c r="R421" s="11" t="s">
        <v>2971</v>
      </c>
      <c r="S421" s="11" t="s">
        <v>2972</v>
      </c>
      <c r="T421" s="11" t="s">
        <v>2966</v>
      </c>
    </row>
    <row r="422" spans="1:20" ht="50.1" hidden="1" customHeight="1">
      <c r="A422" s="10">
        <v>421</v>
      </c>
      <c r="B422" s="11" t="s">
        <v>934</v>
      </c>
      <c r="C422" s="11" t="s">
        <v>935</v>
      </c>
      <c r="D422" s="11" t="s">
        <v>20</v>
      </c>
      <c r="E422" s="11" t="s">
        <v>8</v>
      </c>
      <c r="F422" s="12">
        <v>109.8</v>
      </c>
      <c r="G422" s="13">
        <v>278.30784882</v>
      </c>
      <c r="H422" s="14">
        <v>30558.201799999999</v>
      </c>
      <c r="I422" s="12">
        <v>0</v>
      </c>
      <c r="J422" s="13"/>
      <c r="K422" s="14">
        <v>0</v>
      </c>
      <c r="L422" s="12">
        <v>0</v>
      </c>
      <c r="M422" s="13"/>
      <c r="N422" s="14">
        <v>0</v>
      </c>
      <c r="O422" s="12">
        <v>109.8</v>
      </c>
      <c r="P422" s="13">
        <v>278.30784882</v>
      </c>
      <c r="Q422" s="14">
        <v>30558.201799999999</v>
      </c>
      <c r="R422" s="11" t="s">
        <v>2990</v>
      </c>
      <c r="S422" s="11" t="s">
        <v>2991</v>
      </c>
      <c r="T422" s="11" t="s">
        <v>2966</v>
      </c>
    </row>
    <row r="423" spans="1:20" ht="50.1" hidden="1" customHeight="1">
      <c r="A423" s="10">
        <v>422</v>
      </c>
      <c r="B423" s="11" t="s">
        <v>936</v>
      </c>
      <c r="C423" s="11" t="s">
        <v>937</v>
      </c>
      <c r="D423" s="11" t="s">
        <v>20</v>
      </c>
      <c r="E423" s="11" t="s">
        <v>8</v>
      </c>
      <c r="F423" s="12">
        <v>233.85</v>
      </c>
      <c r="G423" s="13">
        <v>220.31370537000001</v>
      </c>
      <c r="H423" s="14">
        <v>51520.36</v>
      </c>
      <c r="I423" s="12">
        <v>0</v>
      </c>
      <c r="J423" s="13"/>
      <c r="K423" s="14">
        <v>0</v>
      </c>
      <c r="L423" s="12">
        <v>0</v>
      </c>
      <c r="M423" s="13"/>
      <c r="N423" s="14">
        <v>0</v>
      </c>
      <c r="O423" s="12">
        <v>233.85</v>
      </c>
      <c r="P423" s="13">
        <v>220.31370537000001</v>
      </c>
      <c r="Q423" s="14">
        <v>51520.36</v>
      </c>
      <c r="R423" s="11" t="s">
        <v>2971</v>
      </c>
      <c r="S423" s="11" t="s">
        <v>2972</v>
      </c>
      <c r="T423" s="11" t="s">
        <v>2966</v>
      </c>
    </row>
    <row r="424" spans="1:20" ht="50.1" hidden="1" customHeight="1">
      <c r="A424" s="10">
        <v>423</v>
      </c>
      <c r="B424" s="11" t="s">
        <v>938</v>
      </c>
      <c r="C424" s="11" t="s">
        <v>939</v>
      </c>
      <c r="D424" s="11" t="s">
        <v>17</v>
      </c>
      <c r="E424" s="11" t="s">
        <v>8</v>
      </c>
      <c r="F424" s="12">
        <v>94</v>
      </c>
      <c r="G424" s="13">
        <v>521</v>
      </c>
      <c r="H424" s="14">
        <v>48974</v>
      </c>
      <c r="I424" s="12">
        <v>0</v>
      </c>
      <c r="J424" s="13"/>
      <c r="K424" s="14">
        <v>0</v>
      </c>
      <c r="L424" s="12">
        <v>0</v>
      </c>
      <c r="M424" s="13"/>
      <c r="N424" s="14">
        <v>0</v>
      </c>
      <c r="O424" s="12">
        <v>94</v>
      </c>
      <c r="P424" s="13">
        <v>521</v>
      </c>
      <c r="Q424" s="14">
        <v>48974</v>
      </c>
      <c r="R424" s="11" t="s">
        <v>2981</v>
      </c>
      <c r="S424" s="11" t="s">
        <v>2982</v>
      </c>
      <c r="T424" s="11" t="s">
        <v>2966</v>
      </c>
    </row>
    <row r="425" spans="1:20" ht="50.1" hidden="1" customHeight="1">
      <c r="A425" s="10">
        <v>424</v>
      </c>
      <c r="B425" s="11" t="s">
        <v>940</v>
      </c>
      <c r="C425" s="11" t="s">
        <v>941</v>
      </c>
      <c r="D425" s="11" t="s">
        <v>17</v>
      </c>
      <c r="E425" s="11" t="s">
        <v>8</v>
      </c>
      <c r="F425" s="12">
        <v>103</v>
      </c>
      <c r="G425" s="13">
        <v>787</v>
      </c>
      <c r="H425" s="14">
        <v>81061</v>
      </c>
      <c r="I425" s="12">
        <v>0</v>
      </c>
      <c r="J425" s="13"/>
      <c r="K425" s="14">
        <v>0</v>
      </c>
      <c r="L425" s="12">
        <v>33</v>
      </c>
      <c r="M425" s="13">
        <v>787</v>
      </c>
      <c r="N425" s="14">
        <v>25971</v>
      </c>
      <c r="O425" s="12">
        <v>70</v>
      </c>
      <c r="P425" s="13">
        <v>787</v>
      </c>
      <c r="Q425" s="14">
        <v>55090</v>
      </c>
      <c r="R425" s="11" t="s">
        <v>2981</v>
      </c>
      <c r="S425" s="11" t="s">
        <v>2982</v>
      </c>
      <c r="T425" s="11" t="s">
        <v>2966</v>
      </c>
    </row>
    <row r="426" spans="1:20" ht="50.1" hidden="1" customHeight="1">
      <c r="A426" s="10">
        <v>425</v>
      </c>
      <c r="B426" s="11" t="s">
        <v>3248</v>
      </c>
      <c r="C426" s="11" t="s">
        <v>3249</v>
      </c>
      <c r="D426" s="11" t="s">
        <v>17</v>
      </c>
      <c r="E426" s="11" t="s">
        <v>8</v>
      </c>
      <c r="F426" s="12">
        <v>0</v>
      </c>
      <c r="G426" s="13"/>
      <c r="H426" s="14">
        <v>0</v>
      </c>
      <c r="I426" s="12">
        <v>2</v>
      </c>
      <c r="J426" s="13">
        <v>900</v>
      </c>
      <c r="K426" s="14">
        <v>1800</v>
      </c>
      <c r="L426" s="12">
        <v>2</v>
      </c>
      <c r="M426" s="13">
        <v>900</v>
      </c>
      <c r="N426" s="14">
        <v>1800</v>
      </c>
      <c r="O426" s="12">
        <v>0</v>
      </c>
      <c r="P426" s="13"/>
      <c r="Q426" s="14">
        <v>0</v>
      </c>
      <c r="R426" s="11" t="s">
        <v>2981</v>
      </c>
      <c r="S426" s="11" t="s">
        <v>2982</v>
      </c>
      <c r="T426" s="11" t="s">
        <v>2966</v>
      </c>
    </row>
    <row r="427" spans="1:20" ht="50.1" hidden="1" customHeight="1">
      <c r="A427" s="10">
        <v>426</v>
      </c>
      <c r="B427" s="11" t="s">
        <v>942</v>
      </c>
      <c r="C427" s="11" t="s">
        <v>943</v>
      </c>
      <c r="D427" s="11" t="s">
        <v>17</v>
      </c>
      <c r="E427" s="11" t="s">
        <v>8</v>
      </c>
      <c r="F427" s="12">
        <v>0</v>
      </c>
      <c r="G427" s="13"/>
      <c r="H427" s="14">
        <v>0</v>
      </c>
      <c r="I427" s="12">
        <v>100</v>
      </c>
      <c r="J427" s="13">
        <v>521</v>
      </c>
      <c r="K427" s="14">
        <v>52100</v>
      </c>
      <c r="L427" s="12">
        <v>56</v>
      </c>
      <c r="M427" s="13">
        <v>521</v>
      </c>
      <c r="N427" s="14">
        <v>29176</v>
      </c>
      <c r="O427" s="12">
        <v>44</v>
      </c>
      <c r="P427" s="13">
        <v>521</v>
      </c>
      <c r="Q427" s="14">
        <v>22924</v>
      </c>
      <c r="R427" s="11" t="s">
        <v>2981</v>
      </c>
      <c r="S427" s="11" t="s">
        <v>2982</v>
      </c>
      <c r="T427" s="11" t="s">
        <v>2966</v>
      </c>
    </row>
    <row r="428" spans="1:20" ht="50.1" hidden="1" customHeight="1">
      <c r="A428" s="10">
        <v>427</v>
      </c>
      <c r="B428" s="11" t="s">
        <v>944</v>
      </c>
      <c r="C428" s="11" t="s">
        <v>945</v>
      </c>
      <c r="D428" s="11" t="s">
        <v>17</v>
      </c>
      <c r="E428" s="11" t="s">
        <v>8</v>
      </c>
      <c r="F428" s="12">
        <v>491</v>
      </c>
      <c r="G428" s="13">
        <v>787</v>
      </c>
      <c r="H428" s="14">
        <v>386417</v>
      </c>
      <c r="I428" s="12">
        <v>0</v>
      </c>
      <c r="J428" s="13"/>
      <c r="K428" s="14">
        <v>0</v>
      </c>
      <c r="L428" s="12">
        <v>100</v>
      </c>
      <c r="M428" s="13">
        <v>787</v>
      </c>
      <c r="N428" s="14">
        <v>78700</v>
      </c>
      <c r="O428" s="12">
        <v>391</v>
      </c>
      <c r="P428" s="13">
        <v>787</v>
      </c>
      <c r="Q428" s="14">
        <v>307717</v>
      </c>
      <c r="R428" s="11" t="s">
        <v>2981</v>
      </c>
      <c r="S428" s="11" t="s">
        <v>2982</v>
      </c>
      <c r="T428" s="11" t="s">
        <v>2966</v>
      </c>
    </row>
    <row r="429" spans="1:20" ht="50.1" hidden="1" customHeight="1">
      <c r="A429" s="10">
        <v>428</v>
      </c>
      <c r="B429" s="11" t="s">
        <v>3182</v>
      </c>
      <c r="C429" s="11" t="s">
        <v>3183</v>
      </c>
      <c r="D429" s="11" t="s">
        <v>17</v>
      </c>
      <c r="E429" s="11" t="s">
        <v>8</v>
      </c>
      <c r="F429" s="12">
        <v>127</v>
      </c>
      <c r="G429" s="13">
        <v>4</v>
      </c>
      <c r="H429" s="14">
        <v>508</v>
      </c>
      <c r="I429" s="12">
        <v>0</v>
      </c>
      <c r="J429" s="13"/>
      <c r="K429" s="14">
        <v>0</v>
      </c>
      <c r="L429" s="12">
        <v>0</v>
      </c>
      <c r="M429" s="13"/>
      <c r="N429" s="14">
        <v>0</v>
      </c>
      <c r="O429" s="12">
        <v>127</v>
      </c>
      <c r="P429" s="13">
        <v>4</v>
      </c>
      <c r="Q429" s="14">
        <v>508</v>
      </c>
      <c r="R429" s="11" t="s">
        <v>2971</v>
      </c>
      <c r="S429" s="11" t="s">
        <v>2972</v>
      </c>
      <c r="T429" s="11" t="s">
        <v>2966</v>
      </c>
    </row>
    <row r="430" spans="1:20" ht="50.1" hidden="1" customHeight="1">
      <c r="A430" s="10">
        <v>429</v>
      </c>
      <c r="B430" s="11" t="s">
        <v>3296</v>
      </c>
      <c r="C430" s="11" t="s">
        <v>3297</v>
      </c>
      <c r="D430" s="11" t="s">
        <v>17</v>
      </c>
      <c r="E430" s="11" t="s">
        <v>8</v>
      </c>
      <c r="F430" s="12">
        <v>114</v>
      </c>
      <c r="G430" s="13">
        <v>6.5</v>
      </c>
      <c r="H430" s="14">
        <v>741</v>
      </c>
      <c r="I430" s="12">
        <v>0</v>
      </c>
      <c r="J430" s="13"/>
      <c r="K430" s="14">
        <v>0</v>
      </c>
      <c r="L430" s="12">
        <v>50</v>
      </c>
      <c r="M430" s="13">
        <v>6.5</v>
      </c>
      <c r="N430" s="14">
        <v>325</v>
      </c>
      <c r="O430" s="12">
        <v>64</v>
      </c>
      <c r="P430" s="13">
        <v>6.5</v>
      </c>
      <c r="Q430" s="14">
        <v>416</v>
      </c>
      <c r="R430" s="11" t="s">
        <v>2971</v>
      </c>
      <c r="S430" s="11" t="s">
        <v>2972</v>
      </c>
      <c r="T430" s="11" t="s">
        <v>2966</v>
      </c>
    </row>
    <row r="431" spans="1:20" ht="50.1" hidden="1" customHeight="1">
      <c r="A431" s="10">
        <v>430</v>
      </c>
      <c r="B431" s="11" t="s">
        <v>3316</v>
      </c>
      <c r="C431" s="11" t="s">
        <v>3317</v>
      </c>
      <c r="D431" s="11" t="s">
        <v>17</v>
      </c>
      <c r="E431" s="11" t="s">
        <v>8</v>
      </c>
      <c r="F431" s="12">
        <v>3956</v>
      </c>
      <c r="G431" s="13">
        <v>9.5</v>
      </c>
      <c r="H431" s="14">
        <v>37582</v>
      </c>
      <c r="I431" s="12">
        <v>106</v>
      </c>
      <c r="J431" s="13">
        <v>9.5</v>
      </c>
      <c r="K431" s="14">
        <v>1007</v>
      </c>
      <c r="L431" s="12">
        <v>0</v>
      </c>
      <c r="M431" s="13"/>
      <c r="N431" s="14">
        <v>0</v>
      </c>
      <c r="O431" s="12">
        <v>4062</v>
      </c>
      <c r="P431" s="13">
        <v>9.5</v>
      </c>
      <c r="Q431" s="14">
        <v>38589</v>
      </c>
      <c r="R431" s="11" t="s">
        <v>2971</v>
      </c>
      <c r="S431" s="11" t="s">
        <v>2972</v>
      </c>
      <c r="T431" s="11" t="s">
        <v>2966</v>
      </c>
    </row>
    <row r="432" spans="1:20" ht="50.1" hidden="1" customHeight="1">
      <c r="A432" s="10">
        <v>431</v>
      </c>
      <c r="B432" s="11" t="s">
        <v>3184</v>
      </c>
      <c r="C432" s="11" t="s">
        <v>3185</v>
      </c>
      <c r="D432" s="11" t="s">
        <v>17</v>
      </c>
      <c r="E432" s="11" t="s">
        <v>8</v>
      </c>
      <c r="F432" s="12">
        <v>166</v>
      </c>
      <c r="G432" s="13">
        <v>4</v>
      </c>
      <c r="H432" s="14">
        <v>664</v>
      </c>
      <c r="I432" s="12">
        <v>0</v>
      </c>
      <c r="J432" s="13"/>
      <c r="K432" s="14">
        <v>0</v>
      </c>
      <c r="L432" s="12">
        <v>20</v>
      </c>
      <c r="M432" s="13">
        <v>4</v>
      </c>
      <c r="N432" s="14">
        <v>80</v>
      </c>
      <c r="O432" s="12">
        <v>146</v>
      </c>
      <c r="P432" s="13">
        <v>4</v>
      </c>
      <c r="Q432" s="14">
        <v>584</v>
      </c>
      <c r="R432" s="11" t="s">
        <v>2971</v>
      </c>
      <c r="S432" s="11" t="s">
        <v>2972</v>
      </c>
      <c r="T432" s="11" t="s">
        <v>2966</v>
      </c>
    </row>
    <row r="433" spans="1:20" ht="50.1" hidden="1" customHeight="1">
      <c r="A433" s="10">
        <v>432</v>
      </c>
      <c r="B433" s="11" t="s">
        <v>3198</v>
      </c>
      <c r="C433" s="11" t="s">
        <v>3199</v>
      </c>
      <c r="D433" s="11" t="s">
        <v>17</v>
      </c>
      <c r="E433" s="11" t="s">
        <v>8</v>
      </c>
      <c r="F433" s="12">
        <v>1000</v>
      </c>
      <c r="G433" s="13">
        <v>6.5</v>
      </c>
      <c r="H433" s="14">
        <v>6500</v>
      </c>
      <c r="I433" s="12">
        <v>0</v>
      </c>
      <c r="J433" s="13"/>
      <c r="K433" s="14">
        <v>0</v>
      </c>
      <c r="L433" s="12">
        <v>0</v>
      </c>
      <c r="M433" s="13"/>
      <c r="N433" s="14">
        <v>0</v>
      </c>
      <c r="O433" s="12">
        <v>1000</v>
      </c>
      <c r="P433" s="13">
        <v>6.5</v>
      </c>
      <c r="Q433" s="14">
        <v>6500</v>
      </c>
      <c r="R433" s="11" t="s">
        <v>2971</v>
      </c>
      <c r="S433" s="11" t="s">
        <v>2972</v>
      </c>
      <c r="T433" s="11" t="s">
        <v>2966</v>
      </c>
    </row>
    <row r="434" spans="1:20" ht="50.1" hidden="1" customHeight="1">
      <c r="A434" s="10">
        <v>433</v>
      </c>
      <c r="B434" s="11" t="s">
        <v>3328</v>
      </c>
      <c r="C434" s="11" t="s">
        <v>3612</v>
      </c>
      <c r="D434" s="11" t="s">
        <v>17</v>
      </c>
      <c r="E434" s="11" t="s">
        <v>8</v>
      </c>
      <c r="F434" s="12">
        <v>1211</v>
      </c>
      <c r="G434" s="13">
        <v>8.5620644099999996</v>
      </c>
      <c r="H434" s="14">
        <v>10368.66</v>
      </c>
      <c r="I434" s="12">
        <v>0</v>
      </c>
      <c r="J434" s="13"/>
      <c r="K434" s="14">
        <v>0</v>
      </c>
      <c r="L434" s="12">
        <v>0</v>
      </c>
      <c r="M434" s="13"/>
      <c r="N434" s="14">
        <v>0</v>
      </c>
      <c r="O434" s="12">
        <v>1211</v>
      </c>
      <c r="P434" s="13">
        <v>8.5620644099999996</v>
      </c>
      <c r="Q434" s="14">
        <v>10368.66</v>
      </c>
      <c r="R434" s="11" t="s">
        <v>2971</v>
      </c>
      <c r="S434" s="11" t="s">
        <v>2972</v>
      </c>
      <c r="T434" s="11" t="s">
        <v>2966</v>
      </c>
    </row>
    <row r="435" spans="1:20" ht="50.1" hidden="1" customHeight="1">
      <c r="A435" s="10">
        <v>434</v>
      </c>
      <c r="B435" s="11" t="s">
        <v>3318</v>
      </c>
      <c r="C435" s="11" t="s">
        <v>3319</v>
      </c>
      <c r="D435" s="11" t="s">
        <v>17</v>
      </c>
      <c r="E435" s="11" t="s">
        <v>8</v>
      </c>
      <c r="F435" s="12">
        <v>2655</v>
      </c>
      <c r="G435" s="13">
        <v>9.5</v>
      </c>
      <c r="H435" s="14">
        <v>25222.5</v>
      </c>
      <c r="I435" s="12">
        <v>0</v>
      </c>
      <c r="J435" s="13"/>
      <c r="K435" s="14">
        <v>0</v>
      </c>
      <c r="L435" s="12">
        <v>0</v>
      </c>
      <c r="M435" s="13"/>
      <c r="N435" s="14">
        <v>0</v>
      </c>
      <c r="O435" s="12">
        <v>2655</v>
      </c>
      <c r="P435" s="13">
        <v>9.5</v>
      </c>
      <c r="Q435" s="14">
        <v>25222.5</v>
      </c>
      <c r="R435" s="11" t="s">
        <v>2971</v>
      </c>
      <c r="S435" s="11" t="s">
        <v>2972</v>
      </c>
      <c r="T435" s="11" t="s">
        <v>2966</v>
      </c>
    </row>
    <row r="436" spans="1:20" ht="50.1" hidden="1" customHeight="1">
      <c r="A436" s="10">
        <v>435</v>
      </c>
      <c r="B436" s="11" t="s">
        <v>3200</v>
      </c>
      <c r="C436" s="11" t="s">
        <v>3201</v>
      </c>
      <c r="D436" s="11" t="s">
        <v>17</v>
      </c>
      <c r="E436" s="11" t="s">
        <v>8</v>
      </c>
      <c r="F436" s="12">
        <v>292</v>
      </c>
      <c r="G436" s="13">
        <v>4</v>
      </c>
      <c r="H436" s="14">
        <v>1168</v>
      </c>
      <c r="I436" s="12">
        <v>0</v>
      </c>
      <c r="J436" s="13"/>
      <c r="K436" s="14">
        <v>0</v>
      </c>
      <c r="L436" s="12">
        <v>50</v>
      </c>
      <c r="M436" s="13">
        <v>4</v>
      </c>
      <c r="N436" s="14">
        <v>200</v>
      </c>
      <c r="O436" s="12">
        <v>242</v>
      </c>
      <c r="P436" s="13">
        <v>4</v>
      </c>
      <c r="Q436" s="14">
        <v>968</v>
      </c>
      <c r="R436" s="11" t="s">
        <v>2971</v>
      </c>
      <c r="S436" s="11" t="s">
        <v>2972</v>
      </c>
      <c r="T436" s="11" t="s">
        <v>2966</v>
      </c>
    </row>
    <row r="437" spans="1:20" ht="50.1" hidden="1" customHeight="1">
      <c r="A437" s="10">
        <v>436</v>
      </c>
      <c r="B437" s="11" t="s">
        <v>3202</v>
      </c>
      <c r="C437" s="11" t="s">
        <v>3203</v>
      </c>
      <c r="D437" s="11" t="s">
        <v>17</v>
      </c>
      <c r="E437" s="11" t="s">
        <v>8</v>
      </c>
      <c r="F437" s="12">
        <v>424</v>
      </c>
      <c r="G437" s="13">
        <v>7.5</v>
      </c>
      <c r="H437" s="14">
        <v>3180</v>
      </c>
      <c r="I437" s="12">
        <v>0</v>
      </c>
      <c r="J437" s="13"/>
      <c r="K437" s="14">
        <v>0</v>
      </c>
      <c r="L437" s="12">
        <v>100</v>
      </c>
      <c r="M437" s="13">
        <v>7.5</v>
      </c>
      <c r="N437" s="14">
        <v>750</v>
      </c>
      <c r="O437" s="12">
        <v>324</v>
      </c>
      <c r="P437" s="13">
        <v>7.5</v>
      </c>
      <c r="Q437" s="14">
        <v>2430</v>
      </c>
      <c r="R437" s="11" t="s">
        <v>2971</v>
      </c>
      <c r="S437" s="11" t="s">
        <v>2972</v>
      </c>
      <c r="T437" s="11" t="s">
        <v>2966</v>
      </c>
    </row>
    <row r="438" spans="1:20" ht="50.1" hidden="1" customHeight="1">
      <c r="A438" s="10">
        <v>437</v>
      </c>
      <c r="B438" s="11" t="s">
        <v>3330</v>
      </c>
      <c r="C438" s="11" t="s">
        <v>3331</v>
      </c>
      <c r="D438" s="11" t="s">
        <v>17</v>
      </c>
      <c r="E438" s="11" t="s">
        <v>8</v>
      </c>
      <c r="F438" s="12">
        <v>1631</v>
      </c>
      <c r="G438" s="13">
        <v>8.5</v>
      </c>
      <c r="H438" s="14">
        <v>13863.5</v>
      </c>
      <c r="I438" s="12">
        <v>0</v>
      </c>
      <c r="J438" s="13"/>
      <c r="K438" s="14">
        <v>0</v>
      </c>
      <c r="L438" s="12">
        <v>100</v>
      </c>
      <c r="M438" s="13">
        <v>8.5</v>
      </c>
      <c r="N438" s="14">
        <v>850</v>
      </c>
      <c r="O438" s="12">
        <v>1531</v>
      </c>
      <c r="P438" s="13">
        <v>8.5</v>
      </c>
      <c r="Q438" s="14">
        <v>13013.5</v>
      </c>
      <c r="R438" s="11" t="s">
        <v>2971</v>
      </c>
      <c r="S438" s="11" t="s">
        <v>2972</v>
      </c>
      <c r="T438" s="11" t="s">
        <v>2966</v>
      </c>
    </row>
    <row r="439" spans="1:20" ht="50.1" hidden="1" customHeight="1">
      <c r="A439" s="10">
        <v>438</v>
      </c>
      <c r="B439" s="11" t="s">
        <v>3308</v>
      </c>
      <c r="C439" s="11" t="s">
        <v>3309</v>
      </c>
      <c r="D439" s="11" t="s">
        <v>17</v>
      </c>
      <c r="E439" s="11" t="s">
        <v>8</v>
      </c>
      <c r="F439" s="12">
        <v>1400</v>
      </c>
      <c r="G439" s="13">
        <v>9.5</v>
      </c>
      <c r="H439" s="14">
        <v>13300</v>
      </c>
      <c r="I439" s="12">
        <v>0</v>
      </c>
      <c r="J439" s="13"/>
      <c r="K439" s="14">
        <v>0</v>
      </c>
      <c r="L439" s="12">
        <v>100</v>
      </c>
      <c r="M439" s="13">
        <v>9.5</v>
      </c>
      <c r="N439" s="14">
        <v>950</v>
      </c>
      <c r="O439" s="12">
        <v>1300</v>
      </c>
      <c r="P439" s="13">
        <v>9.5</v>
      </c>
      <c r="Q439" s="14">
        <v>12350</v>
      </c>
      <c r="R439" s="11" t="s">
        <v>2971</v>
      </c>
      <c r="S439" s="11" t="s">
        <v>2972</v>
      </c>
      <c r="T439" s="11" t="s">
        <v>2966</v>
      </c>
    </row>
    <row r="440" spans="1:20" ht="32.25" hidden="1" customHeight="1">
      <c r="A440" s="10">
        <v>439</v>
      </c>
      <c r="B440" s="11" t="s">
        <v>3188</v>
      </c>
      <c r="C440" s="11" t="s">
        <v>3189</v>
      </c>
      <c r="D440" s="11" t="s">
        <v>17</v>
      </c>
      <c r="E440" s="11" t="s">
        <v>8</v>
      </c>
      <c r="F440" s="12">
        <v>406</v>
      </c>
      <c r="G440" s="13">
        <v>4</v>
      </c>
      <c r="H440" s="14">
        <v>1624</v>
      </c>
      <c r="I440" s="12">
        <v>0</v>
      </c>
      <c r="J440" s="13"/>
      <c r="K440" s="14">
        <v>0</v>
      </c>
      <c r="L440" s="12">
        <v>65</v>
      </c>
      <c r="M440" s="13">
        <v>4</v>
      </c>
      <c r="N440" s="14">
        <v>260</v>
      </c>
      <c r="O440" s="12">
        <v>341</v>
      </c>
      <c r="P440" s="13">
        <v>4</v>
      </c>
      <c r="Q440" s="14">
        <v>1364</v>
      </c>
      <c r="R440" s="11" t="s">
        <v>2971</v>
      </c>
      <c r="S440" s="11" t="s">
        <v>2972</v>
      </c>
      <c r="T440" s="11" t="s">
        <v>2966</v>
      </c>
    </row>
    <row r="441" spans="1:20" ht="50.1" hidden="1" customHeight="1">
      <c r="A441" s="10">
        <v>440</v>
      </c>
      <c r="B441" s="11" t="s">
        <v>3204</v>
      </c>
      <c r="C441" s="11" t="s">
        <v>3205</v>
      </c>
      <c r="D441" s="11" t="s">
        <v>17</v>
      </c>
      <c r="E441" s="11" t="s">
        <v>8</v>
      </c>
      <c r="F441" s="12">
        <v>2032</v>
      </c>
      <c r="G441" s="13">
        <v>6.1458759799999996</v>
      </c>
      <c r="H441" s="14">
        <v>12488.42</v>
      </c>
      <c r="I441" s="12">
        <v>0</v>
      </c>
      <c r="J441" s="13"/>
      <c r="K441" s="14">
        <v>0</v>
      </c>
      <c r="L441" s="12">
        <v>100</v>
      </c>
      <c r="M441" s="13">
        <v>6.1459000000000001</v>
      </c>
      <c r="N441" s="14">
        <v>614.59</v>
      </c>
      <c r="O441" s="12">
        <v>1932</v>
      </c>
      <c r="P441" s="13">
        <v>6.14587474</v>
      </c>
      <c r="Q441" s="14">
        <v>11873.83</v>
      </c>
      <c r="R441" s="11" t="s">
        <v>2971</v>
      </c>
      <c r="S441" s="11" t="s">
        <v>2972</v>
      </c>
      <c r="T441" s="11" t="s">
        <v>2966</v>
      </c>
    </row>
    <row r="442" spans="1:20" ht="50.1" hidden="1" customHeight="1">
      <c r="A442" s="10">
        <v>441</v>
      </c>
      <c r="B442" s="11" t="s">
        <v>3206</v>
      </c>
      <c r="C442" s="11" t="s">
        <v>3207</v>
      </c>
      <c r="D442" s="11" t="s">
        <v>17</v>
      </c>
      <c r="E442" s="11" t="s">
        <v>8</v>
      </c>
      <c r="F442" s="12">
        <v>336</v>
      </c>
      <c r="G442" s="13">
        <v>6.5</v>
      </c>
      <c r="H442" s="14">
        <v>2184</v>
      </c>
      <c r="I442" s="12">
        <v>0</v>
      </c>
      <c r="J442" s="13"/>
      <c r="K442" s="14">
        <v>0</v>
      </c>
      <c r="L442" s="12">
        <v>0</v>
      </c>
      <c r="M442" s="13"/>
      <c r="N442" s="14">
        <v>0</v>
      </c>
      <c r="O442" s="12">
        <v>336</v>
      </c>
      <c r="P442" s="13">
        <v>6.5</v>
      </c>
      <c r="Q442" s="14">
        <v>2184</v>
      </c>
      <c r="R442" s="11" t="s">
        <v>2971</v>
      </c>
      <c r="S442" s="11" t="s">
        <v>2972</v>
      </c>
      <c r="T442" s="11" t="s">
        <v>2966</v>
      </c>
    </row>
    <row r="443" spans="1:20" ht="50.1" hidden="1" customHeight="1">
      <c r="A443" s="10">
        <v>442</v>
      </c>
      <c r="B443" s="11" t="s">
        <v>3320</v>
      </c>
      <c r="C443" s="11" t="s">
        <v>3321</v>
      </c>
      <c r="D443" s="11" t="s">
        <v>17</v>
      </c>
      <c r="E443" s="11" t="s">
        <v>8</v>
      </c>
      <c r="F443" s="12">
        <v>3027</v>
      </c>
      <c r="G443" s="13">
        <v>9.5</v>
      </c>
      <c r="H443" s="14">
        <v>28756.5</v>
      </c>
      <c r="I443" s="12">
        <v>204</v>
      </c>
      <c r="J443" s="13">
        <v>9.5</v>
      </c>
      <c r="K443" s="14">
        <v>1938</v>
      </c>
      <c r="L443" s="12">
        <v>100</v>
      </c>
      <c r="M443" s="13">
        <v>9.5</v>
      </c>
      <c r="N443" s="14">
        <v>950</v>
      </c>
      <c r="O443" s="12">
        <v>3131</v>
      </c>
      <c r="P443" s="13">
        <v>9.5</v>
      </c>
      <c r="Q443" s="14">
        <v>29744.5</v>
      </c>
      <c r="R443" s="11" t="s">
        <v>2971</v>
      </c>
      <c r="S443" s="11" t="s">
        <v>2972</v>
      </c>
      <c r="T443" s="11" t="s">
        <v>2966</v>
      </c>
    </row>
    <row r="444" spans="1:20" ht="50.1" hidden="1" customHeight="1">
      <c r="A444" s="10">
        <v>443</v>
      </c>
      <c r="B444" s="11" t="s">
        <v>3310</v>
      </c>
      <c r="C444" s="11" t="s">
        <v>3311</v>
      </c>
      <c r="D444" s="11" t="s">
        <v>17</v>
      </c>
      <c r="E444" s="11" t="s">
        <v>8</v>
      </c>
      <c r="F444" s="12">
        <v>2459</v>
      </c>
      <c r="G444" s="13">
        <v>9.5</v>
      </c>
      <c r="H444" s="14">
        <v>23360.5</v>
      </c>
      <c r="I444" s="12">
        <v>0</v>
      </c>
      <c r="J444" s="13"/>
      <c r="K444" s="14">
        <v>0</v>
      </c>
      <c r="L444" s="12">
        <v>159</v>
      </c>
      <c r="M444" s="13">
        <v>9.5</v>
      </c>
      <c r="N444" s="14">
        <v>1510.5</v>
      </c>
      <c r="O444" s="12">
        <v>2300</v>
      </c>
      <c r="P444" s="13">
        <v>9.5</v>
      </c>
      <c r="Q444" s="14">
        <v>21850</v>
      </c>
      <c r="R444" s="11" t="s">
        <v>2971</v>
      </c>
      <c r="S444" s="11" t="s">
        <v>2972</v>
      </c>
      <c r="T444" s="11" t="s">
        <v>2966</v>
      </c>
    </row>
    <row r="445" spans="1:20" ht="50.1" hidden="1" customHeight="1">
      <c r="A445" s="10">
        <v>444</v>
      </c>
      <c r="B445" s="11" t="s">
        <v>3208</v>
      </c>
      <c r="C445" s="11" t="s">
        <v>3209</v>
      </c>
      <c r="D445" s="11" t="s">
        <v>17</v>
      </c>
      <c r="E445" s="11" t="s">
        <v>8</v>
      </c>
      <c r="F445" s="12">
        <v>750</v>
      </c>
      <c r="G445" s="13">
        <v>6.5</v>
      </c>
      <c r="H445" s="14">
        <v>4875</v>
      </c>
      <c r="I445" s="12">
        <v>0</v>
      </c>
      <c r="J445" s="13"/>
      <c r="K445" s="14">
        <v>0</v>
      </c>
      <c r="L445" s="12">
        <v>0</v>
      </c>
      <c r="M445" s="13"/>
      <c r="N445" s="14">
        <v>0</v>
      </c>
      <c r="O445" s="12">
        <v>750</v>
      </c>
      <c r="P445" s="13">
        <v>6.5</v>
      </c>
      <c r="Q445" s="14">
        <v>4875</v>
      </c>
      <c r="R445" s="11" t="s">
        <v>2971</v>
      </c>
      <c r="S445" s="11" t="s">
        <v>2972</v>
      </c>
      <c r="T445" s="11" t="s">
        <v>2966</v>
      </c>
    </row>
    <row r="446" spans="1:20" ht="50.1" hidden="1" customHeight="1">
      <c r="A446" s="10">
        <v>445</v>
      </c>
      <c r="B446" s="11" t="s">
        <v>3210</v>
      </c>
      <c r="C446" s="11" t="s">
        <v>3211</v>
      </c>
      <c r="D446" s="11" t="s">
        <v>17</v>
      </c>
      <c r="E446" s="11" t="s">
        <v>8</v>
      </c>
      <c r="F446" s="12">
        <v>552</v>
      </c>
      <c r="G446" s="13">
        <v>6.5</v>
      </c>
      <c r="H446" s="14">
        <v>3588</v>
      </c>
      <c r="I446" s="12">
        <v>0</v>
      </c>
      <c r="J446" s="13"/>
      <c r="K446" s="14">
        <v>0</v>
      </c>
      <c r="L446" s="12">
        <v>100</v>
      </c>
      <c r="M446" s="13">
        <v>6.5</v>
      </c>
      <c r="N446" s="14">
        <v>650</v>
      </c>
      <c r="O446" s="12">
        <v>452</v>
      </c>
      <c r="P446" s="13">
        <v>6.5</v>
      </c>
      <c r="Q446" s="14">
        <v>2938</v>
      </c>
      <c r="R446" s="11" t="s">
        <v>2971</v>
      </c>
      <c r="S446" s="11" t="s">
        <v>2972</v>
      </c>
      <c r="T446" s="11" t="s">
        <v>2966</v>
      </c>
    </row>
    <row r="447" spans="1:20" ht="50.1" hidden="1" customHeight="1">
      <c r="A447" s="10">
        <v>446</v>
      </c>
      <c r="B447" s="11" t="s">
        <v>3322</v>
      </c>
      <c r="C447" s="11" t="s">
        <v>3323</v>
      </c>
      <c r="D447" s="11" t="s">
        <v>17</v>
      </c>
      <c r="E447" s="11" t="s">
        <v>8</v>
      </c>
      <c r="F447" s="12">
        <v>2916</v>
      </c>
      <c r="G447" s="13">
        <v>8.5</v>
      </c>
      <c r="H447" s="14">
        <v>24786</v>
      </c>
      <c r="I447" s="12">
        <v>0</v>
      </c>
      <c r="J447" s="13"/>
      <c r="K447" s="14">
        <v>0</v>
      </c>
      <c r="L447" s="12">
        <v>600</v>
      </c>
      <c r="M447" s="13">
        <v>8.5</v>
      </c>
      <c r="N447" s="14">
        <v>5100</v>
      </c>
      <c r="O447" s="12">
        <v>2316</v>
      </c>
      <c r="P447" s="13">
        <v>8.5</v>
      </c>
      <c r="Q447" s="14">
        <v>19686</v>
      </c>
      <c r="R447" s="11" t="s">
        <v>2971</v>
      </c>
      <c r="S447" s="11" t="s">
        <v>2972</v>
      </c>
      <c r="T447" s="11" t="s">
        <v>2966</v>
      </c>
    </row>
    <row r="448" spans="1:20" ht="50.1" hidden="1" customHeight="1">
      <c r="A448" s="10">
        <v>447</v>
      </c>
      <c r="B448" s="11" t="s">
        <v>3196</v>
      </c>
      <c r="C448" s="11" t="s">
        <v>3197</v>
      </c>
      <c r="D448" s="11" t="s">
        <v>17</v>
      </c>
      <c r="E448" s="11" t="s">
        <v>8</v>
      </c>
      <c r="F448" s="12">
        <v>425</v>
      </c>
      <c r="G448" s="13">
        <v>4</v>
      </c>
      <c r="H448" s="14">
        <v>1700</v>
      </c>
      <c r="I448" s="12">
        <v>0</v>
      </c>
      <c r="J448" s="13"/>
      <c r="K448" s="14">
        <v>0</v>
      </c>
      <c r="L448" s="12">
        <v>50</v>
      </c>
      <c r="M448" s="13">
        <v>4</v>
      </c>
      <c r="N448" s="14">
        <v>200</v>
      </c>
      <c r="O448" s="12">
        <v>375</v>
      </c>
      <c r="P448" s="13">
        <v>4</v>
      </c>
      <c r="Q448" s="14">
        <v>1500</v>
      </c>
      <c r="R448" s="11" t="s">
        <v>2971</v>
      </c>
      <c r="S448" s="11" t="s">
        <v>2972</v>
      </c>
      <c r="T448" s="11" t="s">
        <v>2966</v>
      </c>
    </row>
    <row r="449" spans="1:20" ht="50.1" hidden="1" customHeight="1">
      <c r="A449" s="10">
        <v>448</v>
      </c>
      <c r="B449" s="11" t="s">
        <v>3565</v>
      </c>
      <c r="C449" s="11" t="s">
        <v>3566</v>
      </c>
      <c r="D449" s="11" t="s">
        <v>17</v>
      </c>
      <c r="E449" s="11" t="s">
        <v>8</v>
      </c>
      <c r="F449" s="12">
        <v>0</v>
      </c>
      <c r="G449" s="13"/>
      <c r="H449" s="14">
        <v>0</v>
      </c>
      <c r="I449" s="12">
        <v>1000</v>
      </c>
      <c r="J449" s="13">
        <v>7.5</v>
      </c>
      <c r="K449" s="14">
        <v>7500</v>
      </c>
      <c r="L449" s="12">
        <v>800</v>
      </c>
      <c r="M449" s="13">
        <v>7.5</v>
      </c>
      <c r="N449" s="14">
        <v>6000</v>
      </c>
      <c r="O449" s="12">
        <v>200</v>
      </c>
      <c r="P449" s="13">
        <v>7.5</v>
      </c>
      <c r="Q449" s="14">
        <v>1500</v>
      </c>
      <c r="R449" s="11" t="s">
        <v>2971</v>
      </c>
      <c r="S449" s="11" t="s">
        <v>2972</v>
      </c>
      <c r="T449" s="11" t="s">
        <v>2966</v>
      </c>
    </row>
    <row r="450" spans="1:20" ht="50.1" hidden="1" customHeight="1">
      <c r="A450" s="10">
        <v>449</v>
      </c>
      <c r="B450" s="11" t="s">
        <v>3374</v>
      </c>
      <c r="C450" s="11" t="s">
        <v>3375</v>
      </c>
      <c r="D450" s="11" t="s">
        <v>17</v>
      </c>
      <c r="E450" s="11" t="s">
        <v>8</v>
      </c>
      <c r="F450" s="12">
        <v>154</v>
      </c>
      <c r="G450" s="13">
        <v>13.3961039</v>
      </c>
      <c r="H450" s="14">
        <v>2063</v>
      </c>
      <c r="I450" s="12">
        <v>2002</v>
      </c>
      <c r="J450" s="13">
        <v>9.5</v>
      </c>
      <c r="K450" s="14">
        <v>19019</v>
      </c>
      <c r="L450" s="12">
        <v>200</v>
      </c>
      <c r="M450" s="13">
        <v>9.7782999999999998</v>
      </c>
      <c r="N450" s="14">
        <v>1955.66</v>
      </c>
      <c r="O450" s="12">
        <v>1956</v>
      </c>
      <c r="P450" s="13">
        <v>9.7782924300000005</v>
      </c>
      <c r="Q450" s="14">
        <v>19126.34</v>
      </c>
      <c r="R450" s="11" t="s">
        <v>2971</v>
      </c>
      <c r="S450" s="11" t="s">
        <v>2972</v>
      </c>
      <c r="T450" s="11" t="s">
        <v>2966</v>
      </c>
    </row>
    <row r="451" spans="1:20" ht="50.1" hidden="1" customHeight="1">
      <c r="A451" s="10">
        <v>450</v>
      </c>
      <c r="B451" s="11" t="s">
        <v>3238</v>
      </c>
      <c r="C451" s="11" t="s">
        <v>3239</v>
      </c>
      <c r="D451" s="11" t="s">
        <v>17</v>
      </c>
      <c r="E451" s="11" t="s">
        <v>8</v>
      </c>
      <c r="F451" s="12">
        <v>259</v>
      </c>
      <c r="G451" s="13">
        <v>4</v>
      </c>
      <c r="H451" s="14">
        <v>1036</v>
      </c>
      <c r="I451" s="12">
        <v>0</v>
      </c>
      <c r="J451" s="13"/>
      <c r="K451" s="14">
        <v>0</v>
      </c>
      <c r="L451" s="12">
        <v>15</v>
      </c>
      <c r="M451" s="13">
        <v>4</v>
      </c>
      <c r="N451" s="14">
        <v>60</v>
      </c>
      <c r="O451" s="12">
        <v>244</v>
      </c>
      <c r="P451" s="13">
        <v>4</v>
      </c>
      <c r="Q451" s="14">
        <v>976</v>
      </c>
      <c r="R451" s="11" t="s">
        <v>2971</v>
      </c>
      <c r="S451" s="11" t="s">
        <v>2972</v>
      </c>
      <c r="T451" s="11" t="s">
        <v>2966</v>
      </c>
    </row>
    <row r="452" spans="1:20" ht="50.1" hidden="1" customHeight="1">
      <c r="A452" s="10">
        <v>451</v>
      </c>
      <c r="B452" s="11" t="s">
        <v>3192</v>
      </c>
      <c r="C452" s="11" t="s">
        <v>3193</v>
      </c>
      <c r="D452" s="11" t="s">
        <v>17</v>
      </c>
      <c r="E452" s="11" t="s">
        <v>8</v>
      </c>
      <c r="F452" s="12">
        <v>564</v>
      </c>
      <c r="G452" s="13">
        <v>6.5</v>
      </c>
      <c r="H452" s="14">
        <v>3666</v>
      </c>
      <c r="I452" s="12">
        <v>0</v>
      </c>
      <c r="J452" s="13"/>
      <c r="K452" s="14">
        <v>0</v>
      </c>
      <c r="L452" s="12">
        <v>45</v>
      </c>
      <c r="M452" s="13">
        <v>6.5</v>
      </c>
      <c r="N452" s="14">
        <v>292.5</v>
      </c>
      <c r="O452" s="12">
        <v>519</v>
      </c>
      <c r="P452" s="13">
        <v>6.5</v>
      </c>
      <c r="Q452" s="14">
        <v>3373.5</v>
      </c>
      <c r="R452" s="11" t="s">
        <v>2971</v>
      </c>
      <c r="S452" s="11" t="s">
        <v>2972</v>
      </c>
      <c r="T452" s="11" t="s">
        <v>2966</v>
      </c>
    </row>
    <row r="453" spans="1:20" ht="50.1" hidden="1" customHeight="1">
      <c r="A453" s="10">
        <v>452</v>
      </c>
      <c r="B453" s="11" t="s">
        <v>3312</v>
      </c>
      <c r="C453" s="11" t="s">
        <v>3313</v>
      </c>
      <c r="D453" s="11" t="s">
        <v>17</v>
      </c>
      <c r="E453" s="11" t="s">
        <v>8</v>
      </c>
      <c r="F453" s="12">
        <v>705</v>
      </c>
      <c r="G453" s="13">
        <v>9.5</v>
      </c>
      <c r="H453" s="14">
        <v>6697.5</v>
      </c>
      <c r="I453" s="12">
        <v>0</v>
      </c>
      <c r="J453" s="13"/>
      <c r="K453" s="14">
        <v>0</v>
      </c>
      <c r="L453" s="12">
        <v>0</v>
      </c>
      <c r="M453" s="13"/>
      <c r="N453" s="14">
        <v>0</v>
      </c>
      <c r="O453" s="12">
        <v>705</v>
      </c>
      <c r="P453" s="13">
        <v>9.5</v>
      </c>
      <c r="Q453" s="14">
        <v>6697.5</v>
      </c>
      <c r="R453" s="11" t="s">
        <v>2971</v>
      </c>
      <c r="S453" s="11" t="s">
        <v>2972</v>
      </c>
      <c r="T453" s="11" t="s">
        <v>2966</v>
      </c>
    </row>
    <row r="454" spans="1:20" ht="50.1" hidden="1" customHeight="1">
      <c r="A454" s="10">
        <v>453</v>
      </c>
      <c r="B454" s="11" t="s">
        <v>3212</v>
      </c>
      <c r="C454" s="11" t="s">
        <v>3213</v>
      </c>
      <c r="D454" s="11" t="s">
        <v>17</v>
      </c>
      <c r="E454" s="11" t="s">
        <v>8</v>
      </c>
      <c r="F454" s="12">
        <v>185</v>
      </c>
      <c r="G454" s="13">
        <v>6.2529189199999999</v>
      </c>
      <c r="H454" s="14">
        <v>1156.79</v>
      </c>
      <c r="I454" s="12">
        <v>0</v>
      </c>
      <c r="J454" s="13"/>
      <c r="K454" s="14">
        <v>0</v>
      </c>
      <c r="L454" s="12">
        <v>0</v>
      </c>
      <c r="M454" s="13"/>
      <c r="N454" s="14">
        <v>0</v>
      </c>
      <c r="O454" s="12">
        <v>185</v>
      </c>
      <c r="P454" s="13">
        <v>6.2529189199999999</v>
      </c>
      <c r="Q454" s="14">
        <v>1156.79</v>
      </c>
      <c r="R454" s="11" t="s">
        <v>2971</v>
      </c>
      <c r="S454" s="11" t="s">
        <v>2972</v>
      </c>
      <c r="T454" s="11" t="s">
        <v>2966</v>
      </c>
    </row>
    <row r="455" spans="1:20" ht="50.1" hidden="1" customHeight="1">
      <c r="A455" s="10">
        <v>454</v>
      </c>
      <c r="B455" s="11" t="s">
        <v>3314</v>
      </c>
      <c r="C455" s="11" t="s">
        <v>3315</v>
      </c>
      <c r="D455" s="11" t="s">
        <v>17</v>
      </c>
      <c r="E455" s="11" t="s">
        <v>8</v>
      </c>
      <c r="F455" s="12">
        <v>552</v>
      </c>
      <c r="G455" s="13">
        <v>9.5</v>
      </c>
      <c r="H455" s="14">
        <v>5244</v>
      </c>
      <c r="I455" s="12">
        <v>0</v>
      </c>
      <c r="J455" s="13"/>
      <c r="K455" s="14">
        <v>0</v>
      </c>
      <c r="L455" s="12">
        <v>0</v>
      </c>
      <c r="M455" s="13"/>
      <c r="N455" s="14">
        <v>0</v>
      </c>
      <c r="O455" s="12">
        <v>552</v>
      </c>
      <c r="P455" s="13">
        <v>9.5</v>
      </c>
      <c r="Q455" s="14">
        <v>5244</v>
      </c>
      <c r="R455" s="11" t="s">
        <v>2971</v>
      </c>
      <c r="S455" s="11" t="s">
        <v>2972</v>
      </c>
      <c r="T455" s="11" t="s">
        <v>2966</v>
      </c>
    </row>
    <row r="456" spans="1:20" ht="50.1" hidden="1" customHeight="1">
      <c r="A456" s="10">
        <v>455</v>
      </c>
      <c r="B456" s="11" t="s">
        <v>3336</v>
      </c>
      <c r="C456" s="11" t="s">
        <v>3337</v>
      </c>
      <c r="D456" s="11" t="s">
        <v>17</v>
      </c>
      <c r="E456" s="11" t="s">
        <v>8</v>
      </c>
      <c r="F456" s="12">
        <v>6028</v>
      </c>
      <c r="G456" s="13">
        <v>2.5</v>
      </c>
      <c r="H456" s="14">
        <v>15070</v>
      </c>
      <c r="I456" s="12">
        <v>0</v>
      </c>
      <c r="J456" s="13"/>
      <c r="K456" s="14">
        <v>0</v>
      </c>
      <c r="L456" s="12">
        <v>0</v>
      </c>
      <c r="M456" s="13"/>
      <c r="N456" s="14">
        <v>0</v>
      </c>
      <c r="O456" s="12">
        <v>6028</v>
      </c>
      <c r="P456" s="13">
        <v>2.5</v>
      </c>
      <c r="Q456" s="14">
        <v>15070</v>
      </c>
      <c r="R456" s="11" t="s">
        <v>2971</v>
      </c>
      <c r="S456" s="11" t="s">
        <v>2972</v>
      </c>
      <c r="T456" s="11" t="s">
        <v>2966</v>
      </c>
    </row>
    <row r="457" spans="1:20" ht="50.1" hidden="1" customHeight="1">
      <c r="A457" s="10">
        <v>456</v>
      </c>
      <c r="B457" s="11" t="s">
        <v>950</v>
      </c>
      <c r="C457" s="11" t="s">
        <v>951</v>
      </c>
      <c r="D457" s="11" t="s">
        <v>7</v>
      </c>
      <c r="E457" s="11" t="s">
        <v>8</v>
      </c>
      <c r="F457" s="12">
        <v>1153</v>
      </c>
      <c r="G457" s="13">
        <v>49.897121599999998</v>
      </c>
      <c r="H457" s="14">
        <v>57531.381200000003</v>
      </c>
      <c r="I457" s="12">
        <v>0</v>
      </c>
      <c r="J457" s="13"/>
      <c r="K457" s="14">
        <v>0</v>
      </c>
      <c r="L457" s="12">
        <v>0</v>
      </c>
      <c r="M457" s="13"/>
      <c r="N457" s="14">
        <v>0</v>
      </c>
      <c r="O457" s="12">
        <v>1153</v>
      </c>
      <c r="P457" s="13">
        <v>49.897121599999998</v>
      </c>
      <c r="Q457" s="14">
        <v>57531.381200000003</v>
      </c>
      <c r="R457" s="11" t="s">
        <v>2964</v>
      </c>
      <c r="S457" s="11" t="s">
        <v>2965</v>
      </c>
      <c r="T457" s="11" t="s">
        <v>2966</v>
      </c>
    </row>
    <row r="458" spans="1:20" ht="50.1" hidden="1" customHeight="1">
      <c r="A458" s="10">
        <v>457</v>
      </c>
      <c r="B458" s="11" t="s">
        <v>3280</v>
      </c>
      <c r="C458" s="11" t="s">
        <v>3281</v>
      </c>
      <c r="D458" s="11" t="s">
        <v>17</v>
      </c>
      <c r="E458" s="11" t="s">
        <v>8</v>
      </c>
      <c r="F458" s="12">
        <v>500</v>
      </c>
      <c r="G458" s="13">
        <v>5.90374</v>
      </c>
      <c r="H458" s="14">
        <v>2951.87</v>
      </c>
      <c r="I458" s="12">
        <v>20000</v>
      </c>
      <c r="J458" s="13">
        <v>4.8714000000000004</v>
      </c>
      <c r="K458" s="14">
        <v>97428</v>
      </c>
      <c r="L458" s="12">
        <v>5049</v>
      </c>
      <c r="M458" s="13">
        <v>4.8966013100000003</v>
      </c>
      <c r="N458" s="14">
        <v>24722.94</v>
      </c>
      <c r="O458" s="12">
        <v>15451</v>
      </c>
      <c r="P458" s="13">
        <v>4.8965717399999997</v>
      </c>
      <c r="Q458" s="14">
        <v>75656.929999999993</v>
      </c>
      <c r="R458" s="11" t="s">
        <v>2971</v>
      </c>
      <c r="S458" s="11" t="s">
        <v>2972</v>
      </c>
      <c r="T458" s="11" t="s">
        <v>2966</v>
      </c>
    </row>
    <row r="459" spans="1:20" ht="50.1" hidden="1" customHeight="1">
      <c r="A459" s="10">
        <v>458</v>
      </c>
      <c r="B459" s="11" t="s">
        <v>3186</v>
      </c>
      <c r="C459" s="11" t="s">
        <v>3569</v>
      </c>
      <c r="D459" s="11" t="s">
        <v>17</v>
      </c>
      <c r="E459" s="11" t="s">
        <v>8</v>
      </c>
      <c r="F459" s="12">
        <v>140</v>
      </c>
      <c r="G459" s="13">
        <v>6.5</v>
      </c>
      <c r="H459" s="14">
        <v>910</v>
      </c>
      <c r="I459" s="12">
        <v>0</v>
      </c>
      <c r="J459" s="13"/>
      <c r="K459" s="14">
        <v>0</v>
      </c>
      <c r="L459" s="12">
        <v>50</v>
      </c>
      <c r="M459" s="13">
        <v>6.5</v>
      </c>
      <c r="N459" s="14">
        <v>325</v>
      </c>
      <c r="O459" s="12">
        <v>90</v>
      </c>
      <c r="P459" s="13">
        <v>6.5</v>
      </c>
      <c r="Q459" s="14">
        <v>585</v>
      </c>
      <c r="R459" s="11" t="s">
        <v>2971</v>
      </c>
      <c r="S459" s="11" t="s">
        <v>2972</v>
      </c>
      <c r="T459" s="11" t="s">
        <v>2966</v>
      </c>
    </row>
    <row r="460" spans="1:20" ht="50.1" hidden="1" customHeight="1">
      <c r="A460" s="10">
        <v>459</v>
      </c>
      <c r="B460" s="11" t="s">
        <v>3376</v>
      </c>
      <c r="C460" s="11" t="s">
        <v>3377</v>
      </c>
      <c r="D460" s="11" t="s">
        <v>17</v>
      </c>
      <c r="E460" s="11" t="s">
        <v>8</v>
      </c>
      <c r="F460" s="12">
        <v>776</v>
      </c>
      <c r="G460" s="13">
        <v>4</v>
      </c>
      <c r="H460" s="14">
        <v>3104</v>
      </c>
      <c r="I460" s="12">
        <v>0</v>
      </c>
      <c r="J460" s="13"/>
      <c r="K460" s="14">
        <v>0</v>
      </c>
      <c r="L460" s="12">
        <v>0</v>
      </c>
      <c r="M460" s="13"/>
      <c r="N460" s="14">
        <v>0</v>
      </c>
      <c r="O460" s="12">
        <v>776</v>
      </c>
      <c r="P460" s="13">
        <v>4</v>
      </c>
      <c r="Q460" s="14">
        <v>3104</v>
      </c>
      <c r="R460" s="11" t="s">
        <v>2971</v>
      </c>
      <c r="S460" s="11" t="s">
        <v>2972</v>
      </c>
      <c r="T460" s="11" t="s">
        <v>2966</v>
      </c>
    </row>
    <row r="461" spans="1:20" ht="50.1" hidden="1" customHeight="1">
      <c r="A461" s="10">
        <v>460</v>
      </c>
      <c r="B461" s="11" t="s">
        <v>3240</v>
      </c>
      <c r="C461" s="11" t="s">
        <v>3241</v>
      </c>
      <c r="D461" s="11" t="s">
        <v>17</v>
      </c>
      <c r="E461" s="11" t="s">
        <v>8</v>
      </c>
      <c r="F461" s="12">
        <v>271</v>
      </c>
      <c r="G461" s="13">
        <v>4</v>
      </c>
      <c r="H461" s="14">
        <v>1084</v>
      </c>
      <c r="I461" s="12">
        <v>0</v>
      </c>
      <c r="J461" s="13"/>
      <c r="K461" s="14">
        <v>0</v>
      </c>
      <c r="L461" s="12">
        <v>45</v>
      </c>
      <c r="M461" s="13">
        <v>4</v>
      </c>
      <c r="N461" s="14">
        <v>180</v>
      </c>
      <c r="O461" s="12">
        <v>226</v>
      </c>
      <c r="P461" s="13">
        <v>4</v>
      </c>
      <c r="Q461" s="14">
        <v>904</v>
      </c>
      <c r="R461" s="11" t="s">
        <v>2971</v>
      </c>
      <c r="S461" s="11" t="s">
        <v>2972</v>
      </c>
      <c r="T461" s="11" t="s">
        <v>2966</v>
      </c>
    </row>
    <row r="462" spans="1:20" ht="50.1" hidden="1" customHeight="1">
      <c r="A462" s="10">
        <v>461</v>
      </c>
      <c r="B462" s="11" t="s">
        <v>3194</v>
      </c>
      <c r="C462" s="11" t="s">
        <v>3195</v>
      </c>
      <c r="D462" s="11" t="s">
        <v>17</v>
      </c>
      <c r="E462" s="11" t="s">
        <v>8</v>
      </c>
      <c r="F462" s="12">
        <v>419</v>
      </c>
      <c r="G462" s="13">
        <v>6.5</v>
      </c>
      <c r="H462" s="14">
        <v>2723.5</v>
      </c>
      <c r="I462" s="12">
        <v>0</v>
      </c>
      <c r="J462" s="13"/>
      <c r="K462" s="14">
        <v>0</v>
      </c>
      <c r="L462" s="12">
        <v>220</v>
      </c>
      <c r="M462" s="13">
        <v>6.5</v>
      </c>
      <c r="N462" s="14">
        <v>1430</v>
      </c>
      <c r="O462" s="12">
        <v>199</v>
      </c>
      <c r="P462" s="13">
        <v>6.5</v>
      </c>
      <c r="Q462" s="14">
        <v>1293.5</v>
      </c>
      <c r="R462" s="11" t="s">
        <v>2971</v>
      </c>
      <c r="S462" s="11" t="s">
        <v>2972</v>
      </c>
      <c r="T462" s="11" t="s">
        <v>2966</v>
      </c>
    </row>
    <row r="463" spans="1:20" ht="50.1" hidden="1" customHeight="1">
      <c r="A463" s="10">
        <v>462</v>
      </c>
      <c r="B463" s="11" t="s">
        <v>3324</v>
      </c>
      <c r="C463" s="11" t="s">
        <v>3325</v>
      </c>
      <c r="D463" s="11" t="s">
        <v>17</v>
      </c>
      <c r="E463" s="11" t="s">
        <v>8</v>
      </c>
      <c r="F463" s="12">
        <v>1092</v>
      </c>
      <c r="G463" s="13">
        <v>9.5</v>
      </c>
      <c r="H463" s="14">
        <v>10374</v>
      </c>
      <c r="I463" s="12">
        <v>0</v>
      </c>
      <c r="J463" s="13"/>
      <c r="K463" s="14">
        <v>0</v>
      </c>
      <c r="L463" s="12">
        <v>0</v>
      </c>
      <c r="M463" s="13"/>
      <c r="N463" s="14">
        <v>0</v>
      </c>
      <c r="O463" s="12">
        <v>1092</v>
      </c>
      <c r="P463" s="13">
        <v>9.5</v>
      </c>
      <c r="Q463" s="14">
        <v>10374</v>
      </c>
      <c r="R463" s="11" t="s">
        <v>2971</v>
      </c>
      <c r="S463" s="11" t="s">
        <v>2972</v>
      </c>
      <c r="T463" s="11" t="s">
        <v>2966</v>
      </c>
    </row>
    <row r="464" spans="1:20" ht="50.1" hidden="1" customHeight="1">
      <c r="A464" s="10">
        <v>463</v>
      </c>
      <c r="B464" s="11" t="s">
        <v>3378</v>
      </c>
      <c r="C464" s="11" t="s">
        <v>3379</v>
      </c>
      <c r="D464" s="11" t="s">
        <v>17</v>
      </c>
      <c r="E464" s="11" t="s">
        <v>8</v>
      </c>
      <c r="F464" s="12">
        <v>1200</v>
      </c>
      <c r="G464" s="13">
        <v>0.6</v>
      </c>
      <c r="H464" s="14">
        <v>720</v>
      </c>
      <c r="I464" s="12">
        <v>0</v>
      </c>
      <c r="J464" s="13"/>
      <c r="K464" s="14">
        <v>0</v>
      </c>
      <c r="L464" s="12">
        <v>0</v>
      </c>
      <c r="M464" s="13"/>
      <c r="N464" s="14">
        <v>0</v>
      </c>
      <c r="O464" s="12">
        <v>1200</v>
      </c>
      <c r="P464" s="13">
        <v>0.6</v>
      </c>
      <c r="Q464" s="14">
        <v>720</v>
      </c>
      <c r="R464" s="11" t="s">
        <v>2971</v>
      </c>
      <c r="S464" s="11" t="s">
        <v>2972</v>
      </c>
      <c r="T464" s="11" t="s">
        <v>2961</v>
      </c>
    </row>
    <row r="465" spans="1:20" ht="50.1" hidden="1" customHeight="1">
      <c r="A465" s="10">
        <v>464</v>
      </c>
      <c r="B465" s="11" t="s">
        <v>3242</v>
      </c>
      <c r="C465" s="11" t="s">
        <v>3243</v>
      </c>
      <c r="D465" s="11" t="s">
        <v>17</v>
      </c>
      <c r="E465" s="11" t="s">
        <v>8</v>
      </c>
      <c r="F465" s="12">
        <v>281</v>
      </c>
      <c r="G465" s="13">
        <v>4</v>
      </c>
      <c r="H465" s="14">
        <v>1124</v>
      </c>
      <c r="I465" s="12">
        <v>0</v>
      </c>
      <c r="J465" s="13"/>
      <c r="K465" s="14">
        <v>0</v>
      </c>
      <c r="L465" s="12">
        <v>0</v>
      </c>
      <c r="M465" s="13"/>
      <c r="N465" s="14">
        <v>0</v>
      </c>
      <c r="O465" s="12">
        <v>281</v>
      </c>
      <c r="P465" s="13">
        <v>4</v>
      </c>
      <c r="Q465" s="14">
        <v>1124</v>
      </c>
      <c r="R465" s="11" t="s">
        <v>2971</v>
      </c>
      <c r="S465" s="11" t="s">
        <v>2972</v>
      </c>
      <c r="T465" s="11" t="s">
        <v>2966</v>
      </c>
    </row>
    <row r="466" spans="1:20" ht="50.1" hidden="1" customHeight="1">
      <c r="A466" s="10">
        <v>465</v>
      </c>
      <c r="B466" s="11" t="s">
        <v>3244</v>
      </c>
      <c r="C466" s="11" t="s">
        <v>3245</v>
      </c>
      <c r="D466" s="11" t="s">
        <v>17</v>
      </c>
      <c r="E466" s="11" t="s">
        <v>8</v>
      </c>
      <c r="F466" s="12">
        <v>2005</v>
      </c>
      <c r="G466" s="13">
        <v>6.5295860299999999</v>
      </c>
      <c r="H466" s="14">
        <v>13091.82</v>
      </c>
      <c r="I466" s="12">
        <v>0</v>
      </c>
      <c r="J466" s="13"/>
      <c r="K466" s="14">
        <v>0</v>
      </c>
      <c r="L466" s="12">
        <v>250</v>
      </c>
      <c r="M466" s="13">
        <v>6.5296000000000003</v>
      </c>
      <c r="N466" s="14">
        <v>1632.4</v>
      </c>
      <c r="O466" s="12">
        <v>1755</v>
      </c>
      <c r="P466" s="13">
        <v>6.5295840500000004</v>
      </c>
      <c r="Q466" s="14">
        <v>11459.42</v>
      </c>
      <c r="R466" s="11" t="s">
        <v>2971</v>
      </c>
      <c r="S466" s="11" t="s">
        <v>2972</v>
      </c>
      <c r="T466" s="11" t="s">
        <v>2966</v>
      </c>
    </row>
    <row r="467" spans="1:20" ht="50.1" hidden="1" customHeight="1">
      <c r="A467" s="10">
        <v>466</v>
      </c>
      <c r="B467" s="11" t="s">
        <v>3326</v>
      </c>
      <c r="C467" s="11" t="s">
        <v>3327</v>
      </c>
      <c r="D467" s="11" t="s">
        <v>17</v>
      </c>
      <c r="E467" s="11" t="s">
        <v>8</v>
      </c>
      <c r="F467" s="12">
        <v>8081</v>
      </c>
      <c r="G467" s="13">
        <v>8.5</v>
      </c>
      <c r="H467" s="14">
        <v>68688.5</v>
      </c>
      <c r="I467" s="12">
        <v>1130</v>
      </c>
      <c r="J467" s="13">
        <v>8.5</v>
      </c>
      <c r="K467" s="14">
        <v>9605</v>
      </c>
      <c r="L467" s="12">
        <v>1904</v>
      </c>
      <c r="M467" s="13">
        <v>8.5</v>
      </c>
      <c r="N467" s="14">
        <v>16184</v>
      </c>
      <c r="O467" s="12">
        <v>7307</v>
      </c>
      <c r="P467" s="13">
        <v>8.5</v>
      </c>
      <c r="Q467" s="14">
        <v>62109.5</v>
      </c>
      <c r="R467" s="11" t="s">
        <v>2971</v>
      </c>
      <c r="S467" s="11" t="s">
        <v>2972</v>
      </c>
      <c r="T467" s="11" t="s">
        <v>2966</v>
      </c>
    </row>
    <row r="468" spans="1:20" ht="50.1" hidden="1" customHeight="1">
      <c r="A468" s="10">
        <v>467</v>
      </c>
      <c r="B468" s="11" t="s">
        <v>1572</v>
      </c>
      <c r="C468" s="11" t="s">
        <v>1573</v>
      </c>
      <c r="D468" s="11" t="s">
        <v>116</v>
      </c>
      <c r="E468" s="11" t="s">
        <v>8</v>
      </c>
      <c r="F468" s="12">
        <v>226</v>
      </c>
      <c r="G468" s="13">
        <v>2458.0144265499998</v>
      </c>
      <c r="H468" s="14">
        <v>555511.26040000003</v>
      </c>
      <c r="I468" s="12">
        <v>0</v>
      </c>
      <c r="J468" s="13"/>
      <c r="K468" s="14">
        <v>0</v>
      </c>
      <c r="L468" s="12">
        <v>0</v>
      </c>
      <c r="M468" s="13"/>
      <c r="N468" s="14">
        <v>0</v>
      </c>
      <c r="O468" s="12">
        <v>226</v>
      </c>
      <c r="P468" s="13">
        <v>2458.0144265499998</v>
      </c>
      <c r="Q468" s="14">
        <v>555511.26040000003</v>
      </c>
      <c r="R468" s="11" t="s">
        <v>2973</v>
      </c>
      <c r="S468" s="11" t="s">
        <v>2974</v>
      </c>
      <c r="T468" s="11" t="s">
        <v>2966</v>
      </c>
    </row>
    <row r="469" spans="1:20" ht="50.1" hidden="1" customHeight="1">
      <c r="A469" s="10">
        <v>468</v>
      </c>
      <c r="B469" s="11" t="s">
        <v>1574</v>
      </c>
      <c r="C469" s="11" t="s">
        <v>1575</v>
      </c>
      <c r="D469" s="11" t="s">
        <v>116</v>
      </c>
      <c r="E469" s="11" t="s">
        <v>8</v>
      </c>
      <c r="F469" s="12">
        <v>209</v>
      </c>
      <c r="G469" s="13">
        <v>2587.2370143500002</v>
      </c>
      <c r="H469" s="14">
        <v>540732.53599999996</v>
      </c>
      <c r="I469" s="12">
        <v>0</v>
      </c>
      <c r="J469" s="13"/>
      <c r="K469" s="14">
        <v>0</v>
      </c>
      <c r="L469" s="12">
        <v>38</v>
      </c>
      <c r="M469" s="13">
        <v>2587.23684211</v>
      </c>
      <c r="N469" s="14">
        <v>98315</v>
      </c>
      <c r="O469" s="12">
        <v>171</v>
      </c>
      <c r="P469" s="13">
        <v>2587.2370526300001</v>
      </c>
      <c r="Q469" s="14">
        <v>442417.53600000002</v>
      </c>
      <c r="R469" s="11" t="s">
        <v>2973</v>
      </c>
      <c r="S469" s="11" t="s">
        <v>2974</v>
      </c>
      <c r="T469" s="11" t="s">
        <v>2966</v>
      </c>
    </row>
    <row r="470" spans="1:20" ht="50.1" hidden="1" customHeight="1">
      <c r="A470" s="10">
        <v>469</v>
      </c>
      <c r="B470" s="11" t="s">
        <v>1576</v>
      </c>
      <c r="C470" s="11" t="s">
        <v>1577</v>
      </c>
      <c r="D470" s="11" t="s">
        <v>17</v>
      </c>
      <c r="E470" s="11" t="s">
        <v>8</v>
      </c>
      <c r="F470" s="12">
        <v>196</v>
      </c>
      <c r="G470" s="13">
        <v>401</v>
      </c>
      <c r="H470" s="14">
        <v>78596</v>
      </c>
      <c r="I470" s="12">
        <v>0</v>
      </c>
      <c r="J470" s="13"/>
      <c r="K470" s="14">
        <v>0</v>
      </c>
      <c r="L470" s="12">
        <v>0</v>
      </c>
      <c r="M470" s="13"/>
      <c r="N470" s="14">
        <v>0</v>
      </c>
      <c r="O470" s="12">
        <v>196</v>
      </c>
      <c r="P470" s="13">
        <v>401</v>
      </c>
      <c r="Q470" s="14">
        <v>78596</v>
      </c>
      <c r="R470" s="11" t="s">
        <v>2981</v>
      </c>
      <c r="S470" s="11" t="s">
        <v>2982</v>
      </c>
      <c r="T470" s="11" t="s">
        <v>2966</v>
      </c>
    </row>
    <row r="471" spans="1:20" ht="50.1" hidden="1" customHeight="1">
      <c r="A471" s="10">
        <v>470</v>
      </c>
      <c r="B471" s="11" t="s">
        <v>1578</v>
      </c>
      <c r="C471" s="11" t="s">
        <v>1579</v>
      </c>
      <c r="D471" s="11" t="s">
        <v>17</v>
      </c>
      <c r="E471" s="11" t="s">
        <v>8</v>
      </c>
      <c r="F471" s="12">
        <v>229</v>
      </c>
      <c r="G471" s="13">
        <v>341</v>
      </c>
      <c r="H471" s="14">
        <v>78089</v>
      </c>
      <c r="I471" s="12">
        <v>0</v>
      </c>
      <c r="J471" s="13"/>
      <c r="K471" s="14">
        <v>0</v>
      </c>
      <c r="L471" s="12">
        <v>0</v>
      </c>
      <c r="M471" s="13"/>
      <c r="N471" s="14">
        <v>0</v>
      </c>
      <c r="O471" s="12">
        <v>229</v>
      </c>
      <c r="P471" s="13">
        <v>341</v>
      </c>
      <c r="Q471" s="14">
        <v>78089</v>
      </c>
      <c r="R471" s="11" t="s">
        <v>2981</v>
      </c>
      <c r="S471" s="11" t="s">
        <v>2982</v>
      </c>
      <c r="T471" s="11" t="s">
        <v>2966</v>
      </c>
    </row>
    <row r="472" spans="1:20" ht="50.1" hidden="1" customHeight="1">
      <c r="A472" s="10">
        <v>471</v>
      </c>
      <c r="B472" s="11" t="s">
        <v>1580</v>
      </c>
      <c r="C472" s="11" t="s">
        <v>1581</v>
      </c>
      <c r="D472" s="11" t="s">
        <v>17</v>
      </c>
      <c r="E472" s="11" t="s">
        <v>8</v>
      </c>
      <c r="F472" s="12">
        <v>190</v>
      </c>
      <c r="G472" s="13">
        <v>95.221368420000005</v>
      </c>
      <c r="H472" s="14">
        <v>18092.060000000001</v>
      </c>
      <c r="I472" s="12">
        <v>0</v>
      </c>
      <c r="J472" s="13"/>
      <c r="K472" s="14">
        <v>0</v>
      </c>
      <c r="L472" s="12">
        <v>35</v>
      </c>
      <c r="M472" s="13">
        <v>95.22142857</v>
      </c>
      <c r="N472" s="14">
        <v>3332.75</v>
      </c>
      <c r="O472" s="12">
        <v>155</v>
      </c>
      <c r="P472" s="13">
        <v>95.221354840000004</v>
      </c>
      <c r="Q472" s="14">
        <v>14759.31</v>
      </c>
      <c r="R472" s="11" t="s">
        <v>2971</v>
      </c>
      <c r="S472" s="11" t="s">
        <v>2972</v>
      </c>
      <c r="T472" s="11" t="s">
        <v>2961</v>
      </c>
    </row>
    <row r="473" spans="1:20" ht="50.1" hidden="1" customHeight="1">
      <c r="A473" s="10">
        <v>472</v>
      </c>
      <c r="B473" s="11" t="s">
        <v>2787</v>
      </c>
      <c r="C473" s="11" t="s">
        <v>2788</v>
      </c>
      <c r="D473" s="11" t="s">
        <v>7</v>
      </c>
      <c r="E473" s="11" t="s">
        <v>8</v>
      </c>
      <c r="F473" s="12">
        <v>23900</v>
      </c>
      <c r="G473" s="13">
        <v>3.0568481200000002</v>
      </c>
      <c r="H473" s="14">
        <v>73058.67</v>
      </c>
      <c r="I473" s="12">
        <v>15000</v>
      </c>
      <c r="J473" s="13">
        <v>3.1</v>
      </c>
      <c r="K473" s="14">
        <v>46500</v>
      </c>
      <c r="L473" s="12">
        <v>5500</v>
      </c>
      <c r="M473" s="13">
        <v>3.0634545499999999</v>
      </c>
      <c r="N473" s="14">
        <v>16849</v>
      </c>
      <c r="O473" s="12">
        <v>33400</v>
      </c>
      <c r="P473" s="13">
        <v>3.07513982</v>
      </c>
      <c r="Q473" s="14">
        <v>102709.67</v>
      </c>
      <c r="R473" s="11" t="s">
        <v>2971</v>
      </c>
      <c r="S473" s="11" t="s">
        <v>2972</v>
      </c>
      <c r="T473" s="11" t="s">
        <v>2966</v>
      </c>
    </row>
    <row r="474" spans="1:20" ht="50.1" hidden="1" customHeight="1">
      <c r="A474" s="10">
        <v>473</v>
      </c>
      <c r="B474" s="11" t="s">
        <v>2789</v>
      </c>
      <c r="C474" s="11" t="s">
        <v>2790</v>
      </c>
      <c r="D474" s="11" t="s">
        <v>17</v>
      </c>
      <c r="E474" s="11" t="s">
        <v>8</v>
      </c>
      <c r="F474" s="12">
        <v>3490</v>
      </c>
      <c r="G474" s="13">
        <v>7.5</v>
      </c>
      <c r="H474" s="14">
        <v>26175</v>
      </c>
      <c r="I474" s="12">
        <v>0</v>
      </c>
      <c r="J474" s="13"/>
      <c r="K474" s="14">
        <v>0</v>
      </c>
      <c r="L474" s="12">
        <v>200</v>
      </c>
      <c r="M474" s="13">
        <v>7.5</v>
      </c>
      <c r="N474" s="14">
        <v>1500</v>
      </c>
      <c r="O474" s="12">
        <v>3290</v>
      </c>
      <c r="P474" s="13">
        <v>7.5</v>
      </c>
      <c r="Q474" s="14">
        <v>24675</v>
      </c>
      <c r="R474" s="11" t="s">
        <v>2971</v>
      </c>
      <c r="S474" s="11" t="s">
        <v>2972</v>
      </c>
      <c r="T474" s="11" t="s">
        <v>2966</v>
      </c>
    </row>
    <row r="475" spans="1:20" ht="50.1" hidden="1" customHeight="1">
      <c r="A475" s="10">
        <v>474</v>
      </c>
      <c r="B475" s="11" t="s">
        <v>2791</v>
      </c>
      <c r="C475" s="11" t="s">
        <v>2792</v>
      </c>
      <c r="D475" s="11" t="s">
        <v>7</v>
      </c>
      <c r="E475" s="11" t="s">
        <v>8</v>
      </c>
      <c r="F475" s="12">
        <v>186700</v>
      </c>
      <c r="G475" s="13">
        <v>3.0924444599999998</v>
      </c>
      <c r="H475" s="14">
        <v>577359.38</v>
      </c>
      <c r="I475" s="12">
        <v>0</v>
      </c>
      <c r="J475" s="13"/>
      <c r="K475" s="14">
        <v>0</v>
      </c>
      <c r="L475" s="12">
        <v>66500</v>
      </c>
      <c r="M475" s="13">
        <v>3.0924</v>
      </c>
      <c r="N475" s="14">
        <v>205644.6</v>
      </c>
      <c r="O475" s="12">
        <v>120200</v>
      </c>
      <c r="P475" s="13">
        <v>3.0924690500000001</v>
      </c>
      <c r="Q475" s="14">
        <v>371714.78</v>
      </c>
      <c r="R475" s="11" t="s">
        <v>2971</v>
      </c>
      <c r="S475" s="11" t="s">
        <v>2972</v>
      </c>
      <c r="T475" s="11" t="s">
        <v>2966</v>
      </c>
    </row>
    <row r="476" spans="1:20" ht="50.1" hidden="1" customHeight="1">
      <c r="A476" s="10">
        <v>475</v>
      </c>
      <c r="B476" s="11" t="s">
        <v>1582</v>
      </c>
      <c r="C476" s="11" t="s">
        <v>1583</v>
      </c>
      <c r="D476" s="11" t="s">
        <v>17</v>
      </c>
      <c r="E476" s="11" t="s">
        <v>8</v>
      </c>
      <c r="F476" s="12">
        <v>0</v>
      </c>
      <c r="G476" s="13"/>
      <c r="H476" s="14">
        <v>0</v>
      </c>
      <c r="I476" s="12">
        <v>352</v>
      </c>
      <c r="J476" s="13">
        <v>63.892045449999998</v>
      </c>
      <c r="K476" s="14">
        <v>22490</v>
      </c>
      <c r="L476" s="12">
        <v>50</v>
      </c>
      <c r="M476" s="13">
        <v>58.837400000000002</v>
      </c>
      <c r="N476" s="14">
        <v>2941.87</v>
      </c>
      <c r="O476" s="12">
        <v>302</v>
      </c>
      <c r="P476" s="13">
        <v>64.728907280000001</v>
      </c>
      <c r="Q476" s="14">
        <v>19548.13</v>
      </c>
      <c r="R476" s="11" t="s">
        <v>2971</v>
      </c>
      <c r="S476" s="11" t="s">
        <v>2972</v>
      </c>
      <c r="T476" s="11" t="s">
        <v>2961</v>
      </c>
    </row>
    <row r="477" spans="1:20" ht="50.1" hidden="1" customHeight="1">
      <c r="A477" s="10">
        <v>476</v>
      </c>
      <c r="B477" s="11" t="s">
        <v>1584</v>
      </c>
      <c r="C477" s="11" t="s">
        <v>1585</v>
      </c>
      <c r="D477" s="11" t="s">
        <v>17</v>
      </c>
      <c r="E477" s="11" t="s">
        <v>8</v>
      </c>
      <c r="F477" s="12">
        <v>287</v>
      </c>
      <c r="G477" s="13">
        <v>25.691254359999999</v>
      </c>
      <c r="H477" s="14">
        <v>7373.39</v>
      </c>
      <c r="I477" s="12">
        <v>0</v>
      </c>
      <c r="J477" s="13"/>
      <c r="K477" s="14">
        <v>0</v>
      </c>
      <c r="L477" s="12">
        <v>0</v>
      </c>
      <c r="M477" s="13"/>
      <c r="N477" s="14">
        <v>0</v>
      </c>
      <c r="O477" s="12">
        <v>287</v>
      </c>
      <c r="P477" s="13">
        <v>25.691254359999999</v>
      </c>
      <c r="Q477" s="14">
        <v>7373.39</v>
      </c>
      <c r="R477" s="11" t="s">
        <v>2971</v>
      </c>
      <c r="S477" s="11" t="s">
        <v>2972</v>
      </c>
      <c r="T477" s="11" t="s">
        <v>2961</v>
      </c>
    </row>
    <row r="478" spans="1:20" ht="50.1" hidden="1" customHeight="1">
      <c r="A478" s="10">
        <v>477</v>
      </c>
      <c r="B478" s="11" t="s">
        <v>3380</v>
      </c>
      <c r="C478" s="11" t="s">
        <v>3381</v>
      </c>
      <c r="D478" s="11" t="s">
        <v>17</v>
      </c>
      <c r="E478" s="11" t="s">
        <v>8</v>
      </c>
      <c r="F478" s="12">
        <v>1065</v>
      </c>
      <c r="G478" s="13">
        <v>0.9</v>
      </c>
      <c r="H478" s="14">
        <v>958.5</v>
      </c>
      <c r="I478" s="12">
        <v>0</v>
      </c>
      <c r="J478" s="13"/>
      <c r="K478" s="14">
        <v>0</v>
      </c>
      <c r="L478" s="12">
        <v>1065</v>
      </c>
      <c r="M478" s="13">
        <v>0.9</v>
      </c>
      <c r="N478" s="14">
        <v>958.5</v>
      </c>
      <c r="O478" s="12">
        <v>0</v>
      </c>
      <c r="P478" s="13"/>
      <c r="Q478" s="14">
        <v>0</v>
      </c>
      <c r="R478" s="11" t="s">
        <v>2971</v>
      </c>
      <c r="S478" s="11" t="s">
        <v>2972</v>
      </c>
      <c r="T478" s="11" t="s">
        <v>2966</v>
      </c>
    </row>
    <row r="479" spans="1:20" ht="50.1" hidden="1" customHeight="1">
      <c r="A479" s="10">
        <v>478</v>
      </c>
      <c r="B479" s="11" t="s">
        <v>1586</v>
      </c>
      <c r="C479" s="11" t="s">
        <v>1587</v>
      </c>
      <c r="D479" s="11" t="s">
        <v>17</v>
      </c>
      <c r="E479" s="11" t="s">
        <v>8</v>
      </c>
      <c r="F479" s="12">
        <v>450</v>
      </c>
      <c r="G479" s="13">
        <v>63.826626439999998</v>
      </c>
      <c r="H479" s="14">
        <v>28721.981899999999</v>
      </c>
      <c r="I479" s="12">
        <v>400</v>
      </c>
      <c r="J479" s="13">
        <v>64</v>
      </c>
      <c r="K479" s="14">
        <v>25600</v>
      </c>
      <c r="L479" s="12">
        <v>550</v>
      </c>
      <c r="M479" s="13">
        <v>63.889654550000003</v>
      </c>
      <c r="N479" s="14">
        <v>35139.31</v>
      </c>
      <c r="O479" s="12">
        <v>300</v>
      </c>
      <c r="P479" s="13">
        <v>63.942239669999999</v>
      </c>
      <c r="Q479" s="14">
        <v>19182.671900000001</v>
      </c>
      <c r="R479" s="11" t="s">
        <v>2971</v>
      </c>
      <c r="S479" s="11" t="s">
        <v>2972</v>
      </c>
      <c r="T479" s="11" t="s">
        <v>2966</v>
      </c>
    </row>
    <row r="480" spans="1:20" ht="50.1" hidden="1" customHeight="1">
      <c r="A480" s="10">
        <v>479</v>
      </c>
      <c r="B480" s="11" t="s">
        <v>1588</v>
      </c>
      <c r="C480" s="11" t="s">
        <v>1589</v>
      </c>
      <c r="D480" s="11" t="s">
        <v>17</v>
      </c>
      <c r="E480" s="11" t="s">
        <v>8</v>
      </c>
      <c r="F480" s="12">
        <v>204</v>
      </c>
      <c r="G480" s="13">
        <v>373</v>
      </c>
      <c r="H480" s="14">
        <v>76092</v>
      </c>
      <c r="I480" s="12">
        <v>0</v>
      </c>
      <c r="J480" s="13"/>
      <c r="K480" s="14">
        <v>0</v>
      </c>
      <c r="L480" s="12">
        <v>0</v>
      </c>
      <c r="M480" s="13"/>
      <c r="N480" s="14">
        <v>0</v>
      </c>
      <c r="O480" s="12">
        <v>204</v>
      </c>
      <c r="P480" s="13">
        <v>373</v>
      </c>
      <c r="Q480" s="14">
        <v>76092</v>
      </c>
      <c r="R480" s="11" t="s">
        <v>2981</v>
      </c>
      <c r="S480" s="11" t="s">
        <v>2982</v>
      </c>
      <c r="T480" s="11" t="s">
        <v>2966</v>
      </c>
    </row>
    <row r="481" spans="1:20" ht="50.1" hidden="1" customHeight="1">
      <c r="A481" s="10">
        <v>480</v>
      </c>
      <c r="B481" s="11" t="s">
        <v>1590</v>
      </c>
      <c r="C481" s="11" t="s">
        <v>1591</v>
      </c>
      <c r="D481" s="11" t="s">
        <v>17</v>
      </c>
      <c r="E481" s="11" t="s">
        <v>8</v>
      </c>
      <c r="F481" s="12">
        <v>800</v>
      </c>
      <c r="G481" s="13">
        <v>33.600004499999997</v>
      </c>
      <c r="H481" s="14">
        <v>26880.0036</v>
      </c>
      <c r="I481" s="12">
        <v>500</v>
      </c>
      <c r="J481" s="13">
        <v>33.6</v>
      </c>
      <c r="K481" s="14">
        <v>16800</v>
      </c>
      <c r="L481" s="12">
        <v>400</v>
      </c>
      <c r="M481" s="13">
        <v>33.6</v>
      </c>
      <c r="N481" s="14">
        <v>13440</v>
      </c>
      <c r="O481" s="12">
        <v>900</v>
      </c>
      <c r="P481" s="13">
        <v>33.600003999999998</v>
      </c>
      <c r="Q481" s="14">
        <v>30240.0036</v>
      </c>
      <c r="R481" s="11" t="s">
        <v>2971</v>
      </c>
      <c r="S481" s="11" t="s">
        <v>2972</v>
      </c>
      <c r="T481" s="11" t="s">
        <v>2966</v>
      </c>
    </row>
    <row r="482" spans="1:20" ht="50.1" hidden="1" customHeight="1">
      <c r="A482" s="10">
        <v>481</v>
      </c>
      <c r="B482" s="11" t="s">
        <v>1592</v>
      </c>
      <c r="C482" s="11" t="s">
        <v>1593</v>
      </c>
      <c r="D482" s="11" t="s">
        <v>20</v>
      </c>
      <c r="E482" s="11" t="s">
        <v>8</v>
      </c>
      <c r="F482" s="12">
        <v>426.78</v>
      </c>
      <c r="G482" s="13">
        <v>47.999999770000002</v>
      </c>
      <c r="H482" s="14">
        <v>20485.439900000001</v>
      </c>
      <c r="I482" s="12">
        <v>991</v>
      </c>
      <c r="J482" s="13">
        <v>48</v>
      </c>
      <c r="K482" s="14">
        <v>47568</v>
      </c>
      <c r="L482" s="12">
        <v>464.28</v>
      </c>
      <c r="M482" s="13">
        <v>48</v>
      </c>
      <c r="N482" s="14">
        <v>22285.439999999999</v>
      </c>
      <c r="O482" s="12">
        <v>953.5</v>
      </c>
      <c r="P482" s="13">
        <v>47.999999899999999</v>
      </c>
      <c r="Q482" s="14">
        <v>45767.999900000003</v>
      </c>
      <c r="R482" s="11" t="s">
        <v>2971</v>
      </c>
      <c r="S482" s="11" t="s">
        <v>2972</v>
      </c>
      <c r="T482" s="11" t="s">
        <v>2961</v>
      </c>
    </row>
    <row r="483" spans="1:20" ht="50.1" hidden="1" customHeight="1">
      <c r="A483" s="10">
        <v>482</v>
      </c>
      <c r="B483" s="11" t="s">
        <v>1594</v>
      </c>
      <c r="C483" s="11" t="s">
        <v>1595</v>
      </c>
      <c r="D483" s="11" t="s">
        <v>17</v>
      </c>
      <c r="E483" s="11" t="s">
        <v>8</v>
      </c>
      <c r="F483" s="12">
        <v>288</v>
      </c>
      <c r="G483" s="13">
        <v>96.499982639999999</v>
      </c>
      <c r="H483" s="14">
        <v>27791.994999999999</v>
      </c>
      <c r="I483" s="12">
        <v>97</v>
      </c>
      <c r="J483" s="13">
        <v>96.5</v>
      </c>
      <c r="K483" s="14">
        <v>9360.5</v>
      </c>
      <c r="L483" s="12">
        <v>162</v>
      </c>
      <c r="M483" s="13">
        <v>96.5</v>
      </c>
      <c r="N483" s="14">
        <v>15633</v>
      </c>
      <c r="O483" s="12">
        <v>223</v>
      </c>
      <c r="P483" s="13">
        <v>96.499977580000007</v>
      </c>
      <c r="Q483" s="14">
        <v>21519.494999999999</v>
      </c>
      <c r="R483" s="11" t="s">
        <v>2971</v>
      </c>
      <c r="S483" s="11" t="s">
        <v>2972</v>
      </c>
      <c r="T483" s="11" t="s">
        <v>2966</v>
      </c>
    </row>
    <row r="484" spans="1:20" ht="50.1" hidden="1" customHeight="1">
      <c r="A484" s="10">
        <v>483</v>
      </c>
      <c r="B484" s="11" t="s">
        <v>1596</v>
      </c>
      <c r="C484" s="11" t="s">
        <v>1597</v>
      </c>
      <c r="D484" s="11" t="s">
        <v>17</v>
      </c>
      <c r="E484" s="11" t="s">
        <v>8</v>
      </c>
      <c r="F484" s="12">
        <v>7500</v>
      </c>
      <c r="G484" s="13">
        <v>4</v>
      </c>
      <c r="H484" s="14">
        <v>30000</v>
      </c>
      <c r="I484" s="12">
        <v>0</v>
      </c>
      <c r="J484" s="13"/>
      <c r="K484" s="14">
        <v>0</v>
      </c>
      <c r="L484" s="12">
        <v>250</v>
      </c>
      <c r="M484" s="13">
        <v>4</v>
      </c>
      <c r="N484" s="14">
        <v>1000</v>
      </c>
      <c r="O484" s="12">
        <v>7250</v>
      </c>
      <c r="P484" s="13">
        <v>4</v>
      </c>
      <c r="Q484" s="14">
        <v>29000</v>
      </c>
      <c r="R484" s="11" t="s">
        <v>2971</v>
      </c>
      <c r="S484" s="11" t="s">
        <v>2972</v>
      </c>
      <c r="T484" s="11" t="s">
        <v>2966</v>
      </c>
    </row>
    <row r="485" spans="1:20" ht="50.1" hidden="1" customHeight="1">
      <c r="A485" s="10">
        <v>484</v>
      </c>
      <c r="B485" s="11" t="s">
        <v>3516</v>
      </c>
      <c r="C485" s="11" t="s">
        <v>3517</v>
      </c>
      <c r="D485" s="11" t="s">
        <v>17</v>
      </c>
      <c r="E485" s="11" t="s">
        <v>8</v>
      </c>
      <c r="F485" s="12">
        <v>6100</v>
      </c>
      <c r="G485" s="13">
        <v>9</v>
      </c>
      <c r="H485" s="14">
        <v>54900</v>
      </c>
      <c r="I485" s="12">
        <v>10100</v>
      </c>
      <c r="J485" s="13">
        <v>9</v>
      </c>
      <c r="K485" s="14">
        <v>90900</v>
      </c>
      <c r="L485" s="12">
        <v>5600</v>
      </c>
      <c r="M485" s="13">
        <v>9</v>
      </c>
      <c r="N485" s="14">
        <v>50400</v>
      </c>
      <c r="O485" s="12">
        <v>10600</v>
      </c>
      <c r="P485" s="13">
        <v>9</v>
      </c>
      <c r="Q485" s="14">
        <v>95400</v>
      </c>
      <c r="R485" s="11" t="s">
        <v>2971</v>
      </c>
      <c r="S485" s="11" t="s">
        <v>2972</v>
      </c>
      <c r="T485" s="11" t="s">
        <v>2966</v>
      </c>
    </row>
    <row r="486" spans="1:20" ht="50.1" hidden="1" customHeight="1">
      <c r="A486" s="10">
        <v>485</v>
      </c>
      <c r="B486" s="11" t="s">
        <v>3216</v>
      </c>
      <c r="C486" s="11" t="s">
        <v>3217</v>
      </c>
      <c r="D486" s="11" t="s">
        <v>17</v>
      </c>
      <c r="E486" s="11" t="s">
        <v>8</v>
      </c>
      <c r="F486" s="12">
        <v>7400</v>
      </c>
      <c r="G486" s="13">
        <v>8.9783810800000001</v>
      </c>
      <c r="H486" s="14">
        <v>66440.02</v>
      </c>
      <c r="I486" s="12">
        <v>0</v>
      </c>
      <c r="J486" s="13"/>
      <c r="K486" s="14">
        <v>0</v>
      </c>
      <c r="L486" s="12">
        <v>5000</v>
      </c>
      <c r="M486" s="13">
        <v>8.9784000000000006</v>
      </c>
      <c r="N486" s="14">
        <v>44892</v>
      </c>
      <c r="O486" s="12">
        <v>2400</v>
      </c>
      <c r="P486" s="13">
        <v>8.9783416700000007</v>
      </c>
      <c r="Q486" s="14">
        <v>21548.02</v>
      </c>
      <c r="R486" s="11" t="s">
        <v>2971</v>
      </c>
      <c r="S486" s="11" t="s">
        <v>2972</v>
      </c>
      <c r="T486" s="11" t="s">
        <v>2966</v>
      </c>
    </row>
    <row r="487" spans="1:20" ht="50.1" hidden="1" customHeight="1">
      <c r="A487" s="10">
        <v>486</v>
      </c>
      <c r="B487" s="11" t="s">
        <v>3524</v>
      </c>
      <c r="C487" s="11" t="s">
        <v>3525</v>
      </c>
      <c r="D487" s="11" t="s">
        <v>17</v>
      </c>
      <c r="E487" s="11" t="s">
        <v>8</v>
      </c>
      <c r="F487" s="12">
        <v>2000</v>
      </c>
      <c r="G487" s="13">
        <v>9</v>
      </c>
      <c r="H487" s="14">
        <v>18000</v>
      </c>
      <c r="I487" s="12">
        <v>5000</v>
      </c>
      <c r="J487" s="13">
        <v>9</v>
      </c>
      <c r="K487" s="14">
        <v>45000</v>
      </c>
      <c r="L487" s="12">
        <v>0</v>
      </c>
      <c r="M487" s="13"/>
      <c r="N487" s="14">
        <v>0</v>
      </c>
      <c r="O487" s="12">
        <v>7000</v>
      </c>
      <c r="P487" s="13">
        <v>9</v>
      </c>
      <c r="Q487" s="14">
        <v>63000</v>
      </c>
      <c r="R487" s="11" t="s">
        <v>2971</v>
      </c>
      <c r="S487" s="11" t="s">
        <v>2972</v>
      </c>
      <c r="T487" s="11" t="s">
        <v>2966</v>
      </c>
    </row>
    <row r="488" spans="1:20" ht="50.1" hidden="1" customHeight="1">
      <c r="A488" s="10">
        <v>487</v>
      </c>
      <c r="B488" s="11" t="s">
        <v>3218</v>
      </c>
      <c r="C488" s="11" t="s">
        <v>3219</v>
      </c>
      <c r="D488" s="11" t="s">
        <v>17</v>
      </c>
      <c r="E488" s="11" t="s">
        <v>8</v>
      </c>
      <c r="F488" s="12">
        <v>4600</v>
      </c>
      <c r="G488" s="13">
        <v>9</v>
      </c>
      <c r="H488" s="14">
        <v>41400</v>
      </c>
      <c r="I488" s="12">
        <v>0</v>
      </c>
      <c r="J488" s="13"/>
      <c r="K488" s="14">
        <v>0</v>
      </c>
      <c r="L488" s="12">
        <v>3500</v>
      </c>
      <c r="M488" s="13">
        <v>9</v>
      </c>
      <c r="N488" s="14">
        <v>31500</v>
      </c>
      <c r="O488" s="12">
        <v>1100</v>
      </c>
      <c r="P488" s="13">
        <v>9</v>
      </c>
      <c r="Q488" s="14">
        <v>9900</v>
      </c>
      <c r="R488" s="11" t="s">
        <v>2971</v>
      </c>
      <c r="S488" s="11" t="s">
        <v>2972</v>
      </c>
      <c r="T488" s="11" t="s">
        <v>2966</v>
      </c>
    </row>
    <row r="489" spans="1:20" ht="50.1" hidden="1" customHeight="1">
      <c r="A489" s="10">
        <v>488</v>
      </c>
      <c r="B489" s="11" t="s">
        <v>3548</v>
      </c>
      <c r="C489" s="11" t="s">
        <v>3549</v>
      </c>
      <c r="D489" s="11" t="s">
        <v>17</v>
      </c>
      <c r="E489" s="11" t="s">
        <v>8</v>
      </c>
      <c r="F489" s="12">
        <v>0</v>
      </c>
      <c r="G489" s="13"/>
      <c r="H489" s="14">
        <v>0</v>
      </c>
      <c r="I489" s="12">
        <v>3600</v>
      </c>
      <c r="J489" s="13">
        <v>9</v>
      </c>
      <c r="K489" s="14">
        <v>32400</v>
      </c>
      <c r="L489" s="12">
        <v>0</v>
      </c>
      <c r="M489" s="13"/>
      <c r="N489" s="14">
        <v>0</v>
      </c>
      <c r="O489" s="12">
        <v>3600</v>
      </c>
      <c r="P489" s="13">
        <v>9</v>
      </c>
      <c r="Q489" s="14">
        <v>32400</v>
      </c>
      <c r="R489" s="11" t="s">
        <v>2971</v>
      </c>
      <c r="S489" s="11" t="s">
        <v>2972</v>
      </c>
      <c r="T489" s="11" t="s">
        <v>2966</v>
      </c>
    </row>
    <row r="490" spans="1:20" ht="50.1" hidden="1" customHeight="1">
      <c r="A490" s="10">
        <v>489</v>
      </c>
      <c r="B490" s="11" t="s">
        <v>3220</v>
      </c>
      <c r="C490" s="11" t="s">
        <v>3221</v>
      </c>
      <c r="D490" s="11" t="s">
        <v>17</v>
      </c>
      <c r="E490" s="11" t="s">
        <v>8</v>
      </c>
      <c r="F490" s="12">
        <v>1400</v>
      </c>
      <c r="G490" s="13">
        <v>9.6</v>
      </c>
      <c r="H490" s="14">
        <v>13440</v>
      </c>
      <c r="I490" s="12">
        <v>0</v>
      </c>
      <c r="J490" s="13"/>
      <c r="K490" s="14">
        <v>0</v>
      </c>
      <c r="L490" s="12">
        <v>400</v>
      </c>
      <c r="M490" s="13">
        <v>9.6</v>
      </c>
      <c r="N490" s="14">
        <v>3840</v>
      </c>
      <c r="O490" s="12">
        <v>1000</v>
      </c>
      <c r="P490" s="13">
        <v>9.6</v>
      </c>
      <c r="Q490" s="14">
        <v>9600</v>
      </c>
      <c r="R490" s="11" t="s">
        <v>2971</v>
      </c>
      <c r="S490" s="11" t="s">
        <v>2972</v>
      </c>
      <c r="T490" s="11" t="s">
        <v>2966</v>
      </c>
    </row>
    <row r="491" spans="1:20" ht="50.1" hidden="1" customHeight="1">
      <c r="A491" s="10">
        <v>490</v>
      </c>
      <c r="B491" s="11" t="s">
        <v>3222</v>
      </c>
      <c r="C491" s="11" t="s">
        <v>3223</v>
      </c>
      <c r="D491" s="11" t="s">
        <v>17</v>
      </c>
      <c r="E491" s="11" t="s">
        <v>8</v>
      </c>
      <c r="F491" s="12">
        <v>7300</v>
      </c>
      <c r="G491" s="13">
        <v>5.3</v>
      </c>
      <c r="H491" s="14">
        <v>38690</v>
      </c>
      <c r="I491" s="12">
        <v>0</v>
      </c>
      <c r="J491" s="13"/>
      <c r="K491" s="14">
        <v>0</v>
      </c>
      <c r="L491" s="12">
        <v>0</v>
      </c>
      <c r="M491" s="13"/>
      <c r="N491" s="14">
        <v>0</v>
      </c>
      <c r="O491" s="12">
        <v>7300</v>
      </c>
      <c r="P491" s="13">
        <v>5.3</v>
      </c>
      <c r="Q491" s="14">
        <v>38690</v>
      </c>
      <c r="R491" s="11" t="s">
        <v>2971</v>
      </c>
      <c r="S491" s="11" t="s">
        <v>2972</v>
      </c>
      <c r="T491" s="11" t="s">
        <v>2966</v>
      </c>
    </row>
    <row r="492" spans="1:20" ht="50.1" hidden="1" customHeight="1">
      <c r="A492" s="10">
        <v>491</v>
      </c>
      <c r="B492" s="11" t="s">
        <v>1598</v>
      </c>
      <c r="C492" s="11" t="s">
        <v>1599</v>
      </c>
      <c r="D492" s="11" t="s">
        <v>17</v>
      </c>
      <c r="E492" s="11" t="s">
        <v>8</v>
      </c>
      <c r="F492" s="12">
        <v>500</v>
      </c>
      <c r="G492" s="13">
        <v>22.949998600000001</v>
      </c>
      <c r="H492" s="14">
        <v>11474.999299999999</v>
      </c>
      <c r="I492" s="12">
        <v>300</v>
      </c>
      <c r="J492" s="13">
        <v>22.95</v>
      </c>
      <c r="K492" s="14">
        <v>6885</v>
      </c>
      <c r="L492" s="12">
        <v>200</v>
      </c>
      <c r="M492" s="13">
        <v>22.95</v>
      </c>
      <c r="N492" s="14">
        <v>4590</v>
      </c>
      <c r="O492" s="12">
        <v>600</v>
      </c>
      <c r="P492" s="13">
        <v>22.949998829999998</v>
      </c>
      <c r="Q492" s="14">
        <v>13769.999299999999</v>
      </c>
      <c r="R492" s="11" t="s">
        <v>2971</v>
      </c>
      <c r="S492" s="11" t="s">
        <v>2972</v>
      </c>
      <c r="T492" s="11" t="s">
        <v>2966</v>
      </c>
    </row>
    <row r="493" spans="1:20" ht="50.1" hidden="1" customHeight="1">
      <c r="A493" s="10">
        <v>492</v>
      </c>
      <c r="B493" s="11" t="s">
        <v>1600</v>
      </c>
      <c r="C493" s="11" t="s">
        <v>1601</v>
      </c>
      <c r="D493" s="11" t="s">
        <v>17</v>
      </c>
      <c r="E493" s="11" t="s">
        <v>8</v>
      </c>
      <c r="F493" s="12">
        <v>40</v>
      </c>
      <c r="G493" s="13">
        <v>130</v>
      </c>
      <c r="H493" s="14">
        <v>5200</v>
      </c>
      <c r="I493" s="12">
        <v>50</v>
      </c>
      <c r="J493" s="13">
        <v>130</v>
      </c>
      <c r="K493" s="14">
        <v>6500</v>
      </c>
      <c r="L493" s="12">
        <v>0</v>
      </c>
      <c r="M493" s="13"/>
      <c r="N493" s="14">
        <v>0</v>
      </c>
      <c r="O493" s="12">
        <v>90</v>
      </c>
      <c r="P493" s="13">
        <v>130</v>
      </c>
      <c r="Q493" s="14">
        <v>11700</v>
      </c>
      <c r="R493" s="11" t="s">
        <v>2971</v>
      </c>
      <c r="S493" s="11" t="s">
        <v>2972</v>
      </c>
      <c r="T493" s="11" t="s">
        <v>2966</v>
      </c>
    </row>
    <row r="494" spans="1:20" ht="50.1" hidden="1" customHeight="1">
      <c r="A494" s="10">
        <v>493</v>
      </c>
      <c r="B494" s="11" t="s">
        <v>1602</v>
      </c>
      <c r="C494" s="11" t="s">
        <v>1603</v>
      </c>
      <c r="D494" s="11" t="s">
        <v>17</v>
      </c>
      <c r="E494" s="11" t="s">
        <v>8</v>
      </c>
      <c r="F494" s="12">
        <v>100</v>
      </c>
      <c r="G494" s="13">
        <v>9.9999959999999994</v>
      </c>
      <c r="H494" s="14">
        <v>999.99959999999999</v>
      </c>
      <c r="I494" s="12">
        <v>0</v>
      </c>
      <c r="J494" s="13"/>
      <c r="K494" s="14">
        <v>0</v>
      </c>
      <c r="L494" s="12">
        <v>0</v>
      </c>
      <c r="M494" s="13"/>
      <c r="N494" s="14">
        <v>0</v>
      </c>
      <c r="O494" s="12">
        <v>100</v>
      </c>
      <c r="P494" s="13">
        <v>9.9999959999999994</v>
      </c>
      <c r="Q494" s="14">
        <v>999.99959999999999</v>
      </c>
      <c r="R494" s="11" t="s">
        <v>2971</v>
      </c>
      <c r="S494" s="11" t="s">
        <v>2972</v>
      </c>
      <c r="T494" s="11" t="s">
        <v>2966</v>
      </c>
    </row>
    <row r="495" spans="1:20" ht="50.1" hidden="1" customHeight="1">
      <c r="A495" s="10">
        <v>494</v>
      </c>
      <c r="B495" s="11" t="s">
        <v>1604</v>
      </c>
      <c r="C495" s="11" t="s">
        <v>1605</v>
      </c>
      <c r="D495" s="11" t="s">
        <v>17</v>
      </c>
      <c r="E495" s="11" t="s">
        <v>8</v>
      </c>
      <c r="F495" s="12">
        <v>1000</v>
      </c>
      <c r="G495" s="13">
        <v>12.053850000000001</v>
      </c>
      <c r="H495" s="14">
        <v>12053.85</v>
      </c>
      <c r="I495" s="12">
        <v>0</v>
      </c>
      <c r="J495" s="13"/>
      <c r="K495" s="14">
        <v>0</v>
      </c>
      <c r="L495" s="12">
        <v>300</v>
      </c>
      <c r="M495" s="13">
        <v>12.053800000000001</v>
      </c>
      <c r="N495" s="14">
        <v>3616.14</v>
      </c>
      <c r="O495" s="12">
        <v>700</v>
      </c>
      <c r="P495" s="13">
        <v>12.053871429999999</v>
      </c>
      <c r="Q495" s="14">
        <v>8437.7099999999991</v>
      </c>
      <c r="R495" s="11" t="s">
        <v>2971</v>
      </c>
      <c r="S495" s="11" t="s">
        <v>2972</v>
      </c>
      <c r="T495" s="11" t="s">
        <v>2966</v>
      </c>
    </row>
    <row r="496" spans="1:20" ht="50.1" hidden="1" customHeight="1">
      <c r="A496" s="10">
        <v>495</v>
      </c>
      <c r="B496" s="11" t="s">
        <v>1606</v>
      </c>
      <c r="C496" s="11" t="s">
        <v>1607</v>
      </c>
      <c r="D496" s="11" t="s">
        <v>17</v>
      </c>
      <c r="E496" s="11" t="s">
        <v>8</v>
      </c>
      <c r="F496" s="12">
        <v>5600</v>
      </c>
      <c r="G496" s="13">
        <v>9.8203017900000003</v>
      </c>
      <c r="H496" s="14">
        <v>54993.69</v>
      </c>
      <c r="I496" s="12">
        <v>0</v>
      </c>
      <c r="J496" s="13"/>
      <c r="K496" s="14">
        <v>0</v>
      </c>
      <c r="L496" s="12">
        <v>0</v>
      </c>
      <c r="M496" s="13"/>
      <c r="N496" s="14">
        <v>0</v>
      </c>
      <c r="O496" s="12">
        <v>5600</v>
      </c>
      <c r="P496" s="13">
        <v>9.8203017900000003</v>
      </c>
      <c r="Q496" s="14">
        <v>54993.69</v>
      </c>
      <c r="R496" s="11" t="s">
        <v>2971</v>
      </c>
      <c r="S496" s="11" t="s">
        <v>2972</v>
      </c>
      <c r="T496" s="11" t="s">
        <v>2966</v>
      </c>
    </row>
    <row r="497" spans="1:20" ht="50.1" hidden="1" customHeight="1">
      <c r="A497" s="10">
        <v>496</v>
      </c>
      <c r="B497" s="11" t="s">
        <v>1608</v>
      </c>
      <c r="C497" s="11" t="s">
        <v>1609</v>
      </c>
      <c r="D497" s="11" t="s">
        <v>17</v>
      </c>
      <c r="E497" s="11" t="s">
        <v>8</v>
      </c>
      <c r="F497" s="12">
        <v>28800</v>
      </c>
      <c r="G497" s="13">
        <v>10.01712083</v>
      </c>
      <c r="H497" s="14">
        <v>288493.08</v>
      </c>
      <c r="I497" s="12">
        <v>35600</v>
      </c>
      <c r="J497" s="13">
        <v>10</v>
      </c>
      <c r="K497" s="14">
        <v>356000</v>
      </c>
      <c r="L497" s="12">
        <v>24000</v>
      </c>
      <c r="M497" s="13">
        <v>10.01122625</v>
      </c>
      <c r="N497" s="14">
        <v>240269.43</v>
      </c>
      <c r="O497" s="12">
        <v>40400</v>
      </c>
      <c r="P497" s="13">
        <v>10.005535890000001</v>
      </c>
      <c r="Q497" s="14">
        <v>404223.65</v>
      </c>
      <c r="R497" s="11" t="s">
        <v>2971</v>
      </c>
      <c r="S497" s="11" t="s">
        <v>2972</v>
      </c>
      <c r="T497" s="11" t="s">
        <v>2966</v>
      </c>
    </row>
    <row r="498" spans="1:20" ht="50.1" hidden="1" customHeight="1">
      <c r="A498" s="10">
        <v>497</v>
      </c>
      <c r="B498" s="11" t="s">
        <v>1610</v>
      </c>
      <c r="C498" s="11" t="s">
        <v>1611</v>
      </c>
      <c r="D498" s="11" t="s">
        <v>17</v>
      </c>
      <c r="E498" s="11" t="s">
        <v>8</v>
      </c>
      <c r="F498" s="12">
        <v>750</v>
      </c>
      <c r="G498" s="13">
        <v>10.36092</v>
      </c>
      <c r="H498" s="14">
        <v>7770.69</v>
      </c>
      <c r="I498" s="12">
        <v>0</v>
      </c>
      <c r="J498" s="13"/>
      <c r="K498" s="14">
        <v>0</v>
      </c>
      <c r="L498" s="12">
        <v>0</v>
      </c>
      <c r="M498" s="13"/>
      <c r="N498" s="14">
        <v>0</v>
      </c>
      <c r="O498" s="12">
        <v>750</v>
      </c>
      <c r="P498" s="13">
        <v>10.36092</v>
      </c>
      <c r="Q498" s="14">
        <v>7770.69</v>
      </c>
      <c r="R498" s="11" t="s">
        <v>2971</v>
      </c>
      <c r="S498" s="11" t="s">
        <v>2972</v>
      </c>
      <c r="T498" s="11" t="s">
        <v>2966</v>
      </c>
    </row>
    <row r="499" spans="1:20" ht="50.1" hidden="1" customHeight="1">
      <c r="A499" s="10">
        <v>498</v>
      </c>
      <c r="B499" s="11" t="s">
        <v>1612</v>
      </c>
      <c r="C499" s="11" t="s">
        <v>1613</v>
      </c>
      <c r="D499" s="11" t="s">
        <v>17</v>
      </c>
      <c r="E499" s="11" t="s">
        <v>8</v>
      </c>
      <c r="F499" s="12">
        <v>2700</v>
      </c>
      <c r="G499" s="13">
        <v>10.00097407</v>
      </c>
      <c r="H499" s="14">
        <v>27002.63</v>
      </c>
      <c r="I499" s="12">
        <v>2900</v>
      </c>
      <c r="J499" s="13">
        <v>10</v>
      </c>
      <c r="K499" s="14">
        <v>29000</v>
      </c>
      <c r="L499" s="12">
        <v>4400</v>
      </c>
      <c r="M499" s="13">
        <v>10.000563639999999</v>
      </c>
      <c r="N499" s="14">
        <v>44002.48</v>
      </c>
      <c r="O499" s="12">
        <v>1200</v>
      </c>
      <c r="P499" s="13">
        <v>10.000125000000001</v>
      </c>
      <c r="Q499" s="14">
        <v>12000.15</v>
      </c>
      <c r="R499" s="11" t="s">
        <v>2971</v>
      </c>
      <c r="S499" s="11" t="s">
        <v>2972</v>
      </c>
      <c r="T499" s="11" t="s">
        <v>2966</v>
      </c>
    </row>
    <row r="500" spans="1:20" ht="50.1" hidden="1" customHeight="1">
      <c r="A500" s="10">
        <v>499</v>
      </c>
      <c r="B500" s="11" t="s">
        <v>1614</v>
      </c>
      <c r="C500" s="11" t="s">
        <v>1615</v>
      </c>
      <c r="D500" s="11" t="s">
        <v>17</v>
      </c>
      <c r="E500" s="11" t="s">
        <v>8</v>
      </c>
      <c r="F500" s="12">
        <v>54</v>
      </c>
      <c r="G500" s="13">
        <v>57.999996299999999</v>
      </c>
      <c r="H500" s="14">
        <v>3131.9998000000001</v>
      </c>
      <c r="I500" s="12">
        <v>165</v>
      </c>
      <c r="J500" s="13">
        <v>58</v>
      </c>
      <c r="K500" s="14">
        <v>9570</v>
      </c>
      <c r="L500" s="12">
        <v>75</v>
      </c>
      <c r="M500" s="13">
        <v>58</v>
      </c>
      <c r="N500" s="14">
        <v>4350</v>
      </c>
      <c r="O500" s="12">
        <v>144</v>
      </c>
      <c r="P500" s="13">
        <v>57.999998609999999</v>
      </c>
      <c r="Q500" s="14">
        <v>8351.9997999999996</v>
      </c>
      <c r="R500" s="11" t="s">
        <v>2971</v>
      </c>
      <c r="S500" s="11" t="s">
        <v>2972</v>
      </c>
      <c r="T500" s="11" t="s">
        <v>2966</v>
      </c>
    </row>
    <row r="501" spans="1:20" ht="50.1" hidden="1" customHeight="1">
      <c r="A501" s="10">
        <v>500</v>
      </c>
      <c r="B501" s="11" t="s">
        <v>1616</v>
      </c>
      <c r="C501" s="11" t="s">
        <v>1617</v>
      </c>
      <c r="D501" s="11" t="s">
        <v>17</v>
      </c>
      <c r="E501" s="11" t="s">
        <v>8</v>
      </c>
      <c r="F501" s="12">
        <v>100</v>
      </c>
      <c r="G501" s="13">
        <v>58.007944999999999</v>
      </c>
      <c r="H501" s="14">
        <v>5800.7945</v>
      </c>
      <c r="I501" s="12">
        <v>0</v>
      </c>
      <c r="J501" s="13"/>
      <c r="K501" s="14">
        <v>0</v>
      </c>
      <c r="L501" s="12">
        <v>100</v>
      </c>
      <c r="M501" s="13">
        <v>58.007899999999999</v>
      </c>
      <c r="N501" s="14">
        <v>5800.79</v>
      </c>
      <c r="O501" s="12">
        <v>0</v>
      </c>
      <c r="P501" s="13"/>
      <c r="Q501" s="14">
        <v>0</v>
      </c>
      <c r="R501" s="11" t="s">
        <v>2971</v>
      </c>
      <c r="S501" s="11" t="s">
        <v>2972</v>
      </c>
      <c r="T501" s="11" t="s">
        <v>2966</v>
      </c>
    </row>
    <row r="502" spans="1:20" ht="50.1" hidden="1" customHeight="1">
      <c r="A502" s="10">
        <v>501</v>
      </c>
      <c r="B502" s="11" t="s">
        <v>1618</v>
      </c>
      <c r="C502" s="11" t="s">
        <v>1619</v>
      </c>
      <c r="D502" s="11" t="s">
        <v>17</v>
      </c>
      <c r="E502" s="11" t="s">
        <v>8</v>
      </c>
      <c r="F502" s="12">
        <v>1926</v>
      </c>
      <c r="G502" s="13">
        <v>9</v>
      </c>
      <c r="H502" s="14">
        <v>17334</v>
      </c>
      <c r="I502" s="12">
        <v>0</v>
      </c>
      <c r="J502" s="13"/>
      <c r="K502" s="14">
        <v>0</v>
      </c>
      <c r="L502" s="12">
        <v>1926</v>
      </c>
      <c r="M502" s="13">
        <v>9</v>
      </c>
      <c r="N502" s="14">
        <v>17334</v>
      </c>
      <c r="O502" s="12">
        <v>0</v>
      </c>
      <c r="P502" s="13"/>
      <c r="Q502" s="14">
        <v>0</v>
      </c>
      <c r="R502" s="11" t="s">
        <v>2971</v>
      </c>
      <c r="S502" s="11" t="s">
        <v>2972</v>
      </c>
      <c r="T502" s="11" t="s">
        <v>2966</v>
      </c>
    </row>
    <row r="503" spans="1:20" ht="50.1" hidden="1" customHeight="1">
      <c r="A503" s="10">
        <v>502</v>
      </c>
      <c r="B503" s="11" t="s">
        <v>1620</v>
      </c>
      <c r="C503" s="11" t="s">
        <v>1621</v>
      </c>
      <c r="D503" s="11" t="s">
        <v>17</v>
      </c>
      <c r="E503" s="11" t="s">
        <v>8</v>
      </c>
      <c r="F503" s="12">
        <v>2029</v>
      </c>
      <c r="G503" s="13">
        <v>8.9999852100000002</v>
      </c>
      <c r="H503" s="14">
        <v>18260.97</v>
      </c>
      <c r="I503" s="12">
        <v>0</v>
      </c>
      <c r="J503" s="13"/>
      <c r="K503" s="14">
        <v>0</v>
      </c>
      <c r="L503" s="12">
        <v>2029</v>
      </c>
      <c r="M503" s="13">
        <v>8.9999852100000002</v>
      </c>
      <c r="N503" s="14">
        <v>18260.97</v>
      </c>
      <c r="O503" s="12">
        <v>0</v>
      </c>
      <c r="P503" s="13"/>
      <c r="Q503" s="14">
        <v>0</v>
      </c>
      <c r="R503" s="11" t="s">
        <v>2971</v>
      </c>
      <c r="S503" s="11" t="s">
        <v>2972</v>
      </c>
      <c r="T503" s="11" t="s">
        <v>2966</v>
      </c>
    </row>
    <row r="504" spans="1:20" ht="50.1" hidden="1" customHeight="1">
      <c r="A504" s="10">
        <v>503</v>
      </c>
      <c r="B504" s="11" t="s">
        <v>1622</v>
      </c>
      <c r="C504" s="11" t="s">
        <v>1623</v>
      </c>
      <c r="D504" s="11" t="s">
        <v>17</v>
      </c>
      <c r="E504" s="11" t="s">
        <v>8</v>
      </c>
      <c r="F504" s="12">
        <v>1758</v>
      </c>
      <c r="G504" s="13">
        <v>9</v>
      </c>
      <c r="H504" s="14">
        <v>15822</v>
      </c>
      <c r="I504" s="12">
        <v>0</v>
      </c>
      <c r="J504" s="13"/>
      <c r="K504" s="14">
        <v>0</v>
      </c>
      <c r="L504" s="12">
        <v>1758</v>
      </c>
      <c r="M504" s="13">
        <v>9</v>
      </c>
      <c r="N504" s="14">
        <v>15822</v>
      </c>
      <c r="O504" s="12">
        <v>0</v>
      </c>
      <c r="P504" s="13"/>
      <c r="Q504" s="14">
        <v>0</v>
      </c>
      <c r="R504" s="11" t="s">
        <v>2971</v>
      </c>
      <c r="S504" s="11" t="s">
        <v>2972</v>
      </c>
      <c r="T504" s="11" t="s">
        <v>2966</v>
      </c>
    </row>
    <row r="505" spans="1:20" ht="50.1" hidden="1" customHeight="1">
      <c r="A505" s="10">
        <v>504</v>
      </c>
      <c r="B505" s="11" t="s">
        <v>1624</v>
      </c>
      <c r="C505" s="11" t="s">
        <v>1625</v>
      </c>
      <c r="D505" s="11" t="s">
        <v>17</v>
      </c>
      <c r="E505" s="11" t="s">
        <v>8</v>
      </c>
      <c r="F505" s="12">
        <v>763</v>
      </c>
      <c r="G505" s="13">
        <v>9.5997640900000007</v>
      </c>
      <c r="H505" s="14">
        <v>7324.62</v>
      </c>
      <c r="I505" s="12">
        <v>0</v>
      </c>
      <c r="J505" s="13"/>
      <c r="K505" s="14">
        <v>0</v>
      </c>
      <c r="L505" s="12">
        <v>200</v>
      </c>
      <c r="M505" s="13">
        <v>9.5998000000000001</v>
      </c>
      <c r="N505" s="14">
        <v>1919.96</v>
      </c>
      <c r="O505" s="12">
        <v>563</v>
      </c>
      <c r="P505" s="13">
        <v>9.5997513300000001</v>
      </c>
      <c r="Q505" s="14">
        <v>5404.66</v>
      </c>
      <c r="R505" s="11" t="s">
        <v>2971</v>
      </c>
      <c r="S505" s="11" t="s">
        <v>2972</v>
      </c>
      <c r="T505" s="11" t="s">
        <v>2966</v>
      </c>
    </row>
    <row r="506" spans="1:20" ht="50.1" hidden="1" customHeight="1">
      <c r="A506" s="10">
        <v>505</v>
      </c>
      <c r="B506" s="11" t="s">
        <v>1626</v>
      </c>
      <c r="C506" s="11" t="s">
        <v>1627</v>
      </c>
      <c r="D506" s="11" t="s">
        <v>17</v>
      </c>
      <c r="E506" s="11" t="s">
        <v>8</v>
      </c>
      <c r="F506" s="12">
        <v>2837</v>
      </c>
      <c r="G506" s="13">
        <v>5.14194219</v>
      </c>
      <c r="H506" s="14">
        <v>14587.69</v>
      </c>
      <c r="I506" s="12">
        <v>0</v>
      </c>
      <c r="J506" s="13"/>
      <c r="K506" s="14">
        <v>0</v>
      </c>
      <c r="L506" s="12">
        <v>0</v>
      </c>
      <c r="M506" s="13"/>
      <c r="N506" s="14">
        <v>0</v>
      </c>
      <c r="O506" s="12">
        <v>2837</v>
      </c>
      <c r="P506" s="13">
        <v>5.14194219</v>
      </c>
      <c r="Q506" s="14">
        <v>14587.69</v>
      </c>
      <c r="R506" s="11" t="s">
        <v>2971</v>
      </c>
      <c r="S506" s="11" t="s">
        <v>2972</v>
      </c>
      <c r="T506" s="11" t="s">
        <v>2966</v>
      </c>
    </row>
    <row r="507" spans="1:20" ht="50.1" hidden="1" customHeight="1">
      <c r="A507" s="10">
        <v>506</v>
      </c>
      <c r="B507" s="11" t="s">
        <v>2441</v>
      </c>
      <c r="C507" s="11" t="s">
        <v>2442</v>
      </c>
      <c r="D507" s="11" t="s">
        <v>17</v>
      </c>
      <c r="E507" s="11" t="s">
        <v>8</v>
      </c>
      <c r="F507" s="12">
        <v>150</v>
      </c>
      <c r="G507" s="13">
        <v>35</v>
      </c>
      <c r="H507" s="14">
        <v>5250</v>
      </c>
      <c r="I507" s="12">
        <v>0</v>
      </c>
      <c r="J507" s="13"/>
      <c r="K507" s="14">
        <v>0</v>
      </c>
      <c r="L507" s="12">
        <v>0</v>
      </c>
      <c r="M507" s="13"/>
      <c r="N507" s="14">
        <v>0</v>
      </c>
      <c r="O507" s="12">
        <v>150</v>
      </c>
      <c r="P507" s="13">
        <v>35</v>
      </c>
      <c r="Q507" s="14">
        <v>5250</v>
      </c>
      <c r="R507" s="11" t="s">
        <v>2971</v>
      </c>
      <c r="S507" s="11" t="s">
        <v>2972</v>
      </c>
      <c r="T507" s="11" t="s">
        <v>2966</v>
      </c>
    </row>
    <row r="508" spans="1:20" ht="50.1" hidden="1" customHeight="1">
      <c r="A508" s="10">
        <v>507</v>
      </c>
      <c r="B508" s="11" t="s">
        <v>2036</v>
      </c>
      <c r="C508" s="11" t="s">
        <v>2037</v>
      </c>
      <c r="D508" s="11" t="s">
        <v>17</v>
      </c>
      <c r="E508" s="11" t="s">
        <v>8</v>
      </c>
      <c r="F508" s="12">
        <v>150</v>
      </c>
      <c r="G508" s="13">
        <v>33.25</v>
      </c>
      <c r="H508" s="14">
        <v>4987.5</v>
      </c>
      <c r="I508" s="12">
        <v>0</v>
      </c>
      <c r="J508" s="13"/>
      <c r="K508" s="14">
        <v>0</v>
      </c>
      <c r="L508" s="12">
        <v>0</v>
      </c>
      <c r="M508" s="13"/>
      <c r="N508" s="14">
        <v>0</v>
      </c>
      <c r="O508" s="12">
        <v>150</v>
      </c>
      <c r="P508" s="13">
        <v>33.25</v>
      </c>
      <c r="Q508" s="14">
        <v>4987.5</v>
      </c>
      <c r="R508" s="11" t="s">
        <v>2971</v>
      </c>
      <c r="S508" s="11" t="s">
        <v>2972</v>
      </c>
      <c r="T508" s="11" t="s">
        <v>2966</v>
      </c>
    </row>
    <row r="509" spans="1:20" ht="50.1" hidden="1" customHeight="1">
      <c r="A509" s="10">
        <v>508</v>
      </c>
      <c r="B509" s="11" t="s">
        <v>2038</v>
      </c>
      <c r="C509" s="11" t="s">
        <v>2039</v>
      </c>
      <c r="D509" s="11" t="s">
        <v>17</v>
      </c>
      <c r="E509" s="11" t="s">
        <v>8</v>
      </c>
      <c r="F509" s="12">
        <v>276</v>
      </c>
      <c r="G509" s="13">
        <v>26.78699275</v>
      </c>
      <c r="H509" s="14">
        <v>7393.21</v>
      </c>
      <c r="I509" s="12">
        <v>0</v>
      </c>
      <c r="J509" s="13"/>
      <c r="K509" s="14">
        <v>0</v>
      </c>
      <c r="L509" s="12">
        <v>0</v>
      </c>
      <c r="M509" s="13"/>
      <c r="N509" s="14">
        <v>0</v>
      </c>
      <c r="O509" s="12">
        <v>276</v>
      </c>
      <c r="P509" s="13">
        <v>26.78699275</v>
      </c>
      <c r="Q509" s="14">
        <v>7393.21</v>
      </c>
      <c r="R509" s="11" t="s">
        <v>2971</v>
      </c>
      <c r="S509" s="11" t="s">
        <v>2972</v>
      </c>
      <c r="T509" s="11" t="s">
        <v>2966</v>
      </c>
    </row>
    <row r="510" spans="1:20" ht="50.1" hidden="1" customHeight="1">
      <c r="A510" s="10">
        <v>509</v>
      </c>
      <c r="B510" s="11" t="s">
        <v>2044</v>
      </c>
      <c r="C510" s="11" t="s">
        <v>2045</v>
      </c>
      <c r="D510" s="11" t="s">
        <v>17</v>
      </c>
      <c r="E510" s="11" t="s">
        <v>8</v>
      </c>
      <c r="F510" s="12">
        <v>300</v>
      </c>
      <c r="G510" s="13">
        <v>31</v>
      </c>
      <c r="H510" s="14">
        <v>9300</v>
      </c>
      <c r="I510" s="12">
        <v>0</v>
      </c>
      <c r="J510" s="13"/>
      <c r="K510" s="14">
        <v>0</v>
      </c>
      <c r="L510" s="12">
        <v>0</v>
      </c>
      <c r="M510" s="13"/>
      <c r="N510" s="14">
        <v>0</v>
      </c>
      <c r="O510" s="12">
        <v>300</v>
      </c>
      <c r="P510" s="13">
        <v>31</v>
      </c>
      <c r="Q510" s="14">
        <v>9300</v>
      </c>
      <c r="R510" s="11" t="s">
        <v>2971</v>
      </c>
      <c r="S510" s="11" t="s">
        <v>2972</v>
      </c>
      <c r="T510" s="11" t="s">
        <v>2966</v>
      </c>
    </row>
    <row r="511" spans="1:20" ht="50.1" hidden="1" customHeight="1">
      <c r="A511" s="10">
        <v>510</v>
      </c>
      <c r="B511" s="11" t="s">
        <v>2050</v>
      </c>
      <c r="C511" s="11" t="s">
        <v>2051</v>
      </c>
      <c r="D511" s="11" t="s">
        <v>17</v>
      </c>
      <c r="E511" s="11" t="s">
        <v>8</v>
      </c>
      <c r="F511" s="12">
        <v>19</v>
      </c>
      <c r="G511" s="13">
        <v>34.833157890000003</v>
      </c>
      <c r="H511" s="14">
        <v>661.83</v>
      </c>
      <c r="I511" s="12">
        <v>0</v>
      </c>
      <c r="J511" s="13"/>
      <c r="K511" s="14">
        <v>0</v>
      </c>
      <c r="L511" s="12">
        <v>0</v>
      </c>
      <c r="M511" s="13"/>
      <c r="N511" s="14">
        <v>0</v>
      </c>
      <c r="O511" s="12">
        <v>19</v>
      </c>
      <c r="P511" s="13">
        <v>34.833157890000003</v>
      </c>
      <c r="Q511" s="14">
        <v>661.83</v>
      </c>
      <c r="R511" s="11" t="s">
        <v>2971</v>
      </c>
      <c r="S511" s="11" t="s">
        <v>2972</v>
      </c>
      <c r="T511" s="11" t="s">
        <v>2966</v>
      </c>
    </row>
    <row r="512" spans="1:20" ht="50.1" hidden="1" customHeight="1">
      <c r="A512" s="10">
        <v>511</v>
      </c>
      <c r="B512" s="11" t="s">
        <v>2052</v>
      </c>
      <c r="C512" s="11" t="s">
        <v>2053</v>
      </c>
      <c r="D512" s="11" t="s">
        <v>17</v>
      </c>
      <c r="E512" s="11" t="s">
        <v>8</v>
      </c>
      <c r="F512" s="12">
        <v>350</v>
      </c>
      <c r="G512" s="13">
        <v>30.25</v>
      </c>
      <c r="H512" s="14">
        <v>10587.5</v>
      </c>
      <c r="I512" s="12">
        <v>0</v>
      </c>
      <c r="J512" s="13"/>
      <c r="K512" s="14">
        <v>0</v>
      </c>
      <c r="L512" s="12">
        <v>0</v>
      </c>
      <c r="M512" s="13"/>
      <c r="N512" s="14">
        <v>0</v>
      </c>
      <c r="O512" s="12">
        <v>350</v>
      </c>
      <c r="P512" s="13">
        <v>30.25</v>
      </c>
      <c r="Q512" s="14">
        <v>10587.5</v>
      </c>
      <c r="R512" s="11" t="s">
        <v>2971</v>
      </c>
      <c r="S512" s="11" t="s">
        <v>2972</v>
      </c>
      <c r="T512" s="11" t="s">
        <v>2966</v>
      </c>
    </row>
    <row r="513" spans="1:20" ht="50.1" hidden="1" customHeight="1">
      <c r="A513" s="10">
        <v>512</v>
      </c>
      <c r="B513" s="11" t="s">
        <v>1628</v>
      </c>
      <c r="C513" s="11" t="s">
        <v>1629</v>
      </c>
      <c r="D513" s="11" t="s">
        <v>17</v>
      </c>
      <c r="E513" s="11" t="s">
        <v>8</v>
      </c>
      <c r="F513" s="12">
        <v>800</v>
      </c>
      <c r="G513" s="13">
        <v>10.48</v>
      </c>
      <c r="H513" s="14">
        <v>8384</v>
      </c>
      <c r="I513" s="12">
        <v>500</v>
      </c>
      <c r="J513" s="13">
        <v>10.48</v>
      </c>
      <c r="K513" s="14">
        <v>5240</v>
      </c>
      <c r="L513" s="12">
        <v>400</v>
      </c>
      <c r="M513" s="13">
        <v>10.48</v>
      </c>
      <c r="N513" s="14">
        <v>4192</v>
      </c>
      <c r="O513" s="12">
        <v>900</v>
      </c>
      <c r="P513" s="13">
        <v>10.48</v>
      </c>
      <c r="Q513" s="14">
        <v>9432</v>
      </c>
      <c r="R513" s="11" t="s">
        <v>2971</v>
      </c>
      <c r="S513" s="11" t="s">
        <v>2972</v>
      </c>
      <c r="T513" s="11" t="s">
        <v>2966</v>
      </c>
    </row>
    <row r="514" spans="1:20" ht="50.1" hidden="1" customHeight="1">
      <c r="A514" s="10">
        <v>513</v>
      </c>
      <c r="B514" s="11" t="s">
        <v>1630</v>
      </c>
      <c r="C514" s="11" t="s">
        <v>1631</v>
      </c>
      <c r="D514" s="11" t="s">
        <v>17</v>
      </c>
      <c r="E514" s="11" t="s">
        <v>8</v>
      </c>
      <c r="F514" s="12">
        <v>1650</v>
      </c>
      <c r="G514" s="13">
        <v>8.2292181800000002</v>
      </c>
      <c r="H514" s="14">
        <v>13578.21</v>
      </c>
      <c r="I514" s="12">
        <v>1690</v>
      </c>
      <c r="J514" s="13">
        <v>8.5</v>
      </c>
      <c r="K514" s="14">
        <v>14365</v>
      </c>
      <c r="L514" s="12">
        <v>2100</v>
      </c>
      <c r="M514" s="13">
        <v>8.3117999999999999</v>
      </c>
      <c r="N514" s="14">
        <v>17454.78</v>
      </c>
      <c r="O514" s="12">
        <v>1240</v>
      </c>
      <c r="P514" s="13">
        <v>8.4584112900000008</v>
      </c>
      <c r="Q514" s="14">
        <v>10488.43</v>
      </c>
      <c r="R514" s="11" t="s">
        <v>2971</v>
      </c>
      <c r="S514" s="11" t="s">
        <v>2972</v>
      </c>
      <c r="T514" s="11" t="s">
        <v>2966</v>
      </c>
    </row>
    <row r="515" spans="1:20" ht="50.1" hidden="1" customHeight="1">
      <c r="A515" s="10">
        <v>514</v>
      </c>
      <c r="B515" s="11" t="s">
        <v>1632</v>
      </c>
      <c r="C515" s="11" t="s">
        <v>1633</v>
      </c>
      <c r="D515" s="11" t="s">
        <v>17</v>
      </c>
      <c r="E515" s="11" t="s">
        <v>8</v>
      </c>
      <c r="F515" s="12">
        <v>1450</v>
      </c>
      <c r="G515" s="13">
        <v>14.7</v>
      </c>
      <c r="H515" s="14">
        <v>21315</v>
      </c>
      <c r="I515" s="12">
        <v>0</v>
      </c>
      <c r="J515" s="13"/>
      <c r="K515" s="14">
        <v>0</v>
      </c>
      <c r="L515" s="12">
        <v>200</v>
      </c>
      <c r="M515" s="13">
        <v>14.7</v>
      </c>
      <c r="N515" s="14">
        <v>2940</v>
      </c>
      <c r="O515" s="12">
        <v>1250</v>
      </c>
      <c r="P515" s="13">
        <v>14.7</v>
      </c>
      <c r="Q515" s="14">
        <v>18375</v>
      </c>
      <c r="R515" s="11" t="s">
        <v>2971</v>
      </c>
      <c r="S515" s="11" t="s">
        <v>2972</v>
      </c>
      <c r="T515" s="11" t="s">
        <v>2966</v>
      </c>
    </row>
    <row r="516" spans="1:20" ht="50.1" hidden="1" customHeight="1">
      <c r="A516" s="10">
        <v>515</v>
      </c>
      <c r="B516" s="11" t="s">
        <v>1634</v>
      </c>
      <c r="C516" s="11" t="s">
        <v>1635</v>
      </c>
      <c r="D516" s="11" t="s">
        <v>17</v>
      </c>
      <c r="E516" s="11" t="s">
        <v>8</v>
      </c>
      <c r="F516" s="12">
        <v>5828</v>
      </c>
      <c r="G516" s="13">
        <v>6.4710089200000001</v>
      </c>
      <c r="H516" s="14">
        <v>37713.040000000001</v>
      </c>
      <c r="I516" s="12">
        <v>7000</v>
      </c>
      <c r="J516" s="13">
        <v>6.5</v>
      </c>
      <c r="K516" s="14">
        <v>45500</v>
      </c>
      <c r="L516" s="12">
        <v>6100</v>
      </c>
      <c r="M516" s="13">
        <v>6.4774295100000003</v>
      </c>
      <c r="N516" s="14">
        <v>39512.32</v>
      </c>
      <c r="O516" s="12">
        <v>6728</v>
      </c>
      <c r="P516" s="13">
        <v>6.4953507699999999</v>
      </c>
      <c r="Q516" s="14">
        <v>43700.72</v>
      </c>
      <c r="R516" s="11" t="s">
        <v>2971</v>
      </c>
      <c r="S516" s="11" t="s">
        <v>2972</v>
      </c>
      <c r="T516" s="11" t="s">
        <v>2966</v>
      </c>
    </row>
    <row r="517" spans="1:20" ht="50.1" hidden="1" customHeight="1">
      <c r="A517" s="10">
        <v>516</v>
      </c>
      <c r="B517" s="11" t="s">
        <v>1636</v>
      </c>
      <c r="C517" s="11" t="s">
        <v>1637</v>
      </c>
      <c r="D517" s="11" t="s">
        <v>17</v>
      </c>
      <c r="E517" s="11" t="s">
        <v>8</v>
      </c>
      <c r="F517" s="12">
        <v>5300</v>
      </c>
      <c r="G517" s="13">
        <v>7.1793071700000004</v>
      </c>
      <c r="H517" s="14">
        <v>38050.328000000001</v>
      </c>
      <c r="I517" s="12">
        <v>5000</v>
      </c>
      <c r="J517" s="13">
        <v>7.35</v>
      </c>
      <c r="K517" s="14">
        <v>36750</v>
      </c>
      <c r="L517" s="12">
        <v>4900</v>
      </c>
      <c r="M517" s="13">
        <v>7.2373775499999997</v>
      </c>
      <c r="N517" s="14">
        <v>35463.15</v>
      </c>
      <c r="O517" s="12">
        <v>5400</v>
      </c>
      <c r="P517" s="13">
        <v>7.2846625899999999</v>
      </c>
      <c r="Q517" s="14">
        <v>39337.178</v>
      </c>
      <c r="R517" s="11" t="s">
        <v>2971</v>
      </c>
      <c r="S517" s="11" t="s">
        <v>2972</v>
      </c>
      <c r="T517" s="11" t="s">
        <v>2966</v>
      </c>
    </row>
    <row r="518" spans="1:20" ht="50.1" hidden="1" customHeight="1">
      <c r="A518" s="10">
        <v>517</v>
      </c>
      <c r="B518" s="11" t="s">
        <v>1638</v>
      </c>
      <c r="C518" s="11" t="s">
        <v>1639</v>
      </c>
      <c r="D518" s="11" t="s">
        <v>17</v>
      </c>
      <c r="E518" s="11" t="s">
        <v>8</v>
      </c>
      <c r="F518" s="12">
        <v>500</v>
      </c>
      <c r="G518" s="13">
        <v>12.3</v>
      </c>
      <c r="H518" s="14">
        <v>6150</v>
      </c>
      <c r="I518" s="12">
        <v>0</v>
      </c>
      <c r="J518" s="13"/>
      <c r="K518" s="14">
        <v>0</v>
      </c>
      <c r="L518" s="12">
        <v>100</v>
      </c>
      <c r="M518" s="13">
        <v>12.3</v>
      </c>
      <c r="N518" s="14">
        <v>1230</v>
      </c>
      <c r="O518" s="12">
        <v>400</v>
      </c>
      <c r="P518" s="13">
        <v>12.3</v>
      </c>
      <c r="Q518" s="14">
        <v>4920</v>
      </c>
      <c r="R518" s="11" t="s">
        <v>2971</v>
      </c>
      <c r="S518" s="11" t="s">
        <v>2972</v>
      </c>
      <c r="T518" s="11" t="s">
        <v>2966</v>
      </c>
    </row>
    <row r="519" spans="1:20" ht="50.1" hidden="1" customHeight="1">
      <c r="A519" s="10">
        <v>518</v>
      </c>
      <c r="B519" s="11" t="s">
        <v>1640</v>
      </c>
      <c r="C519" s="11" t="s">
        <v>1641</v>
      </c>
      <c r="D519" s="11" t="s">
        <v>17</v>
      </c>
      <c r="E519" s="11" t="s">
        <v>8</v>
      </c>
      <c r="F519" s="12">
        <v>3500</v>
      </c>
      <c r="G519" s="13">
        <v>9.6053571400000006</v>
      </c>
      <c r="H519" s="14">
        <v>33618.75</v>
      </c>
      <c r="I519" s="12">
        <v>0</v>
      </c>
      <c r="J519" s="13"/>
      <c r="K519" s="14">
        <v>0</v>
      </c>
      <c r="L519" s="12">
        <v>300</v>
      </c>
      <c r="M519" s="13">
        <v>9.6053999999999995</v>
      </c>
      <c r="N519" s="14">
        <v>2881.62</v>
      </c>
      <c r="O519" s="12">
        <v>3200</v>
      </c>
      <c r="P519" s="13">
        <v>9.6053531299999992</v>
      </c>
      <c r="Q519" s="14">
        <v>30737.13</v>
      </c>
      <c r="R519" s="11" t="s">
        <v>2971</v>
      </c>
      <c r="S519" s="11" t="s">
        <v>2972</v>
      </c>
      <c r="T519" s="11" t="s">
        <v>2966</v>
      </c>
    </row>
    <row r="520" spans="1:20" ht="50.1" hidden="1" customHeight="1">
      <c r="A520" s="10">
        <v>519</v>
      </c>
      <c r="B520" s="11" t="s">
        <v>1642</v>
      </c>
      <c r="C520" s="11" t="s">
        <v>1643</v>
      </c>
      <c r="D520" s="11" t="s">
        <v>17</v>
      </c>
      <c r="E520" s="11" t="s">
        <v>8</v>
      </c>
      <c r="F520" s="12">
        <v>800</v>
      </c>
      <c r="G520" s="13">
        <v>10</v>
      </c>
      <c r="H520" s="14">
        <v>8000</v>
      </c>
      <c r="I520" s="12">
        <v>4700</v>
      </c>
      <c r="J520" s="13">
        <v>10</v>
      </c>
      <c r="K520" s="14">
        <v>47000</v>
      </c>
      <c r="L520" s="12">
        <v>1200</v>
      </c>
      <c r="M520" s="13">
        <v>10</v>
      </c>
      <c r="N520" s="14">
        <v>12000</v>
      </c>
      <c r="O520" s="12">
        <v>4300</v>
      </c>
      <c r="P520" s="13">
        <v>10</v>
      </c>
      <c r="Q520" s="14">
        <v>43000</v>
      </c>
      <c r="R520" s="11" t="s">
        <v>2971</v>
      </c>
      <c r="S520" s="11" t="s">
        <v>2972</v>
      </c>
      <c r="T520" s="11" t="s">
        <v>2966</v>
      </c>
    </row>
    <row r="521" spans="1:20" ht="50.1" hidden="1" customHeight="1">
      <c r="A521" s="10">
        <v>520</v>
      </c>
      <c r="B521" s="11" t="s">
        <v>1644</v>
      </c>
      <c r="C521" s="11" t="s">
        <v>1645</v>
      </c>
      <c r="D521" s="11" t="s">
        <v>17</v>
      </c>
      <c r="E521" s="11" t="s">
        <v>8</v>
      </c>
      <c r="F521" s="12">
        <v>2700</v>
      </c>
      <c r="G521" s="13">
        <v>9.9999987400000006</v>
      </c>
      <c r="H521" s="14">
        <v>26999.996599999999</v>
      </c>
      <c r="I521" s="12">
        <v>0</v>
      </c>
      <c r="J521" s="13"/>
      <c r="K521" s="14">
        <v>0</v>
      </c>
      <c r="L521" s="12">
        <v>2700</v>
      </c>
      <c r="M521" s="13">
        <v>10</v>
      </c>
      <c r="N521" s="14">
        <v>27000</v>
      </c>
      <c r="O521" s="12">
        <v>0</v>
      </c>
      <c r="P521" s="13"/>
      <c r="Q521" s="14">
        <v>0</v>
      </c>
      <c r="R521" s="11" t="s">
        <v>2971</v>
      </c>
      <c r="S521" s="11" t="s">
        <v>2972</v>
      </c>
      <c r="T521" s="11" t="s">
        <v>2966</v>
      </c>
    </row>
    <row r="522" spans="1:20" ht="50.1" hidden="1" customHeight="1">
      <c r="A522" s="10">
        <v>521</v>
      </c>
      <c r="B522" s="11" t="s">
        <v>1646</v>
      </c>
      <c r="C522" s="11" t="s">
        <v>1647</v>
      </c>
      <c r="D522" s="11" t="s">
        <v>17</v>
      </c>
      <c r="E522" s="11" t="s">
        <v>8</v>
      </c>
      <c r="F522" s="12">
        <v>1000</v>
      </c>
      <c r="G522" s="13">
        <v>9.9999964000000006</v>
      </c>
      <c r="H522" s="14">
        <v>9999.9964</v>
      </c>
      <c r="I522" s="12">
        <v>1600</v>
      </c>
      <c r="J522" s="13">
        <v>10</v>
      </c>
      <c r="K522" s="14">
        <v>16000</v>
      </c>
      <c r="L522" s="12">
        <v>1100</v>
      </c>
      <c r="M522" s="13">
        <v>10</v>
      </c>
      <c r="N522" s="14">
        <v>11000</v>
      </c>
      <c r="O522" s="12">
        <v>1500</v>
      </c>
      <c r="P522" s="13">
        <v>9.9999976000000004</v>
      </c>
      <c r="Q522" s="14">
        <v>14999.9964</v>
      </c>
      <c r="R522" s="11" t="s">
        <v>2971</v>
      </c>
      <c r="S522" s="11" t="s">
        <v>2972</v>
      </c>
      <c r="T522" s="11" t="s">
        <v>2966</v>
      </c>
    </row>
    <row r="523" spans="1:20" ht="50.1" hidden="1" customHeight="1">
      <c r="A523" s="10">
        <v>522</v>
      </c>
      <c r="B523" s="11" t="s">
        <v>1648</v>
      </c>
      <c r="C523" s="11" t="s">
        <v>1649</v>
      </c>
      <c r="D523" s="11" t="s">
        <v>17</v>
      </c>
      <c r="E523" s="11" t="s">
        <v>8</v>
      </c>
      <c r="F523" s="12">
        <v>2000</v>
      </c>
      <c r="G523" s="13">
        <v>12.3</v>
      </c>
      <c r="H523" s="14">
        <v>24600</v>
      </c>
      <c r="I523" s="12">
        <v>0</v>
      </c>
      <c r="J523" s="13"/>
      <c r="K523" s="14">
        <v>0</v>
      </c>
      <c r="L523" s="12">
        <v>300</v>
      </c>
      <c r="M523" s="13">
        <v>12.3</v>
      </c>
      <c r="N523" s="14">
        <v>3690</v>
      </c>
      <c r="O523" s="12">
        <v>1700</v>
      </c>
      <c r="P523" s="13">
        <v>12.3</v>
      </c>
      <c r="Q523" s="14">
        <v>20910</v>
      </c>
      <c r="R523" s="11" t="s">
        <v>2971</v>
      </c>
      <c r="S523" s="11" t="s">
        <v>2972</v>
      </c>
      <c r="T523" s="11" t="s">
        <v>2966</v>
      </c>
    </row>
    <row r="524" spans="1:20" ht="50.1" hidden="1" customHeight="1">
      <c r="A524" s="10">
        <v>523</v>
      </c>
      <c r="B524" s="11" t="s">
        <v>1650</v>
      </c>
      <c r="C524" s="11" t="s">
        <v>1651</v>
      </c>
      <c r="D524" s="11" t="s">
        <v>17</v>
      </c>
      <c r="E524" s="11" t="s">
        <v>8</v>
      </c>
      <c r="F524" s="12">
        <v>1100</v>
      </c>
      <c r="G524" s="13">
        <v>10.00059091</v>
      </c>
      <c r="H524" s="14">
        <v>11000.65</v>
      </c>
      <c r="I524" s="12">
        <v>0</v>
      </c>
      <c r="J524" s="13"/>
      <c r="K524" s="14">
        <v>0</v>
      </c>
      <c r="L524" s="12">
        <v>100</v>
      </c>
      <c r="M524" s="13">
        <v>10.0006</v>
      </c>
      <c r="N524" s="14">
        <v>1000.06</v>
      </c>
      <c r="O524" s="12">
        <v>1000</v>
      </c>
      <c r="P524" s="13">
        <v>10.000590000000001</v>
      </c>
      <c r="Q524" s="14">
        <v>10000.59</v>
      </c>
      <c r="R524" s="11" t="s">
        <v>2971</v>
      </c>
      <c r="S524" s="11" t="s">
        <v>2972</v>
      </c>
      <c r="T524" s="11" t="s">
        <v>2966</v>
      </c>
    </row>
    <row r="525" spans="1:20" ht="50.1" hidden="1" customHeight="1">
      <c r="A525" s="10">
        <v>524</v>
      </c>
      <c r="B525" s="11" t="s">
        <v>1652</v>
      </c>
      <c r="C525" s="11" t="s">
        <v>1653</v>
      </c>
      <c r="D525" s="11" t="s">
        <v>17</v>
      </c>
      <c r="E525" s="11" t="s">
        <v>8</v>
      </c>
      <c r="F525" s="12">
        <v>1000</v>
      </c>
      <c r="G525" s="13">
        <v>12.19683</v>
      </c>
      <c r="H525" s="14">
        <v>12196.83</v>
      </c>
      <c r="I525" s="12">
        <v>0</v>
      </c>
      <c r="J525" s="13"/>
      <c r="K525" s="14">
        <v>0</v>
      </c>
      <c r="L525" s="12">
        <v>0</v>
      </c>
      <c r="M525" s="13"/>
      <c r="N525" s="14">
        <v>0</v>
      </c>
      <c r="O525" s="12">
        <v>1000</v>
      </c>
      <c r="P525" s="13">
        <v>12.19683</v>
      </c>
      <c r="Q525" s="14">
        <v>12196.83</v>
      </c>
      <c r="R525" s="11" t="s">
        <v>2971</v>
      </c>
      <c r="S525" s="11" t="s">
        <v>2972</v>
      </c>
      <c r="T525" s="11" t="s">
        <v>2966</v>
      </c>
    </row>
    <row r="526" spans="1:20" ht="50.1" hidden="1" customHeight="1">
      <c r="A526" s="10">
        <v>525</v>
      </c>
      <c r="B526" s="11" t="s">
        <v>1654</v>
      </c>
      <c r="C526" s="11" t="s">
        <v>1655</v>
      </c>
      <c r="D526" s="11" t="s">
        <v>17</v>
      </c>
      <c r="E526" s="11" t="s">
        <v>8</v>
      </c>
      <c r="F526" s="12">
        <v>1000</v>
      </c>
      <c r="G526" s="13">
        <v>10.441727</v>
      </c>
      <c r="H526" s="14">
        <v>10441.727000000001</v>
      </c>
      <c r="I526" s="12">
        <v>0</v>
      </c>
      <c r="J526" s="13"/>
      <c r="K526" s="14">
        <v>0</v>
      </c>
      <c r="L526" s="12">
        <v>100</v>
      </c>
      <c r="M526" s="13">
        <v>10.441700000000001</v>
      </c>
      <c r="N526" s="14">
        <v>1044.17</v>
      </c>
      <c r="O526" s="12">
        <v>900</v>
      </c>
      <c r="P526" s="13">
        <v>10.44173</v>
      </c>
      <c r="Q526" s="14">
        <v>9397.5570000000007</v>
      </c>
      <c r="R526" s="11" t="s">
        <v>2971</v>
      </c>
      <c r="S526" s="11" t="s">
        <v>2972</v>
      </c>
      <c r="T526" s="11" t="s">
        <v>2966</v>
      </c>
    </row>
    <row r="527" spans="1:20" ht="50.1" hidden="1" customHeight="1">
      <c r="A527" s="10">
        <v>526</v>
      </c>
      <c r="B527" s="11" t="s">
        <v>1656</v>
      </c>
      <c r="C527" s="11" t="s">
        <v>1657</v>
      </c>
      <c r="D527" s="11" t="s">
        <v>17</v>
      </c>
      <c r="E527" s="11" t="s">
        <v>8</v>
      </c>
      <c r="F527" s="12">
        <v>1400</v>
      </c>
      <c r="G527" s="13">
        <v>9.9999992100000004</v>
      </c>
      <c r="H527" s="14">
        <v>13999.998900000001</v>
      </c>
      <c r="I527" s="12">
        <v>2600</v>
      </c>
      <c r="J527" s="13">
        <v>10</v>
      </c>
      <c r="K527" s="14">
        <v>26000</v>
      </c>
      <c r="L527" s="12">
        <v>1300</v>
      </c>
      <c r="M527" s="13">
        <v>10</v>
      </c>
      <c r="N527" s="14">
        <v>13000</v>
      </c>
      <c r="O527" s="12">
        <v>2700</v>
      </c>
      <c r="P527" s="13">
        <v>9.9999995899999998</v>
      </c>
      <c r="Q527" s="14">
        <v>26999.998899999999</v>
      </c>
      <c r="R527" s="11" t="s">
        <v>2971</v>
      </c>
      <c r="S527" s="11" t="s">
        <v>2972</v>
      </c>
      <c r="T527" s="11" t="s">
        <v>2966</v>
      </c>
    </row>
    <row r="528" spans="1:20" ht="50.1" hidden="1" customHeight="1">
      <c r="A528" s="10">
        <v>527</v>
      </c>
      <c r="B528" s="11" t="s">
        <v>1658</v>
      </c>
      <c r="C528" s="11" t="s">
        <v>1659</v>
      </c>
      <c r="D528" s="11" t="s">
        <v>17</v>
      </c>
      <c r="E528" s="11" t="s">
        <v>8</v>
      </c>
      <c r="F528" s="12">
        <v>900</v>
      </c>
      <c r="G528" s="13">
        <v>12.299931109999999</v>
      </c>
      <c r="H528" s="14">
        <v>11069.938</v>
      </c>
      <c r="I528" s="12">
        <v>900</v>
      </c>
      <c r="J528" s="13">
        <v>12.3</v>
      </c>
      <c r="K528" s="14">
        <v>11070</v>
      </c>
      <c r="L528" s="12">
        <v>900</v>
      </c>
      <c r="M528" s="13">
        <v>12.299977780000001</v>
      </c>
      <c r="N528" s="14">
        <v>11069.98</v>
      </c>
      <c r="O528" s="12">
        <v>900</v>
      </c>
      <c r="P528" s="13">
        <v>12.299953329999999</v>
      </c>
      <c r="Q528" s="14">
        <v>11069.958000000001</v>
      </c>
      <c r="R528" s="11" t="s">
        <v>2971</v>
      </c>
      <c r="S528" s="11" t="s">
        <v>2972</v>
      </c>
      <c r="T528" s="11" t="s">
        <v>2966</v>
      </c>
    </row>
    <row r="529" spans="1:20" ht="50.1" hidden="1" customHeight="1">
      <c r="A529" s="10">
        <v>528</v>
      </c>
      <c r="B529" s="11" t="s">
        <v>1660</v>
      </c>
      <c r="C529" s="11" t="s">
        <v>1661</v>
      </c>
      <c r="D529" s="11" t="s">
        <v>17</v>
      </c>
      <c r="E529" s="11" t="s">
        <v>8</v>
      </c>
      <c r="F529" s="12">
        <v>800</v>
      </c>
      <c r="G529" s="13">
        <v>10.314562499999999</v>
      </c>
      <c r="H529" s="14">
        <v>8251.65</v>
      </c>
      <c r="I529" s="12">
        <v>0</v>
      </c>
      <c r="J529" s="13"/>
      <c r="K529" s="14">
        <v>0</v>
      </c>
      <c r="L529" s="12">
        <v>0</v>
      </c>
      <c r="M529" s="13"/>
      <c r="N529" s="14">
        <v>0</v>
      </c>
      <c r="O529" s="12">
        <v>800</v>
      </c>
      <c r="P529" s="13">
        <v>10.314562499999999</v>
      </c>
      <c r="Q529" s="14">
        <v>8251.65</v>
      </c>
      <c r="R529" s="11" t="s">
        <v>2971</v>
      </c>
      <c r="S529" s="11" t="s">
        <v>2972</v>
      </c>
      <c r="T529" s="11" t="s">
        <v>2966</v>
      </c>
    </row>
    <row r="530" spans="1:20" ht="50.1" hidden="1" customHeight="1">
      <c r="A530" s="10">
        <v>529</v>
      </c>
      <c r="B530" s="11" t="s">
        <v>1692</v>
      </c>
      <c r="C530" s="11" t="s">
        <v>1693</v>
      </c>
      <c r="D530" s="11" t="s">
        <v>17</v>
      </c>
      <c r="E530" s="11" t="s">
        <v>8</v>
      </c>
      <c r="F530" s="12">
        <v>1600</v>
      </c>
      <c r="G530" s="13">
        <v>9.6</v>
      </c>
      <c r="H530" s="14">
        <v>15360</v>
      </c>
      <c r="I530" s="12">
        <v>700</v>
      </c>
      <c r="J530" s="13">
        <v>9.6</v>
      </c>
      <c r="K530" s="14">
        <v>6720</v>
      </c>
      <c r="L530" s="12">
        <v>900</v>
      </c>
      <c r="M530" s="13">
        <v>9.6</v>
      </c>
      <c r="N530" s="14">
        <v>8640</v>
      </c>
      <c r="O530" s="12">
        <v>1400</v>
      </c>
      <c r="P530" s="13">
        <v>9.6</v>
      </c>
      <c r="Q530" s="14">
        <v>13440</v>
      </c>
      <c r="R530" s="11" t="s">
        <v>2971</v>
      </c>
      <c r="S530" s="11" t="s">
        <v>2972</v>
      </c>
      <c r="T530" s="11" t="s">
        <v>2966</v>
      </c>
    </row>
    <row r="531" spans="1:20" ht="50.1" hidden="1" customHeight="1">
      <c r="A531" s="10">
        <v>530</v>
      </c>
      <c r="B531" s="11" t="s">
        <v>1694</v>
      </c>
      <c r="C531" s="11" t="s">
        <v>1695</v>
      </c>
      <c r="D531" s="11" t="s">
        <v>17</v>
      </c>
      <c r="E531" s="11" t="s">
        <v>8</v>
      </c>
      <c r="F531" s="12">
        <v>900</v>
      </c>
      <c r="G531" s="13">
        <v>9.99886667</v>
      </c>
      <c r="H531" s="14">
        <v>8998.98</v>
      </c>
      <c r="I531" s="12">
        <v>0</v>
      </c>
      <c r="J531" s="13"/>
      <c r="K531" s="14">
        <v>0</v>
      </c>
      <c r="L531" s="12">
        <v>200</v>
      </c>
      <c r="M531" s="13">
        <v>9.9987999999999992</v>
      </c>
      <c r="N531" s="14">
        <v>1999.76</v>
      </c>
      <c r="O531" s="12">
        <v>700</v>
      </c>
      <c r="P531" s="13">
        <v>9.9988857099999997</v>
      </c>
      <c r="Q531" s="14">
        <v>6999.22</v>
      </c>
      <c r="R531" s="11" t="s">
        <v>2971</v>
      </c>
      <c r="S531" s="11" t="s">
        <v>2972</v>
      </c>
      <c r="T531" s="11" t="s">
        <v>2966</v>
      </c>
    </row>
    <row r="532" spans="1:20" ht="50.1" hidden="1" customHeight="1">
      <c r="A532" s="10">
        <v>531</v>
      </c>
      <c r="B532" s="11" t="s">
        <v>1696</v>
      </c>
      <c r="C532" s="11" t="s">
        <v>1697</v>
      </c>
      <c r="D532" s="11" t="s">
        <v>17</v>
      </c>
      <c r="E532" s="11" t="s">
        <v>8</v>
      </c>
      <c r="F532" s="12">
        <v>550</v>
      </c>
      <c r="G532" s="13">
        <v>17.47301818</v>
      </c>
      <c r="H532" s="14">
        <v>9610.16</v>
      </c>
      <c r="I532" s="12">
        <v>0</v>
      </c>
      <c r="J532" s="13"/>
      <c r="K532" s="14">
        <v>0</v>
      </c>
      <c r="L532" s="12">
        <v>100</v>
      </c>
      <c r="M532" s="13">
        <v>17.472999999999999</v>
      </c>
      <c r="N532" s="14">
        <v>1747.3</v>
      </c>
      <c r="O532" s="12">
        <v>450</v>
      </c>
      <c r="P532" s="13">
        <v>17.473022220000001</v>
      </c>
      <c r="Q532" s="14">
        <v>7862.86</v>
      </c>
      <c r="R532" s="11" t="s">
        <v>2971</v>
      </c>
      <c r="S532" s="11" t="s">
        <v>2972</v>
      </c>
      <c r="T532" s="11" t="s">
        <v>2966</v>
      </c>
    </row>
    <row r="533" spans="1:20" ht="50.1" hidden="1" customHeight="1">
      <c r="A533" s="10">
        <v>532</v>
      </c>
      <c r="B533" s="11" t="s">
        <v>1712</v>
      </c>
      <c r="C533" s="11" t="s">
        <v>1713</v>
      </c>
      <c r="D533" s="11" t="s">
        <v>17</v>
      </c>
      <c r="E533" s="11" t="s">
        <v>8</v>
      </c>
      <c r="F533" s="12">
        <v>155</v>
      </c>
      <c r="G533" s="13">
        <v>55</v>
      </c>
      <c r="H533" s="14">
        <v>8525</v>
      </c>
      <c r="I533" s="12">
        <v>0</v>
      </c>
      <c r="J533" s="13"/>
      <c r="K533" s="14">
        <v>0</v>
      </c>
      <c r="L533" s="12">
        <v>100</v>
      </c>
      <c r="M533" s="13">
        <v>55</v>
      </c>
      <c r="N533" s="14">
        <v>5500</v>
      </c>
      <c r="O533" s="12">
        <v>55</v>
      </c>
      <c r="P533" s="13">
        <v>55</v>
      </c>
      <c r="Q533" s="14">
        <v>3025</v>
      </c>
      <c r="R533" s="11" t="s">
        <v>2971</v>
      </c>
      <c r="S533" s="11" t="s">
        <v>2972</v>
      </c>
      <c r="T533" s="11" t="s">
        <v>2966</v>
      </c>
    </row>
    <row r="534" spans="1:20" ht="50.1" hidden="1" customHeight="1">
      <c r="A534" s="10">
        <v>533</v>
      </c>
      <c r="B534" s="11" t="s">
        <v>1714</v>
      </c>
      <c r="C534" s="11" t="s">
        <v>1715</v>
      </c>
      <c r="D534" s="11" t="s">
        <v>17</v>
      </c>
      <c r="E534" s="11" t="s">
        <v>8</v>
      </c>
      <c r="F534" s="12">
        <v>800</v>
      </c>
      <c r="G534" s="13">
        <v>10.369624999999999</v>
      </c>
      <c r="H534" s="14">
        <v>8295.7000000000007</v>
      </c>
      <c r="I534" s="12">
        <v>0</v>
      </c>
      <c r="J534" s="13"/>
      <c r="K534" s="14">
        <v>0</v>
      </c>
      <c r="L534" s="12">
        <v>200</v>
      </c>
      <c r="M534" s="13">
        <v>10.3696</v>
      </c>
      <c r="N534" s="14">
        <v>2073.92</v>
      </c>
      <c r="O534" s="12">
        <v>600</v>
      </c>
      <c r="P534" s="13">
        <v>10.369633329999999</v>
      </c>
      <c r="Q534" s="14">
        <v>6221.78</v>
      </c>
      <c r="R534" s="11" t="s">
        <v>2971</v>
      </c>
      <c r="S534" s="11" t="s">
        <v>2972</v>
      </c>
      <c r="T534" s="11" t="s">
        <v>2966</v>
      </c>
    </row>
    <row r="535" spans="1:20" ht="50.1" hidden="1" customHeight="1">
      <c r="A535" s="10">
        <v>534</v>
      </c>
      <c r="B535" s="11" t="s">
        <v>1716</v>
      </c>
      <c r="C535" s="11" t="s">
        <v>1717</v>
      </c>
      <c r="D535" s="11" t="s">
        <v>17</v>
      </c>
      <c r="E535" s="11" t="s">
        <v>8</v>
      </c>
      <c r="F535" s="12">
        <v>500</v>
      </c>
      <c r="G535" s="13">
        <v>13.530200000000001</v>
      </c>
      <c r="H535" s="14">
        <v>6765.1</v>
      </c>
      <c r="I535" s="12">
        <v>0</v>
      </c>
      <c r="J535" s="13"/>
      <c r="K535" s="14">
        <v>0</v>
      </c>
      <c r="L535" s="12">
        <v>100</v>
      </c>
      <c r="M535" s="13">
        <v>13.530200000000001</v>
      </c>
      <c r="N535" s="14">
        <v>1353.02</v>
      </c>
      <c r="O535" s="12">
        <v>400</v>
      </c>
      <c r="P535" s="13">
        <v>13.530200000000001</v>
      </c>
      <c r="Q535" s="14">
        <v>5412.08</v>
      </c>
      <c r="R535" s="11" t="s">
        <v>2971</v>
      </c>
      <c r="S535" s="11" t="s">
        <v>2972</v>
      </c>
      <c r="T535" s="11" t="s">
        <v>2966</v>
      </c>
    </row>
    <row r="536" spans="1:20" ht="50.1" hidden="1" customHeight="1">
      <c r="A536" s="10">
        <v>535</v>
      </c>
      <c r="B536" s="11" t="s">
        <v>1718</v>
      </c>
      <c r="C536" s="11" t="s">
        <v>1719</v>
      </c>
      <c r="D536" s="11" t="s">
        <v>17</v>
      </c>
      <c r="E536" s="11" t="s">
        <v>8</v>
      </c>
      <c r="F536" s="12">
        <v>270</v>
      </c>
      <c r="G536" s="13">
        <v>20</v>
      </c>
      <c r="H536" s="14">
        <v>5400</v>
      </c>
      <c r="I536" s="12">
        <v>0</v>
      </c>
      <c r="J536" s="13"/>
      <c r="K536" s="14">
        <v>0</v>
      </c>
      <c r="L536" s="12">
        <v>0</v>
      </c>
      <c r="M536" s="13"/>
      <c r="N536" s="14">
        <v>0</v>
      </c>
      <c r="O536" s="12">
        <v>270</v>
      </c>
      <c r="P536" s="13">
        <v>20</v>
      </c>
      <c r="Q536" s="14">
        <v>5400</v>
      </c>
      <c r="R536" s="11" t="s">
        <v>2971</v>
      </c>
      <c r="S536" s="11" t="s">
        <v>2972</v>
      </c>
      <c r="T536" s="11" t="s">
        <v>2961</v>
      </c>
    </row>
    <row r="537" spans="1:20" ht="50.1" hidden="1" customHeight="1">
      <c r="A537" s="10">
        <v>536</v>
      </c>
      <c r="B537" s="11" t="s">
        <v>142</v>
      </c>
      <c r="C537" s="11" t="s">
        <v>143</v>
      </c>
      <c r="D537" s="11" t="s">
        <v>17</v>
      </c>
      <c r="E537" s="11" t="s">
        <v>8</v>
      </c>
      <c r="F537" s="12">
        <v>300</v>
      </c>
      <c r="G537" s="13">
        <v>14.962362000000001</v>
      </c>
      <c r="H537" s="14">
        <v>4488.7085999999999</v>
      </c>
      <c r="I537" s="12">
        <v>0</v>
      </c>
      <c r="J537" s="13"/>
      <c r="K537" s="14">
        <v>0</v>
      </c>
      <c r="L537" s="12">
        <v>45</v>
      </c>
      <c r="M537" s="13">
        <v>14.962444440000001</v>
      </c>
      <c r="N537" s="14">
        <v>673.31</v>
      </c>
      <c r="O537" s="12">
        <v>255</v>
      </c>
      <c r="P537" s="13">
        <v>14.962347449999999</v>
      </c>
      <c r="Q537" s="14">
        <v>3815.3986</v>
      </c>
      <c r="R537" s="11" t="s">
        <v>2971</v>
      </c>
      <c r="S537" s="11" t="s">
        <v>2972</v>
      </c>
      <c r="T537" s="11" t="s">
        <v>2966</v>
      </c>
    </row>
    <row r="538" spans="1:20" ht="50.1" hidden="1" customHeight="1">
      <c r="A538" s="10">
        <v>537</v>
      </c>
      <c r="B538" s="11" t="s">
        <v>144</v>
      </c>
      <c r="C538" s="11" t="s">
        <v>145</v>
      </c>
      <c r="D538" s="11" t="s">
        <v>17</v>
      </c>
      <c r="E538" s="11" t="s">
        <v>8</v>
      </c>
      <c r="F538" s="12">
        <v>290</v>
      </c>
      <c r="G538" s="13">
        <v>68</v>
      </c>
      <c r="H538" s="14">
        <v>19720</v>
      </c>
      <c r="I538" s="12">
        <v>0</v>
      </c>
      <c r="J538" s="13"/>
      <c r="K538" s="14">
        <v>0</v>
      </c>
      <c r="L538" s="12">
        <v>97</v>
      </c>
      <c r="M538" s="13">
        <v>68</v>
      </c>
      <c r="N538" s="14">
        <v>6596</v>
      </c>
      <c r="O538" s="12">
        <v>193</v>
      </c>
      <c r="P538" s="13">
        <v>68</v>
      </c>
      <c r="Q538" s="14">
        <v>13124</v>
      </c>
      <c r="R538" s="11" t="s">
        <v>2981</v>
      </c>
      <c r="S538" s="11" t="s">
        <v>2982</v>
      </c>
      <c r="T538" s="11" t="s">
        <v>2966</v>
      </c>
    </row>
    <row r="539" spans="1:20" ht="50.1" hidden="1" customHeight="1">
      <c r="A539" s="10">
        <v>538</v>
      </c>
      <c r="B539" s="11" t="s">
        <v>146</v>
      </c>
      <c r="C539" s="11" t="s">
        <v>147</v>
      </c>
      <c r="D539" s="11" t="s">
        <v>148</v>
      </c>
      <c r="E539" s="11" t="s">
        <v>8</v>
      </c>
      <c r="F539" s="12">
        <v>34</v>
      </c>
      <c r="G539" s="13">
        <v>175</v>
      </c>
      <c r="H539" s="14">
        <v>5950</v>
      </c>
      <c r="I539" s="12">
        <v>24</v>
      </c>
      <c r="J539" s="13">
        <v>175</v>
      </c>
      <c r="K539" s="14">
        <v>4200</v>
      </c>
      <c r="L539" s="12">
        <v>34</v>
      </c>
      <c r="M539" s="13">
        <v>175</v>
      </c>
      <c r="N539" s="14">
        <v>5950</v>
      </c>
      <c r="O539" s="12">
        <v>24</v>
      </c>
      <c r="P539" s="13">
        <v>175</v>
      </c>
      <c r="Q539" s="14">
        <v>4200</v>
      </c>
      <c r="R539" s="11" t="s">
        <v>2990</v>
      </c>
      <c r="S539" s="11" t="s">
        <v>2991</v>
      </c>
      <c r="T539" s="11" t="s">
        <v>2966</v>
      </c>
    </row>
    <row r="540" spans="1:20" ht="50.1" hidden="1" customHeight="1">
      <c r="A540" s="10">
        <v>539</v>
      </c>
      <c r="B540" s="11" t="s">
        <v>149</v>
      </c>
      <c r="C540" s="11" t="s">
        <v>150</v>
      </c>
      <c r="D540" s="11" t="s">
        <v>17</v>
      </c>
      <c r="E540" s="11" t="s">
        <v>8</v>
      </c>
      <c r="F540" s="12">
        <v>1256</v>
      </c>
      <c r="G540" s="13">
        <v>115.92047118000001</v>
      </c>
      <c r="H540" s="14">
        <v>145596.11180000001</v>
      </c>
      <c r="I540" s="12">
        <v>0</v>
      </c>
      <c r="J540" s="13"/>
      <c r="K540" s="14">
        <v>0</v>
      </c>
      <c r="L540" s="12">
        <v>6</v>
      </c>
      <c r="M540" s="13">
        <v>115.92</v>
      </c>
      <c r="N540" s="14">
        <v>695.52</v>
      </c>
      <c r="O540" s="12">
        <v>1250</v>
      </c>
      <c r="P540" s="13">
        <v>115.92047343999999</v>
      </c>
      <c r="Q540" s="14">
        <v>144900.59179999999</v>
      </c>
      <c r="R540" s="11" t="s">
        <v>2971</v>
      </c>
      <c r="S540" s="11" t="s">
        <v>2972</v>
      </c>
      <c r="T540" s="11" t="s">
        <v>2966</v>
      </c>
    </row>
    <row r="541" spans="1:20" ht="50.1" hidden="1" customHeight="1">
      <c r="A541" s="10">
        <v>540</v>
      </c>
      <c r="B541" s="11" t="s">
        <v>3269</v>
      </c>
      <c r="C541" s="11" t="s">
        <v>3270</v>
      </c>
      <c r="D541" s="11" t="s">
        <v>17</v>
      </c>
      <c r="E541" s="11" t="s">
        <v>8</v>
      </c>
      <c r="F541" s="12">
        <v>71</v>
      </c>
      <c r="G541" s="13">
        <v>29.66</v>
      </c>
      <c r="H541" s="14">
        <v>2105.86</v>
      </c>
      <c r="I541" s="12">
        <v>0</v>
      </c>
      <c r="J541" s="13"/>
      <c r="K541" s="14">
        <v>0</v>
      </c>
      <c r="L541" s="12">
        <v>10</v>
      </c>
      <c r="M541" s="13">
        <v>29.66</v>
      </c>
      <c r="N541" s="14">
        <v>296.60000000000002</v>
      </c>
      <c r="O541" s="12">
        <v>61</v>
      </c>
      <c r="P541" s="13">
        <v>29.66</v>
      </c>
      <c r="Q541" s="14">
        <v>1809.26</v>
      </c>
      <c r="R541" s="11" t="s">
        <v>2990</v>
      </c>
      <c r="S541" s="11" t="s">
        <v>2991</v>
      </c>
      <c r="T541" s="11" t="s">
        <v>2961</v>
      </c>
    </row>
    <row r="542" spans="1:20" ht="50.1" hidden="1" customHeight="1">
      <c r="A542" s="10">
        <v>541</v>
      </c>
      <c r="B542" s="11" t="s">
        <v>153</v>
      </c>
      <c r="C542" s="11" t="s">
        <v>154</v>
      </c>
      <c r="D542" s="11" t="s">
        <v>20</v>
      </c>
      <c r="E542" s="11" t="s">
        <v>8</v>
      </c>
      <c r="F542" s="12">
        <v>418.4</v>
      </c>
      <c r="G542" s="13">
        <v>136.00000908000001</v>
      </c>
      <c r="H542" s="14">
        <v>56902.4038</v>
      </c>
      <c r="I542" s="12">
        <v>222.8</v>
      </c>
      <c r="J542" s="13">
        <v>136</v>
      </c>
      <c r="K542" s="14">
        <v>30300.799999999999</v>
      </c>
      <c r="L542" s="12">
        <v>89.2</v>
      </c>
      <c r="M542" s="13">
        <v>136</v>
      </c>
      <c r="N542" s="14">
        <v>12131.2</v>
      </c>
      <c r="O542" s="12">
        <v>552</v>
      </c>
      <c r="P542" s="13">
        <v>136.00000688</v>
      </c>
      <c r="Q542" s="14">
        <v>75072.003800000006</v>
      </c>
      <c r="R542" s="11" t="s">
        <v>2990</v>
      </c>
      <c r="S542" s="11" t="s">
        <v>2991</v>
      </c>
      <c r="T542" s="11" t="s">
        <v>2966</v>
      </c>
    </row>
    <row r="543" spans="1:20" ht="50.1" hidden="1" customHeight="1">
      <c r="A543" s="10">
        <v>542</v>
      </c>
      <c r="B543" s="11" t="s">
        <v>2585</v>
      </c>
      <c r="C543" s="11" t="s">
        <v>2586</v>
      </c>
      <c r="D543" s="11" t="s">
        <v>20</v>
      </c>
      <c r="E543" s="11" t="s">
        <v>8</v>
      </c>
      <c r="F543" s="12">
        <v>0</v>
      </c>
      <c r="G543" s="13"/>
      <c r="H543" s="14">
        <v>0</v>
      </c>
      <c r="I543" s="12">
        <v>135.9</v>
      </c>
      <c r="J543" s="13">
        <v>145</v>
      </c>
      <c r="K543" s="14">
        <v>19705.5</v>
      </c>
      <c r="L543" s="12">
        <v>135.9</v>
      </c>
      <c r="M543" s="13">
        <v>145</v>
      </c>
      <c r="N543" s="14">
        <v>19705.5</v>
      </c>
      <c r="O543" s="12">
        <v>0</v>
      </c>
      <c r="P543" s="13"/>
      <c r="Q543" s="14">
        <v>0</v>
      </c>
      <c r="R543" s="11" t="s">
        <v>2990</v>
      </c>
      <c r="S543" s="11" t="s">
        <v>2991</v>
      </c>
      <c r="T543" s="11" t="s">
        <v>2961</v>
      </c>
    </row>
    <row r="544" spans="1:20" ht="50.1" hidden="1" customHeight="1">
      <c r="A544" s="10">
        <v>543</v>
      </c>
      <c r="B544" s="11" t="s">
        <v>155</v>
      </c>
      <c r="C544" s="11" t="s">
        <v>156</v>
      </c>
      <c r="D544" s="11" t="s">
        <v>135</v>
      </c>
      <c r="E544" s="11" t="s">
        <v>8</v>
      </c>
      <c r="F544" s="12">
        <v>32</v>
      </c>
      <c r="G544" s="13">
        <v>474.54593749999998</v>
      </c>
      <c r="H544" s="14">
        <v>15185.47</v>
      </c>
      <c r="I544" s="12">
        <v>0</v>
      </c>
      <c r="J544" s="13"/>
      <c r="K544" s="14">
        <v>0</v>
      </c>
      <c r="L544" s="12">
        <v>10</v>
      </c>
      <c r="M544" s="13">
        <v>474.54599999999999</v>
      </c>
      <c r="N544" s="14">
        <v>4745.46</v>
      </c>
      <c r="O544" s="12">
        <v>22</v>
      </c>
      <c r="P544" s="13">
        <v>474.54590909000001</v>
      </c>
      <c r="Q544" s="14">
        <v>10440.01</v>
      </c>
      <c r="R544" s="11" t="s">
        <v>2997</v>
      </c>
      <c r="S544" s="11" t="s">
        <v>2998</v>
      </c>
      <c r="T544" s="11" t="s">
        <v>2966</v>
      </c>
    </row>
    <row r="545" spans="1:20" ht="50.1" hidden="1" customHeight="1">
      <c r="A545" s="10">
        <v>544</v>
      </c>
      <c r="B545" s="11" t="s">
        <v>157</v>
      </c>
      <c r="C545" s="11" t="s">
        <v>158</v>
      </c>
      <c r="D545" s="11" t="s">
        <v>17</v>
      </c>
      <c r="E545" s="11" t="s">
        <v>8</v>
      </c>
      <c r="F545" s="12">
        <v>7500</v>
      </c>
      <c r="G545" s="13">
        <v>1.7000153899999999</v>
      </c>
      <c r="H545" s="14">
        <v>12750.115400000001</v>
      </c>
      <c r="I545" s="12">
        <v>0</v>
      </c>
      <c r="J545" s="13"/>
      <c r="K545" s="14">
        <v>0</v>
      </c>
      <c r="L545" s="12">
        <v>2000</v>
      </c>
      <c r="M545" s="13">
        <v>1.7</v>
      </c>
      <c r="N545" s="14">
        <v>3400</v>
      </c>
      <c r="O545" s="12">
        <v>5500</v>
      </c>
      <c r="P545" s="13">
        <v>1.7000209799999999</v>
      </c>
      <c r="Q545" s="14">
        <v>9350.1154000000006</v>
      </c>
      <c r="R545" s="11" t="s">
        <v>2971</v>
      </c>
      <c r="S545" s="11" t="s">
        <v>2972</v>
      </c>
      <c r="T545" s="11" t="s">
        <v>2966</v>
      </c>
    </row>
    <row r="546" spans="1:20" ht="50.1" hidden="1" customHeight="1">
      <c r="A546" s="10">
        <v>545</v>
      </c>
      <c r="B546" s="11" t="s">
        <v>2902</v>
      </c>
      <c r="C546" s="11" t="s">
        <v>3275</v>
      </c>
      <c r="D546" s="11" t="s">
        <v>17</v>
      </c>
      <c r="E546" s="11" t="s">
        <v>8</v>
      </c>
      <c r="F546" s="12">
        <v>3900</v>
      </c>
      <c r="G546" s="13">
        <v>18</v>
      </c>
      <c r="H546" s="14">
        <v>70200</v>
      </c>
      <c r="I546" s="12">
        <v>3308</v>
      </c>
      <c r="J546" s="13">
        <v>18</v>
      </c>
      <c r="K546" s="14">
        <v>59544</v>
      </c>
      <c r="L546" s="12">
        <v>0</v>
      </c>
      <c r="M546" s="13"/>
      <c r="N546" s="14">
        <v>0</v>
      </c>
      <c r="O546" s="12">
        <v>7208</v>
      </c>
      <c r="P546" s="13">
        <v>18</v>
      </c>
      <c r="Q546" s="14">
        <v>129744</v>
      </c>
      <c r="R546" s="11" t="s">
        <v>2971</v>
      </c>
      <c r="S546" s="11" t="s">
        <v>2972</v>
      </c>
      <c r="T546" s="11" t="s">
        <v>2966</v>
      </c>
    </row>
    <row r="547" spans="1:20" ht="50.1" hidden="1" customHeight="1">
      <c r="A547" s="10">
        <v>546</v>
      </c>
      <c r="B547" s="11" t="s">
        <v>163</v>
      </c>
      <c r="C547" s="11" t="s">
        <v>164</v>
      </c>
      <c r="D547" s="11" t="s">
        <v>7</v>
      </c>
      <c r="E547" s="11" t="s">
        <v>8</v>
      </c>
      <c r="F547" s="12">
        <v>14400</v>
      </c>
      <c r="G547" s="13">
        <v>2.9910319400000001</v>
      </c>
      <c r="H547" s="14">
        <v>43070.86</v>
      </c>
      <c r="I547" s="12">
        <v>14400</v>
      </c>
      <c r="J547" s="13">
        <v>3.1</v>
      </c>
      <c r="K547" s="14">
        <v>44640</v>
      </c>
      <c r="L547" s="12">
        <v>16800</v>
      </c>
      <c r="M547" s="13">
        <v>3.0325857100000002</v>
      </c>
      <c r="N547" s="14">
        <v>50947.44</v>
      </c>
      <c r="O547" s="12">
        <v>12000</v>
      </c>
      <c r="P547" s="13">
        <v>3.0636183300000002</v>
      </c>
      <c r="Q547" s="14">
        <v>36763.42</v>
      </c>
      <c r="R547" s="11" t="s">
        <v>2971</v>
      </c>
      <c r="S547" s="11" t="s">
        <v>2972</v>
      </c>
      <c r="T547" s="11" t="s">
        <v>2966</v>
      </c>
    </row>
    <row r="548" spans="1:20" ht="50.1" hidden="1" customHeight="1">
      <c r="A548" s="10">
        <v>547</v>
      </c>
      <c r="B548" s="11" t="s">
        <v>165</v>
      </c>
      <c r="C548" s="11" t="s">
        <v>166</v>
      </c>
      <c r="D548" s="11" t="s">
        <v>7</v>
      </c>
      <c r="E548" s="11" t="s">
        <v>8</v>
      </c>
      <c r="F548" s="12">
        <v>7200</v>
      </c>
      <c r="G548" s="13">
        <v>2.35</v>
      </c>
      <c r="H548" s="14">
        <v>16920</v>
      </c>
      <c r="I548" s="12">
        <v>0</v>
      </c>
      <c r="J548" s="13"/>
      <c r="K548" s="14">
        <v>0</v>
      </c>
      <c r="L548" s="12">
        <v>0</v>
      </c>
      <c r="M548" s="13"/>
      <c r="N548" s="14">
        <v>0</v>
      </c>
      <c r="O548" s="12">
        <v>7200</v>
      </c>
      <c r="P548" s="13">
        <v>2.35</v>
      </c>
      <c r="Q548" s="14">
        <v>16920</v>
      </c>
      <c r="R548" s="11" t="s">
        <v>2971</v>
      </c>
      <c r="S548" s="11" t="s">
        <v>2972</v>
      </c>
      <c r="T548" s="11" t="s">
        <v>2966</v>
      </c>
    </row>
    <row r="549" spans="1:20" ht="50.1" hidden="1" customHeight="1">
      <c r="A549" s="10">
        <v>548</v>
      </c>
      <c r="B549" s="11" t="s">
        <v>167</v>
      </c>
      <c r="C549" s="11" t="s">
        <v>168</v>
      </c>
      <c r="D549" s="11" t="s">
        <v>7</v>
      </c>
      <c r="E549" s="11" t="s">
        <v>8</v>
      </c>
      <c r="F549" s="12">
        <v>116000</v>
      </c>
      <c r="G549" s="13">
        <v>2.9963572599999999</v>
      </c>
      <c r="H549" s="14">
        <v>347577.44199999998</v>
      </c>
      <c r="I549" s="12">
        <v>12000</v>
      </c>
      <c r="J549" s="13">
        <v>3.1</v>
      </c>
      <c r="K549" s="14">
        <v>37200</v>
      </c>
      <c r="L549" s="12">
        <v>28900</v>
      </c>
      <c r="M549" s="13">
        <v>3.0015667800000001</v>
      </c>
      <c r="N549" s="14">
        <v>86745.279999999999</v>
      </c>
      <c r="O549" s="12">
        <v>99100</v>
      </c>
      <c r="P549" s="13">
        <v>3.0073881099999999</v>
      </c>
      <c r="Q549" s="14">
        <v>298032.16200000001</v>
      </c>
      <c r="R549" s="11" t="s">
        <v>2971</v>
      </c>
      <c r="S549" s="11" t="s">
        <v>2972</v>
      </c>
      <c r="T549" s="11" t="s">
        <v>2966</v>
      </c>
    </row>
    <row r="550" spans="1:20" ht="50.1" hidden="1" customHeight="1">
      <c r="A550" s="10">
        <v>549</v>
      </c>
      <c r="B550" s="11" t="s">
        <v>169</v>
      </c>
      <c r="C550" s="11" t="s">
        <v>170</v>
      </c>
      <c r="D550" s="11" t="s">
        <v>7</v>
      </c>
      <c r="E550" s="11" t="s">
        <v>8</v>
      </c>
      <c r="F550" s="12">
        <v>7200</v>
      </c>
      <c r="G550" s="13">
        <v>2.35</v>
      </c>
      <c r="H550" s="14">
        <v>16920</v>
      </c>
      <c r="I550" s="12">
        <v>0</v>
      </c>
      <c r="J550" s="13"/>
      <c r="K550" s="14">
        <v>0</v>
      </c>
      <c r="L550" s="12">
        <v>0</v>
      </c>
      <c r="M550" s="13"/>
      <c r="N550" s="14">
        <v>0</v>
      </c>
      <c r="O550" s="12">
        <v>7200</v>
      </c>
      <c r="P550" s="13">
        <v>2.35</v>
      </c>
      <c r="Q550" s="14">
        <v>16920</v>
      </c>
      <c r="R550" s="11" t="s">
        <v>2971</v>
      </c>
      <c r="S550" s="11" t="s">
        <v>2972</v>
      </c>
      <c r="T550" s="11" t="s">
        <v>2966</v>
      </c>
    </row>
    <row r="551" spans="1:20" ht="50.1" hidden="1" customHeight="1">
      <c r="A551" s="10">
        <v>550</v>
      </c>
      <c r="B551" s="11" t="s">
        <v>171</v>
      </c>
      <c r="C551" s="11" t="s">
        <v>172</v>
      </c>
      <c r="D551" s="11" t="s">
        <v>7</v>
      </c>
      <c r="E551" s="11" t="s">
        <v>8</v>
      </c>
      <c r="F551" s="12">
        <v>7200</v>
      </c>
      <c r="G551" s="13">
        <v>2.35</v>
      </c>
      <c r="H551" s="14">
        <v>16920</v>
      </c>
      <c r="I551" s="12">
        <v>0</v>
      </c>
      <c r="J551" s="13"/>
      <c r="K551" s="14">
        <v>0</v>
      </c>
      <c r="L551" s="12">
        <v>0</v>
      </c>
      <c r="M551" s="13"/>
      <c r="N551" s="14">
        <v>0</v>
      </c>
      <c r="O551" s="12">
        <v>7200</v>
      </c>
      <c r="P551" s="13">
        <v>2.35</v>
      </c>
      <c r="Q551" s="14">
        <v>16920</v>
      </c>
      <c r="R551" s="11" t="s">
        <v>2971</v>
      </c>
      <c r="S551" s="11" t="s">
        <v>2972</v>
      </c>
      <c r="T551" s="11" t="s">
        <v>2966</v>
      </c>
    </row>
    <row r="552" spans="1:20" ht="50.1" hidden="1" customHeight="1">
      <c r="A552" s="10">
        <v>551</v>
      </c>
      <c r="B552" s="11" t="s">
        <v>173</v>
      </c>
      <c r="C552" s="11" t="s">
        <v>174</v>
      </c>
      <c r="D552" s="11" t="s">
        <v>7</v>
      </c>
      <c r="E552" s="11" t="s">
        <v>8</v>
      </c>
      <c r="F552" s="12">
        <v>19200</v>
      </c>
      <c r="G552" s="13">
        <v>2.9735724000000001</v>
      </c>
      <c r="H552" s="14">
        <v>57092.59</v>
      </c>
      <c r="I552" s="12">
        <v>14400</v>
      </c>
      <c r="J552" s="13">
        <v>3.1</v>
      </c>
      <c r="K552" s="14">
        <v>44640</v>
      </c>
      <c r="L552" s="12">
        <v>12000</v>
      </c>
      <c r="M552" s="13">
        <v>3.0063200000000001</v>
      </c>
      <c r="N552" s="14">
        <v>36075.839999999997</v>
      </c>
      <c r="O552" s="12">
        <v>21600</v>
      </c>
      <c r="P552" s="13">
        <v>3.0396643499999998</v>
      </c>
      <c r="Q552" s="14">
        <v>65656.75</v>
      </c>
      <c r="R552" s="11" t="s">
        <v>2971</v>
      </c>
      <c r="S552" s="11" t="s">
        <v>2972</v>
      </c>
      <c r="T552" s="11" t="s">
        <v>2966</v>
      </c>
    </row>
    <row r="553" spans="1:20" ht="50.1" hidden="1" customHeight="1">
      <c r="A553" s="10">
        <v>552</v>
      </c>
      <c r="B553" s="11" t="s">
        <v>175</v>
      </c>
      <c r="C553" s="11" t="s">
        <v>176</v>
      </c>
      <c r="D553" s="11" t="s">
        <v>7</v>
      </c>
      <c r="E553" s="11" t="s">
        <v>8</v>
      </c>
      <c r="F553" s="12">
        <v>7200</v>
      </c>
      <c r="G553" s="13">
        <v>2.9825077100000001</v>
      </c>
      <c r="H553" s="14">
        <v>21474.055499999999</v>
      </c>
      <c r="I553" s="12">
        <v>12000</v>
      </c>
      <c r="J553" s="13">
        <v>3.1</v>
      </c>
      <c r="K553" s="14">
        <v>37200</v>
      </c>
      <c r="L553" s="12">
        <v>7200</v>
      </c>
      <c r="M553" s="13">
        <v>3.03846667</v>
      </c>
      <c r="N553" s="14">
        <v>21876.959999999999</v>
      </c>
      <c r="O553" s="12">
        <v>12000</v>
      </c>
      <c r="P553" s="13">
        <v>3.0664246300000002</v>
      </c>
      <c r="Q553" s="14">
        <v>36797.095500000003</v>
      </c>
      <c r="R553" s="11" t="s">
        <v>2971</v>
      </c>
      <c r="S553" s="11" t="s">
        <v>2972</v>
      </c>
      <c r="T553" s="11" t="s">
        <v>2966</v>
      </c>
    </row>
    <row r="554" spans="1:20" ht="50.1" hidden="1" customHeight="1">
      <c r="A554" s="10">
        <v>553</v>
      </c>
      <c r="B554" s="11" t="s">
        <v>177</v>
      </c>
      <c r="C554" s="11" t="s">
        <v>178</v>
      </c>
      <c r="D554" s="11" t="s">
        <v>7</v>
      </c>
      <c r="E554" s="11" t="s">
        <v>8</v>
      </c>
      <c r="F554" s="12">
        <v>27300</v>
      </c>
      <c r="G554" s="13">
        <v>3.0203337000000001</v>
      </c>
      <c r="H554" s="14">
        <v>82455.11</v>
      </c>
      <c r="I554" s="12">
        <v>21600</v>
      </c>
      <c r="J554" s="13">
        <v>3.1</v>
      </c>
      <c r="K554" s="14">
        <v>66960</v>
      </c>
      <c r="L554" s="12">
        <v>19800</v>
      </c>
      <c r="M554" s="13">
        <v>3.03803636</v>
      </c>
      <c r="N554" s="14">
        <v>60153.120000000003</v>
      </c>
      <c r="O554" s="12">
        <v>29100</v>
      </c>
      <c r="P554" s="13">
        <v>3.0674223399999998</v>
      </c>
      <c r="Q554" s="14">
        <v>89261.99</v>
      </c>
      <c r="R554" s="11" t="s">
        <v>2971</v>
      </c>
      <c r="S554" s="11" t="s">
        <v>2972</v>
      </c>
      <c r="T554" s="11" t="s">
        <v>2966</v>
      </c>
    </row>
    <row r="555" spans="1:20" ht="50.1" hidden="1" customHeight="1">
      <c r="A555" s="10">
        <v>554</v>
      </c>
      <c r="B555" s="11" t="s">
        <v>179</v>
      </c>
      <c r="C555" s="11" t="s">
        <v>180</v>
      </c>
      <c r="D555" s="11" t="s">
        <v>7</v>
      </c>
      <c r="E555" s="11" t="s">
        <v>8</v>
      </c>
      <c r="F555" s="12">
        <v>9600</v>
      </c>
      <c r="G555" s="13">
        <v>2.8887032600000002</v>
      </c>
      <c r="H555" s="14">
        <v>27731.551299999999</v>
      </c>
      <c r="I555" s="12">
        <v>0</v>
      </c>
      <c r="J555" s="13"/>
      <c r="K555" s="14">
        <v>0</v>
      </c>
      <c r="L555" s="12">
        <v>2400</v>
      </c>
      <c r="M555" s="13">
        <v>2.8887</v>
      </c>
      <c r="N555" s="14">
        <v>6932.88</v>
      </c>
      <c r="O555" s="12">
        <v>7200</v>
      </c>
      <c r="P555" s="13">
        <v>2.8887043499999998</v>
      </c>
      <c r="Q555" s="14">
        <v>20798.671300000002</v>
      </c>
      <c r="R555" s="11" t="s">
        <v>2971</v>
      </c>
      <c r="S555" s="11" t="s">
        <v>2972</v>
      </c>
      <c r="T555" s="11" t="s">
        <v>2966</v>
      </c>
    </row>
    <row r="556" spans="1:20" ht="50.1" hidden="1" customHeight="1">
      <c r="A556" s="10">
        <v>555</v>
      </c>
      <c r="B556" s="11" t="s">
        <v>181</v>
      </c>
      <c r="C556" s="11" t="s">
        <v>182</v>
      </c>
      <c r="D556" s="11" t="s">
        <v>17</v>
      </c>
      <c r="E556" s="11" t="s">
        <v>8</v>
      </c>
      <c r="F556" s="12">
        <v>404</v>
      </c>
      <c r="G556" s="13">
        <v>466</v>
      </c>
      <c r="H556" s="14">
        <v>188264</v>
      </c>
      <c r="I556" s="12">
        <v>0</v>
      </c>
      <c r="J556" s="13"/>
      <c r="K556" s="14">
        <v>0</v>
      </c>
      <c r="L556" s="12">
        <v>6</v>
      </c>
      <c r="M556" s="13">
        <v>466</v>
      </c>
      <c r="N556" s="14">
        <v>2796</v>
      </c>
      <c r="O556" s="12">
        <v>398</v>
      </c>
      <c r="P556" s="13">
        <v>466</v>
      </c>
      <c r="Q556" s="14">
        <v>185468</v>
      </c>
      <c r="R556" s="11" t="s">
        <v>2981</v>
      </c>
      <c r="S556" s="11" t="s">
        <v>2982</v>
      </c>
      <c r="T556" s="11" t="s">
        <v>2966</v>
      </c>
    </row>
    <row r="557" spans="1:20" ht="50.1" hidden="1" customHeight="1">
      <c r="A557" s="10">
        <v>556</v>
      </c>
      <c r="B557" s="11" t="s">
        <v>3488</v>
      </c>
      <c r="C557" s="11" t="s">
        <v>3489</v>
      </c>
      <c r="D557" s="11" t="s">
        <v>17</v>
      </c>
      <c r="E557" s="11" t="s">
        <v>8</v>
      </c>
      <c r="F557" s="12">
        <v>1200</v>
      </c>
      <c r="G557" s="13">
        <v>13.85</v>
      </c>
      <c r="H557" s="14">
        <v>16620</v>
      </c>
      <c r="I557" s="12">
        <v>100</v>
      </c>
      <c r="J557" s="13">
        <v>13.85</v>
      </c>
      <c r="K557" s="14">
        <v>1385</v>
      </c>
      <c r="L557" s="12">
        <v>0</v>
      </c>
      <c r="M557" s="13"/>
      <c r="N557" s="14">
        <v>0</v>
      </c>
      <c r="O557" s="12">
        <v>1300</v>
      </c>
      <c r="P557" s="13">
        <v>13.85</v>
      </c>
      <c r="Q557" s="14">
        <v>18005</v>
      </c>
      <c r="R557" s="11" t="s">
        <v>3011</v>
      </c>
      <c r="S557" s="11" t="s">
        <v>3012</v>
      </c>
      <c r="T557" s="11" t="s">
        <v>2966</v>
      </c>
    </row>
    <row r="558" spans="1:20" ht="50.1" hidden="1" customHeight="1">
      <c r="A558" s="10">
        <v>557</v>
      </c>
      <c r="B558" s="11" t="s">
        <v>3494</v>
      </c>
      <c r="C558" s="11" t="s">
        <v>3495</v>
      </c>
      <c r="D558" s="11" t="s">
        <v>17</v>
      </c>
      <c r="E558" s="11" t="s">
        <v>8</v>
      </c>
      <c r="F558" s="12">
        <v>1200</v>
      </c>
      <c r="G558" s="13">
        <v>16.63</v>
      </c>
      <c r="H558" s="14">
        <v>19956</v>
      </c>
      <c r="I558" s="12">
        <v>0</v>
      </c>
      <c r="J558" s="13"/>
      <c r="K558" s="14">
        <v>0</v>
      </c>
      <c r="L558" s="12">
        <v>0</v>
      </c>
      <c r="M558" s="13"/>
      <c r="N558" s="14">
        <v>0</v>
      </c>
      <c r="O558" s="12">
        <v>1200</v>
      </c>
      <c r="P558" s="13">
        <v>16.63</v>
      </c>
      <c r="Q558" s="14">
        <v>19956</v>
      </c>
      <c r="R558" s="11" t="s">
        <v>3011</v>
      </c>
      <c r="S558" s="11" t="s">
        <v>3012</v>
      </c>
      <c r="T558" s="11" t="s">
        <v>2966</v>
      </c>
    </row>
    <row r="559" spans="1:20" ht="50.1" hidden="1" customHeight="1">
      <c r="A559" s="10">
        <v>558</v>
      </c>
      <c r="B559" s="11" t="s">
        <v>3496</v>
      </c>
      <c r="C559" s="11" t="s">
        <v>3497</v>
      </c>
      <c r="D559" s="11" t="s">
        <v>17</v>
      </c>
      <c r="E559" s="11" t="s">
        <v>8</v>
      </c>
      <c r="F559" s="12">
        <v>1200</v>
      </c>
      <c r="G559" s="13">
        <v>19.18</v>
      </c>
      <c r="H559" s="14">
        <v>23016</v>
      </c>
      <c r="I559" s="12">
        <v>0</v>
      </c>
      <c r="J559" s="13"/>
      <c r="K559" s="14">
        <v>0</v>
      </c>
      <c r="L559" s="12">
        <v>0</v>
      </c>
      <c r="M559" s="13"/>
      <c r="N559" s="14">
        <v>0</v>
      </c>
      <c r="O559" s="12">
        <v>1200</v>
      </c>
      <c r="P559" s="13">
        <v>19.18</v>
      </c>
      <c r="Q559" s="14">
        <v>23016</v>
      </c>
      <c r="R559" s="11" t="s">
        <v>3011</v>
      </c>
      <c r="S559" s="11" t="s">
        <v>3012</v>
      </c>
      <c r="T559" s="11" t="s">
        <v>2966</v>
      </c>
    </row>
    <row r="560" spans="1:20" ht="50.1" hidden="1" customHeight="1">
      <c r="A560" s="10">
        <v>559</v>
      </c>
      <c r="B560" s="11" t="s">
        <v>3502</v>
      </c>
      <c r="C560" s="11" t="s">
        <v>3503</v>
      </c>
      <c r="D560" s="11" t="s">
        <v>17</v>
      </c>
      <c r="E560" s="11" t="s">
        <v>8</v>
      </c>
      <c r="F560" s="12">
        <v>200</v>
      </c>
      <c r="G560" s="13">
        <v>22.1</v>
      </c>
      <c r="H560" s="14">
        <v>4420</v>
      </c>
      <c r="I560" s="12">
        <v>100</v>
      </c>
      <c r="J560" s="13">
        <v>22.1</v>
      </c>
      <c r="K560" s="14">
        <v>2210</v>
      </c>
      <c r="L560" s="12">
        <v>0</v>
      </c>
      <c r="M560" s="13"/>
      <c r="N560" s="14">
        <v>0</v>
      </c>
      <c r="O560" s="12">
        <v>300</v>
      </c>
      <c r="P560" s="13">
        <v>22.1</v>
      </c>
      <c r="Q560" s="14">
        <v>6630</v>
      </c>
      <c r="R560" s="11" t="s">
        <v>3011</v>
      </c>
      <c r="S560" s="11" t="s">
        <v>3012</v>
      </c>
      <c r="T560" s="11" t="s">
        <v>2966</v>
      </c>
    </row>
    <row r="561" spans="1:20" ht="50.1" hidden="1" customHeight="1">
      <c r="A561" s="10">
        <v>560</v>
      </c>
      <c r="B561" s="11" t="s">
        <v>2849</v>
      </c>
      <c r="C561" s="11" t="s">
        <v>3013</v>
      </c>
      <c r="D561" s="11" t="s">
        <v>17</v>
      </c>
      <c r="E561" s="11" t="s">
        <v>8</v>
      </c>
      <c r="F561" s="12">
        <v>150</v>
      </c>
      <c r="G561" s="13">
        <v>18.21</v>
      </c>
      <c r="H561" s="14">
        <v>2731.5</v>
      </c>
      <c r="I561" s="12">
        <v>0</v>
      </c>
      <c r="J561" s="13"/>
      <c r="K561" s="14">
        <v>0</v>
      </c>
      <c r="L561" s="12">
        <v>0</v>
      </c>
      <c r="M561" s="13"/>
      <c r="N561" s="14">
        <v>0</v>
      </c>
      <c r="O561" s="12">
        <v>150</v>
      </c>
      <c r="P561" s="13">
        <v>18.21</v>
      </c>
      <c r="Q561" s="14">
        <v>2731.5</v>
      </c>
      <c r="R561" s="11" t="s">
        <v>3011</v>
      </c>
      <c r="S561" s="11" t="s">
        <v>3012</v>
      </c>
      <c r="T561" s="11" t="s">
        <v>2966</v>
      </c>
    </row>
    <row r="562" spans="1:20" ht="50.1" hidden="1" customHeight="1">
      <c r="A562" s="10">
        <v>561</v>
      </c>
      <c r="B562" s="11" t="s">
        <v>2811</v>
      </c>
      <c r="C562" s="11" t="s">
        <v>3014</v>
      </c>
      <c r="D562" s="11" t="s">
        <v>17</v>
      </c>
      <c r="E562" s="11" t="s">
        <v>8</v>
      </c>
      <c r="F562" s="12">
        <v>250</v>
      </c>
      <c r="G562" s="13">
        <v>17.074638400000001</v>
      </c>
      <c r="H562" s="14">
        <v>4268.6596</v>
      </c>
      <c r="I562" s="12">
        <v>0</v>
      </c>
      <c r="J562" s="13"/>
      <c r="K562" s="14">
        <v>0</v>
      </c>
      <c r="L562" s="12">
        <v>100</v>
      </c>
      <c r="M562" s="13">
        <v>17.0746</v>
      </c>
      <c r="N562" s="14">
        <v>1707.46</v>
      </c>
      <c r="O562" s="12">
        <v>150</v>
      </c>
      <c r="P562" s="13">
        <v>17.074663999999999</v>
      </c>
      <c r="Q562" s="14">
        <v>2561.1995999999999</v>
      </c>
      <c r="R562" s="11" t="s">
        <v>3011</v>
      </c>
      <c r="S562" s="11" t="s">
        <v>3012</v>
      </c>
      <c r="T562" s="11" t="s">
        <v>2966</v>
      </c>
    </row>
    <row r="563" spans="1:20" ht="50.1" hidden="1" customHeight="1">
      <c r="A563" s="10">
        <v>562</v>
      </c>
      <c r="B563" s="11" t="s">
        <v>2813</v>
      </c>
      <c r="C563" s="11" t="s">
        <v>3015</v>
      </c>
      <c r="D563" s="11" t="s">
        <v>17</v>
      </c>
      <c r="E563" s="11" t="s">
        <v>8</v>
      </c>
      <c r="F563" s="12">
        <v>600</v>
      </c>
      <c r="G563" s="13">
        <v>13.69999833</v>
      </c>
      <c r="H563" s="14">
        <v>8219.9989999999998</v>
      </c>
      <c r="I563" s="12">
        <v>0</v>
      </c>
      <c r="J563" s="13"/>
      <c r="K563" s="14">
        <v>0</v>
      </c>
      <c r="L563" s="12">
        <v>100</v>
      </c>
      <c r="M563" s="13">
        <v>13.7</v>
      </c>
      <c r="N563" s="14">
        <v>1370</v>
      </c>
      <c r="O563" s="12">
        <v>500</v>
      </c>
      <c r="P563" s="13">
        <v>13.699998000000001</v>
      </c>
      <c r="Q563" s="14">
        <v>6849.9989999999998</v>
      </c>
      <c r="R563" s="11" t="s">
        <v>3011</v>
      </c>
      <c r="S563" s="11" t="s">
        <v>3012</v>
      </c>
      <c r="T563" s="11" t="s">
        <v>2966</v>
      </c>
    </row>
    <row r="564" spans="1:20" ht="50.1" hidden="1" customHeight="1">
      <c r="A564" s="10">
        <v>563</v>
      </c>
      <c r="B564" s="11" t="s">
        <v>3490</v>
      </c>
      <c r="C564" s="11" t="s">
        <v>3491</v>
      </c>
      <c r="D564" s="11" t="s">
        <v>17</v>
      </c>
      <c r="E564" s="11" t="s">
        <v>8</v>
      </c>
      <c r="F564" s="12">
        <v>1800</v>
      </c>
      <c r="G564" s="13">
        <v>15.52</v>
      </c>
      <c r="H564" s="14">
        <v>27936</v>
      </c>
      <c r="I564" s="12">
        <v>0</v>
      </c>
      <c r="J564" s="13"/>
      <c r="K564" s="14">
        <v>0</v>
      </c>
      <c r="L564" s="12">
        <v>200</v>
      </c>
      <c r="M564" s="13">
        <v>15.52</v>
      </c>
      <c r="N564" s="14">
        <v>3104</v>
      </c>
      <c r="O564" s="12">
        <v>1600</v>
      </c>
      <c r="P564" s="13">
        <v>15.52</v>
      </c>
      <c r="Q564" s="14">
        <v>24832</v>
      </c>
      <c r="R564" s="11" t="s">
        <v>3011</v>
      </c>
      <c r="S564" s="11" t="s">
        <v>3012</v>
      </c>
      <c r="T564" s="11" t="s">
        <v>2966</v>
      </c>
    </row>
    <row r="565" spans="1:20" ht="50.1" hidden="1" customHeight="1">
      <c r="A565" s="10">
        <v>564</v>
      </c>
      <c r="B565" s="11" t="s">
        <v>3528</v>
      </c>
      <c r="C565" s="11" t="s">
        <v>3529</v>
      </c>
      <c r="D565" s="11" t="s">
        <v>17</v>
      </c>
      <c r="E565" s="11" t="s">
        <v>8</v>
      </c>
      <c r="F565" s="12">
        <v>3000</v>
      </c>
      <c r="G565" s="13">
        <v>18.62</v>
      </c>
      <c r="H565" s="14">
        <v>55860</v>
      </c>
      <c r="I565" s="12">
        <v>0</v>
      </c>
      <c r="J565" s="13"/>
      <c r="K565" s="14">
        <v>0</v>
      </c>
      <c r="L565" s="12">
        <v>900</v>
      </c>
      <c r="M565" s="13">
        <v>18.62</v>
      </c>
      <c r="N565" s="14">
        <v>16758</v>
      </c>
      <c r="O565" s="12">
        <v>2100</v>
      </c>
      <c r="P565" s="13">
        <v>18.62</v>
      </c>
      <c r="Q565" s="14">
        <v>39102</v>
      </c>
      <c r="R565" s="11" t="s">
        <v>3011</v>
      </c>
      <c r="S565" s="11" t="s">
        <v>3012</v>
      </c>
      <c r="T565" s="11" t="s">
        <v>2966</v>
      </c>
    </row>
    <row r="566" spans="1:20" ht="50.1" hidden="1" customHeight="1">
      <c r="A566" s="10">
        <v>565</v>
      </c>
      <c r="B566" s="11" t="s">
        <v>3498</v>
      </c>
      <c r="C566" s="11" t="s">
        <v>3499</v>
      </c>
      <c r="D566" s="11" t="s">
        <v>17</v>
      </c>
      <c r="E566" s="11" t="s">
        <v>8</v>
      </c>
      <c r="F566" s="12">
        <v>3000</v>
      </c>
      <c r="G566" s="13">
        <v>21.48</v>
      </c>
      <c r="H566" s="14">
        <v>64440</v>
      </c>
      <c r="I566" s="12">
        <v>0</v>
      </c>
      <c r="J566" s="13"/>
      <c r="K566" s="14">
        <v>0</v>
      </c>
      <c r="L566" s="12">
        <v>0</v>
      </c>
      <c r="M566" s="13"/>
      <c r="N566" s="14">
        <v>0</v>
      </c>
      <c r="O566" s="12">
        <v>3000</v>
      </c>
      <c r="P566" s="13">
        <v>21.48</v>
      </c>
      <c r="Q566" s="14">
        <v>64440</v>
      </c>
      <c r="R566" s="11" t="s">
        <v>3011</v>
      </c>
      <c r="S566" s="11" t="s">
        <v>3012</v>
      </c>
      <c r="T566" s="11" t="s">
        <v>2966</v>
      </c>
    </row>
    <row r="567" spans="1:20" ht="50.1" hidden="1" customHeight="1">
      <c r="A567" s="10">
        <v>566</v>
      </c>
      <c r="B567" s="11" t="s">
        <v>3504</v>
      </c>
      <c r="C567" s="11" t="s">
        <v>3505</v>
      </c>
      <c r="D567" s="11" t="s">
        <v>17</v>
      </c>
      <c r="E567" s="11" t="s">
        <v>8</v>
      </c>
      <c r="F567" s="12">
        <v>0</v>
      </c>
      <c r="G567" s="13"/>
      <c r="H567" s="14">
        <v>0</v>
      </c>
      <c r="I567" s="12">
        <v>200</v>
      </c>
      <c r="J567" s="13">
        <v>24.76</v>
      </c>
      <c r="K567" s="14">
        <v>4952</v>
      </c>
      <c r="L567" s="12">
        <v>0</v>
      </c>
      <c r="M567" s="13"/>
      <c r="N567" s="14">
        <v>0</v>
      </c>
      <c r="O567" s="12">
        <v>200</v>
      </c>
      <c r="P567" s="13">
        <v>24.76</v>
      </c>
      <c r="Q567" s="14">
        <v>4952</v>
      </c>
      <c r="R567" s="11" t="s">
        <v>3011</v>
      </c>
      <c r="S567" s="11" t="s">
        <v>3012</v>
      </c>
      <c r="T567" s="11" t="s">
        <v>2966</v>
      </c>
    </row>
    <row r="568" spans="1:20" ht="50.1" hidden="1" customHeight="1">
      <c r="A568" s="10">
        <v>567</v>
      </c>
      <c r="B568" s="11" t="s">
        <v>2851</v>
      </c>
      <c r="C568" s="11" t="s">
        <v>3016</v>
      </c>
      <c r="D568" s="11" t="s">
        <v>17</v>
      </c>
      <c r="E568" s="11" t="s">
        <v>8</v>
      </c>
      <c r="F568" s="12">
        <v>200</v>
      </c>
      <c r="G568" s="13">
        <v>59.944749999999999</v>
      </c>
      <c r="H568" s="14">
        <v>11988.95</v>
      </c>
      <c r="I568" s="12">
        <v>0</v>
      </c>
      <c r="J568" s="13"/>
      <c r="K568" s="14">
        <v>0</v>
      </c>
      <c r="L568" s="12">
        <v>200</v>
      </c>
      <c r="M568" s="13">
        <v>59.944749999999999</v>
      </c>
      <c r="N568" s="14">
        <v>11988.95</v>
      </c>
      <c r="O568" s="12">
        <v>0</v>
      </c>
      <c r="P568" s="13"/>
      <c r="Q568" s="14">
        <v>0</v>
      </c>
      <c r="R568" s="11" t="s">
        <v>3011</v>
      </c>
      <c r="S568" s="11" t="s">
        <v>3012</v>
      </c>
      <c r="T568" s="11" t="s">
        <v>2966</v>
      </c>
    </row>
    <row r="569" spans="1:20" ht="50.1" hidden="1" customHeight="1">
      <c r="A569" s="10">
        <v>568</v>
      </c>
      <c r="B569" s="11" t="s">
        <v>2815</v>
      </c>
      <c r="C569" s="11" t="s">
        <v>3017</v>
      </c>
      <c r="D569" s="11" t="s">
        <v>17</v>
      </c>
      <c r="E569" s="11" t="s">
        <v>8</v>
      </c>
      <c r="F569" s="12">
        <v>41</v>
      </c>
      <c r="G569" s="13">
        <v>42.03</v>
      </c>
      <c r="H569" s="14">
        <v>1723.23</v>
      </c>
      <c r="I569" s="12">
        <v>0</v>
      </c>
      <c r="J569" s="13"/>
      <c r="K569" s="14">
        <v>0</v>
      </c>
      <c r="L569" s="12">
        <v>0</v>
      </c>
      <c r="M569" s="13"/>
      <c r="N569" s="14">
        <v>0</v>
      </c>
      <c r="O569" s="12">
        <v>41</v>
      </c>
      <c r="P569" s="13">
        <v>42.03</v>
      </c>
      <c r="Q569" s="14">
        <v>1723.23</v>
      </c>
      <c r="R569" s="11" t="s">
        <v>3011</v>
      </c>
      <c r="S569" s="11" t="s">
        <v>3012</v>
      </c>
      <c r="T569" s="11" t="s">
        <v>2966</v>
      </c>
    </row>
    <row r="570" spans="1:20" ht="50.1" hidden="1" customHeight="1">
      <c r="A570" s="10">
        <v>569</v>
      </c>
      <c r="B570" s="11" t="s">
        <v>3530</v>
      </c>
      <c r="C570" s="11" t="s">
        <v>3531</v>
      </c>
      <c r="D570" s="11" t="s">
        <v>17</v>
      </c>
      <c r="E570" s="11" t="s">
        <v>8</v>
      </c>
      <c r="F570" s="12">
        <v>0</v>
      </c>
      <c r="G570" s="13"/>
      <c r="H570" s="14">
        <v>0</v>
      </c>
      <c r="I570" s="12">
        <v>20</v>
      </c>
      <c r="J570" s="13">
        <v>36.119999999999997</v>
      </c>
      <c r="K570" s="14">
        <v>722.4</v>
      </c>
      <c r="L570" s="12">
        <v>0</v>
      </c>
      <c r="M570" s="13"/>
      <c r="N570" s="14">
        <v>0</v>
      </c>
      <c r="O570" s="12">
        <v>20</v>
      </c>
      <c r="P570" s="13">
        <v>36.119999999999997</v>
      </c>
      <c r="Q570" s="14">
        <v>722.4</v>
      </c>
      <c r="R570" s="11" t="s">
        <v>3011</v>
      </c>
      <c r="S570" s="11" t="s">
        <v>3012</v>
      </c>
      <c r="T570" s="11" t="s">
        <v>2966</v>
      </c>
    </row>
    <row r="571" spans="1:20" ht="50.1" hidden="1" customHeight="1">
      <c r="A571" s="10">
        <v>570</v>
      </c>
      <c r="B571" s="11" t="s">
        <v>3508</v>
      </c>
      <c r="C571" s="11" t="s">
        <v>3509</v>
      </c>
      <c r="D571" s="11" t="s">
        <v>17</v>
      </c>
      <c r="E571" s="11" t="s">
        <v>8</v>
      </c>
      <c r="F571" s="12">
        <v>0</v>
      </c>
      <c r="G571" s="13"/>
      <c r="H571" s="14">
        <v>0</v>
      </c>
      <c r="I571" s="12">
        <v>20</v>
      </c>
      <c r="J571" s="13">
        <v>40.450000000000003</v>
      </c>
      <c r="K571" s="14">
        <v>809</v>
      </c>
      <c r="L571" s="12">
        <v>0</v>
      </c>
      <c r="M571" s="13"/>
      <c r="N571" s="14">
        <v>0</v>
      </c>
      <c r="O571" s="12">
        <v>20</v>
      </c>
      <c r="P571" s="13">
        <v>40.450000000000003</v>
      </c>
      <c r="Q571" s="14">
        <v>809</v>
      </c>
      <c r="R571" s="11" t="s">
        <v>3011</v>
      </c>
      <c r="S571" s="11" t="s">
        <v>3012</v>
      </c>
      <c r="T571" s="11" t="s">
        <v>2966</v>
      </c>
    </row>
    <row r="572" spans="1:20" ht="50.1" hidden="1" customHeight="1">
      <c r="A572" s="10">
        <v>571</v>
      </c>
      <c r="B572" s="11" t="s">
        <v>3532</v>
      </c>
      <c r="C572" s="11" t="s">
        <v>2816</v>
      </c>
      <c r="D572" s="11" t="s">
        <v>17</v>
      </c>
      <c r="E572" s="11" t="s">
        <v>8</v>
      </c>
      <c r="F572" s="12">
        <v>0</v>
      </c>
      <c r="G572" s="13"/>
      <c r="H572" s="14">
        <v>0</v>
      </c>
      <c r="I572" s="12">
        <v>20</v>
      </c>
      <c r="J572" s="13">
        <v>44.15</v>
      </c>
      <c r="K572" s="14">
        <v>883</v>
      </c>
      <c r="L572" s="12">
        <v>0</v>
      </c>
      <c r="M572" s="13"/>
      <c r="N572" s="14">
        <v>0</v>
      </c>
      <c r="O572" s="12">
        <v>20</v>
      </c>
      <c r="P572" s="13">
        <v>44.15</v>
      </c>
      <c r="Q572" s="14">
        <v>883</v>
      </c>
      <c r="R572" s="11" t="s">
        <v>3011</v>
      </c>
      <c r="S572" s="11" t="s">
        <v>3012</v>
      </c>
      <c r="T572" s="11" t="s">
        <v>2966</v>
      </c>
    </row>
    <row r="573" spans="1:20" ht="50.1" hidden="1" customHeight="1">
      <c r="A573" s="10">
        <v>572</v>
      </c>
      <c r="B573" s="11" t="s">
        <v>2819</v>
      </c>
      <c r="C573" s="11" t="s">
        <v>2820</v>
      </c>
      <c r="D573" s="11" t="s">
        <v>17</v>
      </c>
      <c r="E573" s="11" t="s">
        <v>8</v>
      </c>
      <c r="F573" s="12">
        <v>300</v>
      </c>
      <c r="G573" s="13">
        <v>23.723366670000001</v>
      </c>
      <c r="H573" s="14">
        <v>7117.01</v>
      </c>
      <c r="I573" s="12">
        <v>0</v>
      </c>
      <c r="J573" s="13"/>
      <c r="K573" s="14">
        <v>0</v>
      </c>
      <c r="L573" s="12">
        <v>0</v>
      </c>
      <c r="M573" s="13"/>
      <c r="N573" s="14">
        <v>0</v>
      </c>
      <c r="O573" s="12">
        <v>300</v>
      </c>
      <c r="P573" s="13">
        <v>23.723366670000001</v>
      </c>
      <c r="Q573" s="14">
        <v>7117.01</v>
      </c>
      <c r="R573" s="11" t="s">
        <v>3011</v>
      </c>
      <c r="S573" s="11" t="s">
        <v>3012</v>
      </c>
      <c r="T573" s="11" t="s">
        <v>2966</v>
      </c>
    </row>
    <row r="574" spans="1:20" ht="50.1" hidden="1" customHeight="1">
      <c r="A574" s="10">
        <v>573</v>
      </c>
      <c r="B574" s="11" t="s">
        <v>2821</v>
      </c>
      <c r="C574" s="11" t="s">
        <v>3018</v>
      </c>
      <c r="D574" s="11" t="s">
        <v>17</v>
      </c>
      <c r="E574" s="11" t="s">
        <v>8</v>
      </c>
      <c r="F574" s="12">
        <v>0</v>
      </c>
      <c r="G574" s="13"/>
      <c r="H574" s="14">
        <v>0</v>
      </c>
      <c r="I574" s="12">
        <v>300</v>
      </c>
      <c r="J574" s="13">
        <v>17.27</v>
      </c>
      <c r="K574" s="14">
        <v>5181</v>
      </c>
      <c r="L574" s="12">
        <v>300</v>
      </c>
      <c r="M574" s="13">
        <v>17.27</v>
      </c>
      <c r="N574" s="14">
        <v>5181</v>
      </c>
      <c r="O574" s="12">
        <v>0</v>
      </c>
      <c r="P574" s="13"/>
      <c r="Q574" s="14">
        <v>0</v>
      </c>
      <c r="R574" s="11" t="s">
        <v>3011</v>
      </c>
      <c r="S574" s="11" t="s">
        <v>3012</v>
      </c>
      <c r="T574" s="11" t="s">
        <v>2966</v>
      </c>
    </row>
    <row r="575" spans="1:20" ht="50.1" hidden="1" customHeight="1">
      <c r="A575" s="10">
        <v>574</v>
      </c>
      <c r="B575" s="11" t="s">
        <v>2853</v>
      </c>
      <c r="C575" s="11" t="s">
        <v>3099</v>
      </c>
      <c r="D575" s="11" t="s">
        <v>17</v>
      </c>
      <c r="E575" s="11" t="s">
        <v>8</v>
      </c>
      <c r="F575" s="12">
        <v>1000</v>
      </c>
      <c r="G575" s="13">
        <v>76.369420000000005</v>
      </c>
      <c r="H575" s="14">
        <v>76369.42</v>
      </c>
      <c r="I575" s="12">
        <v>0</v>
      </c>
      <c r="J575" s="13"/>
      <c r="K575" s="14">
        <v>0</v>
      </c>
      <c r="L575" s="12">
        <v>100</v>
      </c>
      <c r="M575" s="13">
        <v>76.369399999999999</v>
      </c>
      <c r="N575" s="14">
        <v>7636.94</v>
      </c>
      <c r="O575" s="12">
        <v>900</v>
      </c>
      <c r="P575" s="13">
        <v>76.369422220000004</v>
      </c>
      <c r="Q575" s="14">
        <v>68732.479999999996</v>
      </c>
      <c r="R575" s="11" t="s">
        <v>3011</v>
      </c>
      <c r="S575" s="11" t="s">
        <v>3012</v>
      </c>
      <c r="T575" s="11" t="s">
        <v>2966</v>
      </c>
    </row>
    <row r="576" spans="1:20" ht="50.1" hidden="1" customHeight="1">
      <c r="A576" s="10">
        <v>575</v>
      </c>
      <c r="B576" s="11" t="s">
        <v>3492</v>
      </c>
      <c r="C576" s="11" t="s">
        <v>3493</v>
      </c>
      <c r="D576" s="11" t="s">
        <v>17</v>
      </c>
      <c r="E576" s="11" t="s">
        <v>8</v>
      </c>
      <c r="F576" s="12">
        <v>0</v>
      </c>
      <c r="G576" s="13"/>
      <c r="H576" s="14">
        <v>0</v>
      </c>
      <c r="I576" s="12">
        <v>1800</v>
      </c>
      <c r="J576" s="13">
        <v>20.399999999999999</v>
      </c>
      <c r="K576" s="14">
        <v>36720</v>
      </c>
      <c r="L576" s="12">
        <v>150</v>
      </c>
      <c r="M576" s="13">
        <v>20.399999999999999</v>
      </c>
      <c r="N576" s="14">
        <v>3060</v>
      </c>
      <c r="O576" s="12">
        <v>1650</v>
      </c>
      <c r="P576" s="13">
        <v>20.399999999999999</v>
      </c>
      <c r="Q576" s="14">
        <v>33660</v>
      </c>
      <c r="R576" s="11" t="s">
        <v>3011</v>
      </c>
      <c r="S576" s="11" t="s">
        <v>3012</v>
      </c>
      <c r="T576" s="11" t="s">
        <v>2966</v>
      </c>
    </row>
    <row r="577" spans="1:20" ht="50.1" hidden="1" customHeight="1">
      <c r="A577" s="10">
        <v>576</v>
      </c>
      <c r="B577" s="11" t="s">
        <v>3533</v>
      </c>
      <c r="C577" s="11" t="s">
        <v>3534</v>
      </c>
      <c r="D577" s="11" t="s">
        <v>17</v>
      </c>
      <c r="E577" s="11" t="s">
        <v>8</v>
      </c>
      <c r="F577" s="12">
        <v>0</v>
      </c>
      <c r="G577" s="13"/>
      <c r="H577" s="14">
        <v>0</v>
      </c>
      <c r="I577" s="12">
        <v>3000</v>
      </c>
      <c r="J577" s="13">
        <v>24.34</v>
      </c>
      <c r="K577" s="14">
        <v>73020</v>
      </c>
      <c r="L577" s="12">
        <v>150</v>
      </c>
      <c r="M577" s="13">
        <v>24.34</v>
      </c>
      <c r="N577" s="14">
        <v>3651</v>
      </c>
      <c r="O577" s="12">
        <v>2850</v>
      </c>
      <c r="P577" s="13">
        <v>24.34</v>
      </c>
      <c r="Q577" s="14">
        <v>69369</v>
      </c>
      <c r="R577" s="11" t="s">
        <v>3011</v>
      </c>
      <c r="S577" s="11" t="s">
        <v>3012</v>
      </c>
      <c r="T577" s="11" t="s">
        <v>2966</v>
      </c>
    </row>
    <row r="578" spans="1:20" ht="50.1" hidden="1" customHeight="1">
      <c r="A578" s="10">
        <v>577</v>
      </c>
      <c r="B578" s="11" t="s">
        <v>3500</v>
      </c>
      <c r="C578" s="11" t="s">
        <v>3501</v>
      </c>
      <c r="D578" s="11" t="s">
        <v>17</v>
      </c>
      <c r="E578" s="11" t="s">
        <v>8</v>
      </c>
      <c r="F578" s="12">
        <v>0</v>
      </c>
      <c r="G578" s="13"/>
      <c r="H578" s="14">
        <v>0</v>
      </c>
      <c r="I578" s="12">
        <v>3000</v>
      </c>
      <c r="J578" s="13">
        <v>28.08</v>
      </c>
      <c r="K578" s="14">
        <v>84240</v>
      </c>
      <c r="L578" s="12">
        <v>0</v>
      </c>
      <c r="M578" s="13"/>
      <c r="N578" s="14">
        <v>0</v>
      </c>
      <c r="O578" s="12">
        <v>3000</v>
      </c>
      <c r="P578" s="13">
        <v>28.08</v>
      </c>
      <c r="Q578" s="14">
        <v>84240</v>
      </c>
      <c r="R578" s="11" t="s">
        <v>3011</v>
      </c>
      <c r="S578" s="11" t="s">
        <v>3012</v>
      </c>
      <c r="T578" s="11" t="s">
        <v>2966</v>
      </c>
    </row>
    <row r="579" spans="1:20" ht="50.1" hidden="1" customHeight="1">
      <c r="A579" s="10">
        <v>578</v>
      </c>
      <c r="B579" s="11" t="s">
        <v>3506</v>
      </c>
      <c r="C579" s="11" t="s">
        <v>3507</v>
      </c>
      <c r="D579" s="11" t="s">
        <v>17</v>
      </c>
      <c r="E579" s="11" t="s">
        <v>8</v>
      </c>
      <c r="F579" s="12">
        <v>0</v>
      </c>
      <c r="G579" s="13"/>
      <c r="H579" s="14">
        <v>0</v>
      </c>
      <c r="I579" s="12">
        <v>200</v>
      </c>
      <c r="J579" s="13">
        <v>32.36</v>
      </c>
      <c r="K579" s="14">
        <v>6472</v>
      </c>
      <c r="L579" s="12">
        <v>150</v>
      </c>
      <c r="M579" s="13">
        <v>32.36</v>
      </c>
      <c r="N579" s="14">
        <v>4854</v>
      </c>
      <c r="O579" s="12">
        <v>50</v>
      </c>
      <c r="P579" s="13">
        <v>32.36</v>
      </c>
      <c r="Q579" s="14">
        <v>1618</v>
      </c>
      <c r="R579" s="11" t="s">
        <v>3011</v>
      </c>
      <c r="S579" s="11" t="s">
        <v>3012</v>
      </c>
      <c r="T579" s="11" t="s">
        <v>2966</v>
      </c>
    </row>
    <row r="580" spans="1:20" ht="50.1" hidden="1" customHeight="1">
      <c r="A580" s="10">
        <v>579</v>
      </c>
      <c r="B580" s="11" t="s">
        <v>2823</v>
      </c>
      <c r="C580" s="11" t="s">
        <v>3019</v>
      </c>
      <c r="D580" s="11" t="s">
        <v>17</v>
      </c>
      <c r="E580" s="11" t="s">
        <v>8</v>
      </c>
      <c r="F580" s="12">
        <v>35</v>
      </c>
      <c r="G580" s="13">
        <v>50.4</v>
      </c>
      <c r="H580" s="14">
        <v>1764</v>
      </c>
      <c r="I580" s="12">
        <v>0</v>
      </c>
      <c r="J580" s="13"/>
      <c r="K580" s="14">
        <v>0</v>
      </c>
      <c r="L580" s="12">
        <v>0</v>
      </c>
      <c r="M580" s="13"/>
      <c r="N580" s="14">
        <v>0</v>
      </c>
      <c r="O580" s="12">
        <v>35</v>
      </c>
      <c r="P580" s="13">
        <v>50.4</v>
      </c>
      <c r="Q580" s="14">
        <v>1764</v>
      </c>
      <c r="R580" s="11" t="s">
        <v>3011</v>
      </c>
      <c r="S580" s="11" t="s">
        <v>3012</v>
      </c>
      <c r="T580" s="11" t="s">
        <v>2966</v>
      </c>
    </row>
    <row r="581" spans="1:20" ht="50.1" hidden="1" customHeight="1">
      <c r="A581" s="10">
        <v>580</v>
      </c>
      <c r="B581" s="11" t="s">
        <v>3535</v>
      </c>
      <c r="C581" s="11" t="s">
        <v>3536</v>
      </c>
      <c r="D581" s="11" t="s">
        <v>17</v>
      </c>
      <c r="E581" s="11" t="s">
        <v>8</v>
      </c>
      <c r="F581" s="12">
        <v>0</v>
      </c>
      <c r="G581" s="13"/>
      <c r="H581" s="14">
        <v>0</v>
      </c>
      <c r="I581" s="12">
        <v>20</v>
      </c>
      <c r="J581" s="13">
        <v>42.89</v>
      </c>
      <c r="K581" s="14">
        <v>857.8</v>
      </c>
      <c r="L581" s="12">
        <v>0</v>
      </c>
      <c r="M581" s="13"/>
      <c r="N581" s="14">
        <v>0</v>
      </c>
      <c r="O581" s="12">
        <v>20</v>
      </c>
      <c r="P581" s="13">
        <v>42.89</v>
      </c>
      <c r="Q581" s="14">
        <v>857.8</v>
      </c>
      <c r="R581" s="11" t="s">
        <v>3011</v>
      </c>
      <c r="S581" s="11" t="s">
        <v>3012</v>
      </c>
      <c r="T581" s="11" t="s">
        <v>2966</v>
      </c>
    </row>
    <row r="582" spans="1:20" ht="50.1" hidden="1" customHeight="1">
      <c r="A582" s="10">
        <v>581</v>
      </c>
      <c r="B582" s="11" t="s">
        <v>3510</v>
      </c>
      <c r="C582" s="11" t="s">
        <v>3511</v>
      </c>
      <c r="D582" s="11" t="s">
        <v>17</v>
      </c>
      <c r="E582" s="11" t="s">
        <v>8</v>
      </c>
      <c r="F582" s="12">
        <v>0</v>
      </c>
      <c r="G582" s="13"/>
      <c r="H582" s="14">
        <v>0</v>
      </c>
      <c r="I582" s="12">
        <v>20</v>
      </c>
      <c r="J582" s="13">
        <v>48.04</v>
      </c>
      <c r="K582" s="14">
        <v>960.8</v>
      </c>
      <c r="L582" s="12">
        <v>0</v>
      </c>
      <c r="M582" s="13"/>
      <c r="N582" s="14">
        <v>0</v>
      </c>
      <c r="O582" s="12">
        <v>20</v>
      </c>
      <c r="P582" s="13">
        <v>48.04</v>
      </c>
      <c r="Q582" s="14">
        <v>960.8</v>
      </c>
      <c r="R582" s="11" t="s">
        <v>3011</v>
      </c>
      <c r="S582" s="11" t="s">
        <v>3012</v>
      </c>
      <c r="T582" s="11" t="s">
        <v>2966</v>
      </c>
    </row>
    <row r="583" spans="1:20" ht="50.1" hidden="1" customHeight="1">
      <c r="A583" s="10">
        <v>582</v>
      </c>
      <c r="B583" s="11" t="s">
        <v>3537</v>
      </c>
      <c r="C583" s="11" t="s">
        <v>2824</v>
      </c>
      <c r="D583" s="11" t="s">
        <v>17</v>
      </c>
      <c r="E583" s="11" t="s">
        <v>8</v>
      </c>
      <c r="F583" s="12">
        <v>0</v>
      </c>
      <c r="G583" s="13"/>
      <c r="H583" s="14">
        <v>0</v>
      </c>
      <c r="I583" s="12">
        <v>20</v>
      </c>
      <c r="J583" s="13">
        <v>52.9</v>
      </c>
      <c r="K583" s="14">
        <v>1058</v>
      </c>
      <c r="L583" s="12">
        <v>0</v>
      </c>
      <c r="M583" s="13"/>
      <c r="N583" s="14">
        <v>0</v>
      </c>
      <c r="O583" s="12">
        <v>20</v>
      </c>
      <c r="P583" s="13">
        <v>52.9</v>
      </c>
      <c r="Q583" s="14">
        <v>1058</v>
      </c>
      <c r="R583" s="11" t="s">
        <v>3011</v>
      </c>
      <c r="S583" s="11" t="s">
        <v>3012</v>
      </c>
      <c r="T583" s="11" t="s">
        <v>2966</v>
      </c>
    </row>
    <row r="584" spans="1:20" ht="50.1" hidden="1" customHeight="1">
      <c r="A584" s="10">
        <v>583</v>
      </c>
      <c r="B584" s="11" t="s">
        <v>2825</v>
      </c>
      <c r="C584" s="11" t="s">
        <v>3020</v>
      </c>
      <c r="D584" s="11" t="s">
        <v>17</v>
      </c>
      <c r="E584" s="11" t="s">
        <v>8</v>
      </c>
      <c r="F584" s="12">
        <v>800</v>
      </c>
      <c r="G584" s="13">
        <v>26.2541875</v>
      </c>
      <c r="H584" s="14">
        <v>21003.35</v>
      </c>
      <c r="I584" s="12">
        <v>0</v>
      </c>
      <c r="J584" s="13"/>
      <c r="K584" s="14">
        <v>0</v>
      </c>
      <c r="L584" s="12">
        <v>800</v>
      </c>
      <c r="M584" s="13">
        <v>26.2541875</v>
      </c>
      <c r="N584" s="14">
        <v>21003.35</v>
      </c>
      <c r="O584" s="12">
        <v>0</v>
      </c>
      <c r="P584" s="13"/>
      <c r="Q584" s="14">
        <v>0</v>
      </c>
      <c r="R584" s="11" t="s">
        <v>3011</v>
      </c>
      <c r="S584" s="11" t="s">
        <v>3012</v>
      </c>
      <c r="T584" s="11" t="s">
        <v>2966</v>
      </c>
    </row>
    <row r="585" spans="1:20" ht="50.1" hidden="1" customHeight="1">
      <c r="A585" s="10">
        <v>584</v>
      </c>
      <c r="B585" s="11" t="s">
        <v>2827</v>
      </c>
      <c r="C585" s="11" t="s">
        <v>2828</v>
      </c>
      <c r="D585" s="11" t="s">
        <v>17</v>
      </c>
      <c r="E585" s="11" t="s">
        <v>8</v>
      </c>
      <c r="F585" s="12">
        <v>300</v>
      </c>
      <c r="G585" s="13">
        <v>26.494530000000001</v>
      </c>
      <c r="H585" s="14">
        <v>7948.3590000000004</v>
      </c>
      <c r="I585" s="12">
        <v>0</v>
      </c>
      <c r="J585" s="13"/>
      <c r="K585" s="14">
        <v>0</v>
      </c>
      <c r="L585" s="12">
        <v>100</v>
      </c>
      <c r="M585" s="13">
        <v>26.494399999999999</v>
      </c>
      <c r="N585" s="14">
        <v>2649.44</v>
      </c>
      <c r="O585" s="12">
        <v>200</v>
      </c>
      <c r="P585" s="13">
        <v>26.494595</v>
      </c>
      <c r="Q585" s="14">
        <v>5298.9189999999999</v>
      </c>
      <c r="R585" s="11" t="s">
        <v>3011</v>
      </c>
      <c r="S585" s="11" t="s">
        <v>3012</v>
      </c>
      <c r="T585" s="11" t="s">
        <v>2966</v>
      </c>
    </row>
    <row r="586" spans="1:20" ht="50.1" hidden="1" customHeight="1">
      <c r="A586" s="10">
        <v>585</v>
      </c>
      <c r="B586" s="11" t="s">
        <v>2829</v>
      </c>
      <c r="C586" s="11" t="s">
        <v>2830</v>
      </c>
      <c r="D586" s="11" t="s">
        <v>17</v>
      </c>
      <c r="E586" s="11" t="s">
        <v>8</v>
      </c>
      <c r="F586" s="12">
        <v>200</v>
      </c>
      <c r="G586" s="13">
        <v>21.869996499999999</v>
      </c>
      <c r="H586" s="14">
        <v>4373.9993000000004</v>
      </c>
      <c r="I586" s="12">
        <v>0</v>
      </c>
      <c r="J586" s="13"/>
      <c r="K586" s="14">
        <v>0</v>
      </c>
      <c r="L586" s="12">
        <v>200</v>
      </c>
      <c r="M586" s="13">
        <v>21.87</v>
      </c>
      <c r="N586" s="14">
        <v>4374</v>
      </c>
      <c r="O586" s="12">
        <v>0</v>
      </c>
      <c r="P586" s="13"/>
      <c r="Q586" s="14">
        <v>0</v>
      </c>
      <c r="R586" s="11" t="s">
        <v>3011</v>
      </c>
      <c r="S586" s="11" t="s">
        <v>3012</v>
      </c>
      <c r="T586" s="11" t="s">
        <v>2966</v>
      </c>
    </row>
    <row r="587" spans="1:20" ht="50.1" hidden="1" customHeight="1">
      <c r="A587" s="10">
        <v>586</v>
      </c>
      <c r="B587" s="11" t="s">
        <v>2831</v>
      </c>
      <c r="C587" s="11" t="s">
        <v>2832</v>
      </c>
      <c r="D587" s="11" t="s">
        <v>17</v>
      </c>
      <c r="E587" s="11" t="s">
        <v>8</v>
      </c>
      <c r="F587" s="12">
        <v>15</v>
      </c>
      <c r="G587" s="13">
        <v>405.53933332999998</v>
      </c>
      <c r="H587" s="14">
        <v>6083.09</v>
      </c>
      <c r="I587" s="12">
        <v>0</v>
      </c>
      <c r="J587" s="13"/>
      <c r="K587" s="14">
        <v>0</v>
      </c>
      <c r="L587" s="12">
        <v>0</v>
      </c>
      <c r="M587" s="13"/>
      <c r="N587" s="14">
        <v>0</v>
      </c>
      <c r="O587" s="12">
        <v>15</v>
      </c>
      <c r="P587" s="13">
        <v>405.53933332999998</v>
      </c>
      <c r="Q587" s="14">
        <v>6083.09</v>
      </c>
      <c r="R587" s="11" t="s">
        <v>3011</v>
      </c>
      <c r="S587" s="11" t="s">
        <v>3012</v>
      </c>
      <c r="T587" s="11" t="s">
        <v>2966</v>
      </c>
    </row>
    <row r="588" spans="1:20" ht="50.1" hidden="1" customHeight="1">
      <c r="A588" s="10">
        <v>587</v>
      </c>
      <c r="B588" s="11" t="s">
        <v>2835</v>
      </c>
      <c r="C588" s="11" t="s">
        <v>3021</v>
      </c>
      <c r="D588" s="11" t="s">
        <v>17</v>
      </c>
      <c r="E588" s="11" t="s">
        <v>8</v>
      </c>
      <c r="F588" s="12">
        <v>40</v>
      </c>
      <c r="G588" s="13">
        <v>53.1</v>
      </c>
      <c r="H588" s="14">
        <v>2124</v>
      </c>
      <c r="I588" s="12">
        <v>0</v>
      </c>
      <c r="J588" s="13"/>
      <c r="K588" s="14">
        <v>0</v>
      </c>
      <c r="L588" s="12">
        <v>0</v>
      </c>
      <c r="M588" s="13"/>
      <c r="N588" s="14">
        <v>0</v>
      </c>
      <c r="O588" s="12">
        <v>40</v>
      </c>
      <c r="P588" s="13">
        <v>53.1</v>
      </c>
      <c r="Q588" s="14">
        <v>2124</v>
      </c>
      <c r="R588" s="11" t="s">
        <v>3011</v>
      </c>
      <c r="S588" s="11" t="s">
        <v>3012</v>
      </c>
      <c r="T588" s="11" t="s">
        <v>2966</v>
      </c>
    </row>
    <row r="589" spans="1:20" ht="50.1" hidden="1" customHeight="1">
      <c r="A589" s="10">
        <v>588</v>
      </c>
      <c r="B589" s="11" t="s">
        <v>3538</v>
      </c>
      <c r="C589" s="11" t="s">
        <v>3539</v>
      </c>
      <c r="D589" s="11" t="s">
        <v>17</v>
      </c>
      <c r="E589" s="11" t="s">
        <v>8</v>
      </c>
      <c r="F589" s="12">
        <v>0</v>
      </c>
      <c r="G589" s="13"/>
      <c r="H589" s="14">
        <v>0</v>
      </c>
      <c r="I589" s="12">
        <v>20</v>
      </c>
      <c r="J589" s="13">
        <v>44.7</v>
      </c>
      <c r="K589" s="14">
        <v>894</v>
      </c>
      <c r="L589" s="12">
        <v>0</v>
      </c>
      <c r="M589" s="13"/>
      <c r="N589" s="14">
        <v>0</v>
      </c>
      <c r="O589" s="12">
        <v>20</v>
      </c>
      <c r="P589" s="13">
        <v>44.7</v>
      </c>
      <c r="Q589" s="14">
        <v>894</v>
      </c>
      <c r="R589" s="11" t="s">
        <v>3011</v>
      </c>
      <c r="S589" s="11" t="s">
        <v>3012</v>
      </c>
      <c r="T589" s="11" t="s">
        <v>2966</v>
      </c>
    </row>
    <row r="590" spans="1:20" ht="50.1" hidden="1" customHeight="1">
      <c r="A590" s="10">
        <v>589</v>
      </c>
      <c r="B590" s="11" t="s">
        <v>3512</v>
      </c>
      <c r="C590" s="11" t="s">
        <v>3513</v>
      </c>
      <c r="D590" s="11" t="s">
        <v>17</v>
      </c>
      <c r="E590" s="11" t="s">
        <v>8</v>
      </c>
      <c r="F590" s="12">
        <v>0</v>
      </c>
      <c r="G590" s="13"/>
      <c r="H590" s="14">
        <v>0</v>
      </c>
      <c r="I590" s="12">
        <v>20</v>
      </c>
      <c r="J590" s="13">
        <v>50.06</v>
      </c>
      <c r="K590" s="14">
        <v>1001.2</v>
      </c>
      <c r="L590" s="12">
        <v>0</v>
      </c>
      <c r="M590" s="13"/>
      <c r="N590" s="14">
        <v>0</v>
      </c>
      <c r="O590" s="12">
        <v>20</v>
      </c>
      <c r="P590" s="13">
        <v>50.06</v>
      </c>
      <c r="Q590" s="14">
        <v>1001.2</v>
      </c>
      <c r="R590" s="11" t="s">
        <v>3011</v>
      </c>
      <c r="S590" s="11" t="s">
        <v>3012</v>
      </c>
      <c r="T590" s="11" t="s">
        <v>2966</v>
      </c>
    </row>
    <row r="591" spans="1:20" ht="50.1" hidden="1" customHeight="1">
      <c r="A591" s="10">
        <v>590</v>
      </c>
      <c r="B591" s="11" t="s">
        <v>3540</v>
      </c>
      <c r="C591" s="11" t="s">
        <v>2836</v>
      </c>
      <c r="D591" s="11" t="s">
        <v>17</v>
      </c>
      <c r="E591" s="11" t="s">
        <v>8</v>
      </c>
      <c r="F591" s="12">
        <v>0</v>
      </c>
      <c r="G591" s="13"/>
      <c r="H591" s="14">
        <v>0</v>
      </c>
      <c r="I591" s="12">
        <v>20</v>
      </c>
      <c r="J591" s="13">
        <v>55.75</v>
      </c>
      <c r="K591" s="14">
        <v>1115</v>
      </c>
      <c r="L591" s="12">
        <v>0</v>
      </c>
      <c r="M591" s="13"/>
      <c r="N591" s="14">
        <v>0</v>
      </c>
      <c r="O591" s="12">
        <v>20</v>
      </c>
      <c r="P591" s="13">
        <v>55.75</v>
      </c>
      <c r="Q591" s="14">
        <v>1115</v>
      </c>
      <c r="R591" s="11" t="s">
        <v>3011</v>
      </c>
      <c r="S591" s="11" t="s">
        <v>3012</v>
      </c>
      <c r="T591" s="11" t="s">
        <v>2966</v>
      </c>
    </row>
    <row r="592" spans="1:20" ht="50.1" hidden="1" customHeight="1">
      <c r="A592" s="10">
        <v>591</v>
      </c>
      <c r="B592" s="11" t="s">
        <v>2837</v>
      </c>
      <c r="C592" s="11" t="s">
        <v>3022</v>
      </c>
      <c r="D592" s="11" t="s">
        <v>17</v>
      </c>
      <c r="E592" s="11" t="s">
        <v>8</v>
      </c>
      <c r="F592" s="12">
        <v>43</v>
      </c>
      <c r="G592" s="13">
        <v>55.8</v>
      </c>
      <c r="H592" s="14">
        <v>2399.4</v>
      </c>
      <c r="I592" s="12">
        <v>0</v>
      </c>
      <c r="J592" s="13"/>
      <c r="K592" s="14">
        <v>0</v>
      </c>
      <c r="L592" s="12">
        <v>0</v>
      </c>
      <c r="M592" s="13"/>
      <c r="N592" s="14">
        <v>0</v>
      </c>
      <c r="O592" s="12">
        <v>43</v>
      </c>
      <c r="P592" s="13">
        <v>55.8</v>
      </c>
      <c r="Q592" s="14">
        <v>2399.4</v>
      </c>
      <c r="R592" s="11" t="s">
        <v>3011</v>
      </c>
      <c r="S592" s="11" t="s">
        <v>3012</v>
      </c>
      <c r="T592" s="11" t="s">
        <v>2966</v>
      </c>
    </row>
    <row r="593" spans="1:20" ht="50.1" hidden="1" customHeight="1">
      <c r="A593" s="10">
        <v>592</v>
      </c>
      <c r="B593" s="11" t="s">
        <v>3541</v>
      </c>
      <c r="C593" s="11" t="s">
        <v>3542</v>
      </c>
      <c r="D593" s="11" t="s">
        <v>17</v>
      </c>
      <c r="E593" s="11" t="s">
        <v>8</v>
      </c>
      <c r="F593" s="12">
        <v>0</v>
      </c>
      <c r="G593" s="13"/>
      <c r="H593" s="14">
        <v>0</v>
      </c>
      <c r="I593" s="12">
        <v>20</v>
      </c>
      <c r="J593" s="13">
        <v>46.28</v>
      </c>
      <c r="K593" s="14">
        <v>925.6</v>
      </c>
      <c r="L593" s="12">
        <v>0</v>
      </c>
      <c r="M593" s="13"/>
      <c r="N593" s="14">
        <v>0</v>
      </c>
      <c r="O593" s="12">
        <v>20</v>
      </c>
      <c r="P593" s="13">
        <v>46.28</v>
      </c>
      <c r="Q593" s="14">
        <v>925.6</v>
      </c>
      <c r="R593" s="11" t="s">
        <v>3011</v>
      </c>
      <c r="S593" s="11" t="s">
        <v>3012</v>
      </c>
      <c r="T593" s="11" t="s">
        <v>2966</v>
      </c>
    </row>
    <row r="594" spans="1:20" ht="50.1" hidden="1" customHeight="1">
      <c r="A594" s="10">
        <v>593</v>
      </c>
      <c r="B594" s="11" t="s">
        <v>3514</v>
      </c>
      <c r="C594" s="11" t="s">
        <v>3515</v>
      </c>
      <c r="D594" s="11" t="s">
        <v>17</v>
      </c>
      <c r="E594" s="11" t="s">
        <v>8</v>
      </c>
      <c r="F594" s="12">
        <v>0</v>
      </c>
      <c r="G594" s="13"/>
      <c r="H594" s="14">
        <v>0</v>
      </c>
      <c r="I594" s="12">
        <v>20</v>
      </c>
      <c r="J594" s="13">
        <v>51.83</v>
      </c>
      <c r="K594" s="14">
        <v>1036.5999999999999</v>
      </c>
      <c r="L594" s="12">
        <v>0</v>
      </c>
      <c r="M594" s="13"/>
      <c r="N594" s="14">
        <v>0</v>
      </c>
      <c r="O594" s="12">
        <v>20</v>
      </c>
      <c r="P594" s="13">
        <v>51.83</v>
      </c>
      <c r="Q594" s="14">
        <v>1036.5999999999999</v>
      </c>
      <c r="R594" s="11" t="s">
        <v>3011</v>
      </c>
      <c r="S594" s="11" t="s">
        <v>3012</v>
      </c>
      <c r="T594" s="11" t="s">
        <v>2966</v>
      </c>
    </row>
    <row r="595" spans="1:20" ht="50.1" hidden="1" customHeight="1">
      <c r="A595" s="10">
        <v>594</v>
      </c>
      <c r="B595" s="11" t="s">
        <v>3543</v>
      </c>
      <c r="C595" s="11" t="s">
        <v>2838</v>
      </c>
      <c r="D595" s="11" t="s">
        <v>17</v>
      </c>
      <c r="E595" s="11" t="s">
        <v>8</v>
      </c>
      <c r="F595" s="12">
        <v>0</v>
      </c>
      <c r="G595" s="13"/>
      <c r="H595" s="14">
        <v>0</v>
      </c>
      <c r="I595" s="12">
        <v>20</v>
      </c>
      <c r="J595" s="13">
        <v>58.6</v>
      </c>
      <c r="K595" s="14">
        <v>1172</v>
      </c>
      <c r="L595" s="12">
        <v>0</v>
      </c>
      <c r="M595" s="13"/>
      <c r="N595" s="14">
        <v>0</v>
      </c>
      <c r="O595" s="12">
        <v>20</v>
      </c>
      <c r="P595" s="13">
        <v>58.6</v>
      </c>
      <c r="Q595" s="14">
        <v>1172</v>
      </c>
      <c r="R595" s="11" t="s">
        <v>3011</v>
      </c>
      <c r="S595" s="11" t="s">
        <v>3012</v>
      </c>
      <c r="T595" s="11" t="s">
        <v>2966</v>
      </c>
    </row>
    <row r="596" spans="1:20" ht="50.1" hidden="1" customHeight="1">
      <c r="A596" s="10">
        <v>595</v>
      </c>
      <c r="B596" s="11" t="s">
        <v>2839</v>
      </c>
      <c r="C596" s="11" t="s">
        <v>2840</v>
      </c>
      <c r="D596" s="11" t="s">
        <v>17</v>
      </c>
      <c r="E596" s="11" t="s">
        <v>8</v>
      </c>
      <c r="F596" s="12">
        <v>19</v>
      </c>
      <c r="G596" s="13">
        <v>274.05</v>
      </c>
      <c r="H596" s="14">
        <v>5206.95</v>
      </c>
      <c r="I596" s="12">
        <v>0</v>
      </c>
      <c r="J596" s="13"/>
      <c r="K596" s="14">
        <v>0</v>
      </c>
      <c r="L596" s="12">
        <v>5</v>
      </c>
      <c r="M596" s="13">
        <v>274.05</v>
      </c>
      <c r="N596" s="14">
        <v>1370.25</v>
      </c>
      <c r="O596" s="12">
        <v>14</v>
      </c>
      <c r="P596" s="13">
        <v>274.05</v>
      </c>
      <c r="Q596" s="14">
        <v>3836.7</v>
      </c>
      <c r="R596" s="11" t="s">
        <v>3011</v>
      </c>
      <c r="S596" s="11" t="s">
        <v>3012</v>
      </c>
      <c r="T596" s="11" t="s">
        <v>2966</v>
      </c>
    </row>
    <row r="597" spans="1:20" ht="50.1" hidden="1" customHeight="1">
      <c r="A597" s="10">
        <v>596</v>
      </c>
      <c r="B597" s="11" t="s">
        <v>2855</v>
      </c>
      <c r="C597" s="11" t="s">
        <v>3023</v>
      </c>
      <c r="D597" s="11" t="s">
        <v>17</v>
      </c>
      <c r="E597" s="11" t="s">
        <v>8</v>
      </c>
      <c r="F597" s="12">
        <v>750</v>
      </c>
      <c r="G597" s="13">
        <v>13.95</v>
      </c>
      <c r="H597" s="14">
        <v>10462.5</v>
      </c>
      <c r="I597" s="12">
        <v>0</v>
      </c>
      <c r="J597" s="13"/>
      <c r="K597" s="14">
        <v>0</v>
      </c>
      <c r="L597" s="12">
        <v>0</v>
      </c>
      <c r="M597" s="13"/>
      <c r="N597" s="14">
        <v>0</v>
      </c>
      <c r="O597" s="12">
        <v>750</v>
      </c>
      <c r="P597" s="13">
        <v>13.95</v>
      </c>
      <c r="Q597" s="14">
        <v>10462.5</v>
      </c>
      <c r="R597" s="11" t="s">
        <v>3011</v>
      </c>
      <c r="S597" s="11" t="s">
        <v>3012</v>
      </c>
      <c r="T597" s="11" t="s">
        <v>2966</v>
      </c>
    </row>
    <row r="598" spans="1:20" ht="50.1" hidden="1" customHeight="1">
      <c r="A598" s="10">
        <v>597</v>
      </c>
      <c r="B598" s="11" t="s">
        <v>2841</v>
      </c>
      <c r="C598" s="11" t="s">
        <v>2842</v>
      </c>
      <c r="D598" s="11" t="s">
        <v>17</v>
      </c>
      <c r="E598" s="11" t="s">
        <v>8</v>
      </c>
      <c r="F598" s="12">
        <v>9</v>
      </c>
      <c r="G598" s="13">
        <v>19.606666669999999</v>
      </c>
      <c r="H598" s="14">
        <v>176.46</v>
      </c>
      <c r="I598" s="12">
        <v>0</v>
      </c>
      <c r="J598" s="13"/>
      <c r="K598" s="14">
        <v>0</v>
      </c>
      <c r="L598" s="12">
        <v>0</v>
      </c>
      <c r="M598" s="13"/>
      <c r="N598" s="14">
        <v>0</v>
      </c>
      <c r="O598" s="12">
        <v>9</v>
      </c>
      <c r="P598" s="13">
        <v>19.606666669999999</v>
      </c>
      <c r="Q598" s="14">
        <v>176.46</v>
      </c>
      <c r="R598" s="11" t="s">
        <v>3011</v>
      </c>
      <c r="S598" s="11" t="s">
        <v>3012</v>
      </c>
      <c r="T598" s="11" t="s">
        <v>2966</v>
      </c>
    </row>
    <row r="599" spans="1:20" ht="50.1" hidden="1" customHeight="1">
      <c r="A599" s="10">
        <v>598</v>
      </c>
      <c r="B599" s="11" t="s">
        <v>2171</v>
      </c>
      <c r="C599" s="11" t="s">
        <v>2172</v>
      </c>
      <c r="D599" s="11" t="s">
        <v>17</v>
      </c>
      <c r="E599" s="11" t="s">
        <v>8</v>
      </c>
      <c r="F599" s="12">
        <v>8352</v>
      </c>
      <c r="G599" s="13">
        <v>0.65</v>
      </c>
      <c r="H599" s="14">
        <v>5428.8</v>
      </c>
      <c r="I599" s="12">
        <v>0</v>
      </c>
      <c r="J599" s="13"/>
      <c r="K599" s="14">
        <v>0</v>
      </c>
      <c r="L599" s="12">
        <v>2136</v>
      </c>
      <c r="M599" s="13">
        <v>0.65</v>
      </c>
      <c r="N599" s="14">
        <v>1388.4</v>
      </c>
      <c r="O599" s="12">
        <v>6216</v>
      </c>
      <c r="P599" s="13">
        <v>0.65</v>
      </c>
      <c r="Q599" s="14">
        <v>4040.4</v>
      </c>
      <c r="R599" s="11" t="s">
        <v>2971</v>
      </c>
      <c r="S599" s="11" t="s">
        <v>2972</v>
      </c>
      <c r="T599" s="11" t="s">
        <v>2966</v>
      </c>
    </row>
    <row r="600" spans="1:20" ht="50.1" hidden="1" customHeight="1">
      <c r="A600" s="10">
        <v>599</v>
      </c>
      <c r="B600" s="11" t="s">
        <v>3520</v>
      </c>
      <c r="C600" s="11" t="s">
        <v>3521</v>
      </c>
      <c r="D600" s="11" t="s">
        <v>7</v>
      </c>
      <c r="E600" s="11" t="s">
        <v>8</v>
      </c>
      <c r="F600" s="12">
        <v>14956.05</v>
      </c>
      <c r="G600" s="13">
        <v>36.00000008</v>
      </c>
      <c r="H600" s="14">
        <v>538417.80119999999</v>
      </c>
      <c r="I600" s="12">
        <v>0</v>
      </c>
      <c r="J600" s="13"/>
      <c r="K600" s="14">
        <v>0</v>
      </c>
      <c r="L600" s="12">
        <v>1246.3699999999999</v>
      </c>
      <c r="M600" s="13">
        <v>36</v>
      </c>
      <c r="N600" s="14">
        <v>44869.32</v>
      </c>
      <c r="O600" s="12">
        <v>13709.68</v>
      </c>
      <c r="P600" s="13">
        <v>36.00000009</v>
      </c>
      <c r="Q600" s="14">
        <v>493548.48119999998</v>
      </c>
      <c r="R600" s="11" t="s">
        <v>2964</v>
      </c>
      <c r="S600" s="11" t="s">
        <v>2965</v>
      </c>
      <c r="T600" s="11" t="s">
        <v>2966</v>
      </c>
    </row>
    <row r="601" spans="1:20" ht="50.1" hidden="1" customHeight="1">
      <c r="A601" s="10">
        <v>600</v>
      </c>
      <c r="B601" s="11" t="s">
        <v>191</v>
      </c>
      <c r="C601" s="11" t="s">
        <v>192</v>
      </c>
      <c r="D601" s="11" t="s">
        <v>20</v>
      </c>
      <c r="E601" s="11" t="s">
        <v>8</v>
      </c>
      <c r="F601" s="12">
        <v>400</v>
      </c>
      <c r="G601" s="13">
        <v>345.14080174999998</v>
      </c>
      <c r="H601" s="14">
        <v>138056.32070000001</v>
      </c>
      <c r="I601" s="12">
        <v>0</v>
      </c>
      <c r="J601" s="13"/>
      <c r="K601" s="14">
        <v>0</v>
      </c>
      <c r="L601" s="12">
        <v>88.6</v>
      </c>
      <c r="M601" s="13">
        <v>345.14085778999998</v>
      </c>
      <c r="N601" s="14">
        <v>30579.48</v>
      </c>
      <c r="O601" s="12">
        <v>311.39999999999998</v>
      </c>
      <c r="P601" s="13">
        <v>345.14078581000001</v>
      </c>
      <c r="Q601" s="14">
        <v>107476.8407</v>
      </c>
      <c r="R601" s="11" t="s">
        <v>2964</v>
      </c>
      <c r="S601" s="11" t="s">
        <v>2965</v>
      </c>
      <c r="T601" s="11" t="s">
        <v>2966</v>
      </c>
    </row>
    <row r="602" spans="1:20" ht="50.1" hidden="1" customHeight="1">
      <c r="A602" s="10">
        <v>601</v>
      </c>
      <c r="B602" s="11" t="s">
        <v>193</v>
      </c>
      <c r="C602" s="11" t="s">
        <v>194</v>
      </c>
      <c r="D602" s="11" t="s">
        <v>20</v>
      </c>
      <c r="E602" s="11" t="s">
        <v>8</v>
      </c>
      <c r="F602" s="12">
        <v>547.79999999999995</v>
      </c>
      <c r="G602" s="13">
        <v>315.37562979</v>
      </c>
      <c r="H602" s="14">
        <v>172762.77</v>
      </c>
      <c r="I602" s="12">
        <v>0</v>
      </c>
      <c r="J602" s="13"/>
      <c r="K602" s="14">
        <v>0</v>
      </c>
      <c r="L602" s="12">
        <v>52.5</v>
      </c>
      <c r="M602" s="13">
        <v>315.37561905000001</v>
      </c>
      <c r="N602" s="14">
        <v>16557.22</v>
      </c>
      <c r="O602" s="12">
        <v>495.3</v>
      </c>
      <c r="P602" s="13">
        <v>315.37563093</v>
      </c>
      <c r="Q602" s="14">
        <v>156205.54999999999</v>
      </c>
      <c r="R602" s="11" t="s">
        <v>2964</v>
      </c>
      <c r="S602" s="11" t="s">
        <v>2965</v>
      </c>
      <c r="T602" s="11" t="s">
        <v>2966</v>
      </c>
    </row>
    <row r="603" spans="1:20" ht="50.1" hidden="1" customHeight="1">
      <c r="A603" s="10">
        <v>602</v>
      </c>
      <c r="B603" s="11" t="s">
        <v>195</v>
      </c>
      <c r="C603" s="11" t="s">
        <v>196</v>
      </c>
      <c r="D603" s="11" t="s">
        <v>20</v>
      </c>
      <c r="E603" s="11" t="s">
        <v>8</v>
      </c>
      <c r="F603" s="12">
        <v>475</v>
      </c>
      <c r="G603" s="13">
        <v>354.50675789000002</v>
      </c>
      <c r="H603" s="14">
        <v>168390.71</v>
      </c>
      <c r="I603" s="12">
        <v>0</v>
      </c>
      <c r="J603" s="13"/>
      <c r="K603" s="14">
        <v>0</v>
      </c>
      <c r="L603" s="12">
        <v>40.700000000000003</v>
      </c>
      <c r="M603" s="13">
        <v>354.50687961</v>
      </c>
      <c r="N603" s="14">
        <v>14428.43</v>
      </c>
      <c r="O603" s="12">
        <v>434.3</v>
      </c>
      <c r="P603" s="13">
        <v>354.50674649000001</v>
      </c>
      <c r="Q603" s="14">
        <v>153962.28</v>
      </c>
      <c r="R603" s="11" t="s">
        <v>2964</v>
      </c>
      <c r="S603" s="11" t="s">
        <v>2965</v>
      </c>
      <c r="T603" s="11" t="s">
        <v>2966</v>
      </c>
    </row>
    <row r="604" spans="1:20" ht="50.1" hidden="1" customHeight="1">
      <c r="A604" s="10">
        <v>603</v>
      </c>
      <c r="B604" s="11" t="s">
        <v>197</v>
      </c>
      <c r="C604" s="11" t="s">
        <v>198</v>
      </c>
      <c r="D604" s="11" t="s">
        <v>20</v>
      </c>
      <c r="E604" s="11" t="s">
        <v>8</v>
      </c>
      <c r="F604" s="12">
        <v>544.1</v>
      </c>
      <c r="G604" s="13">
        <v>350.20031556999999</v>
      </c>
      <c r="H604" s="14">
        <v>190543.99170000001</v>
      </c>
      <c r="I604" s="12">
        <v>0</v>
      </c>
      <c r="J604" s="13"/>
      <c r="K604" s="14">
        <v>0</v>
      </c>
      <c r="L604" s="12">
        <v>74.099999999999994</v>
      </c>
      <c r="M604" s="13">
        <v>350.20026990999997</v>
      </c>
      <c r="N604" s="14">
        <v>25949.84</v>
      </c>
      <c r="O604" s="12">
        <v>470</v>
      </c>
      <c r="P604" s="13">
        <v>350.20032277000001</v>
      </c>
      <c r="Q604" s="14">
        <v>164594.15169999999</v>
      </c>
      <c r="R604" s="11" t="s">
        <v>2964</v>
      </c>
      <c r="S604" s="11" t="s">
        <v>2965</v>
      </c>
      <c r="T604" s="11" t="s">
        <v>2966</v>
      </c>
    </row>
    <row r="605" spans="1:20" ht="50.1" hidden="1" customHeight="1">
      <c r="A605" s="10">
        <v>604</v>
      </c>
      <c r="B605" s="11" t="s">
        <v>199</v>
      </c>
      <c r="C605" s="11" t="s">
        <v>200</v>
      </c>
      <c r="D605" s="11" t="s">
        <v>20</v>
      </c>
      <c r="E605" s="11" t="s">
        <v>8</v>
      </c>
      <c r="F605" s="12">
        <v>446.79</v>
      </c>
      <c r="G605" s="13">
        <v>316.69779001000001</v>
      </c>
      <c r="H605" s="14">
        <v>141497.4056</v>
      </c>
      <c r="I605" s="12">
        <v>2515.8000000000002</v>
      </c>
      <c r="J605" s="13">
        <v>352.87562603999999</v>
      </c>
      <c r="K605" s="14">
        <v>887764.5</v>
      </c>
      <c r="L605" s="12">
        <v>1020.89</v>
      </c>
      <c r="M605" s="13">
        <v>336.35784462999999</v>
      </c>
      <c r="N605" s="14">
        <v>343384.36</v>
      </c>
      <c r="O605" s="12">
        <v>1941.7</v>
      </c>
      <c r="P605" s="13">
        <v>353.23559025999998</v>
      </c>
      <c r="Q605" s="14">
        <v>685877.54559999995</v>
      </c>
      <c r="R605" s="11" t="s">
        <v>2964</v>
      </c>
      <c r="S605" s="11" t="s">
        <v>2965</v>
      </c>
      <c r="T605" s="11" t="s">
        <v>2966</v>
      </c>
    </row>
    <row r="606" spans="1:20" ht="50.1" hidden="1" customHeight="1">
      <c r="A606" s="10">
        <v>605</v>
      </c>
      <c r="B606" s="11" t="s">
        <v>201</v>
      </c>
      <c r="C606" s="11" t="s">
        <v>202</v>
      </c>
      <c r="D606" s="11" t="s">
        <v>20</v>
      </c>
      <c r="E606" s="11" t="s">
        <v>8</v>
      </c>
      <c r="F606" s="12">
        <v>232</v>
      </c>
      <c r="G606" s="13">
        <v>319.99999654999999</v>
      </c>
      <c r="H606" s="14">
        <v>74239.999200000006</v>
      </c>
      <c r="I606" s="12">
        <v>0</v>
      </c>
      <c r="J606" s="13"/>
      <c r="K606" s="14">
        <v>0</v>
      </c>
      <c r="L606" s="12">
        <v>0</v>
      </c>
      <c r="M606" s="13"/>
      <c r="N606" s="14">
        <v>0</v>
      </c>
      <c r="O606" s="12">
        <v>232</v>
      </c>
      <c r="P606" s="13">
        <v>319.99999654999999</v>
      </c>
      <c r="Q606" s="14">
        <v>74239.999200000006</v>
      </c>
      <c r="R606" s="11" t="s">
        <v>2964</v>
      </c>
      <c r="S606" s="11" t="s">
        <v>2965</v>
      </c>
      <c r="T606" s="11" t="s">
        <v>2966</v>
      </c>
    </row>
    <row r="607" spans="1:20" ht="50.1" hidden="1" customHeight="1">
      <c r="A607" s="10">
        <v>606</v>
      </c>
      <c r="B607" s="11" t="s">
        <v>203</v>
      </c>
      <c r="C607" s="11" t="s">
        <v>204</v>
      </c>
      <c r="D607" s="11" t="s">
        <v>7</v>
      </c>
      <c r="E607" s="11" t="s">
        <v>8</v>
      </c>
      <c r="F607" s="12">
        <v>420</v>
      </c>
      <c r="G607" s="13">
        <v>207.36427476</v>
      </c>
      <c r="H607" s="14">
        <v>87092.9954</v>
      </c>
      <c r="I607" s="12">
        <v>340</v>
      </c>
      <c r="J607" s="13">
        <v>205</v>
      </c>
      <c r="K607" s="14">
        <v>69700</v>
      </c>
      <c r="L607" s="12">
        <v>281</v>
      </c>
      <c r="M607" s="13">
        <v>207.36419928999999</v>
      </c>
      <c r="N607" s="14">
        <v>58269.34</v>
      </c>
      <c r="O607" s="12">
        <v>479</v>
      </c>
      <c r="P607" s="13">
        <v>205.68612818</v>
      </c>
      <c r="Q607" s="14">
        <v>98523.655400000003</v>
      </c>
      <c r="R607" s="11" t="s">
        <v>2964</v>
      </c>
      <c r="S607" s="11" t="s">
        <v>2965</v>
      </c>
      <c r="T607" s="11" t="s">
        <v>2966</v>
      </c>
    </row>
    <row r="608" spans="1:20" ht="50.1" hidden="1" customHeight="1">
      <c r="A608" s="10">
        <v>607</v>
      </c>
      <c r="B608" s="11" t="s">
        <v>205</v>
      </c>
      <c r="C608" s="11" t="s">
        <v>206</v>
      </c>
      <c r="D608" s="11" t="s">
        <v>7</v>
      </c>
      <c r="E608" s="11" t="s">
        <v>8</v>
      </c>
      <c r="F608" s="12">
        <v>387</v>
      </c>
      <c r="G608" s="13">
        <v>211.79404729000001</v>
      </c>
      <c r="H608" s="14">
        <v>81964.296300000002</v>
      </c>
      <c r="I608" s="12">
        <v>969</v>
      </c>
      <c r="J608" s="13">
        <v>191.82043343999999</v>
      </c>
      <c r="K608" s="14">
        <v>185874</v>
      </c>
      <c r="L608" s="12">
        <v>388</v>
      </c>
      <c r="M608" s="13">
        <v>206.95481959</v>
      </c>
      <c r="N608" s="14">
        <v>80298.47</v>
      </c>
      <c r="O608" s="12">
        <v>968</v>
      </c>
      <c r="P608" s="13">
        <v>193.73948998</v>
      </c>
      <c r="Q608" s="14">
        <v>187539.82629999999</v>
      </c>
      <c r="R608" s="11" t="s">
        <v>2964</v>
      </c>
      <c r="S608" s="11" t="s">
        <v>2965</v>
      </c>
      <c r="T608" s="11" t="s">
        <v>2966</v>
      </c>
    </row>
    <row r="609" spans="1:20" ht="50.1" hidden="1" customHeight="1">
      <c r="A609" s="10">
        <v>608</v>
      </c>
      <c r="B609" s="11" t="s">
        <v>207</v>
      </c>
      <c r="C609" s="11" t="s">
        <v>208</v>
      </c>
      <c r="D609" s="11" t="s">
        <v>7</v>
      </c>
      <c r="E609" s="11" t="s">
        <v>8</v>
      </c>
      <c r="F609" s="12">
        <v>1022</v>
      </c>
      <c r="G609" s="13">
        <v>207.94655528000001</v>
      </c>
      <c r="H609" s="14">
        <v>212521.37950000001</v>
      </c>
      <c r="I609" s="12">
        <v>0</v>
      </c>
      <c r="J609" s="13"/>
      <c r="K609" s="14">
        <v>0</v>
      </c>
      <c r="L609" s="12">
        <v>158</v>
      </c>
      <c r="M609" s="13">
        <v>207.94658228</v>
      </c>
      <c r="N609" s="14">
        <v>32855.56</v>
      </c>
      <c r="O609" s="12">
        <v>864</v>
      </c>
      <c r="P609" s="13">
        <v>207.94655035</v>
      </c>
      <c r="Q609" s="14">
        <v>179665.81950000001</v>
      </c>
      <c r="R609" s="11" t="s">
        <v>2964</v>
      </c>
      <c r="S609" s="11" t="s">
        <v>2965</v>
      </c>
      <c r="T609" s="11" t="s">
        <v>2966</v>
      </c>
    </row>
    <row r="610" spans="1:20" ht="50.1" hidden="1" customHeight="1">
      <c r="A610" s="10">
        <v>609</v>
      </c>
      <c r="B610" s="11" t="s">
        <v>209</v>
      </c>
      <c r="C610" s="11" t="s">
        <v>210</v>
      </c>
      <c r="D610" s="11" t="s">
        <v>7</v>
      </c>
      <c r="E610" s="11" t="s">
        <v>8</v>
      </c>
      <c r="F610" s="12">
        <v>450</v>
      </c>
      <c r="G610" s="13">
        <v>205.21037200000001</v>
      </c>
      <c r="H610" s="14">
        <v>92344.667400000006</v>
      </c>
      <c r="I610" s="12">
        <v>727</v>
      </c>
      <c r="J610" s="13">
        <v>205</v>
      </c>
      <c r="K610" s="14">
        <v>149035</v>
      </c>
      <c r="L610" s="12">
        <v>155</v>
      </c>
      <c r="M610" s="13">
        <v>205.21038709999999</v>
      </c>
      <c r="N610" s="14">
        <v>31807.61</v>
      </c>
      <c r="O610" s="12">
        <v>1022</v>
      </c>
      <c r="P610" s="13">
        <v>205.06072153</v>
      </c>
      <c r="Q610" s="14">
        <v>209572.05739999999</v>
      </c>
      <c r="R610" s="11" t="s">
        <v>2964</v>
      </c>
      <c r="S610" s="11" t="s">
        <v>2965</v>
      </c>
      <c r="T610" s="11" t="s">
        <v>2966</v>
      </c>
    </row>
    <row r="611" spans="1:20" ht="50.1" hidden="1" customHeight="1">
      <c r="A611" s="10">
        <v>610</v>
      </c>
      <c r="B611" s="11" t="s">
        <v>211</v>
      </c>
      <c r="C611" s="11" t="s">
        <v>212</v>
      </c>
      <c r="D611" s="11" t="s">
        <v>7</v>
      </c>
      <c r="E611" s="11" t="s">
        <v>8</v>
      </c>
      <c r="F611" s="12">
        <v>824</v>
      </c>
      <c r="G611" s="13">
        <v>206.29497524000001</v>
      </c>
      <c r="H611" s="14">
        <v>169987.05960000001</v>
      </c>
      <c r="I611" s="12">
        <v>0</v>
      </c>
      <c r="J611" s="13"/>
      <c r="K611" s="14">
        <v>0</v>
      </c>
      <c r="L611" s="12">
        <v>315</v>
      </c>
      <c r="M611" s="13">
        <v>206.29504761999999</v>
      </c>
      <c r="N611" s="14">
        <v>64982.94</v>
      </c>
      <c r="O611" s="12">
        <v>509</v>
      </c>
      <c r="P611" s="13">
        <v>206.29493045000001</v>
      </c>
      <c r="Q611" s="14">
        <v>105004.11960000001</v>
      </c>
      <c r="R611" s="11" t="s">
        <v>2964</v>
      </c>
      <c r="S611" s="11" t="s">
        <v>2965</v>
      </c>
      <c r="T611" s="11" t="s">
        <v>2966</v>
      </c>
    </row>
    <row r="612" spans="1:20" ht="50.1" hidden="1" customHeight="1">
      <c r="A612" s="10">
        <v>611</v>
      </c>
      <c r="B612" s="11" t="s">
        <v>213</v>
      </c>
      <c r="C612" s="11" t="s">
        <v>214</v>
      </c>
      <c r="D612" s="11" t="s">
        <v>7</v>
      </c>
      <c r="E612" s="11" t="s">
        <v>8</v>
      </c>
      <c r="F612" s="12">
        <v>269</v>
      </c>
      <c r="G612" s="13">
        <v>192.35751003999999</v>
      </c>
      <c r="H612" s="14">
        <v>51744.1702</v>
      </c>
      <c r="I612" s="12">
        <v>471</v>
      </c>
      <c r="J612" s="13">
        <v>190</v>
      </c>
      <c r="K612" s="14">
        <v>89490</v>
      </c>
      <c r="L612" s="12">
        <v>180</v>
      </c>
      <c r="M612" s="13">
        <v>192.04400000000001</v>
      </c>
      <c r="N612" s="14">
        <v>34567.919999999998</v>
      </c>
      <c r="O612" s="12">
        <v>560</v>
      </c>
      <c r="P612" s="13">
        <v>190.47544679000001</v>
      </c>
      <c r="Q612" s="14">
        <v>106666.25019999999</v>
      </c>
      <c r="R612" s="11" t="s">
        <v>2964</v>
      </c>
      <c r="S612" s="11" t="s">
        <v>2965</v>
      </c>
      <c r="T612" s="11" t="s">
        <v>2966</v>
      </c>
    </row>
    <row r="613" spans="1:20" ht="50.1" hidden="1" customHeight="1">
      <c r="A613" s="10">
        <v>612</v>
      </c>
      <c r="B613" s="11" t="s">
        <v>217</v>
      </c>
      <c r="C613" s="11" t="s">
        <v>218</v>
      </c>
      <c r="D613" s="11" t="s">
        <v>7</v>
      </c>
      <c r="E613" s="11" t="s">
        <v>8</v>
      </c>
      <c r="F613" s="12">
        <v>12143.5</v>
      </c>
      <c r="G613" s="13">
        <v>39.014288299999997</v>
      </c>
      <c r="H613" s="14">
        <v>473770.01</v>
      </c>
      <c r="I613" s="12">
        <v>5016</v>
      </c>
      <c r="J613" s="13">
        <v>39</v>
      </c>
      <c r="K613" s="14">
        <v>195624</v>
      </c>
      <c r="L613" s="12">
        <v>12782.2</v>
      </c>
      <c r="M613" s="13">
        <v>39.010803299999999</v>
      </c>
      <c r="N613" s="14">
        <v>498643.89</v>
      </c>
      <c r="O613" s="12">
        <v>4377.3</v>
      </c>
      <c r="P613" s="13">
        <v>39.008091749999998</v>
      </c>
      <c r="Q613" s="14">
        <v>170750.12</v>
      </c>
      <c r="R613" s="11" t="s">
        <v>2964</v>
      </c>
      <c r="S613" s="11" t="s">
        <v>2965</v>
      </c>
      <c r="T613" s="11" t="s">
        <v>2966</v>
      </c>
    </row>
    <row r="614" spans="1:20" ht="50.1" hidden="1" customHeight="1">
      <c r="A614" s="10">
        <v>613</v>
      </c>
      <c r="B614" s="11" t="s">
        <v>221</v>
      </c>
      <c r="C614" s="11" t="s">
        <v>222</v>
      </c>
      <c r="D614" s="11" t="s">
        <v>7</v>
      </c>
      <c r="E614" s="11" t="s">
        <v>8</v>
      </c>
      <c r="F614" s="12">
        <v>100</v>
      </c>
      <c r="G614" s="13">
        <v>120.50620000000001</v>
      </c>
      <c r="H614" s="14">
        <v>12050.62</v>
      </c>
      <c r="I614" s="12">
        <v>0</v>
      </c>
      <c r="J614" s="13"/>
      <c r="K614" s="14">
        <v>0</v>
      </c>
      <c r="L614" s="12">
        <v>0</v>
      </c>
      <c r="M614" s="13"/>
      <c r="N614" s="14">
        <v>0</v>
      </c>
      <c r="O614" s="12">
        <v>100</v>
      </c>
      <c r="P614" s="13">
        <v>120.50620000000001</v>
      </c>
      <c r="Q614" s="14">
        <v>12050.62</v>
      </c>
      <c r="R614" s="11" t="s">
        <v>2964</v>
      </c>
      <c r="S614" s="11" t="s">
        <v>2965</v>
      </c>
      <c r="T614" s="11" t="s">
        <v>2966</v>
      </c>
    </row>
    <row r="615" spans="1:20" ht="50.1" hidden="1" customHeight="1">
      <c r="A615" s="10">
        <v>614</v>
      </c>
      <c r="B615" s="11" t="s">
        <v>223</v>
      </c>
      <c r="C615" s="11" t="s">
        <v>224</v>
      </c>
      <c r="D615" s="11" t="s">
        <v>7</v>
      </c>
      <c r="E615" s="11" t="s">
        <v>8</v>
      </c>
      <c r="F615" s="12">
        <v>2622.5</v>
      </c>
      <c r="G615" s="13">
        <v>52.082326020000004</v>
      </c>
      <c r="H615" s="14">
        <v>136585.9</v>
      </c>
      <c r="I615" s="12">
        <v>0</v>
      </c>
      <c r="J615" s="13"/>
      <c r="K615" s="14">
        <v>0</v>
      </c>
      <c r="L615" s="12">
        <v>1047.75</v>
      </c>
      <c r="M615" s="13">
        <v>52.082300170000003</v>
      </c>
      <c r="N615" s="14">
        <v>54569.23</v>
      </c>
      <c r="O615" s="12">
        <v>1574.75</v>
      </c>
      <c r="P615" s="13">
        <v>52.082343229999999</v>
      </c>
      <c r="Q615" s="14">
        <v>82016.67</v>
      </c>
      <c r="R615" s="11" t="s">
        <v>2964</v>
      </c>
      <c r="S615" s="11" t="s">
        <v>2965</v>
      </c>
      <c r="T615" s="11" t="s">
        <v>2966</v>
      </c>
    </row>
    <row r="616" spans="1:20" ht="50.1" hidden="1" customHeight="1">
      <c r="A616" s="10">
        <v>615</v>
      </c>
      <c r="B616" s="11" t="s">
        <v>225</v>
      </c>
      <c r="C616" s="11" t="s">
        <v>226</v>
      </c>
      <c r="D616" s="11" t="s">
        <v>7</v>
      </c>
      <c r="E616" s="11" t="s">
        <v>8</v>
      </c>
      <c r="F616" s="12">
        <v>4468.75</v>
      </c>
      <c r="G616" s="13">
        <v>64.103557949999995</v>
      </c>
      <c r="H616" s="14">
        <v>286462.7746</v>
      </c>
      <c r="I616" s="12">
        <v>0</v>
      </c>
      <c r="J616" s="13"/>
      <c r="K616" s="14">
        <v>0</v>
      </c>
      <c r="L616" s="12">
        <v>0</v>
      </c>
      <c r="M616" s="13"/>
      <c r="N616" s="14">
        <v>0</v>
      </c>
      <c r="O616" s="12">
        <v>4468.75</v>
      </c>
      <c r="P616" s="13">
        <v>64.103557949999995</v>
      </c>
      <c r="Q616" s="14">
        <v>286462.7746</v>
      </c>
      <c r="R616" s="11" t="s">
        <v>2964</v>
      </c>
      <c r="S616" s="11" t="s">
        <v>2965</v>
      </c>
      <c r="T616" s="11" t="s">
        <v>2966</v>
      </c>
    </row>
    <row r="617" spans="1:20" ht="50.1" hidden="1" customHeight="1">
      <c r="A617" s="10">
        <v>616</v>
      </c>
      <c r="B617" s="11" t="s">
        <v>227</v>
      </c>
      <c r="C617" s="11" t="s">
        <v>228</v>
      </c>
      <c r="D617" s="11" t="s">
        <v>7</v>
      </c>
      <c r="E617" s="11" t="s">
        <v>8</v>
      </c>
      <c r="F617" s="12">
        <v>251.9</v>
      </c>
      <c r="G617" s="13">
        <v>173.99998174000001</v>
      </c>
      <c r="H617" s="14">
        <v>43830.595399999998</v>
      </c>
      <c r="I617" s="12">
        <v>5271.55</v>
      </c>
      <c r="J617" s="13">
        <v>177.95341028999999</v>
      </c>
      <c r="K617" s="14">
        <v>938090.3</v>
      </c>
      <c r="L617" s="12">
        <v>0</v>
      </c>
      <c r="M617" s="13"/>
      <c r="N617" s="14">
        <v>0</v>
      </c>
      <c r="O617" s="12">
        <v>5523.45</v>
      </c>
      <c r="P617" s="13">
        <v>177.77311198999999</v>
      </c>
      <c r="Q617" s="14">
        <v>981920.89540000004</v>
      </c>
      <c r="R617" s="11" t="s">
        <v>2964</v>
      </c>
      <c r="S617" s="11" t="s">
        <v>2965</v>
      </c>
      <c r="T617" s="11" t="s">
        <v>2966</v>
      </c>
    </row>
    <row r="618" spans="1:20" ht="50.1" hidden="1" customHeight="1">
      <c r="A618" s="10">
        <v>617</v>
      </c>
      <c r="B618" s="11" t="s">
        <v>3526</v>
      </c>
      <c r="C618" s="11" t="s">
        <v>3527</v>
      </c>
      <c r="D618" s="11" t="s">
        <v>7</v>
      </c>
      <c r="E618" s="11" t="s">
        <v>8</v>
      </c>
      <c r="F618" s="12">
        <v>116</v>
      </c>
      <c r="G618" s="13">
        <v>210</v>
      </c>
      <c r="H618" s="14">
        <v>24360</v>
      </c>
      <c r="I618" s="12">
        <v>0</v>
      </c>
      <c r="J618" s="13"/>
      <c r="K618" s="14">
        <v>0</v>
      </c>
      <c r="L618" s="12">
        <v>0</v>
      </c>
      <c r="M618" s="13"/>
      <c r="N618" s="14">
        <v>0</v>
      </c>
      <c r="O618" s="12">
        <v>116</v>
      </c>
      <c r="P618" s="13">
        <v>210</v>
      </c>
      <c r="Q618" s="14">
        <v>24360</v>
      </c>
      <c r="R618" s="11" t="s">
        <v>2964</v>
      </c>
      <c r="S618" s="11" t="s">
        <v>2965</v>
      </c>
      <c r="T618" s="11" t="s">
        <v>2966</v>
      </c>
    </row>
    <row r="619" spans="1:20" ht="50.1" hidden="1" customHeight="1">
      <c r="A619" s="10">
        <v>618</v>
      </c>
      <c r="B619" s="11" t="s">
        <v>231</v>
      </c>
      <c r="C619" s="11" t="s">
        <v>232</v>
      </c>
      <c r="D619" s="11" t="s">
        <v>7</v>
      </c>
      <c r="E619" s="11" t="s">
        <v>8</v>
      </c>
      <c r="F619" s="12">
        <v>624.20000000000005</v>
      </c>
      <c r="G619" s="13">
        <v>170.00000768999999</v>
      </c>
      <c r="H619" s="14">
        <v>106114.0048</v>
      </c>
      <c r="I619" s="12">
        <v>0</v>
      </c>
      <c r="J619" s="13"/>
      <c r="K619" s="14">
        <v>0</v>
      </c>
      <c r="L619" s="12">
        <v>624.20000000000005</v>
      </c>
      <c r="M619" s="13">
        <v>170</v>
      </c>
      <c r="N619" s="14">
        <v>106114</v>
      </c>
      <c r="O619" s="12">
        <v>0</v>
      </c>
      <c r="P619" s="13"/>
      <c r="Q619" s="14">
        <v>0</v>
      </c>
      <c r="R619" s="11" t="s">
        <v>2964</v>
      </c>
      <c r="S619" s="11" t="s">
        <v>2965</v>
      </c>
      <c r="T619" s="11" t="s">
        <v>2966</v>
      </c>
    </row>
    <row r="620" spans="1:20" ht="50.1" hidden="1" customHeight="1">
      <c r="A620" s="10">
        <v>619</v>
      </c>
      <c r="B620" s="11" t="s">
        <v>235</v>
      </c>
      <c r="C620" s="11" t="s">
        <v>236</v>
      </c>
      <c r="D620" s="11" t="s">
        <v>17</v>
      </c>
      <c r="E620" s="11" t="s">
        <v>8</v>
      </c>
      <c r="F620" s="12">
        <v>246</v>
      </c>
      <c r="G620" s="13">
        <v>17.939065039999999</v>
      </c>
      <c r="H620" s="14">
        <v>4413.01</v>
      </c>
      <c r="I620" s="12">
        <v>0</v>
      </c>
      <c r="J620" s="13"/>
      <c r="K620" s="14">
        <v>0</v>
      </c>
      <c r="L620" s="12">
        <v>0</v>
      </c>
      <c r="M620" s="13"/>
      <c r="N620" s="14">
        <v>0</v>
      </c>
      <c r="O620" s="12">
        <v>246</v>
      </c>
      <c r="P620" s="13">
        <v>17.939065039999999</v>
      </c>
      <c r="Q620" s="14">
        <v>4413.01</v>
      </c>
      <c r="R620" s="11" t="s">
        <v>2971</v>
      </c>
      <c r="S620" s="11" t="s">
        <v>2972</v>
      </c>
      <c r="T620" s="11" t="s">
        <v>2961</v>
      </c>
    </row>
    <row r="621" spans="1:20" ht="50.1" hidden="1" customHeight="1">
      <c r="A621" s="10">
        <v>620</v>
      </c>
      <c r="B621" s="11" t="s">
        <v>237</v>
      </c>
      <c r="C621" s="11" t="s">
        <v>238</v>
      </c>
      <c r="D621" s="11" t="s">
        <v>17</v>
      </c>
      <c r="E621" s="11" t="s">
        <v>8</v>
      </c>
      <c r="F621" s="12">
        <v>0</v>
      </c>
      <c r="G621" s="13"/>
      <c r="H621" s="14">
        <v>0</v>
      </c>
      <c r="I621" s="12">
        <v>300</v>
      </c>
      <c r="J621" s="13">
        <v>60.6</v>
      </c>
      <c r="K621" s="14">
        <v>18180</v>
      </c>
      <c r="L621" s="12">
        <v>0</v>
      </c>
      <c r="M621" s="13"/>
      <c r="N621" s="14">
        <v>0</v>
      </c>
      <c r="O621" s="12">
        <v>300</v>
      </c>
      <c r="P621" s="13">
        <v>60.6</v>
      </c>
      <c r="Q621" s="14">
        <v>18180</v>
      </c>
      <c r="R621" s="11" t="s">
        <v>2971</v>
      </c>
      <c r="S621" s="11" t="s">
        <v>2972</v>
      </c>
      <c r="T621" s="11" t="s">
        <v>2961</v>
      </c>
    </row>
    <row r="622" spans="1:20" ht="50.1" hidden="1" customHeight="1">
      <c r="A622" s="10">
        <v>621</v>
      </c>
      <c r="B622" s="11" t="s">
        <v>239</v>
      </c>
      <c r="C622" s="11" t="s">
        <v>240</v>
      </c>
      <c r="D622" s="11" t="s">
        <v>135</v>
      </c>
      <c r="E622" s="11" t="s">
        <v>8</v>
      </c>
      <c r="F622" s="12">
        <v>300</v>
      </c>
      <c r="G622" s="13">
        <v>88.632499999999993</v>
      </c>
      <c r="H622" s="14">
        <v>26589.75</v>
      </c>
      <c r="I622" s="12">
        <v>0</v>
      </c>
      <c r="J622" s="13"/>
      <c r="K622" s="14">
        <v>0</v>
      </c>
      <c r="L622" s="12">
        <v>100</v>
      </c>
      <c r="M622" s="13">
        <v>88.632400000000004</v>
      </c>
      <c r="N622" s="14">
        <v>8863.24</v>
      </c>
      <c r="O622" s="12">
        <v>200</v>
      </c>
      <c r="P622" s="13">
        <v>88.632549999999995</v>
      </c>
      <c r="Q622" s="14">
        <v>17726.509999999998</v>
      </c>
      <c r="R622" s="11" t="s">
        <v>3007</v>
      </c>
      <c r="S622" s="11" t="s">
        <v>3008</v>
      </c>
      <c r="T622" s="11" t="s">
        <v>2961</v>
      </c>
    </row>
    <row r="623" spans="1:20" ht="50.1" hidden="1" customHeight="1">
      <c r="A623" s="10">
        <v>622</v>
      </c>
      <c r="B623" s="11" t="s">
        <v>241</v>
      </c>
      <c r="C623" s="11" t="s">
        <v>242</v>
      </c>
      <c r="D623" s="11" t="s">
        <v>17</v>
      </c>
      <c r="E623" s="11" t="s">
        <v>8</v>
      </c>
      <c r="F623" s="12">
        <v>7</v>
      </c>
      <c r="G623" s="13">
        <v>255</v>
      </c>
      <c r="H623" s="14">
        <v>1785</v>
      </c>
      <c r="I623" s="12">
        <v>0</v>
      </c>
      <c r="J623" s="13"/>
      <c r="K623" s="14">
        <v>0</v>
      </c>
      <c r="L623" s="12">
        <v>0</v>
      </c>
      <c r="M623" s="13"/>
      <c r="N623" s="14">
        <v>0</v>
      </c>
      <c r="O623" s="12">
        <v>7</v>
      </c>
      <c r="P623" s="13">
        <v>255</v>
      </c>
      <c r="Q623" s="14">
        <v>1785</v>
      </c>
      <c r="R623" s="11" t="s">
        <v>2981</v>
      </c>
      <c r="S623" s="11" t="s">
        <v>2982</v>
      </c>
      <c r="T623" s="11" t="s">
        <v>2966</v>
      </c>
    </row>
    <row r="624" spans="1:20" ht="50.1" hidden="1" customHeight="1">
      <c r="A624" s="10">
        <v>623</v>
      </c>
      <c r="B624" s="11" t="s">
        <v>2587</v>
      </c>
      <c r="C624" s="11" t="s">
        <v>2588</v>
      </c>
      <c r="D624" s="11" t="s">
        <v>17</v>
      </c>
      <c r="E624" s="11" t="s">
        <v>8</v>
      </c>
      <c r="F624" s="12">
        <v>10</v>
      </c>
      <c r="G624" s="13">
        <v>265</v>
      </c>
      <c r="H624" s="14">
        <v>2650</v>
      </c>
      <c r="I624" s="12">
        <v>0</v>
      </c>
      <c r="J624" s="13"/>
      <c r="K624" s="14">
        <v>0</v>
      </c>
      <c r="L624" s="12">
        <v>0</v>
      </c>
      <c r="M624" s="13"/>
      <c r="N624" s="14">
        <v>0</v>
      </c>
      <c r="O624" s="12">
        <v>10</v>
      </c>
      <c r="P624" s="13">
        <v>265</v>
      </c>
      <c r="Q624" s="14">
        <v>2650</v>
      </c>
      <c r="R624" s="11" t="s">
        <v>2981</v>
      </c>
      <c r="S624" s="11" t="s">
        <v>2982</v>
      </c>
      <c r="T624" s="11" t="s">
        <v>2966</v>
      </c>
    </row>
    <row r="625" spans="1:20" ht="50.1" hidden="1" customHeight="1">
      <c r="A625" s="10">
        <v>624</v>
      </c>
      <c r="B625" s="11" t="s">
        <v>243</v>
      </c>
      <c r="C625" s="11" t="s">
        <v>244</v>
      </c>
      <c r="D625" s="11" t="s">
        <v>20</v>
      </c>
      <c r="E625" s="11" t="s">
        <v>8</v>
      </c>
      <c r="F625" s="12">
        <v>9.8000000000000007</v>
      </c>
      <c r="G625" s="13">
        <v>182.55102041000001</v>
      </c>
      <c r="H625" s="14">
        <v>1789</v>
      </c>
      <c r="I625" s="12">
        <v>0</v>
      </c>
      <c r="J625" s="13"/>
      <c r="K625" s="14">
        <v>0</v>
      </c>
      <c r="L625" s="12">
        <v>0</v>
      </c>
      <c r="M625" s="13"/>
      <c r="N625" s="14">
        <v>0</v>
      </c>
      <c r="O625" s="12">
        <v>9.8000000000000007</v>
      </c>
      <c r="P625" s="13">
        <v>182.55102041000001</v>
      </c>
      <c r="Q625" s="14">
        <v>1789</v>
      </c>
      <c r="R625" s="11" t="s">
        <v>2971</v>
      </c>
      <c r="S625" s="11" t="s">
        <v>2972</v>
      </c>
      <c r="T625" s="11" t="s">
        <v>2966</v>
      </c>
    </row>
    <row r="626" spans="1:20" ht="50.1" hidden="1" customHeight="1">
      <c r="A626" s="10">
        <v>625</v>
      </c>
      <c r="B626" s="11" t="s">
        <v>245</v>
      </c>
      <c r="C626" s="11" t="s">
        <v>246</v>
      </c>
      <c r="D626" s="11" t="s">
        <v>17</v>
      </c>
      <c r="E626" s="11" t="s">
        <v>8</v>
      </c>
      <c r="F626" s="12">
        <v>500</v>
      </c>
      <c r="G626" s="13">
        <v>18</v>
      </c>
      <c r="H626" s="14">
        <v>9000</v>
      </c>
      <c r="I626" s="12">
        <v>0</v>
      </c>
      <c r="J626" s="13"/>
      <c r="K626" s="14">
        <v>0</v>
      </c>
      <c r="L626" s="12">
        <v>0</v>
      </c>
      <c r="M626" s="13"/>
      <c r="N626" s="14">
        <v>0</v>
      </c>
      <c r="O626" s="12">
        <v>500</v>
      </c>
      <c r="P626" s="13">
        <v>18</v>
      </c>
      <c r="Q626" s="14">
        <v>9000</v>
      </c>
      <c r="R626" s="11" t="s">
        <v>2971</v>
      </c>
      <c r="S626" s="11" t="s">
        <v>2972</v>
      </c>
      <c r="T626" s="11" t="s">
        <v>2966</v>
      </c>
    </row>
    <row r="627" spans="1:20" ht="50.1" hidden="1" customHeight="1">
      <c r="A627" s="10">
        <v>626</v>
      </c>
      <c r="B627" s="11" t="s">
        <v>247</v>
      </c>
      <c r="C627" s="11" t="s">
        <v>248</v>
      </c>
      <c r="D627" s="11" t="s">
        <v>17</v>
      </c>
      <c r="E627" s="11" t="s">
        <v>8</v>
      </c>
      <c r="F627" s="12">
        <v>500</v>
      </c>
      <c r="G627" s="13">
        <v>27</v>
      </c>
      <c r="H627" s="14">
        <v>13500</v>
      </c>
      <c r="I627" s="12">
        <v>0</v>
      </c>
      <c r="J627" s="13"/>
      <c r="K627" s="14">
        <v>0</v>
      </c>
      <c r="L627" s="12">
        <v>0</v>
      </c>
      <c r="M627" s="13"/>
      <c r="N627" s="14">
        <v>0</v>
      </c>
      <c r="O627" s="12">
        <v>500</v>
      </c>
      <c r="P627" s="13">
        <v>27</v>
      </c>
      <c r="Q627" s="14">
        <v>13500</v>
      </c>
      <c r="R627" s="11" t="s">
        <v>2990</v>
      </c>
      <c r="S627" s="11" t="s">
        <v>2991</v>
      </c>
      <c r="T627" s="11" t="s">
        <v>2966</v>
      </c>
    </row>
    <row r="628" spans="1:20" ht="50.1" hidden="1" customHeight="1">
      <c r="A628" s="10">
        <v>627</v>
      </c>
      <c r="B628" s="11" t="s">
        <v>249</v>
      </c>
      <c r="C628" s="11" t="s">
        <v>250</v>
      </c>
      <c r="D628" s="11" t="s">
        <v>17</v>
      </c>
      <c r="E628" s="11" t="s">
        <v>8</v>
      </c>
      <c r="F628" s="12">
        <v>2000</v>
      </c>
      <c r="G628" s="13">
        <v>0.8</v>
      </c>
      <c r="H628" s="14">
        <v>1600</v>
      </c>
      <c r="I628" s="12">
        <v>0</v>
      </c>
      <c r="J628" s="13"/>
      <c r="K628" s="14">
        <v>0</v>
      </c>
      <c r="L628" s="12">
        <v>0</v>
      </c>
      <c r="M628" s="13"/>
      <c r="N628" s="14">
        <v>0</v>
      </c>
      <c r="O628" s="12">
        <v>2000</v>
      </c>
      <c r="P628" s="13">
        <v>0.8</v>
      </c>
      <c r="Q628" s="14">
        <v>1600</v>
      </c>
      <c r="R628" s="11" t="s">
        <v>2971</v>
      </c>
      <c r="S628" s="11" t="s">
        <v>2972</v>
      </c>
      <c r="T628" s="11" t="s">
        <v>2966</v>
      </c>
    </row>
    <row r="629" spans="1:20" ht="50.1" hidden="1" customHeight="1">
      <c r="A629" s="10">
        <v>628</v>
      </c>
      <c r="B629" s="11" t="s">
        <v>251</v>
      </c>
      <c r="C629" s="11" t="s">
        <v>252</v>
      </c>
      <c r="D629" s="11" t="s">
        <v>17</v>
      </c>
      <c r="E629" s="11" t="s">
        <v>8</v>
      </c>
      <c r="F629" s="12">
        <v>1500</v>
      </c>
      <c r="G629" s="13">
        <v>2.2999999999999998</v>
      </c>
      <c r="H629" s="14">
        <v>3450</v>
      </c>
      <c r="I629" s="12">
        <v>0</v>
      </c>
      <c r="J629" s="13"/>
      <c r="K629" s="14">
        <v>0</v>
      </c>
      <c r="L629" s="12">
        <v>0</v>
      </c>
      <c r="M629" s="13"/>
      <c r="N629" s="14">
        <v>0</v>
      </c>
      <c r="O629" s="12">
        <v>1500</v>
      </c>
      <c r="P629" s="13">
        <v>2.2999999999999998</v>
      </c>
      <c r="Q629" s="14">
        <v>3450</v>
      </c>
      <c r="R629" s="11" t="s">
        <v>2990</v>
      </c>
      <c r="S629" s="11" t="s">
        <v>2991</v>
      </c>
      <c r="T629" s="11" t="s">
        <v>2966</v>
      </c>
    </row>
    <row r="630" spans="1:20" ht="50.1" hidden="1" customHeight="1">
      <c r="A630" s="10">
        <v>629</v>
      </c>
      <c r="B630" s="11" t="s">
        <v>377</v>
      </c>
      <c r="C630" s="11" t="s">
        <v>378</v>
      </c>
      <c r="D630" s="11" t="s">
        <v>17</v>
      </c>
      <c r="E630" s="11" t="s">
        <v>8</v>
      </c>
      <c r="F630" s="12">
        <v>750</v>
      </c>
      <c r="G630" s="13">
        <v>44</v>
      </c>
      <c r="H630" s="14">
        <v>33000</v>
      </c>
      <c r="I630" s="12">
        <v>0</v>
      </c>
      <c r="J630" s="13"/>
      <c r="K630" s="14">
        <v>0</v>
      </c>
      <c r="L630" s="12">
        <v>0</v>
      </c>
      <c r="M630" s="13"/>
      <c r="N630" s="14">
        <v>0</v>
      </c>
      <c r="O630" s="12">
        <v>750</v>
      </c>
      <c r="P630" s="13">
        <v>44</v>
      </c>
      <c r="Q630" s="14">
        <v>33000</v>
      </c>
      <c r="R630" s="11" t="s">
        <v>2990</v>
      </c>
      <c r="S630" s="11" t="s">
        <v>2991</v>
      </c>
      <c r="T630" s="11" t="s">
        <v>2966</v>
      </c>
    </row>
    <row r="631" spans="1:20" ht="50.1" hidden="1" customHeight="1">
      <c r="A631" s="10">
        <v>630</v>
      </c>
      <c r="B631" s="11" t="s">
        <v>379</v>
      </c>
      <c r="C631" s="11" t="s">
        <v>380</v>
      </c>
      <c r="D631" s="11" t="s">
        <v>17</v>
      </c>
      <c r="E631" s="11" t="s">
        <v>8</v>
      </c>
      <c r="F631" s="12">
        <v>2000</v>
      </c>
      <c r="G631" s="13">
        <v>0.8</v>
      </c>
      <c r="H631" s="14">
        <v>1600</v>
      </c>
      <c r="I631" s="12">
        <v>0</v>
      </c>
      <c r="J631" s="13"/>
      <c r="K631" s="14">
        <v>0</v>
      </c>
      <c r="L631" s="12">
        <v>0</v>
      </c>
      <c r="M631" s="13"/>
      <c r="N631" s="14">
        <v>0</v>
      </c>
      <c r="O631" s="12">
        <v>2000</v>
      </c>
      <c r="P631" s="13">
        <v>0.8</v>
      </c>
      <c r="Q631" s="14">
        <v>1600</v>
      </c>
      <c r="R631" s="11" t="s">
        <v>2971</v>
      </c>
      <c r="S631" s="11" t="s">
        <v>2972</v>
      </c>
      <c r="T631" s="11" t="s">
        <v>2966</v>
      </c>
    </row>
    <row r="632" spans="1:20" ht="50.1" hidden="1" customHeight="1">
      <c r="A632" s="10">
        <v>631</v>
      </c>
      <c r="B632" s="11" t="s">
        <v>381</v>
      </c>
      <c r="C632" s="11" t="s">
        <v>382</v>
      </c>
      <c r="D632" s="11" t="s">
        <v>17</v>
      </c>
      <c r="E632" s="11" t="s">
        <v>8</v>
      </c>
      <c r="F632" s="12">
        <v>800</v>
      </c>
      <c r="G632" s="13">
        <v>175</v>
      </c>
      <c r="H632" s="14">
        <v>140000</v>
      </c>
      <c r="I632" s="12">
        <v>0</v>
      </c>
      <c r="J632" s="13"/>
      <c r="K632" s="14">
        <v>0</v>
      </c>
      <c r="L632" s="12">
        <v>0</v>
      </c>
      <c r="M632" s="13"/>
      <c r="N632" s="14">
        <v>0</v>
      </c>
      <c r="O632" s="12">
        <v>800</v>
      </c>
      <c r="P632" s="13">
        <v>175</v>
      </c>
      <c r="Q632" s="14">
        <v>140000</v>
      </c>
      <c r="R632" s="11" t="s">
        <v>2973</v>
      </c>
      <c r="S632" s="11" t="s">
        <v>2974</v>
      </c>
      <c r="T632" s="11" t="s">
        <v>2966</v>
      </c>
    </row>
    <row r="633" spans="1:20" ht="50.1" hidden="1" customHeight="1">
      <c r="A633" s="10">
        <v>632</v>
      </c>
      <c r="B633" s="11" t="s">
        <v>3382</v>
      </c>
      <c r="C633" s="11" t="s">
        <v>3383</v>
      </c>
      <c r="D633" s="11" t="s">
        <v>17</v>
      </c>
      <c r="E633" s="11" t="s">
        <v>8</v>
      </c>
      <c r="F633" s="12">
        <v>1080</v>
      </c>
      <c r="G633" s="13">
        <v>0.6</v>
      </c>
      <c r="H633" s="14">
        <v>648</v>
      </c>
      <c r="I633" s="12">
        <v>0</v>
      </c>
      <c r="J633" s="13"/>
      <c r="K633" s="14">
        <v>0</v>
      </c>
      <c r="L633" s="12">
        <v>520</v>
      </c>
      <c r="M633" s="13">
        <v>0.6</v>
      </c>
      <c r="N633" s="14">
        <v>312</v>
      </c>
      <c r="O633" s="12">
        <v>560</v>
      </c>
      <c r="P633" s="13">
        <v>0.6</v>
      </c>
      <c r="Q633" s="14">
        <v>336</v>
      </c>
      <c r="R633" s="11" t="s">
        <v>2971</v>
      </c>
      <c r="S633" s="11" t="s">
        <v>2972</v>
      </c>
      <c r="T633" s="11" t="s">
        <v>2961</v>
      </c>
    </row>
    <row r="634" spans="1:20" ht="50.1" hidden="1" customHeight="1">
      <c r="A634" s="10">
        <v>633</v>
      </c>
      <c r="B634" s="11" t="s">
        <v>383</v>
      </c>
      <c r="C634" s="11" t="s">
        <v>384</v>
      </c>
      <c r="D634" s="11" t="s">
        <v>7</v>
      </c>
      <c r="E634" s="11" t="s">
        <v>8</v>
      </c>
      <c r="F634" s="12">
        <v>660</v>
      </c>
      <c r="G634" s="13">
        <v>7.3585606099999996</v>
      </c>
      <c r="H634" s="14">
        <v>4856.6499999999996</v>
      </c>
      <c r="I634" s="12">
        <v>0</v>
      </c>
      <c r="J634" s="13"/>
      <c r="K634" s="14">
        <v>0</v>
      </c>
      <c r="L634" s="12">
        <v>0</v>
      </c>
      <c r="M634" s="13"/>
      <c r="N634" s="14">
        <v>0</v>
      </c>
      <c r="O634" s="12">
        <v>660</v>
      </c>
      <c r="P634" s="13">
        <v>7.3585606099999996</v>
      </c>
      <c r="Q634" s="14">
        <v>4856.6499999999996</v>
      </c>
      <c r="R634" s="11" t="s">
        <v>2990</v>
      </c>
      <c r="S634" s="11" t="s">
        <v>2991</v>
      </c>
      <c r="T634" s="11" t="s">
        <v>2966</v>
      </c>
    </row>
    <row r="635" spans="1:20" ht="50.1" hidden="1" customHeight="1">
      <c r="A635" s="10">
        <v>634</v>
      </c>
      <c r="B635" s="11" t="s">
        <v>385</v>
      </c>
      <c r="C635" s="11" t="s">
        <v>386</v>
      </c>
      <c r="D635" s="11" t="s">
        <v>7</v>
      </c>
      <c r="E635" s="11" t="s">
        <v>8</v>
      </c>
      <c r="F635" s="12">
        <v>560</v>
      </c>
      <c r="G635" s="13">
        <v>7.3353035699999998</v>
      </c>
      <c r="H635" s="14">
        <v>4107.7700000000004</v>
      </c>
      <c r="I635" s="12">
        <v>0</v>
      </c>
      <c r="J635" s="13"/>
      <c r="K635" s="14">
        <v>0</v>
      </c>
      <c r="L635" s="12">
        <v>0</v>
      </c>
      <c r="M635" s="13"/>
      <c r="N635" s="14">
        <v>0</v>
      </c>
      <c r="O635" s="12">
        <v>560</v>
      </c>
      <c r="P635" s="13">
        <v>7.3353035699999998</v>
      </c>
      <c r="Q635" s="14">
        <v>4107.7700000000004</v>
      </c>
      <c r="R635" s="11" t="s">
        <v>2990</v>
      </c>
      <c r="S635" s="11" t="s">
        <v>2991</v>
      </c>
      <c r="T635" s="11" t="s">
        <v>2966</v>
      </c>
    </row>
    <row r="636" spans="1:20" ht="50.1" hidden="1" customHeight="1">
      <c r="A636" s="10">
        <v>635</v>
      </c>
      <c r="B636" s="11" t="s">
        <v>387</v>
      </c>
      <c r="C636" s="11" t="s">
        <v>388</v>
      </c>
      <c r="D636" s="11" t="s">
        <v>17</v>
      </c>
      <c r="E636" s="11" t="s">
        <v>8</v>
      </c>
      <c r="F636" s="12">
        <v>675</v>
      </c>
      <c r="G636" s="13">
        <v>5.2756148100000004</v>
      </c>
      <c r="H636" s="14">
        <v>3561.04</v>
      </c>
      <c r="I636" s="12">
        <v>0</v>
      </c>
      <c r="J636" s="13"/>
      <c r="K636" s="14">
        <v>0</v>
      </c>
      <c r="L636" s="12">
        <v>75</v>
      </c>
      <c r="M636" s="13">
        <v>5.2755999999999998</v>
      </c>
      <c r="N636" s="14">
        <v>395.67</v>
      </c>
      <c r="O636" s="12">
        <v>600</v>
      </c>
      <c r="P636" s="13">
        <v>5.2756166699999998</v>
      </c>
      <c r="Q636" s="14">
        <v>3165.37</v>
      </c>
      <c r="R636" s="11" t="s">
        <v>2971</v>
      </c>
      <c r="S636" s="11" t="s">
        <v>2972</v>
      </c>
      <c r="T636" s="11" t="s">
        <v>2966</v>
      </c>
    </row>
    <row r="637" spans="1:20" ht="50.1" hidden="1" customHeight="1">
      <c r="A637" s="10">
        <v>636</v>
      </c>
      <c r="B637" s="11" t="s">
        <v>391</v>
      </c>
      <c r="C637" s="11" t="s">
        <v>392</v>
      </c>
      <c r="D637" s="11" t="s">
        <v>17</v>
      </c>
      <c r="E637" s="11" t="s">
        <v>8</v>
      </c>
      <c r="F637" s="12">
        <v>77</v>
      </c>
      <c r="G637" s="13">
        <v>4531.0676623400004</v>
      </c>
      <c r="H637" s="14">
        <v>348892.21</v>
      </c>
      <c r="I637" s="12">
        <v>100</v>
      </c>
      <c r="J637" s="13">
        <v>4582</v>
      </c>
      <c r="K637" s="14">
        <v>458200</v>
      </c>
      <c r="L637" s="12">
        <v>39</v>
      </c>
      <c r="M637" s="13">
        <v>4555.2046153800002</v>
      </c>
      <c r="N637" s="14">
        <v>177652.98</v>
      </c>
      <c r="O637" s="12">
        <v>138</v>
      </c>
      <c r="P637" s="13">
        <v>4561.1538405800002</v>
      </c>
      <c r="Q637" s="14">
        <v>629439.23</v>
      </c>
      <c r="R637" s="11" t="s">
        <v>3007</v>
      </c>
      <c r="S637" s="11" t="s">
        <v>3008</v>
      </c>
      <c r="T637" s="11" t="s">
        <v>2966</v>
      </c>
    </row>
    <row r="638" spans="1:20" ht="50.1" hidden="1" customHeight="1">
      <c r="A638" s="10">
        <v>637</v>
      </c>
      <c r="B638" s="11" t="s">
        <v>397</v>
      </c>
      <c r="C638" s="11" t="s">
        <v>398</v>
      </c>
      <c r="D638" s="11" t="s">
        <v>17</v>
      </c>
      <c r="E638" s="11" t="s">
        <v>8</v>
      </c>
      <c r="F638" s="12">
        <v>4</v>
      </c>
      <c r="G638" s="13">
        <v>652</v>
      </c>
      <c r="H638" s="14">
        <v>2608</v>
      </c>
      <c r="I638" s="12">
        <v>0</v>
      </c>
      <c r="J638" s="13"/>
      <c r="K638" s="14">
        <v>0</v>
      </c>
      <c r="L638" s="12">
        <v>0</v>
      </c>
      <c r="M638" s="13"/>
      <c r="N638" s="14">
        <v>0</v>
      </c>
      <c r="O638" s="12">
        <v>4</v>
      </c>
      <c r="P638" s="13">
        <v>652</v>
      </c>
      <c r="Q638" s="14">
        <v>2608</v>
      </c>
      <c r="R638" s="11" t="s">
        <v>2981</v>
      </c>
      <c r="S638" s="11" t="s">
        <v>2982</v>
      </c>
      <c r="T638" s="11" t="s">
        <v>2966</v>
      </c>
    </row>
    <row r="639" spans="1:20" ht="50.1" hidden="1" customHeight="1">
      <c r="A639" s="10">
        <v>638</v>
      </c>
      <c r="B639" s="11" t="s">
        <v>3190</v>
      </c>
      <c r="C639" s="11" t="s">
        <v>3191</v>
      </c>
      <c r="D639" s="11" t="s">
        <v>17</v>
      </c>
      <c r="E639" s="11" t="s">
        <v>8</v>
      </c>
      <c r="F639" s="12">
        <v>300</v>
      </c>
      <c r="G639" s="13">
        <v>6.5</v>
      </c>
      <c r="H639" s="14">
        <v>1950</v>
      </c>
      <c r="I639" s="12">
        <v>0</v>
      </c>
      <c r="J639" s="13"/>
      <c r="K639" s="14">
        <v>0</v>
      </c>
      <c r="L639" s="12">
        <v>0</v>
      </c>
      <c r="M639" s="13"/>
      <c r="N639" s="14">
        <v>0</v>
      </c>
      <c r="O639" s="12">
        <v>300</v>
      </c>
      <c r="P639" s="13">
        <v>6.5</v>
      </c>
      <c r="Q639" s="14">
        <v>1950</v>
      </c>
      <c r="R639" s="11" t="s">
        <v>2971</v>
      </c>
      <c r="S639" s="11" t="s">
        <v>2972</v>
      </c>
      <c r="T639" s="11" t="s">
        <v>2966</v>
      </c>
    </row>
    <row r="640" spans="1:20" ht="50.1" hidden="1" customHeight="1">
      <c r="A640" s="10">
        <v>639</v>
      </c>
      <c r="B640" s="11" t="s">
        <v>405</v>
      </c>
      <c r="C640" s="11" t="s">
        <v>3024</v>
      </c>
      <c r="D640" s="11" t="s">
        <v>17</v>
      </c>
      <c r="E640" s="11" t="s">
        <v>8</v>
      </c>
      <c r="F640" s="12">
        <v>8000</v>
      </c>
      <c r="G640" s="13">
        <v>4</v>
      </c>
      <c r="H640" s="14">
        <v>32000</v>
      </c>
      <c r="I640" s="12">
        <v>0</v>
      </c>
      <c r="J640" s="13"/>
      <c r="K640" s="14">
        <v>0</v>
      </c>
      <c r="L640" s="12">
        <v>0</v>
      </c>
      <c r="M640" s="13"/>
      <c r="N640" s="14">
        <v>0</v>
      </c>
      <c r="O640" s="12">
        <v>8000</v>
      </c>
      <c r="P640" s="13">
        <v>4</v>
      </c>
      <c r="Q640" s="14">
        <v>32000</v>
      </c>
      <c r="R640" s="11" t="s">
        <v>2971</v>
      </c>
      <c r="S640" s="11" t="s">
        <v>2972</v>
      </c>
      <c r="T640" s="11" t="s">
        <v>2966</v>
      </c>
    </row>
    <row r="641" spans="1:20" ht="50.1" hidden="1" customHeight="1">
      <c r="A641" s="10">
        <v>640</v>
      </c>
      <c r="B641" s="11" t="s">
        <v>406</v>
      </c>
      <c r="C641" s="11" t="s">
        <v>407</v>
      </c>
      <c r="D641" s="11" t="s">
        <v>17</v>
      </c>
      <c r="E641" s="11" t="s">
        <v>8</v>
      </c>
      <c r="F641" s="12">
        <v>137</v>
      </c>
      <c r="G641" s="13">
        <v>56</v>
      </c>
      <c r="H641" s="14">
        <v>7672</v>
      </c>
      <c r="I641" s="12">
        <v>200</v>
      </c>
      <c r="J641" s="13">
        <v>56</v>
      </c>
      <c r="K641" s="14">
        <v>11200</v>
      </c>
      <c r="L641" s="12">
        <v>82</v>
      </c>
      <c r="M641" s="13">
        <v>56</v>
      </c>
      <c r="N641" s="14">
        <v>4592</v>
      </c>
      <c r="O641" s="12">
        <v>255</v>
      </c>
      <c r="P641" s="13">
        <v>56</v>
      </c>
      <c r="Q641" s="14">
        <v>14280</v>
      </c>
      <c r="R641" s="11" t="s">
        <v>2971</v>
      </c>
      <c r="S641" s="11" t="s">
        <v>2972</v>
      </c>
      <c r="T641" s="11" t="s">
        <v>2966</v>
      </c>
    </row>
    <row r="642" spans="1:20" ht="50.1" hidden="1" customHeight="1">
      <c r="A642" s="10">
        <v>641</v>
      </c>
      <c r="B642" s="11" t="s">
        <v>412</v>
      </c>
      <c r="C642" s="11" t="s">
        <v>413</v>
      </c>
      <c r="D642" s="11" t="s">
        <v>17</v>
      </c>
      <c r="E642" s="11" t="s">
        <v>8</v>
      </c>
      <c r="F642" s="12">
        <v>250</v>
      </c>
      <c r="G642" s="13">
        <v>28.600014000000002</v>
      </c>
      <c r="H642" s="14">
        <v>7150.0034999999998</v>
      </c>
      <c r="I642" s="12">
        <v>0</v>
      </c>
      <c r="J642" s="13"/>
      <c r="K642" s="14">
        <v>0</v>
      </c>
      <c r="L642" s="12">
        <v>0</v>
      </c>
      <c r="M642" s="13"/>
      <c r="N642" s="14">
        <v>0</v>
      </c>
      <c r="O642" s="12">
        <v>250</v>
      </c>
      <c r="P642" s="13">
        <v>28.600014000000002</v>
      </c>
      <c r="Q642" s="14">
        <v>7150.0034999999998</v>
      </c>
      <c r="R642" s="11" t="s">
        <v>2990</v>
      </c>
      <c r="S642" s="11" t="s">
        <v>2991</v>
      </c>
      <c r="T642" s="11" t="s">
        <v>2966</v>
      </c>
    </row>
    <row r="643" spans="1:20" ht="50.1" hidden="1" customHeight="1">
      <c r="A643" s="10">
        <v>642</v>
      </c>
      <c r="B643" s="11" t="s">
        <v>414</v>
      </c>
      <c r="C643" s="11" t="s">
        <v>415</v>
      </c>
      <c r="D643" s="11" t="s">
        <v>17</v>
      </c>
      <c r="E643" s="11" t="s">
        <v>8</v>
      </c>
      <c r="F643" s="12">
        <v>400</v>
      </c>
      <c r="G643" s="13">
        <v>4.5999999999999996</v>
      </c>
      <c r="H643" s="14">
        <v>1840</v>
      </c>
      <c r="I643" s="12">
        <v>1050</v>
      </c>
      <c r="J643" s="13">
        <v>4.5999999999999996</v>
      </c>
      <c r="K643" s="14">
        <v>4830</v>
      </c>
      <c r="L643" s="12">
        <v>300</v>
      </c>
      <c r="M643" s="13">
        <v>4.5999999999999996</v>
      </c>
      <c r="N643" s="14">
        <v>1380</v>
      </c>
      <c r="O643" s="12">
        <v>1150</v>
      </c>
      <c r="P643" s="13">
        <v>4.5999999999999996</v>
      </c>
      <c r="Q643" s="14">
        <v>5290</v>
      </c>
      <c r="R643" s="11" t="s">
        <v>2971</v>
      </c>
      <c r="S643" s="11" t="s">
        <v>2972</v>
      </c>
      <c r="T643" s="11" t="s">
        <v>2966</v>
      </c>
    </row>
    <row r="644" spans="1:20" ht="50.1" hidden="1" customHeight="1">
      <c r="A644" s="10">
        <v>643</v>
      </c>
      <c r="B644" s="11" t="s">
        <v>416</v>
      </c>
      <c r="C644" s="11" t="s">
        <v>417</v>
      </c>
      <c r="D644" s="11" t="s">
        <v>17</v>
      </c>
      <c r="E644" s="11" t="s">
        <v>8</v>
      </c>
      <c r="F644" s="12">
        <v>1062</v>
      </c>
      <c r="G644" s="13">
        <v>27.499923819999999</v>
      </c>
      <c r="H644" s="14">
        <v>29204.919099999999</v>
      </c>
      <c r="I644" s="12">
        <v>1944</v>
      </c>
      <c r="J644" s="13">
        <v>27.5</v>
      </c>
      <c r="K644" s="14">
        <v>53460</v>
      </c>
      <c r="L644" s="12">
        <v>1986</v>
      </c>
      <c r="M644" s="13">
        <v>27.5</v>
      </c>
      <c r="N644" s="14">
        <v>54615</v>
      </c>
      <c r="O644" s="12">
        <v>1020</v>
      </c>
      <c r="P644" s="13">
        <v>27.49992069</v>
      </c>
      <c r="Q644" s="14">
        <v>28049.919099999999</v>
      </c>
      <c r="R644" s="11" t="s">
        <v>2990</v>
      </c>
      <c r="S644" s="11" t="s">
        <v>2991</v>
      </c>
      <c r="T644" s="11" t="s">
        <v>2961</v>
      </c>
    </row>
    <row r="645" spans="1:20" ht="50.1" hidden="1" customHeight="1">
      <c r="A645" s="10">
        <v>644</v>
      </c>
      <c r="B645" s="11" t="s">
        <v>418</v>
      </c>
      <c r="C645" s="11" t="s">
        <v>419</v>
      </c>
      <c r="D645" s="11" t="s">
        <v>17</v>
      </c>
      <c r="E645" s="11" t="s">
        <v>8</v>
      </c>
      <c r="F645" s="12">
        <v>213</v>
      </c>
      <c r="G645" s="13">
        <v>15.16666667</v>
      </c>
      <c r="H645" s="14">
        <v>3230.5</v>
      </c>
      <c r="I645" s="12">
        <v>0</v>
      </c>
      <c r="J645" s="13"/>
      <c r="K645" s="14">
        <v>0</v>
      </c>
      <c r="L645" s="12">
        <v>0</v>
      </c>
      <c r="M645" s="13"/>
      <c r="N645" s="14">
        <v>0</v>
      </c>
      <c r="O645" s="12">
        <v>213</v>
      </c>
      <c r="P645" s="13">
        <v>15.16666667</v>
      </c>
      <c r="Q645" s="14">
        <v>3230.5</v>
      </c>
      <c r="R645" s="11" t="s">
        <v>2990</v>
      </c>
      <c r="S645" s="11" t="s">
        <v>2991</v>
      </c>
      <c r="T645" s="11" t="s">
        <v>2961</v>
      </c>
    </row>
    <row r="646" spans="1:20" ht="50.1" hidden="1" customHeight="1">
      <c r="A646" s="10">
        <v>645</v>
      </c>
      <c r="B646" s="11" t="s">
        <v>420</v>
      </c>
      <c r="C646" s="11" t="s">
        <v>421</v>
      </c>
      <c r="D646" s="11" t="s">
        <v>17</v>
      </c>
      <c r="E646" s="11" t="s">
        <v>8</v>
      </c>
      <c r="F646" s="12">
        <v>630</v>
      </c>
      <c r="G646" s="13">
        <v>50</v>
      </c>
      <c r="H646" s="14">
        <v>31500</v>
      </c>
      <c r="I646" s="12">
        <v>0</v>
      </c>
      <c r="J646" s="13"/>
      <c r="K646" s="14">
        <v>0</v>
      </c>
      <c r="L646" s="12">
        <v>48</v>
      </c>
      <c r="M646" s="13">
        <v>50</v>
      </c>
      <c r="N646" s="14">
        <v>2400</v>
      </c>
      <c r="O646" s="12">
        <v>582</v>
      </c>
      <c r="P646" s="13">
        <v>50</v>
      </c>
      <c r="Q646" s="14">
        <v>29100</v>
      </c>
      <c r="R646" s="11" t="s">
        <v>2990</v>
      </c>
      <c r="S646" s="11" t="s">
        <v>2991</v>
      </c>
      <c r="T646" s="11" t="s">
        <v>2961</v>
      </c>
    </row>
    <row r="647" spans="1:20" ht="50.1" hidden="1" customHeight="1">
      <c r="A647" s="10">
        <v>646</v>
      </c>
      <c r="B647" s="11" t="s">
        <v>422</v>
      </c>
      <c r="C647" s="11" t="s">
        <v>423</v>
      </c>
      <c r="D647" s="11" t="s">
        <v>17</v>
      </c>
      <c r="E647" s="11" t="s">
        <v>8</v>
      </c>
      <c r="F647" s="12">
        <v>84</v>
      </c>
      <c r="G647" s="13">
        <v>11.50002381</v>
      </c>
      <c r="H647" s="14">
        <v>966.00199999999995</v>
      </c>
      <c r="I647" s="12">
        <v>0</v>
      </c>
      <c r="J647" s="13"/>
      <c r="K647" s="14">
        <v>0</v>
      </c>
      <c r="L647" s="12">
        <v>0</v>
      </c>
      <c r="M647" s="13"/>
      <c r="N647" s="14">
        <v>0</v>
      </c>
      <c r="O647" s="12">
        <v>84</v>
      </c>
      <c r="P647" s="13">
        <v>11.50002381</v>
      </c>
      <c r="Q647" s="14">
        <v>966.00199999999995</v>
      </c>
      <c r="R647" s="11" t="s">
        <v>2971</v>
      </c>
      <c r="S647" s="11" t="s">
        <v>2972</v>
      </c>
      <c r="T647" s="11" t="s">
        <v>2966</v>
      </c>
    </row>
    <row r="648" spans="1:20" ht="50.1" hidden="1" customHeight="1">
      <c r="A648" s="10">
        <v>647</v>
      </c>
      <c r="B648" s="11" t="s">
        <v>424</v>
      </c>
      <c r="C648" s="11" t="s">
        <v>425</v>
      </c>
      <c r="D648" s="11" t="s">
        <v>148</v>
      </c>
      <c r="E648" s="11" t="s">
        <v>8</v>
      </c>
      <c r="F648" s="12">
        <v>600</v>
      </c>
      <c r="G648" s="13">
        <v>45</v>
      </c>
      <c r="H648" s="14">
        <v>27000</v>
      </c>
      <c r="I648" s="12">
        <v>408</v>
      </c>
      <c r="J648" s="13">
        <v>45</v>
      </c>
      <c r="K648" s="14">
        <v>18360</v>
      </c>
      <c r="L648" s="12">
        <v>612</v>
      </c>
      <c r="M648" s="13">
        <v>45</v>
      </c>
      <c r="N648" s="14">
        <v>27540</v>
      </c>
      <c r="O648" s="12">
        <v>396</v>
      </c>
      <c r="P648" s="13">
        <v>45</v>
      </c>
      <c r="Q648" s="14">
        <v>17820</v>
      </c>
      <c r="R648" s="11" t="s">
        <v>2990</v>
      </c>
      <c r="S648" s="11" t="s">
        <v>2991</v>
      </c>
      <c r="T648" s="11" t="s">
        <v>2966</v>
      </c>
    </row>
    <row r="649" spans="1:20" ht="50.1" hidden="1" customHeight="1">
      <c r="A649" s="10">
        <v>648</v>
      </c>
      <c r="B649" s="11" t="s">
        <v>426</v>
      </c>
      <c r="C649" s="11" t="s">
        <v>427</v>
      </c>
      <c r="D649" s="11" t="s">
        <v>148</v>
      </c>
      <c r="E649" s="11" t="s">
        <v>8</v>
      </c>
      <c r="F649" s="12">
        <v>20</v>
      </c>
      <c r="G649" s="13">
        <v>200</v>
      </c>
      <c r="H649" s="14">
        <v>4000</v>
      </c>
      <c r="I649" s="12">
        <v>0</v>
      </c>
      <c r="J649" s="13"/>
      <c r="K649" s="14">
        <v>0</v>
      </c>
      <c r="L649" s="12">
        <v>0</v>
      </c>
      <c r="M649" s="13"/>
      <c r="N649" s="14">
        <v>0</v>
      </c>
      <c r="O649" s="12">
        <v>20</v>
      </c>
      <c r="P649" s="13">
        <v>200</v>
      </c>
      <c r="Q649" s="14">
        <v>4000</v>
      </c>
      <c r="R649" s="11" t="s">
        <v>2990</v>
      </c>
      <c r="S649" s="11" t="s">
        <v>2991</v>
      </c>
      <c r="T649" s="11" t="s">
        <v>2966</v>
      </c>
    </row>
    <row r="650" spans="1:20" ht="50.1" hidden="1" customHeight="1">
      <c r="A650" s="10">
        <v>649</v>
      </c>
      <c r="B650" s="11" t="s">
        <v>3384</v>
      </c>
      <c r="C650" s="11" t="s">
        <v>3385</v>
      </c>
      <c r="D650" s="11" t="s">
        <v>17</v>
      </c>
      <c r="E650" s="11" t="s">
        <v>8</v>
      </c>
      <c r="F650" s="12">
        <v>0</v>
      </c>
      <c r="G650" s="13"/>
      <c r="H650" s="14">
        <v>0</v>
      </c>
      <c r="I650" s="12">
        <v>78</v>
      </c>
      <c r="J650" s="13">
        <v>139.25641026</v>
      </c>
      <c r="K650" s="14">
        <v>10862</v>
      </c>
      <c r="L650" s="12">
        <v>78</v>
      </c>
      <c r="M650" s="13">
        <v>139.25641026</v>
      </c>
      <c r="N650" s="14">
        <v>10862</v>
      </c>
      <c r="O650" s="12">
        <v>0</v>
      </c>
      <c r="P650" s="13"/>
      <c r="Q650" s="14">
        <v>0</v>
      </c>
      <c r="R650" s="11" t="s">
        <v>2981</v>
      </c>
      <c r="S650" s="11" t="s">
        <v>2982</v>
      </c>
      <c r="T650" s="11" t="s">
        <v>2966</v>
      </c>
    </row>
    <row r="651" spans="1:20" ht="50.1" hidden="1" customHeight="1">
      <c r="A651" s="10">
        <v>650</v>
      </c>
      <c r="B651" s="11" t="s">
        <v>428</v>
      </c>
      <c r="C651" s="11" t="s">
        <v>429</v>
      </c>
      <c r="D651" s="11" t="s">
        <v>17</v>
      </c>
      <c r="E651" s="11" t="s">
        <v>8</v>
      </c>
      <c r="F651" s="12">
        <v>411</v>
      </c>
      <c r="G651" s="13">
        <v>466</v>
      </c>
      <c r="H651" s="14">
        <v>191526</v>
      </c>
      <c r="I651" s="12">
        <v>0</v>
      </c>
      <c r="J651" s="13"/>
      <c r="K651" s="14">
        <v>0</v>
      </c>
      <c r="L651" s="12">
        <v>20</v>
      </c>
      <c r="M651" s="13">
        <v>466</v>
      </c>
      <c r="N651" s="14">
        <v>9320</v>
      </c>
      <c r="O651" s="12">
        <v>391</v>
      </c>
      <c r="P651" s="13">
        <v>466</v>
      </c>
      <c r="Q651" s="14">
        <v>182206</v>
      </c>
      <c r="R651" s="11" t="s">
        <v>2981</v>
      </c>
      <c r="S651" s="11" t="s">
        <v>2982</v>
      </c>
      <c r="T651" s="11" t="s">
        <v>2966</v>
      </c>
    </row>
    <row r="652" spans="1:20" ht="50.1" hidden="1" customHeight="1">
      <c r="A652" s="10">
        <v>651</v>
      </c>
      <c r="B652" s="11" t="s">
        <v>430</v>
      </c>
      <c r="C652" s="11" t="s">
        <v>431</v>
      </c>
      <c r="D652" s="11" t="s">
        <v>17</v>
      </c>
      <c r="E652" s="11" t="s">
        <v>8</v>
      </c>
      <c r="F652" s="12">
        <v>900</v>
      </c>
      <c r="G652" s="13">
        <v>4.7081555599999998</v>
      </c>
      <c r="H652" s="14">
        <v>4237.34</v>
      </c>
      <c r="I652" s="12">
        <v>0</v>
      </c>
      <c r="J652" s="13"/>
      <c r="K652" s="14">
        <v>0</v>
      </c>
      <c r="L652" s="12">
        <v>50</v>
      </c>
      <c r="M652" s="13">
        <v>4.7081999999999997</v>
      </c>
      <c r="N652" s="14">
        <v>235.41</v>
      </c>
      <c r="O652" s="12">
        <v>850</v>
      </c>
      <c r="P652" s="13">
        <v>4.7081529399999997</v>
      </c>
      <c r="Q652" s="14">
        <v>4001.93</v>
      </c>
      <c r="R652" s="11" t="s">
        <v>2973</v>
      </c>
      <c r="S652" s="11" t="s">
        <v>2974</v>
      </c>
      <c r="T652" s="11" t="s">
        <v>2966</v>
      </c>
    </row>
    <row r="653" spans="1:20" ht="50.1" hidden="1" customHeight="1">
      <c r="A653" s="10">
        <v>652</v>
      </c>
      <c r="B653" s="11" t="s">
        <v>434</v>
      </c>
      <c r="C653" s="11" t="s">
        <v>435</v>
      </c>
      <c r="D653" s="11" t="s">
        <v>20</v>
      </c>
      <c r="E653" s="11" t="s">
        <v>8</v>
      </c>
      <c r="F653" s="12">
        <v>0</v>
      </c>
      <c r="G653" s="13"/>
      <c r="H653" s="14">
        <v>0</v>
      </c>
      <c r="I653" s="12">
        <v>107.32</v>
      </c>
      <c r="J653" s="13">
        <v>150</v>
      </c>
      <c r="K653" s="14">
        <v>16098</v>
      </c>
      <c r="L653" s="12">
        <v>49.68</v>
      </c>
      <c r="M653" s="13">
        <v>150</v>
      </c>
      <c r="N653" s="14">
        <v>7452</v>
      </c>
      <c r="O653" s="12">
        <v>57.64</v>
      </c>
      <c r="P653" s="13">
        <v>150</v>
      </c>
      <c r="Q653" s="14">
        <v>8646</v>
      </c>
      <c r="R653" s="11" t="s">
        <v>2990</v>
      </c>
      <c r="S653" s="11" t="s">
        <v>2991</v>
      </c>
      <c r="T653" s="11" t="s">
        <v>2966</v>
      </c>
    </row>
    <row r="654" spans="1:20" ht="50.1" hidden="1" customHeight="1">
      <c r="A654" s="10">
        <v>653</v>
      </c>
      <c r="B654" s="11" t="s">
        <v>436</v>
      </c>
      <c r="C654" s="11" t="s">
        <v>437</v>
      </c>
      <c r="D654" s="11" t="s">
        <v>20</v>
      </c>
      <c r="E654" s="11" t="s">
        <v>8</v>
      </c>
      <c r="F654" s="12">
        <v>94.58</v>
      </c>
      <c r="G654" s="13">
        <v>191.37851554</v>
      </c>
      <c r="H654" s="14">
        <v>18100.580000000002</v>
      </c>
      <c r="I654" s="12">
        <v>0</v>
      </c>
      <c r="J654" s="13"/>
      <c r="K654" s="14">
        <v>0</v>
      </c>
      <c r="L654" s="12">
        <v>0</v>
      </c>
      <c r="M654" s="13"/>
      <c r="N654" s="14">
        <v>0</v>
      </c>
      <c r="O654" s="12">
        <v>94.58</v>
      </c>
      <c r="P654" s="13">
        <v>191.37851554</v>
      </c>
      <c r="Q654" s="14">
        <v>18100.580000000002</v>
      </c>
      <c r="R654" s="11" t="s">
        <v>2990</v>
      </c>
      <c r="S654" s="11" t="s">
        <v>2991</v>
      </c>
      <c r="T654" s="11" t="s">
        <v>2961</v>
      </c>
    </row>
    <row r="655" spans="1:20" ht="50.1" hidden="1" customHeight="1">
      <c r="A655" s="10">
        <v>654</v>
      </c>
      <c r="B655" s="11" t="s">
        <v>438</v>
      </c>
      <c r="C655" s="11" t="s">
        <v>439</v>
      </c>
      <c r="D655" s="11" t="s">
        <v>20</v>
      </c>
      <c r="E655" s="11" t="s">
        <v>8</v>
      </c>
      <c r="F655" s="12">
        <v>220.38</v>
      </c>
      <c r="G655" s="13">
        <v>165.19085215999999</v>
      </c>
      <c r="H655" s="14">
        <v>36404.76</v>
      </c>
      <c r="I655" s="12">
        <v>0</v>
      </c>
      <c r="J655" s="13"/>
      <c r="K655" s="14">
        <v>0</v>
      </c>
      <c r="L655" s="12">
        <v>33.1</v>
      </c>
      <c r="M655" s="13">
        <v>165.19093656000001</v>
      </c>
      <c r="N655" s="14">
        <v>5467.82</v>
      </c>
      <c r="O655" s="12">
        <v>187.28</v>
      </c>
      <c r="P655" s="13">
        <v>165.19083724999999</v>
      </c>
      <c r="Q655" s="14">
        <v>30936.94</v>
      </c>
      <c r="R655" s="11" t="s">
        <v>2990</v>
      </c>
      <c r="S655" s="11" t="s">
        <v>2991</v>
      </c>
      <c r="T655" s="11" t="s">
        <v>2961</v>
      </c>
    </row>
    <row r="656" spans="1:20" ht="50.1" hidden="1" customHeight="1">
      <c r="A656" s="10">
        <v>655</v>
      </c>
      <c r="B656" s="11" t="s">
        <v>440</v>
      </c>
      <c r="C656" s="11" t="s">
        <v>441</v>
      </c>
      <c r="D656" s="11" t="s">
        <v>20</v>
      </c>
      <c r="E656" s="11" t="s">
        <v>8</v>
      </c>
      <c r="F656" s="12">
        <v>83.46</v>
      </c>
      <c r="G656" s="13">
        <v>161.05583512999999</v>
      </c>
      <c r="H656" s="14">
        <v>13441.72</v>
      </c>
      <c r="I656" s="12">
        <v>0</v>
      </c>
      <c r="J656" s="13"/>
      <c r="K656" s="14">
        <v>0</v>
      </c>
      <c r="L656" s="12">
        <v>0</v>
      </c>
      <c r="M656" s="13"/>
      <c r="N656" s="14">
        <v>0</v>
      </c>
      <c r="O656" s="12">
        <v>83.46</v>
      </c>
      <c r="P656" s="13">
        <v>161.05583512999999</v>
      </c>
      <c r="Q656" s="14">
        <v>13441.72</v>
      </c>
      <c r="R656" s="11" t="s">
        <v>2990</v>
      </c>
      <c r="S656" s="11" t="s">
        <v>2991</v>
      </c>
      <c r="T656" s="11" t="s">
        <v>2961</v>
      </c>
    </row>
    <row r="657" spans="1:20" ht="50.1" hidden="1" customHeight="1">
      <c r="A657" s="10">
        <v>656</v>
      </c>
      <c r="B657" s="11" t="s">
        <v>442</v>
      </c>
      <c r="C657" s="11" t="s">
        <v>443</v>
      </c>
      <c r="D657" s="11" t="s">
        <v>20</v>
      </c>
      <c r="E657" s="11" t="s">
        <v>8</v>
      </c>
      <c r="F657" s="12">
        <v>110.66</v>
      </c>
      <c r="G657" s="13">
        <v>160.5</v>
      </c>
      <c r="H657" s="14">
        <v>17760.93</v>
      </c>
      <c r="I657" s="12">
        <v>341.2</v>
      </c>
      <c r="J657" s="13">
        <v>170.5</v>
      </c>
      <c r="K657" s="14">
        <v>58174.6</v>
      </c>
      <c r="L657" s="12">
        <v>110.66</v>
      </c>
      <c r="M657" s="13">
        <v>160.5</v>
      </c>
      <c r="N657" s="14">
        <v>17760.93</v>
      </c>
      <c r="O657" s="12">
        <v>341.2</v>
      </c>
      <c r="P657" s="13">
        <v>170.5</v>
      </c>
      <c r="Q657" s="14">
        <v>58174.6</v>
      </c>
      <c r="R657" s="11" t="s">
        <v>2990</v>
      </c>
      <c r="S657" s="11" t="s">
        <v>2991</v>
      </c>
      <c r="T657" s="11" t="s">
        <v>2961</v>
      </c>
    </row>
    <row r="658" spans="1:20" ht="50.1" hidden="1" customHeight="1">
      <c r="A658" s="10">
        <v>657</v>
      </c>
      <c r="B658" s="11" t="s">
        <v>3613</v>
      </c>
      <c r="C658" s="11" t="s">
        <v>3614</v>
      </c>
      <c r="D658" s="11" t="s">
        <v>20</v>
      </c>
      <c r="E658" s="11" t="s">
        <v>8</v>
      </c>
      <c r="F658" s="12">
        <v>0</v>
      </c>
      <c r="G658" s="13"/>
      <c r="H658" s="14">
        <v>0</v>
      </c>
      <c r="I658" s="12">
        <v>477.66</v>
      </c>
      <c r="J658" s="13">
        <v>170.5</v>
      </c>
      <c r="K658" s="14">
        <v>81441.03</v>
      </c>
      <c r="L658" s="12">
        <v>477.66</v>
      </c>
      <c r="M658" s="13">
        <v>170.5</v>
      </c>
      <c r="N658" s="14">
        <v>81441.03</v>
      </c>
      <c r="O658" s="12">
        <v>0</v>
      </c>
      <c r="P658" s="13"/>
      <c r="Q658" s="14">
        <v>0</v>
      </c>
      <c r="R658" s="11" t="s">
        <v>2990</v>
      </c>
      <c r="S658" s="11" t="s">
        <v>2991</v>
      </c>
      <c r="T658" s="11" t="s">
        <v>2961</v>
      </c>
    </row>
    <row r="659" spans="1:20" ht="50.1" hidden="1" customHeight="1">
      <c r="A659" s="10">
        <v>658</v>
      </c>
      <c r="B659" s="11" t="s">
        <v>444</v>
      </c>
      <c r="C659" s="11" t="s">
        <v>445</v>
      </c>
      <c r="D659" s="11" t="s">
        <v>17</v>
      </c>
      <c r="E659" s="11" t="s">
        <v>8</v>
      </c>
      <c r="F659" s="12">
        <v>600</v>
      </c>
      <c r="G659" s="13">
        <v>5.5</v>
      </c>
      <c r="H659" s="14">
        <v>3300</v>
      </c>
      <c r="I659" s="12">
        <v>0</v>
      </c>
      <c r="J659" s="13"/>
      <c r="K659" s="14">
        <v>0</v>
      </c>
      <c r="L659" s="12">
        <v>0</v>
      </c>
      <c r="M659" s="13"/>
      <c r="N659" s="14">
        <v>0</v>
      </c>
      <c r="O659" s="12">
        <v>600</v>
      </c>
      <c r="P659" s="13">
        <v>5.5</v>
      </c>
      <c r="Q659" s="14">
        <v>3300</v>
      </c>
      <c r="R659" s="11" t="s">
        <v>2971</v>
      </c>
      <c r="S659" s="11" t="s">
        <v>2972</v>
      </c>
      <c r="T659" s="11" t="s">
        <v>2966</v>
      </c>
    </row>
    <row r="660" spans="1:20" ht="50.1" hidden="1" customHeight="1">
      <c r="A660" s="10">
        <v>659</v>
      </c>
      <c r="B660" s="11" t="s">
        <v>446</v>
      </c>
      <c r="C660" s="11" t="s">
        <v>447</v>
      </c>
      <c r="D660" s="11" t="s">
        <v>17</v>
      </c>
      <c r="E660" s="11" t="s">
        <v>8</v>
      </c>
      <c r="F660" s="12">
        <v>1465</v>
      </c>
      <c r="G660" s="13">
        <v>5.5</v>
      </c>
      <c r="H660" s="14">
        <v>8057.5</v>
      </c>
      <c r="I660" s="12">
        <v>0</v>
      </c>
      <c r="J660" s="13"/>
      <c r="K660" s="14">
        <v>0</v>
      </c>
      <c r="L660" s="12">
        <v>0</v>
      </c>
      <c r="M660" s="13"/>
      <c r="N660" s="14">
        <v>0</v>
      </c>
      <c r="O660" s="12">
        <v>1465</v>
      </c>
      <c r="P660" s="13">
        <v>5.5</v>
      </c>
      <c r="Q660" s="14">
        <v>8057.5</v>
      </c>
      <c r="R660" s="11" t="s">
        <v>2971</v>
      </c>
      <c r="S660" s="11" t="s">
        <v>2972</v>
      </c>
      <c r="T660" s="11" t="s">
        <v>2966</v>
      </c>
    </row>
    <row r="661" spans="1:20" ht="50.1" hidden="1" customHeight="1">
      <c r="A661" s="10">
        <v>660</v>
      </c>
      <c r="B661" s="11" t="s">
        <v>448</v>
      </c>
      <c r="C661" s="11" t="s">
        <v>449</v>
      </c>
      <c r="D661" s="11" t="s">
        <v>17</v>
      </c>
      <c r="E661" s="11" t="s">
        <v>8</v>
      </c>
      <c r="F661" s="12">
        <v>1475</v>
      </c>
      <c r="G661" s="13">
        <v>12.20006753</v>
      </c>
      <c r="H661" s="14">
        <v>17995.099600000001</v>
      </c>
      <c r="I661" s="12">
        <v>0</v>
      </c>
      <c r="J661" s="13"/>
      <c r="K661" s="14">
        <v>0</v>
      </c>
      <c r="L661" s="12">
        <v>0</v>
      </c>
      <c r="M661" s="13"/>
      <c r="N661" s="14">
        <v>0</v>
      </c>
      <c r="O661" s="12">
        <v>1475</v>
      </c>
      <c r="P661" s="13">
        <v>12.20006753</v>
      </c>
      <c r="Q661" s="14">
        <v>17995.099600000001</v>
      </c>
      <c r="R661" s="11" t="s">
        <v>2971</v>
      </c>
      <c r="S661" s="11" t="s">
        <v>2972</v>
      </c>
      <c r="T661" s="11" t="s">
        <v>2966</v>
      </c>
    </row>
    <row r="662" spans="1:20" ht="50.1" hidden="1" customHeight="1">
      <c r="A662" s="10">
        <v>661</v>
      </c>
      <c r="B662" s="11" t="s">
        <v>450</v>
      </c>
      <c r="C662" s="11" t="s">
        <v>451</v>
      </c>
      <c r="D662" s="11" t="s">
        <v>17</v>
      </c>
      <c r="E662" s="11" t="s">
        <v>8</v>
      </c>
      <c r="F662" s="12">
        <v>125</v>
      </c>
      <c r="G662" s="13">
        <v>8.3377184</v>
      </c>
      <c r="H662" s="14">
        <v>1042.2148</v>
      </c>
      <c r="I662" s="12">
        <v>0</v>
      </c>
      <c r="J662" s="13"/>
      <c r="K662" s="14">
        <v>0</v>
      </c>
      <c r="L662" s="12">
        <v>0</v>
      </c>
      <c r="M662" s="13"/>
      <c r="N662" s="14">
        <v>0</v>
      </c>
      <c r="O662" s="12">
        <v>125</v>
      </c>
      <c r="P662" s="13">
        <v>8.3377184</v>
      </c>
      <c r="Q662" s="14">
        <v>1042.2148</v>
      </c>
      <c r="R662" s="11" t="s">
        <v>2971</v>
      </c>
      <c r="S662" s="11" t="s">
        <v>2972</v>
      </c>
      <c r="T662" s="11" t="s">
        <v>2966</v>
      </c>
    </row>
    <row r="663" spans="1:20" ht="50.1" hidden="1" customHeight="1">
      <c r="A663" s="10">
        <v>662</v>
      </c>
      <c r="B663" s="11" t="s">
        <v>452</v>
      </c>
      <c r="C663" s="11" t="s">
        <v>453</v>
      </c>
      <c r="D663" s="11" t="s">
        <v>17</v>
      </c>
      <c r="E663" s="11" t="s">
        <v>8</v>
      </c>
      <c r="F663" s="12">
        <v>6900</v>
      </c>
      <c r="G663" s="13">
        <v>6.11500938</v>
      </c>
      <c r="H663" s="14">
        <v>42193.564700000003</v>
      </c>
      <c r="I663" s="12">
        <v>0</v>
      </c>
      <c r="J663" s="13"/>
      <c r="K663" s="14">
        <v>0</v>
      </c>
      <c r="L663" s="12">
        <v>0</v>
      </c>
      <c r="M663" s="13"/>
      <c r="N663" s="14">
        <v>0</v>
      </c>
      <c r="O663" s="12">
        <v>6900</v>
      </c>
      <c r="P663" s="13">
        <v>6.11500938</v>
      </c>
      <c r="Q663" s="14">
        <v>42193.564700000003</v>
      </c>
      <c r="R663" s="11" t="s">
        <v>2971</v>
      </c>
      <c r="S663" s="11" t="s">
        <v>2972</v>
      </c>
      <c r="T663" s="11" t="s">
        <v>2966</v>
      </c>
    </row>
    <row r="664" spans="1:20" ht="50.1" hidden="1" customHeight="1">
      <c r="A664" s="10">
        <v>663</v>
      </c>
      <c r="B664" s="11" t="s">
        <v>454</v>
      </c>
      <c r="C664" s="11" t="s">
        <v>455</v>
      </c>
      <c r="D664" s="11" t="s">
        <v>17</v>
      </c>
      <c r="E664" s="11" t="s">
        <v>8</v>
      </c>
      <c r="F664" s="12">
        <v>2000</v>
      </c>
      <c r="G664" s="13">
        <v>5.6689680999999998</v>
      </c>
      <c r="H664" s="14">
        <v>11337.9362</v>
      </c>
      <c r="I664" s="12">
        <v>0</v>
      </c>
      <c r="J664" s="13"/>
      <c r="K664" s="14">
        <v>0</v>
      </c>
      <c r="L664" s="12">
        <v>25</v>
      </c>
      <c r="M664" s="13">
        <v>5.6692</v>
      </c>
      <c r="N664" s="14">
        <v>141.72999999999999</v>
      </c>
      <c r="O664" s="12">
        <v>1975</v>
      </c>
      <c r="P664" s="13">
        <v>5.6689651599999999</v>
      </c>
      <c r="Q664" s="14">
        <v>11196.206200000001</v>
      </c>
      <c r="R664" s="11" t="s">
        <v>2971</v>
      </c>
      <c r="S664" s="11" t="s">
        <v>2972</v>
      </c>
      <c r="T664" s="11" t="s">
        <v>2966</v>
      </c>
    </row>
    <row r="665" spans="1:20" ht="50.1" hidden="1" customHeight="1">
      <c r="A665" s="10">
        <v>664</v>
      </c>
      <c r="B665" s="11" t="s">
        <v>456</v>
      </c>
      <c r="C665" s="11" t="s">
        <v>457</v>
      </c>
      <c r="D665" s="11" t="s">
        <v>17</v>
      </c>
      <c r="E665" s="11" t="s">
        <v>8</v>
      </c>
      <c r="F665" s="12">
        <v>450</v>
      </c>
      <c r="G665" s="13">
        <v>6.0765555600000001</v>
      </c>
      <c r="H665" s="14">
        <v>2734.45</v>
      </c>
      <c r="I665" s="12">
        <v>0</v>
      </c>
      <c r="J665" s="13"/>
      <c r="K665" s="14">
        <v>0</v>
      </c>
      <c r="L665" s="12">
        <v>0</v>
      </c>
      <c r="M665" s="13"/>
      <c r="N665" s="14">
        <v>0</v>
      </c>
      <c r="O665" s="12">
        <v>450</v>
      </c>
      <c r="P665" s="13">
        <v>6.0765555600000001</v>
      </c>
      <c r="Q665" s="14">
        <v>2734.45</v>
      </c>
      <c r="R665" s="11" t="s">
        <v>2971</v>
      </c>
      <c r="S665" s="11" t="s">
        <v>2972</v>
      </c>
      <c r="T665" s="11" t="s">
        <v>2966</v>
      </c>
    </row>
    <row r="666" spans="1:20" ht="50.1" hidden="1" customHeight="1">
      <c r="A666" s="10">
        <v>665</v>
      </c>
      <c r="B666" s="11" t="s">
        <v>458</v>
      </c>
      <c r="C666" s="11" t="s">
        <v>459</v>
      </c>
      <c r="D666" s="11" t="s">
        <v>17</v>
      </c>
      <c r="E666" s="11" t="s">
        <v>8</v>
      </c>
      <c r="F666" s="12">
        <v>1800</v>
      </c>
      <c r="G666" s="13">
        <v>5.5468444400000001</v>
      </c>
      <c r="H666" s="14">
        <v>9984.32</v>
      </c>
      <c r="I666" s="12">
        <v>0</v>
      </c>
      <c r="J666" s="13"/>
      <c r="K666" s="14">
        <v>0</v>
      </c>
      <c r="L666" s="12">
        <v>0</v>
      </c>
      <c r="M666" s="13"/>
      <c r="N666" s="14">
        <v>0</v>
      </c>
      <c r="O666" s="12">
        <v>1800</v>
      </c>
      <c r="P666" s="13">
        <v>5.5468444400000001</v>
      </c>
      <c r="Q666" s="14">
        <v>9984.32</v>
      </c>
      <c r="R666" s="11" t="s">
        <v>2971</v>
      </c>
      <c r="S666" s="11" t="s">
        <v>2972</v>
      </c>
      <c r="T666" s="11" t="s">
        <v>2966</v>
      </c>
    </row>
    <row r="667" spans="1:20" ht="50.1" hidden="1" customHeight="1">
      <c r="A667" s="10">
        <v>666</v>
      </c>
      <c r="B667" s="11" t="s">
        <v>460</v>
      </c>
      <c r="C667" s="11" t="s">
        <v>461</v>
      </c>
      <c r="D667" s="11" t="s">
        <v>17</v>
      </c>
      <c r="E667" s="11" t="s">
        <v>8</v>
      </c>
      <c r="F667" s="12">
        <v>350</v>
      </c>
      <c r="G667" s="13">
        <v>5.9993571399999999</v>
      </c>
      <c r="H667" s="14">
        <v>2099.7750000000001</v>
      </c>
      <c r="I667" s="12">
        <v>0</v>
      </c>
      <c r="J667" s="13"/>
      <c r="K667" s="14">
        <v>0</v>
      </c>
      <c r="L667" s="12">
        <v>0</v>
      </c>
      <c r="M667" s="13"/>
      <c r="N667" s="14">
        <v>0</v>
      </c>
      <c r="O667" s="12">
        <v>350</v>
      </c>
      <c r="P667" s="13">
        <v>5.9993571399999999</v>
      </c>
      <c r="Q667" s="14">
        <v>2099.7750000000001</v>
      </c>
      <c r="R667" s="11" t="s">
        <v>2971</v>
      </c>
      <c r="S667" s="11" t="s">
        <v>2972</v>
      </c>
      <c r="T667" s="11" t="s">
        <v>2966</v>
      </c>
    </row>
    <row r="668" spans="1:20" ht="50.1" hidden="1" customHeight="1">
      <c r="A668" s="10">
        <v>667</v>
      </c>
      <c r="B668" s="11" t="s">
        <v>462</v>
      </c>
      <c r="C668" s="11" t="s">
        <v>463</v>
      </c>
      <c r="D668" s="11" t="s">
        <v>17</v>
      </c>
      <c r="E668" s="11" t="s">
        <v>8</v>
      </c>
      <c r="F668" s="12">
        <v>1000</v>
      </c>
      <c r="G668" s="13">
        <v>7.2527980000000003</v>
      </c>
      <c r="H668" s="14">
        <v>7252.7979999999998</v>
      </c>
      <c r="I668" s="12">
        <v>0</v>
      </c>
      <c r="J668" s="13"/>
      <c r="K668" s="14">
        <v>0</v>
      </c>
      <c r="L668" s="12">
        <v>0</v>
      </c>
      <c r="M668" s="13"/>
      <c r="N668" s="14">
        <v>0</v>
      </c>
      <c r="O668" s="12">
        <v>1000</v>
      </c>
      <c r="P668" s="13">
        <v>7.2527980000000003</v>
      </c>
      <c r="Q668" s="14">
        <v>7252.7979999999998</v>
      </c>
      <c r="R668" s="11" t="s">
        <v>2971</v>
      </c>
      <c r="S668" s="11" t="s">
        <v>2972</v>
      </c>
      <c r="T668" s="11" t="s">
        <v>2966</v>
      </c>
    </row>
    <row r="669" spans="1:20" ht="50.1" hidden="1" customHeight="1">
      <c r="A669" s="10">
        <v>668</v>
      </c>
      <c r="B669" s="11" t="s">
        <v>464</v>
      </c>
      <c r="C669" s="11" t="s">
        <v>465</v>
      </c>
      <c r="D669" s="11" t="s">
        <v>17</v>
      </c>
      <c r="E669" s="11" t="s">
        <v>8</v>
      </c>
      <c r="F669" s="12">
        <v>1150</v>
      </c>
      <c r="G669" s="13">
        <v>7.2502281699999997</v>
      </c>
      <c r="H669" s="14">
        <v>8337.7623999999996</v>
      </c>
      <c r="I669" s="12">
        <v>0</v>
      </c>
      <c r="J669" s="13"/>
      <c r="K669" s="14">
        <v>0</v>
      </c>
      <c r="L669" s="12">
        <v>0</v>
      </c>
      <c r="M669" s="13"/>
      <c r="N669" s="14">
        <v>0</v>
      </c>
      <c r="O669" s="12">
        <v>1150</v>
      </c>
      <c r="P669" s="13">
        <v>7.2502281699999997</v>
      </c>
      <c r="Q669" s="14">
        <v>8337.7623999999996</v>
      </c>
      <c r="R669" s="11" t="s">
        <v>2971</v>
      </c>
      <c r="S669" s="11" t="s">
        <v>2972</v>
      </c>
      <c r="T669" s="11" t="s">
        <v>2966</v>
      </c>
    </row>
    <row r="670" spans="1:20" ht="50.1" hidden="1" customHeight="1">
      <c r="A670" s="10">
        <v>669</v>
      </c>
      <c r="B670" s="11" t="s">
        <v>466</v>
      </c>
      <c r="C670" s="11" t="s">
        <v>467</v>
      </c>
      <c r="D670" s="11" t="s">
        <v>17</v>
      </c>
      <c r="E670" s="11" t="s">
        <v>8</v>
      </c>
      <c r="F670" s="12">
        <v>1450</v>
      </c>
      <c r="G670" s="13">
        <v>6.4386026200000002</v>
      </c>
      <c r="H670" s="14">
        <v>9335.9737999999998</v>
      </c>
      <c r="I670" s="12">
        <v>0</v>
      </c>
      <c r="J670" s="13"/>
      <c r="K670" s="14">
        <v>0</v>
      </c>
      <c r="L670" s="12">
        <v>0</v>
      </c>
      <c r="M670" s="13"/>
      <c r="N670" s="14">
        <v>0</v>
      </c>
      <c r="O670" s="12">
        <v>1450</v>
      </c>
      <c r="P670" s="13">
        <v>6.4386026200000002</v>
      </c>
      <c r="Q670" s="14">
        <v>9335.9737999999998</v>
      </c>
      <c r="R670" s="11" t="s">
        <v>2971</v>
      </c>
      <c r="S670" s="11" t="s">
        <v>2972</v>
      </c>
      <c r="T670" s="11" t="s">
        <v>2966</v>
      </c>
    </row>
    <row r="671" spans="1:20" ht="50.1" hidden="1" customHeight="1">
      <c r="A671" s="10">
        <v>670</v>
      </c>
      <c r="B671" s="11" t="s">
        <v>468</v>
      </c>
      <c r="C671" s="11" t="s">
        <v>469</v>
      </c>
      <c r="D671" s="11" t="s">
        <v>17</v>
      </c>
      <c r="E671" s="11" t="s">
        <v>8</v>
      </c>
      <c r="F671" s="12">
        <v>700</v>
      </c>
      <c r="G671" s="13">
        <v>5.7037494300000002</v>
      </c>
      <c r="H671" s="14">
        <v>3992.6246000000001</v>
      </c>
      <c r="I671" s="12">
        <v>0</v>
      </c>
      <c r="J671" s="13"/>
      <c r="K671" s="14">
        <v>0</v>
      </c>
      <c r="L671" s="12">
        <v>0</v>
      </c>
      <c r="M671" s="13"/>
      <c r="N671" s="14">
        <v>0</v>
      </c>
      <c r="O671" s="12">
        <v>700</v>
      </c>
      <c r="P671" s="13">
        <v>5.7037494300000002</v>
      </c>
      <c r="Q671" s="14">
        <v>3992.6246000000001</v>
      </c>
      <c r="R671" s="11" t="s">
        <v>2971</v>
      </c>
      <c r="S671" s="11" t="s">
        <v>2972</v>
      </c>
      <c r="T671" s="11" t="s">
        <v>2966</v>
      </c>
    </row>
    <row r="672" spans="1:20" ht="50.1" hidden="1" customHeight="1">
      <c r="A672" s="10">
        <v>671</v>
      </c>
      <c r="B672" s="11" t="s">
        <v>2453</v>
      </c>
      <c r="C672" s="11" t="s">
        <v>2454</v>
      </c>
      <c r="D672" s="11" t="s">
        <v>17</v>
      </c>
      <c r="E672" s="11" t="s">
        <v>8</v>
      </c>
      <c r="F672" s="12">
        <v>290</v>
      </c>
      <c r="G672" s="13">
        <v>9</v>
      </c>
      <c r="H672" s="14">
        <v>2610</v>
      </c>
      <c r="I672" s="12">
        <v>0</v>
      </c>
      <c r="J672" s="13"/>
      <c r="K672" s="14">
        <v>0</v>
      </c>
      <c r="L672" s="12">
        <v>0</v>
      </c>
      <c r="M672" s="13"/>
      <c r="N672" s="14">
        <v>0</v>
      </c>
      <c r="O672" s="12">
        <v>290</v>
      </c>
      <c r="P672" s="13">
        <v>9</v>
      </c>
      <c r="Q672" s="14">
        <v>2610</v>
      </c>
      <c r="R672" s="11" t="s">
        <v>2971</v>
      </c>
      <c r="S672" s="11" t="s">
        <v>2972</v>
      </c>
      <c r="T672" s="11" t="s">
        <v>2966</v>
      </c>
    </row>
    <row r="673" spans="1:20" ht="50.1" hidden="1" customHeight="1">
      <c r="A673" s="10">
        <v>672</v>
      </c>
      <c r="B673" s="11" t="s">
        <v>2512</v>
      </c>
      <c r="C673" s="11" t="s">
        <v>2513</v>
      </c>
      <c r="D673" s="11" t="s">
        <v>17</v>
      </c>
      <c r="E673" s="11" t="s">
        <v>8</v>
      </c>
      <c r="F673" s="12">
        <v>2304</v>
      </c>
      <c r="G673" s="13">
        <v>4</v>
      </c>
      <c r="H673" s="14">
        <v>9216</v>
      </c>
      <c r="I673" s="12">
        <v>0</v>
      </c>
      <c r="J673" s="13"/>
      <c r="K673" s="14">
        <v>0</v>
      </c>
      <c r="L673" s="12">
        <v>0</v>
      </c>
      <c r="M673" s="13"/>
      <c r="N673" s="14">
        <v>0</v>
      </c>
      <c r="O673" s="12">
        <v>2304</v>
      </c>
      <c r="P673" s="13">
        <v>4</v>
      </c>
      <c r="Q673" s="14">
        <v>9216</v>
      </c>
      <c r="R673" s="11" t="s">
        <v>2971</v>
      </c>
      <c r="S673" s="11" t="s">
        <v>2972</v>
      </c>
      <c r="T673" s="11" t="s">
        <v>2966</v>
      </c>
    </row>
    <row r="674" spans="1:20" ht="50.1" hidden="1" customHeight="1">
      <c r="A674" s="10">
        <v>673</v>
      </c>
      <c r="B674" s="11" t="s">
        <v>472</v>
      </c>
      <c r="C674" s="11" t="s">
        <v>473</v>
      </c>
      <c r="D674" s="11" t="s">
        <v>116</v>
      </c>
      <c r="E674" s="11" t="s">
        <v>8</v>
      </c>
      <c r="F674" s="12">
        <v>139</v>
      </c>
      <c r="G674" s="13">
        <v>1023.9872482</v>
      </c>
      <c r="H674" s="14">
        <v>142334.22750000001</v>
      </c>
      <c r="I674" s="12">
        <v>0</v>
      </c>
      <c r="J674" s="13"/>
      <c r="K674" s="14">
        <v>0</v>
      </c>
      <c r="L674" s="12">
        <v>35</v>
      </c>
      <c r="M674" s="13">
        <v>1023.98828571</v>
      </c>
      <c r="N674" s="14">
        <v>35839.589999999997</v>
      </c>
      <c r="O674" s="12">
        <v>104</v>
      </c>
      <c r="P674" s="13">
        <v>1023.98689904</v>
      </c>
      <c r="Q674" s="14">
        <v>106494.6375</v>
      </c>
      <c r="R674" s="11" t="s">
        <v>2973</v>
      </c>
      <c r="S674" s="11" t="s">
        <v>2974</v>
      </c>
      <c r="T674" s="11" t="s">
        <v>2966</v>
      </c>
    </row>
    <row r="675" spans="1:20" ht="50.1" hidden="1" customHeight="1">
      <c r="A675" s="10">
        <v>674</v>
      </c>
      <c r="B675" s="11" t="s">
        <v>474</v>
      </c>
      <c r="C675" s="11" t="s">
        <v>475</v>
      </c>
      <c r="D675" s="11" t="s">
        <v>20</v>
      </c>
      <c r="E675" s="11" t="s">
        <v>8</v>
      </c>
      <c r="F675" s="12">
        <v>9887.89</v>
      </c>
      <c r="G675" s="13">
        <v>104.80957807999999</v>
      </c>
      <c r="H675" s="14">
        <v>1036345.579</v>
      </c>
      <c r="I675" s="12">
        <v>10052.700000000001</v>
      </c>
      <c r="J675" s="13">
        <v>105</v>
      </c>
      <c r="K675" s="14">
        <v>1055533.5</v>
      </c>
      <c r="L675" s="12">
        <v>12907.7</v>
      </c>
      <c r="M675" s="13">
        <v>104.87910936999999</v>
      </c>
      <c r="N675" s="14">
        <v>1353748.08</v>
      </c>
      <c r="O675" s="12">
        <v>7032.89</v>
      </c>
      <c r="P675" s="13">
        <v>104.954151</v>
      </c>
      <c r="Q675" s="14">
        <v>738130.99899999995</v>
      </c>
      <c r="R675" s="11" t="s">
        <v>2964</v>
      </c>
      <c r="S675" s="11" t="s">
        <v>2965</v>
      </c>
      <c r="T675" s="11" t="s">
        <v>2966</v>
      </c>
    </row>
    <row r="676" spans="1:20" ht="50.1" hidden="1" customHeight="1">
      <c r="A676" s="10">
        <v>675</v>
      </c>
      <c r="B676" s="11" t="s">
        <v>476</v>
      </c>
      <c r="C676" s="11" t="s">
        <v>477</v>
      </c>
      <c r="D676" s="11" t="s">
        <v>20</v>
      </c>
      <c r="E676" s="11" t="s">
        <v>8</v>
      </c>
      <c r="F676" s="12">
        <v>335.4</v>
      </c>
      <c r="G676" s="13">
        <v>125.55992843999999</v>
      </c>
      <c r="H676" s="14">
        <v>42112.800000000003</v>
      </c>
      <c r="I676" s="12">
        <v>597.6</v>
      </c>
      <c r="J676" s="13">
        <v>105</v>
      </c>
      <c r="K676" s="14">
        <v>62748</v>
      </c>
      <c r="L676" s="12">
        <v>335.4</v>
      </c>
      <c r="M676" s="13">
        <v>112.39099582999999</v>
      </c>
      <c r="N676" s="14">
        <v>37695.94</v>
      </c>
      <c r="O676" s="12">
        <v>597.6</v>
      </c>
      <c r="P676" s="13">
        <v>112.39099732</v>
      </c>
      <c r="Q676" s="14">
        <v>67164.86</v>
      </c>
      <c r="R676" s="11" t="s">
        <v>3005</v>
      </c>
      <c r="S676" s="11" t="s">
        <v>3006</v>
      </c>
      <c r="T676" s="11" t="s">
        <v>2966</v>
      </c>
    </row>
    <row r="677" spans="1:20" ht="50.1" hidden="1" customHeight="1">
      <c r="A677" s="10">
        <v>676</v>
      </c>
      <c r="B677" s="11" t="s">
        <v>3386</v>
      </c>
      <c r="C677" s="11" t="s">
        <v>3387</v>
      </c>
      <c r="D677" s="11" t="s">
        <v>17</v>
      </c>
      <c r="E677" s="11" t="s">
        <v>8</v>
      </c>
      <c r="F677" s="12">
        <v>1055</v>
      </c>
      <c r="G677" s="13">
        <v>0.9</v>
      </c>
      <c r="H677" s="14">
        <v>949.5</v>
      </c>
      <c r="I677" s="12">
        <v>0</v>
      </c>
      <c r="J677" s="13"/>
      <c r="K677" s="14">
        <v>0</v>
      </c>
      <c r="L677" s="12">
        <v>1055</v>
      </c>
      <c r="M677" s="13">
        <v>0.9</v>
      </c>
      <c r="N677" s="14">
        <v>949.5</v>
      </c>
      <c r="O677" s="12">
        <v>0</v>
      </c>
      <c r="P677" s="13"/>
      <c r="Q677" s="14">
        <v>0</v>
      </c>
      <c r="R677" s="11" t="s">
        <v>2971</v>
      </c>
      <c r="S677" s="11" t="s">
        <v>2972</v>
      </c>
      <c r="T677" s="11" t="s">
        <v>2966</v>
      </c>
    </row>
    <row r="678" spans="1:20" ht="50.1" hidden="1" customHeight="1">
      <c r="A678" s="10">
        <v>677</v>
      </c>
      <c r="B678" s="11" t="s">
        <v>480</v>
      </c>
      <c r="C678" s="11" t="s">
        <v>481</v>
      </c>
      <c r="D678" s="11" t="s">
        <v>17</v>
      </c>
      <c r="E678" s="11" t="s">
        <v>8</v>
      </c>
      <c r="F678" s="12">
        <v>367</v>
      </c>
      <c r="G678" s="13">
        <v>124</v>
      </c>
      <c r="H678" s="14">
        <v>45508</v>
      </c>
      <c r="I678" s="12">
        <v>0</v>
      </c>
      <c r="J678" s="13"/>
      <c r="K678" s="14">
        <v>0</v>
      </c>
      <c r="L678" s="12">
        <v>0</v>
      </c>
      <c r="M678" s="13"/>
      <c r="N678" s="14">
        <v>0</v>
      </c>
      <c r="O678" s="12">
        <v>367</v>
      </c>
      <c r="P678" s="13">
        <v>124</v>
      </c>
      <c r="Q678" s="14">
        <v>45508</v>
      </c>
      <c r="R678" s="11" t="s">
        <v>2990</v>
      </c>
      <c r="S678" s="11" t="s">
        <v>2991</v>
      </c>
      <c r="T678" s="11" t="s">
        <v>2961</v>
      </c>
    </row>
    <row r="679" spans="1:20" ht="50.1" hidden="1" customHeight="1">
      <c r="A679" s="10">
        <v>678</v>
      </c>
      <c r="B679" s="11" t="s">
        <v>482</v>
      </c>
      <c r="C679" s="11" t="s">
        <v>483</v>
      </c>
      <c r="D679" s="11" t="s">
        <v>17</v>
      </c>
      <c r="E679" s="11" t="s">
        <v>8</v>
      </c>
      <c r="F679" s="12">
        <v>345</v>
      </c>
      <c r="G679" s="13">
        <v>129.17092754000001</v>
      </c>
      <c r="H679" s="14">
        <v>44563.97</v>
      </c>
      <c r="I679" s="12">
        <v>0</v>
      </c>
      <c r="J679" s="13"/>
      <c r="K679" s="14">
        <v>0</v>
      </c>
      <c r="L679" s="12">
        <v>0</v>
      </c>
      <c r="M679" s="13"/>
      <c r="N679" s="14">
        <v>0</v>
      </c>
      <c r="O679" s="12">
        <v>345</v>
      </c>
      <c r="P679" s="13">
        <v>129.17092754000001</v>
      </c>
      <c r="Q679" s="14">
        <v>44563.97</v>
      </c>
      <c r="R679" s="11" t="s">
        <v>2990</v>
      </c>
      <c r="S679" s="11" t="s">
        <v>2991</v>
      </c>
      <c r="T679" s="11" t="s">
        <v>2961</v>
      </c>
    </row>
    <row r="680" spans="1:20" ht="50.1" hidden="1" customHeight="1">
      <c r="A680" s="10">
        <v>679</v>
      </c>
      <c r="B680" s="11" t="s">
        <v>484</v>
      </c>
      <c r="C680" s="11" t="s">
        <v>485</v>
      </c>
      <c r="D680" s="11" t="s">
        <v>17</v>
      </c>
      <c r="E680" s="11" t="s">
        <v>8</v>
      </c>
      <c r="F680" s="12">
        <v>240</v>
      </c>
      <c r="G680" s="13">
        <v>139.73458332999999</v>
      </c>
      <c r="H680" s="14">
        <v>33536.300000000003</v>
      </c>
      <c r="I680" s="12">
        <v>0</v>
      </c>
      <c r="J680" s="13"/>
      <c r="K680" s="14">
        <v>0</v>
      </c>
      <c r="L680" s="12">
        <v>0</v>
      </c>
      <c r="M680" s="13"/>
      <c r="N680" s="14">
        <v>0</v>
      </c>
      <c r="O680" s="12">
        <v>240</v>
      </c>
      <c r="P680" s="13">
        <v>139.73458332999999</v>
      </c>
      <c r="Q680" s="14">
        <v>33536.300000000003</v>
      </c>
      <c r="R680" s="11" t="s">
        <v>2990</v>
      </c>
      <c r="S680" s="11" t="s">
        <v>2991</v>
      </c>
      <c r="T680" s="11" t="s">
        <v>2961</v>
      </c>
    </row>
    <row r="681" spans="1:20" ht="50.1" hidden="1" customHeight="1">
      <c r="A681" s="10">
        <v>680</v>
      </c>
      <c r="B681" s="11" t="s">
        <v>486</v>
      </c>
      <c r="C681" s="11" t="s">
        <v>487</v>
      </c>
      <c r="D681" s="11" t="s">
        <v>17</v>
      </c>
      <c r="E681" s="11" t="s">
        <v>8</v>
      </c>
      <c r="F681" s="12">
        <v>160</v>
      </c>
      <c r="G681" s="13">
        <v>167</v>
      </c>
      <c r="H681" s="14">
        <v>26720</v>
      </c>
      <c r="I681" s="12">
        <v>0</v>
      </c>
      <c r="J681" s="13"/>
      <c r="K681" s="14">
        <v>0</v>
      </c>
      <c r="L681" s="12">
        <v>0</v>
      </c>
      <c r="M681" s="13"/>
      <c r="N681" s="14">
        <v>0</v>
      </c>
      <c r="O681" s="12">
        <v>160</v>
      </c>
      <c r="P681" s="13">
        <v>167</v>
      </c>
      <c r="Q681" s="14">
        <v>26720</v>
      </c>
      <c r="R681" s="11" t="s">
        <v>2990</v>
      </c>
      <c r="S681" s="11" t="s">
        <v>2991</v>
      </c>
      <c r="T681" s="11" t="s">
        <v>2961</v>
      </c>
    </row>
    <row r="682" spans="1:20" ht="50.1" hidden="1" customHeight="1">
      <c r="A682" s="10">
        <v>681</v>
      </c>
      <c r="B682" s="11" t="s">
        <v>3653</v>
      </c>
      <c r="C682" s="11" t="s">
        <v>3654</v>
      </c>
      <c r="D682" s="11" t="s">
        <v>17</v>
      </c>
      <c r="E682" s="11" t="s">
        <v>8</v>
      </c>
      <c r="F682" s="12">
        <v>0</v>
      </c>
      <c r="G682" s="13"/>
      <c r="H682" s="14">
        <v>0</v>
      </c>
      <c r="I682" s="12">
        <v>250</v>
      </c>
      <c r="J682" s="13">
        <v>11</v>
      </c>
      <c r="K682" s="14">
        <v>2750</v>
      </c>
      <c r="L682" s="12">
        <v>250</v>
      </c>
      <c r="M682" s="13">
        <v>11</v>
      </c>
      <c r="N682" s="14">
        <v>2750</v>
      </c>
      <c r="O682" s="12">
        <v>0</v>
      </c>
      <c r="P682" s="13"/>
      <c r="Q682" s="14">
        <v>0</v>
      </c>
      <c r="R682" s="11" t="s">
        <v>2971</v>
      </c>
      <c r="S682" s="11" t="s">
        <v>2972</v>
      </c>
      <c r="T682" s="11" t="s">
        <v>2966</v>
      </c>
    </row>
    <row r="683" spans="1:20" ht="50.1" hidden="1" customHeight="1">
      <c r="A683" s="10">
        <v>682</v>
      </c>
      <c r="B683" s="11" t="s">
        <v>3388</v>
      </c>
      <c r="C683" s="11" t="s">
        <v>3389</v>
      </c>
      <c r="D683" s="11" t="s">
        <v>17</v>
      </c>
      <c r="E683" s="11" t="s">
        <v>8</v>
      </c>
      <c r="F683" s="12">
        <v>250</v>
      </c>
      <c r="G683" s="13">
        <v>6</v>
      </c>
      <c r="H683" s="14">
        <v>1500</v>
      </c>
      <c r="I683" s="12">
        <v>0</v>
      </c>
      <c r="J683" s="13"/>
      <c r="K683" s="14">
        <v>0</v>
      </c>
      <c r="L683" s="12">
        <v>0</v>
      </c>
      <c r="M683" s="13"/>
      <c r="N683" s="14">
        <v>0</v>
      </c>
      <c r="O683" s="12">
        <v>250</v>
      </c>
      <c r="P683" s="13">
        <v>6</v>
      </c>
      <c r="Q683" s="14">
        <v>1500</v>
      </c>
      <c r="R683" s="11" t="s">
        <v>2971</v>
      </c>
      <c r="S683" s="11" t="s">
        <v>2972</v>
      </c>
      <c r="T683" s="11" t="s">
        <v>2961</v>
      </c>
    </row>
    <row r="684" spans="1:20" ht="50.1" hidden="1" customHeight="1">
      <c r="A684" s="10">
        <v>683</v>
      </c>
      <c r="B684" s="11" t="s">
        <v>3390</v>
      </c>
      <c r="C684" s="11" t="s">
        <v>3391</v>
      </c>
      <c r="D684" s="11" t="s">
        <v>17</v>
      </c>
      <c r="E684" s="11" t="s">
        <v>8</v>
      </c>
      <c r="F684" s="12">
        <v>250</v>
      </c>
      <c r="G684" s="13">
        <v>6</v>
      </c>
      <c r="H684" s="14">
        <v>1500</v>
      </c>
      <c r="I684" s="12">
        <v>0</v>
      </c>
      <c r="J684" s="13"/>
      <c r="K684" s="14">
        <v>0</v>
      </c>
      <c r="L684" s="12">
        <v>20</v>
      </c>
      <c r="M684" s="13">
        <v>6</v>
      </c>
      <c r="N684" s="14">
        <v>120</v>
      </c>
      <c r="O684" s="12">
        <v>230</v>
      </c>
      <c r="P684" s="13">
        <v>6</v>
      </c>
      <c r="Q684" s="14">
        <v>1380</v>
      </c>
      <c r="R684" s="11" t="s">
        <v>2971</v>
      </c>
      <c r="S684" s="11" t="s">
        <v>2972</v>
      </c>
      <c r="T684" s="11" t="s">
        <v>2961</v>
      </c>
    </row>
    <row r="685" spans="1:20" ht="50.1" hidden="1" customHeight="1">
      <c r="A685" s="10">
        <v>684</v>
      </c>
      <c r="B685" s="11" t="s">
        <v>3392</v>
      </c>
      <c r="C685" s="11" t="s">
        <v>3393</v>
      </c>
      <c r="D685" s="11" t="s">
        <v>17</v>
      </c>
      <c r="E685" s="11" t="s">
        <v>8</v>
      </c>
      <c r="F685" s="12">
        <v>1020</v>
      </c>
      <c r="G685" s="13">
        <v>1</v>
      </c>
      <c r="H685" s="14">
        <v>1020</v>
      </c>
      <c r="I685" s="12">
        <v>0</v>
      </c>
      <c r="J685" s="13"/>
      <c r="K685" s="14">
        <v>0</v>
      </c>
      <c r="L685" s="12">
        <v>0</v>
      </c>
      <c r="M685" s="13"/>
      <c r="N685" s="14">
        <v>0</v>
      </c>
      <c r="O685" s="12">
        <v>1020</v>
      </c>
      <c r="P685" s="13">
        <v>1</v>
      </c>
      <c r="Q685" s="14">
        <v>1020</v>
      </c>
      <c r="R685" s="11" t="s">
        <v>2971</v>
      </c>
      <c r="S685" s="11" t="s">
        <v>2972</v>
      </c>
      <c r="T685" s="11" t="s">
        <v>2966</v>
      </c>
    </row>
    <row r="686" spans="1:20" ht="50.1" hidden="1" customHeight="1">
      <c r="A686" s="10">
        <v>685</v>
      </c>
      <c r="B686" s="11" t="s">
        <v>3394</v>
      </c>
      <c r="C686" s="11" t="s">
        <v>3395</v>
      </c>
      <c r="D686" s="11" t="s">
        <v>17</v>
      </c>
      <c r="E686" s="11" t="s">
        <v>8</v>
      </c>
      <c r="F686" s="12">
        <v>250</v>
      </c>
      <c r="G686" s="13">
        <v>6</v>
      </c>
      <c r="H686" s="14">
        <v>1500</v>
      </c>
      <c r="I686" s="12">
        <v>0</v>
      </c>
      <c r="J686" s="13"/>
      <c r="K686" s="14">
        <v>0</v>
      </c>
      <c r="L686" s="12">
        <v>50</v>
      </c>
      <c r="M686" s="13">
        <v>6</v>
      </c>
      <c r="N686" s="14">
        <v>300</v>
      </c>
      <c r="O686" s="12">
        <v>200</v>
      </c>
      <c r="P686" s="13">
        <v>6</v>
      </c>
      <c r="Q686" s="14">
        <v>1200</v>
      </c>
      <c r="R686" s="11" t="s">
        <v>2971</v>
      </c>
      <c r="S686" s="11" t="s">
        <v>2972</v>
      </c>
      <c r="T686" s="11" t="s">
        <v>2961</v>
      </c>
    </row>
    <row r="687" spans="1:20" ht="50.1" hidden="1" customHeight="1">
      <c r="A687" s="10">
        <v>686</v>
      </c>
      <c r="B687" s="11" t="s">
        <v>2455</v>
      </c>
      <c r="C687" s="11" t="s">
        <v>2456</v>
      </c>
      <c r="D687" s="11" t="s">
        <v>17</v>
      </c>
      <c r="E687" s="11" t="s">
        <v>8</v>
      </c>
      <c r="F687" s="12">
        <v>740</v>
      </c>
      <c r="G687" s="13">
        <v>8.75</v>
      </c>
      <c r="H687" s="14">
        <v>6475</v>
      </c>
      <c r="I687" s="12">
        <v>0</v>
      </c>
      <c r="J687" s="13"/>
      <c r="K687" s="14">
        <v>0</v>
      </c>
      <c r="L687" s="12">
        <v>0</v>
      </c>
      <c r="M687" s="13"/>
      <c r="N687" s="14">
        <v>0</v>
      </c>
      <c r="O687" s="12">
        <v>740</v>
      </c>
      <c r="P687" s="13">
        <v>8.75</v>
      </c>
      <c r="Q687" s="14">
        <v>6475</v>
      </c>
      <c r="R687" s="11" t="s">
        <v>2971</v>
      </c>
      <c r="S687" s="11" t="s">
        <v>2972</v>
      </c>
      <c r="T687" s="11" t="s">
        <v>2966</v>
      </c>
    </row>
    <row r="688" spans="1:20" ht="50.1" hidden="1" customHeight="1">
      <c r="A688" s="10">
        <v>687</v>
      </c>
      <c r="B688" s="11" t="s">
        <v>3396</v>
      </c>
      <c r="C688" s="11" t="s">
        <v>3397</v>
      </c>
      <c r="D688" s="11" t="s">
        <v>17</v>
      </c>
      <c r="E688" s="11" t="s">
        <v>8</v>
      </c>
      <c r="F688" s="12">
        <v>250</v>
      </c>
      <c r="G688" s="13">
        <v>6</v>
      </c>
      <c r="H688" s="14">
        <v>1500</v>
      </c>
      <c r="I688" s="12">
        <v>0</v>
      </c>
      <c r="J688" s="13"/>
      <c r="K688" s="14">
        <v>0</v>
      </c>
      <c r="L688" s="12">
        <v>25</v>
      </c>
      <c r="M688" s="13">
        <v>6</v>
      </c>
      <c r="N688" s="14">
        <v>150</v>
      </c>
      <c r="O688" s="12">
        <v>225</v>
      </c>
      <c r="P688" s="13">
        <v>6</v>
      </c>
      <c r="Q688" s="14">
        <v>1350</v>
      </c>
      <c r="R688" s="11" t="s">
        <v>2971</v>
      </c>
      <c r="S688" s="11" t="s">
        <v>2972</v>
      </c>
      <c r="T688" s="11" t="s">
        <v>2961</v>
      </c>
    </row>
    <row r="689" spans="1:20" ht="50.1" hidden="1" customHeight="1">
      <c r="A689" s="10">
        <v>688</v>
      </c>
      <c r="B689" s="11" t="s">
        <v>3655</v>
      </c>
      <c r="C689" s="11" t="s">
        <v>3656</v>
      </c>
      <c r="D689" s="11" t="s">
        <v>17</v>
      </c>
      <c r="E689" s="11" t="s">
        <v>8</v>
      </c>
      <c r="F689" s="12">
        <v>0</v>
      </c>
      <c r="G689" s="13"/>
      <c r="H689" s="14">
        <v>0</v>
      </c>
      <c r="I689" s="12">
        <v>250</v>
      </c>
      <c r="J689" s="13">
        <v>11</v>
      </c>
      <c r="K689" s="14">
        <v>2750</v>
      </c>
      <c r="L689" s="12">
        <v>250</v>
      </c>
      <c r="M689" s="13">
        <v>11</v>
      </c>
      <c r="N689" s="14">
        <v>2750</v>
      </c>
      <c r="O689" s="12">
        <v>0</v>
      </c>
      <c r="P689" s="13"/>
      <c r="Q689" s="14">
        <v>0</v>
      </c>
      <c r="R689" s="11" t="s">
        <v>2971</v>
      </c>
      <c r="S689" s="11" t="s">
        <v>2972</v>
      </c>
      <c r="T689" s="11" t="s">
        <v>2966</v>
      </c>
    </row>
    <row r="690" spans="1:20" ht="50.1" hidden="1" customHeight="1">
      <c r="A690" s="10">
        <v>689</v>
      </c>
      <c r="B690" s="11" t="s">
        <v>3398</v>
      </c>
      <c r="C690" s="11" t="s">
        <v>3399</v>
      </c>
      <c r="D690" s="11" t="s">
        <v>17</v>
      </c>
      <c r="E690" s="11" t="s">
        <v>8</v>
      </c>
      <c r="F690" s="12">
        <v>250</v>
      </c>
      <c r="G690" s="13">
        <v>6</v>
      </c>
      <c r="H690" s="14">
        <v>1500</v>
      </c>
      <c r="I690" s="12">
        <v>0</v>
      </c>
      <c r="J690" s="13"/>
      <c r="K690" s="14">
        <v>0</v>
      </c>
      <c r="L690" s="12">
        <v>0</v>
      </c>
      <c r="M690" s="13"/>
      <c r="N690" s="14">
        <v>0</v>
      </c>
      <c r="O690" s="12">
        <v>250</v>
      </c>
      <c r="P690" s="13">
        <v>6</v>
      </c>
      <c r="Q690" s="14">
        <v>1500</v>
      </c>
      <c r="R690" s="11" t="s">
        <v>2971</v>
      </c>
      <c r="S690" s="11" t="s">
        <v>2972</v>
      </c>
      <c r="T690" s="11" t="s">
        <v>2961</v>
      </c>
    </row>
    <row r="691" spans="1:20" ht="50.1" hidden="1" customHeight="1">
      <c r="A691" s="10">
        <v>690</v>
      </c>
      <c r="B691" s="11" t="s">
        <v>3400</v>
      </c>
      <c r="C691" s="11" t="s">
        <v>3401</v>
      </c>
      <c r="D691" s="11" t="s">
        <v>17</v>
      </c>
      <c r="E691" s="11" t="s">
        <v>8</v>
      </c>
      <c r="F691" s="12">
        <v>3000</v>
      </c>
      <c r="G691" s="13">
        <v>4.5</v>
      </c>
      <c r="H691" s="14">
        <v>13500</v>
      </c>
      <c r="I691" s="12">
        <v>0</v>
      </c>
      <c r="J691" s="13"/>
      <c r="K691" s="14">
        <v>0</v>
      </c>
      <c r="L691" s="12">
        <v>500</v>
      </c>
      <c r="M691" s="13">
        <v>4.5</v>
      </c>
      <c r="N691" s="14">
        <v>2250</v>
      </c>
      <c r="O691" s="12">
        <v>2500</v>
      </c>
      <c r="P691" s="13">
        <v>4.5</v>
      </c>
      <c r="Q691" s="14">
        <v>11250</v>
      </c>
      <c r="R691" s="11" t="s">
        <v>2971</v>
      </c>
      <c r="S691" s="11" t="s">
        <v>2972</v>
      </c>
      <c r="T691" s="11" t="s">
        <v>2966</v>
      </c>
    </row>
    <row r="692" spans="1:20" ht="50.1" hidden="1" customHeight="1">
      <c r="A692" s="10">
        <v>691</v>
      </c>
      <c r="B692" s="11" t="s">
        <v>498</v>
      </c>
      <c r="C692" s="11" t="s">
        <v>499</v>
      </c>
      <c r="D692" s="11" t="s">
        <v>17</v>
      </c>
      <c r="E692" s="11" t="s">
        <v>8</v>
      </c>
      <c r="F692" s="12">
        <v>4000</v>
      </c>
      <c r="G692" s="13">
        <v>2.5</v>
      </c>
      <c r="H692" s="14">
        <v>10000</v>
      </c>
      <c r="I692" s="12">
        <v>0</v>
      </c>
      <c r="J692" s="13"/>
      <c r="K692" s="14">
        <v>0</v>
      </c>
      <c r="L692" s="12">
        <v>0</v>
      </c>
      <c r="M692" s="13"/>
      <c r="N692" s="14">
        <v>0</v>
      </c>
      <c r="O692" s="12">
        <v>4000</v>
      </c>
      <c r="P692" s="13">
        <v>2.5</v>
      </c>
      <c r="Q692" s="14">
        <v>10000</v>
      </c>
      <c r="R692" s="11" t="s">
        <v>2971</v>
      </c>
      <c r="S692" s="11" t="s">
        <v>2972</v>
      </c>
      <c r="T692" s="11" t="s">
        <v>2966</v>
      </c>
    </row>
    <row r="693" spans="1:20" ht="50.1" hidden="1" customHeight="1">
      <c r="A693" s="10">
        <v>692</v>
      </c>
      <c r="B693" s="11" t="s">
        <v>3402</v>
      </c>
      <c r="C693" s="11" t="s">
        <v>3403</v>
      </c>
      <c r="D693" s="11" t="s">
        <v>17</v>
      </c>
      <c r="E693" s="11" t="s">
        <v>8</v>
      </c>
      <c r="F693" s="12">
        <v>750</v>
      </c>
      <c r="G693" s="13">
        <v>15</v>
      </c>
      <c r="H693" s="14">
        <v>11250</v>
      </c>
      <c r="I693" s="12">
        <v>0</v>
      </c>
      <c r="J693" s="13"/>
      <c r="K693" s="14">
        <v>0</v>
      </c>
      <c r="L693" s="12">
        <v>200</v>
      </c>
      <c r="M693" s="13">
        <v>15</v>
      </c>
      <c r="N693" s="14">
        <v>3000</v>
      </c>
      <c r="O693" s="12">
        <v>550</v>
      </c>
      <c r="P693" s="13">
        <v>15</v>
      </c>
      <c r="Q693" s="14">
        <v>8250</v>
      </c>
      <c r="R693" s="11" t="s">
        <v>2971</v>
      </c>
      <c r="S693" s="11" t="s">
        <v>2972</v>
      </c>
      <c r="T693" s="11" t="s">
        <v>2961</v>
      </c>
    </row>
    <row r="694" spans="1:20" ht="50.1" hidden="1" customHeight="1">
      <c r="A694" s="10">
        <v>693</v>
      </c>
      <c r="B694" s="11" t="s">
        <v>3404</v>
      </c>
      <c r="C694" s="11" t="s">
        <v>3405</v>
      </c>
      <c r="D694" s="11" t="s">
        <v>17</v>
      </c>
      <c r="E694" s="11" t="s">
        <v>8</v>
      </c>
      <c r="F694" s="12">
        <v>250</v>
      </c>
      <c r="G694" s="13">
        <v>6</v>
      </c>
      <c r="H694" s="14">
        <v>1500</v>
      </c>
      <c r="I694" s="12">
        <v>0</v>
      </c>
      <c r="J694" s="13"/>
      <c r="K694" s="14">
        <v>0</v>
      </c>
      <c r="L694" s="12">
        <v>50</v>
      </c>
      <c r="M694" s="13">
        <v>6</v>
      </c>
      <c r="N694" s="14">
        <v>300</v>
      </c>
      <c r="O694" s="12">
        <v>200</v>
      </c>
      <c r="P694" s="13">
        <v>6</v>
      </c>
      <c r="Q694" s="14">
        <v>1200</v>
      </c>
      <c r="R694" s="11" t="s">
        <v>2971</v>
      </c>
      <c r="S694" s="11" t="s">
        <v>2972</v>
      </c>
      <c r="T694" s="11" t="s">
        <v>2961</v>
      </c>
    </row>
    <row r="695" spans="1:20" ht="50.1" hidden="1" customHeight="1">
      <c r="A695" s="10">
        <v>694</v>
      </c>
      <c r="B695" s="11" t="s">
        <v>3406</v>
      </c>
      <c r="C695" s="11" t="s">
        <v>3407</v>
      </c>
      <c r="D695" s="11" t="s">
        <v>17</v>
      </c>
      <c r="E695" s="11" t="s">
        <v>8</v>
      </c>
      <c r="F695" s="12">
        <v>876</v>
      </c>
      <c r="G695" s="13">
        <v>4</v>
      </c>
      <c r="H695" s="14">
        <v>3504</v>
      </c>
      <c r="I695" s="12">
        <v>0</v>
      </c>
      <c r="J695" s="13"/>
      <c r="K695" s="14">
        <v>0</v>
      </c>
      <c r="L695" s="12">
        <v>0</v>
      </c>
      <c r="M695" s="13"/>
      <c r="N695" s="14">
        <v>0</v>
      </c>
      <c r="O695" s="12">
        <v>876</v>
      </c>
      <c r="P695" s="13">
        <v>4</v>
      </c>
      <c r="Q695" s="14">
        <v>3504</v>
      </c>
      <c r="R695" s="11" t="s">
        <v>2971</v>
      </c>
      <c r="S695" s="11" t="s">
        <v>2972</v>
      </c>
      <c r="T695" s="11" t="s">
        <v>2966</v>
      </c>
    </row>
    <row r="696" spans="1:20" ht="50.1" hidden="1" customHeight="1">
      <c r="A696" s="10">
        <v>695</v>
      </c>
      <c r="B696" s="11" t="s">
        <v>3408</v>
      </c>
      <c r="C696" s="11" t="s">
        <v>3409</v>
      </c>
      <c r="D696" s="11" t="s">
        <v>17</v>
      </c>
      <c r="E696" s="11" t="s">
        <v>8</v>
      </c>
      <c r="F696" s="12">
        <v>1180</v>
      </c>
      <c r="G696" s="13">
        <v>0.6</v>
      </c>
      <c r="H696" s="14">
        <v>708</v>
      </c>
      <c r="I696" s="12">
        <v>0</v>
      </c>
      <c r="J696" s="13"/>
      <c r="K696" s="14">
        <v>0</v>
      </c>
      <c r="L696" s="12">
        <v>0</v>
      </c>
      <c r="M696" s="13"/>
      <c r="N696" s="14">
        <v>0</v>
      </c>
      <c r="O696" s="12">
        <v>1180</v>
      </c>
      <c r="P696" s="13">
        <v>0.6</v>
      </c>
      <c r="Q696" s="14">
        <v>708</v>
      </c>
      <c r="R696" s="11" t="s">
        <v>2971</v>
      </c>
      <c r="S696" s="11" t="s">
        <v>2972</v>
      </c>
      <c r="T696" s="11" t="s">
        <v>2961</v>
      </c>
    </row>
    <row r="697" spans="1:20" ht="50.1" hidden="1" customHeight="1">
      <c r="A697" s="10">
        <v>696</v>
      </c>
      <c r="B697" s="11" t="s">
        <v>3410</v>
      </c>
      <c r="C697" s="11" t="s">
        <v>3411</v>
      </c>
      <c r="D697" s="11" t="s">
        <v>17</v>
      </c>
      <c r="E697" s="11" t="s">
        <v>8</v>
      </c>
      <c r="F697" s="12">
        <v>1000</v>
      </c>
      <c r="G697" s="13">
        <v>1</v>
      </c>
      <c r="H697" s="14">
        <v>1000</v>
      </c>
      <c r="I697" s="12">
        <v>0</v>
      </c>
      <c r="J697" s="13"/>
      <c r="K697" s="14">
        <v>0</v>
      </c>
      <c r="L697" s="12">
        <v>0</v>
      </c>
      <c r="M697" s="13"/>
      <c r="N697" s="14">
        <v>0</v>
      </c>
      <c r="O697" s="12">
        <v>1000</v>
      </c>
      <c r="P697" s="13">
        <v>1</v>
      </c>
      <c r="Q697" s="14">
        <v>1000</v>
      </c>
      <c r="R697" s="11" t="s">
        <v>2971</v>
      </c>
      <c r="S697" s="11" t="s">
        <v>2972</v>
      </c>
      <c r="T697" s="11" t="s">
        <v>2966</v>
      </c>
    </row>
    <row r="698" spans="1:20" ht="50.1" hidden="1" customHeight="1">
      <c r="A698" s="10">
        <v>697</v>
      </c>
      <c r="B698" s="11" t="s">
        <v>504</v>
      </c>
      <c r="C698" s="11" t="s">
        <v>505</v>
      </c>
      <c r="D698" s="11" t="s">
        <v>17</v>
      </c>
      <c r="E698" s="11" t="s">
        <v>8</v>
      </c>
      <c r="F698" s="12">
        <v>3000</v>
      </c>
      <c r="G698" s="13">
        <v>7.5033766699999997</v>
      </c>
      <c r="H698" s="14">
        <v>22510.13</v>
      </c>
      <c r="I698" s="12">
        <v>0</v>
      </c>
      <c r="J698" s="13"/>
      <c r="K698" s="14">
        <v>0</v>
      </c>
      <c r="L698" s="12">
        <v>0</v>
      </c>
      <c r="M698" s="13"/>
      <c r="N698" s="14">
        <v>0</v>
      </c>
      <c r="O698" s="12">
        <v>3000</v>
      </c>
      <c r="P698" s="13">
        <v>7.5033766699999997</v>
      </c>
      <c r="Q698" s="14">
        <v>22510.13</v>
      </c>
      <c r="R698" s="11" t="s">
        <v>2971</v>
      </c>
      <c r="S698" s="11" t="s">
        <v>2972</v>
      </c>
      <c r="T698" s="11" t="s">
        <v>2966</v>
      </c>
    </row>
    <row r="699" spans="1:20" ht="50.1" hidden="1" customHeight="1">
      <c r="A699" s="10">
        <v>698</v>
      </c>
      <c r="B699" s="11" t="s">
        <v>3657</v>
      </c>
      <c r="C699" s="11" t="s">
        <v>3658</v>
      </c>
      <c r="D699" s="11" t="s">
        <v>17</v>
      </c>
      <c r="E699" s="11" t="s">
        <v>8</v>
      </c>
      <c r="F699" s="12">
        <v>0</v>
      </c>
      <c r="G699" s="13"/>
      <c r="H699" s="14">
        <v>0</v>
      </c>
      <c r="I699" s="12">
        <v>250</v>
      </c>
      <c r="J699" s="13">
        <v>11</v>
      </c>
      <c r="K699" s="14">
        <v>2750</v>
      </c>
      <c r="L699" s="12">
        <v>250</v>
      </c>
      <c r="M699" s="13">
        <v>11</v>
      </c>
      <c r="N699" s="14">
        <v>2750</v>
      </c>
      <c r="O699" s="12">
        <v>0</v>
      </c>
      <c r="P699" s="13"/>
      <c r="Q699" s="14">
        <v>0</v>
      </c>
      <c r="R699" s="11" t="s">
        <v>2971</v>
      </c>
      <c r="S699" s="11" t="s">
        <v>2972</v>
      </c>
      <c r="T699" s="11" t="s">
        <v>2966</v>
      </c>
    </row>
    <row r="700" spans="1:20" ht="50.1" hidden="1" customHeight="1">
      <c r="A700" s="10">
        <v>699</v>
      </c>
      <c r="B700" s="11" t="s">
        <v>3412</v>
      </c>
      <c r="C700" s="11" t="s">
        <v>3413</v>
      </c>
      <c r="D700" s="11" t="s">
        <v>17</v>
      </c>
      <c r="E700" s="11" t="s">
        <v>8</v>
      </c>
      <c r="F700" s="12">
        <v>1090</v>
      </c>
      <c r="G700" s="13">
        <v>0.9</v>
      </c>
      <c r="H700" s="14">
        <v>981</v>
      </c>
      <c r="I700" s="12">
        <v>0</v>
      </c>
      <c r="J700" s="13"/>
      <c r="K700" s="14">
        <v>0</v>
      </c>
      <c r="L700" s="12">
        <v>1090</v>
      </c>
      <c r="M700" s="13">
        <v>0.9</v>
      </c>
      <c r="N700" s="14">
        <v>981</v>
      </c>
      <c r="O700" s="12">
        <v>0</v>
      </c>
      <c r="P700" s="13"/>
      <c r="Q700" s="14">
        <v>0</v>
      </c>
      <c r="R700" s="11" t="s">
        <v>2971</v>
      </c>
      <c r="S700" s="11" t="s">
        <v>2972</v>
      </c>
      <c r="T700" s="11" t="s">
        <v>2966</v>
      </c>
    </row>
    <row r="701" spans="1:20" ht="50.1" hidden="1" customHeight="1">
      <c r="A701" s="10">
        <v>700</v>
      </c>
      <c r="B701" s="11" t="s">
        <v>2291</v>
      </c>
      <c r="C701" s="11" t="s">
        <v>2292</v>
      </c>
      <c r="D701" s="11" t="s">
        <v>17</v>
      </c>
      <c r="E701" s="11" t="s">
        <v>8</v>
      </c>
      <c r="F701" s="12">
        <v>377</v>
      </c>
      <c r="G701" s="13">
        <v>6.5</v>
      </c>
      <c r="H701" s="14">
        <v>2450.5</v>
      </c>
      <c r="I701" s="12">
        <v>0</v>
      </c>
      <c r="J701" s="13"/>
      <c r="K701" s="14">
        <v>0</v>
      </c>
      <c r="L701" s="12">
        <v>0</v>
      </c>
      <c r="M701" s="13"/>
      <c r="N701" s="14">
        <v>0</v>
      </c>
      <c r="O701" s="12">
        <v>377</v>
      </c>
      <c r="P701" s="13">
        <v>6.5</v>
      </c>
      <c r="Q701" s="14">
        <v>2450.5</v>
      </c>
      <c r="R701" s="11" t="s">
        <v>2971</v>
      </c>
      <c r="S701" s="11" t="s">
        <v>2972</v>
      </c>
      <c r="T701" s="11" t="s">
        <v>2966</v>
      </c>
    </row>
    <row r="702" spans="1:20" ht="50.1" hidden="1" customHeight="1">
      <c r="A702" s="10">
        <v>701</v>
      </c>
      <c r="B702" s="11" t="s">
        <v>3288</v>
      </c>
      <c r="C702" s="11" t="s">
        <v>3289</v>
      </c>
      <c r="D702" s="11" t="s">
        <v>7</v>
      </c>
      <c r="E702" s="11" t="s">
        <v>8</v>
      </c>
      <c r="F702" s="12">
        <v>1100</v>
      </c>
      <c r="G702" s="13">
        <v>2.9</v>
      </c>
      <c r="H702" s="14">
        <v>3190</v>
      </c>
      <c r="I702" s="12">
        <v>0</v>
      </c>
      <c r="J702" s="13"/>
      <c r="K702" s="14">
        <v>0</v>
      </c>
      <c r="L702" s="12">
        <v>0</v>
      </c>
      <c r="M702" s="13"/>
      <c r="N702" s="14">
        <v>0</v>
      </c>
      <c r="O702" s="12">
        <v>1100</v>
      </c>
      <c r="P702" s="13">
        <v>2.9</v>
      </c>
      <c r="Q702" s="14">
        <v>3190</v>
      </c>
      <c r="R702" s="11" t="s">
        <v>2971</v>
      </c>
      <c r="S702" s="11" t="s">
        <v>2972</v>
      </c>
      <c r="T702" s="11" t="s">
        <v>2966</v>
      </c>
    </row>
    <row r="703" spans="1:20" ht="50.1" hidden="1" customHeight="1">
      <c r="A703" s="10">
        <v>702</v>
      </c>
      <c r="B703" s="11" t="s">
        <v>3284</v>
      </c>
      <c r="C703" s="11" t="s">
        <v>3285</v>
      </c>
      <c r="D703" s="11" t="s">
        <v>7</v>
      </c>
      <c r="E703" s="11" t="s">
        <v>8</v>
      </c>
      <c r="F703" s="12">
        <v>1200</v>
      </c>
      <c r="G703" s="13">
        <v>2.9</v>
      </c>
      <c r="H703" s="14">
        <v>3480</v>
      </c>
      <c r="I703" s="12">
        <v>0</v>
      </c>
      <c r="J703" s="13"/>
      <c r="K703" s="14">
        <v>0</v>
      </c>
      <c r="L703" s="12">
        <v>0</v>
      </c>
      <c r="M703" s="13"/>
      <c r="N703" s="14">
        <v>0</v>
      </c>
      <c r="O703" s="12">
        <v>1200</v>
      </c>
      <c r="P703" s="13">
        <v>2.9</v>
      </c>
      <c r="Q703" s="14">
        <v>3480</v>
      </c>
      <c r="R703" s="11" t="s">
        <v>2971</v>
      </c>
      <c r="S703" s="11" t="s">
        <v>2972</v>
      </c>
      <c r="T703" s="11" t="s">
        <v>2966</v>
      </c>
    </row>
    <row r="704" spans="1:20" ht="50.1" hidden="1" customHeight="1">
      <c r="A704" s="10">
        <v>703</v>
      </c>
      <c r="B704" s="11" t="s">
        <v>3286</v>
      </c>
      <c r="C704" s="11" t="s">
        <v>3287</v>
      </c>
      <c r="D704" s="11" t="s">
        <v>7</v>
      </c>
      <c r="E704" s="11" t="s">
        <v>8</v>
      </c>
      <c r="F704" s="12">
        <v>400</v>
      </c>
      <c r="G704" s="13">
        <v>2.9</v>
      </c>
      <c r="H704" s="14">
        <v>1160</v>
      </c>
      <c r="I704" s="12">
        <v>0</v>
      </c>
      <c r="J704" s="13"/>
      <c r="K704" s="14">
        <v>0</v>
      </c>
      <c r="L704" s="12">
        <v>0</v>
      </c>
      <c r="M704" s="13"/>
      <c r="N704" s="14">
        <v>0</v>
      </c>
      <c r="O704" s="12">
        <v>400</v>
      </c>
      <c r="P704" s="13">
        <v>2.9</v>
      </c>
      <c r="Q704" s="14">
        <v>1160</v>
      </c>
      <c r="R704" s="11" t="s">
        <v>2971</v>
      </c>
      <c r="S704" s="11" t="s">
        <v>2972</v>
      </c>
      <c r="T704" s="11" t="s">
        <v>2966</v>
      </c>
    </row>
    <row r="705" spans="1:20" ht="50.1" hidden="1" customHeight="1">
      <c r="A705" s="10">
        <v>704</v>
      </c>
      <c r="B705" s="11" t="s">
        <v>3282</v>
      </c>
      <c r="C705" s="11" t="s">
        <v>3283</v>
      </c>
      <c r="D705" s="11" t="s">
        <v>7</v>
      </c>
      <c r="E705" s="11" t="s">
        <v>8</v>
      </c>
      <c r="F705" s="12">
        <v>4100</v>
      </c>
      <c r="G705" s="13">
        <v>2.9</v>
      </c>
      <c r="H705" s="14">
        <v>11890</v>
      </c>
      <c r="I705" s="12">
        <v>0</v>
      </c>
      <c r="J705" s="13"/>
      <c r="K705" s="14">
        <v>0</v>
      </c>
      <c r="L705" s="12">
        <v>0</v>
      </c>
      <c r="M705" s="13"/>
      <c r="N705" s="14">
        <v>0</v>
      </c>
      <c r="O705" s="12">
        <v>4100</v>
      </c>
      <c r="P705" s="13">
        <v>2.9</v>
      </c>
      <c r="Q705" s="14">
        <v>11890</v>
      </c>
      <c r="R705" s="11" t="s">
        <v>2971</v>
      </c>
      <c r="S705" s="11" t="s">
        <v>2972</v>
      </c>
      <c r="T705" s="11" t="s">
        <v>2966</v>
      </c>
    </row>
    <row r="706" spans="1:20" ht="50.1" hidden="1" customHeight="1">
      <c r="A706" s="10">
        <v>705</v>
      </c>
      <c r="B706" s="11" t="s">
        <v>2589</v>
      </c>
      <c r="C706" s="11" t="s">
        <v>2590</v>
      </c>
      <c r="D706" s="11" t="s">
        <v>17</v>
      </c>
      <c r="E706" s="11" t="s">
        <v>8</v>
      </c>
      <c r="F706" s="12">
        <v>20</v>
      </c>
      <c r="G706" s="13">
        <v>73.5</v>
      </c>
      <c r="H706" s="14">
        <v>1470</v>
      </c>
      <c r="I706" s="12">
        <v>0</v>
      </c>
      <c r="J706" s="13"/>
      <c r="K706" s="14">
        <v>0</v>
      </c>
      <c r="L706" s="12">
        <v>0</v>
      </c>
      <c r="M706" s="13"/>
      <c r="N706" s="14">
        <v>0</v>
      </c>
      <c r="O706" s="12">
        <v>20</v>
      </c>
      <c r="P706" s="13">
        <v>73.5</v>
      </c>
      <c r="Q706" s="14">
        <v>1470</v>
      </c>
      <c r="R706" s="11" t="s">
        <v>2981</v>
      </c>
      <c r="S706" s="11" t="s">
        <v>2982</v>
      </c>
      <c r="T706" s="11" t="s">
        <v>2966</v>
      </c>
    </row>
    <row r="707" spans="1:20" ht="50.1" hidden="1" customHeight="1">
      <c r="A707" s="10">
        <v>706</v>
      </c>
      <c r="B707" s="11" t="s">
        <v>2514</v>
      </c>
      <c r="C707" s="11" t="s">
        <v>2515</v>
      </c>
      <c r="D707" s="11" t="s">
        <v>17</v>
      </c>
      <c r="E707" s="11" t="s">
        <v>8</v>
      </c>
      <c r="F707" s="12">
        <v>65</v>
      </c>
      <c r="G707" s="13">
        <v>163.27123076999999</v>
      </c>
      <c r="H707" s="14">
        <v>10612.63</v>
      </c>
      <c r="I707" s="12">
        <v>0</v>
      </c>
      <c r="J707" s="13"/>
      <c r="K707" s="14">
        <v>0</v>
      </c>
      <c r="L707" s="12">
        <v>0</v>
      </c>
      <c r="M707" s="13"/>
      <c r="N707" s="14">
        <v>0</v>
      </c>
      <c r="O707" s="12">
        <v>65</v>
      </c>
      <c r="P707" s="13">
        <v>163.27123076999999</v>
      </c>
      <c r="Q707" s="14">
        <v>10612.63</v>
      </c>
      <c r="R707" s="11" t="s">
        <v>2981</v>
      </c>
      <c r="S707" s="11" t="s">
        <v>2982</v>
      </c>
      <c r="T707" s="11" t="s">
        <v>2966</v>
      </c>
    </row>
    <row r="708" spans="1:20" ht="50.1" hidden="1" customHeight="1">
      <c r="A708" s="10">
        <v>707</v>
      </c>
      <c r="B708" s="11" t="s">
        <v>510</v>
      </c>
      <c r="C708" s="11" t="s">
        <v>511</v>
      </c>
      <c r="D708" s="11" t="s">
        <v>17</v>
      </c>
      <c r="E708" s="11" t="s">
        <v>8</v>
      </c>
      <c r="F708" s="12">
        <v>0</v>
      </c>
      <c r="G708" s="13"/>
      <c r="H708" s="14">
        <v>0</v>
      </c>
      <c r="I708" s="12">
        <v>30</v>
      </c>
      <c r="J708" s="13">
        <v>261.5</v>
      </c>
      <c r="K708" s="14">
        <v>7845</v>
      </c>
      <c r="L708" s="12">
        <v>30</v>
      </c>
      <c r="M708" s="13">
        <v>261.5</v>
      </c>
      <c r="N708" s="14">
        <v>7845</v>
      </c>
      <c r="O708" s="12">
        <v>0</v>
      </c>
      <c r="P708" s="13"/>
      <c r="Q708" s="14">
        <v>0</v>
      </c>
      <c r="R708" s="11" t="s">
        <v>2981</v>
      </c>
      <c r="S708" s="11" t="s">
        <v>2982</v>
      </c>
      <c r="T708" s="11" t="s">
        <v>2966</v>
      </c>
    </row>
    <row r="709" spans="1:20" ht="50.1" hidden="1" customHeight="1">
      <c r="A709" s="10">
        <v>708</v>
      </c>
      <c r="B709" s="11" t="s">
        <v>512</v>
      </c>
      <c r="C709" s="11" t="s">
        <v>513</v>
      </c>
      <c r="D709" s="11" t="s">
        <v>17</v>
      </c>
      <c r="E709" s="11" t="s">
        <v>8</v>
      </c>
      <c r="F709" s="12">
        <v>389</v>
      </c>
      <c r="G709" s="13">
        <v>125.19043702</v>
      </c>
      <c r="H709" s="14">
        <v>48699.08</v>
      </c>
      <c r="I709" s="12">
        <v>1000</v>
      </c>
      <c r="J709" s="13">
        <v>117.98602</v>
      </c>
      <c r="K709" s="14">
        <v>117986.02</v>
      </c>
      <c r="L709" s="12">
        <v>25</v>
      </c>
      <c r="M709" s="13">
        <v>125.1904</v>
      </c>
      <c r="N709" s="14">
        <v>3129.76</v>
      </c>
      <c r="O709" s="12">
        <v>1364</v>
      </c>
      <c r="P709" s="13">
        <v>119.90860704000001</v>
      </c>
      <c r="Q709" s="14">
        <v>163555.34</v>
      </c>
      <c r="R709" s="11" t="s">
        <v>2981</v>
      </c>
      <c r="S709" s="11" t="s">
        <v>2982</v>
      </c>
      <c r="T709" s="11" t="s">
        <v>2966</v>
      </c>
    </row>
    <row r="710" spans="1:20" ht="50.1" hidden="1" customHeight="1">
      <c r="A710" s="10">
        <v>709</v>
      </c>
      <c r="B710" s="11" t="s">
        <v>514</v>
      </c>
      <c r="C710" s="11" t="s">
        <v>515</v>
      </c>
      <c r="D710" s="11" t="s">
        <v>17</v>
      </c>
      <c r="E710" s="11" t="s">
        <v>8</v>
      </c>
      <c r="F710" s="12">
        <v>41</v>
      </c>
      <c r="G710" s="13">
        <v>136.99219511999999</v>
      </c>
      <c r="H710" s="14">
        <v>5616.68</v>
      </c>
      <c r="I710" s="12">
        <v>820</v>
      </c>
      <c r="J710" s="13">
        <v>115.91463415</v>
      </c>
      <c r="K710" s="14">
        <v>95050</v>
      </c>
      <c r="L710" s="12">
        <v>741</v>
      </c>
      <c r="M710" s="13">
        <v>114.79983806</v>
      </c>
      <c r="N710" s="14">
        <v>85066.68</v>
      </c>
      <c r="O710" s="12">
        <v>120</v>
      </c>
      <c r="P710" s="13">
        <v>130</v>
      </c>
      <c r="Q710" s="14">
        <v>15600</v>
      </c>
      <c r="R710" s="11" t="s">
        <v>2981</v>
      </c>
      <c r="S710" s="11" t="s">
        <v>2982</v>
      </c>
      <c r="T710" s="11" t="s">
        <v>2966</v>
      </c>
    </row>
    <row r="711" spans="1:20" ht="50.1" hidden="1" customHeight="1">
      <c r="A711" s="10">
        <v>710</v>
      </c>
      <c r="B711" s="11" t="s">
        <v>3651</v>
      </c>
      <c r="C711" s="11" t="s">
        <v>3652</v>
      </c>
      <c r="D711" s="11" t="s">
        <v>17</v>
      </c>
      <c r="E711" s="11" t="s">
        <v>8</v>
      </c>
      <c r="F711" s="12">
        <v>0</v>
      </c>
      <c r="G711" s="13"/>
      <c r="H711" s="14">
        <v>0</v>
      </c>
      <c r="I711" s="12">
        <v>500</v>
      </c>
      <c r="J711" s="13">
        <v>200.5</v>
      </c>
      <c r="K711" s="14">
        <v>100250</v>
      </c>
      <c r="L711" s="12">
        <v>500</v>
      </c>
      <c r="M711" s="13">
        <v>200.5</v>
      </c>
      <c r="N711" s="14">
        <v>100250</v>
      </c>
      <c r="O711" s="12">
        <v>0</v>
      </c>
      <c r="P711" s="13"/>
      <c r="Q711" s="14">
        <v>0</v>
      </c>
      <c r="R711" s="11" t="s">
        <v>2981</v>
      </c>
      <c r="S711" s="11" t="s">
        <v>2982</v>
      </c>
      <c r="T711" s="11" t="s">
        <v>2966</v>
      </c>
    </row>
    <row r="712" spans="1:20" ht="50.1" hidden="1" customHeight="1">
      <c r="A712" s="10">
        <v>711</v>
      </c>
      <c r="B712" s="11" t="s">
        <v>518</v>
      </c>
      <c r="C712" s="11" t="s">
        <v>519</v>
      </c>
      <c r="D712" s="11" t="s">
        <v>7</v>
      </c>
      <c r="E712" s="11" t="s">
        <v>8</v>
      </c>
      <c r="F712" s="12">
        <v>900</v>
      </c>
      <c r="G712" s="13">
        <v>5.5</v>
      </c>
      <c r="H712" s="14">
        <v>4950</v>
      </c>
      <c r="I712" s="12">
        <v>0</v>
      </c>
      <c r="J712" s="13"/>
      <c r="K712" s="14">
        <v>0</v>
      </c>
      <c r="L712" s="12">
        <v>0</v>
      </c>
      <c r="M712" s="13"/>
      <c r="N712" s="14">
        <v>0</v>
      </c>
      <c r="O712" s="12">
        <v>900</v>
      </c>
      <c r="P712" s="13">
        <v>5.5</v>
      </c>
      <c r="Q712" s="14">
        <v>4950</v>
      </c>
      <c r="R712" s="11" t="s">
        <v>2971</v>
      </c>
      <c r="S712" s="11" t="s">
        <v>2972</v>
      </c>
      <c r="T712" s="11" t="s">
        <v>2966</v>
      </c>
    </row>
    <row r="713" spans="1:20" ht="50.1" hidden="1" customHeight="1">
      <c r="A713" s="10">
        <v>712</v>
      </c>
      <c r="B713" s="11" t="s">
        <v>520</v>
      </c>
      <c r="C713" s="11" t="s">
        <v>521</v>
      </c>
      <c r="D713" s="11" t="s">
        <v>7</v>
      </c>
      <c r="E713" s="11" t="s">
        <v>8</v>
      </c>
      <c r="F713" s="12">
        <v>920</v>
      </c>
      <c r="G713" s="13">
        <v>4.5</v>
      </c>
      <c r="H713" s="14">
        <v>4140</v>
      </c>
      <c r="I713" s="12">
        <v>0</v>
      </c>
      <c r="J713" s="13"/>
      <c r="K713" s="14">
        <v>0</v>
      </c>
      <c r="L713" s="12">
        <v>0</v>
      </c>
      <c r="M713" s="13"/>
      <c r="N713" s="14">
        <v>0</v>
      </c>
      <c r="O713" s="12">
        <v>920</v>
      </c>
      <c r="P713" s="13">
        <v>4.5</v>
      </c>
      <c r="Q713" s="14">
        <v>4140</v>
      </c>
      <c r="R713" s="11" t="s">
        <v>2971</v>
      </c>
      <c r="S713" s="11" t="s">
        <v>2972</v>
      </c>
      <c r="T713" s="11" t="s">
        <v>2966</v>
      </c>
    </row>
    <row r="714" spans="1:20" ht="50.1" hidden="1" customHeight="1">
      <c r="A714" s="10">
        <v>713</v>
      </c>
      <c r="B714" s="11" t="s">
        <v>522</v>
      </c>
      <c r="C714" s="11" t="s">
        <v>523</v>
      </c>
      <c r="D714" s="11" t="s">
        <v>7</v>
      </c>
      <c r="E714" s="11" t="s">
        <v>8</v>
      </c>
      <c r="F714" s="12">
        <v>981</v>
      </c>
      <c r="G714" s="13">
        <v>8</v>
      </c>
      <c r="H714" s="14">
        <v>7848</v>
      </c>
      <c r="I714" s="12">
        <v>0</v>
      </c>
      <c r="J714" s="13"/>
      <c r="K714" s="14">
        <v>0</v>
      </c>
      <c r="L714" s="12">
        <v>0</v>
      </c>
      <c r="M714" s="13"/>
      <c r="N714" s="14">
        <v>0</v>
      </c>
      <c r="O714" s="12">
        <v>981</v>
      </c>
      <c r="P714" s="13">
        <v>8</v>
      </c>
      <c r="Q714" s="14">
        <v>7848</v>
      </c>
      <c r="R714" s="11" t="s">
        <v>2971</v>
      </c>
      <c r="S714" s="11" t="s">
        <v>2972</v>
      </c>
      <c r="T714" s="11" t="s">
        <v>2966</v>
      </c>
    </row>
    <row r="715" spans="1:20" ht="50.1" hidden="1" customHeight="1">
      <c r="A715" s="10">
        <v>714</v>
      </c>
      <c r="B715" s="11" t="s">
        <v>524</v>
      </c>
      <c r="C715" s="11" t="s">
        <v>525</v>
      </c>
      <c r="D715" s="11" t="s">
        <v>7</v>
      </c>
      <c r="E715" s="11" t="s">
        <v>8</v>
      </c>
      <c r="F715" s="12">
        <v>816</v>
      </c>
      <c r="G715" s="13">
        <v>8.6</v>
      </c>
      <c r="H715" s="14">
        <v>7017.6</v>
      </c>
      <c r="I715" s="12">
        <v>0</v>
      </c>
      <c r="J715" s="13"/>
      <c r="K715" s="14">
        <v>0</v>
      </c>
      <c r="L715" s="12">
        <v>0</v>
      </c>
      <c r="M715" s="13"/>
      <c r="N715" s="14">
        <v>0</v>
      </c>
      <c r="O715" s="12">
        <v>816</v>
      </c>
      <c r="P715" s="13">
        <v>8.6</v>
      </c>
      <c r="Q715" s="14">
        <v>7017.6</v>
      </c>
      <c r="R715" s="11" t="s">
        <v>2971</v>
      </c>
      <c r="S715" s="11" t="s">
        <v>2972</v>
      </c>
      <c r="T715" s="11" t="s">
        <v>2966</v>
      </c>
    </row>
    <row r="716" spans="1:20" ht="50.1" hidden="1" customHeight="1">
      <c r="A716" s="10">
        <v>715</v>
      </c>
      <c r="B716" s="11" t="s">
        <v>526</v>
      </c>
      <c r="C716" s="11" t="s">
        <v>527</v>
      </c>
      <c r="D716" s="11" t="s">
        <v>17</v>
      </c>
      <c r="E716" s="11" t="s">
        <v>8</v>
      </c>
      <c r="F716" s="12">
        <v>1040</v>
      </c>
      <c r="G716" s="13">
        <v>1.49995192</v>
      </c>
      <c r="H716" s="14">
        <v>1559.95</v>
      </c>
      <c r="I716" s="12">
        <v>0</v>
      </c>
      <c r="J716" s="13"/>
      <c r="K716" s="14">
        <v>0</v>
      </c>
      <c r="L716" s="12">
        <v>360</v>
      </c>
      <c r="M716" s="13">
        <v>1.49988889</v>
      </c>
      <c r="N716" s="14">
        <v>539.96</v>
      </c>
      <c r="O716" s="12">
        <v>680</v>
      </c>
      <c r="P716" s="13">
        <v>1.4999852899999999</v>
      </c>
      <c r="Q716" s="14">
        <v>1019.99</v>
      </c>
      <c r="R716" s="11" t="s">
        <v>2971</v>
      </c>
      <c r="S716" s="11" t="s">
        <v>2972</v>
      </c>
      <c r="T716" s="11" t="s">
        <v>2966</v>
      </c>
    </row>
    <row r="717" spans="1:20" ht="50.1" hidden="1" customHeight="1">
      <c r="A717" s="10">
        <v>716</v>
      </c>
      <c r="B717" s="11" t="s">
        <v>952</v>
      </c>
      <c r="C717" s="11" t="s">
        <v>953</v>
      </c>
      <c r="D717" s="11" t="s">
        <v>17</v>
      </c>
      <c r="E717" s="11" t="s">
        <v>8</v>
      </c>
      <c r="F717" s="12">
        <v>1157</v>
      </c>
      <c r="G717" s="13">
        <v>1.4940795200000001</v>
      </c>
      <c r="H717" s="14">
        <v>1728.65</v>
      </c>
      <c r="I717" s="12">
        <v>0</v>
      </c>
      <c r="J717" s="13"/>
      <c r="K717" s="14">
        <v>0</v>
      </c>
      <c r="L717" s="12">
        <v>0</v>
      </c>
      <c r="M717" s="13"/>
      <c r="N717" s="14">
        <v>0</v>
      </c>
      <c r="O717" s="12">
        <v>1157</v>
      </c>
      <c r="P717" s="13">
        <v>1.4940795200000001</v>
      </c>
      <c r="Q717" s="14">
        <v>1728.65</v>
      </c>
      <c r="R717" s="11" t="s">
        <v>2971</v>
      </c>
      <c r="S717" s="11" t="s">
        <v>2972</v>
      </c>
      <c r="T717" s="11" t="s">
        <v>2966</v>
      </c>
    </row>
    <row r="718" spans="1:20" ht="50.1" hidden="1" customHeight="1">
      <c r="A718" s="10">
        <v>717</v>
      </c>
      <c r="B718" s="11" t="s">
        <v>954</v>
      </c>
      <c r="C718" s="11" t="s">
        <v>955</v>
      </c>
      <c r="D718" s="11" t="s">
        <v>17</v>
      </c>
      <c r="E718" s="11" t="s">
        <v>8</v>
      </c>
      <c r="F718" s="12">
        <v>1020</v>
      </c>
      <c r="G718" s="13">
        <v>1.5</v>
      </c>
      <c r="H718" s="14">
        <v>1530</v>
      </c>
      <c r="I718" s="12">
        <v>0</v>
      </c>
      <c r="J718" s="13"/>
      <c r="K718" s="14">
        <v>0</v>
      </c>
      <c r="L718" s="12">
        <v>0</v>
      </c>
      <c r="M718" s="13"/>
      <c r="N718" s="14">
        <v>0</v>
      </c>
      <c r="O718" s="12">
        <v>1020</v>
      </c>
      <c r="P718" s="13">
        <v>1.5</v>
      </c>
      <c r="Q718" s="14">
        <v>1530</v>
      </c>
      <c r="R718" s="11" t="s">
        <v>2971</v>
      </c>
      <c r="S718" s="11" t="s">
        <v>2972</v>
      </c>
      <c r="T718" s="11" t="s">
        <v>2966</v>
      </c>
    </row>
    <row r="719" spans="1:20" ht="50.1" hidden="1" customHeight="1">
      <c r="A719" s="10">
        <v>718</v>
      </c>
      <c r="B719" s="11" t="s">
        <v>956</v>
      </c>
      <c r="C719" s="11" t="s">
        <v>957</v>
      </c>
      <c r="D719" s="11" t="s">
        <v>17</v>
      </c>
      <c r="E719" s="11" t="s">
        <v>8</v>
      </c>
      <c r="F719" s="12">
        <v>1165</v>
      </c>
      <c r="G719" s="13">
        <v>1.5</v>
      </c>
      <c r="H719" s="14">
        <v>1747.5</v>
      </c>
      <c r="I719" s="12">
        <v>0</v>
      </c>
      <c r="J719" s="13"/>
      <c r="K719" s="14">
        <v>0</v>
      </c>
      <c r="L719" s="12">
        <v>0</v>
      </c>
      <c r="M719" s="13"/>
      <c r="N719" s="14">
        <v>0</v>
      </c>
      <c r="O719" s="12">
        <v>1165</v>
      </c>
      <c r="P719" s="13">
        <v>1.5</v>
      </c>
      <c r="Q719" s="14">
        <v>1747.5</v>
      </c>
      <c r="R719" s="11" t="s">
        <v>2971</v>
      </c>
      <c r="S719" s="11" t="s">
        <v>2972</v>
      </c>
      <c r="T719" s="11" t="s">
        <v>2966</v>
      </c>
    </row>
    <row r="720" spans="1:20" ht="50.1" hidden="1" customHeight="1">
      <c r="A720" s="10">
        <v>719</v>
      </c>
      <c r="B720" s="11" t="s">
        <v>958</v>
      </c>
      <c r="C720" s="11" t="s">
        <v>959</v>
      </c>
      <c r="D720" s="11" t="s">
        <v>17</v>
      </c>
      <c r="E720" s="11" t="s">
        <v>8</v>
      </c>
      <c r="F720" s="12">
        <v>970</v>
      </c>
      <c r="G720" s="13">
        <v>1.5</v>
      </c>
      <c r="H720" s="14">
        <v>1455</v>
      </c>
      <c r="I720" s="12">
        <v>0</v>
      </c>
      <c r="J720" s="13"/>
      <c r="K720" s="14">
        <v>0</v>
      </c>
      <c r="L720" s="12">
        <v>400</v>
      </c>
      <c r="M720" s="13">
        <v>1.5</v>
      </c>
      <c r="N720" s="14">
        <v>600</v>
      </c>
      <c r="O720" s="12">
        <v>570</v>
      </c>
      <c r="P720" s="13">
        <v>1.5</v>
      </c>
      <c r="Q720" s="14">
        <v>855</v>
      </c>
      <c r="R720" s="11" t="s">
        <v>2971</v>
      </c>
      <c r="S720" s="11" t="s">
        <v>2972</v>
      </c>
      <c r="T720" s="11" t="s">
        <v>2966</v>
      </c>
    </row>
    <row r="721" spans="1:20" ht="50.1" hidden="1" customHeight="1">
      <c r="A721" s="10">
        <v>720</v>
      </c>
      <c r="B721" s="11" t="s">
        <v>960</v>
      </c>
      <c r="C721" s="11" t="s">
        <v>961</v>
      </c>
      <c r="D721" s="11" t="s">
        <v>7</v>
      </c>
      <c r="E721" s="11" t="s">
        <v>8</v>
      </c>
      <c r="F721" s="12">
        <v>360</v>
      </c>
      <c r="G721" s="13">
        <v>6</v>
      </c>
      <c r="H721" s="14">
        <v>2160</v>
      </c>
      <c r="I721" s="12">
        <v>900</v>
      </c>
      <c r="J721" s="13">
        <v>6</v>
      </c>
      <c r="K721" s="14">
        <v>5400</v>
      </c>
      <c r="L721" s="12">
        <v>540</v>
      </c>
      <c r="M721" s="13">
        <v>6</v>
      </c>
      <c r="N721" s="14">
        <v>3240</v>
      </c>
      <c r="O721" s="12">
        <v>720</v>
      </c>
      <c r="P721" s="13">
        <v>6</v>
      </c>
      <c r="Q721" s="14">
        <v>4320</v>
      </c>
      <c r="R721" s="11" t="s">
        <v>2971</v>
      </c>
      <c r="S721" s="11" t="s">
        <v>2972</v>
      </c>
      <c r="T721" s="11" t="s">
        <v>2966</v>
      </c>
    </row>
    <row r="722" spans="1:20" ht="50.1" hidden="1" customHeight="1">
      <c r="A722" s="10">
        <v>721</v>
      </c>
      <c r="B722" s="11" t="s">
        <v>962</v>
      </c>
      <c r="C722" s="11" t="s">
        <v>963</v>
      </c>
      <c r="D722" s="11" t="s">
        <v>17</v>
      </c>
      <c r="E722" s="11" t="s">
        <v>8</v>
      </c>
      <c r="F722" s="12">
        <v>2544</v>
      </c>
      <c r="G722" s="13">
        <v>7.3</v>
      </c>
      <c r="H722" s="14">
        <v>18571.2</v>
      </c>
      <c r="I722" s="12">
        <v>0</v>
      </c>
      <c r="J722" s="13"/>
      <c r="K722" s="14">
        <v>0</v>
      </c>
      <c r="L722" s="12">
        <v>900</v>
      </c>
      <c r="M722" s="13">
        <v>7.3</v>
      </c>
      <c r="N722" s="14">
        <v>6570</v>
      </c>
      <c r="O722" s="12">
        <v>1644</v>
      </c>
      <c r="P722" s="13">
        <v>7.3</v>
      </c>
      <c r="Q722" s="14">
        <v>12001.2</v>
      </c>
      <c r="R722" s="11" t="s">
        <v>2971</v>
      </c>
      <c r="S722" s="11" t="s">
        <v>2972</v>
      </c>
      <c r="T722" s="11" t="s">
        <v>2966</v>
      </c>
    </row>
    <row r="723" spans="1:20" ht="50.1" hidden="1" customHeight="1">
      <c r="A723" s="10">
        <v>722</v>
      </c>
      <c r="B723" s="11" t="s">
        <v>2462</v>
      </c>
      <c r="C723" s="11" t="s">
        <v>2463</v>
      </c>
      <c r="D723" s="11" t="s">
        <v>7</v>
      </c>
      <c r="E723" s="11" t="s">
        <v>8</v>
      </c>
      <c r="F723" s="12">
        <v>5280</v>
      </c>
      <c r="G723" s="13">
        <v>3.5</v>
      </c>
      <c r="H723" s="14">
        <v>18480</v>
      </c>
      <c r="I723" s="12">
        <v>0</v>
      </c>
      <c r="J723" s="13"/>
      <c r="K723" s="14">
        <v>0</v>
      </c>
      <c r="L723" s="12">
        <v>0</v>
      </c>
      <c r="M723" s="13"/>
      <c r="N723" s="14">
        <v>0</v>
      </c>
      <c r="O723" s="12">
        <v>5280</v>
      </c>
      <c r="P723" s="13">
        <v>3.5</v>
      </c>
      <c r="Q723" s="14">
        <v>18480</v>
      </c>
      <c r="R723" s="11" t="s">
        <v>2971</v>
      </c>
      <c r="S723" s="11" t="s">
        <v>2972</v>
      </c>
      <c r="T723" s="11" t="s">
        <v>2966</v>
      </c>
    </row>
    <row r="724" spans="1:20" ht="50.1" hidden="1" customHeight="1">
      <c r="A724" s="10">
        <v>723</v>
      </c>
      <c r="B724" s="11" t="s">
        <v>2516</v>
      </c>
      <c r="C724" s="11" t="s">
        <v>2517</v>
      </c>
      <c r="D724" s="11" t="s">
        <v>17</v>
      </c>
      <c r="E724" s="11" t="s">
        <v>8</v>
      </c>
      <c r="F724" s="12">
        <v>119</v>
      </c>
      <c r="G724" s="13">
        <v>453.56815125999998</v>
      </c>
      <c r="H724" s="14">
        <v>53974.61</v>
      </c>
      <c r="I724" s="12">
        <v>0</v>
      </c>
      <c r="J724" s="13"/>
      <c r="K724" s="14">
        <v>0</v>
      </c>
      <c r="L724" s="12">
        <v>0</v>
      </c>
      <c r="M724" s="13"/>
      <c r="N724" s="14">
        <v>0</v>
      </c>
      <c r="O724" s="12">
        <v>119</v>
      </c>
      <c r="P724" s="13">
        <v>453.56815125999998</v>
      </c>
      <c r="Q724" s="14">
        <v>53974.61</v>
      </c>
      <c r="R724" s="11" t="s">
        <v>2981</v>
      </c>
      <c r="S724" s="11" t="s">
        <v>2982</v>
      </c>
      <c r="T724" s="11" t="s">
        <v>2966</v>
      </c>
    </row>
    <row r="725" spans="1:20" ht="50.1" hidden="1" customHeight="1">
      <c r="A725" s="10">
        <v>724</v>
      </c>
      <c r="B725" s="11" t="s">
        <v>2518</v>
      </c>
      <c r="C725" s="11" t="s">
        <v>2519</v>
      </c>
      <c r="D725" s="11" t="s">
        <v>17</v>
      </c>
      <c r="E725" s="11" t="s">
        <v>8</v>
      </c>
      <c r="F725" s="12">
        <v>210</v>
      </c>
      <c r="G725" s="13">
        <v>340</v>
      </c>
      <c r="H725" s="14">
        <v>71400</v>
      </c>
      <c r="I725" s="12">
        <v>0</v>
      </c>
      <c r="J725" s="13"/>
      <c r="K725" s="14">
        <v>0</v>
      </c>
      <c r="L725" s="12">
        <v>0</v>
      </c>
      <c r="M725" s="13"/>
      <c r="N725" s="14">
        <v>0</v>
      </c>
      <c r="O725" s="12">
        <v>210</v>
      </c>
      <c r="P725" s="13">
        <v>340</v>
      </c>
      <c r="Q725" s="14">
        <v>71400</v>
      </c>
      <c r="R725" s="11" t="s">
        <v>2981</v>
      </c>
      <c r="S725" s="11" t="s">
        <v>2982</v>
      </c>
      <c r="T725" s="11" t="s">
        <v>2966</v>
      </c>
    </row>
    <row r="726" spans="1:20" ht="50.1" hidden="1" customHeight="1">
      <c r="A726" s="10">
        <v>725</v>
      </c>
      <c r="B726" s="11" t="s">
        <v>2377</v>
      </c>
      <c r="C726" s="11" t="s">
        <v>2378</v>
      </c>
      <c r="D726" s="11" t="s">
        <v>17</v>
      </c>
      <c r="E726" s="11" t="s">
        <v>8</v>
      </c>
      <c r="F726" s="12">
        <v>131</v>
      </c>
      <c r="G726" s="13">
        <v>5.25</v>
      </c>
      <c r="H726" s="14">
        <v>687.75</v>
      </c>
      <c r="I726" s="12">
        <v>0</v>
      </c>
      <c r="J726" s="13"/>
      <c r="K726" s="14">
        <v>0</v>
      </c>
      <c r="L726" s="12">
        <v>0</v>
      </c>
      <c r="M726" s="13"/>
      <c r="N726" s="14">
        <v>0</v>
      </c>
      <c r="O726" s="12">
        <v>131</v>
      </c>
      <c r="P726" s="13">
        <v>5.25</v>
      </c>
      <c r="Q726" s="14">
        <v>687.75</v>
      </c>
      <c r="R726" s="11" t="s">
        <v>2971</v>
      </c>
      <c r="S726" s="11" t="s">
        <v>2972</v>
      </c>
      <c r="T726" s="11" t="s">
        <v>2966</v>
      </c>
    </row>
    <row r="727" spans="1:20" ht="50.1" hidden="1" customHeight="1">
      <c r="A727" s="10">
        <v>726</v>
      </c>
      <c r="B727" s="11" t="s">
        <v>2062</v>
      </c>
      <c r="C727" s="11" t="s">
        <v>2063</v>
      </c>
      <c r="D727" s="11" t="s">
        <v>17</v>
      </c>
      <c r="E727" s="11" t="s">
        <v>8</v>
      </c>
      <c r="F727" s="12">
        <v>75</v>
      </c>
      <c r="G727" s="13">
        <v>74</v>
      </c>
      <c r="H727" s="14">
        <v>5550</v>
      </c>
      <c r="I727" s="12">
        <v>247</v>
      </c>
      <c r="J727" s="13">
        <v>74</v>
      </c>
      <c r="K727" s="14">
        <v>18278</v>
      </c>
      <c r="L727" s="12">
        <v>0</v>
      </c>
      <c r="M727" s="13"/>
      <c r="N727" s="14">
        <v>0</v>
      </c>
      <c r="O727" s="12">
        <v>322</v>
      </c>
      <c r="P727" s="13">
        <v>74</v>
      </c>
      <c r="Q727" s="14">
        <v>23828</v>
      </c>
      <c r="R727" s="11" t="s">
        <v>2990</v>
      </c>
      <c r="S727" s="11" t="s">
        <v>2991</v>
      </c>
      <c r="T727" s="11" t="s">
        <v>2966</v>
      </c>
    </row>
    <row r="728" spans="1:20" ht="50.1" hidden="1" customHeight="1">
      <c r="A728" s="10">
        <v>727</v>
      </c>
      <c r="B728" s="11" t="s">
        <v>2064</v>
      </c>
      <c r="C728" s="11" t="s">
        <v>2065</v>
      </c>
      <c r="D728" s="11" t="s">
        <v>17</v>
      </c>
      <c r="E728" s="11" t="s">
        <v>8</v>
      </c>
      <c r="F728" s="12">
        <v>290</v>
      </c>
      <c r="G728" s="13">
        <v>1.25</v>
      </c>
      <c r="H728" s="14">
        <v>362.5</v>
      </c>
      <c r="I728" s="12">
        <v>504</v>
      </c>
      <c r="J728" s="13">
        <v>4.8</v>
      </c>
      <c r="K728" s="14">
        <v>2419.1999999999998</v>
      </c>
      <c r="L728" s="12">
        <v>0</v>
      </c>
      <c r="M728" s="13"/>
      <c r="N728" s="14">
        <v>0</v>
      </c>
      <c r="O728" s="12">
        <v>794</v>
      </c>
      <c r="P728" s="13">
        <v>3.5034005000000001</v>
      </c>
      <c r="Q728" s="14">
        <v>2781.7</v>
      </c>
      <c r="R728" s="11" t="s">
        <v>2971</v>
      </c>
      <c r="S728" s="11" t="s">
        <v>2972</v>
      </c>
      <c r="T728" s="11" t="s">
        <v>2966</v>
      </c>
    </row>
    <row r="729" spans="1:20" ht="50.1" hidden="1" customHeight="1">
      <c r="A729" s="10">
        <v>728</v>
      </c>
      <c r="B729" s="11" t="s">
        <v>2066</v>
      </c>
      <c r="C729" s="11" t="s">
        <v>2067</v>
      </c>
      <c r="D729" s="11" t="s">
        <v>17</v>
      </c>
      <c r="E729" s="11" t="s">
        <v>8</v>
      </c>
      <c r="F729" s="12">
        <v>1820</v>
      </c>
      <c r="G729" s="13">
        <v>2.1838461499999999</v>
      </c>
      <c r="H729" s="14">
        <v>3974.6</v>
      </c>
      <c r="I729" s="12">
        <v>0</v>
      </c>
      <c r="J729" s="13"/>
      <c r="K729" s="14">
        <v>0</v>
      </c>
      <c r="L729" s="12">
        <v>0</v>
      </c>
      <c r="M729" s="13"/>
      <c r="N729" s="14">
        <v>0</v>
      </c>
      <c r="O729" s="12">
        <v>1820</v>
      </c>
      <c r="P729" s="13">
        <v>2.1838461499999999</v>
      </c>
      <c r="Q729" s="14">
        <v>3974.6</v>
      </c>
      <c r="R729" s="11" t="s">
        <v>2971</v>
      </c>
      <c r="S729" s="11" t="s">
        <v>2972</v>
      </c>
      <c r="T729" s="11" t="s">
        <v>2966</v>
      </c>
    </row>
    <row r="730" spans="1:20" ht="50.1" hidden="1" customHeight="1">
      <c r="A730" s="10">
        <v>729</v>
      </c>
      <c r="B730" s="11" t="s">
        <v>2175</v>
      </c>
      <c r="C730" s="11" t="s">
        <v>2176</v>
      </c>
      <c r="D730" s="11" t="s">
        <v>17</v>
      </c>
      <c r="E730" s="11" t="s">
        <v>8</v>
      </c>
      <c r="F730" s="12">
        <v>300</v>
      </c>
      <c r="G730" s="13">
        <v>22.18183333</v>
      </c>
      <c r="H730" s="14">
        <v>6654.55</v>
      </c>
      <c r="I730" s="12">
        <v>0</v>
      </c>
      <c r="J730" s="13"/>
      <c r="K730" s="14">
        <v>0</v>
      </c>
      <c r="L730" s="12">
        <v>0</v>
      </c>
      <c r="M730" s="13"/>
      <c r="N730" s="14">
        <v>0</v>
      </c>
      <c r="O730" s="12">
        <v>300</v>
      </c>
      <c r="P730" s="13">
        <v>22.18183333</v>
      </c>
      <c r="Q730" s="14">
        <v>6654.55</v>
      </c>
      <c r="R730" s="11" t="s">
        <v>2971</v>
      </c>
      <c r="S730" s="11" t="s">
        <v>2972</v>
      </c>
      <c r="T730" s="11" t="s">
        <v>2966</v>
      </c>
    </row>
    <row r="731" spans="1:20" ht="50.1" hidden="1" customHeight="1">
      <c r="A731" s="10">
        <v>730</v>
      </c>
      <c r="B731" s="11" t="s">
        <v>2068</v>
      </c>
      <c r="C731" s="11" t="s">
        <v>2069</v>
      </c>
      <c r="D731" s="11" t="s">
        <v>17</v>
      </c>
      <c r="E731" s="11" t="s">
        <v>8</v>
      </c>
      <c r="F731" s="12">
        <v>1193</v>
      </c>
      <c r="G731" s="13">
        <v>1.25</v>
      </c>
      <c r="H731" s="14">
        <v>1491.25</v>
      </c>
      <c r="I731" s="12">
        <v>0</v>
      </c>
      <c r="J731" s="13"/>
      <c r="K731" s="14">
        <v>0</v>
      </c>
      <c r="L731" s="12">
        <v>0</v>
      </c>
      <c r="M731" s="13"/>
      <c r="N731" s="14">
        <v>0</v>
      </c>
      <c r="O731" s="12">
        <v>1193</v>
      </c>
      <c r="P731" s="13">
        <v>1.25</v>
      </c>
      <c r="Q731" s="14">
        <v>1491.25</v>
      </c>
      <c r="R731" s="11" t="s">
        <v>2971</v>
      </c>
      <c r="S731" s="11" t="s">
        <v>2972</v>
      </c>
      <c r="T731" s="11" t="s">
        <v>2966</v>
      </c>
    </row>
    <row r="732" spans="1:20" ht="50.1" hidden="1" customHeight="1">
      <c r="A732" s="10">
        <v>731</v>
      </c>
      <c r="B732" s="11" t="s">
        <v>2070</v>
      </c>
      <c r="C732" s="11" t="s">
        <v>2071</v>
      </c>
      <c r="D732" s="11" t="s">
        <v>17</v>
      </c>
      <c r="E732" s="11" t="s">
        <v>8</v>
      </c>
      <c r="F732" s="12">
        <v>1000</v>
      </c>
      <c r="G732" s="13">
        <v>1.96421</v>
      </c>
      <c r="H732" s="14">
        <v>1964.21</v>
      </c>
      <c r="I732" s="12">
        <v>0</v>
      </c>
      <c r="J732" s="13"/>
      <c r="K732" s="14">
        <v>0</v>
      </c>
      <c r="L732" s="12">
        <v>100</v>
      </c>
      <c r="M732" s="13">
        <v>1.9641999999999999</v>
      </c>
      <c r="N732" s="14">
        <v>196.42</v>
      </c>
      <c r="O732" s="12">
        <v>900</v>
      </c>
      <c r="P732" s="13">
        <v>1.9642111099999999</v>
      </c>
      <c r="Q732" s="14">
        <v>1767.79</v>
      </c>
      <c r="R732" s="11" t="s">
        <v>2971</v>
      </c>
      <c r="S732" s="11" t="s">
        <v>2972</v>
      </c>
      <c r="T732" s="11" t="s">
        <v>2966</v>
      </c>
    </row>
    <row r="733" spans="1:20" ht="50.1" hidden="1" customHeight="1">
      <c r="A733" s="10">
        <v>732</v>
      </c>
      <c r="B733" s="11" t="s">
        <v>2072</v>
      </c>
      <c r="C733" s="11" t="s">
        <v>2073</v>
      </c>
      <c r="D733" s="11" t="s">
        <v>7</v>
      </c>
      <c r="E733" s="11" t="s">
        <v>8</v>
      </c>
      <c r="F733" s="12">
        <v>7600</v>
      </c>
      <c r="G733" s="13">
        <v>5.9844644699999998</v>
      </c>
      <c r="H733" s="14">
        <v>45481.93</v>
      </c>
      <c r="I733" s="12">
        <v>0</v>
      </c>
      <c r="J733" s="13"/>
      <c r="K733" s="14">
        <v>0</v>
      </c>
      <c r="L733" s="12">
        <v>400</v>
      </c>
      <c r="M733" s="13">
        <v>5.9844999999999997</v>
      </c>
      <c r="N733" s="14">
        <v>2393.8000000000002</v>
      </c>
      <c r="O733" s="12">
        <v>7200</v>
      </c>
      <c r="P733" s="13">
        <v>5.9844625000000002</v>
      </c>
      <c r="Q733" s="14">
        <v>43088.13</v>
      </c>
      <c r="R733" s="11" t="s">
        <v>2971</v>
      </c>
      <c r="S733" s="11" t="s">
        <v>2972</v>
      </c>
      <c r="T733" s="11" t="s">
        <v>2966</v>
      </c>
    </row>
    <row r="734" spans="1:20" ht="50.1" hidden="1" customHeight="1">
      <c r="A734" s="10">
        <v>733</v>
      </c>
      <c r="B734" s="11" t="s">
        <v>2297</v>
      </c>
      <c r="C734" s="11" t="s">
        <v>2298</v>
      </c>
      <c r="D734" s="11" t="s">
        <v>7</v>
      </c>
      <c r="E734" s="11" t="s">
        <v>8</v>
      </c>
      <c r="F734" s="12">
        <v>2800</v>
      </c>
      <c r="G734" s="13">
        <v>5.9642214300000003</v>
      </c>
      <c r="H734" s="14">
        <v>16699.82</v>
      </c>
      <c r="I734" s="12">
        <v>0</v>
      </c>
      <c r="J734" s="13"/>
      <c r="K734" s="14">
        <v>0</v>
      </c>
      <c r="L734" s="12">
        <v>400</v>
      </c>
      <c r="M734" s="13">
        <v>5.9641999999999999</v>
      </c>
      <c r="N734" s="14">
        <v>2385.6799999999998</v>
      </c>
      <c r="O734" s="12">
        <v>2400</v>
      </c>
      <c r="P734" s="13">
        <v>5.9642249999999999</v>
      </c>
      <c r="Q734" s="14">
        <v>14314.14</v>
      </c>
      <c r="R734" s="11" t="s">
        <v>2971</v>
      </c>
      <c r="S734" s="11" t="s">
        <v>2972</v>
      </c>
      <c r="T734" s="11" t="s">
        <v>2966</v>
      </c>
    </row>
    <row r="735" spans="1:20" ht="50.1" hidden="1" customHeight="1">
      <c r="A735" s="10">
        <v>734</v>
      </c>
      <c r="B735" s="11" t="s">
        <v>2074</v>
      </c>
      <c r="C735" s="11" t="s">
        <v>2075</v>
      </c>
      <c r="D735" s="11" t="s">
        <v>7</v>
      </c>
      <c r="E735" s="11" t="s">
        <v>8</v>
      </c>
      <c r="F735" s="12">
        <v>3100</v>
      </c>
      <c r="G735" s="13">
        <v>5.9060354799999999</v>
      </c>
      <c r="H735" s="14">
        <v>18308.71</v>
      </c>
      <c r="I735" s="12">
        <v>0</v>
      </c>
      <c r="J735" s="13"/>
      <c r="K735" s="14">
        <v>0</v>
      </c>
      <c r="L735" s="12">
        <v>400</v>
      </c>
      <c r="M735" s="13">
        <v>5.9061000000000003</v>
      </c>
      <c r="N735" s="14">
        <v>2362.44</v>
      </c>
      <c r="O735" s="12">
        <v>2700</v>
      </c>
      <c r="P735" s="13">
        <v>5.9060259300000002</v>
      </c>
      <c r="Q735" s="14">
        <v>15946.27</v>
      </c>
      <c r="R735" s="11" t="s">
        <v>2971</v>
      </c>
      <c r="S735" s="11" t="s">
        <v>2972</v>
      </c>
      <c r="T735" s="11" t="s">
        <v>2966</v>
      </c>
    </row>
    <row r="736" spans="1:20" ht="50.1" hidden="1" customHeight="1">
      <c r="A736" s="10">
        <v>735</v>
      </c>
      <c r="B736" s="11" t="s">
        <v>2076</v>
      </c>
      <c r="C736" s="11" t="s">
        <v>2077</v>
      </c>
      <c r="D736" s="11" t="s">
        <v>7</v>
      </c>
      <c r="E736" s="11" t="s">
        <v>8</v>
      </c>
      <c r="F736" s="12">
        <v>1800</v>
      </c>
      <c r="G736" s="13">
        <v>5.9248944400000001</v>
      </c>
      <c r="H736" s="14">
        <v>10664.81</v>
      </c>
      <c r="I736" s="12">
        <v>1600</v>
      </c>
      <c r="J736" s="13">
        <v>6</v>
      </c>
      <c r="K736" s="14">
        <v>9600</v>
      </c>
      <c r="L736" s="12">
        <v>400</v>
      </c>
      <c r="M736" s="13">
        <v>5.9602000000000004</v>
      </c>
      <c r="N736" s="14">
        <v>2384.08</v>
      </c>
      <c r="O736" s="12">
        <v>3000</v>
      </c>
      <c r="P736" s="13">
        <v>5.96024333</v>
      </c>
      <c r="Q736" s="14">
        <v>17880.73</v>
      </c>
      <c r="R736" s="11" t="s">
        <v>2971</v>
      </c>
      <c r="S736" s="11" t="s">
        <v>2972</v>
      </c>
      <c r="T736" s="11" t="s">
        <v>2966</v>
      </c>
    </row>
    <row r="737" spans="1:20" ht="50.1" hidden="1" customHeight="1">
      <c r="A737" s="10">
        <v>736</v>
      </c>
      <c r="B737" s="11" t="s">
        <v>2299</v>
      </c>
      <c r="C737" s="11" t="s">
        <v>2300</v>
      </c>
      <c r="D737" s="11" t="s">
        <v>7</v>
      </c>
      <c r="E737" s="11" t="s">
        <v>8</v>
      </c>
      <c r="F737" s="12">
        <v>2400</v>
      </c>
      <c r="G737" s="13">
        <v>6</v>
      </c>
      <c r="H737" s="14">
        <v>14400</v>
      </c>
      <c r="I737" s="12">
        <v>0</v>
      </c>
      <c r="J737" s="13"/>
      <c r="K737" s="14">
        <v>0</v>
      </c>
      <c r="L737" s="12">
        <v>1600</v>
      </c>
      <c r="M737" s="13">
        <v>6</v>
      </c>
      <c r="N737" s="14">
        <v>9600</v>
      </c>
      <c r="O737" s="12">
        <v>800</v>
      </c>
      <c r="P737" s="13">
        <v>6</v>
      </c>
      <c r="Q737" s="14">
        <v>4800</v>
      </c>
      <c r="R737" s="11" t="s">
        <v>2971</v>
      </c>
      <c r="S737" s="11" t="s">
        <v>2972</v>
      </c>
      <c r="T737" s="11" t="s">
        <v>2966</v>
      </c>
    </row>
    <row r="738" spans="1:20" ht="50.1" hidden="1" customHeight="1">
      <c r="A738" s="10">
        <v>737</v>
      </c>
      <c r="B738" s="11" t="s">
        <v>2379</v>
      </c>
      <c r="C738" s="11" t="s">
        <v>2380</v>
      </c>
      <c r="D738" s="11" t="s">
        <v>17</v>
      </c>
      <c r="E738" s="11" t="s">
        <v>8</v>
      </c>
      <c r="F738" s="12">
        <v>75</v>
      </c>
      <c r="G738" s="13">
        <v>5.25</v>
      </c>
      <c r="H738" s="14">
        <v>393.75</v>
      </c>
      <c r="I738" s="12">
        <v>0</v>
      </c>
      <c r="J738" s="13"/>
      <c r="K738" s="14">
        <v>0</v>
      </c>
      <c r="L738" s="12">
        <v>0</v>
      </c>
      <c r="M738" s="13"/>
      <c r="N738" s="14">
        <v>0</v>
      </c>
      <c r="O738" s="12">
        <v>75</v>
      </c>
      <c r="P738" s="13">
        <v>5.25</v>
      </c>
      <c r="Q738" s="14">
        <v>393.75</v>
      </c>
      <c r="R738" s="11" t="s">
        <v>2971</v>
      </c>
      <c r="S738" s="11" t="s">
        <v>2972</v>
      </c>
      <c r="T738" s="11" t="s">
        <v>2966</v>
      </c>
    </row>
    <row r="739" spans="1:20" ht="50.1" hidden="1" customHeight="1">
      <c r="A739" s="10">
        <v>738</v>
      </c>
      <c r="B739" s="11" t="s">
        <v>2078</v>
      </c>
      <c r="C739" s="11" t="s">
        <v>2079</v>
      </c>
      <c r="D739" s="11" t="s">
        <v>17</v>
      </c>
      <c r="E739" s="11" t="s">
        <v>8</v>
      </c>
      <c r="F739" s="12">
        <v>55</v>
      </c>
      <c r="G739" s="13">
        <v>8</v>
      </c>
      <c r="H739" s="14">
        <v>440</v>
      </c>
      <c r="I739" s="12">
        <v>0</v>
      </c>
      <c r="J739" s="13"/>
      <c r="K739" s="14">
        <v>0</v>
      </c>
      <c r="L739" s="12">
        <v>0</v>
      </c>
      <c r="M739" s="13"/>
      <c r="N739" s="14">
        <v>0</v>
      </c>
      <c r="O739" s="12">
        <v>55</v>
      </c>
      <c r="P739" s="13">
        <v>8</v>
      </c>
      <c r="Q739" s="14">
        <v>440</v>
      </c>
      <c r="R739" s="11" t="s">
        <v>2971</v>
      </c>
      <c r="S739" s="11" t="s">
        <v>2972</v>
      </c>
      <c r="T739" s="11" t="s">
        <v>2966</v>
      </c>
    </row>
    <row r="740" spans="1:20" ht="50.1" hidden="1" customHeight="1">
      <c r="A740" s="10">
        <v>739</v>
      </c>
      <c r="B740" s="11" t="s">
        <v>2381</v>
      </c>
      <c r="C740" s="11" t="s">
        <v>2382</v>
      </c>
      <c r="D740" s="11" t="s">
        <v>17</v>
      </c>
      <c r="E740" s="11" t="s">
        <v>8</v>
      </c>
      <c r="F740" s="12">
        <v>133</v>
      </c>
      <c r="G740" s="13">
        <v>5.25</v>
      </c>
      <c r="H740" s="14">
        <v>698.25</v>
      </c>
      <c r="I740" s="12">
        <v>0</v>
      </c>
      <c r="J740" s="13"/>
      <c r="K740" s="14">
        <v>0</v>
      </c>
      <c r="L740" s="12">
        <v>0</v>
      </c>
      <c r="M740" s="13"/>
      <c r="N740" s="14">
        <v>0</v>
      </c>
      <c r="O740" s="12">
        <v>133</v>
      </c>
      <c r="P740" s="13">
        <v>5.25</v>
      </c>
      <c r="Q740" s="14">
        <v>698.25</v>
      </c>
      <c r="R740" s="11" t="s">
        <v>2971</v>
      </c>
      <c r="S740" s="11" t="s">
        <v>2972</v>
      </c>
      <c r="T740" s="11" t="s">
        <v>2966</v>
      </c>
    </row>
    <row r="741" spans="1:20" ht="50.1" hidden="1" customHeight="1">
      <c r="A741" s="10">
        <v>740</v>
      </c>
      <c r="B741" s="11" t="s">
        <v>2177</v>
      </c>
      <c r="C741" s="11" t="s">
        <v>2178</v>
      </c>
      <c r="D741" s="11" t="s">
        <v>17</v>
      </c>
      <c r="E741" s="11" t="s">
        <v>8</v>
      </c>
      <c r="F741" s="12">
        <v>90</v>
      </c>
      <c r="G741" s="13">
        <v>8</v>
      </c>
      <c r="H741" s="14">
        <v>720</v>
      </c>
      <c r="I741" s="12">
        <v>0</v>
      </c>
      <c r="J741" s="13"/>
      <c r="K741" s="14">
        <v>0</v>
      </c>
      <c r="L741" s="12">
        <v>0</v>
      </c>
      <c r="M741" s="13"/>
      <c r="N741" s="14">
        <v>0</v>
      </c>
      <c r="O741" s="12">
        <v>90</v>
      </c>
      <c r="P741" s="13">
        <v>8</v>
      </c>
      <c r="Q741" s="14">
        <v>720</v>
      </c>
      <c r="R741" s="11" t="s">
        <v>2971</v>
      </c>
      <c r="S741" s="11" t="s">
        <v>2972</v>
      </c>
      <c r="T741" s="11" t="s">
        <v>2966</v>
      </c>
    </row>
    <row r="742" spans="1:20" ht="50.1" hidden="1" customHeight="1">
      <c r="A742" s="10">
        <v>741</v>
      </c>
      <c r="B742" s="11" t="s">
        <v>2080</v>
      </c>
      <c r="C742" s="11" t="s">
        <v>2081</v>
      </c>
      <c r="D742" s="11" t="s">
        <v>17</v>
      </c>
      <c r="E742" s="11" t="s">
        <v>8</v>
      </c>
      <c r="F742" s="12">
        <v>205</v>
      </c>
      <c r="G742" s="13">
        <v>60</v>
      </c>
      <c r="H742" s="14">
        <v>12300</v>
      </c>
      <c r="I742" s="12">
        <v>0</v>
      </c>
      <c r="J742" s="13"/>
      <c r="K742" s="14">
        <v>0</v>
      </c>
      <c r="L742" s="12">
        <v>0</v>
      </c>
      <c r="M742" s="13"/>
      <c r="N742" s="14">
        <v>0</v>
      </c>
      <c r="O742" s="12">
        <v>205</v>
      </c>
      <c r="P742" s="13">
        <v>60</v>
      </c>
      <c r="Q742" s="14">
        <v>12300</v>
      </c>
      <c r="R742" s="11" t="s">
        <v>2990</v>
      </c>
      <c r="S742" s="11" t="s">
        <v>2991</v>
      </c>
      <c r="T742" s="11" t="s">
        <v>2966</v>
      </c>
    </row>
    <row r="743" spans="1:20" ht="50.1" hidden="1" customHeight="1">
      <c r="A743" s="10">
        <v>742</v>
      </c>
      <c r="B743" s="11" t="s">
        <v>2082</v>
      </c>
      <c r="C743" s="11" t="s">
        <v>2083</v>
      </c>
      <c r="D743" s="11" t="s">
        <v>17</v>
      </c>
      <c r="E743" s="11" t="s">
        <v>8</v>
      </c>
      <c r="F743" s="12">
        <v>780</v>
      </c>
      <c r="G743" s="13">
        <v>65</v>
      </c>
      <c r="H743" s="14">
        <v>50700</v>
      </c>
      <c r="I743" s="12">
        <v>0</v>
      </c>
      <c r="J743" s="13"/>
      <c r="K743" s="14">
        <v>0</v>
      </c>
      <c r="L743" s="12">
        <v>0</v>
      </c>
      <c r="M743" s="13"/>
      <c r="N743" s="14">
        <v>0</v>
      </c>
      <c r="O743" s="12">
        <v>780</v>
      </c>
      <c r="P743" s="13">
        <v>65</v>
      </c>
      <c r="Q743" s="14">
        <v>50700</v>
      </c>
      <c r="R743" s="11" t="s">
        <v>2990</v>
      </c>
      <c r="S743" s="11" t="s">
        <v>2991</v>
      </c>
      <c r="T743" s="11" t="s">
        <v>2966</v>
      </c>
    </row>
    <row r="744" spans="1:20" ht="50.1" hidden="1" customHeight="1">
      <c r="A744" s="10">
        <v>743</v>
      </c>
      <c r="B744" s="11" t="s">
        <v>2383</v>
      </c>
      <c r="C744" s="11" t="s">
        <v>2384</v>
      </c>
      <c r="D744" s="11" t="s">
        <v>17</v>
      </c>
      <c r="E744" s="11" t="s">
        <v>8</v>
      </c>
      <c r="F744" s="12">
        <v>130</v>
      </c>
      <c r="G744" s="13">
        <v>5.2500769199999997</v>
      </c>
      <c r="H744" s="14">
        <v>682.51</v>
      </c>
      <c r="I744" s="12">
        <v>0</v>
      </c>
      <c r="J744" s="13"/>
      <c r="K744" s="14">
        <v>0</v>
      </c>
      <c r="L744" s="12">
        <v>0</v>
      </c>
      <c r="M744" s="13"/>
      <c r="N744" s="14">
        <v>0</v>
      </c>
      <c r="O744" s="12">
        <v>130</v>
      </c>
      <c r="P744" s="13">
        <v>5.2500769199999997</v>
      </c>
      <c r="Q744" s="14">
        <v>682.51</v>
      </c>
      <c r="R744" s="11" t="s">
        <v>2971</v>
      </c>
      <c r="S744" s="11" t="s">
        <v>2972</v>
      </c>
      <c r="T744" s="11" t="s">
        <v>2966</v>
      </c>
    </row>
    <row r="745" spans="1:20" ht="50.1" hidden="1" customHeight="1">
      <c r="A745" s="10">
        <v>744</v>
      </c>
      <c r="B745" s="11" t="s">
        <v>2385</v>
      </c>
      <c r="C745" s="11" t="s">
        <v>2386</v>
      </c>
      <c r="D745" s="11" t="s">
        <v>17</v>
      </c>
      <c r="E745" s="11" t="s">
        <v>8</v>
      </c>
      <c r="F745" s="12">
        <v>366</v>
      </c>
      <c r="G745" s="13">
        <v>161.44420765000001</v>
      </c>
      <c r="H745" s="14">
        <v>59088.58</v>
      </c>
      <c r="I745" s="12">
        <v>0</v>
      </c>
      <c r="J745" s="13"/>
      <c r="K745" s="14">
        <v>0</v>
      </c>
      <c r="L745" s="12">
        <v>3</v>
      </c>
      <c r="M745" s="13">
        <v>161.44333333</v>
      </c>
      <c r="N745" s="14">
        <v>484.33</v>
      </c>
      <c r="O745" s="12">
        <v>363</v>
      </c>
      <c r="P745" s="13">
        <v>161.44421488</v>
      </c>
      <c r="Q745" s="14">
        <v>58604.25</v>
      </c>
      <c r="R745" s="11" t="s">
        <v>2971</v>
      </c>
      <c r="S745" s="11" t="s">
        <v>2972</v>
      </c>
      <c r="T745" s="11" t="s">
        <v>2966</v>
      </c>
    </row>
    <row r="746" spans="1:20" ht="50.1" hidden="1" customHeight="1">
      <c r="A746" s="10">
        <v>745</v>
      </c>
      <c r="B746" s="11" t="s">
        <v>2387</v>
      </c>
      <c r="C746" s="11" t="s">
        <v>2388</v>
      </c>
      <c r="D746" s="11" t="s">
        <v>17</v>
      </c>
      <c r="E746" s="11" t="s">
        <v>8</v>
      </c>
      <c r="F746" s="12">
        <v>162</v>
      </c>
      <c r="G746" s="13">
        <v>35</v>
      </c>
      <c r="H746" s="14">
        <v>5670</v>
      </c>
      <c r="I746" s="12">
        <v>0</v>
      </c>
      <c r="J746" s="13"/>
      <c r="K746" s="14">
        <v>0</v>
      </c>
      <c r="L746" s="12">
        <v>0</v>
      </c>
      <c r="M746" s="13"/>
      <c r="N746" s="14">
        <v>0</v>
      </c>
      <c r="O746" s="12">
        <v>162</v>
      </c>
      <c r="P746" s="13">
        <v>35</v>
      </c>
      <c r="Q746" s="14">
        <v>5670</v>
      </c>
      <c r="R746" s="11" t="s">
        <v>2971</v>
      </c>
      <c r="S746" s="11" t="s">
        <v>2972</v>
      </c>
      <c r="T746" s="11" t="s">
        <v>2966</v>
      </c>
    </row>
    <row r="747" spans="1:20" ht="50.1" hidden="1" customHeight="1">
      <c r="A747" s="10">
        <v>746</v>
      </c>
      <c r="B747" s="11" t="s">
        <v>2389</v>
      </c>
      <c r="C747" s="11" t="s">
        <v>2390</v>
      </c>
      <c r="D747" s="11" t="s">
        <v>17</v>
      </c>
      <c r="E747" s="11" t="s">
        <v>8</v>
      </c>
      <c r="F747" s="12">
        <v>80</v>
      </c>
      <c r="G747" s="13">
        <v>5.25</v>
      </c>
      <c r="H747" s="14">
        <v>420</v>
      </c>
      <c r="I747" s="12">
        <v>65</v>
      </c>
      <c r="J747" s="13">
        <v>5.25</v>
      </c>
      <c r="K747" s="14">
        <v>341.25</v>
      </c>
      <c r="L747" s="12">
        <v>0</v>
      </c>
      <c r="M747" s="13"/>
      <c r="N747" s="14">
        <v>0</v>
      </c>
      <c r="O747" s="12">
        <v>145</v>
      </c>
      <c r="P747" s="13">
        <v>5.25</v>
      </c>
      <c r="Q747" s="14">
        <v>761.25</v>
      </c>
      <c r="R747" s="11" t="s">
        <v>2971</v>
      </c>
      <c r="S747" s="11" t="s">
        <v>2972</v>
      </c>
      <c r="T747" s="11" t="s">
        <v>2966</v>
      </c>
    </row>
    <row r="748" spans="1:20" ht="50.1" hidden="1" customHeight="1">
      <c r="A748" s="10">
        <v>747</v>
      </c>
      <c r="B748" s="11" t="s">
        <v>2307</v>
      </c>
      <c r="C748" s="11" t="s">
        <v>2308</v>
      </c>
      <c r="D748" s="11" t="s">
        <v>17</v>
      </c>
      <c r="E748" s="11" t="s">
        <v>8</v>
      </c>
      <c r="F748" s="12">
        <v>50</v>
      </c>
      <c r="G748" s="13">
        <v>15</v>
      </c>
      <c r="H748" s="14">
        <v>750</v>
      </c>
      <c r="I748" s="12">
        <v>0</v>
      </c>
      <c r="J748" s="13"/>
      <c r="K748" s="14">
        <v>0</v>
      </c>
      <c r="L748" s="12">
        <v>0</v>
      </c>
      <c r="M748" s="13"/>
      <c r="N748" s="14">
        <v>0</v>
      </c>
      <c r="O748" s="12">
        <v>50</v>
      </c>
      <c r="P748" s="13">
        <v>15</v>
      </c>
      <c r="Q748" s="14">
        <v>750</v>
      </c>
      <c r="R748" s="11" t="s">
        <v>2971</v>
      </c>
      <c r="S748" s="11" t="s">
        <v>2972</v>
      </c>
      <c r="T748" s="11" t="s">
        <v>2966</v>
      </c>
    </row>
    <row r="749" spans="1:20" ht="50.1" hidden="1" customHeight="1">
      <c r="A749" s="10">
        <v>748</v>
      </c>
      <c r="B749" s="11" t="s">
        <v>2183</v>
      </c>
      <c r="C749" s="11" t="s">
        <v>2184</v>
      </c>
      <c r="D749" s="11" t="s">
        <v>17</v>
      </c>
      <c r="E749" s="11" t="s">
        <v>8</v>
      </c>
      <c r="F749" s="12">
        <v>400</v>
      </c>
      <c r="G749" s="13">
        <v>11.5</v>
      </c>
      <c r="H749" s="14">
        <v>4600</v>
      </c>
      <c r="I749" s="12">
        <v>0</v>
      </c>
      <c r="J749" s="13"/>
      <c r="K749" s="14">
        <v>0</v>
      </c>
      <c r="L749" s="12">
        <v>0</v>
      </c>
      <c r="M749" s="13"/>
      <c r="N749" s="14">
        <v>0</v>
      </c>
      <c r="O749" s="12">
        <v>400</v>
      </c>
      <c r="P749" s="13">
        <v>11.5</v>
      </c>
      <c r="Q749" s="14">
        <v>4600</v>
      </c>
      <c r="R749" s="11" t="s">
        <v>2971</v>
      </c>
      <c r="S749" s="11" t="s">
        <v>2972</v>
      </c>
      <c r="T749" s="11" t="s">
        <v>2966</v>
      </c>
    </row>
    <row r="750" spans="1:20" ht="50.1" hidden="1" customHeight="1">
      <c r="A750" s="10">
        <v>749</v>
      </c>
      <c r="B750" s="11" t="s">
        <v>2086</v>
      </c>
      <c r="C750" s="11" t="s">
        <v>2087</v>
      </c>
      <c r="D750" s="11" t="s">
        <v>17</v>
      </c>
      <c r="E750" s="11" t="s">
        <v>8</v>
      </c>
      <c r="F750" s="12">
        <v>1806</v>
      </c>
      <c r="G750" s="13">
        <v>1.25</v>
      </c>
      <c r="H750" s="14">
        <v>2257.5</v>
      </c>
      <c r="I750" s="12">
        <v>0</v>
      </c>
      <c r="J750" s="13"/>
      <c r="K750" s="14">
        <v>0</v>
      </c>
      <c r="L750" s="12">
        <v>0</v>
      </c>
      <c r="M750" s="13"/>
      <c r="N750" s="14">
        <v>0</v>
      </c>
      <c r="O750" s="12">
        <v>1806</v>
      </c>
      <c r="P750" s="13">
        <v>1.25</v>
      </c>
      <c r="Q750" s="14">
        <v>2257.5</v>
      </c>
      <c r="R750" s="11" t="s">
        <v>2971</v>
      </c>
      <c r="S750" s="11" t="s">
        <v>2972</v>
      </c>
      <c r="T750" s="11" t="s">
        <v>2966</v>
      </c>
    </row>
    <row r="751" spans="1:20" ht="50.1" hidden="1" customHeight="1">
      <c r="A751" s="10">
        <v>750</v>
      </c>
      <c r="B751" s="11" t="s">
        <v>2088</v>
      </c>
      <c r="C751" s="11" t="s">
        <v>2089</v>
      </c>
      <c r="D751" s="11" t="s">
        <v>17</v>
      </c>
      <c r="E751" s="11" t="s">
        <v>8</v>
      </c>
      <c r="F751" s="12">
        <v>859</v>
      </c>
      <c r="G751" s="13">
        <v>1.91023283</v>
      </c>
      <c r="H751" s="14">
        <v>1640.89</v>
      </c>
      <c r="I751" s="12">
        <v>0</v>
      </c>
      <c r="J751" s="13"/>
      <c r="K751" s="14">
        <v>0</v>
      </c>
      <c r="L751" s="12">
        <v>0</v>
      </c>
      <c r="M751" s="13"/>
      <c r="N751" s="14">
        <v>0</v>
      </c>
      <c r="O751" s="12">
        <v>859</v>
      </c>
      <c r="P751" s="13">
        <v>1.91023283</v>
      </c>
      <c r="Q751" s="14">
        <v>1640.89</v>
      </c>
      <c r="R751" s="11" t="s">
        <v>2971</v>
      </c>
      <c r="S751" s="11" t="s">
        <v>2972</v>
      </c>
      <c r="T751" s="11" t="s">
        <v>2966</v>
      </c>
    </row>
    <row r="752" spans="1:20" ht="50.1" hidden="1" customHeight="1">
      <c r="A752" s="10">
        <v>751</v>
      </c>
      <c r="B752" s="11" t="s">
        <v>2090</v>
      </c>
      <c r="C752" s="11" t="s">
        <v>2091</v>
      </c>
      <c r="D752" s="11" t="s">
        <v>17</v>
      </c>
      <c r="E752" s="11" t="s">
        <v>8</v>
      </c>
      <c r="F752" s="12">
        <v>1140</v>
      </c>
      <c r="G752" s="13">
        <v>221.13298245999999</v>
      </c>
      <c r="H752" s="14">
        <v>252091.6</v>
      </c>
      <c r="I752" s="12">
        <v>0</v>
      </c>
      <c r="J752" s="13"/>
      <c r="K752" s="14">
        <v>0</v>
      </c>
      <c r="L752" s="12">
        <v>0</v>
      </c>
      <c r="M752" s="13"/>
      <c r="N752" s="14">
        <v>0</v>
      </c>
      <c r="O752" s="12">
        <v>1140</v>
      </c>
      <c r="P752" s="13">
        <v>221.13298245999999</v>
      </c>
      <c r="Q752" s="14">
        <v>252091.6</v>
      </c>
      <c r="R752" s="11" t="s">
        <v>2962</v>
      </c>
      <c r="S752" s="11" t="s">
        <v>2963</v>
      </c>
      <c r="T752" s="11" t="s">
        <v>2966</v>
      </c>
    </row>
    <row r="753" spans="1:20" ht="50.1" hidden="1" customHeight="1">
      <c r="A753" s="10">
        <v>752</v>
      </c>
      <c r="B753" s="11" t="s">
        <v>964</v>
      </c>
      <c r="C753" s="11" t="s">
        <v>965</v>
      </c>
      <c r="D753" s="11" t="s">
        <v>17</v>
      </c>
      <c r="E753" s="11" t="s">
        <v>8</v>
      </c>
      <c r="F753" s="12">
        <v>1000</v>
      </c>
      <c r="G753" s="13">
        <v>1.5</v>
      </c>
      <c r="H753" s="14">
        <v>1500</v>
      </c>
      <c r="I753" s="12">
        <v>0</v>
      </c>
      <c r="J753" s="13"/>
      <c r="K753" s="14">
        <v>0</v>
      </c>
      <c r="L753" s="12">
        <v>0</v>
      </c>
      <c r="M753" s="13"/>
      <c r="N753" s="14">
        <v>0</v>
      </c>
      <c r="O753" s="12">
        <v>1000</v>
      </c>
      <c r="P753" s="13">
        <v>1.5</v>
      </c>
      <c r="Q753" s="14">
        <v>1500</v>
      </c>
      <c r="R753" s="11" t="s">
        <v>2990</v>
      </c>
      <c r="S753" s="11" t="s">
        <v>2991</v>
      </c>
      <c r="T753" s="11" t="s">
        <v>2966</v>
      </c>
    </row>
    <row r="754" spans="1:20" ht="50.1" hidden="1" customHeight="1">
      <c r="A754" s="10">
        <v>753</v>
      </c>
      <c r="B754" s="11" t="s">
        <v>3414</v>
      </c>
      <c r="C754" s="11" t="s">
        <v>3415</v>
      </c>
      <c r="D754" s="11" t="s">
        <v>17</v>
      </c>
      <c r="E754" s="11" t="s">
        <v>8</v>
      </c>
      <c r="F754" s="12">
        <v>1135</v>
      </c>
      <c r="G754" s="13">
        <v>0.9</v>
      </c>
      <c r="H754" s="14">
        <v>1021.5</v>
      </c>
      <c r="I754" s="12">
        <v>0</v>
      </c>
      <c r="J754" s="13"/>
      <c r="K754" s="14">
        <v>0</v>
      </c>
      <c r="L754" s="12">
        <v>0</v>
      </c>
      <c r="M754" s="13"/>
      <c r="N754" s="14">
        <v>0</v>
      </c>
      <c r="O754" s="12">
        <v>1135</v>
      </c>
      <c r="P754" s="13">
        <v>0.9</v>
      </c>
      <c r="Q754" s="14">
        <v>1021.5</v>
      </c>
      <c r="R754" s="11" t="s">
        <v>2971</v>
      </c>
      <c r="S754" s="11" t="s">
        <v>2972</v>
      </c>
      <c r="T754" s="11" t="s">
        <v>2966</v>
      </c>
    </row>
    <row r="755" spans="1:20" ht="50.1" hidden="1" customHeight="1">
      <c r="A755" s="10">
        <v>754</v>
      </c>
      <c r="B755" s="11" t="s">
        <v>966</v>
      </c>
      <c r="C755" s="11" t="s">
        <v>967</v>
      </c>
      <c r="D755" s="11" t="s">
        <v>17</v>
      </c>
      <c r="E755" s="11" t="s">
        <v>8</v>
      </c>
      <c r="F755" s="12">
        <v>490</v>
      </c>
      <c r="G755" s="13">
        <v>481</v>
      </c>
      <c r="H755" s="14">
        <v>235690</v>
      </c>
      <c r="I755" s="12">
        <v>0</v>
      </c>
      <c r="J755" s="13"/>
      <c r="K755" s="14">
        <v>0</v>
      </c>
      <c r="L755" s="12">
        <v>60</v>
      </c>
      <c r="M755" s="13">
        <v>481</v>
      </c>
      <c r="N755" s="14">
        <v>28860</v>
      </c>
      <c r="O755" s="12">
        <v>430</v>
      </c>
      <c r="P755" s="13">
        <v>481</v>
      </c>
      <c r="Q755" s="14">
        <v>206830</v>
      </c>
      <c r="R755" s="11" t="s">
        <v>3005</v>
      </c>
      <c r="S755" s="11" t="s">
        <v>3006</v>
      </c>
      <c r="T755" s="11" t="s">
        <v>2966</v>
      </c>
    </row>
    <row r="756" spans="1:20" ht="50.1" hidden="1" customHeight="1">
      <c r="A756" s="10">
        <v>755</v>
      </c>
      <c r="B756" s="11" t="s">
        <v>968</v>
      </c>
      <c r="C756" s="11" t="s">
        <v>969</v>
      </c>
      <c r="D756" s="11" t="s">
        <v>17</v>
      </c>
      <c r="E756" s="11" t="s">
        <v>8</v>
      </c>
      <c r="F756" s="12">
        <v>1756</v>
      </c>
      <c r="G756" s="13">
        <v>729</v>
      </c>
      <c r="H756" s="14">
        <v>1280124</v>
      </c>
      <c r="I756" s="12">
        <v>199</v>
      </c>
      <c r="J756" s="13">
        <v>729</v>
      </c>
      <c r="K756" s="14">
        <v>145071</v>
      </c>
      <c r="L756" s="12">
        <v>468</v>
      </c>
      <c r="M756" s="13">
        <v>729</v>
      </c>
      <c r="N756" s="14">
        <v>341172</v>
      </c>
      <c r="O756" s="12">
        <v>1487</v>
      </c>
      <c r="P756" s="13">
        <v>729</v>
      </c>
      <c r="Q756" s="14">
        <v>1084023</v>
      </c>
      <c r="R756" s="11" t="s">
        <v>3005</v>
      </c>
      <c r="S756" s="11" t="s">
        <v>3006</v>
      </c>
      <c r="T756" s="11" t="s">
        <v>2966</v>
      </c>
    </row>
    <row r="757" spans="1:20" ht="50.1" hidden="1" customHeight="1">
      <c r="A757" s="10">
        <v>756</v>
      </c>
      <c r="B757" s="11" t="s">
        <v>970</v>
      </c>
      <c r="C757" s="11" t="s">
        <v>971</v>
      </c>
      <c r="D757" s="11" t="s">
        <v>17</v>
      </c>
      <c r="E757" s="11" t="s">
        <v>8</v>
      </c>
      <c r="F757" s="12">
        <v>172</v>
      </c>
      <c r="G757" s="13">
        <v>2.35</v>
      </c>
      <c r="H757" s="14">
        <v>404.2</v>
      </c>
      <c r="I757" s="12">
        <v>0</v>
      </c>
      <c r="J757" s="13"/>
      <c r="K757" s="14">
        <v>0</v>
      </c>
      <c r="L757" s="12">
        <v>0</v>
      </c>
      <c r="M757" s="13"/>
      <c r="N757" s="14">
        <v>0</v>
      </c>
      <c r="O757" s="12">
        <v>172</v>
      </c>
      <c r="P757" s="13">
        <v>2.35</v>
      </c>
      <c r="Q757" s="14">
        <v>404.2</v>
      </c>
      <c r="R757" s="11" t="s">
        <v>2971</v>
      </c>
      <c r="S757" s="11" t="s">
        <v>2972</v>
      </c>
      <c r="T757" s="11" t="s">
        <v>2966</v>
      </c>
    </row>
    <row r="758" spans="1:20" ht="50.1" hidden="1" customHeight="1">
      <c r="A758" s="10">
        <v>757</v>
      </c>
      <c r="B758" s="11" t="s">
        <v>972</v>
      </c>
      <c r="C758" s="11" t="s">
        <v>973</v>
      </c>
      <c r="D758" s="11" t="s">
        <v>17</v>
      </c>
      <c r="E758" s="11" t="s">
        <v>8</v>
      </c>
      <c r="F758" s="12">
        <v>16613</v>
      </c>
      <c r="G758" s="13">
        <v>18</v>
      </c>
      <c r="H758" s="14">
        <v>299034</v>
      </c>
      <c r="I758" s="12">
        <v>0</v>
      </c>
      <c r="J758" s="13"/>
      <c r="K758" s="14">
        <v>0</v>
      </c>
      <c r="L758" s="12">
        <v>0</v>
      </c>
      <c r="M758" s="13"/>
      <c r="N758" s="14">
        <v>0</v>
      </c>
      <c r="O758" s="12">
        <v>16613</v>
      </c>
      <c r="P758" s="13">
        <v>18</v>
      </c>
      <c r="Q758" s="14">
        <v>299034</v>
      </c>
      <c r="R758" s="11" t="s">
        <v>2990</v>
      </c>
      <c r="S758" s="11" t="s">
        <v>2991</v>
      </c>
      <c r="T758" s="11" t="s">
        <v>2966</v>
      </c>
    </row>
    <row r="759" spans="1:20" ht="50.1" hidden="1" customHeight="1">
      <c r="A759" s="10">
        <v>758</v>
      </c>
      <c r="B759" s="11" t="s">
        <v>974</v>
      </c>
      <c r="C759" s="11" t="s">
        <v>975</v>
      </c>
      <c r="D759" s="11" t="s">
        <v>17</v>
      </c>
      <c r="E759" s="11" t="s">
        <v>8</v>
      </c>
      <c r="F759" s="12">
        <v>250</v>
      </c>
      <c r="G759" s="13">
        <v>19.100000000000001</v>
      </c>
      <c r="H759" s="14">
        <v>4775</v>
      </c>
      <c r="I759" s="12">
        <v>0</v>
      </c>
      <c r="J759" s="13"/>
      <c r="K759" s="14">
        <v>0</v>
      </c>
      <c r="L759" s="12">
        <v>0</v>
      </c>
      <c r="M759" s="13"/>
      <c r="N759" s="14">
        <v>0</v>
      </c>
      <c r="O759" s="12">
        <v>250</v>
      </c>
      <c r="P759" s="13">
        <v>19.100000000000001</v>
      </c>
      <c r="Q759" s="14">
        <v>4775</v>
      </c>
      <c r="R759" s="11" t="s">
        <v>2971</v>
      </c>
      <c r="S759" s="11" t="s">
        <v>2972</v>
      </c>
      <c r="T759" s="11" t="s">
        <v>2966</v>
      </c>
    </row>
    <row r="760" spans="1:20" ht="50.1" hidden="1" customHeight="1">
      <c r="A760" s="10">
        <v>759</v>
      </c>
      <c r="B760" s="11" t="s">
        <v>976</v>
      </c>
      <c r="C760" s="11" t="s">
        <v>977</v>
      </c>
      <c r="D760" s="11" t="s">
        <v>17</v>
      </c>
      <c r="E760" s="11" t="s">
        <v>8</v>
      </c>
      <c r="F760" s="12">
        <v>451</v>
      </c>
      <c r="G760" s="13">
        <v>2.23064302</v>
      </c>
      <c r="H760" s="14">
        <v>1006.02</v>
      </c>
      <c r="I760" s="12">
        <v>0</v>
      </c>
      <c r="J760" s="13"/>
      <c r="K760" s="14">
        <v>0</v>
      </c>
      <c r="L760" s="12">
        <v>0</v>
      </c>
      <c r="M760" s="13"/>
      <c r="N760" s="14">
        <v>0</v>
      </c>
      <c r="O760" s="12">
        <v>451</v>
      </c>
      <c r="P760" s="13">
        <v>2.23064302</v>
      </c>
      <c r="Q760" s="14">
        <v>1006.02</v>
      </c>
      <c r="R760" s="11" t="s">
        <v>2971</v>
      </c>
      <c r="S760" s="11" t="s">
        <v>2972</v>
      </c>
      <c r="T760" s="11" t="s">
        <v>2966</v>
      </c>
    </row>
    <row r="761" spans="1:20" ht="50.1" hidden="1" customHeight="1">
      <c r="A761" s="10">
        <v>760</v>
      </c>
      <c r="B761" s="11" t="s">
        <v>978</v>
      </c>
      <c r="C761" s="11" t="s">
        <v>979</v>
      </c>
      <c r="D761" s="11" t="s">
        <v>17</v>
      </c>
      <c r="E761" s="11" t="s">
        <v>8</v>
      </c>
      <c r="F761" s="12">
        <v>400</v>
      </c>
      <c r="G761" s="13">
        <v>1.6</v>
      </c>
      <c r="H761" s="14">
        <v>640</v>
      </c>
      <c r="I761" s="12">
        <v>0</v>
      </c>
      <c r="J761" s="13"/>
      <c r="K761" s="14">
        <v>0</v>
      </c>
      <c r="L761" s="12">
        <v>0</v>
      </c>
      <c r="M761" s="13"/>
      <c r="N761" s="14">
        <v>0</v>
      </c>
      <c r="O761" s="12">
        <v>400</v>
      </c>
      <c r="P761" s="13">
        <v>1.6</v>
      </c>
      <c r="Q761" s="14">
        <v>640</v>
      </c>
      <c r="R761" s="11" t="s">
        <v>2971</v>
      </c>
      <c r="S761" s="11" t="s">
        <v>2972</v>
      </c>
      <c r="T761" s="11" t="s">
        <v>2966</v>
      </c>
    </row>
    <row r="762" spans="1:20" ht="50.1" hidden="1" customHeight="1">
      <c r="A762" s="10">
        <v>761</v>
      </c>
      <c r="B762" s="11" t="s">
        <v>980</v>
      </c>
      <c r="C762" s="11" t="s">
        <v>3025</v>
      </c>
      <c r="D762" s="11" t="s">
        <v>17</v>
      </c>
      <c r="E762" s="11" t="s">
        <v>8</v>
      </c>
      <c r="F762" s="12">
        <v>2285</v>
      </c>
      <c r="G762" s="13">
        <v>213</v>
      </c>
      <c r="H762" s="14">
        <v>486705</v>
      </c>
      <c r="I762" s="12">
        <v>0</v>
      </c>
      <c r="J762" s="13"/>
      <c r="K762" s="14">
        <v>0</v>
      </c>
      <c r="L762" s="12">
        <v>0</v>
      </c>
      <c r="M762" s="13"/>
      <c r="N762" s="14">
        <v>0</v>
      </c>
      <c r="O762" s="12">
        <v>2285</v>
      </c>
      <c r="P762" s="13">
        <v>213</v>
      </c>
      <c r="Q762" s="14">
        <v>486705</v>
      </c>
      <c r="R762" s="11" t="s">
        <v>3005</v>
      </c>
      <c r="S762" s="11" t="s">
        <v>3006</v>
      </c>
      <c r="T762" s="11" t="s">
        <v>2966</v>
      </c>
    </row>
    <row r="763" spans="1:20" ht="50.1" hidden="1" customHeight="1">
      <c r="A763" s="10">
        <v>762</v>
      </c>
      <c r="B763" s="11" t="s">
        <v>2094</v>
      </c>
      <c r="C763" s="11" t="s">
        <v>2095</v>
      </c>
      <c r="D763" s="11" t="s">
        <v>17</v>
      </c>
      <c r="E763" s="11" t="s">
        <v>8</v>
      </c>
      <c r="F763" s="12">
        <v>60</v>
      </c>
      <c r="G763" s="13">
        <v>650</v>
      </c>
      <c r="H763" s="14">
        <v>39000</v>
      </c>
      <c r="I763" s="12">
        <v>0</v>
      </c>
      <c r="J763" s="13"/>
      <c r="K763" s="14">
        <v>0</v>
      </c>
      <c r="L763" s="12">
        <v>0</v>
      </c>
      <c r="M763" s="13"/>
      <c r="N763" s="14">
        <v>0</v>
      </c>
      <c r="O763" s="12">
        <v>60</v>
      </c>
      <c r="P763" s="13">
        <v>650</v>
      </c>
      <c r="Q763" s="14">
        <v>39000</v>
      </c>
      <c r="R763" s="11" t="s">
        <v>3005</v>
      </c>
      <c r="S763" s="11" t="s">
        <v>3006</v>
      </c>
      <c r="T763" s="11" t="s">
        <v>2966</v>
      </c>
    </row>
    <row r="764" spans="1:20" ht="50.1" hidden="1" customHeight="1">
      <c r="A764" s="10">
        <v>763</v>
      </c>
      <c r="B764" s="11" t="s">
        <v>2185</v>
      </c>
      <c r="C764" s="11" t="s">
        <v>2186</v>
      </c>
      <c r="D764" s="11" t="s">
        <v>17</v>
      </c>
      <c r="E764" s="11" t="s">
        <v>8</v>
      </c>
      <c r="F764" s="12">
        <v>1000</v>
      </c>
      <c r="G764" s="13">
        <v>2.48</v>
      </c>
      <c r="H764" s="14">
        <v>2480</v>
      </c>
      <c r="I764" s="12">
        <v>0</v>
      </c>
      <c r="J764" s="13"/>
      <c r="K764" s="14">
        <v>0</v>
      </c>
      <c r="L764" s="12">
        <v>0</v>
      </c>
      <c r="M764" s="13"/>
      <c r="N764" s="14">
        <v>0</v>
      </c>
      <c r="O764" s="12">
        <v>1000</v>
      </c>
      <c r="P764" s="13">
        <v>2.48</v>
      </c>
      <c r="Q764" s="14">
        <v>2480</v>
      </c>
      <c r="R764" s="11" t="s">
        <v>2971</v>
      </c>
      <c r="S764" s="11" t="s">
        <v>2972</v>
      </c>
      <c r="T764" s="11" t="s">
        <v>2966</v>
      </c>
    </row>
    <row r="765" spans="1:20" ht="50.1" hidden="1" customHeight="1">
      <c r="A765" s="10">
        <v>764</v>
      </c>
      <c r="B765" s="11" t="s">
        <v>2096</v>
      </c>
      <c r="C765" s="11" t="s">
        <v>2097</v>
      </c>
      <c r="D765" s="11" t="s">
        <v>17</v>
      </c>
      <c r="E765" s="11" t="s">
        <v>8</v>
      </c>
      <c r="F765" s="12">
        <v>20</v>
      </c>
      <c r="G765" s="13">
        <v>858.90650000000005</v>
      </c>
      <c r="H765" s="14">
        <v>17178.13</v>
      </c>
      <c r="I765" s="12">
        <v>75</v>
      </c>
      <c r="J765" s="13">
        <v>906.81906666999998</v>
      </c>
      <c r="K765" s="14">
        <v>68011.429999999993</v>
      </c>
      <c r="L765" s="12">
        <v>0</v>
      </c>
      <c r="M765" s="13"/>
      <c r="N765" s="14">
        <v>0</v>
      </c>
      <c r="O765" s="12">
        <v>95</v>
      </c>
      <c r="P765" s="13">
        <v>896.73221052999997</v>
      </c>
      <c r="Q765" s="14">
        <v>85189.56</v>
      </c>
      <c r="R765" s="11" t="s">
        <v>3005</v>
      </c>
      <c r="S765" s="11" t="s">
        <v>3006</v>
      </c>
      <c r="T765" s="11" t="s">
        <v>2966</v>
      </c>
    </row>
    <row r="766" spans="1:20" ht="50.1" hidden="1" customHeight="1">
      <c r="A766" s="10">
        <v>765</v>
      </c>
      <c r="B766" s="11" t="s">
        <v>2098</v>
      </c>
      <c r="C766" s="11" t="s">
        <v>2099</v>
      </c>
      <c r="D766" s="11" t="s">
        <v>17</v>
      </c>
      <c r="E766" s="11" t="s">
        <v>8</v>
      </c>
      <c r="F766" s="12">
        <v>194</v>
      </c>
      <c r="G766" s="13">
        <v>290.74484536</v>
      </c>
      <c r="H766" s="14">
        <v>56404.5</v>
      </c>
      <c r="I766" s="12">
        <v>0</v>
      </c>
      <c r="J766" s="13"/>
      <c r="K766" s="14">
        <v>0</v>
      </c>
      <c r="L766" s="12">
        <v>0</v>
      </c>
      <c r="M766" s="13"/>
      <c r="N766" s="14">
        <v>0</v>
      </c>
      <c r="O766" s="12">
        <v>194</v>
      </c>
      <c r="P766" s="13">
        <v>290.74484536</v>
      </c>
      <c r="Q766" s="14">
        <v>56404.5</v>
      </c>
      <c r="R766" s="11" t="s">
        <v>3005</v>
      </c>
      <c r="S766" s="11" t="s">
        <v>3006</v>
      </c>
      <c r="T766" s="11" t="s">
        <v>2966</v>
      </c>
    </row>
    <row r="767" spans="1:20" ht="50.1" hidden="1" customHeight="1">
      <c r="A767" s="10">
        <v>766</v>
      </c>
      <c r="B767" s="11" t="s">
        <v>2520</v>
      </c>
      <c r="C767" s="11" t="s">
        <v>2521</v>
      </c>
      <c r="D767" s="11" t="s">
        <v>17</v>
      </c>
      <c r="E767" s="11" t="s">
        <v>8</v>
      </c>
      <c r="F767" s="12">
        <v>673</v>
      </c>
      <c r="G767" s="13">
        <v>368.29640416000001</v>
      </c>
      <c r="H767" s="14">
        <v>247863.48</v>
      </c>
      <c r="I767" s="12">
        <v>1500</v>
      </c>
      <c r="J767" s="13">
        <v>377.54221999999999</v>
      </c>
      <c r="K767" s="14">
        <v>566313.32999999996</v>
      </c>
      <c r="L767" s="12">
        <v>75</v>
      </c>
      <c r="M767" s="13">
        <v>372.60093332999998</v>
      </c>
      <c r="N767" s="14">
        <v>27945.07</v>
      </c>
      <c r="O767" s="12">
        <v>2098</v>
      </c>
      <c r="P767" s="13">
        <v>374.75297425999997</v>
      </c>
      <c r="Q767" s="14">
        <v>786231.74</v>
      </c>
      <c r="R767" s="11" t="s">
        <v>3005</v>
      </c>
      <c r="S767" s="11" t="s">
        <v>3006</v>
      </c>
      <c r="T767" s="11" t="s">
        <v>2966</v>
      </c>
    </row>
    <row r="768" spans="1:20" ht="50.1" hidden="1" customHeight="1">
      <c r="A768" s="10">
        <v>767</v>
      </c>
      <c r="B768" s="11" t="s">
        <v>982</v>
      </c>
      <c r="C768" s="11" t="s">
        <v>983</v>
      </c>
      <c r="D768" s="11" t="s">
        <v>17</v>
      </c>
      <c r="E768" s="11" t="s">
        <v>8</v>
      </c>
      <c r="F768" s="12">
        <v>15750</v>
      </c>
      <c r="G768" s="13">
        <v>11</v>
      </c>
      <c r="H768" s="14">
        <v>173250</v>
      </c>
      <c r="I768" s="12">
        <v>0</v>
      </c>
      <c r="J768" s="13"/>
      <c r="K768" s="14">
        <v>0</v>
      </c>
      <c r="L768" s="12">
        <v>0</v>
      </c>
      <c r="M768" s="13"/>
      <c r="N768" s="14">
        <v>0</v>
      </c>
      <c r="O768" s="12">
        <v>15750</v>
      </c>
      <c r="P768" s="13">
        <v>11</v>
      </c>
      <c r="Q768" s="14">
        <v>173250</v>
      </c>
      <c r="R768" s="11" t="s">
        <v>2990</v>
      </c>
      <c r="S768" s="11" t="s">
        <v>2991</v>
      </c>
      <c r="T768" s="11" t="s">
        <v>2966</v>
      </c>
    </row>
    <row r="769" spans="1:20" ht="50.1" hidden="1" customHeight="1">
      <c r="A769" s="10">
        <v>768</v>
      </c>
      <c r="B769" s="11" t="s">
        <v>3416</v>
      </c>
      <c r="C769" s="11" t="s">
        <v>3417</v>
      </c>
      <c r="D769" s="11" t="s">
        <v>17</v>
      </c>
      <c r="E769" s="11" t="s">
        <v>8</v>
      </c>
      <c r="F769" s="12">
        <v>1075</v>
      </c>
      <c r="G769" s="13">
        <v>0.9</v>
      </c>
      <c r="H769" s="14">
        <v>967.5</v>
      </c>
      <c r="I769" s="12">
        <v>0</v>
      </c>
      <c r="J769" s="13"/>
      <c r="K769" s="14">
        <v>0</v>
      </c>
      <c r="L769" s="12">
        <v>0</v>
      </c>
      <c r="M769" s="13"/>
      <c r="N769" s="14">
        <v>0</v>
      </c>
      <c r="O769" s="12">
        <v>1075</v>
      </c>
      <c r="P769" s="13">
        <v>0.9</v>
      </c>
      <c r="Q769" s="14">
        <v>967.5</v>
      </c>
      <c r="R769" s="11" t="s">
        <v>2971</v>
      </c>
      <c r="S769" s="11" t="s">
        <v>2972</v>
      </c>
      <c r="T769" s="11" t="s">
        <v>2966</v>
      </c>
    </row>
    <row r="770" spans="1:20" ht="50.1" hidden="1" customHeight="1">
      <c r="A770" s="10">
        <v>769</v>
      </c>
      <c r="B770" s="11" t="s">
        <v>984</v>
      </c>
      <c r="C770" s="11" t="s">
        <v>985</v>
      </c>
      <c r="D770" s="11" t="s">
        <v>17</v>
      </c>
      <c r="E770" s="11" t="s">
        <v>8</v>
      </c>
      <c r="F770" s="12">
        <v>820</v>
      </c>
      <c r="G770" s="13">
        <v>429</v>
      </c>
      <c r="H770" s="14">
        <v>351780</v>
      </c>
      <c r="I770" s="12">
        <v>0</v>
      </c>
      <c r="J770" s="13"/>
      <c r="K770" s="14">
        <v>0</v>
      </c>
      <c r="L770" s="12">
        <v>4</v>
      </c>
      <c r="M770" s="13">
        <v>429</v>
      </c>
      <c r="N770" s="14">
        <v>1716</v>
      </c>
      <c r="O770" s="12">
        <v>816</v>
      </c>
      <c r="P770" s="13">
        <v>429</v>
      </c>
      <c r="Q770" s="14">
        <v>350064</v>
      </c>
      <c r="R770" s="11" t="s">
        <v>3005</v>
      </c>
      <c r="S770" s="11" t="s">
        <v>3006</v>
      </c>
      <c r="T770" s="11" t="s">
        <v>2966</v>
      </c>
    </row>
    <row r="771" spans="1:20" ht="50.1" hidden="1" customHeight="1">
      <c r="A771" s="10">
        <v>770</v>
      </c>
      <c r="B771" s="11" t="s">
        <v>3418</v>
      </c>
      <c r="C771" s="11" t="s">
        <v>3419</v>
      </c>
      <c r="D771" s="11" t="s">
        <v>17</v>
      </c>
      <c r="E771" s="11" t="s">
        <v>8</v>
      </c>
      <c r="F771" s="12">
        <v>750</v>
      </c>
      <c r="G771" s="13">
        <v>15</v>
      </c>
      <c r="H771" s="14">
        <v>11250</v>
      </c>
      <c r="I771" s="12">
        <v>0</v>
      </c>
      <c r="J771" s="13"/>
      <c r="K771" s="14">
        <v>0</v>
      </c>
      <c r="L771" s="12">
        <v>0</v>
      </c>
      <c r="M771" s="13"/>
      <c r="N771" s="14">
        <v>0</v>
      </c>
      <c r="O771" s="12">
        <v>750</v>
      </c>
      <c r="P771" s="13">
        <v>15</v>
      </c>
      <c r="Q771" s="14">
        <v>11250</v>
      </c>
      <c r="R771" s="11" t="s">
        <v>2971</v>
      </c>
      <c r="S771" s="11" t="s">
        <v>2972</v>
      </c>
      <c r="T771" s="11" t="s">
        <v>2961</v>
      </c>
    </row>
    <row r="772" spans="1:20" ht="50.1" hidden="1" customHeight="1">
      <c r="A772" s="10">
        <v>771</v>
      </c>
      <c r="B772" s="11" t="s">
        <v>3420</v>
      </c>
      <c r="C772" s="11" t="s">
        <v>3421</v>
      </c>
      <c r="D772" s="11" t="s">
        <v>17</v>
      </c>
      <c r="E772" s="11" t="s">
        <v>8</v>
      </c>
      <c r="F772" s="12">
        <v>1110</v>
      </c>
      <c r="G772" s="13">
        <v>0.9</v>
      </c>
      <c r="H772" s="14">
        <v>999</v>
      </c>
      <c r="I772" s="12">
        <v>0</v>
      </c>
      <c r="J772" s="13"/>
      <c r="K772" s="14">
        <v>0</v>
      </c>
      <c r="L772" s="12">
        <v>0</v>
      </c>
      <c r="M772" s="13"/>
      <c r="N772" s="14">
        <v>0</v>
      </c>
      <c r="O772" s="12">
        <v>1110</v>
      </c>
      <c r="P772" s="13">
        <v>0.9</v>
      </c>
      <c r="Q772" s="14">
        <v>999</v>
      </c>
      <c r="R772" s="11" t="s">
        <v>2971</v>
      </c>
      <c r="S772" s="11" t="s">
        <v>2972</v>
      </c>
      <c r="T772" s="11" t="s">
        <v>2966</v>
      </c>
    </row>
    <row r="773" spans="1:20" ht="50.1" hidden="1" customHeight="1">
      <c r="A773" s="10">
        <v>772</v>
      </c>
      <c r="B773" s="11" t="s">
        <v>988</v>
      </c>
      <c r="C773" s="11" t="s">
        <v>989</v>
      </c>
      <c r="D773" s="11" t="s">
        <v>17</v>
      </c>
      <c r="E773" s="11" t="s">
        <v>8</v>
      </c>
      <c r="F773" s="12">
        <v>7</v>
      </c>
      <c r="G773" s="13">
        <v>416</v>
      </c>
      <c r="H773" s="14">
        <v>2912</v>
      </c>
      <c r="I773" s="12">
        <v>0</v>
      </c>
      <c r="J773" s="13"/>
      <c r="K773" s="14">
        <v>0</v>
      </c>
      <c r="L773" s="12">
        <v>1</v>
      </c>
      <c r="M773" s="13">
        <v>416</v>
      </c>
      <c r="N773" s="14">
        <v>416</v>
      </c>
      <c r="O773" s="12">
        <v>6</v>
      </c>
      <c r="P773" s="13">
        <v>416</v>
      </c>
      <c r="Q773" s="14">
        <v>2496</v>
      </c>
      <c r="R773" s="11" t="s">
        <v>3005</v>
      </c>
      <c r="S773" s="11" t="s">
        <v>3006</v>
      </c>
      <c r="T773" s="11" t="s">
        <v>2966</v>
      </c>
    </row>
    <row r="774" spans="1:20" ht="50.1" hidden="1" customHeight="1">
      <c r="A774" s="10">
        <v>773</v>
      </c>
      <c r="B774" s="11" t="s">
        <v>990</v>
      </c>
      <c r="C774" s="11" t="s">
        <v>991</v>
      </c>
      <c r="D774" s="11" t="s">
        <v>17</v>
      </c>
      <c r="E774" s="11" t="s">
        <v>8</v>
      </c>
      <c r="F774" s="12">
        <v>390</v>
      </c>
      <c r="G774" s="13">
        <v>590</v>
      </c>
      <c r="H774" s="14">
        <v>230100</v>
      </c>
      <c r="I774" s="12">
        <v>0</v>
      </c>
      <c r="J774" s="13"/>
      <c r="K774" s="14">
        <v>0</v>
      </c>
      <c r="L774" s="12">
        <v>0</v>
      </c>
      <c r="M774" s="13"/>
      <c r="N774" s="14">
        <v>0</v>
      </c>
      <c r="O774" s="12">
        <v>390</v>
      </c>
      <c r="P774" s="13">
        <v>590</v>
      </c>
      <c r="Q774" s="14">
        <v>230100</v>
      </c>
      <c r="R774" s="11" t="s">
        <v>3005</v>
      </c>
      <c r="S774" s="11" t="s">
        <v>3006</v>
      </c>
      <c r="T774" s="11" t="s">
        <v>2966</v>
      </c>
    </row>
    <row r="775" spans="1:20" ht="50.1" hidden="1" customHeight="1">
      <c r="A775" s="10">
        <v>774</v>
      </c>
      <c r="B775" s="11" t="s">
        <v>992</v>
      </c>
      <c r="C775" s="11" t="s">
        <v>993</v>
      </c>
      <c r="D775" s="11" t="s">
        <v>17</v>
      </c>
      <c r="E775" s="11" t="s">
        <v>8</v>
      </c>
      <c r="F775" s="12">
        <v>40</v>
      </c>
      <c r="G775" s="13">
        <v>583</v>
      </c>
      <c r="H775" s="14">
        <v>23320</v>
      </c>
      <c r="I775" s="12">
        <v>0</v>
      </c>
      <c r="J775" s="13"/>
      <c r="K775" s="14">
        <v>0</v>
      </c>
      <c r="L775" s="12">
        <v>16</v>
      </c>
      <c r="M775" s="13">
        <v>583</v>
      </c>
      <c r="N775" s="14">
        <v>9328</v>
      </c>
      <c r="O775" s="12">
        <v>24</v>
      </c>
      <c r="P775" s="13">
        <v>583</v>
      </c>
      <c r="Q775" s="14">
        <v>13992</v>
      </c>
      <c r="R775" s="11" t="s">
        <v>3005</v>
      </c>
      <c r="S775" s="11" t="s">
        <v>3006</v>
      </c>
      <c r="T775" s="11" t="s">
        <v>2966</v>
      </c>
    </row>
    <row r="776" spans="1:20" ht="50.1" hidden="1" customHeight="1">
      <c r="A776" s="10">
        <v>775</v>
      </c>
      <c r="B776" s="11" t="s">
        <v>994</v>
      </c>
      <c r="C776" s="11" t="s">
        <v>995</v>
      </c>
      <c r="D776" s="11" t="s">
        <v>17</v>
      </c>
      <c r="E776" s="11" t="s">
        <v>8</v>
      </c>
      <c r="F776" s="12">
        <v>14</v>
      </c>
      <c r="G776" s="13">
        <v>639</v>
      </c>
      <c r="H776" s="14">
        <v>8946</v>
      </c>
      <c r="I776" s="12">
        <v>0</v>
      </c>
      <c r="J776" s="13"/>
      <c r="K776" s="14">
        <v>0</v>
      </c>
      <c r="L776" s="12">
        <v>0</v>
      </c>
      <c r="M776" s="13"/>
      <c r="N776" s="14">
        <v>0</v>
      </c>
      <c r="O776" s="12">
        <v>14</v>
      </c>
      <c r="P776" s="13">
        <v>639</v>
      </c>
      <c r="Q776" s="14">
        <v>8946</v>
      </c>
      <c r="R776" s="11" t="s">
        <v>3005</v>
      </c>
      <c r="S776" s="11" t="s">
        <v>3006</v>
      </c>
      <c r="T776" s="11" t="s">
        <v>2966</v>
      </c>
    </row>
    <row r="777" spans="1:20" ht="50.1" hidden="1" customHeight="1">
      <c r="A777" s="10">
        <v>776</v>
      </c>
      <c r="B777" s="11" t="s">
        <v>996</v>
      </c>
      <c r="C777" s="11" t="s">
        <v>997</v>
      </c>
      <c r="D777" s="11" t="s">
        <v>17</v>
      </c>
      <c r="E777" s="11" t="s">
        <v>8</v>
      </c>
      <c r="F777" s="12">
        <v>58</v>
      </c>
      <c r="G777" s="13">
        <v>682</v>
      </c>
      <c r="H777" s="14">
        <v>39556</v>
      </c>
      <c r="I777" s="12">
        <v>0</v>
      </c>
      <c r="J777" s="13"/>
      <c r="K777" s="14">
        <v>0</v>
      </c>
      <c r="L777" s="12">
        <v>0</v>
      </c>
      <c r="M777" s="13"/>
      <c r="N777" s="14">
        <v>0</v>
      </c>
      <c r="O777" s="12">
        <v>58</v>
      </c>
      <c r="P777" s="13">
        <v>682</v>
      </c>
      <c r="Q777" s="14">
        <v>39556</v>
      </c>
      <c r="R777" s="11" t="s">
        <v>3005</v>
      </c>
      <c r="S777" s="11" t="s">
        <v>3006</v>
      </c>
      <c r="T777" s="11" t="s">
        <v>2966</v>
      </c>
    </row>
    <row r="778" spans="1:20" ht="50.1" hidden="1" customHeight="1">
      <c r="A778" s="10">
        <v>777</v>
      </c>
      <c r="B778" s="11" t="s">
        <v>998</v>
      </c>
      <c r="C778" s="11" t="s">
        <v>999</v>
      </c>
      <c r="D778" s="11" t="s">
        <v>17</v>
      </c>
      <c r="E778" s="11" t="s">
        <v>8</v>
      </c>
      <c r="F778" s="12">
        <v>1</v>
      </c>
      <c r="G778" s="13">
        <v>416</v>
      </c>
      <c r="H778" s="14">
        <v>416</v>
      </c>
      <c r="I778" s="12">
        <v>0</v>
      </c>
      <c r="J778" s="13"/>
      <c r="K778" s="14">
        <v>0</v>
      </c>
      <c r="L778" s="12">
        <v>1</v>
      </c>
      <c r="M778" s="13">
        <v>416</v>
      </c>
      <c r="N778" s="14">
        <v>416</v>
      </c>
      <c r="O778" s="12">
        <v>0</v>
      </c>
      <c r="P778" s="13"/>
      <c r="Q778" s="14">
        <v>0</v>
      </c>
      <c r="R778" s="11" t="s">
        <v>3005</v>
      </c>
      <c r="S778" s="11" t="s">
        <v>3006</v>
      </c>
      <c r="T778" s="11" t="s">
        <v>2966</v>
      </c>
    </row>
    <row r="779" spans="1:20" ht="50.1" hidden="1" customHeight="1">
      <c r="A779" s="10">
        <v>778</v>
      </c>
      <c r="B779" s="11" t="s">
        <v>1000</v>
      </c>
      <c r="C779" s="11" t="s">
        <v>1001</v>
      </c>
      <c r="D779" s="11" t="s">
        <v>17</v>
      </c>
      <c r="E779" s="11" t="s">
        <v>8</v>
      </c>
      <c r="F779" s="12">
        <v>211</v>
      </c>
      <c r="G779" s="13">
        <v>416</v>
      </c>
      <c r="H779" s="14">
        <v>87776</v>
      </c>
      <c r="I779" s="12">
        <v>0</v>
      </c>
      <c r="J779" s="13"/>
      <c r="K779" s="14">
        <v>0</v>
      </c>
      <c r="L779" s="12">
        <v>10</v>
      </c>
      <c r="M779" s="13">
        <v>416</v>
      </c>
      <c r="N779" s="14">
        <v>4160</v>
      </c>
      <c r="O779" s="12">
        <v>201</v>
      </c>
      <c r="P779" s="13">
        <v>416</v>
      </c>
      <c r="Q779" s="14">
        <v>83616</v>
      </c>
      <c r="R779" s="11" t="s">
        <v>3005</v>
      </c>
      <c r="S779" s="11" t="s">
        <v>3006</v>
      </c>
      <c r="T779" s="11" t="s">
        <v>2966</v>
      </c>
    </row>
    <row r="780" spans="1:20" ht="50.1" hidden="1" customHeight="1">
      <c r="A780" s="10">
        <v>779</v>
      </c>
      <c r="B780" s="11" t="s">
        <v>1002</v>
      </c>
      <c r="C780" s="11" t="s">
        <v>1003</v>
      </c>
      <c r="D780" s="11" t="s">
        <v>17</v>
      </c>
      <c r="E780" s="11" t="s">
        <v>8</v>
      </c>
      <c r="F780" s="12">
        <v>1293</v>
      </c>
      <c r="G780" s="13">
        <v>592</v>
      </c>
      <c r="H780" s="14">
        <v>765456</v>
      </c>
      <c r="I780" s="12">
        <v>0</v>
      </c>
      <c r="J780" s="13"/>
      <c r="K780" s="14">
        <v>0</v>
      </c>
      <c r="L780" s="12">
        <v>14</v>
      </c>
      <c r="M780" s="13">
        <v>592</v>
      </c>
      <c r="N780" s="14">
        <v>8288</v>
      </c>
      <c r="O780" s="12">
        <v>1279</v>
      </c>
      <c r="P780" s="13">
        <v>592</v>
      </c>
      <c r="Q780" s="14">
        <v>757168</v>
      </c>
      <c r="R780" s="11" t="s">
        <v>3005</v>
      </c>
      <c r="S780" s="11" t="s">
        <v>3006</v>
      </c>
      <c r="T780" s="11" t="s">
        <v>2966</v>
      </c>
    </row>
    <row r="781" spans="1:20" ht="50.1" hidden="1" customHeight="1">
      <c r="A781" s="10">
        <v>780</v>
      </c>
      <c r="B781" s="11" t="s">
        <v>1004</v>
      </c>
      <c r="C781" s="11" t="s">
        <v>1005</v>
      </c>
      <c r="D781" s="11" t="s">
        <v>17</v>
      </c>
      <c r="E781" s="11" t="s">
        <v>8</v>
      </c>
      <c r="F781" s="12">
        <v>385</v>
      </c>
      <c r="G781" s="13">
        <v>683</v>
      </c>
      <c r="H781" s="14">
        <v>262955</v>
      </c>
      <c r="I781" s="12">
        <v>0</v>
      </c>
      <c r="J781" s="13"/>
      <c r="K781" s="14">
        <v>0</v>
      </c>
      <c r="L781" s="12">
        <v>20</v>
      </c>
      <c r="M781" s="13">
        <v>683</v>
      </c>
      <c r="N781" s="14">
        <v>13660</v>
      </c>
      <c r="O781" s="12">
        <v>365</v>
      </c>
      <c r="P781" s="13">
        <v>683</v>
      </c>
      <c r="Q781" s="14">
        <v>249295</v>
      </c>
      <c r="R781" s="11" t="s">
        <v>3005</v>
      </c>
      <c r="S781" s="11" t="s">
        <v>3006</v>
      </c>
      <c r="T781" s="11" t="s">
        <v>2966</v>
      </c>
    </row>
    <row r="782" spans="1:20" ht="50.1" hidden="1" customHeight="1">
      <c r="A782" s="10">
        <v>781</v>
      </c>
      <c r="B782" s="11" t="s">
        <v>1006</v>
      </c>
      <c r="C782" s="11" t="s">
        <v>1007</v>
      </c>
      <c r="D782" s="11" t="s">
        <v>17</v>
      </c>
      <c r="E782" s="11" t="s">
        <v>8</v>
      </c>
      <c r="F782" s="12">
        <v>8</v>
      </c>
      <c r="G782" s="13">
        <v>416</v>
      </c>
      <c r="H782" s="14">
        <v>3328</v>
      </c>
      <c r="I782" s="12">
        <v>0</v>
      </c>
      <c r="J782" s="13"/>
      <c r="K782" s="14">
        <v>0</v>
      </c>
      <c r="L782" s="12">
        <v>0</v>
      </c>
      <c r="M782" s="13"/>
      <c r="N782" s="14">
        <v>0</v>
      </c>
      <c r="O782" s="12">
        <v>8</v>
      </c>
      <c r="P782" s="13">
        <v>416</v>
      </c>
      <c r="Q782" s="14">
        <v>3328</v>
      </c>
      <c r="R782" s="11" t="s">
        <v>3005</v>
      </c>
      <c r="S782" s="11" t="s">
        <v>3006</v>
      </c>
      <c r="T782" s="11" t="s">
        <v>2966</v>
      </c>
    </row>
    <row r="783" spans="1:20" ht="50.1" hidden="1" customHeight="1">
      <c r="A783" s="10">
        <v>782</v>
      </c>
      <c r="B783" s="11" t="s">
        <v>1008</v>
      </c>
      <c r="C783" s="11" t="s">
        <v>1009</v>
      </c>
      <c r="D783" s="11" t="s">
        <v>17</v>
      </c>
      <c r="E783" s="11" t="s">
        <v>8</v>
      </c>
      <c r="F783" s="12">
        <v>157</v>
      </c>
      <c r="G783" s="13">
        <v>498</v>
      </c>
      <c r="H783" s="14">
        <v>78186</v>
      </c>
      <c r="I783" s="12">
        <v>0</v>
      </c>
      <c r="J783" s="13"/>
      <c r="K783" s="14">
        <v>0</v>
      </c>
      <c r="L783" s="12">
        <v>0</v>
      </c>
      <c r="M783" s="13"/>
      <c r="N783" s="14">
        <v>0</v>
      </c>
      <c r="O783" s="12">
        <v>157</v>
      </c>
      <c r="P783" s="13">
        <v>498</v>
      </c>
      <c r="Q783" s="14">
        <v>78186</v>
      </c>
      <c r="R783" s="11" t="s">
        <v>3005</v>
      </c>
      <c r="S783" s="11" t="s">
        <v>3006</v>
      </c>
      <c r="T783" s="11" t="s">
        <v>2966</v>
      </c>
    </row>
    <row r="784" spans="1:20" ht="50.1" hidden="1" customHeight="1">
      <c r="A784" s="10">
        <v>783</v>
      </c>
      <c r="B784" s="11" t="s">
        <v>2195</v>
      </c>
      <c r="C784" s="11" t="s">
        <v>2196</v>
      </c>
      <c r="D784" s="11" t="s">
        <v>17</v>
      </c>
      <c r="E784" s="11" t="s">
        <v>8</v>
      </c>
      <c r="F784" s="12">
        <v>2</v>
      </c>
      <c r="G784" s="13">
        <v>498</v>
      </c>
      <c r="H784" s="14">
        <v>996</v>
      </c>
      <c r="I784" s="12">
        <v>0</v>
      </c>
      <c r="J784" s="13"/>
      <c r="K784" s="14">
        <v>0</v>
      </c>
      <c r="L784" s="12">
        <v>0</v>
      </c>
      <c r="M784" s="13"/>
      <c r="N784" s="14">
        <v>0</v>
      </c>
      <c r="O784" s="12">
        <v>2</v>
      </c>
      <c r="P784" s="13">
        <v>498</v>
      </c>
      <c r="Q784" s="14">
        <v>996</v>
      </c>
      <c r="R784" s="11" t="s">
        <v>3005</v>
      </c>
      <c r="S784" s="11" t="s">
        <v>3006</v>
      </c>
      <c r="T784" s="11" t="s">
        <v>2966</v>
      </c>
    </row>
    <row r="785" spans="1:20" ht="50.1" hidden="1" customHeight="1">
      <c r="A785" s="10">
        <v>784</v>
      </c>
      <c r="B785" s="11" t="s">
        <v>1010</v>
      </c>
      <c r="C785" s="11" t="s">
        <v>1011</v>
      </c>
      <c r="D785" s="11" t="s">
        <v>17</v>
      </c>
      <c r="E785" s="11" t="s">
        <v>8</v>
      </c>
      <c r="F785" s="12">
        <v>345</v>
      </c>
      <c r="G785" s="13">
        <v>590</v>
      </c>
      <c r="H785" s="14">
        <v>203550</v>
      </c>
      <c r="I785" s="12">
        <v>0</v>
      </c>
      <c r="J785" s="13"/>
      <c r="K785" s="14">
        <v>0</v>
      </c>
      <c r="L785" s="12">
        <v>0</v>
      </c>
      <c r="M785" s="13"/>
      <c r="N785" s="14">
        <v>0</v>
      </c>
      <c r="O785" s="12">
        <v>345</v>
      </c>
      <c r="P785" s="13">
        <v>590</v>
      </c>
      <c r="Q785" s="14">
        <v>203550</v>
      </c>
      <c r="R785" s="11" t="s">
        <v>3005</v>
      </c>
      <c r="S785" s="11" t="s">
        <v>3006</v>
      </c>
      <c r="T785" s="11" t="s">
        <v>2966</v>
      </c>
    </row>
    <row r="786" spans="1:20" ht="50.1" hidden="1" customHeight="1">
      <c r="A786" s="10">
        <v>785</v>
      </c>
      <c r="B786" s="11" t="s">
        <v>1012</v>
      </c>
      <c r="C786" s="11" t="s">
        <v>1013</v>
      </c>
      <c r="D786" s="11" t="s">
        <v>17</v>
      </c>
      <c r="E786" s="11" t="s">
        <v>8</v>
      </c>
      <c r="F786" s="12">
        <v>538</v>
      </c>
      <c r="G786" s="13">
        <v>592</v>
      </c>
      <c r="H786" s="14">
        <v>318496</v>
      </c>
      <c r="I786" s="12">
        <v>0</v>
      </c>
      <c r="J786" s="13"/>
      <c r="K786" s="14">
        <v>0</v>
      </c>
      <c r="L786" s="12">
        <v>33</v>
      </c>
      <c r="M786" s="13">
        <v>592</v>
      </c>
      <c r="N786" s="14">
        <v>19536</v>
      </c>
      <c r="O786" s="12">
        <v>505</v>
      </c>
      <c r="P786" s="13">
        <v>592</v>
      </c>
      <c r="Q786" s="14">
        <v>298960</v>
      </c>
      <c r="R786" s="11" t="s">
        <v>3005</v>
      </c>
      <c r="S786" s="11" t="s">
        <v>3006</v>
      </c>
      <c r="T786" s="11" t="s">
        <v>2966</v>
      </c>
    </row>
    <row r="787" spans="1:20" ht="50.1" hidden="1" customHeight="1">
      <c r="A787" s="10">
        <v>786</v>
      </c>
      <c r="B787" s="11" t="s">
        <v>2199</v>
      </c>
      <c r="C787" s="11" t="s">
        <v>2200</v>
      </c>
      <c r="D787" s="11" t="s">
        <v>17</v>
      </c>
      <c r="E787" s="11" t="s">
        <v>8</v>
      </c>
      <c r="F787" s="12">
        <v>1</v>
      </c>
      <c r="G787" s="13">
        <v>639</v>
      </c>
      <c r="H787" s="14">
        <v>639</v>
      </c>
      <c r="I787" s="12">
        <v>0</v>
      </c>
      <c r="J787" s="13"/>
      <c r="K787" s="14">
        <v>0</v>
      </c>
      <c r="L787" s="12">
        <v>1</v>
      </c>
      <c r="M787" s="13">
        <v>639</v>
      </c>
      <c r="N787" s="14">
        <v>639</v>
      </c>
      <c r="O787" s="12">
        <v>0</v>
      </c>
      <c r="P787" s="13"/>
      <c r="Q787" s="14">
        <v>0</v>
      </c>
      <c r="R787" s="11" t="s">
        <v>3005</v>
      </c>
      <c r="S787" s="11" t="s">
        <v>3006</v>
      </c>
      <c r="T787" s="11" t="s">
        <v>2966</v>
      </c>
    </row>
    <row r="788" spans="1:20" ht="50.1" hidden="1" customHeight="1">
      <c r="A788" s="10">
        <v>787</v>
      </c>
      <c r="B788" s="11" t="s">
        <v>1014</v>
      </c>
      <c r="C788" s="11" t="s">
        <v>1015</v>
      </c>
      <c r="D788" s="11" t="s">
        <v>17</v>
      </c>
      <c r="E788" s="11" t="s">
        <v>8</v>
      </c>
      <c r="F788" s="12">
        <v>559</v>
      </c>
      <c r="G788" s="13">
        <v>684</v>
      </c>
      <c r="H788" s="14">
        <v>382356</v>
      </c>
      <c r="I788" s="12">
        <v>0</v>
      </c>
      <c r="J788" s="13"/>
      <c r="K788" s="14">
        <v>0</v>
      </c>
      <c r="L788" s="12">
        <v>54</v>
      </c>
      <c r="M788" s="13">
        <v>684</v>
      </c>
      <c r="N788" s="14">
        <v>36936</v>
      </c>
      <c r="O788" s="12">
        <v>505</v>
      </c>
      <c r="P788" s="13">
        <v>684</v>
      </c>
      <c r="Q788" s="14">
        <v>345420</v>
      </c>
      <c r="R788" s="11" t="s">
        <v>3005</v>
      </c>
      <c r="S788" s="11" t="s">
        <v>3006</v>
      </c>
      <c r="T788" s="11" t="s">
        <v>2966</v>
      </c>
    </row>
    <row r="789" spans="1:20" ht="50.1" hidden="1" customHeight="1">
      <c r="A789" s="10">
        <v>788</v>
      </c>
      <c r="B789" s="11" t="s">
        <v>1016</v>
      </c>
      <c r="C789" s="11" t="s">
        <v>1017</v>
      </c>
      <c r="D789" s="11" t="s">
        <v>17</v>
      </c>
      <c r="E789" s="11" t="s">
        <v>8</v>
      </c>
      <c r="F789" s="12">
        <v>24</v>
      </c>
      <c r="G789" s="13">
        <v>360</v>
      </c>
      <c r="H789" s="14">
        <v>8640</v>
      </c>
      <c r="I789" s="12">
        <v>0</v>
      </c>
      <c r="J789" s="13"/>
      <c r="K789" s="14">
        <v>0</v>
      </c>
      <c r="L789" s="12">
        <v>0</v>
      </c>
      <c r="M789" s="13"/>
      <c r="N789" s="14">
        <v>0</v>
      </c>
      <c r="O789" s="12">
        <v>24</v>
      </c>
      <c r="P789" s="13">
        <v>360</v>
      </c>
      <c r="Q789" s="14">
        <v>8640</v>
      </c>
      <c r="R789" s="11" t="s">
        <v>3005</v>
      </c>
      <c r="S789" s="11" t="s">
        <v>3006</v>
      </c>
      <c r="T789" s="11" t="s">
        <v>2966</v>
      </c>
    </row>
    <row r="790" spans="1:20" ht="50.1" hidden="1" customHeight="1">
      <c r="A790" s="10">
        <v>789</v>
      </c>
      <c r="B790" s="11" t="s">
        <v>2203</v>
      </c>
      <c r="C790" s="11" t="s">
        <v>2204</v>
      </c>
      <c r="D790" s="11" t="s">
        <v>17</v>
      </c>
      <c r="E790" s="11" t="s">
        <v>8</v>
      </c>
      <c r="F790" s="12">
        <v>1</v>
      </c>
      <c r="G790" s="13">
        <v>573</v>
      </c>
      <c r="H790" s="14">
        <v>573</v>
      </c>
      <c r="I790" s="12">
        <v>0</v>
      </c>
      <c r="J790" s="13"/>
      <c r="K790" s="14">
        <v>0</v>
      </c>
      <c r="L790" s="12">
        <v>0</v>
      </c>
      <c r="M790" s="13"/>
      <c r="N790" s="14">
        <v>0</v>
      </c>
      <c r="O790" s="12">
        <v>1</v>
      </c>
      <c r="P790" s="13">
        <v>573</v>
      </c>
      <c r="Q790" s="14">
        <v>573</v>
      </c>
      <c r="R790" s="11" t="s">
        <v>3005</v>
      </c>
      <c r="S790" s="11" t="s">
        <v>3006</v>
      </c>
      <c r="T790" s="11" t="s">
        <v>2966</v>
      </c>
    </row>
    <row r="791" spans="1:20" ht="50.1" hidden="1" customHeight="1">
      <c r="A791" s="10">
        <v>790</v>
      </c>
      <c r="B791" s="11" t="s">
        <v>1018</v>
      </c>
      <c r="C791" s="11" t="s">
        <v>1019</v>
      </c>
      <c r="D791" s="11" t="s">
        <v>17</v>
      </c>
      <c r="E791" s="11" t="s">
        <v>8</v>
      </c>
      <c r="F791" s="12">
        <v>4</v>
      </c>
      <c r="G791" s="13">
        <v>500</v>
      </c>
      <c r="H791" s="14">
        <v>2000</v>
      </c>
      <c r="I791" s="12">
        <v>0</v>
      </c>
      <c r="J791" s="13"/>
      <c r="K791" s="14">
        <v>0</v>
      </c>
      <c r="L791" s="12">
        <v>0</v>
      </c>
      <c r="M791" s="13"/>
      <c r="N791" s="14">
        <v>0</v>
      </c>
      <c r="O791" s="12">
        <v>4</v>
      </c>
      <c r="P791" s="13">
        <v>500</v>
      </c>
      <c r="Q791" s="14">
        <v>2000</v>
      </c>
      <c r="R791" s="11" t="s">
        <v>3005</v>
      </c>
      <c r="S791" s="11" t="s">
        <v>3006</v>
      </c>
      <c r="T791" s="11" t="s">
        <v>2966</v>
      </c>
    </row>
    <row r="792" spans="1:20" ht="50.1" hidden="1" customHeight="1">
      <c r="A792" s="10">
        <v>791</v>
      </c>
      <c r="B792" s="11" t="s">
        <v>2205</v>
      </c>
      <c r="C792" s="11" t="s">
        <v>2206</v>
      </c>
      <c r="D792" s="11" t="s">
        <v>17</v>
      </c>
      <c r="E792" s="11" t="s">
        <v>8</v>
      </c>
      <c r="F792" s="12">
        <v>1</v>
      </c>
      <c r="G792" s="13">
        <v>594</v>
      </c>
      <c r="H792" s="14">
        <v>594</v>
      </c>
      <c r="I792" s="12">
        <v>0</v>
      </c>
      <c r="J792" s="13"/>
      <c r="K792" s="14">
        <v>0</v>
      </c>
      <c r="L792" s="12">
        <v>0</v>
      </c>
      <c r="M792" s="13"/>
      <c r="N792" s="14">
        <v>0</v>
      </c>
      <c r="O792" s="12">
        <v>1</v>
      </c>
      <c r="P792" s="13">
        <v>594</v>
      </c>
      <c r="Q792" s="14">
        <v>594</v>
      </c>
      <c r="R792" s="11" t="s">
        <v>3005</v>
      </c>
      <c r="S792" s="11" t="s">
        <v>3006</v>
      </c>
      <c r="T792" s="11" t="s">
        <v>2966</v>
      </c>
    </row>
    <row r="793" spans="1:20" ht="50.1" hidden="1" customHeight="1">
      <c r="A793" s="10">
        <v>792</v>
      </c>
      <c r="B793" s="11" t="s">
        <v>2213</v>
      </c>
      <c r="C793" s="11" t="s">
        <v>2214</v>
      </c>
      <c r="D793" s="11" t="s">
        <v>17</v>
      </c>
      <c r="E793" s="11" t="s">
        <v>8</v>
      </c>
      <c r="F793" s="12">
        <v>1</v>
      </c>
      <c r="G793" s="13">
        <v>430</v>
      </c>
      <c r="H793" s="14">
        <v>430</v>
      </c>
      <c r="I793" s="12">
        <v>0</v>
      </c>
      <c r="J793" s="13"/>
      <c r="K793" s="14">
        <v>0</v>
      </c>
      <c r="L793" s="12">
        <v>0</v>
      </c>
      <c r="M793" s="13"/>
      <c r="N793" s="14">
        <v>0</v>
      </c>
      <c r="O793" s="12">
        <v>1</v>
      </c>
      <c r="P793" s="13">
        <v>430</v>
      </c>
      <c r="Q793" s="14">
        <v>430</v>
      </c>
      <c r="R793" s="11" t="s">
        <v>3005</v>
      </c>
      <c r="S793" s="11" t="s">
        <v>3006</v>
      </c>
      <c r="T793" s="11" t="s">
        <v>2966</v>
      </c>
    </row>
    <row r="794" spans="1:20" ht="50.1" hidden="1" customHeight="1">
      <c r="A794" s="10">
        <v>793</v>
      </c>
      <c r="B794" s="11" t="s">
        <v>2215</v>
      </c>
      <c r="C794" s="11" t="s">
        <v>2216</v>
      </c>
      <c r="D794" s="11" t="s">
        <v>17</v>
      </c>
      <c r="E794" s="11" t="s">
        <v>8</v>
      </c>
      <c r="F794" s="12">
        <v>1</v>
      </c>
      <c r="G794" s="13">
        <v>516</v>
      </c>
      <c r="H794" s="14">
        <v>516</v>
      </c>
      <c r="I794" s="12">
        <v>0</v>
      </c>
      <c r="J794" s="13"/>
      <c r="K794" s="14">
        <v>0</v>
      </c>
      <c r="L794" s="12">
        <v>0</v>
      </c>
      <c r="M794" s="13"/>
      <c r="N794" s="14">
        <v>0</v>
      </c>
      <c r="O794" s="12">
        <v>1</v>
      </c>
      <c r="P794" s="13">
        <v>516</v>
      </c>
      <c r="Q794" s="14">
        <v>516</v>
      </c>
      <c r="R794" s="11" t="s">
        <v>3005</v>
      </c>
      <c r="S794" s="11" t="s">
        <v>3006</v>
      </c>
      <c r="T794" s="11" t="s">
        <v>2966</v>
      </c>
    </row>
    <row r="795" spans="1:20" ht="50.1" hidden="1" customHeight="1">
      <c r="A795" s="10">
        <v>794</v>
      </c>
      <c r="B795" s="11" t="s">
        <v>2217</v>
      </c>
      <c r="C795" s="11" t="s">
        <v>2218</v>
      </c>
      <c r="D795" s="11" t="s">
        <v>17</v>
      </c>
      <c r="E795" s="11" t="s">
        <v>8</v>
      </c>
      <c r="F795" s="12">
        <v>1</v>
      </c>
      <c r="G795" s="13">
        <v>602</v>
      </c>
      <c r="H795" s="14">
        <v>602</v>
      </c>
      <c r="I795" s="12">
        <v>0</v>
      </c>
      <c r="J795" s="13"/>
      <c r="K795" s="14">
        <v>0</v>
      </c>
      <c r="L795" s="12">
        <v>0</v>
      </c>
      <c r="M795" s="13"/>
      <c r="N795" s="14">
        <v>0</v>
      </c>
      <c r="O795" s="12">
        <v>1</v>
      </c>
      <c r="P795" s="13">
        <v>602</v>
      </c>
      <c r="Q795" s="14">
        <v>602</v>
      </c>
      <c r="R795" s="11" t="s">
        <v>3005</v>
      </c>
      <c r="S795" s="11" t="s">
        <v>3006</v>
      </c>
      <c r="T795" s="11" t="s">
        <v>2966</v>
      </c>
    </row>
    <row r="796" spans="1:20" ht="50.1" hidden="1" customHeight="1">
      <c r="A796" s="10">
        <v>795</v>
      </c>
      <c r="B796" s="11" t="s">
        <v>2219</v>
      </c>
      <c r="C796" s="11" t="s">
        <v>2220</v>
      </c>
      <c r="D796" s="11" t="s">
        <v>17</v>
      </c>
      <c r="E796" s="11" t="s">
        <v>8</v>
      </c>
      <c r="F796" s="12">
        <v>2</v>
      </c>
      <c r="G796" s="13">
        <v>595</v>
      </c>
      <c r="H796" s="14">
        <v>1190</v>
      </c>
      <c r="I796" s="12">
        <v>0</v>
      </c>
      <c r="J796" s="13"/>
      <c r="K796" s="14">
        <v>0</v>
      </c>
      <c r="L796" s="12">
        <v>0</v>
      </c>
      <c r="M796" s="13"/>
      <c r="N796" s="14">
        <v>0</v>
      </c>
      <c r="O796" s="12">
        <v>2</v>
      </c>
      <c r="P796" s="13">
        <v>595</v>
      </c>
      <c r="Q796" s="14">
        <v>1190</v>
      </c>
      <c r="R796" s="11" t="s">
        <v>3005</v>
      </c>
      <c r="S796" s="11" t="s">
        <v>3006</v>
      </c>
      <c r="T796" s="11" t="s">
        <v>2966</v>
      </c>
    </row>
    <row r="797" spans="1:20" ht="50.1" hidden="1" customHeight="1">
      <c r="A797" s="10">
        <v>796</v>
      </c>
      <c r="B797" s="11" t="s">
        <v>1022</v>
      </c>
      <c r="C797" s="11" t="s">
        <v>1023</v>
      </c>
      <c r="D797" s="11" t="s">
        <v>17</v>
      </c>
      <c r="E797" s="11" t="s">
        <v>8</v>
      </c>
      <c r="F797" s="12">
        <v>3810</v>
      </c>
      <c r="G797" s="13">
        <v>7.2601076100000004</v>
      </c>
      <c r="H797" s="14">
        <v>27661.01</v>
      </c>
      <c r="I797" s="12">
        <v>0</v>
      </c>
      <c r="J797" s="13"/>
      <c r="K797" s="14">
        <v>0</v>
      </c>
      <c r="L797" s="12">
        <v>0</v>
      </c>
      <c r="M797" s="13"/>
      <c r="N797" s="14">
        <v>0</v>
      </c>
      <c r="O797" s="12">
        <v>3810</v>
      </c>
      <c r="P797" s="13">
        <v>7.2601076100000004</v>
      </c>
      <c r="Q797" s="14">
        <v>27661.01</v>
      </c>
      <c r="R797" s="11" t="s">
        <v>2971</v>
      </c>
      <c r="S797" s="11" t="s">
        <v>2972</v>
      </c>
      <c r="T797" s="11" t="s">
        <v>2961</v>
      </c>
    </row>
    <row r="798" spans="1:20" ht="50.1" hidden="1" customHeight="1">
      <c r="A798" s="10">
        <v>797</v>
      </c>
      <c r="B798" s="11" t="s">
        <v>1720</v>
      </c>
      <c r="C798" s="11" t="s">
        <v>1721</v>
      </c>
      <c r="D798" s="11" t="s">
        <v>17</v>
      </c>
      <c r="E798" s="11" t="s">
        <v>8</v>
      </c>
      <c r="F798" s="12">
        <v>10000</v>
      </c>
      <c r="G798" s="13">
        <v>0.96928400000000003</v>
      </c>
      <c r="H798" s="14">
        <v>9692.84</v>
      </c>
      <c r="I798" s="12">
        <v>0</v>
      </c>
      <c r="J798" s="13"/>
      <c r="K798" s="14">
        <v>0</v>
      </c>
      <c r="L798" s="12">
        <v>0</v>
      </c>
      <c r="M798" s="13"/>
      <c r="N798" s="14">
        <v>0</v>
      </c>
      <c r="O798" s="12">
        <v>10000</v>
      </c>
      <c r="P798" s="13">
        <v>0.96928400000000003</v>
      </c>
      <c r="Q798" s="14">
        <v>9692.84</v>
      </c>
      <c r="R798" s="11" t="s">
        <v>2971</v>
      </c>
      <c r="S798" s="11" t="s">
        <v>2972</v>
      </c>
      <c r="T798" s="11" t="s">
        <v>2961</v>
      </c>
    </row>
    <row r="799" spans="1:20" ht="50.1" hidden="1" customHeight="1">
      <c r="A799" s="10">
        <v>798</v>
      </c>
      <c r="B799" s="11" t="s">
        <v>1722</v>
      </c>
      <c r="C799" s="11" t="s">
        <v>1723</v>
      </c>
      <c r="D799" s="11" t="s">
        <v>17</v>
      </c>
      <c r="E799" s="11" t="s">
        <v>8</v>
      </c>
      <c r="F799" s="12">
        <v>684</v>
      </c>
      <c r="G799" s="13">
        <v>294</v>
      </c>
      <c r="H799" s="14">
        <v>201096</v>
      </c>
      <c r="I799" s="12">
        <v>0</v>
      </c>
      <c r="J799" s="13"/>
      <c r="K799" s="14">
        <v>0</v>
      </c>
      <c r="L799" s="12">
        <v>78</v>
      </c>
      <c r="M799" s="13">
        <v>294</v>
      </c>
      <c r="N799" s="14">
        <v>22932</v>
      </c>
      <c r="O799" s="12">
        <v>606</v>
      </c>
      <c r="P799" s="13">
        <v>294</v>
      </c>
      <c r="Q799" s="14">
        <v>178164</v>
      </c>
      <c r="R799" s="11" t="s">
        <v>3005</v>
      </c>
      <c r="S799" s="11" t="s">
        <v>3006</v>
      </c>
      <c r="T799" s="11" t="s">
        <v>2966</v>
      </c>
    </row>
    <row r="800" spans="1:20" ht="50.1" hidden="1" customHeight="1">
      <c r="A800" s="10">
        <v>799</v>
      </c>
      <c r="B800" s="11" t="s">
        <v>1724</v>
      </c>
      <c r="C800" s="11" t="s">
        <v>1725</v>
      </c>
      <c r="D800" s="11" t="s">
        <v>17</v>
      </c>
      <c r="E800" s="11" t="s">
        <v>8</v>
      </c>
      <c r="F800" s="12">
        <v>2236</v>
      </c>
      <c r="G800" s="13">
        <v>369</v>
      </c>
      <c r="H800" s="14">
        <v>825084</v>
      </c>
      <c r="I800" s="12">
        <v>0</v>
      </c>
      <c r="J800" s="13"/>
      <c r="K800" s="14">
        <v>0</v>
      </c>
      <c r="L800" s="12">
        <v>702</v>
      </c>
      <c r="M800" s="13">
        <v>369</v>
      </c>
      <c r="N800" s="14">
        <v>259038</v>
      </c>
      <c r="O800" s="12">
        <v>1534</v>
      </c>
      <c r="P800" s="13">
        <v>369</v>
      </c>
      <c r="Q800" s="14">
        <v>566046</v>
      </c>
      <c r="R800" s="11" t="s">
        <v>3005</v>
      </c>
      <c r="S800" s="11" t="s">
        <v>3006</v>
      </c>
      <c r="T800" s="11" t="s">
        <v>2966</v>
      </c>
    </row>
    <row r="801" spans="1:20" ht="50.1" hidden="1" customHeight="1">
      <c r="A801" s="10">
        <v>800</v>
      </c>
      <c r="B801" s="11" t="s">
        <v>1726</v>
      </c>
      <c r="C801" s="11" t="s">
        <v>1727</v>
      </c>
      <c r="D801" s="11" t="s">
        <v>17</v>
      </c>
      <c r="E801" s="11" t="s">
        <v>8</v>
      </c>
      <c r="F801" s="12">
        <v>1410</v>
      </c>
      <c r="G801" s="13">
        <v>394</v>
      </c>
      <c r="H801" s="14">
        <v>555540</v>
      </c>
      <c r="I801" s="12">
        <v>1340</v>
      </c>
      <c r="J801" s="13">
        <v>394</v>
      </c>
      <c r="K801" s="14">
        <v>527960</v>
      </c>
      <c r="L801" s="12">
        <v>930</v>
      </c>
      <c r="M801" s="13">
        <v>394</v>
      </c>
      <c r="N801" s="14">
        <v>366420</v>
      </c>
      <c r="O801" s="12">
        <v>1820</v>
      </c>
      <c r="P801" s="13">
        <v>394</v>
      </c>
      <c r="Q801" s="14">
        <v>717080</v>
      </c>
      <c r="R801" s="11" t="s">
        <v>3005</v>
      </c>
      <c r="S801" s="11" t="s">
        <v>3006</v>
      </c>
      <c r="T801" s="11" t="s">
        <v>2966</v>
      </c>
    </row>
    <row r="802" spans="1:20" ht="50.1" hidden="1" customHeight="1">
      <c r="A802" s="10">
        <v>801</v>
      </c>
      <c r="B802" s="11" t="s">
        <v>1728</v>
      </c>
      <c r="C802" s="11" t="s">
        <v>1729</v>
      </c>
      <c r="D802" s="11" t="s">
        <v>17</v>
      </c>
      <c r="E802" s="11" t="s">
        <v>8</v>
      </c>
      <c r="F802" s="12">
        <v>4922</v>
      </c>
      <c r="G802" s="13">
        <v>291</v>
      </c>
      <c r="H802" s="14">
        <v>1432302</v>
      </c>
      <c r="I802" s="12">
        <v>11273</v>
      </c>
      <c r="J802" s="13">
        <v>291</v>
      </c>
      <c r="K802" s="14">
        <v>3280443</v>
      </c>
      <c r="L802" s="12">
        <v>7377</v>
      </c>
      <c r="M802" s="13">
        <v>291</v>
      </c>
      <c r="N802" s="14">
        <v>2146707</v>
      </c>
      <c r="O802" s="12">
        <v>8818</v>
      </c>
      <c r="P802" s="13">
        <v>291</v>
      </c>
      <c r="Q802" s="14">
        <v>2566038</v>
      </c>
      <c r="R802" s="11" t="s">
        <v>3005</v>
      </c>
      <c r="S802" s="11" t="s">
        <v>3006</v>
      </c>
      <c r="T802" s="11" t="s">
        <v>2966</v>
      </c>
    </row>
    <row r="803" spans="1:20" ht="50.1" hidden="1" customHeight="1">
      <c r="A803" s="10">
        <v>802</v>
      </c>
      <c r="B803" s="11" t="s">
        <v>1730</v>
      </c>
      <c r="C803" s="11" t="s">
        <v>1731</v>
      </c>
      <c r="D803" s="11" t="s">
        <v>17</v>
      </c>
      <c r="E803" s="11" t="s">
        <v>8</v>
      </c>
      <c r="F803" s="12">
        <v>3720</v>
      </c>
      <c r="G803" s="13">
        <v>112</v>
      </c>
      <c r="H803" s="14">
        <v>416640</v>
      </c>
      <c r="I803" s="12">
        <v>640</v>
      </c>
      <c r="J803" s="13">
        <v>112</v>
      </c>
      <c r="K803" s="14">
        <v>71680</v>
      </c>
      <c r="L803" s="12">
        <v>2459</v>
      </c>
      <c r="M803" s="13">
        <v>112</v>
      </c>
      <c r="N803" s="14">
        <v>275408</v>
      </c>
      <c r="O803" s="12">
        <v>1901</v>
      </c>
      <c r="P803" s="13">
        <v>112</v>
      </c>
      <c r="Q803" s="14">
        <v>212912</v>
      </c>
      <c r="R803" s="11" t="s">
        <v>3005</v>
      </c>
      <c r="S803" s="11" t="s">
        <v>3006</v>
      </c>
      <c r="T803" s="11" t="s">
        <v>2966</v>
      </c>
    </row>
    <row r="804" spans="1:20" ht="50.1" hidden="1" customHeight="1">
      <c r="A804" s="10">
        <v>803</v>
      </c>
      <c r="B804" s="11" t="s">
        <v>1732</v>
      </c>
      <c r="C804" s="11" t="s">
        <v>1733</v>
      </c>
      <c r="D804" s="11" t="s">
        <v>17</v>
      </c>
      <c r="E804" s="11" t="s">
        <v>8</v>
      </c>
      <c r="F804" s="12">
        <v>1770</v>
      </c>
      <c r="G804" s="13">
        <v>163.48240677999999</v>
      </c>
      <c r="H804" s="14">
        <v>289363.86</v>
      </c>
      <c r="I804" s="12">
        <v>6495</v>
      </c>
      <c r="J804" s="13">
        <v>163.75635104</v>
      </c>
      <c r="K804" s="14">
        <v>1063597.5</v>
      </c>
      <c r="L804" s="12">
        <v>8238</v>
      </c>
      <c r="M804" s="13">
        <v>163.69669579999999</v>
      </c>
      <c r="N804" s="14">
        <v>1348533.38</v>
      </c>
      <c r="O804" s="12">
        <v>27</v>
      </c>
      <c r="P804" s="13">
        <v>163.99925926</v>
      </c>
      <c r="Q804" s="14">
        <v>4427.9799999999996</v>
      </c>
      <c r="R804" s="11" t="s">
        <v>3005</v>
      </c>
      <c r="S804" s="11" t="s">
        <v>3006</v>
      </c>
      <c r="T804" s="11" t="s">
        <v>2966</v>
      </c>
    </row>
    <row r="805" spans="1:20" ht="50.1" hidden="1" customHeight="1">
      <c r="A805" s="10">
        <v>804</v>
      </c>
      <c r="B805" s="11" t="s">
        <v>3422</v>
      </c>
      <c r="C805" s="11" t="s">
        <v>3423</v>
      </c>
      <c r="D805" s="11" t="s">
        <v>17</v>
      </c>
      <c r="E805" s="11" t="s">
        <v>8</v>
      </c>
      <c r="F805" s="12">
        <v>1090</v>
      </c>
      <c r="G805" s="13">
        <v>0.9</v>
      </c>
      <c r="H805" s="14">
        <v>981</v>
      </c>
      <c r="I805" s="12">
        <v>0</v>
      </c>
      <c r="J805" s="13"/>
      <c r="K805" s="14">
        <v>0</v>
      </c>
      <c r="L805" s="12">
        <v>0</v>
      </c>
      <c r="M805" s="13"/>
      <c r="N805" s="14">
        <v>0</v>
      </c>
      <c r="O805" s="12">
        <v>1090</v>
      </c>
      <c r="P805" s="13">
        <v>0.9</v>
      </c>
      <c r="Q805" s="14">
        <v>981</v>
      </c>
      <c r="R805" s="11" t="s">
        <v>2971</v>
      </c>
      <c r="S805" s="11" t="s">
        <v>2972</v>
      </c>
      <c r="T805" s="11" t="s">
        <v>2966</v>
      </c>
    </row>
    <row r="806" spans="1:20" ht="50.1" hidden="1" customHeight="1">
      <c r="A806" s="10">
        <v>805</v>
      </c>
      <c r="B806" s="11" t="s">
        <v>1734</v>
      </c>
      <c r="C806" s="11" t="s">
        <v>1735</v>
      </c>
      <c r="D806" s="11" t="s">
        <v>17</v>
      </c>
      <c r="E806" s="11" t="s">
        <v>8</v>
      </c>
      <c r="F806" s="12">
        <v>7000</v>
      </c>
      <c r="G806" s="13">
        <v>0.59991000000000005</v>
      </c>
      <c r="H806" s="14">
        <v>4199.37</v>
      </c>
      <c r="I806" s="12">
        <v>0</v>
      </c>
      <c r="J806" s="13"/>
      <c r="K806" s="14">
        <v>0</v>
      </c>
      <c r="L806" s="12">
        <v>0</v>
      </c>
      <c r="M806" s="13"/>
      <c r="N806" s="14">
        <v>0</v>
      </c>
      <c r="O806" s="12">
        <v>7000</v>
      </c>
      <c r="P806" s="13">
        <v>0.59991000000000005</v>
      </c>
      <c r="Q806" s="14">
        <v>4199.37</v>
      </c>
      <c r="R806" s="11" t="s">
        <v>2971</v>
      </c>
      <c r="S806" s="11" t="s">
        <v>2972</v>
      </c>
      <c r="T806" s="11" t="s">
        <v>2961</v>
      </c>
    </row>
    <row r="807" spans="1:20" ht="50.1" hidden="1" customHeight="1">
      <c r="A807" s="10">
        <v>806</v>
      </c>
      <c r="B807" s="11" t="s">
        <v>2544</v>
      </c>
      <c r="C807" s="11" t="s">
        <v>2545</v>
      </c>
      <c r="D807" s="11" t="s">
        <v>17</v>
      </c>
      <c r="E807" s="11" t="s">
        <v>8</v>
      </c>
      <c r="F807" s="12">
        <v>600</v>
      </c>
      <c r="G807" s="13">
        <v>7.5714333299999996</v>
      </c>
      <c r="H807" s="14">
        <v>4542.8599999999997</v>
      </c>
      <c r="I807" s="12">
        <v>0</v>
      </c>
      <c r="J807" s="13"/>
      <c r="K807" s="14">
        <v>0</v>
      </c>
      <c r="L807" s="12">
        <v>0</v>
      </c>
      <c r="M807" s="13"/>
      <c r="N807" s="14">
        <v>0</v>
      </c>
      <c r="O807" s="12">
        <v>600</v>
      </c>
      <c r="P807" s="13">
        <v>7.5714333299999996</v>
      </c>
      <c r="Q807" s="14">
        <v>4542.8599999999997</v>
      </c>
      <c r="R807" s="11" t="s">
        <v>2971</v>
      </c>
      <c r="S807" s="11" t="s">
        <v>2972</v>
      </c>
      <c r="T807" s="11" t="s">
        <v>2966</v>
      </c>
    </row>
    <row r="808" spans="1:20" ht="50.1" hidden="1" customHeight="1">
      <c r="A808" s="10">
        <v>807</v>
      </c>
      <c r="B808" s="11" t="s">
        <v>1736</v>
      </c>
      <c r="C808" s="11" t="s">
        <v>3026</v>
      </c>
      <c r="D808" s="11" t="s">
        <v>17</v>
      </c>
      <c r="E808" s="11" t="s">
        <v>8</v>
      </c>
      <c r="F808" s="12">
        <v>306</v>
      </c>
      <c r="G808" s="13">
        <v>6.5</v>
      </c>
      <c r="H808" s="14">
        <v>1989</v>
      </c>
      <c r="I808" s="12">
        <v>0</v>
      </c>
      <c r="J808" s="13"/>
      <c r="K808" s="14">
        <v>0</v>
      </c>
      <c r="L808" s="12">
        <v>0</v>
      </c>
      <c r="M808" s="13"/>
      <c r="N808" s="14">
        <v>0</v>
      </c>
      <c r="O808" s="12">
        <v>306</v>
      </c>
      <c r="P808" s="13">
        <v>6.5</v>
      </c>
      <c r="Q808" s="14">
        <v>1989</v>
      </c>
      <c r="R808" s="11" t="s">
        <v>2971</v>
      </c>
      <c r="S808" s="11" t="s">
        <v>2972</v>
      </c>
      <c r="T808" s="11" t="s">
        <v>2966</v>
      </c>
    </row>
    <row r="809" spans="1:20" ht="50.1" hidden="1" customHeight="1">
      <c r="A809" s="10">
        <v>808</v>
      </c>
      <c r="B809" s="11" t="s">
        <v>1740</v>
      </c>
      <c r="C809" s="11" t="s">
        <v>1741</v>
      </c>
      <c r="D809" s="11" t="s">
        <v>17</v>
      </c>
      <c r="E809" s="11" t="s">
        <v>8</v>
      </c>
      <c r="F809" s="12">
        <v>0</v>
      </c>
      <c r="G809" s="13"/>
      <c r="H809" s="14">
        <v>0</v>
      </c>
      <c r="I809" s="12">
        <v>49</v>
      </c>
      <c r="J809" s="13">
        <v>250</v>
      </c>
      <c r="K809" s="14">
        <v>12250</v>
      </c>
      <c r="L809" s="12">
        <v>25</v>
      </c>
      <c r="M809" s="13">
        <v>250</v>
      </c>
      <c r="N809" s="14">
        <v>6250</v>
      </c>
      <c r="O809" s="12">
        <v>24</v>
      </c>
      <c r="P809" s="13">
        <v>250</v>
      </c>
      <c r="Q809" s="14">
        <v>6000</v>
      </c>
      <c r="R809" s="11" t="s">
        <v>2990</v>
      </c>
      <c r="S809" s="11" t="s">
        <v>2991</v>
      </c>
      <c r="T809" s="11" t="s">
        <v>2966</v>
      </c>
    </row>
    <row r="810" spans="1:20" ht="50.1" hidden="1" customHeight="1">
      <c r="A810" s="10">
        <v>809</v>
      </c>
      <c r="B810" s="11" t="s">
        <v>2915</v>
      </c>
      <c r="C810" s="11" t="s">
        <v>2916</v>
      </c>
      <c r="D810" s="11" t="s">
        <v>17</v>
      </c>
      <c r="E810" s="11" t="s">
        <v>8</v>
      </c>
      <c r="F810" s="12">
        <v>826</v>
      </c>
      <c r="G810" s="13">
        <v>11</v>
      </c>
      <c r="H810" s="14">
        <v>9086</v>
      </c>
      <c r="I810" s="12">
        <v>0</v>
      </c>
      <c r="J810" s="13"/>
      <c r="K810" s="14">
        <v>0</v>
      </c>
      <c r="L810" s="12">
        <v>41</v>
      </c>
      <c r="M810" s="13">
        <v>11</v>
      </c>
      <c r="N810" s="14">
        <v>451</v>
      </c>
      <c r="O810" s="12">
        <v>785</v>
      </c>
      <c r="P810" s="13">
        <v>11</v>
      </c>
      <c r="Q810" s="14">
        <v>8635</v>
      </c>
      <c r="R810" s="11" t="s">
        <v>2971</v>
      </c>
      <c r="S810" s="11" t="s">
        <v>2972</v>
      </c>
      <c r="T810" s="11" t="s">
        <v>2966</v>
      </c>
    </row>
    <row r="811" spans="1:20" ht="50.1" hidden="1" customHeight="1">
      <c r="A811" s="10">
        <v>810</v>
      </c>
      <c r="B811" s="11" t="s">
        <v>2917</v>
      </c>
      <c r="C811" s="11" t="s">
        <v>2918</v>
      </c>
      <c r="D811" s="11" t="s">
        <v>17</v>
      </c>
      <c r="E811" s="11" t="s">
        <v>8</v>
      </c>
      <c r="F811" s="12">
        <v>4100</v>
      </c>
      <c r="G811" s="13">
        <v>12.5</v>
      </c>
      <c r="H811" s="14">
        <v>51250</v>
      </c>
      <c r="I811" s="12">
        <v>0</v>
      </c>
      <c r="J811" s="13"/>
      <c r="K811" s="14">
        <v>0</v>
      </c>
      <c r="L811" s="12">
        <v>225</v>
      </c>
      <c r="M811" s="13">
        <v>12.5</v>
      </c>
      <c r="N811" s="14">
        <v>2812.5</v>
      </c>
      <c r="O811" s="12">
        <v>3875</v>
      </c>
      <c r="P811" s="13">
        <v>12.5</v>
      </c>
      <c r="Q811" s="14">
        <v>48437.5</v>
      </c>
      <c r="R811" s="11" t="s">
        <v>2990</v>
      </c>
      <c r="S811" s="11" t="s">
        <v>2991</v>
      </c>
      <c r="T811" s="11" t="s">
        <v>2966</v>
      </c>
    </row>
    <row r="812" spans="1:20" ht="50.1" hidden="1" customHeight="1">
      <c r="A812" s="10">
        <v>811</v>
      </c>
      <c r="B812" s="11" t="s">
        <v>2223</v>
      </c>
      <c r="C812" s="11" t="s">
        <v>2224</v>
      </c>
      <c r="D812" s="11" t="s">
        <v>17</v>
      </c>
      <c r="E812" s="11" t="s">
        <v>8</v>
      </c>
      <c r="F812" s="12">
        <v>575</v>
      </c>
      <c r="G812" s="13">
        <v>42</v>
      </c>
      <c r="H812" s="14">
        <v>24150</v>
      </c>
      <c r="I812" s="12">
        <v>1000</v>
      </c>
      <c r="J812" s="13">
        <v>42</v>
      </c>
      <c r="K812" s="14">
        <v>42000</v>
      </c>
      <c r="L812" s="12">
        <v>700</v>
      </c>
      <c r="M812" s="13">
        <v>42</v>
      </c>
      <c r="N812" s="14">
        <v>29400</v>
      </c>
      <c r="O812" s="12">
        <v>875</v>
      </c>
      <c r="P812" s="13">
        <v>42</v>
      </c>
      <c r="Q812" s="14">
        <v>36750</v>
      </c>
      <c r="R812" s="11" t="s">
        <v>2990</v>
      </c>
      <c r="S812" s="11" t="s">
        <v>2991</v>
      </c>
      <c r="T812" s="11" t="s">
        <v>2966</v>
      </c>
    </row>
    <row r="813" spans="1:20" ht="50.1" hidden="1" customHeight="1">
      <c r="A813" s="10">
        <v>812</v>
      </c>
      <c r="B813" s="11" t="s">
        <v>2225</v>
      </c>
      <c r="C813" s="11" t="s">
        <v>2226</v>
      </c>
      <c r="D813" s="11" t="s">
        <v>17</v>
      </c>
      <c r="E813" s="11" t="s">
        <v>8</v>
      </c>
      <c r="F813" s="12">
        <v>685</v>
      </c>
      <c r="G813" s="13">
        <v>49</v>
      </c>
      <c r="H813" s="14">
        <v>33565</v>
      </c>
      <c r="I813" s="12">
        <v>1000</v>
      </c>
      <c r="J813" s="13">
        <v>49</v>
      </c>
      <c r="K813" s="14">
        <v>49000</v>
      </c>
      <c r="L813" s="12">
        <v>675</v>
      </c>
      <c r="M813" s="13">
        <v>49</v>
      </c>
      <c r="N813" s="14">
        <v>33075</v>
      </c>
      <c r="O813" s="12">
        <v>1010</v>
      </c>
      <c r="P813" s="13">
        <v>49</v>
      </c>
      <c r="Q813" s="14">
        <v>49490</v>
      </c>
      <c r="R813" s="11" t="s">
        <v>2990</v>
      </c>
      <c r="S813" s="11" t="s">
        <v>2991</v>
      </c>
      <c r="T813" s="11" t="s">
        <v>2966</v>
      </c>
    </row>
    <row r="814" spans="1:20" ht="50.1" hidden="1" customHeight="1">
      <c r="A814" s="10">
        <v>813</v>
      </c>
      <c r="B814" s="11" t="s">
        <v>1742</v>
      </c>
      <c r="C814" s="11" t="s">
        <v>1743</v>
      </c>
      <c r="D814" s="11" t="s">
        <v>20</v>
      </c>
      <c r="E814" s="11" t="s">
        <v>8</v>
      </c>
      <c r="F814" s="12">
        <v>61.3</v>
      </c>
      <c r="G814" s="13">
        <v>180</v>
      </c>
      <c r="H814" s="14">
        <v>11034</v>
      </c>
      <c r="I814" s="12">
        <v>0</v>
      </c>
      <c r="J814" s="13"/>
      <c r="K814" s="14">
        <v>0</v>
      </c>
      <c r="L814" s="12">
        <v>0</v>
      </c>
      <c r="M814" s="13"/>
      <c r="N814" s="14">
        <v>0</v>
      </c>
      <c r="O814" s="12">
        <v>61.3</v>
      </c>
      <c r="P814" s="13">
        <v>180</v>
      </c>
      <c r="Q814" s="14">
        <v>11034</v>
      </c>
      <c r="R814" s="11" t="s">
        <v>2990</v>
      </c>
      <c r="S814" s="11" t="s">
        <v>2991</v>
      </c>
      <c r="T814" s="11" t="s">
        <v>2966</v>
      </c>
    </row>
    <row r="815" spans="1:20" ht="50.1" hidden="1" customHeight="1">
      <c r="A815" s="10">
        <v>814</v>
      </c>
      <c r="B815" s="11" t="s">
        <v>1744</v>
      </c>
      <c r="C815" s="11" t="s">
        <v>1745</v>
      </c>
      <c r="D815" s="11" t="s">
        <v>20</v>
      </c>
      <c r="E815" s="11" t="s">
        <v>8</v>
      </c>
      <c r="F815" s="12">
        <v>124</v>
      </c>
      <c r="G815" s="13">
        <v>134.7783871</v>
      </c>
      <c r="H815" s="14">
        <v>16712.52</v>
      </c>
      <c r="I815" s="12">
        <v>0</v>
      </c>
      <c r="J815" s="13"/>
      <c r="K815" s="14">
        <v>0</v>
      </c>
      <c r="L815" s="12">
        <v>0</v>
      </c>
      <c r="M815" s="13"/>
      <c r="N815" s="14">
        <v>0</v>
      </c>
      <c r="O815" s="12">
        <v>124</v>
      </c>
      <c r="P815" s="13">
        <v>134.7783871</v>
      </c>
      <c r="Q815" s="14">
        <v>16712.52</v>
      </c>
      <c r="R815" s="11" t="s">
        <v>2971</v>
      </c>
      <c r="S815" s="11" t="s">
        <v>2972</v>
      </c>
      <c r="T815" s="11" t="s">
        <v>2961</v>
      </c>
    </row>
    <row r="816" spans="1:20" ht="50.1" hidden="1" customHeight="1">
      <c r="A816" s="10">
        <v>815</v>
      </c>
      <c r="B816" s="11" t="s">
        <v>1746</v>
      </c>
      <c r="C816" s="11" t="s">
        <v>1747</v>
      </c>
      <c r="D816" s="11" t="s">
        <v>20</v>
      </c>
      <c r="E816" s="11" t="s">
        <v>8</v>
      </c>
      <c r="F816" s="12">
        <v>232.45</v>
      </c>
      <c r="G816" s="13">
        <v>134.27012260999999</v>
      </c>
      <c r="H816" s="14">
        <v>31211.09</v>
      </c>
      <c r="I816" s="12">
        <v>0</v>
      </c>
      <c r="J816" s="13"/>
      <c r="K816" s="14">
        <v>0</v>
      </c>
      <c r="L816" s="12">
        <v>26.6</v>
      </c>
      <c r="M816" s="13">
        <v>134.26992480999999</v>
      </c>
      <c r="N816" s="14">
        <v>3571.58</v>
      </c>
      <c r="O816" s="12">
        <v>205.85</v>
      </c>
      <c r="P816" s="13">
        <v>134.27014817</v>
      </c>
      <c r="Q816" s="14">
        <v>27639.51</v>
      </c>
      <c r="R816" s="11" t="s">
        <v>2990</v>
      </c>
      <c r="S816" s="11" t="s">
        <v>2991</v>
      </c>
      <c r="T816" s="11" t="s">
        <v>2966</v>
      </c>
    </row>
    <row r="817" spans="1:20" ht="50.1" hidden="1" customHeight="1">
      <c r="A817" s="10">
        <v>816</v>
      </c>
      <c r="B817" s="11" t="s">
        <v>3643</v>
      </c>
      <c r="C817" s="11" t="s">
        <v>3644</v>
      </c>
      <c r="D817" s="11" t="s">
        <v>20</v>
      </c>
      <c r="E817" s="11" t="s">
        <v>8</v>
      </c>
      <c r="F817" s="12">
        <v>0</v>
      </c>
      <c r="G817" s="13"/>
      <c r="H817" s="14">
        <v>0</v>
      </c>
      <c r="I817" s="12">
        <v>4.5</v>
      </c>
      <c r="J817" s="13">
        <v>136</v>
      </c>
      <c r="K817" s="14">
        <v>612</v>
      </c>
      <c r="L817" s="12">
        <v>4.5</v>
      </c>
      <c r="M817" s="13">
        <v>136</v>
      </c>
      <c r="N817" s="14">
        <v>612</v>
      </c>
      <c r="O817" s="12">
        <v>0</v>
      </c>
      <c r="P817" s="13"/>
      <c r="Q817" s="14">
        <v>0</v>
      </c>
      <c r="R817" s="11" t="s">
        <v>2981</v>
      </c>
      <c r="S817" s="11" t="s">
        <v>2982</v>
      </c>
      <c r="T817" s="11" t="s">
        <v>2961</v>
      </c>
    </row>
    <row r="818" spans="1:20" ht="50.1" hidden="1" customHeight="1">
      <c r="A818" s="10">
        <v>817</v>
      </c>
      <c r="B818" s="11" t="s">
        <v>1748</v>
      </c>
      <c r="C818" s="11" t="s">
        <v>1749</v>
      </c>
      <c r="D818" s="11" t="s">
        <v>20</v>
      </c>
      <c r="E818" s="11" t="s">
        <v>8</v>
      </c>
      <c r="F818" s="12">
        <v>343.9</v>
      </c>
      <c r="G818" s="13">
        <v>138</v>
      </c>
      <c r="H818" s="14">
        <v>47458.2</v>
      </c>
      <c r="I818" s="12">
        <v>112</v>
      </c>
      <c r="J818" s="13">
        <v>138</v>
      </c>
      <c r="K818" s="14">
        <v>15456</v>
      </c>
      <c r="L818" s="12">
        <v>27.7</v>
      </c>
      <c r="M818" s="13">
        <v>138</v>
      </c>
      <c r="N818" s="14">
        <v>3822.6</v>
      </c>
      <c r="O818" s="12">
        <v>428.2</v>
      </c>
      <c r="P818" s="13">
        <v>138</v>
      </c>
      <c r="Q818" s="14">
        <v>59091.6</v>
      </c>
      <c r="R818" s="11" t="s">
        <v>2990</v>
      </c>
      <c r="S818" s="11" t="s">
        <v>2991</v>
      </c>
      <c r="T818" s="11" t="s">
        <v>2966</v>
      </c>
    </row>
    <row r="819" spans="1:20" ht="50.1" hidden="1" customHeight="1">
      <c r="A819" s="10">
        <v>818</v>
      </c>
      <c r="B819" s="11" t="s">
        <v>1750</v>
      </c>
      <c r="C819" s="11" t="s">
        <v>1751</v>
      </c>
      <c r="D819" s="11" t="s">
        <v>20</v>
      </c>
      <c r="E819" s="11" t="s">
        <v>8</v>
      </c>
      <c r="F819" s="12">
        <v>240</v>
      </c>
      <c r="G819" s="13">
        <v>134</v>
      </c>
      <c r="H819" s="14">
        <v>32160</v>
      </c>
      <c r="I819" s="12">
        <v>0</v>
      </c>
      <c r="J819" s="13"/>
      <c r="K819" s="14">
        <v>0</v>
      </c>
      <c r="L819" s="12">
        <v>73.8</v>
      </c>
      <c r="M819" s="13">
        <v>134</v>
      </c>
      <c r="N819" s="14">
        <v>9889.2000000000007</v>
      </c>
      <c r="O819" s="12">
        <v>166.2</v>
      </c>
      <c r="P819" s="13">
        <v>134</v>
      </c>
      <c r="Q819" s="14">
        <v>22270.799999999999</v>
      </c>
      <c r="R819" s="11" t="s">
        <v>2990</v>
      </c>
      <c r="S819" s="11" t="s">
        <v>2991</v>
      </c>
      <c r="T819" s="11" t="s">
        <v>2966</v>
      </c>
    </row>
    <row r="820" spans="1:20" ht="50.1" hidden="1" customHeight="1">
      <c r="A820" s="10">
        <v>819</v>
      </c>
      <c r="B820" s="11" t="s">
        <v>3426</v>
      </c>
      <c r="C820" s="11" t="s">
        <v>3427</v>
      </c>
      <c r="D820" s="11" t="s">
        <v>20</v>
      </c>
      <c r="E820" s="11" t="s">
        <v>8</v>
      </c>
      <c r="F820" s="12">
        <v>14.7</v>
      </c>
      <c r="G820" s="13">
        <v>114.06326531000001</v>
      </c>
      <c r="H820" s="14">
        <v>1676.73</v>
      </c>
      <c r="I820" s="12">
        <v>0</v>
      </c>
      <c r="J820" s="13"/>
      <c r="K820" s="14">
        <v>0</v>
      </c>
      <c r="L820" s="12">
        <v>0</v>
      </c>
      <c r="M820" s="13"/>
      <c r="N820" s="14">
        <v>0</v>
      </c>
      <c r="O820" s="12">
        <v>14.7</v>
      </c>
      <c r="P820" s="13">
        <v>114.06326531000001</v>
      </c>
      <c r="Q820" s="14">
        <v>1676.73</v>
      </c>
      <c r="R820" s="11" t="s">
        <v>2990</v>
      </c>
      <c r="S820" s="11" t="s">
        <v>2991</v>
      </c>
      <c r="T820" s="11" t="s">
        <v>2966</v>
      </c>
    </row>
    <row r="821" spans="1:20" ht="50.1" hidden="1" customHeight="1">
      <c r="A821" s="10">
        <v>820</v>
      </c>
      <c r="B821" s="11" t="s">
        <v>1754</v>
      </c>
      <c r="C821" s="11" t="s">
        <v>1755</v>
      </c>
      <c r="D821" s="11" t="s">
        <v>20</v>
      </c>
      <c r="E821" s="11" t="s">
        <v>8</v>
      </c>
      <c r="F821" s="12">
        <v>13.1</v>
      </c>
      <c r="G821" s="13">
        <v>125</v>
      </c>
      <c r="H821" s="14">
        <v>1637.5</v>
      </c>
      <c r="I821" s="12">
        <v>0</v>
      </c>
      <c r="J821" s="13"/>
      <c r="K821" s="14">
        <v>0</v>
      </c>
      <c r="L821" s="12">
        <v>0</v>
      </c>
      <c r="M821" s="13"/>
      <c r="N821" s="14">
        <v>0</v>
      </c>
      <c r="O821" s="12">
        <v>13.1</v>
      </c>
      <c r="P821" s="13">
        <v>125</v>
      </c>
      <c r="Q821" s="14">
        <v>1637.5</v>
      </c>
      <c r="R821" s="11" t="s">
        <v>2990</v>
      </c>
      <c r="S821" s="11" t="s">
        <v>2991</v>
      </c>
      <c r="T821" s="11" t="s">
        <v>2966</v>
      </c>
    </row>
    <row r="822" spans="1:20" ht="50.1" hidden="1" customHeight="1">
      <c r="A822" s="10">
        <v>821</v>
      </c>
      <c r="B822" s="11" t="s">
        <v>2391</v>
      </c>
      <c r="C822" s="11" t="s">
        <v>2392</v>
      </c>
      <c r="D822" s="11" t="s">
        <v>20</v>
      </c>
      <c r="E822" s="11" t="s">
        <v>8</v>
      </c>
      <c r="F822" s="12">
        <v>155.19999999999999</v>
      </c>
      <c r="G822" s="13">
        <v>142.43002576999999</v>
      </c>
      <c r="H822" s="14">
        <v>22105.14</v>
      </c>
      <c r="I822" s="12">
        <v>0</v>
      </c>
      <c r="J822" s="13"/>
      <c r="K822" s="14">
        <v>0</v>
      </c>
      <c r="L822" s="12">
        <v>0</v>
      </c>
      <c r="M822" s="13"/>
      <c r="N822" s="14">
        <v>0</v>
      </c>
      <c r="O822" s="12">
        <v>155.19999999999999</v>
      </c>
      <c r="P822" s="13">
        <v>142.43002576999999</v>
      </c>
      <c r="Q822" s="14">
        <v>22105.14</v>
      </c>
      <c r="R822" s="11" t="s">
        <v>2990</v>
      </c>
      <c r="S822" s="11" t="s">
        <v>2991</v>
      </c>
      <c r="T822" s="11" t="s">
        <v>2961</v>
      </c>
    </row>
    <row r="823" spans="1:20" ht="50.1" hidden="1" customHeight="1">
      <c r="A823" s="10">
        <v>822</v>
      </c>
      <c r="B823" s="11" t="s">
        <v>2393</v>
      </c>
      <c r="C823" s="11" t="s">
        <v>2394</v>
      </c>
      <c r="D823" s="11" t="s">
        <v>20</v>
      </c>
      <c r="E823" s="11" t="s">
        <v>8</v>
      </c>
      <c r="F823" s="12">
        <v>105</v>
      </c>
      <c r="G823" s="13">
        <v>142.43</v>
      </c>
      <c r="H823" s="14">
        <v>14955.15</v>
      </c>
      <c r="I823" s="12">
        <v>0</v>
      </c>
      <c r="J823" s="13"/>
      <c r="K823" s="14">
        <v>0</v>
      </c>
      <c r="L823" s="12">
        <v>0</v>
      </c>
      <c r="M823" s="13"/>
      <c r="N823" s="14">
        <v>0</v>
      </c>
      <c r="O823" s="12">
        <v>105</v>
      </c>
      <c r="P823" s="13">
        <v>142.43</v>
      </c>
      <c r="Q823" s="14">
        <v>14955.15</v>
      </c>
      <c r="R823" s="11" t="s">
        <v>2990</v>
      </c>
      <c r="S823" s="11" t="s">
        <v>2991</v>
      </c>
      <c r="T823" s="11" t="s">
        <v>2961</v>
      </c>
    </row>
    <row r="824" spans="1:20" ht="50.1" hidden="1" customHeight="1">
      <c r="A824" s="10">
        <v>823</v>
      </c>
      <c r="B824" s="11" t="s">
        <v>2395</v>
      </c>
      <c r="C824" s="11" t="s">
        <v>2396</v>
      </c>
      <c r="D824" s="11" t="s">
        <v>20</v>
      </c>
      <c r="E824" s="11" t="s">
        <v>8</v>
      </c>
      <c r="F824" s="12">
        <v>109.5</v>
      </c>
      <c r="G824" s="13">
        <v>142.43004565999999</v>
      </c>
      <c r="H824" s="14">
        <v>15596.09</v>
      </c>
      <c r="I824" s="12">
        <v>0</v>
      </c>
      <c r="J824" s="13"/>
      <c r="K824" s="14">
        <v>0</v>
      </c>
      <c r="L824" s="12">
        <v>0</v>
      </c>
      <c r="M824" s="13"/>
      <c r="N824" s="14">
        <v>0</v>
      </c>
      <c r="O824" s="12">
        <v>109.5</v>
      </c>
      <c r="P824" s="13">
        <v>142.43004565999999</v>
      </c>
      <c r="Q824" s="14">
        <v>15596.09</v>
      </c>
      <c r="R824" s="11" t="s">
        <v>2990</v>
      </c>
      <c r="S824" s="11" t="s">
        <v>2991</v>
      </c>
      <c r="T824" s="11" t="s">
        <v>2961</v>
      </c>
    </row>
    <row r="825" spans="1:20" ht="50.1" hidden="1" customHeight="1">
      <c r="A825" s="10">
        <v>824</v>
      </c>
      <c r="B825" s="11" t="s">
        <v>1756</v>
      </c>
      <c r="C825" s="11" t="s">
        <v>1757</v>
      </c>
      <c r="D825" s="11" t="s">
        <v>20</v>
      </c>
      <c r="E825" s="11" t="s">
        <v>8</v>
      </c>
      <c r="F825" s="12">
        <v>514.6</v>
      </c>
      <c r="G825" s="13">
        <v>136.99999747000001</v>
      </c>
      <c r="H825" s="14">
        <v>70500.198699999994</v>
      </c>
      <c r="I825" s="12">
        <v>0</v>
      </c>
      <c r="J825" s="13"/>
      <c r="K825" s="14">
        <v>0</v>
      </c>
      <c r="L825" s="12">
        <v>314.60000000000002</v>
      </c>
      <c r="M825" s="13">
        <v>137</v>
      </c>
      <c r="N825" s="14">
        <v>43100.2</v>
      </c>
      <c r="O825" s="12">
        <v>200</v>
      </c>
      <c r="P825" s="13">
        <v>136.99999349999999</v>
      </c>
      <c r="Q825" s="14">
        <v>27399.9987</v>
      </c>
      <c r="R825" s="11" t="s">
        <v>2990</v>
      </c>
      <c r="S825" s="11" t="s">
        <v>2991</v>
      </c>
      <c r="T825" s="11" t="s">
        <v>2966</v>
      </c>
    </row>
    <row r="826" spans="1:20" ht="50.1" hidden="1" customHeight="1">
      <c r="A826" s="10">
        <v>825</v>
      </c>
      <c r="B826" s="11" t="s">
        <v>2552</v>
      </c>
      <c r="C826" s="11" t="s">
        <v>2549</v>
      </c>
      <c r="D826" s="11" t="s">
        <v>17</v>
      </c>
      <c r="E826" s="11" t="s">
        <v>8</v>
      </c>
      <c r="F826" s="12">
        <v>650</v>
      </c>
      <c r="G826" s="13">
        <v>1.5</v>
      </c>
      <c r="H826" s="14">
        <v>975</v>
      </c>
      <c r="I826" s="12">
        <v>0</v>
      </c>
      <c r="J826" s="13"/>
      <c r="K826" s="14">
        <v>0</v>
      </c>
      <c r="L826" s="12">
        <v>0</v>
      </c>
      <c r="M826" s="13"/>
      <c r="N826" s="14">
        <v>0</v>
      </c>
      <c r="O826" s="12">
        <v>650</v>
      </c>
      <c r="P826" s="13">
        <v>1.5</v>
      </c>
      <c r="Q826" s="14">
        <v>975</v>
      </c>
      <c r="R826" s="11" t="s">
        <v>2990</v>
      </c>
      <c r="S826" s="11" t="s">
        <v>2991</v>
      </c>
      <c r="T826" s="11" t="s">
        <v>2966</v>
      </c>
    </row>
    <row r="827" spans="1:20" ht="50.1" hidden="1" customHeight="1">
      <c r="A827" s="10">
        <v>826</v>
      </c>
      <c r="B827" s="11" t="s">
        <v>2553</v>
      </c>
      <c r="C827" s="11" t="s">
        <v>2554</v>
      </c>
      <c r="D827" s="11" t="s">
        <v>17</v>
      </c>
      <c r="E827" s="11" t="s">
        <v>8</v>
      </c>
      <c r="F827" s="12">
        <v>6000</v>
      </c>
      <c r="G827" s="13">
        <v>7</v>
      </c>
      <c r="H827" s="14">
        <v>42000</v>
      </c>
      <c r="I827" s="12">
        <v>0</v>
      </c>
      <c r="J827" s="13"/>
      <c r="K827" s="14">
        <v>0</v>
      </c>
      <c r="L827" s="12">
        <v>1000</v>
      </c>
      <c r="M827" s="13">
        <v>7</v>
      </c>
      <c r="N827" s="14">
        <v>7000</v>
      </c>
      <c r="O827" s="12">
        <v>5000</v>
      </c>
      <c r="P827" s="13">
        <v>7</v>
      </c>
      <c r="Q827" s="14">
        <v>35000</v>
      </c>
      <c r="R827" s="11" t="s">
        <v>2990</v>
      </c>
      <c r="S827" s="11" t="s">
        <v>2991</v>
      </c>
      <c r="T827" s="11" t="s">
        <v>2966</v>
      </c>
    </row>
    <row r="828" spans="1:20" ht="50.1" hidden="1" customHeight="1">
      <c r="A828" s="10">
        <v>827</v>
      </c>
      <c r="B828" s="11" t="s">
        <v>1758</v>
      </c>
      <c r="C828" s="11" t="s">
        <v>1759</v>
      </c>
      <c r="D828" s="11" t="s">
        <v>20</v>
      </c>
      <c r="E828" s="11" t="s">
        <v>8</v>
      </c>
      <c r="F828" s="12">
        <v>120.5</v>
      </c>
      <c r="G828" s="13">
        <v>125</v>
      </c>
      <c r="H828" s="14">
        <v>15062.5</v>
      </c>
      <c r="I828" s="12">
        <v>0</v>
      </c>
      <c r="J828" s="13"/>
      <c r="K828" s="14">
        <v>0</v>
      </c>
      <c r="L828" s="12">
        <v>0</v>
      </c>
      <c r="M828" s="13"/>
      <c r="N828" s="14">
        <v>0</v>
      </c>
      <c r="O828" s="12">
        <v>120.5</v>
      </c>
      <c r="P828" s="13">
        <v>125</v>
      </c>
      <c r="Q828" s="14">
        <v>15062.5</v>
      </c>
      <c r="R828" s="11" t="s">
        <v>2990</v>
      </c>
      <c r="S828" s="11" t="s">
        <v>2991</v>
      </c>
      <c r="T828" s="11" t="s">
        <v>2961</v>
      </c>
    </row>
    <row r="829" spans="1:20" ht="50.1" hidden="1" customHeight="1">
      <c r="A829" s="10">
        <v>828</v>
      </c>
      <c r="B829" s="11" t="s">
        <v>1760</v>
      </c>
      <c r="C829" s="11" t="s">
        <v>1761</v>
      </c>
      <c r="D829" s="11" t="s">
        <v>20</v>
      </c>
      <c r="E829" s="11" t="s">
        <v>8</v>
      </c>
      <c r="F829" s="12">
        <v>156.30000000000001</v>
      </c>
      <c r="G829" s="13">
        <v>133.80198336999999</v>
      </c>
      <c r="H829" s="14">
        <v>20913.25</v>
      </c>
      <c r="I829" s="12">
        <v>0</v>
      </c>
      <c r="J829" s="13"/>
      <c r="K829" s="14">
        <v>0</v>
      </c>
      <c r="L829" s="12">
        <v>0</v>
      </c>
      <c r="M829" s="13"/>
      <c r="N829" s="14">
        <v>0</v>
      </c>
      <c r="O829" s="12">
        <v>156.30000000000001</v>
      </c>
      <c r="P829" s="13">
        <v>133.80198336999999</v>
      </c>
      <c r="Q829" s="14">
        <v>20913.25</v>
      </c>
      <c r="R829" s="11" t="s">
        <v>2990</v>
      </c>
      <c r="S829" s="11" t="s">
        <v>2991</v>
      </c>
      <c r="T829" s="11" t="s">
        <v>2966</v>
      </c>
    </row>
    <row r="830" spans="1:20" ht="50.1" hidden="1" customHeight="1">
      <c r="A830" s="10">
        <v>829</v>
      </c>
      <c r="B830" s="11" t="s">
        <v>3162</v>
      </c>
      <c r="C830" s="11" t="s">
        <v>3574</v>
      </c>
      <c r="D830" s="11" t="s">
        <v>17</v>
      </c>
      <c r="E830" s="11" t="s">
        <v>8</v>
      </c>
      <c r="F830" s="12">
        <v>54</v>
      </c>
      <c r="G830" s="13">
        <v>150</v>
      </c>
      <c r="H830" s="14">
        <v>8100</v>
      </c>
      <c r="I830" s="12">
        <v>34</v>
      </c>
      <c r="J830" s="13">
        <v>150</v>
      </c>
      <c r="K830" s="14">
        <v>5100</v>
      </c>
      <c r="L830" s="12">
        <v>4</v>
      </c>
      <c r="M830" s="13">
        <v>150</v>
      </c>
      <c r="N830" s="14">
        <v>600</v>
      </c>
      <c r="O830" s="12">
        <v>84</v>
      </c>
      <c r="P830" s="13">
        <v>150</v>
      </c>
      <c r="Q830" s="14">
        <v>12600</v>
      </c>
      <c r="R830" s="11" t="s">
        <v>2990</v>
      </c>
      <c r="S830" s="11" t="s">
        <v>2991</v>
      </c>
      <c r="T830" s="11" t="s">
        <v>2961</v>
      </c>
    </row>
    <row r="831" spans="1:20" ht="50.1" hidden="1" customHeight="1">
      <c r="A831" s="10">
        <v>830</v>
      </c>
      <c r="B831" s="11" t="s">
        <v>2227</v>
      </c>
      <c r="C831" s="11" t="s">
        <v>2228</v>
      </c>
      <c r="D831" s="11" t="s">
        <v>17</v>
      </c>
      <c r="E831" s="11" t="s">
        <v>8</v>
      </c>
      <c r="F831" s="12">
        <v>45</v>
      </c>
      <c r="G831" s="13">
        <v>22234.772888889998</v>
      </c>
      <c r="H831" s="14">
        <v>1000564.78</v>
      </c>
      <c r="I831" s="12">
        <v>5</v>
      </c>
      <c r="J831" s="13">
        <v>27000</v>
      </c>
      <c r="K831" s="14">
        <v>135000</v>
      </c>
      <c r="L831" s="12">
        <v>11</v>
      </c>
      <c r="M831" s="13">
        <v>22711.29545455</v>
      </c>
      <c r="N831" s="14">
        <v>249824.25</v>
      </c>
      <c r="O831" s="12">
        <v>39</v>
      </c>
      <c r="P831" s="13">
        <v>22711.295641029999</v>
      </c>
      <c r="Q831" s="14">
        <v>885740.53</v>
      </c>
      <c r="R831" s="11" t="s">
        <v>3001</v>
      </c>
      <c r="S831" s="11" t="s">
        <v>3002</v>
      </c>
      <c r="T831" s="11" t="s">
        <v>2966</v>
      </c>
    </row>
    <row r="832" spans="1:20" ht="50.1" hidden="1" customHeight="1">
      <c r="A832" s="10">
        <v>831</v>
      </c>
      <c r="B832" s="11" t="s">
        <v>2919</v>
      </c>
      <c r="C832" s="11" t="s">
        <v>2920</v>
      </c>
      <c r="D832" s="11" t="s">
        <v>17</v>
      </c>
      <c r="E832" s="11" t="s">
        <v>8</v>
      </c>
      <c r="F832" s="12">
        <v>56</v>
      </c>
      <c r="G832" s="13">
        <v>22519.073571429999</v>
      </c>
      <c r="H832" s="14">
        <v>1261068.1200000001</v>
      </c>
      <c r="I832" s="12">
        <v>5</v>
      </c>
      <c r="J832" s="13">
        <v>22100</v>
      </c>
      <c r="K832" s="14">
        <v>110500</v>
      </c>
      <c r="L832" s="12">
        <v>20</v>
      </c>
      <c r="M832" s="13">
        <v>22484.723999999998</v>
      </c>
      <c r="N832" s="14">
        <v>449694.48</v>
      </c>
      <c r="O832" s="12">
        <v>41</v>
      </c>
      <c r="P832" s="13">
        <v>22484.72292683</v>
      </c>
      <c r="Q832" s="14">
        <v>921873.64</v>
      </c>
      <c r="R832" s="11" t="s">
        <v>3001</v>
      </c>
      <c r="S832" s="11" t="s">
        <v>3002</v>
      </c>
      <c r="T832" s="11" t="s">
        <v>2966</v>
      </c>
    </row>
    <row r="833" spans="1:20" ht="50.1" hidden="1" customHeight="1">
      <c r="A833" s="10">
        <v>832</v>
      </c>
      <c r="B833" s="11" t="s">
        <v>1764</v>
      </c>
      <c r="C833" s="11" t="s">
        <v>1765</v>
      </c>
      <c r="D833" s="11" t="s">
        <v>17</v>
      </c>
      <c r="E833" s="11" t="s">
        <v>8</v>
      </c>
      <c r="F833" s="12">
        <v>8</v>
      </c>
      <c r="G833" s="13">
        <v>26742.086050000002</v>
      </c>
      <c r="H833" s="14">
        <v>213936.68840000001</v>
      </c>
      <c r="I833" s="12">
        <v>4</v>
      </c>
      <c r="J833" s="13">
        <v>22100</v>
      </c>
      <c r="K833" s="14">
        <v>88400</v>
      </c>
      <c r="L833" s="12">
        <v>11</v>
      </c>
      <c r="M833" s="13">
        <v>25335.392727269998</v>
      </c>
      <c r="N833" s="14">
        <v>278689.32</v>
      </c>
      <c r="O833" s="12">
        <v>1</v>
      </c>
      <c r="P833" s="13">
        <v>23647.368399999999</v>
      </c>
      <c r="Q833" s="14">
        <v>23647.368399999999</v>
      </c>
      <c r="R833" s="11" t="s">
        <v>3001</v>
      </c>
      <c r="S833" s="11" t="s">
        <v>3002</v>
      </c>
      <c r="T833" s="11" t="s">
        <v>2966</v>
      </c>
    </row>
    <row r="834" spans="1:20" ht="50.1" hidden="1" customHeight="1">
      <c r="A834" s="10">
        <v>833</v>
      </c>
      <c r="B834" s="11" t="s">
        <v>1766</v>
      </c>
      <c r="C834" s="11" t="s">
        <v>1767</v>
      </c>
      <c r="D834" s="11" t="s">
        <v>289</v>
      </c>
      <c r="E834" s="11" t="s">
        <v>8</v>
      </c>
      <c r="F834" s="12">
        <v>420</v>
      </c>
      <c r="G834" s="13">
        <v>110</v>
      </c>
      <c r="H834" s="14">
        <v>46200</v>
      </c>
      <c r="I834" s="12">
        <v>0</v>
      </c>
      <c r="J834" s="13"/>
      <c r="K834" s="14">
        <v>0</v>
      </c>
      <c r="L834" s="12">
        <v>210</v>
      </c>
      <c r="M834" s="13">
        <v>110</v>
      </c>
      <c r="N834" s="14">
        <v>23100</v>
      </c>
      <c r="O834" s="12">
        <v>210</v>
      </c>
      <c r="P834" s="13">
        <v>110</v>
      </c>
      <c r="Q834" s="14">
        <v>23100</v>
      </c>
      <c r="R834" s="11" t="s">
        <v>2962</v>
      </c>
      <c r="S834" s="11" t="s">
        <v>2963</v>
      </c>
      <c r="T834" s="11" t="s">
        <v>2966</v>
      </c>
    </row>
    <row r="835" spans="1:20" ht="50.1" hidden="1" customHeight="1">
      <c r="A835" s="10">
        <v>834</v>
      </c>
      <c r="B835" s="11" t="s">
        <v>2100</v>
      </c>
      <c r="C835" s="11" t="s">
        <v>2101</v>
      </c>
      <c r="D835" s="11" t="s">
        <v>17</v>
      </c>
      <c r="E835" s="11" t="s">
        <v>8</v>
      </c>
      <c r="F835" s="12">
        <v>233</v>
      </c>
      <c r="G835" s="13">
        <v>2</v>
      </c>
      <c r="H835" s="14">
        <v>466</v>
      </c>
      <c r="I835" s="12">
        <v>0</v>
      </c>
      <c r="J835" s="13"/>
      <c r="K835" s="14">
        <v>0</v>
      </c>
      <c r="L835" s="12">
        <v>0</v>
      </c>
      <c r="M835" s="13"/>
      <c r="N835" s="14">
        <v>0</v>
      </c>
      <c r="O835" s="12">
        <v>233</v>
      </c>
      <c r="P835" s="13">
        <v>2</v>
      </c>
      <c r="Q835" s="14">
        <v>466</v>
      </c>
      <c r="R835" s="11" t="s">
        <v>2971</v>
      </c>
      <c r="S835" s="11" t="s">
        <v>2972</v>
      </c>
      <c r="T835" s="11" t="s">
        <v>2966</v>
      </c>
    </row>
    <row r="836" spans="1:20" ht="50.1" hidden="1" customHeight="1">
      <c r="A836" s="10">
        <v>835</v>
      </c>
      <c r="B836" s="11" t="s">
        <v>1768</v>
      </c>
      <c r="C836" s="11" t="s">
        <v>1769</v>
      </c>
      <c r="D836" s="11" t="s">
        <v>7</v>
      </c>
      <c r="E836" s="11" t="s">
        <v>8</v>
      </c>
      <c r="F836" s="12">
        <v>3000</v>
      </c>
      <c r="G836" s="13">
        <v>3.7</v>
      </c>
      <c r="H836" s="14">
        <v>11100</v>
      </c>
      <c r="I836" s="12">
        <v>0</v>
      </c>
      <c r="J836" s="13"/>
      <c r="K836" s="14">
        <v>0</v>
      </c>
      <c r="L836" s="12">
        <v>0</v>
      </c>
      <c r="M836" s="13"/>
      <c r="N836" s="14">
        <v>0</v>
      </c>
      <c r="O836" s="12">
        <v>3000</v>
      </c>
      <c r="P836" s="13">
        <v>3.7</v>
      </c>
      <c r="Q836" s="14">
        <v>11100</v>
      </c>
      <c r="R836" s="11" t="s">
        <v>2971</v>
      </c>
      <c r="S836" s="11" t="s">
        <v>2972</v>
      </c>
      <c r="T836" s="11" t="s">
        <v>2966</v>
      </c>
    </row>
    <row r="837" spans="1:20" ht="50.1" hidden="1" customHeight="1">
      <c r="A837" s="10">
        <v>836</v>
      </c>
      <c r="B837" s="11" t="s">
        <v>2102</v>
      </c>
      <c r="C837" s="11" t="s">
        <v>2103</v>
      </c>
      <c r="D837" s="11" t="s">
        <v>17</v>
      </c>
      <c r="E837" s="11" t="s">
        <v>8</v>
      </c>
      <c r="F837" s="12">
        <v>1056</v>
      </c>
      <c r="G837" s="13">
        <v>3.75</v>
      </c>
      <c r="H837" s="14">
        <v>3960</v>
      </c>
      <c r="I837" s="12">
        <v>0</v>
      </c>
      <c r="J837" s="13"/>
      <c r="K837" s="14">
        <v>0</v>
      </c>
      <c r="L837" s="12">
        <v>0</v>
      </c>
      <c r="M837" s="13"/>
      <c r="N837" s="14">
        <v>0</v>
      </c>
      <c r="O837" s="12">
        <v>1056</v>
      </c>
      <c r="P837" s="13">
        <v>3.75</v>
      </c>
      <c r="Q837" s="14">
        <v>3960</v>
      </c>
      <c r="R837" s="11" t="s">
        <v>2971</v>
      </c>
      <c r="S837" s="11" t="s">
        <v>2972</v>
      </c>
      <c r="T837" s="11" t="s">
        <v>2966</v>
      </c>
    </row>
    <row r="838" spans="1:20" ht="50.1" hidden="1" customHeight="1">
      <c r="A838" s="10">
        <v>837</v>
      </c>
      <c r="B838" s="11" t="s">
        <v>1770</v>
      </c>
      <c r="C838" s="11" t="s">
        <v>1771</v>
      </c>
      <c r="D838" s="11" t="s">
        <v>17</v>
      </c>
      <c r="E838" s="11" t="s">
        <v>8</v>
      </c>
      <c r="F838" s="12">
        <v>919</v>
      </c>
      <c r="G838" s="13">
        <v>41</v>
      </c>
      <c r="H838" s="14">
        <v>37679</v>
      </c>
      <c r="I838" s="12">
        <v>0</v>
      </c>
      <c r="J838" s="13"/>
      <c r="K838" s="14">
        <v>0</v>
      </c>
      <c r="L838" s="12">
        <v>77</v>
      </c>
      <c r="M838" s="13">
        <v>41</v>
      </c>
      <c r="N838" s="14">
        <v>3157</v>
      </c>
      <c r="O838" s="12">
        <v>842</v>
      </c>
      <c r="P838" s="13">
        <v>41</v>
      </c>
      <c r="Q838" s="14">
        <v>34522</v>
      </c>
      <c r="R838" s="11" t="s">
        <v>2990</v>
      </c>
      <c r="S838" s="11" t="s">
        <v>2991</v>
      </c>
      <c r="T838" s="11" t="s">
        <v>2961</v>
      </c>
    </row>
    <row r="839" spans="1:20" ht="50.1" hidden="1" customHeight="1">
      <c r="A839" s="10">
        <v>838</v>
      </c>
      <c r="B839" s="11" t="s">
        <v>3546</v>
      </c>
      <c r="C839" s="11" t="s">
        <v>3547</v>
      </c>
      <c r="D839" s="11" t="s">
        <v>17</v>
      </c>
      <c r="E839" s="11" t="s">
        <v>8</v>
      </c>
      <c r="F839" s="12">
        <v>2450</v>
      </c>
      <c r="G839" s="13">
        <v>21</v>
      </c>
      <c r="H839" s="14">
        <v>51450</v>
      </c>
      <c r="I839" s="12">
        <v>0</v>
      </c>
      <c r="J839" s="13"/>
      <c r="K839" s="14">
        <v>0</v>
      </c>
      <c r="L839" s="12">
        <v>1000</v>
      </c>
      <c r="M839" s="13">
        <v>21</v>
      </c>
      <c r="N839" s="14">
        <v>21000</v>
      </c>
      <c r="O839" s="12">
        <v>1450</v>
      </c>
      <c r="P839" s="13">
        <v>21</v>
      </c>
      <c r="Q839" s="14">
        <v>30450</v>
      </c>
      <c r="R839" s="11" t="s">
        <v>2990</v>
      </c>
      <c r="S839" s="11" t="s">
        <v>2991</v>
      </c>
      <c r="T839" s="11" t="s">
        <v>2961</v>
      </c>
    </row>
    <row r="840" spans="1:20" ht="50.1" hidden="1" customHeight="1">
      <c r="A840" s="10">
        <v>839</v>
      </c>
      <c r="B840" s="11" t="s">
        <v>3544</v>
      </c>
      <c r="C840" s="11" t="s">
        <v>3545</v>
      </c>
      <c r="D840" s="11" t="s">
        <v>17</v>
      </c>
      <c r="E840" s="11" t="s">
        <v>8</v>
      </c>
      <c r="F840" s="12">
        <v>2125</v>
      </c>
      <c r="G840" s="13">
        <v>5.5</v>
      </c>
      <c r="H840" s="14">
        <v>11687.5</v>
      </c>
      <c r="I840" s="12">
        <v>1051</v>
      </c>
      <c r="J840" s="13">
        <v>14</v>
      </c>
      <c r="K840" s="14">
        <v>14714</v>
      </c>
      <c r="L840" s="12">
        <v>1051</v>
      </c>
      <c r="M840" s="13">
        <v>8.3127973399999995</v>
      </c>
      <c r="N840" s="14">
        <v>8736.75</v>
      </c>
      <c r="O840" s="12">
        <v>2125</v>
      </c>
      <c r="P840" s="13">
        <v>8.3128235299999993</v>
      </c>
      <c r="Q840" s="14">
        <v>17664.75</v>
      </c>
      <c r="R840" s="11" t="s">
        <v>2971</v>
      </c>
      <c r="S840" s="11" t="s">
        <v>2972</v>
      </c>
      <c r="T840" s="11" t="s">
        <v>2961</v>
      </c>
    </row>
    <row r="841" spans="1:20" ht="50.1" hidden="1" customHeight="1">
      <c r="A841" s="10">
        <v>840</v>
      </c>
      <c r="B841" s="11" t="s">
        <v>1774</v>
      </c>
      <c r="C841" s="11" t="s">
        <v>1775</v>
      </c>
      <c r="D841" s="11" t="s">
        <v>17</v>
      </c>
      <c r="E841" s="11" t="s">
        <v>8</v>
      </c>
      <c r="F841" s="12">
        <v>475</v>
      </c>
      <c r="G841" s="13">
        <v>63.913494739999997</v>
      </c>
      <c r="H841" s="14">
        <v>30358.91</v>
      </c>
      <c r="I841" s="12">
        <v>375</v>
      </c>
      <c r="J841" s="13">
        <v>64</v>
      </c>
      <c r="K841" s="14">
        <v>24000</v>
      </c>
      <c r="L841" s="12">
        <v>200</v>
      </c>
      <c r="M841" s="13">
        <v>63.935099999999998</v>
      </c>
      <c r="N841" s="14">
        <v>12787.02</v>
      </c>
      <c r="O841" s="12">
        <v>650</v>
      </c>
      <c r="P841" s="13">
        <v>63.956753849999998</v>
      </c>
      <c r="Q841" s="14">
        <v>41571.89</v>
      </c>
      <c r="R841" s="11" t="s">
        <v>2990</v>
      </c>
      <c r="S841" s="11" t="s">
        <v>2991</v>
      </c>
      <c r="T841" s="11" t="s">
        <v>2966</v>
      </c>
    </row>
    <row r="842" spans="1:20" ht="50.1" hidden="1" customHeight="1">
      <c r="A842" s="10">
        <v>841</v>
      </c>
      <c r="B842" s="11" t="s">
        <v>1776</v>
      </c>
      <c r="C842" s="11" t="s">
        <v>3027</v>
      </c>
      <c r="D842" s="11" t="s">
        <v>17</v>
      </c>
      <c r="E842" s="11" t="s">
        <v>8</v>
      </c>
      <c r="F842" s="12">
        <v>53</v>
      </c>
      <c r="G842" s="13">
        <v>8.5583018899999992</v>
      </c>
      <c r="H842" s="14">
        <v>453.59</v>
      </c>
      <c r="I842" s="12">
        <v>0</v>
      </c>
      <c r="J842" s="13"/>
      <c r="K842" s="14">
        <v>0</v>
      </c>
      <c r="L842" s="12">
        <v>0</v>
      </c>
      <c r="M842" s="13"/>
      <c r="N842" s="14">
        <v>0</v>
      </c>
      <c r="O842" s="12">
        <v>53</v>
      </c>
      <c r="P842" s="13">
        <v>8.5583018899999992</v>
      </c>
      <c r="Q842" s="14">
        <v>453.59</v>
      </c>
      <c r="R842" s="11" t="s">
        <v>2971</v>
      </c>
      <c r="S842" s="11" t="s">
        <v>2972</v>
      </c>
      <c r="T842" s="11" t="s">
        <v>2966</v>
      </c>
    </row>
    <row r="843" spans="1:20" ht="50.1" hidden="1" customHeight="1">
      <c r="A843" s="10">
        <v>842</v>
      </c>
      <c r="B843" s="11" t="s">
        <v>1780</v>
      </c>
      <c r="C843" s="11" t="s">
        <v>1781</v>
      </c>
      <c r="D843" s="11" t="s">
        <v>17</v>
      </c>
      <c r="E843" s="11" t="s">
        <v>8</v>
      </c>
      <c r="F843" s="12">
        <v>239</v>
      </c>
      <c r="G843" s="13">
        <v>87.831548119999994</v>
      </c>
      <c r="H843" s="14">
        <v>20991.74</v>
      </c>
      <c r="I843" s="12">
        <v>0</v>
      </c>
      <c r="J843" s="13"/>
      <c r="K843" s="14">
        <v>0</v>
      </c>
      <c r="L843" s="12">
        <v>0</v>
      </c>
      <c r="M843" s="13"/>
      <c r="N843" s="14">
        <v>0</v>
      </c>
      <c r="O843" s="12">
        <v>239</v>
      </c>
      <c r="P843" s="13">
        <v>87.831548119999994</v>
      </c>
      <c r="Q843" s="14">
        <v>20991.74</v>
      </c>
      <c r="R843" s="11" t="s">
        <v>2990</v>
      </c>
      <c r="S843" s="11" t="s">
        <v>2991</v>
      </c>
      <c r="T843" s="11" t="s">
        <v>2966</v>
      </c>
    </row>
    <row r="844" spans="1:20" ht="50.1" hidden="1" customHeight="1">
      <c r="A844" s="10">
        <v>843</v>
      </c>
      <c r="B844" s="11" t="s">
        <v>1782</v>
      </c>
      <c r="C844" s="11" t="s">
        <v>1783</v>
      </c>
      <c r="D844" s="11" t="s">
        <v>17</v>
      </c>
      <c r="E844" s="11" t="s">
        <v>8</v>
      </c>
      <c r="F844" s="12">
        <v>455</v>
      </c>
      <c r="G844" s="13">
        <v>109.55901099</v>
      </c>
      <c r="H844" s="14">
        <v>49849.35</v>
      </c>
      <c r="I844" s="12">
        <v>0</v>
      </c>
      <c r="J844" s="13"/>
      <c r="K844" s="14">
        <v>0</v>
      </c>
      <c r="L844" s="12">
        <v>0</v>
      </c>
      <c r="M844" s="13"/>
      <c r="N844" s="14">
        <v>0</v>
      </c>
      <c r="O844" s="12">
        <v>455</v>
      </c>
      <c r="P844" s="13">
        <v>109.55901099</v>
      </c>
      <c r="Q844" s="14">
        <v>49849.35</v>
      </c>
      <c r="R844" s="11" t="s">
        <v>2990</v>
      </c>
      <c r="S844" s="11" t="s">
        <v>2991</v>
      </c>
      <c r="T844" s="11" t="s">
        <v>2966</v>
      </c>
    </row>
    <row r="845" spans="1:20" ht="50.1" hidden="1" customHeight="1">
      <c r="A845" s="10">
        <v>844</v>
      </c>
      <c r="B845" s="11" t="s">
        <v>1784</v>
      </c>
      <c r="C845" s="11" t="s">
        <v>1785</v>
      </c>
      <c r="D845" s="11" t="s">
        <v>17</v>
      </c>
      <c r="E845" s="11" t="s">
        <v>8</v>
      </c>
      <c r="F845" s="12">
        <v>795</v>
      </c>
      <c r="G845" s="13">
        <v>119.99981132000001</v>
      </c>
      <c r="H845" s="14">
        <v>95399.85</v>
      </c>
      <c r="I845" s="12">
        <v>0</v>
      </c>
      <c r="J845" s="13"/>
      <c r="K845" s="14">
        <v>0</v>
      </c>
      <c r="L845" s="12">
        <v>0</v>
      </c>
      <c r="M845" s="13"/>
      <c r="N845" s="14">
        <v>0</v>
      </c>
      <c r="O845" s="12">
        <v>795</v>
      </c>
      <c r="P845" s="13">
        <v>119.99981132000001</v>
      </c>
      <c r="Q845" s="14">
        <v>95399.85</v>
      </c>
      <c r="R845" s="11" t="s">
        <v>2990</v>
      </c>
      <c r="S845" s="11" t="s">
        <v>2991</v>
      </c>
      <c r="T845" s="11" t="s">
        <v>2966</v>
      </c>
    </row>
    <row r="846" spans="1:20" ht="50.1" hidden="1" customHeight="1">
      <c r="A846" s="10">
        <v>845</v>
      </c>
      <c r="B846" s="11" t="s">
        <v>1786</v>
      </c>
      <c r="C846" s="11" t="s">
        <v>1787</v>
      </c>
      <c r="D846" s="11" t="s">
        <v>17</v>
      </c>
      <c r="E846" s="11" t="s">
        <v>8</v>
      </c>
      <c r="F846" s="12">
        <v>405</v>
      </c>
      <c r="G846" s="13">
        <v>132.99997531</v>
      </c>
      <c r="H846" s="14">
        <v>53864.99</v>
      </c>
      <c r="I846" s="12">
        <v>0</v>
      </c>
      <c r="J846" s="13"/>
      <c r="K846" s="14">
        <v>0</v>
      </c>
      <c r="L846" s="12">
        <v>0</v>
      </c>
      <c r="M846" s="13"/>
      <c r="N846" s="14">
        <v>0</v>
      </c>
      <c r="O846" s="12">
        <v>405</v>
      </c>
      <c r="P846" s="13">
        <v>132.99997531</v>
      </c>
      <c r="Q846" s="14">
        <v>53864.99</v>
      </c>
      <c r="R846" s="11" t="s">
        <v>2990</v>
      </c>
      <c r="S846" s="11" t="s">
        <v>2991</v>
      </c>
      <c r="T846" s="11" t="s">
        <v>2966</v>
      </c>
    </row>
    <row r="847" spans="1:20" ht="50.1" hidden="1" customHeight="1">
      <c r="A847" s="10">
        <v>846</v>
      </c>
      <c r="B847" s="11" t="s">
        <v>1788</v>
      </c>
      <c r="C847" s="11" t="s">
        <v>1789</v>
      </c>
      <c r="D847" s="11" t="s">
        <v>17</v>
      </c>
      <c r="E847" s="11" t="s">
        <v>8</v>
      </c>
      <c r="F847" s="12">
        <v>6700</v>
      </c>
      <c r="G847" s="13">
        <v>8</v>
      </c>
      <c r="H847" s="14">
        <v>53600</v>
      </c>
      <c r="I847" s="12">
        <v>0</v>
      </c>
      <c r="J847" s="13"/>
      <c r="K847" s="14">
        <v>0</v>
      </c>
      <c r="L847" s="12">
        <v>0</v>
      </c>
      <c r="M847" s="13"/>
      <c r="N847" s="14">
        <v>0</v>
      </c>
      <c r="O847" s="12">
        <v>6700</v>
      </c>
      <c r="P847" s="13">
        <v>8</v>
      </c>
      <c r="Q847" s="14">
        <v>53600</v>
      </c>
      <c r="R847" s="11" t="s">
        <v>2971</v>
      </c>
      <c r="S847" s="11" t="s">
        <v>2972</v>
      </c>
      <c r="T847" s="11" t="s">
        <v>2966</v>
      </c>
    </row>
    <row r="848" spans="1:20" ht="50.1" hidden="1" customHeight="1">
      <c r="A848" s="10">
        <v>847</v>
      </c>
      <c r="B848" s="11" t="s">
        <v>3430</v>
      </c>
      <c r="C848" s="11" t="s">
        <v>3431</v>
      </c>
      <c r="D848" s="11" t="s">
        <v>17</v>
      </c>
      <c r="E848" s="11" t="s">
        <v>8</v>
      </c>
      <c r="F848" s="12">
        <v>1140</v>
      </c>
      <c r="G848" s="13">
        <v>1.2</v>
      </c>
      <c r="H848" s="14">
        <v>1368</v>
      </c>
      <c r="I848" s="12">
        <v>0</v>
      </c>
      <c r="J848" s="13"/>
      <c r="K848" s="14">
        <v>0</v>
      </c>
      <c r="L848" s="12">
        <v>1140</v>
      </c>
      <c r="M848" s="13">
        <v>1.2</v>
      </c>
      <c r="N848" s="14">
        <v>1368</v>
      </c>
      <c r="O848" s="12">
        <v>0</v>
      </c>
      <c r="P848" s="13"/>
      <c r="Q848" s="14">
        <v>0</v>
      </c>
      <c r="R848" s="11" t="s">
        <v>2971</v>
      </c>
      <c r="S848" s="11" t="s">
        <v>2972</v>
      </c>
      <c r="T848" s="11" t="s">
        <v>2966</v>
      </c>
    </row>
    <row r="849" spans="1:20" ht="50.1" hidden="1" customHeight="1">
      <c r="A849" s="10">
        <v>848</v>
      </c>
      <c r="B849" s="11" t="s">
        <v>1792</v>
      </c>
      <c r="C849" s="11" t="s">
        <v>1793</v>
      </c>
      <c r="D849" s="11" t="s">
        <v>17</v>
      </c>
      <c r="E849" s="11" t="s">
        <v>8</v>
      </c>
      <c r="F849" s="12">
        <v>8650</v>
      </c>
      <c r="G849" s="13">
        <v>1.6998800199999999</v>
      </c>
      <c r="H849" s="14">
        <v>14703.9622</v>
      </c>
      <c r="I849" s="12">
        <v>0</v>
      </c>
      <c r="J849" s="13"/>
      <c r="K849" s="14">
        <v>0</v>
      </c>
      <c r="L849" s="12">
        <v>2000</v>
      </c>
      <c r="M849" s="13">
        <v>1.7</v>
      </c>
      <c r="N849" s="14">
        <v>3400</v>
      </c>
      <c r="O849" s="12">
        <v>6650</v>
      </c>
      <c r="P849" s="13">
        <v>1.6998439400000001</v>
      </c>
      <c r="Q849" s="14">
        <v>11303.9622</v>
      </c>
      <c r="R849" s="11" t="s">
        <v>2971</v>
      </c>
      <c r="S849" s="11" t="s">
        <v>2972</v>
      </c>
      <c r="T849" s="11" t="s">
        <v>2966</v>
      </c>
    </row>
    <row r="850" spans="1:20" ht="50.1" hidden="1" customHeight="1">
      <c r="A850" s="10">
        <v>849</v>
      </c>
      <c r="B850" s="11" t="s">
        <v>3304</v>
      </c>
      <c r="C850" s="11" t="s">
        <v>3305</v>
      </c>
      <c r="D850" s="11" t="s">
        <v>17</v>
      </c>
      <c r="E850" s="11" t="s">
        <v>8</v>
      </c>
      <c r="F850" s="12">
        <v>25917</v>
      </c>
      <c r="G850" s="13">
        <v>14.1</v>
      </c>
      <c r="H850" s="14">
        <v>365429.7</v>
      </c>
      <c r="I850" s="12">
        <v>0</v>
      </c>
      <c r="J850" s="13"/>
      <c r="K850" s="14">
        <v>0</v>
      </c>
      <c r="L850" s="12">
        <v>0</v>
      </c>
      <c r="M850" s="13"/>
      <c r="N850" s="14">
        <v>0</v>
      </c>
      <c r="O850" s="12">
        <v>25917</v>
      </c>
      <c r="P850" s="13">
        <v>14.1</v>
      </c>
      <c r="Q850" s="14">
        <v>365429.7</v>
      </c>
      <c r="R850" s="11" t="s">
        <v>2971</v>
      </c>
      <c r="S850" s="11" t="s">
        <v>2972</v>
      </c>
      <c r="T850" s="11" t="s">
        <v>2961</v>
      </c>
    </row>
    <row r="851" spans="1:20" ht="50.1" hidden="1" customHeight="1">
      <c r="A851" s="10">
        <v>850</v>
      </c>
      <c r="B851" s="11" t="s">
        <v>3306</v>
      </c>
      <c r="C851" s="11" t="s">
        <v>3307</v>
      </c>
      <c r="D851" s="11" t="s">
        <v>17</v>
      </c>
      <c r="E851" s="11" t="s">
        <v>8</v>
      </c>
      <c r="F851" s="12">
        <v>8041</v>
      </c>
      <c r="G851" s="13">
        <v>14.1</v>
      </c>
      <c r="H851" s="14">
        <v>113378.1</v>
      </c>
      <c r="I851" s="12">
        <v>8241</v>
      </c>
      <c r="J851" s="13">
        <v>14.1</v>
      </c>
      <c r="K851" s="14">
        <v>116198.1</v>
      </c>
      <c r="L851" s="12">
        <v>3591</v>
      </c>
      <c r="M851" s="13">
        <v>14.1</v>
      </c>
      <c r="N851" s="14">
        <v>50633.1</v>
      </c>
      <c r="O851" s="12">
        <v>12691</v>
      </c>
      <c r="P851" s="13">
        <v>14.1</v>
      </c>
      <c r="Q851" s="14">
        <v>178943.1</v>
      </c>
      <c r="R851" s="11" t="s">
        <v>2971</v>
      </c>
      <c r="S851" s="11" t="s">
        <v>2972</v>
      </c>
      <c r="T851" s="11" t="s">
        <v>2961</v>
      </c>
    </row>
    <row r="852" spans="1:20" ht="50.1" hidden="1" customHeight="1">
      <c r="A852" s="10">
        <v>851</v>
      </c>
      <c r="B852" s="11" t="s">
        <v>1794</v>
      </c>
      <c r="C852" s="11" t="s">
        <v>1795</v>
      </c>
      <c r="D852" s="11" t="s">
        <v>17</v>
      </c>
      <c r="E852" s="11" t="s">
        <v>8</v>
      </c>
      <c r="F852" s="12">
        <v>1820</v>
      </c>
      <c r="G852" s="13">
        <v>2.04814835</v>
      </c>
      <c r="H852" s="14">
        <v>3727.63</v>
      </c>
      <c r="I852" s="12">
        <v>0</v>
      </c>
      <c r="J852" s="13"/>
      <c r="K852" s="14">
        <v>0</v>
      </c>
      <c r="L852" s="12">
        <v>0</v>
      </c>
      <c r="M852" s="13"/>
      <c r="N852" s="14">
        <v>0</v>
      </c>
      <c r="O852" s="12">
        <v>1820</v>
      </c>
      <c r="P852" s="13">
        <v>2.04814835</v>
      </c>
      <c r="Q852" s="14">
        <v>3727.63</v>
      </c>
      <c r="R852" s="11" t="s">
        <v>2971</v>
      </c>
      <c r="S852" s="11" t="s">
        <v>2972</v>
      </c>
      <c r="T852" s="11" t="s">
        <v>2966</v>
      </c>
    </row>
    <row r="853" spans="1:20" ht="50.1" hidden="1" customHeight="1">
      <c r="A853" s="10">
        <v>852</v>
      </c>
      <c r="B853" s="11" t="s">
        <v>1796</v>
      </c>
      <c r="C853" s="11" t="s">
        <v>1797</v>
      </c>
      <c r="D853" s="11" t="s">
        <v>7</v>
      </c>
      <c r="E853" s="11" t="s">
        <v>8</v>
      </c>
      <c r="F853" s="12">
        <v>14381</v>
      </c>
      <c r="G853" s="13">
        <v>6.7</v>
      </c>
      <c r="H853" s="14">
        <v>96352.7</v>
      </c>
      <c r="I853" s="12">
        <v>0</v>
      </c>
      <c r="J853" s="13"/>
      <c r="K853" s="14">
        <v>0</v>
      </c>
      <c r="L853" s="12">
        <v>4079</v>
      </c>
      <c r="M853" s="13">
        <v>6.7</v>
      </c>
      <c r="N853" s="14">
        <v>27329.3</v>
      </c>
      <c r="O853" s="12">
        <v>10302</v>
      </c>
      <c r="P853" s="13">
        <v>6.7</v>
      </c>
      <c r="Q853" s="14">
        <v>69023.399999999994</v>
      </c>
      <c r="R853" s="11" t="s">
        <v>3028</v>
      </c>
      <c r="S853" s="11" t="s">
        <v>3029</v>
      </c>
      <c r="T853" s="11" t="s">
        <v>2966</v>
      </c>
    </row>
    <row r="854" spans="1:20" ht="50.1" hidden="1" customHeight="1">
      <c r="A854" s="10">
        <v>853</v>
      </c>
      <c r="B854" s="11" t="s">
        <v>1798</v>
      </c>
      <c r="C854" s="11" t="s">
        <v>1799</v>
      </c>
      <c r="D854" s="11" t="s">
        <v>7</v>
      </c>
      <c r="E854" s="11" t="s">
        <v>8</v>
      </c>
      <c r="F854" s="12">
        <v>1755</v>
      </c>
      <c r="G854" s="13">
        <v>8.5</v>
      </c>
      <c r="H854" s="14">
        <v>14917.5</v>
      </c>
      <c r="I854" s="12">
        <v>0</v>
      </c>
      <c r="J854" s="13"/>
      <c r="K854" s="14">
        <v>0</v>
      </c>
      <c r="L854" s="12">
        <v>0</v>
      </c>
      <c r="M854" s="13"/>
      <c r="N854" s="14">
        <v>0</v>
      </c>
      <c r="O854" s="12">
        <v>1755</v>
      </c>
      <c r="P854" s="13">
        <v>8.5</v>
      </c>
      <c r="Q854" s="14">
        <v>14917.5</v>
      </c>
      <c r="R854" s="11" t="s">
        <v>2971</v>
      </c>
      <c r="S854" s="11" t="s">
        <v>2972</v>
      </c>
      <c r="T854" s="11" t="s">
        <v>2966</v>
      </c>
    </row>
    <row r="855" spans="1:20" ht="50.1" hidden="1" customHeight="1">
      <c r="A855" s="10">
        <v>854</v>
      </c>
      <c r="B855" s="11" t="s">
        <v>1800</v>
      </c>
      <c r="C855" s="11" t="s">
        <v>1801</v>
      </c>
      <c r="D855" s="11" t="s">
        <v>17</v>
      </c>
      <c r="E855" s="11" t="s">
        <v>8</v>
      </c>
      <c r="F855" s="12">
        <v>0</v>
      </c>
      <c r="G855" s="13"/>
      <c r="H855" s="14">
        <v>0</v>
      </c>
      <c r="I855" s="12">
        <v>2534</v>
      </c>
      <c r="J855" s="13">
        <v>0.5</v>
      </c>
      <c r="K855" s="14">
        <v>1267</v>
      </c>
      <c r="L855" s="12">
        <v>784</v>
      </c>
      <c r="M855" s="13">
        <v>0.5</v>
      </c>
      <c r="N855" s="14">
        <v>392</v>
      </c>
      <c r="O855" s="12">
        <v>1750</v>
      </c>
      <c r="P855" s="13">
        <v>0.5</v>
      </c>
      <c r="Q855" s="14">
        <v>875</v>
      </c>
      <c r="R855" s="11" t="s">
        <v>2971</v>
      </c>
      <c r="S855" s="11" t="s">
        <v>2972</v>
      </c>
      <c r="T855" s="11" t="s">
        <v>2966</v>
      </c>
    </row>
    <row r="856" spans="1:20" ht="50.1" hidden="1" customHeight="1">
      <c r="A856" s="10">
        <v>855</v>
      </c>
      <c r="B856" s="11" t="s">
        <v>3290</v>
      </c>
      <c r="C856" s="11" t="s">
        <v>3291</v>
      </c>
      <c r="D856" s="11" t="s">
        <v>7</v>
      </c>
      <c r="E856" s="11" t="s">
        <v>8</v>
      </c>
      <c r="F856" s="12">
        <v>1000</v>
      </c>
      <c r="G856" s="13">
        <v>2.9</v>
      </c>
      <c r="H856" s="14">
        <v>2900</v>
      </c>
      <c r="I856" s="12">
        <v>0</v>
      </c>
      <c r="J856" s="13"/>
      <c r="K856" s="14">
        <v>0</v>
      </c>
      <c r="L856" s="12">
        <v>0</v>
      </c>
      <c r="M856" s="13"/>
      <c r="N856" s="14">
        <v>0</v>
      </c>
      <c r="O856" s="12">
        <v>1000</v>
      </c>
      <c r="P856" s="13">
        <v>2.9</v>
      </c>
      <c r="Q856" s="14">
        <v>2900</v>
      </c>
      <c r="R856" s="11" t="s">
        <v>2971</v>
      </c>
      <c r="S856" s="11" t="s">
        <v>2972</v>
      </c>
      <c r="T856" s="11" t="s">
        <v>2966</v>
      </c>
    </row>
    <row r="857" spans="1:20" ht="50.1" hidden="1" customHeight="1">
      <c r="A857" s="10">
        <v>856</v>
      </c>
      <c r="B857" s="11" t="s">
        <v>2464</v>
      </c>
      <c r="C857" s="11" t="s">
        <v>2465</v>
      </c>
      <c r="D857" s="11" t="s">
        <v>17</v>
      </c>
      <c r="E857" s="11" t="s">
        <v>8</v>
      </c>
      <c r="F857" s="12">
        <v>8706</v>
      </c>
      <c r="G857" s="13">
        <v>2.5</v>
      </c>
      <c r="H857" s="14">
        <v>21765</v>
      </c>
      <c r="I857" s="12">
        <v>0</v>
      </c>
      <c r="J857" s="13"/>
      <c r="K857" s="14">
        <v>0</v>
      </c>
      <c r="L857" s="12">
        <v>0</v>
      </c>
      <c r="M857" s="13"/>
      <c r="N857" s="14">
        <v>0</v>
      </c>
      <c r="O857" s="12">
        <v>8706</v>
      </c>
      <c r="P857" s="13">
        <v>2.5</v>
      </c>
      <c r="Q857" s="14">
        <v>21765</v>
      </c>
      <c r="R857" s="11" t="s">
        <v>2971</v>
      </c>
      <c r="S857" s="11" t="s">
        <v>2972</v>
      </c>
      <c r="T857" s="11" t="s">
        <v>2966</v>
      </c>
    </row>
    <row r="858" spans="1:20" ht="50.1" hidden="1" customHeight="1">
      <c r="A858" s="10">
        <v>857</v>
      </c>
      <c r="B858" s="11" t="s">
        <v>1802</v>
      </c>
      <c r="C858" s="11" t="s">
        <v>1803</v>
      </c>
      <c r="D858" s="11" t="s">
        <v>20</v>
      </c>
      <c r="E858" s="11" t="s">
        <v>8</v>
      </c>
      <c r="F858" s="12">
        <v>1103</v>
      </c>
      <c r="G858" s="13">
        <v>124.38120189999999</v>
      </c>
      <c r="H858" s="14">
        <v>137192.4657</v>
      </c>
      <c r="I858" s="12">
        <v>0</v>
      </c>
      <c r="J858" s="13"/>
      <c r="K858" s="14">
        <v>0</v>
      </c>
      <c r="L858" s="12">
        <v>115.6</v>
      </c>
      <c r="M858" s="13">
        <v>124.38122837</v>
      </c>
      <c r="N858" s="14">
        <v>14378.47</v>
      </c>
      <c r="O858" s="12">
        <v>987.4</v>
      </c>
      <c r="P858" s="13">
        <v>124.38119880000001</v>
      </c>
      <c r="Q858" s="14">
        <v>122813.9957</v>
      </c>
      <c r="R858" s="11" t="s">
        <v>3030</v>
      </c>
      <c r="S858" s="11" t="s">
        <v>3031</v>
      </c>
      <c r="T858" s="11" t="s">
        <v>2966</v>
      </c>
    </row>
    <row r="859" spans="1:20" ht="50.1" hidden="1" customHeight="1">
      <c r="A859" s="10">
        <v>858</v>
      </c>
      <c r="B859" s="11" t="s">
        <v>1804</v>
      </c>
      <c r="C859" s="11" t="s">
        <v>1805</v>
      </c>
      <c r="D859" s="11" t="s">
        <v>20</v>
      </c>
      <c r="E859" s="11" t="s">
        <v>8</v>
      </c>
      <c r="F859" s="12">
        <v>960.5</v>
      </c>
      <c r="G859" s="13">
        <v>124.45676481</v>
      </c>
      <c r="H859" s="14">
        <v>119540.72259999999</v>
      </c>
      <c r="I859" s="12">
        <v>2812.1</v>
      </c>
      <c r="J859" s="13">
        <v>124.5</v>
      </c>
      <c r="K859" s="14">
        <v>350106.45</v>
      </c>
      <c r="L859" s="12">
        <v>2338.9</v>
      </c>
      <c r="M859" s="13">
        <v>124.4852794</v>
      </c>
      <c r="N859" s="14">
        <v>291158.62</v>
      </c>
      <c r="O859" s="12">
        <v>1433.7</v>
      </c>
      <c r="P859" s="13">
        <v>124.49504958999999</v>
      </c>
      <c r="Q859" s="14">
        <v>178488.5526</v>
      </c>
      <c r="R859" s="11" t="s">
        <v>3030</v>
      </c>
      <c r="S859" s="11" t="s">
        <v>3031</v>
      </c>
      <c r="T859" s="11" t="s">
        <v>2966</v>
      </c>
    </row>
    <row r="860" spans="1:20" ht="50.1" hidden="1" customHeight="1">
      <c r="A860" s="10">
        <v>859</v>
      </c>
      <c r="B860" s="11" t="s">
        <v>1806</v>
      </c>
      <c r="C860" s="11" t="s">
        <v>1807</v>
      </c>
      <c r="D860" s="11" t="s">
        <v>20</v>
      </c>
      <c r="E860" s="11" t="s">
        <v>8</v>
      </c>
      <c r="F860" s="12">
        <v>253.6</v>
      </c>
      <c r="G860" s="13">
        <v>123.63564669</v>
      </c>
      <c r="H860" s="14">
        <v>31354</v>
      </c>
      <c r="I860" s="12">
        <v>0</v>
      </c>
      <c r="J860" s="13"/>
      <c r="K860" s="14">
        <v>0</v>
      </c>
      <c r="L860" s="12">
        <v>144.19999999999999</v>
      </c>
      <c r="M860" s="13">
        <v>123.63557559</v>
      </c>
      <c r="N860" s="14">
        <v>17828.25</v>
      </c>
      <c r="O860" s="12">
        <v>109.4</v>
      </c>
      <c r="P860" s="13">
        <v>123.6357404</v>
      </c>
      <c r="Q860" s="14">
        <v>13525.75</v>
      </c>
      <c r="R860" s="11" t="s">
        <v>3030</v>
      </c>
      <c r="S860" s="11" t="s">
        <v>3031</v>
      </c>
      <c r="T860" s="11" t="s">
        <v>2966</v>
      </c>
    </row>
    <row r="861" spans="1:20" ht="50.1" hidden="1" customHeight="1">
      <c r="A861" s="10">
        <v>860</v>
      </c>
      <c r="B861" s="11" t="s">
        <v>1808</v>
      </c>
      <c r="C861" s="11" t="s">
        <v>1809</v>
      </c>
      <c r="D861" s="11" t="s">
        <v>20</v>
      </c>
      <c r="E861" s="11" t="s">
        <v>8</v>
      </c>
      <c r="F861" s="12">
        <v>39.65</v>
      </c>
      <c r="G861" s="13">
        <v>126.54680202</v>
      </c>
      <c r="H861" s="14">
        <v>5017.5807000000004</v>
      </c>
      <c r="I861" s="12">
        <v>494.7</v>
      </c>
      <c r="J861" s="13">
        <v>121</v>
      </c>
      <c r="K861" s="14">
        <v>59858.7</v>
      </c>
      <c r="L861" s="12">
        <v>41.1</v>
      </c>
      <c r="M861" s="13">
        <v>121.41167883</v>
      </c>
      <c r="N861" s="14">
        <v>4990.0200000000004</v>
      </c>
      <c r="O861" s="12">
        <v>493.25</v>
      </c>
      <c r="P861" s="13">
        <v>121.4115777</v>
      </c>
      <c r="Q861" s="14">
        <v>59886.260699999999</v>
      </c>
      <c r="R861" s="11" t="s">
        <v>3030</v>
      </c>
      <c r="S861" s="11" t="s">
        <v>3031</v>
      </c>
      <c r="T861" s="11" t="s">
        <v>2966</v>
      </c>
    </row>
    <row r="862" spans="1:20" ht="50.1" hidden="1" customHeight="1">
      <c r="A862" s="10">
        <v>861</v>
      </c>
      <c r="B862" s="11" t="s">
        <v>1810</v>
      </c>
      <c r="C862" s="11" t="s">
        <v>1811</v>
      </c>
      <c r="D862" s="11" t="s">
        <v>17</v>
      </c>
      <c r="E862" s="11" t="s">
        <v>8</v>
      </c>
      <c r="F862" s="12">
        <v>5210</v>
      </c>
      <c r="G862" s="13">
        <v>18</v>
      </c>
      <c r="H862" s="14">
        <v>93780</v>
      </c>
      <c r="I862" s="12">
        <v>1125</v>
      </c>
      <c r="J862" s="13">
        <v>18</v>
      </c>
      <c r="K862" s="14">
        <v>20250</v>
      </c>
      <c r="L862" s="12">
        <v>400</v>
      </c>
      <c r="M862" s="13">
        <v>18</v>
      </c>
      <c r="N862" s="14">
        <v>7200</v>
      </c>
      <c r="O862" s="12">
        <v>5935</v>
      </c>
      <c r="P862" s="13">
        <v>18</v>
      </c>
      <c r="Q862" s="14">
        <v>106830</v>
      </c>
      <c r="R862" s="11" t="s">
        <v>2973</v>
      </c>
      <c r="S862" s="11" t="s">
        <v>2974</v>
      </c>
      <c r="T862" s="11" t="s">
        <v>2966</v>
      </c>
    </row>
    <row r="863" spans="1:20" ht="50.1" hidden="1" customHeight="1">
      <c r="A863" s="10">
        <v>862</v>
      </c>
      <c r="B863" s="11" t="s">
        <v>2797</v>
      </c>
      <c r="C863" s="11" t="s">
        <v>2798</v>
      </c>
      <c r="D863" s="11" t="s">
        <v>17</v>
      </c>
      <c r="E863" s="11" t="s">
        <v>8</v>
      </c>
      <c r="F863" s="12">
        <v>121765</v>
      </c>
      <c r="G863" s="13">
        <v>0.50362737000000002</v>
      </c>
      <c r="H863" s="14">
        <v>61324.186399999999</v>
      </c>
      <c r="I863" s="12">
        <v>0</v>
      </c>
      <c r="J863" s="13"/>
      <c r="K863" s="14">
        <v>0</v>
      </c>
      <c r="L863" s="12">
        <v>39984</v>
      </c>
      <c r="M863" s="13">
        <v>0.50359818999999995</v>
      </c>
      <c r="N863" s="14">
        <v>20135.87</v>
      </c>
      <c r="O863" s="12">
        <v>81781</v>
      </c>
      <c r="P863" s="13">
        <v>0.50364162999999995</v>
      </c>
      <c r="Q863" s="14">
        <v>41188.316400000003</v>
      </c>
      <c r="R863" s="11" t="s">
        <v>2971</v>
      </c>
      <c r="S863" s="11" t="s">
        <v>2972</v>
      </c>
      <c r="T863" s="11" t="s">
        <v>2961</v>
      </c>
    </row>
    <row r="864" spans="1:20" ht="50.1" hidden="1" customHeight="1">
      <c r="A864" s="10">
        <v>863</v>
      </c>
      <c r="B864" s="11" t="s">
        <v>1814</v>
      </c>
      <c r="C864" s="11" t="s">
        <v>1815</v>
      </c>
      <c r="D864" s="11" t="s">
        <v>17</v>
      </c>
      <c r="E864" s="11" t="s">
        <v>8</v>
      </c>
      <c r="F864" s="12">
        <v>28812</v>
      </c>
      <c r="G864" s="13">
        <v>0.19672627000000001</v>
      </c>
      <c r="H864" s="14">
        <v>5668.0774000000001</v>
      </c>
      <c r="I864" s="12">
        <v>0</v>
      </c>
      <c r="J864" s="13"/>
      <c r="K864" s="14">
        <v>0</v>
      </c>
      <c r="L864" s="12">
        <v>2352</v>
      </c>
      <c r="M864" s="13">
        <v>0.19670067999999999</v>
      </c>
      <c r="N864" s="14">
        <v>462.64</v>
      </c>
      <c r="O864" s="12">
        <v>26460</v>
      </c>
      <c r="P864" s="13">
        <v>0.19672855</v>
      </c>
      <c r="Q864" s="14">
        <v>5205.4373999999998</v>
      </c>
      <c r="R864" s="11" t="s">
        <v>2971</v>
      </c>
      <c r="S864" s="11" t="s">
        <v>2972</v>
      </c>
      <c r="T864" s="11" t="s">
        <v>2966</v>
      </c>
    </row>
    <row r="865" spans="1:20" ht="50.1" hidden="1" customHeight="1">
      <c r="A865" s="10">
        <v>864</v>
      </c>
      <c r="B865" s="11" t="s">
        <v>1816</v>
      </c>
      <c r="C865" s="11" t="s">
        <v>1817</v>
      </c>
      <c r="D865" s="11" t="s">
        <v>17</v>
      </c>
      <c r="E865" s="11" t="s">
        <v>8</v>
      </c>
      <c r="F865" s="12">
        <v>16500</v>
      </c>
      <c r="G865" s="13">
        <v>1.82137091</v>
      </c>
      <c r="H865" s="14">
        <v>30052.62</v>
      </c>
      <c r="I865" s="12">
        <v>0</v>
      </c>
      <c r="J865" s="13"/>
      <c r="K865" s="14">
        <v>0</v>
      </c>
      <c r="L865" s="12">
        <v>3000</v>
      </c>
      <c r="M865" s="13">
        <v>1.8213999999999999</v>
      </c>
      <c r="N865" s="14">
        <v>5464.2</v>
      </c>
      <c r="O865" s="12">
        <v>13500</v>
      </c>
      <c r="P865" s="13">
        <v>1.82136444</v>
      </c>
      <c r="Q865" s="14">
        <v>24588.42</v>
      </c>
      <c r="R865" s="11" t="s">
        <v>2971</v>
      </c>
      <c r="S865" s="11" t="s">
        <v>2972</v>
      </c>
      <c r="T865" s="11" t="s">
        <v>2966</v>
      </c>
    </row>
    <row r="866" spans="1:20" ht="50.1" hidden="1" customHeight="1">
      <c r="A866" s="10">
        <v>865</v>
      </c>
      <c r="B866" s="11" t="s">
        <v>1818</v>
      </c>
      <c r="C866" s="11" t="s">
        <v>1819</v>
      </c>
      <c r="D866" s="11" t="s">
        <v>17</v>
      </c>
      <c r="E866" s="11" t="s">
        <v>8</v>
      </c>
      <c r="F866" s="12">
        <v>1039</v>
      </c>
      <c r="G866" s="13">
        <v>0.38295476000000001</v>
      </c>
      <c r="H866" s="14">
        <v>397.89</v>
      </c>
      <c r="I866" s="12">
        <v>0</v>
      </c>
      <c r="J866" s="13"/>
      <c r="K866" s="14">
        <v>0</v>
      </c>
      <c r="L866" s="12">
        <v>195</v>
      </c>
      <c r="M866" s="13">
        <v>0.38292308000000003</v>
      </c>
      <c r="N866" s="14">
        <v>74.67</v>
      </c>
      <c r="O866" s="12">
        <v>844</v>
      </c>
      <c r="P866" s="13">
        <v>0.38296208999999998</v>
      </c>
      <c r="Q866" s="14">
        <v>323.22000000000003</v>
      </c>
      <c r="R866" s="11" t="s">
        <v>2971</v>
      </c>
      <c r="S866" s="11" t="s">
        <v>2972</v>
      </c>
      <c r="T866" s="11" t="s">
        <v>2966</v>
      </c>
    </row>
    <row r="867" spans="1:20" ht="50.1" hidden="1" customHeight="1">
      <c r="A867" s="10">
        <v>866</v>
      </c>
      <c r="B867" s="11" t="s">
        <v>3659</v>
      </c>
      <c r="C867" s="11" t="s">
        <v>3660</v>
      </c>
      <c r="D867" s="11" t="s">
        <v>17</v>
      </c>
      <c r="E867" s="11" t="s">
        <v>8</v>
      </c>
      <c r="F867" s="12">
        <v>0</v>
      </c>
      <c r="G867" s="13"/>
      <c r="H867" s="14">
        <v>0</v>
      </c>
      <c r="I867" s="12">
        <v>100</v>
      </c>
      <c r="J867" s="13">
        <v>75</v>
      </c>
      <c r="K867" s="14">
        <v>7500</v>
      </c>
      <c r="L867" s="12">
        <v>20</v>
      </c>
      <c r="M867" s="13">
        <v>75</v>
      </c>
      <c r="N867" s="14">
        <v>1500</v>
      </c>
      <c r="O867" s="12">
        <v>80</v>
      </c>
      <c r="P867" s="13">
        <v>75</v>
      </c>
      <c r="Q867" s="14">
        <v>6000</v>
      </c>
      <c r="R867" s="11" t="s">
        <v>2981</v>
      </c>
      <c r="S867" s="11" t="s">
        <v>2982</v>
      </c>
      <c r="T867" s="11" t="s">
        <v>2961</v>
      </c>
    </row>
    <row r="868" spans="1:20" ht="50.1" hidden="1" customHeight="1">
      <c r="A868" s="10">
        <v>867</v>
      </c>
      <c r="B868" s="11" t="s">
        <v>1820</v>
      </c>
      <c r="C868" s="11" t="s">
        <v>1821</v>
      </c>
      <c r="D868" s="11" t="s">
        <v>7</v>
      </c>
      <c r="E868" s="11" t="s">
        <v>8</v>
      </c>
      <c r="F868" s="12">
        <v>1200</v>
      </c>
      <c r="G868" s="13">
        <v>3.6885479999999999</v>
      </c>
      <c r="H868" s="14">
        <v>4426.2575999999999</v>
      </c>
      <c r="I868" s="12">
        <v>2400</v>
      </c>
      <c r="J868" s="13">
        <v>3.7</v>
      </c>
      <c r="K868" s="14">
        <v>8880</v>
      </c>
      <c r="L868" s="12">
        <v>3000</v>
      </c>
      <c r="M868" s="13">
        <v>3.6956000000000002</v>
      </c>
      <c r="N868" s="14">
        <v>11086.8</v>
      </c>
      <c r="O868" s="12">
        <v>600</v>
      </c>
      <c r="P868" s="13">
        <v>3.6990959999999999</v>
      </c>
      <c r="Q868" s="14">
        <v>2219.4576000000002</v>
      </c>
      <c r="R868" s="11" t="s">
        <v>2971</v>
      </c>
      <c r="S868" s="11" t="s">
        <v>2972</v>
      </c>
      <c r="T868" s="11" t="s">
        <v>2966</v>
      </c>
    </row>
    <row r="869" spans="1:20" ht="50.1" hidden="1" customHeight="1">
      <c r="A869" s="10">
        <v>868</v>
      </c>
      <c r="B869" s="11" t="s">
        <v>1822</v>
      </c>
      <c r="C869" s="11" t="s">
        <v>1823</v>
      </c>
      <c r="D869" s="11" t="s">
        <v>17</v>
      </c>
      <c r="E869" s="11" t="s">
        <v>8</v>
      </c>
      <c r="F869" s="12">
        <v>287</v>
      </c>
      <c r="G869" s="13">
        <v>17.25</v>
      </c>
      <c r="H869" s="14">
        <v>4950.75</v>
      </c>
      <c r="I869" s="12">
        <v>0</v>
      </c>
      <c r="J869" s="13"/>
      <c r="K869" s="14">
        <v>0</v>
      </c>
      <c r="L869" s="12">
        <v>0</v>
      </c>
      <c r="M869" s="13"/>
      <c r="N869" s="14">
        <v>0</v>
      </c>
      <c r="O869" s="12">
        <v>287</v>
      </c>
      <c r="P869" s="13">
        <v>17.25</v>
      </c>
      <c r="Q869" s="14">
        <v>4950.75</v>
      </c>
      <c r="R869" s="11" t="s">
        <v>2971</v>
      </c>
      <c r="S869" s="11" t="s">
        <v>2972</v>
      </c>
      <c r="T869" s="11" t="s">
        <v>2966</v>
      </c>
    </row>
    <row r="870" spans="1:20" ht="50.1" hidden="1" customHeight="1">
      <c r="A870" s="10">
        <v>869</v>
      </c>
      <c r="B870" s="11" t="s">
        <v>1824</v>
      </c>
      <c r="C870" s="11" t="s">
        <v>1825</v>
      </c>
      <c r="D870" s="11" t="s">
        <v>17</v>
      </c>
      <c r="E870" s="11" t="s">
        <v>8</v>
      </c>
      <c r="F870" s="12">
        <v>217</v>
      </c>
      <c r="G870" s="13">
        <v>9.0000299500000001</v>
      </c>
      <c r="H870" s="14">
        <v>1953.0065</v>
      </c>
      <c r="I870" s="12">
        <v>0</v>
      </c>
      <c r="J870" s="13"/>
      <c r="K870" s="14">
        <v>0</v>
      </c>
      <c r="L870" s="12">
        <v>23</v>
      </c>
      <c r="M870" s="13">
        <v>9</v>
      </c>
      <c r="N870" s="14">
        <v>207</v>
      </c>
      <c r="O870" s="12">
        <v>194</v>
      </c>
      <c r="P870" s="13">
        <v>9.0000335099999997</v>
      </c>
      <c r="Q870" s="14">
        <v>1746.0065</v>
      </c>
      <c r="R870" s="11" t="s">
        <v>2971</v>
      </c>
      <c r="S870" s="11" t="s">
        <v>2972</v>
      </c>
      <c r="T870" s="11" t="s">
        <v>2966</v>
      </c>
    </row>
    <row r="871" spans="1:20" ht="50.1" hidden="1" customHeight="1">
      <c r="A871" s="10">
        <v>870</v>
      </c>
      <c r="B871" s="11" t="s">
        <v>1826</v>
      </c>
      <c r="C871" s="11" t="s">
        <v>1827</v>
      </c>
      <c r="D871" s="11" t="s">
        <v>17</v>
      </c>
      <c r="E871" s="11" t="s">
        <v>8</v>
      </c>
      <c r="F871" s="12">
        <v>276</v>
      </c>
      <c r="G871" s="13">
        <v>59.999999279999997</v>
      </c>
      <c r="H871" s="14">
        <v>16559.999800000001</v>
      </c>
      <c r="I871" s="12">
        <v>0</v>
      </c>
      <c r="J871" s="13"/>
      <c r="K871" s="14">
        <v>0</v>
      </c>
      <c r="L871" s="12">
        <v>12</v>
      </c>
      <c r="M871" s="13">
        <v>60</v>
      </c>
      <c r="N871" s="14">
        <v>720</v>
      </c>
      <c r="O871" s="12">
        <v>264</v>
      </c>
      <c r="P871" s="13">
        <v>59.999999240000001</v>
      </c>
      <c r="Q871" s="14">
        <v>15839.9998</v>
      </c>
      <c r="R871" s="11" t="s">
        <v>2990</v>
      </c>
      <c r="S871" s="11" t="s">
        <v>2991</v>
      </c>
      <c r="T871" s="11" t="s">
        <v>2961</v>
      </c>
    </row>
    <row r="872" spans="1:20" ht="50.1" hidden="1" customHeight="1">
      <c r="A872" s="10">
        <v>871</v>
      </c>
      <c r="B872" s="11" t="s">
        <v>1830</v>
      </c>
      <c r="C872" s="11" t="s">
        <v>1831</v>
      </c>
      <c r="D872" s="11" t="s">
        <v>17</v>
      </c>
      <c r="E872" s="11" t="s">
        <v>8</v>
      </c>
      <c r="F872" s="12">
        <v>123</v>
      </c>
      <c r="G872" s="13">
        <v>87.969918699999994</v>
      </c>
      <c r="H872" s="14">
        <v>10820.3</v>
      </c>
      <c r="I872" s="12">
        <v>0</v>
      </c>
      <c r="J872" s="13"/>
      <c r="K872" s="14">
        <v>0</v>
      </c>
      <c r="L872" s="12">
        <v>0</v>
      </c>
      <c r="M872" s="13"/>
      <c r="N872" s="14">
        <v>0</v>
      </c>
      <c r="O872" s="12">
        <v>123</v>
      </c>
      <c r="P872" s="13">
        <v>87.969918699999994</v>
      </c>
      <c r="Q872" s="14">
        <v>10820.3</v>
      </c>
      <c r="R872" s="11" t="s">
        <v>2990</v>
      </c>
      <c r="S872" s="11" t="s">
        <v>2991</v>
      </c>
      <c r="T872" s="11" t="s">
        <v>2966</v>
      </c>
    </row>
    <row r="873" spans="1:20" ht="50.1" hidden="1" customHeight="1">
      <c r="A873" s="10">
        <v>872</v>
      </c>
      <c r="B873" s="11" t="s">
        <v>1832</v>
      </c>
      <c r="C873" s="11" t="s">
        <v>1833</v>
      </c>
      <c r="D873" s="11" t="s">
        <v>17</v>
      </c>
      <c r="E873" s="11" t="s">
        <v>8</v>
      </c>
      <c r="F873" s="12">
        <v>80</v>
      </c>
      <c r="G873" s="13">
        <v>93.820374999999999</v>
      </c>
      <c r="H873" s="14">
        <v>7505.63</v>
      </c>
      <c r="I873" s="12">
        <v>0</v>
      </c>
      <c r="J873" s="13"/>
      <c r="K873" s="14">
        <v>0</v>
      </c>
      <c r="L873" s="12">
        <v>0</v>
      </c>
      <c r="M873" s="13"/>
      <c r="N873" s="14">
        <v>0</v>
      </c>
      <c r="O873" s="12">
        <v>80</v>
      </c>
      <c r="P873" s="13">
        <v>93.820374999999999</v>
      </c>
      <c r="Q873" s="14">
        <v>7505.63</v>
      </c>
      <c r="R873" s="11" t="s">
        <v>2990</v>
      </c>
      <c r="S873" s="11" t="s">
        <v>2991</v>
      </c>
      <c r="T873" s="11" t="s">
        <v>2966</v>
      </c>
    </row>
    <row r="874" spans="1:20" ht="50.1" hidden="1" customHeight="1">
      <c r="A874" s="10">
        <v>873</v>
      </c>
      <c r="B874" s="11" t="s">
        <v>1834</v>
      </c>
      <c r="C874" s="11" t="s">
        <v>1835</v>
      </c>
      <c r="D874" s="11" t="s">
        <v>17</v>
      </c>
      <c r="E874" s="11" t="s">
        <v>8</v>
      </c>
      <c r="F874" s="12">
        <v>711</v>
      </c>
      <c r="G874" s="13">
        <v>108.28285513</v>
      </c>
      <c r="H874" s="14">
        <v>76989.11</v>
      </c>
      <c r="I874" s="12">
        <v>0</v>
      </c>
      <c r="J874" s="13"/>
      <c r="K874" s="14">
        <v>0</v>
      </c>
      <c r="L874" s="12">
        <v>0</v>
      </c>
      <c r="M874" s="13"/>
      <c r="N874" s="14">
        <v>0</v>
      </c>
      <c r="O874" s="12">
        <v>711</v>
      </c>
      <c r="P874" s="13">
        <v>108.28285513</v>
      </c>
      <c r="Q874" s="14">
        <v>76989.11</v>
      </c>
      <c r="R874" s="11" t="s">
        <v>2990</v>
      </c>
      <c r="S874" s="11" t="s">
        <v>2991</v>
      </c>
      <c r="T874" s="11" t="s">
        <v>2966</v>
      </c>
    </row>
    <row r="875" spans="1:20" ht="50.1" hidden="1" customHeight="1">
      <c r="A875" s="10">
        <v>874</v>
      </c>
      <c r="B875" s="11" t="s">
        <v>1836</v>
      </c>
      <c r="C875" s="11" t="s">
        <v>1837</v>
      </c>
      <c r="D875" s="11" t="s">
        <v>17</v>
      </c>
      <c r="E875" s="11" t="s">
        <v>8</v>
      </c>
      <c r="F875" s="12">
        <v>206</v>
      </c>
      <c r="G875" s="13">
        <v>107.47276699</v>
      </c>
      <c r="H875" s="14">
        <v>22139.39</v>
      </c>
      <c r="I875" s="12">
        <v>0</v>
      </c>
      <c r="J875" s="13"/>
      <c r="K875" s="14">
        <v>0</v>
      </c>
      <c r="L875" s="12">
        <v>0</v>
      </c>
      <c r="M875" s="13"/>
      <c r="N875" s="14">
        <v>0</v>
      </c>
      <c r="O875" s="12">
        <v>206</v>
      </c>
      <c r="P875" s="13">
        <v>107.47276699</v>
      </c>
      <c r="Q875" s="14">
        <v>22139.39</v>
      </c>
      <c r="R875" s="11" t="s">
        <v>2990</v>
      </c>
      <c r="S875" s="11" t="s">
        <v>2991</v>
      </c>
      <c r="T875" s="11" t="s">
        <v>2966</v>
      </c>
    </row>
    <row r="876" spans="1:20" ht="50.1" hidden="1" customHeight="1">
      <c r="A876" s="10">
        <v>875</v>
      </c>
      <c r="B876" s="11" t="s">
        <v>1838</v>
      </c>
      <c r="C876" s="11" t="s">
        <v>1839</v>
      </c>
      <c r="D876" s="11" t="s">
        <v>17</v>
      </c>
      <c r="E876" s="11" t="s">
        <v>8</v>
      </c>
      <c r="F876" s="12">
        <v>618</v>
      </c>
      <c r="G876" s="13">
        <v>120</v>
      </c>
      <c r="H876" s="14">
        <v>74160</v>
      </c>
      <c r="I876" s="12">
        <v>0</v>
      </c>
      <c r="J876" s="13"/>
      <c r="K876" s="14">
        <v>0</v>
      </c>
      <c r="L876" s="12">
        <v>0</v>
      </c>
      <c r="M876" s="13"/>
      <c r="N876" s="14">
        <v>0</v>
      </c>
      <c r="O876" s="12">
        <v>618</v>
      </c>
      <c r="P876" s="13">
        <v>120</v>
      </c>
      <c r="Q876" s="14">
        <v>74160</v>
      </c>
      <c r="R876" s="11" t="s">
        <v>2990</v>
      </c>
      <c r="S876" s="11" t="s">
        <v>2991</v>
      </c>
      <c r="T876" s="11" t="s">
        <v>2966</v>
      </c>
    </row>
    <row r="877" spans="1:20" ht="50.1" hidden="1" customHeight="1">
      <c r="A877" s="10">
        <v>876</v>
      </c>
      <c r="B877" s="11" t="s">
        <v>1840</v>
      </c>
      <c r="C877" s="11" t="s">
        <v>1841</v>
      </c>
      <c r="D877" s="11" t="s">
        <v>17</v>
      </c>
      <c r="E877" s="11" t="s">
        <v>8</v>
      </c>
      <c r="F877" s="12">
        <v>223</v>
      </c>
      <c r="G877" s="13">
        <v>127</v>
      </c>
      <c r="H877" s="14">
        <v>28321</v>
      </c>
      <c r="I877" s="12">
        <v>0</v>
      </c>
      <c r="J877" s="13"/>
      <c r="K877" s="14">
        <v>0</v>
      </c>
      <c r="L877" s="12">
        <v>0</v>
      </c>
      <c r="M877" s="13"/>
      <c r="N877" s="14">
        <v>0</v>
      </c>
      <c r="O877" s="12">
        <v>223</v>
      </c>
      <c r="P877" s="13">
        <v>127</v>
      </c>
      <c r="Q877" s="14">
        <v>28321</v>
      </c>
      <c r="R877" s="11" t="s">
        <v>2990</v>
      </c>
      <c r="S877" s="11" t="s">
        <v>2991</v>
      </c>
      <c r="T877" s="11" t="s">
        <v>2966</v>
      </c>
    </row>
    <row r="878" spans="1:20" ht="50.1" hidden="1" customHeight="1">
      <c r="A878" s="10">
        <v>877</v>
      </c>
      <c r="B878" s="11" t="s">
        <v>1842</v>
      </c>
      <c r="C878" s="11" t="s">
        <v>1843</v>
      </c>
      <c r="D878" s="11" t="s">
        <v>17</v>
      </c>
      <c r="E878" s="11" t="s">
        <v>8</v>
      </c>
      <c r="F878" s="12">
        <v>224</v>
      </c>
      <c r="G878" s="13">
        <v>132</v>
      </c>
      <c r="H878" s="14">
        <v>29568</v>
      </c>
      <c r="I878" s="12">
        <v>0</v>
      </c>
      <c r="J878" s="13"/>
      <c r="K878" s="14">
        <v>0</v>
      </c>
      <c r="L878" s="12">
        <v>0</v>
      </c>
      <c r="M878" s="13"/>
      <c r="N878" s="14">
        <v>0</v>
      </c>
      <c r="O878" s="12">
        <v>224</v>
      </c>
      <c r="P878" s="13">
        <v>132</v>
      </c>
      <c r="Q878" s="14">
        <v>29568</v>
      </c>
      <c r="R878" s="11" t="s">
        <v>2990</v>
      </c>
      <c r="S878" s="11" t="s">
        <v>2991</v>
      </c>
      <c r="T878" s="11" t="s">
        <v>2966</v>
      </c>
    </row>
    <row r="879" spans="1:20" ht="50.1" hidden="1" customHeight="1">
      <c r="A879" s="10">
        <v>878</v>
      </c>
      <c r="B879" s="11" t="s">
        <v>253</v>
      </c>
      <c r="C879" s="11" t="s">
        <v>254</v>
      </c>
      <c r="D879" s="11" t="s">
        <v>17</v>
      </c>
      <c r="E879" s="11" t="s">
        <v>8</v>
      </c>
      <c r="F879" s="12">
        <v>172</v>
      </c>
      <c r="G879" s="13">
        <v>139.98122093000001</v>
      </c>
      <c r="H879" s="14">
        <v>24076.77</v>
      </c>
      <c r="I879" s="12">
        <v>0</v>
      </c>
      <c r="J879" s="13"/>
      <c r="K879" s="14">
        <v>0</v>
      </c>
      <c r="L879" s="12">
        <v>0</v>
      </c>
      <c r="M879" s="13"/>
      <c r="N879" s="14">
        <v>0</v>
      </c>
      <c r="O879" s="12">
        <v>172</v>
      </c>
      <c r="P879" s="13">
        <v>139.98122093000001</v>
      </c>
      <c r="Q879" s="14">
        <v>24076.77</v>
      </c>
      <c r="R879" s="11" t="s">
        <v>2990</v>
      </c>
      <c r="S879" s="11" t="s">
        <v>2991</v>
      </c>
      <c r="T879" s="11" t="s">
        <v>2966</v>
      </c>
    </row>
    <row r="880" spans="1:20" ht="50.1" hidden="1" customHeight="1">
      <c r="A880" s="10">
        <v>879</v>
      </c>
      <c r="B880" s="11" t="s">
        <v>257</v>
      </c>
      <c r="C880" s="11" t="s">
        <v>258</v>
      </c>
      <c r="D880" s="11" t="s">
        <v>17</v>
      </c>
      <c r="E880" s="11" t="s">
        <v>8</v>
      </c>
      <c r="F880" s="12">
        <v>106</v>
      </c>
      <c r="G880" s="13">
        <v>1047.98528302</v>
      </c>
      <c r="H880" s="14">
        <v>111086.44</v>
      </c>
      <c r="I880" s="12">
        <v>550</v>
      </c>
      <c r="J880" s="13">
        <v>1024</v>
      </c>
      <c r="K880" s="14">
        <v>563200</v>
      </c>
      <c r="L880" s="12">
        <v>355</v>
      </c>
      <c r="M880" s="13">
        <v>1031.16180282</v>
      </c>
      <c r="N880" s="14">
        <v>366062.44</v>
      </c>
      <c r="O880" s="12">
        <v>301</v>
      </c>
      <c r="P880" s="13">
        <v>1024</v>
      </c>
      <c r="Q880" s="14">
        <v>308224</v>
      </c>
      <c r="R880" s="11" t="s">
        <v>2997</v>
      </c>
      <c r="S880" s="11" t="s">
        <v>2998</v>
      </c>
      <c r="T880" s="11" t="s">
        <v>2966</v>
      </c>
    </row>
    <row r="881" spans="1:20" ht="50.1" hidden="1" customHeight="1">
      <c r="A881" s="10">
        <v>880</v>
      </c>
      <c r="B881" s="11" t="s">
        <v>2108</v>
      </c>
      <c r="C881" s="11" t="s">
        <v>2109</v>
      </c>
      <c r="D881" s="11" t="s">
        <v>17</v>
      </c>
      <c r="E881" s="11" t="s">
        <v>8</v>
      </c>
      <c r="F881" s="12">
        <v>150</v>
      </c>
      <c r="G881" s="13">
        <v>1101.0909333300001</v>
      </c>
      <c r="H881" s="14">
        <v>165163.64000000001</v>
      </c>
      <c r="I881" s="12">
        <v>0</v>
      </c>
      <c r="J881" s="13"/>
      <c r="K881" s="14">
        <v>0</v>
      </c>
      <c r="L881" s="12">
        <v>100</v>
      </c>
      <c r="M881" s="13">
        <v>1101.0909999999999</v>
      </c>
      <c r="N881" s="14">
        <v>110109.1</v>
      </c>
      <c r="O881" s="12">
        <v>50</v>
      </c>
      <c r="P881" s="13">
        <v>1101.0907999999999</v>
      </c>
      <c r="Q881" s="14">
        <v>55054.54</v>
      </c>
      <c r="R881" s="11" t="s">
        <v>2997</v>
      </c>
      <c r="S881" s="11" t="s">
        <v>2998</v>
      </c>
      <c r="T881" s="11" t="s">
        <v>2966</v>
      </c>
    </row>
    <row r="882" spans="1:20" ht="50.1" hidden="1" customHeight="1">
      <c r="A882" s="10">
        <v>881</v>
      </c>
      <c r="B882" s="11" t="s">
        <v>3432</v>
      </c>
      <c r="C882" s="11" t="s">
        <v>3433</v>
      </c>
      <c r="D882" s="11" t="s">
        <v>17</v>
      </c>
      <c r="E882" s="11" t="s">
        <v>8</v>
      </c>
      <c r="F882" s="12">
        <v>250</v>
      </c>
      <c r="G882" s="13">
        <v>6</v>
      </c>
      <c r="H882" s="14">
        <v>1500</v>
      </c>
      <c r="I882" s="12">
        <v>0</v>
      </c>
      <c r="J882" s="13"/>
      <c r="K882" s="14">
        <v>0</v>
      </c>
      <c r="L882" s="12">
        <v>0</v>
      </c>
      <c r="M882" s="13"/>
      <c r="N882" s="14">
        <v>0</v>
      </c>
      <c r="O882" s="12">
        <v>250</v>
      </c>
      <c r="P882" s="13">
        <v>6</v>
      </c>
      <c r="Q882" s="14">
        <v>1500</v>
      </c>
      <c r="R882" s="11" t="s">
        <v>2971</v>
      </c>
      <c r="S882" s="11" t="s">
        <v>2972</v>
      </c>
      <c r="T882" s="11" t="s">
        <v>2961</v>
      </c>
    </row>
    <row r="883" spans="1:20" ht="50.1" hidden="1" customHeight="1">
      <c r="A883" s="10">
        <v>882</v>
      </c>
      <c r="B883" s="11" t="s">
        <v>3434</v>
      </c>
      <c r="C883" s="11" t="s">
        <v>3435</v>
      </c>
      <c r="D883" s="11" t="s">
        <v>17</v>
      </c>
      <c r="E883" s="11" t="s">
        <v>8</v>
      </c>
      <c r="F883" s="12">
        <v>250</v>
      </c>
      <c r="G883" s="13">
        <v>6</v>
      </c>
      <c r="H883" s="14">
        <v>1500</v>
      </c>
      <c r="I883" s="12">
        <v>0</v>
      </c>
      <c r="J883" s="13"/>
      <c r="K883" s="14">
        <v>0</v>
      </c>
      <c r="L883" s="12">
        <v>0</v>
      </c>
      <c r="M883" s="13"/>
      <c r="N883" s="14">
        <v>0</v>
      </c>
      <c r="O883" s="12">
        <v>250</v>
      </c>
      <c r="P883" s="13">
        <v>6</v>
      </c>
      <c r="Q883" s="14">
        <v>1500</v>
      </c>
      <c r="R883" s="11" t="s">
        <v>2971</v>
      </c>
      <c r="S883" s="11" t="s">
        <v>2972</v>
      </c>
      <c r="T883" s="11" t="s">
        <v>2961</v>
      </c>
    </row>
    <row r="884" spans="1:20" ht="50.1" hidden="1" customHeight="1">
      <c r="A884" s="10">
        <v>883</v>
      </c>
      <c r="B884" s="11" t="s">
        <v>3436</v>
      </c>
      <c r="C884" s="11" t="s">
        <v>3437</v>
      </c>
      <c r="D884" s="11" t="s">
        <v>17</v>
      </c>
      <c r="E884" s="11" t="s">
        <v>8</v>
      </c>
      <c r="F884" s="12">
        <v>1030</v>
      </c>
      <c r="G884" s="13">
        <v>1</v>
      </c>
      <c r="H884" s="14">
        <v>1030</v>
      </c>
      <c r="I884" s="12">
        <v>0</v>
      </c>
      <c r="J884" s="13"/>
      <c r="K884" s="14">
        <v>0</v>
      </c>
      <c r="L884" s="12">
        <v>0</v>
      </c>
      <c r="M884" s="13"/>
      <c r="N884" s="14">
        <v>0</v>
      </c>
      <c r="O884" s="12">
        <v>1030</v>
      </c>
      <c r="P884" s="13">
        <v>1</v>
      </c>
      <c r="Q884" s="14">
        <v>1030</v>
      </c>
      <c r="R884" s="11" t="s">
        <v>2971</v>
      </c>
      <c r="S884" s="11" t="s">
        <v>2972</v>
      </c>
      <c r="T884" s="11" t="s">
        <v>2966</v>
      </c>
    </row>
    <row r="885" spans="1:20" ht="50.1" hidden="1" customHeight="1">
      <c r="A885" s="10">
        <v>884</v>
      </c>
      <c r="B885" s="11" t="s">
        <v>3438</v>
      </c>
      <c r="C885" s="11" t="s">
        <v>3439</v>
      </c>
      <c r="D885" s="11" t="s">
        <v>17</v>
      </c>
      <c r="E885" s="11" t="s">
        <v>8</v>
      </c>
      <c r="F885" s="12">
        <v>250</v>
      </c>
      <c r="G885" s="13">
        <v>6</v>
      </c>
      <c r="H885" s="14">
        <v>1500</v>
      </c>
      <c r="I885" s="12">
        <v>0</v>
      </c>
      <c r="J885" s="13"/>
      <c r="K885" s="14">
        <v>0</v>
      </c>
      <c r="L885" s="12">
        <v>0</v>
      </c>
      <c r="M885" s="13"/>
      <c r="N885" s="14">
        <v>0</v>
      </c>
      <c r="O885" s="12">
        <v>250</v>
      </c>
      <c r="P885" s="13">
        <v>6</v>
      </c>
      <c r="Q885" s="14">
        <v>1500</v>
      </c>
      <c r="R885" s="11" t="s">
        <v>2971</v>
      </c>
      <c r="S885" s="11" t="s">
        <v>2972</v>
      </c>
      <c r="T885" s="11" t="s">
        <v>2961</v>
      </c>
    </row>
    <row r="886" spans="1:20" ht="50.1" hidden="1" customHeight="1">
      <c r="A886" s="10">
        <v>885</v>
      </c>
      <c r="B886" s="11" t="s">
        <v>3440</v>
      </c>
      <c r="C886" s="11" t="s">
        <v>3441</v>
      </c>
      <c r="D886" s="11" t="s">
        <v>17</v>
      </c>
      <c r="E886" s="11" t="s">
        <v>8</v>
      </c>
      <c r="F886" s="12">
        <v>250</v>
      </c>
      <c r="G886" s="13">
        <v>6</v>
      </c>
      <c r="H886" s="14">
        <v>1500</v>
      </c>
      <c r="I886" s="12">
        <v>0</v>
      </c>
      <c r="J886" s="13"/>
      <c r="K886" s="14">
        <v>0</v>
      </c>
      <c r="L886" s="12">
        <v>50</v>
      </c>
      <c r="M886" s="13">
        <v>6</v>
      </c>
      <c r="N886" s="14">
        <v>300</v>
      </c>
      <c r="O886" s="12">
        <v>200</v>
      </c>
      <c r="P886" s="13">
        <v>6</v>
      </c>
      <c r="Q886" s="14">
        <v>1200</v>
      </c>
      <c r="R886" s="11" t="s">
        <v>2971</v>
      </c>
      <c r="S886" s="11" t="s">
        <v>2972</v>
      </c>
      <c r="T886" s="11" t="s">
        <v>2961</v>
      </c>
    </row>
    <row r="887" spans="1:20" ht="50.1" hidden="1" customHeight="1">
      <c r="A887" s="10">
        <v>886</v>
      </c>
      <c r="B887" s="11" t="s">
        <v>3577</v>
      </c>
      <c r="C887" s="11" t="s">
        <v>3578</v>
      </c>
      <c r="D887" s="11" t="s">
        <v>17</v>
      </c>
      <c r="E887" s="11" t="s">
        <v>8</v>
      </c>
      <c r="F887" s="12">
        <v>0</v>
      </c>
      <c r="G887" s="13"/>
      <c r="H887" s="14">
        <v>0</v>
      </c>
      <c r="I887" s="12">
        <v>1000</v>
      </c>
      <c r="J887" s="13">
        <v>7.5</v>
      </c>
      <c r="K887" s="14">
        <v>7500</v>
      </c>
      <c r="L887" s="12">
        <v>700</v>
      </c>
      <c r="M887" s="13">
        <v>7.5</v>
      </c>
      <c r="N887" s="14">
        <v>5250</v>
      </c>
      <c r="O887" s="12">
        <v>300</v>
      </c>
      <c r="P887" s="13">
        <v>7.5</v>
      </c>
      <c r="Q887" s="14">
        <v>2250</v>
      </c>
      <c r="R887" s="11" t="s">
        <v>2971</v>
      </c>
      <c r="S887" s="11" t="s">
        <v>2972</v>
      </c>
      <c r="T887" s="11" t="s">
        <v>2966</v>
      </c>
    </row>
    <row r="888" spans="1:20" ht="50.1" hidden="1" customHeight="1">
      <c r="A888" s="10">
        <v>887</v>
      </c>
      <c r="B888" s="11" t="s">
        <v>3442</v>
      </c>
      <c r="C888" s="11" t="s">
        <v>3443</v>
      </c>
      <c r="D888" s="11" t="s">
        <v>17</v>
      </c>
      <c r="E888" s="11" t="s">
        <v>8</v>
      </c>
      <c r="F888" s="12">
        <v>414</v>
      </c>
      <c r="G888" s="13">
        <v>10.62495169</v>
      </c>
      <c r="H888" s="14">
        <v>4398.7299999999996</v>
      </c>
      <c r="I888" s="12">
        <v>2034</v>
      </c>
      <c r="J888" s="13">
        <v>9.5</v>
      </c>
      <c r="K888" s="14">
        <v>19323</v>
      </c>
      <c r="L888" s="12">
        <v>240</v>
      </c>
      <c r="M888" s="13">
        <v>9.8247916699999998</v>
      </c>
      <c r="N888" s="14">
        <v>2357.9499999999998</v>
      </c>
      <c r="O888" s="12">
        <v>2208</v>
      </c>
      <c r="P888" s="13">
        <v>9.6756250000000001</v>
      </c>
      <c r="Q888" s="14">
        <v>21363.78</v>
      </c>
      <c r="R888" s="11" t="s">
        <v>2971</v>
      </c>
      <c r="S888" s="11" t="s">
        <v>2972</v>
      </c>
      <c r="T888" s="11" t="s">
        <v>2966</v>
      </c>
    </row>
    <row r="889" spans="1:20" ht="50.1" hidden="1" customHeight="1">
      <c r="A889" s="10">
        <v>888</v>
      </c>
      <c r="B889" s="11" t="s">
        <v>3444</v>
      </c>
      <c r="C889" s="11" t="s">
        <v>3445</v>
      </c>
      <c r="D889" s="11" t="s">
        <v>17</v>
      </c>
      <c r="E889" s="11" t="s">
        <v>8</v>
      </c>
      <c r="F889" s="12">
        <v>250</v>
      </c>
      <c r="G889" s="13">
        <v>6</v>
      </c>
      <c r="H889" s="14">
        <v>1500</v>
      </c>
      <c r="I889" s="12">
        <v>0</v>
      </c>
      <c r="J889" s="13"/>
      <c r="K889" s="14">
        <v>0</v>
      </c>
      <c r="L889" s="12">
        <v>0</v>
      </c>
      <c r="M889" s="13"/>
      <c r="N889" s="14">
        <v>0</v>
      </c>
      <c r="O889" s="12">
        <v>250</v>
      </c>
      <c r="P889" s="13">
        <v>6</v>
      </c>
      <c r="Q889" s="14">
        <v>1500</v>
      </c>
      <c r="R889" s="11" t="s">
        <v>2971</v>
      </c>
      <c r="S889" s="11" t="s">
        <v>2972</v>
      </c>
      <c r="T889" s="11" t="s">
        <v>2961</v>
      </c>
    </row>
    <row r="890" spans="1:20" ht="50.1" hidden="1" customHeight="1">
      <c r="A890" s="10">
        <v>889</v>
      </c>
      <c r="B890" s="11" t="s">
        <v>3446</v>
      </c>
      <c r="C890" s="11" t="s">
        <v>3447</v>
      </c>
      <c r="D890" s="11" t="s">
        <v>17</v>
      </c>
      <c r="E890" s="11" t="s">
        <v>8</v>
      </c>
      <c r="F890" s="12">
        <v>1115</v>
      </c>
      <c r="G890" s="13">
        <v>1.2</v>
      </c>
      <c r="H890" s="14">
        <v>1338</v>
      </c>
      <c r="I890" s="12">
        <v>0</v>
      </c>
      <c r="J890" s="13"/>
      <c r="K890" s="14">
        <v>0</v>
      </c>
      <c r="L890" s="12">
        <v>0</v>
      </c>
      <c r="M890" s="13"/>
      <c r="N890" s="14">
        <v>0</v>
      </c>
      <c r="O890" s="12">
        <v>1115</v>
      </c>
      <c r="P890" s="13">
        <v>1.2</v>
      </c>
      <c r="Q890" s="14">
        <v>1338</v>
      </c>
      <c r="R890" s="11" t="s">
        <v>2971</v>
      </c>
      <c r="S890" s="11" t="s">
        <v>2972</v>
      </c>
      <c r="T890" s="11" t="s">
        <v>2966</v>
      </c>
    </row>
    <row r="891" spans="1:20" ht="50.1" hidden="1" customHeight="1">
      <c r="A891" s="10">
        <v>890</v>
      </c>
      <c r="B891" s="11" t="s">
        <v>3448</v>
      </c>
      <c r="C891" s="11" t="s">
        <v>3449</v>
      </c>
      <c r="D891" s="11" t="s">
        <v>17</v>
      </c>
      <c r="E891" s="11" t="s">
        <v>8</v>
      </c>
      <c r="F891" s="12">
        <v>250</v>
      </c>
      <c r="G891" s="13">
        <v>6</v>
      </c>
      <c r="H891" s="14">
        <v>1500</v>
      </c>
      <c r="I891" s="12">
        <v>0</v>
      </c>
      <c r="J891" s="13"/>
      <c r="K891" s="14">
        <v>0</v>
      </c>
      <c r="L891" s="12">
        <v>0</v>
      </c>
      <c r="M891" s="13"/>
      <c r="N891" s="14">
        <v>0</v>
      </c>
      <c r="O891" s="12">
        <v>250</v>
      </c>
      <c r="P891" s="13">
        <v>6</v>
      </c>
      <c r="Q891" s="14">
        <v>1500</v>
      </c>
      <c r="R891" s="11" t="s">
        <v>2971</v>
      </c>
      <c r="S891" s="11" t="s">
        <v>2972</v>
      </c>
      <c r="T891" s="11" t="s">
        <v>2961</v>
      </c>
    </row>
    <row r="892" spans="1:20" ht="50.1" hidden="1" customHeight="1">
      <c r="A892" s="10">
        <v>891</v>
      </c>
      <c r="B892" s="11" t="s">
        <v>2110</v>
      </c>
      <c r="C892" s="11" t="s">
        <v>2111</v>
      </c>
      <c r="D892" s="11" t="s">
        <v>17</v>
      </c>
      <c r="E892" s="11" t="s">
        <v>8</v>
      </c>
      <c r="F892" s="12">
        <v>75</v>
      </c>
      <c r="G892" s="13">
        <v>18</v>
      </c>
      <c r="H892" s="14">
        <v>1350</v>
      </c>
      <c r="I892" s="12">
        <v>0</v>
      </c>
      <c r="J892" s="13"/>
      <c r="K892" s="14">
        <v>0</v>
      </c>
      <c r="L892" s="12">
        <v>0</v>
      </c>
      <c r="M892" s="13"/>
      <c r="N892" s="14">
        <v>0</v>
      </c>
      <c r="O892" s="12">
        <v>75</v>
      </c>
      <c r="P892" s="13">
        <v>18</v>
      </c>
      <c r="Q892" s="14">
        <v>1350</v>
      </c>
      <c r="R892" s="11" t="s">
        <v>2971</v>
      </c>
      <c r="S892" s="11" t="s">
        <v>2972</v>
      </c>
      <c r="T892" s="11" t="s">
        <v>2966</v>
      </c>
    </row>
    <row r="893" spans="1:20" ht="50.1" hidden="1" customHeight="1">
      <c r="A893" s="10">
        <v>892</v>
      </c>
      <c r="B893" s="11" t="s">
        <v>259</v>
      </c>
      <c r="C893" s="11" t="s">
        <v>260</v>
      </c>
      <c r="D893" s="11" t="s">
        <v>17</v>
      </c>
      <c r="E893" s="11" t="s">
        <v>8</v>
      </c>
      <c r="F893" s="12">
        <v>500</v>
      </c>
      <c r="G893" s="13">
        <v>1.6</v>
      </c>
      <c r="H893" s="14">
        <v>800</v>
      </c>
      <c r="I893" s="12">
        <v>0</v>
      </c>
      <c r="J893" s="13"/>
      <c r="K893" s="14">
        <v>0</v>
      </c>
      <c r="L893" s="12">
        <v>0</v>
      </c>
      <c r="M893" s="13"/>
      <c r="N893" s="14">
        <v>0</v>
      </c>
      <c r="O893" s="12">
        <v>500</v>
      </c>
      <c r="P893" s="13">
        <v>1.6</v>
      </c>
      <c r="Q893" s="14">
        <v>800</v>
      </c>
      <c r="R893" s="11" t="s">
        <v>2971</v>
      </c>
      <c r="S893" s="11" t="s">
        <v>2972</v>
      </c>
      <c r="T893" s="11" t="s">
        <v>2966</v>
      </c>
    </row>
    <row r="894" spans="1:20" ht="50.1" hidden="1" customHeight="1">
      <c r="A894" s="10">
        <v>893</v>
      </c>
      <c r="B894" s="11" t="s">
        <v>2900</v>
      </c>
      <c r="C894" s="11" t="s">
        <v>2901</v>
      </c>
      <c r="D894" s="11" t="s">
        <v>17</v>
      </c>
      <c r="E894" s="11" t="s">
        <v>8</v>
      </c>
      <c r="F894" s="12">
        <v>900</v>
      </c>
      <c r="G894" s="13">
        <v>1.75</v>
      </c>
      <c r="H894" s="14">
        <v>1575</v>
      </c>
      <c r="I894" s="12">
        <v>0</v>
      </c>
      <c r="J894" s="13"/>
      <c r="K894" s="14">
        <v>0</v>
      </c>
      <c r="L894" s="12">
        <v>0</v>
      </c>
      <c r="M894" s="13"/>
      <c r="N894" s="14">
        <v>0</v>
      </c>
      <c r="O894" s="12">
        <v>900</v>
      </c>
      <c r="P894" s="13">
        <v>1.75</v>
      </c>
      <c r="Q894" s="14">
        <v>1575</v>
      </c>
      <c r="R894" s="11" t="s">
        <v>2971</v>
      </c>
      <c r="S894" s="11" t="s">
        <v>2972</v>
      </c>
      <c r="T894" s="11" t="s">
        <v>2966</v>
      </c>
    </row>
    <row r="895" spans="1:20" ht="50.1" hidden="1" customHeight="1">
      <c r="A895" s="10">
        <v>894</v>
      </c>
      <c r="B895" s="11" t="s">
        <v>261</v>
      </c>
      <c r="C895" s="11" t="s">
        <v>262</v>
      </c>
      <c r="D895" s="11" t="s">
        <v>17</v>
      </c>
      <c r="E895" s="11" t="s">
        <v>8</v>
      </c>
      <c r="F895" s="12">
        <v>228</v>
      </c>
      <c r="G895" s="13">
        <v>18</v>
      </c>
      <c r="H895" s="14">
        <v>4104</v>
      </c>
      <c r="I895" s="12">
        <v>0</v>
      </c>
      <c r="J895" s="13"/>
      <c r="K895" s="14">
        <v>0</v>
      </c>
      <c r="L895" s="12">
        <v>46</v>
      </c>
      <c r="M895" s="13">
        <v>18</v>
      </c>
      <c r="N895" s="14">
        <v>828</v>
      </c>
      <c r="O895" s="12">
        <v>182</v>
      </c>
      <c r="P895" s="13">
        <v>18</v>
      </c>
      <c r="Q895" s="14">
        <v>3276</v>
      </c>
      <c r="R895" s="11" t="s">
        <v>2971</v>
      </c>
      <c r="S895" s="11" t="s">
        <v>2972</v>
      </c>
      <c r="T895" s="11" t="s">
        <v>2961</v>
      </c>
    </row>
    <row r="896" spans="1:20" ht="50.1" hidden="1" customHeight="1">
      <c r="A896" s="10">
        <v>895</v>
      </c>
      <c r="B896" s="11" t="s">
        <v>3300</v>
      </c>
      <c r="C896" s="11" t="s">
        <v>3301</v>
      </c>
      <c r="D896" s="11" t="s">
        <v>17</v>
      </c>
      <c r="E896" s="11" t="s">
        <v>8</v>
      </c>
      <c r="F896" s="12">
        <v>300</v>
      </c>
      <c r="G896" s="13">
        <v>2</v>
      </c>
      <c r="H896" s="14">
        <v>600</v>
      </c>
      <c r="I896" s="12">
        <v>0</v>
      </c>
      <c r="J896" s="13"/>
      <c r="K896" s="14">
        <v>0</v>
      </c>
      <c r="L896" s="12">
        <v>0</v>
      </c>
      <c r="M896" s="13"/>
      <c r="N896" s="14">
        <v>0</v>
      </c>
      <c r="O896" s="12">
        <v>300</v>
      </c>
      <c r="P896" s="13">
        <v>2</v>
      </c>
      <c r="Q896" s="14">
        <v>600</v>
      </c>
      <c r="R896" s="11" t="s">
        <v>2971</v>
      </c>
      <c r="S896" s="11" t="s">
        <v>2972</v>
      </c>
      <c r="T896" s="11" t="s">
        <v>2966</v>
      </c>
    </row>
    <row r="897" spans="1:20" ht="50.1" hidden="1" customHeight="1">
      <c r="A897" s="10">
        <v>896</v>
      </c>
      <c r="B897" s="11" t="s">
        <v>3450</v>
      </c>
      <c r="C897" s="11" t="s">
        <v>3451</v>
      </c>
      <c r="D897" s="11" t="s">
        <v>17</v>
      </c>
      <c r="E897" s="11" t="s">
        <v>8</v>
      </c>
      <c r="F897" s="12">
        <v>1808</v>
      </c>
      <c r="G897" s="13">
        <v>4</v>
      </c>
      <c r="H897" s="14">
        <v>7232</v>
      </c>
      <c r="I897" s="12">
        <v>0</v>
      </c>
      <c r="J897" s="13"/>
      <c r="K897" s="14">
        <v>0</v>
      </c>
      <c r="L897" s="12">
        <v>0</v>
      </c>
      <c r="M897" s="13"/>
      <c r="N897" s="14">
        <v>0</v>
      </c>
      <c r="O897" s="12">
        <v>1808</v>
      </c>
      <c r="P897" s="13">
        <v>4</v>
      </c>
      <c r="Q897" s="14">
        <v>7232</v>
      </c>
      <c r="R897" s="11" t="s">
        <v>2971</v>
      </c>
      <c r="S897" s="11" t="s">
        <v>2972</v>
      </c>
      <c r="T897" s="11" t="s">
        <v>2966</v>
      </c>
    </row>
    <row r="898" spans="1:20" ht="50.1" hidden="1" customHeight="1">
      <c r="A898" s="10">
        <v>897</v>
      </c>
      <c r="B898" s="11" t="s">
        <v>3452</v>
      </c>
      <c r="C898" s="11" t="s">
        <v>3453</v>
      </c>
      <c r="D898" s="11" t="s">
        <v>17</v>
      </c>
      <c r="E898" s="11" t="s">
        <v>8</v>
      </c>
      <c r="F898" s="12">
        <v>1050</v>
      </c>
      <c r="G898" s="13">
        <v>1</v>
      </c>
      <c r="H898" s="14">
        <v>1050</v>
      </c>
      <c r="I898" s="12">
        <v>0</v>
      </c>
      <c r="J898" s="13"/>
      <c r="K898" s="14">
        <v>0</v>
      </c>
      <c r="L898" s="12">
        <v>0</v>
      </c>
      <c r="M898" s="13"/>
      <c r="N898" s="14">
        <v>0</v>
      </c>
      <c r="O898" s="12">
        <v>1050</v>
      </c>
      <c r="P898" s="13">
        <v>1</v>
      </c>
      <c r="Q898" s="14">
        <v>1050</v>
      </c>
      <c r="R898" s="11" t="s">
        <v>2971</v>
      </c>
      <c r="S898" s="11" t="s">
        <v>2972</v>
      </c>
      <c r="T898" s="11" t="s">
        <v>2966</v>
      </c>
    </row>
    <row r="899" spans="1:20" ht="50.1" hidden="1" customHeight="1">
      <c r="A899" s="10">
        <v>898</v>
      </c>
      <c r="B899" s="11" t="s">
        <v>263</v>
      </c>
      <c r="C899" s="11" t="s">
        <v>264</v>
      </c>
      <c r="D899" s="11" t="s">
        <v>17</v>
      </c>
      <c r="E899" s="11" t="s">
        <v>8</v>
      </c>
      <c r="F899" s="12">
        <v>354</v>
      </c>
      <c r="G899" s="13">
        <v>356</v>
      </c>
      <c r="H899" s="14">
        <v>126024</v>
      </c>
      <c r="I899" s="12">
        <v>0</v>
      </c>
      <c r="J899" s="13"/>
      <c r="K899" s="14">
        <v>0</v>
      </c>
      <c r="L899" s="12">
        <v>0</v>
      </c>
      <c r="M899" s="13"/>
      <c r="N899" s="14">
        <v>0</v>
      </c>
      <c r="O899" s="12">
        <v>354</v>
      </c>
      <c r="P899" s="13">
        <v>356</v>
      </c>
      <c r="Q899" s="14">
        <v>126024</v>
      </c>
      <c r="R899" s="11" t="s">
        <v>2981</v>
      </c>
      <c r="S899" s="11" t="s">
        <v>2982</v>
      </c>
      <c r="T899" s="11" t="s">
        <v>2966</v>
      </c>
    </row>
    <row r="900" spans="1:20" ht="50.1" hidden="1" customHeight="1">
      <c r="A900" s="10">
        <v>899</v>
      </c>
      <c r="B900" s="11" t="s">
        <v>265</v>
      </c>
      <c r="C900" s="11" t="s">
        <v>266</v>
      </c>
      <c r="D900" s="11" t="s">
        <v>17</v>
      </c>
      <c r="E900" s="11" t="s">
        <v>8</v>
      </c>
      <c r="F900" s="12">
        <v>296</v>
      </c>
      <c r="G900" s="13">
        <v>476</v>
      </c>
      <c r="H900" s="14">
        <v>140896</v>
      </c>
      <c r="I900" s="12">
        <v>0</v>
      </c>
      <c r="J900" s="13"/>
      <c r="K900" s="14">
        <v>0</v>
      </c>
      <c r="L900" s="12">
        <v>0</v>
      </c>
      <c r="M900" s="13"/>
      <c r="N900" s="14">
        <v>0</v>
      </c>
      <c r="O900" s="12">
        <v>296</v>
      </c>
      <c r="P900" s="13">
        <v>476</v>
      </c>
      <c r="Q900" s="14">
        <v>140896</v>
      </c>
      <c r="R900" s="11" t="s">
        <v>2981</v>
      </c>
      <c r="S900" s="11" t="s">
        <v>2982</v>
      </c>
      <c r="T900" s="11" t="s">
        <v>2966</v>
      </c>
    </row>
    <row r="901" spans="1:20" ht="50.1" hidden="1" customHeight="1">
      <c r="A901" s="10">
        <v>900</v>
      </c>
      <c r="B901" s="11" t="s">
        <v>267</v>
      </c>
      <c r="C901" s="11" t="s">
        <v>268</v>
      </c>
      <c r="D901" s="11" t="s">
        <v>17</v>
      </c>
      <c r="E901" s="11" t="s">
        <v>8</v>
      </c>
      <c r="F901" s="12">
        <v>316</v>
      </c>
      <c r="G901" s="13">
        <v>260</v>
      </c>
      <c r="H901" s="14">
        <v>82160</v>
      </c>
      <c r="I901" s="12">
        <v>0</v>
      </c>
      <c r="J901" s="13"/>
      <c r="K901" s="14">
        <v>0</v>
      </c>
      <c r="L901" s="12">
        <v>0</v>
      </c>
      <c r="M901" s="13"/>
      <c r="N901" s="14">
        <v>0</v>
      </c>
      <c r="O901" s="12">
        <v>316</v>
      </c>
      <c r="P901" s="13">
        <v>260</v>
      </c>
      <c r="Q901" s="14">
        <v>82160</v>
      </c>
      <c r="R901" s="11" t="s">
        <v>2981</v>
      </c>
      <c r="S901" s="11" t="s">
        <v>2982</v>
      </c>
      <c r="T901" s="11" t="s">
        <v>2966</v>
      </c>
    </row>
    <row r="902" spans="1:20" ht="50.1" hidden="1" customHeight="1">
      <c r="A902" s="10">
        <v>901</v>
      </c>
      <c r="B902" s="11" t="s">
        <v>269</v>
      </c>
      <c r="C902" s="11" t="s">
        <v>270</v>
      </c>
      <c r="D902" s="11" t="s">
        <v>17</v>
      </c>
      <c r="E902" s="11" t="s">
        <v>8</v>
      </c>
      <c r="F902" s="12">
        <v>221</v>
      </c>
      <c r="G902" s="13">
        <v>461</v>
      </c>
      <c r="H902" s="14">
        <v>101881</v>
      </c>
      <c r="I902" s="12">
        <v>0</v>
      </c>
      <c r="J902" s="13"/>
      <c r="K902" s="14">
        <v>0</v>
      </c>
      <c r="L902" s="12">
        <v>0</v>
      </c>
      <c r="M902" s="13"/>
      <c r="N902" s="14">
        <v>0</v>
      </c>
      <c r="O902" s="12">
        <v>221</v>
      </c>
      <c r="P902" s="13">
        <v>461</v>
      </c>
      <c r="Q902" s="14">
        <v>101881</v>
      </c>
      <c r="R902" s="11" t="s">
        <v>2981</v>
      </c>
      <c r="S902" s="11" t="s">
        <v>2982</v>
      </c>
      <c r="T902" s="11" t="s">
        <v>2966</v>
      </c>
    </row>
    <row r="903" spans="1:20" ht="50.1" hidden="1" customHeight="1">
      <c r="A903" s="10">
        <v>902</v>
      </c>
      <c r="B903" s="11" t="s">
        <v>2114</v>
      </c>
      <c r="C903" s="11" t="s">
        <v>2115</v>
      </c>
      <c r="D903" s="11" t="s">
        <v>17</v>
      </c>
      <c r="E903" s="11" t="s">
        <v>8</v>
      </c>
      <c r="F903" s="12">
        <v>2</v>
      </c>
      <c r="G903" s="13">
        <v>387</v>
      </c>
      <c r="H903" s="14">
        <v>774</v>
      </c>
      <c r="I903" s="12">
        <v>0</v>
      </c>
      <c r="J903" s="13"/>
      <c r="K903" s="14">
        <v>0</v>
      </c>
      <c r="L903" s="12">
        <v>0</v>
      </c>
      <c r="M903" s="13"/>
      <c r="N903" s="14">
        <v>0</v>
      </c>
      <c r="O903" s="12">
        <v>2</v>
      </c>
      <c r="P903" s="13">
        <v>387</v>
      </c>
      <c r="Q903" s="14">
        <v>774</v>
      </c>
      <c r="R903" s="11" t="s">
        <v>2981</v>
      </c>
      <c r="S903" s="11" t="s">
        <v>2982</v>
      </c>
      <c r="T903" s="11" t="s">
        <v>2966</v>
      </c>
    </row>
    <row r="904" spans="1:20" ht="50.1" hidden="1" customHeight="1">
      <c r="A904" s="10">
        <v>903</v>
      </c>
      <c r="B904" s="11" t="s">
        <v>271</v>
      </c>
      <c r="C904" s="11" t="s">
        <v>272</v>
      </c>
      <c r="D904" s="11" t="s">
        <v>17</v>
      </c>
      <c r="E904" s="11" t="s">
        <v>8</v>
      </c>
      <c r="F904" s="12">
        <v>283</v>
      </c>
      <c r="G904" s="13">
        <v>260</v>
      </c>
      <c r="H904" s="14">
        <v>73580</v>
      </c>
      <c r="I904" s="12">
        <v>0</v>
      </c>
      <c r="J904" s="13"/>
      <c r="K904" s="14">
        <v>0</v>
      </c>
      <c r="L904" s="12">
        <v>0</v>
      </c>
      <c r="M904" s="13"/>
      <c r="N904" s="14">
        <v>0</v>
      </c>
      <c r="O904" s="12">
        <v>283</v>
      </c>
      <c r="P904" s="13">
        <v>260</v>
      </c>
      <c r="Q904" s="14">
        <v>73580</v>
      </c>
      <c r="R904" s="11" t="s">
        <v>2981</v>
      </c>
      <c r="S904" s="11" t="s">
        <v>2982</v>
      </c>
      <c r="T904" s="11" t="s">
        <v>2966</v>
      </c>
    </row>
    <row r="905" spans="1:20" ht="50.1" hidden="1" customHeight="1">
      <c r="A905" s="10">
        <v>904</v>
      </c>
      <c r="B905" s="11" t="s">
        <v>273</v>
      </c>
      <c r="C905" s="11" t="s">
        <v>274</v>
      </c>
      <c r="D905" s="11" t="s">
        <v>17</v>
      </c>
      <c r="E905" s="11" t="s">
        <v>8</v>
      </c>
      <c r="F905" s="12">
        <v>282</v>
      </c>
      <c r="G905" s="13">
        <v>461</v>
      </c>
      <c r="H905" s="14">
        <v>130002</v>
      </c>
      <c r="I905" s="12">
        <v>0</v>
      </c>
      <c r="J905" s="13"/>
      <c r="K905" s="14">
        <v>0</v>
      </c>
      <c r="L905" s="12">
        <v>0</v>
      </c>
      <c r="M905" s="13"/>
      <c r="N905" s="14">
        <v>0</v>
      </c>
      <c r="O905" s="12">
        <v>282</v>
      </c>
      <c r="P905" s="13">
        <v>461</v>
      </c>
      <c r="Q905" s="14">
        <v>130002</v>
      </c>
      <c r="R905" s="11" t="s">
        <v>2981</v>
      </c>
      <c r="S905" s="11" t="s">
        <v>2982</v>
      </c>
      <c r="T905" s="11" t="s">
        <v>2966</v>
      </c>
    </row>
    <row r="906" spans="1:20" ht="50.1" hidden="1" customHeight="1">
      <c r="A906" s="10">
        <v>905</v>
      </c>
      <c r="B906" s="11" t="s">
        <v>2923</v>
      </c>
      <c r="C906" s="11" t="s">
        <v>2924</v>
      </c>
      <c r="D906" s="11" t="s">
        <v>17</v>
      </c>
      <c r="E906" s="11" t="s">
        <v>8</v>
      </c>
      <c r="F906" s="12">
        <v>673</v>
      </c>
      <c r="G906" s="13">
        <v>42.5</v>
      </c>
      <c r="H906" s="14">
        <v>28602.5</v>
      </c>
      <c r="I906" s="12">
        <v>0</v>
      </c>
      <c r="J906" s="13"/>
      <c r="K906" s="14">
        <v>0</v>
      </c>
      <c r="L906" s="12">
        <v>41</v>
      </c>
      <c r="M906" s="13">
        <v>42.5</v>
      </c>
      <c r="N906" s="14">
        <v>1742.5</v>
      </c>
      <c r="O906" s="12">
        <v>632</v>
      </c>
      <c r="P906" s="13">
        <v>42.5</v>
      </c>
      <c r="Q906" s="14">
        <v>26860</v>
      </c>
      <c r="R906" s="11" t="s">
        <v>2990</v>
      </c>
      <c r="S906" s="11" t="s">
        <v>2991</v>
      </c>
      <c r="T906" s="11" t="s">
        <v>2966</v>
      </c>
    </row>
    <row r="907" spans="1:20" ht="50.1" hidden="1" customHeight="1">
      <c r="A907" s="10">
        <v>906</v>
      </c>
      <c r="B907" s="11" t="s">
        <v>275</v>
      </c>
      <c r="C907" s="11" t="s">
        <v>276</v>
      </c>
      <c r="D907" s="11" t="s">
        <v>17</v>
      </c>
      <c r="E907" s="11" t="s">
        <v>8</v>
      </c>
      <c r="F907" s="12">
        <v>4179</v>
      </c>
      <c r="G907" s="13">
        <v>2</v>
      </c>
      <c r="H907" s="14">
        <v>8358</v>
      </c>
      <c r="I907" s="12">
        <v>0</v>
      </c>
      <c r="J907" s="13"/>
      <c r="K907" s="14">
        <v>0</v>
      </c>
      <c r="L907" s="12">
        <v>504</v>
      </c>
      <c r="M907" s="13">
        <v>2</v>
      </c>
      <c r="N907" s="14">
        <v>1008</v>
      </c>
      <c r="O907" s="12">
        <v>3675</v>
      </c>
      <c r="P907" s="13">
        <v>2</v>
      </c>
      <c r="Q907" s="14">
        <v>7350</v>
      </c>
      <c r="R907" s="11" t="s">
        <v>2971</v>
      </c>
      <c r="S907" s="11" t="s">
        <v>2972</v>
      </c>
      <c r="T907" s="11" t="s">
        <v>2966</v>
      </c>
    </row>
    <row r="908" spans="1:20" ht="50.1" hidden="1" customHeight="1">
      <c r="A908" s="10">
        <v>907</v>
      </c>
      <c r="B908" s="11" t="s">
        <v>277</v>
      </c>
      <c r="C908" s="11" t="s">
        <v>278</v>
      </c>
      <c r="D908" s="11" t="s">
        <v>17</v>
      </c>
      <c r="E908" s="11" t="s">
        <v>8</v>
      </c>
      <c r="F908" s="12">
        <v>50</v>
      </c>
      <c r="G908" s="13">
        <v>300</v>
      </c>
      <c r="H908" s="14">
        <v>15000</v>
      </c>
      <c r="I908" s="12">
        <v>0</v>
      </c>
      <c r="J908" s="13"/>
      <c r="K908" s="14">
        <v>0</v>
      </c>
      <c r="L908" s="12">
        <v>0</v>
      </c>
      <c r="M908" s="13"/>
      <c r="N908" s="14">
        <v>0</v>
      </c>
      <c r="O908" s="12">
        <v>50</v>
      </c>
      <c r="P908" s="13">
        <v>300</v>
      </c>
      <c r="Q908" s="14">
        <v>15000</v>
      </c>
      <c r="R908" s="11" t="s">
        <v>2990</v>
      </c>
      <c r="S908" s="11" t="s">
        <v>2991</v>
      </c>
      <c r="T908" s="11" t="s">
        <v>2966</v>
      </c>
    </row>
    <row r="909" spans="1:20" ht="50.1" hidden="1" customHeight="1">
      <c r="A909" s="10">
        <v>908</v>
      </c>
      <c r="B909" s="11" t="s">
        <v>279</v>
      </c>
      <c r="C909" s="11" t="s">
        <v>280</v>
      </c>
      <c r="D909" s="11" t="s">
        <v>17</v>
      </c>
      <c r="E909" s="11" t="s">
        <v>8</v>
      </c>
      <c r="F909" s="12">
        <v>4600</v>
      </c>
      <c r="G909" s="13">
        <v>8</v>
      </c>
      <c r="H909" s="14">
        <v>36800</v>
      </c>
      <c r="I909" s="12">
        <v>3050</v>
      </c>
      <c r="J909" s="13">
        <v>8</v>
      </c>
      <c r="K909" s="14">
        <v>24400</v>
      </c>
      <c r="L909" s="12">
        <v>775</v>
      </c>
      <c r="M909" s="13">
        <v>8</v>
      </c>
      <c r="N909" s="14">
        <v>6200</v>
      </c>
      <c r="O909" s="12">
        <v>6875</v>
      </c>
      <c r="P909" s="13">
        <v>8</v>
      </c>
      <c r="Q909" s="14">
        <v>55000</v>
      </c>
      <c r="R909" s="11" t="s">
        <v>2971</v>
      </c>
      <c r="S909" s="11" t="s">
        <v>2972</v>
      </c>
      <c r="T909" s="11" t="s">
        <v>2966</v>
      </c>
    </row>
    <row r="910" spans="1:20" ht="50.1" hidden="1" customHeight="1">
      <c r="A910" s="10">
        <v>909</v>
      </c>
      <c r="B910" s="11" t="s">
        <v>3661</v>
      </c>
      <c r="C910" s="11" t="s">
        <v>3662</v>
      </c>
      <c r="D910" s="11" t="s">
        <v>17</v>
      </c>
      <c r="E910" s="11" t="s">
        <v>8</v>
      </c>
      <c r="F910" s="12">
        <v>0</v>
      </c>
      <c r="G910" s="13"/>
      <c r="H910" s="14">
        <v>0</v>
      </c>
      <c r="I910" s="12">
        <v>5</v>
      </c>
      <c r="J910" s="13">
        <v>36</v>
      </c>
      <c r="K910" s="14">
        <v>180</v>
      </c>
      <c r="L910" s="12">
        <v>0</v>
      </c>
      <c r="M910" s="13"/>
      <c r="N910" s="14">
        <v>0</v>
      </c>
      <c r="O910" s="12">
        <v>5</v>
      </c>
      <c r="P910" s="13">
        <v>36</v>
      </c>
      <c r="Q910" s="14">
        <v>180</v>
      </c>
      <c r="R910" s="11" t="s">
        <v>2997</v>
      </c>
      <c r="S910" s="11" t="s">
        <v>2998</v>
      </c>
      <c r="T910" s="11" t="s">
        <v>2966</v>
      </c>
    </row>
    <row r="911" spans="1:20" ht="50.1" hidden="1" customHeight="1">
      <c r="A911" s="10">
        <v>910</v>
      </c>
      <c r="B911" s="11" t="s">
        <v>3663</v>
      </c>
      <c r="C911" s="11" t="s">
        <v>3664</v>
      </c>
      <c r="D911" s="11" t="s">
        <v>17</v>
      </c>
      <c r="E911" s="11" t="s">
        <v>8</v>
      </c>
      <c r="F911" s="12">
        <v>0</v>
      </c>
      <c r="G911" s="13"/>
      <c r="H911" s="14">
        <v>0</v>
      </c>
      <c r="I911" s="12">
        <v>1</v>
      </c>
      <c r="J911" s="13">
        <v>925</v>
      </c>
      <c r="K911" s="14">
        <v>925</v>
      </c>
      <c r="L911" s="12">
        <v>0</v>
      </c>
      <c r="M911" s="13"/>
      <c r="N911" s="14">
        <v>0</v>
      </c>
      <c r="O911" s="12">
        <v>1</v>
      </c>
      <c r="P911" s="13">
        <v>925</v>
      </c>
      <c r="Q911" s="14">
        <v>925</v>
      </c>
      <c r="R911" s="11" t="s">
        <v>2997</v>
      </c>
      <c r="S911" s="11" t="s">
        <v>2998</v>
      </c>
      <c r="T911" s="11" t="s">
        <v>2966</v>
      </c>
    </row>
    <row r="912" spans="1:20" ht="50.1" hidden="1" customHeight="1">
      <c r="A912" s="10">
        <v>911</v>
      </c>
      <c r="B912" s="11" t="s">
        <v>281</v>
      </c>
      <c r="C912" s="11" t="s">
        <v>282</v>
      </c>
      <c r="D912" s="11" t="s">
        <v>17</v>
      </c>
      <c r="E912" s="11" t="s">
        <v>8</v>
      </c>
      <c r="F912" s="12">
        <v>3500</v>
      </c>
      <c r="G912" s="13">
        <v>16.116711429999999</v>
      </c>
      <c r="H912" s="14">
        <v>56408.49</v>
      </c>
      <c r="I912" s="12">
        <v>0</v>
      </c>
      <c r="J912" s="13"/>
      <c r="K912" s="14">
        <v>0</v>
      </c>
      <c r="L912" s="12">
        <v>0</v>
      </c>
      <c r="M912" s="13"/>
      <c r="N912" s="14">
        <v>0</v>
      </c>
      <c r="O912" s="12">
        <v>3500</v>
      </c>
      <c r="P912" s="13">
        <v>16.116711429999999</v>
      </c>
      <c r="Q912" s="14">
        <v>56408.49</v>
      </c>
      <c r="R912" s="11" t="s">
        <v>2990</v>
      </c>
      <c r="S912" s="11" t="s">
        <v>2991</v>
      </c>
      <c r="T912" s="11" t="s">
        <v>2966</v>
      </c>
    </row>
    <row r="913" spans="1:20" ht="50.1" hidden="1" customHeight="1">
      <c r="A913" s="10">
        <v>912</v>
      </c>
      <c r="B913" s="11" t="s">
        <v>2397</v>
      </c>
      <c r="C913" s="11" t="s">
        <v>2398</v>
      </c>
      <c r="D913" s="11" t="s">
        <v>17</v>
      </c>
      <c r="E913" s="11" t="s">
        <v>8</v>
      </c>
      <c r="F913" s="12">
        <v>30</v>
      </c>
      <c r="G913" s="13">
        <v>28.5</v>
      </c>
      <c r="H913" s="14">
        <v>855</v>
      </c>
      <c r="I913" s="12">
        <v>0</v>
      </c>
      <c r="J913" s="13"/>
      <c r="K913" s="14">
        <v>0</v>
      </c>
      <c r="L913" s="12">
        <v>0</v>
      </c>
      <c r="M913" s="13"/>
      <c r="N913" s="14">
        <v>0</v>
      </c>
      <c r="O913" s="12">
        <v>30</v>
      </c>
      <c r="P913" s="13">
        <v>28.5</v>
      </c>
      <c r="Q913" s="14">
        <v>855</v>
      </c>
      <c r="R913" s="11" t="s">
        <v>2990</v>
      </c>
      <c r="S913" s="11" t="s">
        <v>2991</v>
      </c>
      <c r="T913" s="11" t="s">
        <v>2966</v>
      </c>
    </row>
    <row r="914" spans="1:20" ht="50.1" hidden="1" customHeight="1">
      <c r="A914" s="10">
        <v>913</v>
      </c>
      <c r="B914" s="11" t="s">
        <v>283</v>
      </c>
      <c r="C914" s="11" t="s">
        <v>284</v>
      </c>
      <c r="D914" s="11" t="s">
        <v>17</v>
      </c>
      <c r="E914" s="11" t="s">
        <v>8</v>
      </c>
      <c r="F914" s="12">
        <v>310</v>
      </c>
      <c r="G914" s="13">
        <v>61.945580649999997</v>
      </c>
      <c r="H914" s="14">
        <v>19203.13</v>
      </c>
      <c r="I914" s="12">
        <v>102</v>
      </c>
      <c r="J914" s="13">
        <v>102</v>
      </c>
      <c r="K914" s="14">
        <v>10404</v>
      </c>
      <c r="L914" s="12">
        <v>175</v>
      </c>
      <c r="M914" s="13">
        <v>70.007028570000003</v>
      </c>
      <c r="N914" s="14">
        <v>12251.23</v>
      </c>
      <c r="O914" s="12">
        <v>237</v>
      </c>
      <c r="P914" s="13">
        <v>73.231645569999998</v>
      </c>
      <c r="Q914" s="14">
        <v>17355.900000000001</v>
      </c>
      <c r="R914" s="11" t="s">
        <v>2971</v>
      </c>
      <c r="S914" s="11" t="s">
        <v>2972</v>
      </c>
      <c r="T914" s="11" t="s">
        <v>2966</v>
      </c>
    </row>
    <row r="915" spans="1:20" ht="50.1" hidden="1" customHeight="1">
      <c r="A915" s="10">
        <v>914</v>
      </c>
      <c r="B915" s="11" t="s">
        <v>285</v>
      </c>
      <c r="C915" s="11" t="s">
        <v>286</v>
      </c>
      <c r="D915" s="11" t="s">
        <v>17</v>
      </c>
      <c r="E915" s="11" t="s">
        <v>8</v>
      </c>
      <c r="F915" s="12">
        <v>1900</v>
      </c>
      <c r="G915" s="13">
        <v>4.74999868</v>
      </c>
      <c r="H915" s="14">
        <v>9024.9974999999995</v>
      </c>
      <c r="I915" s="12">
        <v>578</v>
      </c>
      <c r="J915" s="13">
        <v>4.75</v>
      </c>
      <c r="K915" s="14">
        <v>2745.5</v>
      </c>
      <c r="L915" s="12">
        <v>1400</v>
      </c>
      <c r="M915" s="13">
        <v>4.75</v>
      </c>
      <c r="N915" s="14">
        <v>6650</v>
      </c>
      <c r="O915" s="12">
        <v>1078</v>
      </c>
      <c r="P915" s="13">
        <v>4.7499976799999999</v>
      </c>
      <c r="Q915" s="14">
        <v>5120.4975000000004</v>
      </c>
      <c r="R915" s="11" t="s">
        <v>2997</v>
      </c>
      <c r="S915" s="11" t="s">
        <v>2998</v>
      </c>
      <c r="T915" s="11" t="s">
        <v>2966</v>
      </c>
    </row>
    <row r="916" spans="1:20" ht="50.1" hidden="1" customHeight="1">
      <c r="A916" s="10">
        <v>915</v>
      </c>
      <c r="B916" s="11" t="s">
        <v>3454</v>
      </c>
      <c r="C916" s="11" t="s">
        <v>3455</v>
      </c>
      <c r="D916" s="11" t="s">
        <v>17</v>
      </c>
      <c r="E916" s="11" t="s">
        <v>8</v>
      </c>
      <c r="F916" s="12">
        <v>1080</v>
      </c>
      <c r="G916" s="13">
        <v>0.9</v>
      </c>
      <c r="H916" s="14">
        <v>972</v>
      </c>
      <c r="I916" s="12">
        <v>0</v>
      </c>
      <c r="J916" s="13"/>
      <c r="K916" s="14">
        <v>0</v>
      </c>
      <c r="L916" s="12">
        <v>0</v>
      </c>
      <c r="M916" s="13"/>
      <c r="N916" s="14">
        <v>0</v>
      </c>
      <c r="O916" s="12">
        <v>1080</v>
      </c>
      <c r="P916" s="13">
        <v>0.9</v>
      </c>
      <c r="Q916" s="14">
        <v>972</v>
      </c>
      <c r="R916" s="11" t="s">
        <v>2971</v>
      </c>
      <c r="S916" s="11" t="s">
        <v>2972</v>
      </c>
      <c r="T916" s="11" t="s">
        <v>2966</v>
      </c>
    </row>
    <row r="917" spans="1:20" ht="50.1" hidden="1" customHeight="1">
      <c r="A917" s="10">
        <v>916</v>
      </c>
      <c r="B917" s="11" t="s">
        <v>287</v>
      </c>
      <c r="C917" s="11" t="s">
        <v>288</v>
      </c>
      <c r="D917" s="11" t="s">
        <v>289</v>
      </c>
      <c r="E917" s="11" t="s">
        <v>8</v>
      </c>
      <c r="F917" s="12">
        <v>630</v>
      </c>
      <c r="G917" s="13">
        <v>108.89399761999999</v>
      </c>
      <c r="H917" s="14">
        <v>68603.218500000003</v>
      </c>
      <c r="I917" s="12">
        <v>20565</v>
      </c>
      <c r="J917" s="13">
        <v>108</v>
      </c>
      <c r="K917" s="14">
        <v>2221020</v>
      </c>
      <c r="L917" s="12">
        <v>16090</v>
      </c>
      <c r="M917" s="13">
        <v>108.03180112</v>
      </c>
      <c r="N917" s="14">
        <v>1738231.68</v>
      </c>
      <c r="O917" s="12">
        <v>5105</v>
      </c>
      <c r="P917" s="13">
        <v>108.01009569</v>
      </c>
      <c r="Q917" s="14">
        <v>551391.53850000002</v>
      </c>
      <c r="R917" s="11" t="s">
        <v>2973</v>
      </c>
      <c r="S917" s="11" t="s">
        <v>2974</v>
      </c>
      <c r="T917" s="11" t="s">
        <v>2961</v>
      </c>
    </row>
    <row r="918" spans="1:20" ht="50.1" hidden="1" customHeight="1">
      <c r="A918" s="10">
        <v>917</v>
      </c>
      <c r="B918" s="11" t="s">
        <v>2231</v>
      </c>
      <c r="C918" s="11" t="s">
        <v>2232</v>
      </c>
      <c r="D918" s="11" t="s">
        <v>7</v>
      </c>
      <c r="E918" s="11" t="s">
        <v>8</v>
      </c>
      <c r="F918" s="12">
        <v>120</v>
      </c>
      <c r="G918" s="13">
        <v>83</v>
      </c>
      <c r="H918" s="14">
        <v>9960</v>
      </c>
      <c r="I918" s="12">
        <v>0</v>
      </c>
      <c r="J918" s="13"/>
      <c r="K918" s="14">
        <v>0</v>
      </c>
      <c r="L918" s="12">
        <v>0</v>
      </c>
      <c r="M918" s="13"/>
      <c r="N918" s="14">
        <v>0</v>
      </c>
      <c r="O918" s="12">
        <v>120</v>
      </c>
      <c r="P918" s="13">
        <v>83</v>
      </c>
      <c r="Q918" s="14">
        <v>9960</v>
      </c>
      <c r="R918" s="11" t="s">
        <v>2964</v>
      </c>
      <c r="S918" s="11" t="s">
        <v>2965</v>
      </c>
      <c r="T918" s="11" t="s">
        <v>2966</v>
      </c>
    </row>
    <row r="919" spans="1:20" ht="50.1" customHeight="1">
      <c r="A919" s="10">
        <v>918</v>
      </c>
      <c r="B919" s="11" t="s">
        <v>290</v>
      </c>
      <c r="C919" s="11" t="s">
        <v>291</v>
      </c>
      <c r="D919" s="11" t="s">
        <v>17</v>
      </c>
      <c r="E919" s="11" t="s">
        <v>8</v>
      </c>
      <c r="F919" s="12">
        <v>73</v>
      </c>
      <c r="G919" s="13">
        <v>601</v>
      </c>
      <c r="H919" s="14">
        <v>43873</v>
      </c>
      <c r="I919" s="12">
        <v>150</v>
      </c>
      <c r="J919" s="13">
        <v>601</v>
      </c>
      <c r="K919" s="14">
        <v>90150</v>
      </c>
      <c r="L919" s="12">
        <v>40</v>
      </c>
      <c r="M919" s="13">
        <v>601</v>
      </c>
      <c r="N919" s="14">
        <v>24040</v>
      </c>
      <c r="O919" s="12">
        <v>183</v>
      </c>
      <c r="P919" s="13">
        <v>601</v>
      </c>
      <c r="Q919" s="14">
        <v>109983</v>
      </c>
      <c r="R919" s="11" t="s">
        <v>2981</v>
      </c>
      <c r="S919" s="11" t="s">
        <v>2982</v>
      </c>
      <c r="T919" s="11" t="s">
        <v>2966</v>
      </c>
    </row>
    <row r="920" spans="1:20" ht="50.1" hidden="1" customHeight="1">
      <c r="A920" s="10">
        <v>919</v>
      </c>
      <c r="B920" s="11" t="s">
        <v>292</v>
      </c>
      <c r="C920" s="11" t="s">
        <v>293</v>
      </c>
      <c r="D920" s="11" t="s">
        <v>17</v>
      </c>
      <c r="E920" s="11" t="s">
        <v>8</v>
      </c>
      <c r="F920" s="12">
        <v>2550</v>
      </c>
      <c r="G920" s="13">
        <v>7.7302627499999996</v>
      </c>
      <c r="H920" s="14">
        <v>19712.169999999998</v>
      </c>
      <c r="I920" s="12">
        <v>0</v>
      </c>
      <c r="J920" s="13"/>
      <c r="K920" s="14">
        <v>0</v>
      </c>
      <c r="L920" s="12">
        <v>350</v>
      </c>
      <c r="M920" s="13">
        <v>7.7303714299999999</v>
      </c>
      <c r="N920" s="14">
        <v>2705.63</v>
      </c>
      <c r="O920" s="12">
        <v>2200</v>
      </c>
      <c r="P920" s="13">
        <v>7.73024545</v>
      </c>
      <c r="Q920" s="14">
        <v>17006.54</v>
      </c>
      <c r="R920" s="11" t="s">
        <v>2971</v>
      </c>
      <c r="S920" s="11" t="s">
        <v>2972</v>
      </c>
      <c r="T920" s="11" t="s">
        <v>2961</v>
      </c>
    </row>
    <row r="921" spans="1:20" ht="50.1" hidden="1" customHeight="1">
      <c r="A921" s="10">
        <v>920</v>
      </c>
      <c r="B921" s="11" t="s">
        <v>3567</v>
      </c>
      <c r="C921" s="11" t="s">
        <v>3568</v>
      </c>
      <c r="D921" s="11" t="s">
        <v>17</v>
      </c>
      <c r="E921" s="11" t="s">
        <v>8</v>
      </c>
      <c r="F921" s="12">
        <v>0</v>
      </c>
      <c r="G921" s="13"/>
      <c r="H921" s="14">
        <v>0</v>
      </c>
      <c r="I921" s="12">
        <v>505</v>
      </c>
      <c r="J921" s="13">
        <v>80</v>
      </c>
      <c r="K921" s="14">
        <v>40400</v>
      </c>
      <c r="L921" s="12">
        <v>300</v>
      </c>
      <c r="M921" s="13">
        <v>80</v>
      </c>
      <c r="N921" s="14">
        <v>24000</v>
      </c>
      <c r="O921" s="12">
        <v>205</v>
      </c>
      <c r="P921" s="13">
        <v>80</v>
      </c>
      <c r="Q921" s="14">
        <v>16400</v>
      </c>
      <c r="R921" s="11" t="s">
        <v>2990</v>
      </c>
      <c r="S921" s="11" t="s">
        <v>2991</v>
      </c>
      <c r="T921" s="11" t="s">
        <v>2966</v>
      </c>
    </row>
    <row r="922" spans="1:20" ht="50.1" hidden="1" customHeight="1">
      <c r="A922" s="10">
        <v>921</v>
      </c>
      <c r="B922" s="11" t="s">
        <v>294</v>
      </c>
      <c r="C922" s="11" t="s">
        <v>295</v>
      </c>
      <c r="D922" s="11" t="s">
        <v>17</v>
      </c>
      <c r="E922" s="11" t="s">
        <v>8</v>
      </c>
      <c r="F922" s="12">
        <v>550</v>
      </c>
      <c r="G922" s="13">
        <v>42.159029089999997</v>
      </c>
      <c r="H922" s="14">
        <v>23187.466</v>
      </c>
      <c r="I922" s="12">
        <v>800</v>
      </c>
      <c r="J922" s="13">
        <v>41</v>
      </c>
      <c r="K922" s="14">
        <v>32800</v>
      </c>
      <c r="L922" s="12">
        <v>700</v>
      </c>
      <c r="M922" s="13">
        <v>41.83892857</v>
      </c>
      <c r="N922" s="14">
        <v>29287.25</v>
      </c>
      <c r="O922" s="12">
        <v>650</v>
      </c>
      <c r="P922" s="13">
        <v>41.077255379999997</v>
      </c>
      <c r="Q922" s="14">
        <v>26700.216</v>
      </c>
      <c r="R922" s="11" t="s">
        <v>2990</v>
      </c>
      <c r="S922" s="11" t="s">
        <v>2991</v>
      </c>
      <c r="T922" s="11" t="s">
        <v>2966</v>
      </c>
    </row>
    <row r="923" spans="1:20" ht="50.1" hidden="1" customHeight="1">
      <c r="A923" s="10">
        <v>922</v>
      </c>
      <c r="B923" s="11" t="s">
        <v>296</v>
      </c>
      <c r="C923" s="11" t="s">
        <v>297</v>
      </c>
      <c r="D923" s="11" t="s">
        <v>7</v>
      </c>
      <c r="E923" s="11" t="s">
        <v>8</v>
      </c>
      <c r="F923" s="12">
        <v>50</v>
      </c>
      <c r="G923" s="13">
        <v>210</v>
      </c>
      <c r="H923" s="14">
        <v>10500</v>
      </c>
      <c r="I923" s="12">
        <v>0</v>
      </c>
      <c r="J923" s="13"/>
      <c r="K923" s="14">
        <v>0</v>
      </c>
      <c r="L923" s="12">
        <v>0</v>
      </c>
      <c r="M923" s="13"/>
      <c r="N923" s="14">
        <v>0</v>
      </c>
      <c r="O923" s="12">
        <v>50</v>
      </c>
      <c r="P923" s="13">
        <v>210</v>
      </c>
      <c r="Q923" s="14">
        <v>10500</v>
      </c>
      <c r="R923" s="11" t="s">
        <v>2964</v>
      </c>
      <c r="S923" s="11" t="s">
        <v>2965</v>
      </c>
      <c r="T923" s="11" t="s">
        <v>2966</v>
      </c>
    </row>
    <row r="924" spans="1:20" ht="50.1" hidden="1" customHeight="1">
      <c r="A924" s="10">
        <v>923</v>
      </c>
      <c r="B924" s="11" t="s">
        <v>298</v>
      </c>
      <c r="C924" s="11" t="s">
        <v>299</v>
      </c>
      <c r="D924" s="11" t="s">
        <v>7</v>
      </c>
      <c r="E924" s="11" t="s">
        <v>8</v>
      </c>
      <c r="F924" s="12">
        <v>340</v>
      </c>
      <c r="G924" s="13">
        <v>195</v>
      </c>
      <c r="H924" s="14">
        <v>66300</v>
      </c>
      <c r="I924" s="12">
        <v>0</v>
      </c>
      <c r="J924" s="13"/>
      <c r="K924" s="14">
        <v>0</v>
      </c>
      <c r="L924" s="12">
        <v>0</v>
      </c>
      <c r="M924" s="13"/>
      <c r="N924" s="14">
        <v>0</v>
      </c>
      <c r="O924" s="12">
        <v>340</v>
      </c>
      <c r="P924" s="13">
        <v>195</v>
      </c>
      <c r="Q924" s="14">
        <v>66300</v>
      </c>
      <c r="R924" s="11" t="s">
        <v>2964</v>
      </c>
      <c r="S924" s="11" t="s">
        <v>2965</v>
      </c>
      <c r="T924" s="11" t="s">
        <v>2966</v>
      </c>
    </row>
    <row r="925" spans="1:20" ht="50.1" hidden="1" customHeight="1">
      <c r="A925" s="10">
        <v>924</v>
      </c>
      <c r="B925" s="11" t="s">
        <v>528</v>
      </c>
      <c r="C925" s="11" t="s">
        <v>529</v>
      </c>
      <c r="D925" s="11" t="s">
        <v>17</v>
      </c>
      <c r="E925" s="11" t="s">
        <v>8</v>
      </c>
      <c r="F925" s="12">
        <v>6360</v>
      </c>
      <c r="G925" s="13">
        <v>0.37170282999999998</v>
      </c>
      <c r="H925" s="14">
        <v>2364.0300000000002</v>
      </c>
      <c r="I925" s="12">
        <v>1000</v>
      </c>
      <c r="J925" s="13">
        <v>0.37080000000000002</v>
      </c>
      <c r="K925" s="14">
        <v>370.8</v>
      </c>
      <c r="L925" s="12">
        <v>6200</v>
      </c>
      <c r="M925" s="13">
        <v>0.37159999999999999</v>
      </c>
      <c r="N925" s="14">
        <v>2303.92</v>
      </c>
      <c r="O925" s="12">
        <v>1160</v>
      </c>
      <c r="P925" s="13">
        <v>0.37147414000000001</v>
      </c>
      <c r="Q925" s="14">
        <v>430.91</v>
      </c>
      <c r="R925" s="11" t="s">
        <v>2971</v>
      </c>
      <c r="S925" s="11" t="s">
        <v>2972</v>
      </c>
      <c r="T925" s="11" t="s">
        <v>2966</v>
      </c>
    </row>
    <row r="926" spans="1:20" ht="50.1" hidden="1" customHeight="1">
      <c r="A926" s="10">
        <v>925</v>
      </c>
      <c r="B926" s="11" t="s">
        <v>3180</v>
      </c>
      <c r="C926" s="11" t="s">
        <v>3181</v>
      </c>
      <c r="D926" s="11" t="s">
        <v>17</v>
      </c>
      <c r="E926" s="11" t="s">
        <v>8</v>
      </c>
      <c r="F926" s="12">
        <v>0</v>
      </c>
      <c r="G926" s="13"/>
      <c r="H926" s="14">
        <v>0</v>
      </c>
      <c r="I926" s="12">
        <v>6590</v>
      </c>
      <c r="J926" s="13">
        <v>108</v>
      </c>
      <c r="K926" s="14">
        <v>711720</v>
      </c>
      <c r="L926" s="12">
        <v>5330</v>
      </c>
      <c r="M926" s="13">
        <v>108</v>
      </c>
      <c r="N926" s="14">
        <v>575640</v>
      </c>
      <c r="O926" s="12">
        <v>1260</v>
      </c>
      <c r="P926" s="13">
        <v>108</v>
      </c>
      <c r="Q926" s="14">
        <v>136080</v>
      </c>
      <c r="R926" s="11" t="s">
        <v>3005</v>
      </c>
      <c r="S926" s="11" t="s">
        <v>3006</v>
      </c>
      <c r="T926" s="11" t="s">
        <v>2966</v>
      </c>
    </row>
    <row r="927" spans="1:20" ht="50.1" hidden="1" customHeight="1">
      <c r="A927" s="10">
        <v>926</v>
      </c>
      <c r="B927" s="11" t="s">
        <v>2619</v>
      </c>
      <c r="C927" s="11" t="s">
        <v>2620</v>
      </c>
      <c r="D927" s="11" t="s">
        <v>20</v>
      </c>
      <c r="E927" s="11" t="s">
        <v>8</v>
      </c>
      <c r="F927" s="12">
        <v>1169.3</v>
      </c>
      <c r="G927" s="13">
        <v>110</v>
      </c>
      <c r="H927" s="14">
        <v>128623</v>
      </c>
      <c r="I927" s="12">
        <v>0</v>
      </c>
      <c r="J927" s="13"/>
      <c r="K927" s="14">
        <v>0</v>
      </c>
      <c r="L927" s="12">
        <v>0</v>
      </c>
      <c r="M927" s="13"/>
      <c r="N927" s="14">
        <v>0</v>
      </c>
      <c r="O927" s="12">
        <v>1169.3</v>
      </c>
      <c r="P927" s="13">
        <v>110</v>
      </c>
      <c r="Q927" s="14">
        <v>128623</v>
      </c>
      <c r="R927" s="11" t="s">
        <v>2964</v>
      </c>
      <c r="S927" s="11" t="s">
        <v>2965</v>
      </c>
      <c r="T927" s="11" t="s">
        <v>2966</v>
      </c>
    </row>
    <row r="928" spans="1:20" ht="50.1" hidden="1" customHeight="1">
      <c r="A928" s="10">
        <v>927</v>
      </c>
      <c r="B928" s="11" t="s">
        <v>532</v>
      </c>
      <c r="C928" s="11" t="s">
        <v>533</v>
      </c>
      <c r="D928" s="11" t="s">
        <v>7</v>
      </c>
      <c r="E928" s="11" t="s">
        <v>8</v>
      </c>
      <c r="F928" s="12">
        <v>161.5</v>
      </c>
      <c r="G928" s="13">
        <v>190</v>
      </c>
      <c r="H928" s="14">
        <v>30685</v>
      </c>
      <c r="I928" s="12">
        <v>303.5</v>
      </c>
      <c r="J928" s="13">
        <v>190</v>
      </c>
      <c r="K928" s="14">
        <v>57665</v>
      </c>
      <c r="L928" s="12">
        <v>0</v>
      </c>
      <c r="M928" s="13"/>
      <c r="N928" s="14">
        <v>0</v>
      </c>
      <c r="O928" s="12">
        <v>465</v>
      </c>
      <c r="P928" s="13">
        <v>190</v>
      </c>
      <c r="Q928" s="14">
        <v>88350</v>
      </c>
      <c r="R928" s="11" t="s">
        <v>2964</v>
      </c>
      <c r="S928" s="11" t="s">
        <v>2965</v>
      </c>
      <c r="T928" s="11" t="s">
        <v>2966</v>
      </c>
    </row>
    <row r="929" spans="1:20" ht="50.1" hidden="1" customHeight="1">
      <c r="A929" s="10">
        <v>928</v>
      </c>
      <c r="B929" s="11" t="s">
        <v>534</v>
      </c>
      <c r="C929" s="11" t="s">
        <v>3032</v>
      </c>
      <c r="D929" s="11" t="s">
        <v>7</v>
      </c>
      <c r="E929" s="11" t="s">
        <v>8</v>
      </c>
      <c r="F929" s="12">
        <v>240</v>
      </c>
      <c r="G929" s="13">
        <v>250.40995832999999</v>
      </c>
      <c r="H929" s="14">
        <v>60098.39</v>
      </c>
      <c r="I929" s="12">
        <v>0</v>
      </c>
      <c r="J929" s="13"/>
      <c r="K929" s="14">
        <v>0</v>
      </c>
      <c r="L929" s="12">
        <v>0</v>
      </c>
      <c r="M929" s="13"/>
      <c r="N929" s="14">
        <v>0</v>
      </c>
      <c r="O929" s="12">
        <v>240</v>
      </c>
      <c r="P929" s="13">
        <v>250.40995832999999</v>
      </c>
      <c r="Q929" s="14">
        <v>60098.39</v>
      </c>
      <c r="R929" s="11" t="s">
        <v>2964</v>
      </c>
      <c r="S929" s="11" t="s">
        <v>2965</v>
      </c>
      <c r="T929" s="11" t="s">
        <v>2966</v>
      </c>
    </row>
    <row r="930" spans="1:20" ht="50.1" hidden="1" customHeight="1">
      <c r="A930" s="10">
        <v>929</v>
      </c>
      <c r="B930" s="11" t="s">
        <v>535</v>
      </c>
      <c r="C930" s="11" t="s">
        <v>536</v>
      </c>
      <c r="D930" s="11" t="s">
        <v>7</v>
      </c>
      <c r="E930" s="11" t="s">
        <v>8</v>
      </c>
      <c r="F930" s="12">
        <v>56</v>
      </c>
      <c r="G930" s="13">
        <v>288.47053570999998</v>
      </c>
      <c r="H930" s="14">
        <v>16154.35</v>
      </c>
      <c r="I930" s="12">
        <v>0</v>
      </c>
      <c r="J930" s="13"/>
      <c r="K930" s="14">
        <v>0</v>
      </c>
      <c r="L930" s="12">
        <v>0</v>
      </c>
      <c r="M930" s="13"/>
      <c r="N930" s="14">
        <v>0</v>
      </c>
      <c r="O930" s="12">
        <v>56</v>
      </c>
      <c r="P930" s="13">
        <v>288.47053570999998</v>
      </c>
      <c r="Q930" s="14">
        <v>16154.35</v>
      </c>
      <c r="R930" s="11" t="s">
        <v>2964</v>
      </c>
      <c r="S930" s="11" t="s">
        <v>2965</v>
      </c>
      <c r="T930" s="11" t="s">
        <v>2966</v>
      </c>
    </row>
    <row r="931" spans="1:20" ht="50.1" hidden="1" customHeight="1">
      <c r="A931" s="10">
        <v>930</v>
      </c>
      <c r="B931" s="11" t="s">
        <v>537</v>
      </c>
      <c r="C931" s="11" t="s">
        <v>538</v>
      </c>
      <c r="D931" s="11" t="s">
        <v>7</v>
      </c>
      <c r="E931" s="11" t="s">
        <v>8</v>
      </c>
      <c r="F931" s="12">
        <v>60</v>
      </c>
      <c r="G931" s="13">
        <v>250</v>
      </c>
      <c r="H931" s="14">
        <v>15000</v>
      </c>
      <c r="I931" s="12">
        <v>120</v>
      </c>
      <c r="J931" s="13">
        <v>190</v>
      </c>
      <c r="K931" s="14">
        <v>22800</v>
      </c>
      <c r="L931" s="12">
        <v>150</v>
      </c>
      <c r="M931" s="13">
        <v>210</v>
      </c>
      <c r="N931" s="14">
        <v>31500</v>
      </c>
      <c r="O931" s="12">
        <v>30</v>
      </c>
      <c r="P931" s="13">
        <v>210</v>
      </c>
      <c r="Q931" s="14">
        <v>6300</v>
      </c>
      <c r="R931" s="11" t="s">
        <v>2964</v>
      </c>
      <c r="S931" s="11" t="s">
        <v>2965</v>
      </c>
      <c r="T931" s="11" t="s">
        <v>2966</v>
      </c>
    </row>
    <row r="932" spans="1:20" ht="50.1" hidden="1" customHeight="1">
      <c r="A932" s="10">
        <v>931</v>
      </c>
      <c r="B932" s="11" t="s">
        <v>539</v>
      </c>
      <c r="C932" s="11" t="s">
        <v>540</v>
      </c>
      <c r="D932" s="11" t="s">
        <v>7</v>
      </c>
      <c r="E932" s="11" t="s">
        <v>8</v>
      </c>
      <c r="F932" s="12">
        <v>332</v>
      </c>
      <c r="G932" s="13">
        <v>190.59153133000001</v>
      </c>
      <c r="H932" s="14">
        <v>63276.388400000003</v>
      </c>
      <c r="I932" s="12">
        <v>0</v>
      </c>
      <c r="J932" s="13"/>
      <c r="K932" s="14">
        <v>0</v>
      </c>
      <c r="L932" s="12">
        <v>0</v>
      </c>
      <c r="M932" s="13"/>
      <c r="N932" s="14">
        <v>0</v>
      </c>
      <c r="O932" s="12">
        <v>332</v>
      </c>
      <c r="P932" s="13">
        <v>190.59153133000001</v>
      </c>
      <c r="Q932" s="14">
        <v>63276.388400000003</v>
      </c>
      <c r="R932" s="11" t="s">
        <v>2964</v>
      </c>
      <c r="S932" s="11" t="s">
        <v>2965</v>
      </c>
      <c r="T932" s="11" t="s">
        <v>2966</v>
      </c>
    </row>
    <row r="933" spans="1:20" ht="50.1" hidden="1" customHeight="1">
      <c r="A933" s="10">
        <v>932</v>
      </c>
      <c r="B933" s="11" t="s">
        <v>541</v>
      </c>
      <c r="C933" s="11" t="s">
        <v>542</v>
      </c>
      <c r="D933" s="11" t="s">
        <v>7</v>
      </c>
      <c r="E933" s="11" t="s">
        <v>8</v>
      </c>
      <c r="F933" s="12">
        <v>800</v>
      </c>
      <c r="G933" s="13">
        <v>9.6</v>
      </c>
      <c r="H933" s="14">
        <v>7680</v>
      </c>
      <c r="I933" s="12">
        <v>0</v>
      </c>
      <c r="J933" s="13"/>
      <c r="K933" s="14">
        <v>0</v>
      </c>
      <c r="L933" s="12">
        <v>300</v>
      </c>
      <c r="M933" s="13">
        <v>9.6</v>
      </c>
      <c r="N933" s="14">
        <v>2880</v>
      </c>
      <c r="O933" s="12">
        <v>500</v>
      </c>
      <c r="P933" s="13">
        <v>9.6</v>
      </c>
      <c r="Q933" s="14">
        <v>4800</v>
      </c>
      <c r="R933" s="11" t="s">
        <v>2971</v>
      </c>
      <c r="S933" s="11" t="s">
        <v>2972</v>
      </c>
      <c r="T933" s="11" t="s">
        <v>2966</v>
      </c>
    </row>
    <row r="934" spans="1:20" ht="50.1" hidden="1" customHeight="1">
      <c r="A934" s="10">
        <v>933</v>
      </c>
      <c r="B934" s="11" t="s">
        <v>543</v>
      </c>
      <c r="C934" s="11" t="s">
        <v>544</v>
      </c>
      <c r="D934" s="11" t="s">
        <v>17</v>
      </c>
      <c r="E934" s="11" t="s">
        <v>8</v>
      </c>
      <c r="F934" s="12">
        <v>164935</v>
      </c>
      <c r="G934" s="13">
        <v>0.36893334</v>
      </c>
      <c r="H934" s="14">
        <v>60850.02</v>
      </c>
      <c r="I934" s="12">
        <v>0</v>
      </c>
      <c r="J934" s="13"/>
      <c r="K934" s="14">
        <v>0</v>
      </c>
      <c r="L934" s="12">
        <v>11360</v>
      </c>
      <c r="M934" s="13">
        <v>0.36889965000000002</v>
      </c>
      <c r="N934" s="14">
        <v>4190.7</v>
      </c>
      <c r="O934" s="12">
        <v>153575</v>
      </c>
      <c r="P934" s="13">
        <v>0.36893583000000002</v>
      </c>
      <c r="Q934" s="14">
        <v>56659.32</v>
      </c>
      <c r="R934" s="11" t="s">
        <v>2971</v>
      </c>
      <c r="S934" s="11" t="s">
        <v>2972</v>
      </c>
      <c r="T934" s="11" t="s">
        <v>2966</v>
      </c>
    </row>
    <row r="935" spans="1:20" ht="50.1" hidden="1" customHeight="1">
      <c r="A935" s="10">
        <v>934</v>
      </c>
      <c r="B935" s="11" t="s">
        <v>545</v>
      </c>
      <c r="C935" s="11" t="s">
        <v>546</v>
      </c>
      <c r="D935" s="11" t="s">
        <v>7</v>
      </c>
      <c r="E935" s="11" t="s">
        <v>8</v>
      </c>
      <c r="F935" s="12">
        <v>9000</v>
      </c>
      <c r="G935" s="13">
        <v>2.89561511</v>
      </c>
      <c r="H935" s="14">
        <v>26060.536</v>
      </c>
      <c r="I935" s="12">
        <v>0</v>
      </c>
      <c r="J935" s="13"/>
      <c r="K935" s="14">
        <v>0</v>
      </c>
      <c r="L935" s="12">
        <v>0</v>
      </c>
      <c r="M935" s="13"/>
      <c r="N935" s="14">
        <v>0</v>
      </c>
      <c r="O935" s="12">
        <v>9000</v>
      </c>
      <c r="P935" s="13">
        <v>2.89561511</v>
      </c>
      <c r="Q935" s="14">
        <v>26060.536</v>
      </c>
      <c r="R935" s="11" t="s">
        <v>2971</v>
      </c>
      <c r="S935" s="11" t="s">
        <v>2972</v>
      </c>
      <c r="T935" s="11" t="s">
        <v>2966</v>
      </c>
    </row>
    <row r="936" spans="1:20" ht="50.1" hidden="1" customHeight="1">
      <c r="A936" s="10">
        <v>935</v>
      </c>
      <c r="B936" s="11" t="s">
        <v>553</v>
      </c>
      <c r="C936" s="11" t="s">
        <v>554</v>
      </c>
      <c r="D936" s="11" t="s">
        <v>17</v>
      </c>
      <c r="E936" s="11" t="s">
        <v>8</v>
      </c>
      <c r="F936" s="12">
        <v>2680</v>
      </c>
      <c r="G936" s="13">
        <v>5.4857305600000004</v>
      </c>
      <c r="H936" s="14">
        <v>14701.757900000001</v>
      </c>
      <c r="I936" s="12">
        <v>3500</v>
      </c>
      <c r="J936" s="13">
        <v>5.4988714300000003</v>
      </c>
      <c r="K936" s="14">
        <v>19246.05</v>
      </c>
      <c r="L936" s="12">
        <v>6180</v>
      </c>
      <c r="M936" s="13">
        <v>5.4931731399999997</v>
      </c>
      <c r="N936" s="14">
        <v>33947.81</v>
      </c>
      <c r="O936" s="12">
        <v>0</v>
      </c>
      <c r="P936" s="13"/>
      <c r="Q936" s="14">
        <v>0</v>
      </c>
      <c r="R936" s="11" t="s">
        <v>2971</v>
      </c>
      <c r="S936" s="11" t="s">
        <v>2972</v>
      </c>
      <c r="T936" s="11" t="s">
        <v>2966</v>
      </c>
    </row>
    <row r="937" spans="1:20" ht="50.1" hidden="1" customHeight="1">
      <c r="A937" s="10">
        <v>936</v>
      </c>
      <c r="B937" s="11" t="s">
        <v>555</v>
      </c>
      <c r="C937" s="11" t="s">
        <v>556</v>
      </c>
      <c r="D937" s="11" t="s">
        <v>17</v>
      </c>
      <c r="E937" s="11" t="s">
        <v>8</v>
      </c>
      <c r="F937" s="12">
        <v>796</v>
      </c>
      <c r="G937" s="13">
        <v>2.5</v>
      </c>
      <c r="H937" s="14">
        <v>1990</v>
      </c>
      <c r="I937" s="12">
        <v>0</v>
      </c>
      <c r="J937" s="13"/>
      <c r="K937" s="14">
        <v>0</v>
      </c>
      <c r="L937" s="12">
        <v>0</v>
      </c>
      <c r="M937" s="13"/>
      <c r="N937" s="14">
        <v>0</v>
      </c>
      <c r="O937" s="12">
        <v>796</v>
      </c>
      <c r="P937" s="13">
        <v>2.5</v>
      </c>
      <c r="Q937" s="14">
        <v>1990</v>
      </c>
      <c r="R937" s="11" t="s">
        <v>2971</v>
      </c>
      <c r="S937" s="11" t="s">
        <v>2972</v>
      </c>
      <c r="T937" s="11" t="s">
        <v>2966</v>
      </c>
    </row>
    <row r="938" spans="1:20" ht="50.1" hidden="1" customHeight="1">
      <c r="A938" s="10">
        <v>937</v>
      </c>
      <c r="B938" s="11" t="s">
        <v>559</v>
      </c>
      <c r="C938" s="11" t="s">
        <v>560</v>
      </c>
      <c r="D938" s="11" t="s">
        <v>17</v>
      </c>
      <c r="E938" s="11" t="s">
        <v>8</v>
      </c>
      <c r="F938" s="12">
        <v>2052</v>
      </c>
      <c r="G938" s="13">
        <v>2.9226608199999999</v>
      </c>
      <c r="H938" s="14">
        <v>5997.3</v>
      </c>
      <c r="I938" s="12">
        <v>5897</v>
      </c>
      <c r="J938" s="13">
        <v>3.6798032900000002</v>
      </c>
      <c r="K938" s="14">
        <v>21699.8</v>
      </c>
      <c r="L938" s="12">
        <v>5263</v>
      </c>
      <c r="M938" s="13">
        <v>4.1768953099999999</v>
      </c>
      <c r="N938" s="14">
        <v>21983</v>
      </c>
      <c r="O938" s="12">
        <v>2686</v>
      </c>
      <c r="P938" s="13">
        <v>2.1273641099999998</v>
      </c>
      <c r="Q938" s="14">
        <v>5714.1</v>
      </c>
      <c r="R938" s="11" t="s">
        <v>2971</v>
      </c>
      <c r="S938" s="11" t="s">
        <v>2972</v>
      </c>
      <c r="T938" s="11" t="s">
        <v>2966</v>
      </c>
    </row>
    <row r="939" spans="1:20" ht="50.1" hidden="1" customHeight="1">
      <c r="A939" s="10">
        <v>938</v>
      </c>
      <c r="B939" s="11" t="s">
        <v>2859</v>
      </c>
      <c r="C939" s="11" t="s">
        <v>2860</v>
      </c>
      <c r="D939" s="11" t="s">
        <v>7</v>
      </c>
      <c r="E939" s="11" t="s">
        <v>8</v>
      </c>
      <c r="F939" s="12">
        <v>14500</v>
      </c>
      <c r="G939" s="13">
        <v>3.0991200000000001</v>
      </c>
      <c r="H939" s="14">
        <v>44937.24</v>
      </c>
      <c r="I939" s="12">
        <v>0</v>
      </c>
      <c r="J939" s="13"/>
      <c r="K939" s="14">
        <v>0</v>
      </c>
      <c r="L939" s="12">
        <v>7100</v>
      </c>
      <c r="M939" s="13">
        <v>3.0991</v>
      </c>
      <c r="N939" s="14">
        <v>22003.61</v>
      </c>
      <c r="O939" s="12">
        <v>7400</v>
      </c>
      <c r="P939" s="13">
        <v>3.0991391899999998</v>
      </c>
      <c r="Q939" s="14">
        <v>22933.63</v>
      </c>
      <c r="R939" s="11" t="s">
        <v>2971</v>
      </c>
      <c r="S939" s="11" t="s">
        <v>2972</v>
      </c>
      <c r="T939" s="11" t="s">
        <v>2966</v>
      </c>
    </row>
    <row r="940" spans="1:20" ht="50.1" hidden="1" customHeight="1">
      <c r="A940" s="10">
        <v>939</v>
      </c>
      <c r="B940" s="11" t="s">
        <v>2801</v>
      </c>
      <c r="C940" s="11" t="s">
        <v>2802</v>
      </c>
      <c r="D940" s="11" t="s">
        <v>17</v>
      </c>
      <c r="E940" s="11" t="s">
        <v>8</v>
      </c>
      <c r="F940" s="12">
        <v>1300</v>
      </c>
      <c r="G940" s="13">
        <v>7.5</v>
      </c>
      <c r="H940" s="14">
        <v>9750</v>
      </c>
      <c r="I940" s="12">
        <v>0</v>
      </c>
      <c r="J940" s="13"/>
      <c r="K940" s="14">
        <v>0</v>
      </c>
      <c r="L940" s="12">
        <v>75</v>
      </c>
      <c r="M940" s="13">
        <v>7.5</v>
      </c>
      <c r="N940" s="14">
        <v>562.5</v>
      </c>
      <c r="O940" s="12">
        <v>1225</v>
      </c>
      <c r="P940" s="13">
        <v>7.5</v>
      </c>
      <c r="Q940" s="14">
        <v>9187.5</v>
      </c>
      <c r="R940" s="11" t="s">
        <v>2971</v>
      </c>
      <c r="S940" s="11" t="s">
        <v>2972</v>
      </c>
      <c r="T940" s="11" t="s">
        <v>2966</v>
      </c>
    </row>
    <row r="941" spans="1:20" ht="50.1" hidden="1" customHeight="1">
      <c r="A941" s="10">
        <v>940</v>
      </c>
      <c r="B941" s="11" t="s">
        <v>561</v>
      </c>
      <c r="C941" s="11" t="s">
        <v>562</v>
      </c>
      <c r="D941" s="11" t="s">
        <v>17</v>
      </c>
      <c r="E941" s="11" t="s">
        <v>8</v>
      </c>
      <c r="F941" s="12">
        <v>3000</v>
      </c>
      <c r="G941" s="13">
        <v>0.54</v>
      </c>
      <c r="H941" s="14">
        <v>1620</v>
      </c>
      <c r="I941" s="12">
        <v>0</v>
      </c>
      <c r="J941" s="13"/>
      <c r="K941" s="14">
        <v>0</v>
      </c>
      <c r="L941" s="12">
        <v>0</v>
      </c>
      <c r="M941" s="13"/>
      <c r="N941" s="14">
        <v>0</v>
      </c>
      <c r="O941" s="12">
        <v>3000</v>
      </c>
      <c r="P941" s="13">
        <v>0.54</v>
      </c>
      <c r="Q941" s="14">
        <v>1620</v>
      </c>
      <c r="R941" s="11" t="s">
        <v>2997</v>
      </c>
      <c r="S941" s="11" t="s">
        <v>2998</v>
      </c>
      <c r="T941" s="11" t="s">
        <v>2966</v>
      </c>
    </row>
    <row r="942" spans="1:20" ht="50.1" hidden="1" customHeight="1">
      <c r="A942" s="10">
        <v>941</v>
      </c>
      <c r="B942" s="11" t="s">
        <v>563</v>
      </c>
      <c r="C942" s="11" t="s">
        <v>564</v>
      </c>
      <c r="D942" s="11" t="s">
        <v>17</v>
      </c>
      <c r="E942" s="11" t="s">
        <v>8</v>
      </c>
      <c r="F942" s="12">
        <v>3000</v>
      </c>
      <c r="G942" s="13">
        <v>0.6</v>
      </c>
      <c r="H942" s="14">
        <v>1800</v>
      </c>
      <c r="I942" s="12">
        <v>0</v>
      </c>
      <c r="J942" s="13"/>
      <c r="K942" s="14">
        <v>0</v>
      </c>
      <c r="L942" s="12">
        <v>0</v>
      </c>
      <c r="M942" s="13"/>
      <c r="N942" s="14">
        <v>0</v>
      </c>
      <c r="O942" s="12">
        <v>3000</v>
      </c>
      <c r="P942" s="13">
        <v>0.6</v>
      </c>
      <c r="Q942" s="14">
        <v>1800</v>
      </c>
      <c r="R942" s="11" t="s">
        <v>2997</v>
      </c>
      <c r="S942" s="11" t="s">
        <v>2998</v>
      </c>
      <c r="T942" s="11" t="s">
        <v>2966</v>
      </c>
    </row>
    <row r="943" spans="1:20" ht="50.1" hidden="1" customHeight="1">
      <c r="A943" s="10">
        <v>942</v>
      </c>
      <c r="B943" s="11" t="s">
        <v>565</v>
      </c>
      <c r="C943" s="11" t="s">
        <v>566</v>
      </c>
      <c r="D943" s="11" t="s">
        <v>17</v>
      </c>
      <c r="E943" s="11" t="s">
        <v>8</v>
      </c>
      <c r="F943" s="12">
        <v>24500</v>
      </c>
      <c r="G943" s="13">
        <v>0.6</v>
      </c>
      <c r="H943" s="14">
        <v>14700</v>
      </c>
      <c r="I943" s="12">
        <v>0</v>
      </c>
      <c r="J943" s="13"/>
      <c r="K943" s="14">
        <v>0</v>
      </c>
      <c r="L943" s="12">
        <v>1000</v>
      </c>
      <c r="M943" s="13">
        <v>0.6</v>
      </c>
      <c r="N943" s="14">
        <v>600</v>
      </c>
      <c r="O943" s="12">
        <v>23500</v>
      </c>
      <c r="P943" s="13">
        <v>0.6</v>
      </c>
      <c r="Q943" s="14">
        <v>14100</v>
      </c>
      <c r="R943" s="11" t="s">
        <v>2997</v>
      </c>
      <c r="S943" s="11" t="s">
        <v>2998</v>
      </c>
      <c r="T943" s="11" t="s">
        <v>2966</v>
      </c>
    </row>
    <row r="944" spans="1:20" ht="50.1" hidden="1" customHeight="1">
      <c r="A944" s="10">
        <v>943</v>
      </c>
      <c r="B944" s="11" t="s">
        <v>567</v>
      </c>
      <c r="C944" s="11" t="s">
        <v>568</v>
      </c>
      <c r="D944" s="11" t="s">
        <v>17</v>
      </c>
      <c r="E944" s="11" t="s">
        <v>8</v>
      </c>
      <c r="F944" s="12">
        <v>7000</v>
      </c>
      <c r="G944" s="13">
        <v>0.54</v>
      </c>
      <c r="H944" s="14">
        <v>3780</v>
      </c>
      <c r="I944" s="12">
        <v>5000</v>
      </c>
      <c r="J944" s="13">
        <v>0.54</v>
      </c>
      <c r="K944" s="14">
        <v>2700</v>
      </c>
      <c r="L944" s="12">
        <v>6000</v>
      </c>
      <c r="M944" s="13">
        <v>0.54</v>
      </c>
      <c r="N944" s="14">
        <v>3240</v>
      </c>
      <c r="O944" s="12">
        <v>6000</v>
      </c>
      <c r="P944" s="13">
        <v>0.54</v>
      </c>
      <c r="Q944" s="14">
        <v>3240</v>
      </c>
      <c r="R944" s="11" t="s">
        <v>2997</v>
      </c>
      <c r="S944" s="11" t="s">
        <v>2998</v>
      </c>
      <c r="T944" s="11" t="s">
        <v>2966</v>
      </c>
    </row>
    <row r="945" spans="1:20" ht="50.1" hidden="1" customHeight="1">
      <c r="A945" s="10">
        <v>944</v>
      </c>
      <c r="B945" s="11" t="s">
        <v>569</v>
      </c>
      <c r="C945" s="11" t="s">
        <v>570</v>
      </c>
      <c r="D945" s="11" t="s">
        <v>17</v>
      </c>
      <c r="E945" s="11" t="s">
        <v>8</v>
      </c>
      <c r="F945" s="12">
        <v>2000</v>
      </c>
      <c r="G945" s="13">
        <v>1.6</v>
      </c>
      <c r="H945" s="14">
        <v>3200</v>
      </c>
      <c r="I945" s="12">
        <v>0</v>
      </c>
      <c r="J945" s="13"/>
      <c r="K945" s="14">
        <v>0</v>
      </c>
      <c r="L945" s="12">
        <v>0</v>
      </c>
      <c r="M945" s="13"/>
      <c r="N945" s="14">
        <v>0</v>
      </c>
      <c r="O945" s="12">
        <v>2000</v>
      </c>
      <c r="P945" s="13">
        <v>1.6</v>
      </c>
      <c r="Q945" s="14">
        <v>3200</v>
      </c>
      <c r="R945" s="11" t="s">
        <v>2997</v>
      </c>
      <c r="S945" s="11" t="s">
        <v>2998</v>
      </c>
      <c r="T945" s="11" t="s">
        <v>2966</v>
      </c>
    </row>
    <row r="946" spans="1:20" ht="50.1" hidden="1" customHeight="1">
      <c r="A946" s="10">
        <v>945</v>
      </c>
      <c r="B946" s="11" t="s">
        <v>2892</v>
      </c>
      <c r="C946" s="11" t="s">
        <v>2893</v>
      </c>
      <c r="D946" s="11" t="s">
        <v>17</v>
      </c>
      <c r="E946" s="11" t="s">
        <v>8</v>
      </c>
      <c r="F946" s="12">
        <v>3917</v>
      </c>
      <c r="G946" s="13">
        <v>9.5</v>
      </c>
      <c r="H946" s="14">
        <v>37211.5</v>
      </c>
      <c r="I946" s="12">
        <v>0</v>
      </c>
      <c r="J946" s="13"/>
      <c r="K946" s="14">
        <v>0</v>
      </c>
      <c r="L946" s="12">
        <v>1066</v>
      </c>
      <c r="M946" s="13">
        <v>9.5</v>
      </c>
      <c r="N946" s="14">
        <v>10127</v>
      </c>
      <c r="O946" s="12">
        <v>2851</v>
      </c>
      <c r="P946" s="13">
        <v>9.5</v>
      </c>
      <c r="Q946" s="14">
        <v>27084.5</v>
      </c>
      <c r="R946" s="11" t="s">
        <v>2971</v>
      </c>
      <c r="S946" s="11" t="s">
        <v>2972</v>
      </c>
      <c r="T946" s="11" t="s">
        <v>2966</v>
      </c>
    </row>
    <row r="947" spans="1:20" ht="50.1" hidden="1" customHeight="1">
      <c r="A947" s="10">
        <v>946</v>
      </c>
      <c r="B947" s="11" t="s">
        <v>2894</v>
      </c>
      <c r="C947" s="11" t="s">
        <v>2895</v>
      </c>
      <c r="D947" s="11" t="s">
        <v>17</v>
      </c>
      <c r="E947" s="11" t="s">
        <v>8</v>
      </c>
      <c r="F947" s="12">
        <v>5400</v>
      </c>
      <c r="G947" s="13">
        <v>6.1387407400000003</v>
      </c>
      <c r="H947" s="14">
        <v>33149.199999999997</v>
      </c>
      <c r="I947" s="12">
        <v>5020</v>
      </c>
      <c r="J947" s="13">
        <v>6.1</v>
      </c>
      <c r="K947" s="14">
        <v>30622</v>
      </c>
      <c r="L947" s="12">
        <v>3295</v>
      </c>
      <c r="M947" s="13">
        <v>6.12849165</v>
      </c>
      <c r="N947" s="14">
        <v>20193.38</v>
      </c>
      <c r="O947" s="12">
        <v>7125</v>
      </c>
      <c r="P947" s="13">
        <v>6.11618526</v>
      </c>
      <c r="Q947" s="14">
        <v>43577.82</v>
      </c>
      <c r="R947" s="11" t="s">
        <v>2971</v>
      </c>
      <c r="S947" s="11" t="s">
        <v>2972</v>
      </c>
      <c r="T947" s="11" t="s">
        <v>2966</v>
      </c>
    </row>
    <row r="948" spans="1:20" ht="50.1" hidden="1" customHeight="1">
      <c r="A948" s="10">
        <v>947</v>
      </c>
      <c r="B948" s="11" t="s">
        <v>2886</v>
      </c>
      <c r="C948" s="11" t="s">
        <v>2887</v>
      </c>
      <c r="D948" s="11" t="s">
        <v>17</v>
      </c>
      <c r="E948" s="11" t="s">
        <v>8</v>
      </c>
      <c r="F948" s="12">
        <v>3705</v>
      </c>
      <c r="G948" s="13">
        <v>7.5</v>
      </c>
      <c r="H948" s="14">
        <v>27787.5</v>
      </c>
      <c r="I948" s="12">
        <v>0</v>
      </c>
      <c r="J948" s="13"/>
      <c r="K948" s="14">
        <v>0</v>
      </c>
      <c r="L948" s="12">
        <v>0</v>
      </c>
      <c r="M948" s="13"/>
      <c r="N948" s="14">
        <v>0</v>
      </c>
      <c r="O948" s="12">
        <v>3705</v>
      </c>
      <c r="P948" s="13">
        <v>7.5</v>
      </c>
      <c r="Q948" s="14">
        <v>27787.5</v>
      </c>
      <c r="R948" s="11" t="s">
        <v>2971</v>
      </c>
      <c r="S948" s="11" t="s">
        <v>2972</v>
      </c>
      <c r="T948" s="11" t="s">
        <v>2966</v>
      </c>
    </row>
    <row r="949" spans="1:20" ht="50.1" hidden="1" customHeight="1">
      <c r="A949" s="10">
        <v>948</v>
      </c>
      <c r="B949" s="11" t="s">
        <v>3258</v>
      </c>
      <c r="C949" s="11" t="s">
        <v>2877</v>
      </c>
      <c r="D949" s="11" t="s">
        <v>17</v>
      </c>
      <c r="E949" s="11" t="s">
        <v>8</v>
      </c>
      <c r="F949" s="12">
        <v>7510</v>
      </c>
      <c r="G949" s="13">
        <v>7.5</v>
      </c>
      <c r="H949" s="14">
        <v>56325</v>
      </c>
      <c r="I949" s="12">
        <v>0</v>
      </c>
      <c r="J949" s="13"/>
      <c r="K949" s="14">
        <v>0</v>
      </c>
      <c r="L949" s="12">
        <v>0</v>
      </c>
      <c r="M949" s="13"/>
      <c r="N949" s="14">
        <v>0</v>
      </c>
      <c r="O949" s="12">
        <v>7510</v>
      </c>
      <c r="P949" s="13">
        <v>7.5</v>
      </c>
      <c r="Q949" s="14">
        <v>56325</v>
      </c>
      <c r="R949" s="11" t="s">
        <v>2971</v>
      </c>
      <c r="S949" s="11" t="s">
        <v>2972</v>
      </c>
      <c r="T949" s="11" t="s">
        <v>2966</v>
      </c>
    </row>
    <row r="950" spans="1:20" ht="50.1" hidden="1" customHeight="1">
      <c r="A950" s="10">
        <v>949</v>
      </c>
      <c r="B950" s="11" t="s">
        <v>2890</v>
      </c>
      <c r="C950" s="11" t="s">
        <v>2891</v>
      </c>
      <c r="D950" s="11" t="s">
        <v>17</v>
      </c>
      <c r="E950" s="11" t="s">
        <v>8</v>
      </c>
      <c r="F950" s="12">
        <v>2150</v>
      </c>
      <c r="G950" s="13">
        <v>6.6</v>
      </c>
      <c r="H950" s="14">
        <v>14190</v>
      </c>
      <c r="I950" s="12">
        <v>0</v>
      </c>
      <c r="J950" s="13"/>
      <c r="K950" s="14">
        <v>0</v>
      </c>
      <c r="L950" s="12">
        <v>0</v>
      </c>
      <c r="M950" s="13"/>
      <c r="N950" s="14">
        <v>0</v>
      </c>
      <c r="O950" s="12">
        <v>2150</v>
      </c>
      <c r="P950" s="13">
        <v>6.6</v>
      </c>
      <c r="Q950" s="14">
        <v>14190</v>
      </c>
      <c r="R950" s="11" t="s">
        <v>2971</v>
      </c>
      <c r="S950" s="11" t="s">
        <v>2972</v>
      </c>
      <c r="T950" s="11" t="s">
        <v>2966</v>
      </c>
    </row>
    <row r="951" spans="1:20" ht="50.1" hidden="1" customHeight="1">
      <c r="A951" s="10">
        <v>950</v>
      </c>
      <c r="B951" s="11" t="s">
        <v>2896</v>
      </c>
      <c r="C951" s="11" t="s">
        <v>2897</v>
      </c>
      <c r="D951" s="11" t="s">
        <v>17</v>
      </c>
      <c r="E951" s="11" t="s">
        <v>8</v>
      </c>
      <c r="F951" s="12">
        <v>3327</v>
      </c>
      <c r="G951" s="13">
        <v>9.5</v>
      </c>
      <c r="H951" s="14">
        <v>31606.5</v>
      </c>
      <c r="I951" s="12">
        <v>0</v>
      </c>
      <c r="J951" s="13"/>
      <c r="K951" s="14">
        <v>0</v>
      </c>
      <c r="L951" s="12">
        <v>800</v>
      </c>
      <c r="M951" s="13">
        <v>9.5</v>
      </c>
      <c r="N951" s="14">
        <v>7600</v>
      </c>
      <c r="O951" s="12">
        <v>2527</v>
      </c>
      <c r="P951" s="13">
        <v>9.5</v>
      </c>
      <c r="Q951" s="14">
        <v>24006.5</v>
      </c>
      <c r="R951" s="11" t="s">
        <v>2971</v>
      </c>
      <c r="S951" s="11" t="s">
        <v>2972</v>
      </c>
      <c r="T951" s="11" t="s">
        <v>2966</v>
      </c>
    </row>
    <row r="952" spans="1:20" ht="50.1" hidden="1" customHeight="1">
      <c r="A952" s="10">
        <v>951</v>
      </c>
      <c r="B952" s="11" t="s">
        <v>3259</v>
      </c>
      <c r="C952" s="11" t="s">
        <v>3260</v>
      </c>
      <c r="D952" s="11" t="s">
        <v>17</v>
      </c>
      <c r="E952" s="11" t="s">
        <v>8</v>
      </c>
      <c r="F952" s="12">
        <v>1280</v>
      </c>
      <c r="G952" s="13">
        <v>5.5</v>
      </c>
      <c r="H952" s="14">
        <v>7040</v>
      </c>
      <c r="I952" s="12">
        <v>0</v>
      </c>
      <c r="J952" s="13"/>
      <c r="K952" s="14">
        <v>0</v>
      </c>
      <c r="L952" s="12">
        <v>0</v>
      </c>
      <c r="M952" s="13"/>
      <c r="N952" s="14">
        <v>0</v>
      </c>
      <c r="O952" s="12">
        <v>1280</v>
      </c>
      <c r="P952" s="13">
        <v>5.5</v>
      </c>
      <c r="Q952" s="14">
        <v>7040</v>
      </c>
      <c r="R952" s="11" t="s">
        <v>2971</v>
      </c>
      <c r="S952" s="11" t="s">
        <v>2972</v>
      </c>
      <c r="T952" s="11" t="s">
        <v>2966</v>
      </c>
    </row>
    <row r="953" spans="1:20" ht="50.1" hidden="1" customHeight="1">
      <c r="A953" s="10">
        <v>952</v>
      </c>
      <c r="B953" s="11" t="s">
        <v>2884</v>
      </c>
      <c r="C953" s="11" t="s">
        <v>2885</v>
      </c>
      <c r="D953" s="11" t="s">
        <v>17</v>
      </c>
      <c r="E953" s="11" t="s">
        <v>8</v>
      </c>
      <c r="F953" s="12">
        <v>3606</v>
      </c>
      <c r="G953" s="13">
        <v>5.5</v>
      </c>
      <c r="H953" s="14">
        <v>19833</v>
      </c>
      <c r="I953" s="12">
        <v>0</v>
      </c>
      <c r="J953" s="13"/>
      <c r="K953" s="14">
        <v>0</v>
      </c>
      <c r="L953" s="12">
        <v>400</v>
      </c>
      <c r="M953" s="13">
        <v>5.5</v>
      </c>
      <c r="N953" s="14">
        <v>2200</v>
      </c>
      <c r="O953" s="12">
        <v>3206</v>
      </c>
      <c r="P953" s="13">
        <v>5.5</v>
      </c>
      <c r="Q953" s="14">
        <v>17633</v>
      </c>
      <c r="R953" s="11" t="s">
        <v>2971</v>
      </c>
      <c r="S953" s="11" t="s">
        <v>2972</v>
      </c>
      <c r="T953" s="11" t="s">
        <v>2966</v>
      </c>
    </row>
    <row r="954" spans="1:20" ht="50.1" hidden="1" customHeight="1">
      <c r="A954" s="10">
        <v>953</v>
      </c>
      <c r="B954" s="11" t="s">
        <v>2898</v>
      </c>
      <c r="C954" s="11" t="s">
        <v>2899</v>
      </c>
      <c r="D954" s="11" t="s">
        <v>17</v>
      </c>
      <c r="E954" s="11" t="s">
        <v>8</v>
      </c>
      <c r="F954" s="12">
        <v>5300</v>
      </c>
      <c r="G954" s="13">
        <v>6.1302188700000002</v>
      </c>
      <c r="H954" s="14">
        <v>32490.16</v>
      </c>
      <c r="I954" s="12">
        <v>5090</v>
      </c>
      <c r="J954" s="13">
        <v>6.1</v>
      </c>
      <c r="K954" s="14">
        <v>31049</v>
      </c>
      <c r="L954" s="12">
        <v>3240</v>
      </c>
      <c r="M954" s="13">
        <v>6.1188611100000001</v>
      </c>
      <c r="N954" s="14">
        <v>19825.11</v>
      </c>
      <c r="O954" s="12">
        <v>7150</v>
      </c>
      <c r="P954" s="13">
        <v>6.1138531499999997</v>
      </c>
      <c r="Q954" s="14">
        <v>43714.05</v>
      </c>
      <c r="R954" s="11" t="s">
        <v>2971</v>
      </c>
      <c r="S954" s="11" t="s">
        <v>2972</v>
      </c>
      <c r="T954" s="11" t="s">
        <v>2966</v>
      </c>
    </row>
    <row r="955" spans="1:20" ht="50.1" hidden="1" customHeight="1">
      <c r="A955" s="10">
        <v>954</v>
      </c>
      <c r="B955" s="11" t="s">
        <v>2880</v>
      </c>
      <c r="C955" s="11" t="s">
        <v>2881</v>
      </c>
      <c r="D955" s="11" t="s">
        <v>17</v>
      </c>
      <c r="E955" s="11" t="s">
        <v>8</v>
      </c>
      <c r="F955" s="12">
        <v>4200</v>
      </c>
      <c r="G955" s="13">
        <v>6.8845404800000001</v>
      </c>
      <c r="H955" s="14">
        <v>28915.07</v>
      </c>
      <c r="I955" s="12">
        <v>0</v>
      </c>
      <c r="J955" s="13"/>
      <c r="K955" s="14">
        <v>0</v>
      </c>
      <c r="L955" s="12">
        <v>300</v>
      </c>
      <c r="M955" s="13">
        <v>6.8845000000000001</v>
      </c>
      <c r="N955" s="14">
        <v>2065.35</v>
      </c>
      <c r="O955" s="12">
        <v>3900</v>
      </c>
      <c r="P955" s="13">
        <v>6.8845435899999998</v>
      </c>
      <c r="Q955" s="14">
        <v>26849.72</v>
      </c>
      <c r="R955" s="11" t="s">
        <v>2971</v>
      </c>
      <c r="S955" s="11" t="s">
        <v>2972</v>
      </c>
      <c r="T955" s="11" t="s">
        <v>2966</v>
      </c>
    </row>
    <row r="956" spans="1:20" ht="50.1" hidden="1" customHeight="1">
      <c r="A956" s="10">
        <v>955</v>
      </c>
      <c r="B956" s="11" t="s">
        <v>3456</v>
      </c>
      <c r="C956" s="11" t="s">
        <v>3457</v>
      </c>
      <c r="D956" s="11" t="s">
        <v>17</v>
      </c>
      <c r="E956" s="11" t="s">
        <v>8</v>
      </c>
      <c r="F956" s="12">
        <v>0</v>
      </c>
      <c r="G956" s="13"/>
      <c r="H956" s="14">
        <v>0</v>
      </c>
      <c r="I956" s="12">
        <v>62</v>
      </c>
      <c r="J956" s="13">
        <v>197.5</v>
      </c>
      <c r="K956" s="14">
        <v>12245</v>
      </c>
      <c r="L956" s="12">
        <v>62</v>
      </c>
      <c r="M956" s="13">
        <v>197.5</v>
      </c>
      <c r="N956" s="14">
        <v>12245</v>
      </c>
      <c r="O956" s="12">
        <v>0</v>
      </c>
      <c r="P956" s="13"/>
      <c r="Q956" s="14">
        <v>0</v>
      </c>
      <c r="R956" s="11" t="s">
        <v>2981</v>
      </c>
      <c r="S956" s="11" t="s">
        <v>2982</v>
      </c>
      <c r="T956" s="11" t="s">
        <v>2966</v>
      </c>
    </row>
    <row r="957" spans="1:20" ht="50.1" hidden="1" customHeight="1">
      <c r="A957" s="10">
        <v>956</v>
      </c>
      <c r="B957" s="11" t="s">
        <v>2565</v>
      </c>
      <c r="C957" s="11" t="s">
        <v>2566</v>
      </c>
      <c r="D957" s="11" t="s">
        <v>17</v>
      </c>
      <c r="E957" s="11" t="s">
        <v>8</v>
      </c>
      <c r="F957" s="12">
        <v>0</v>
      </c>
      <c r="G957" s="13"/>
      <c r="H957" s="14">
        <v>0</v>
      </c>
      <c r="I957" s="12">
        <v>28</v>
      </c>
      <c r="J957" s="13">
        <v>202</v>
      </c>
      <c r="K957" s="14">
        <v>5656</v>
      </c>
      <c r="L957" s="12">
        <v>28</v>
      </c>
      <c r="M957" s="13">
        <v>202</v>
      </c>
      <c r="N957" s="14">
        <v>5656</v>
      </c>
      <c r="O957" s="12">
        <v>0</v>
      </c>
      <c r="P957" s="13"/>
      <c r="Q957" s="14">
        <v>0</v>
      </c>
      <c r="R957" s="11" t="s">
        <v>2981</v>
      </c>
      <c r="S957" s="11" t="s">
        <v>2982</v>
      </c>
      <c r="T957" s="11" t="s">
        <v>2966</v>
      </c>
    </row>
    <row r="958" spans="1:20" ht="50.1" hidden="1" customHeight="1">
      <c r="A958" s="10">
        <v>957</v>
      </c>
      <c r="B958" s="11" t="s">
        <v>571</v>
      </c>
      <c r="C958" s="11" t="s">
        <v>572</v>
      </c>
      <c r="D958" s="11" t="s">
        <v>17</v>
      </c>
      <c r="E958" s="11" t="s">
        <v>8</v>
      </c>
      <c r="F958" s="12">
        <v>216</v>
      </c>
      <c r="G958" s="13">
        <v>17.64800833</v>
      </c>
      <c r="H958" s="14">
        <v>3811.9697999999999</v>
      </c>
      <c r="I958" s="12">
        <v>0</v>
      </c>
      <c r="J958" s="13"/>
      <c r="K958" s="14">
        <v>0</v>
      </c>
      <c r="L958" s="12">
        <v>30</v>
      </c>
      <c r="M958" s="13">
        <v>17.648</v>
      </c>
      <c r="N958" s="14">
        <v>529.44000000000005</v>
      </c>
      <c r="O958" s="12">
        <v>186</v>
      </c>
      <c r="P958" s="13">
        <v>17.648009680000001</v>
      </c>
      <c r="Q958" s="14">
        <v>3282.5297999999998</v>
      </c>
      <c r="R958" s="11" t="s">
        <v>2971</v>
      </c>
      <c r="S958" s="11" t="s">
        <v>2972</v>
      </c>
      <c r="T958" s="11" t="s">
        <v>2966</v>
      </c>
    </row>
    <row r="959" spans="1:20" ht="50.1" hidden="1" customHeight="1">
      <c r="A959" s="10">
        <v>958</v>
      </c>
      <c r="B959" s="11" t="s">
        <v>573</v>
      </c>
      <c r="C959" s="11" t="s">
        <v>574</v>
      </c>
      <c r="D959" s="11" t="s">
        <v>17</v>
      </c>
      <c r="E959" s="11" t="s">
        <v>8</v>
      </c>
      <c r="F959" s="12">
        <v>1020</v>
      </c>
      <c r="G959" s="13">
        <v>7.76772814</v>
      </c>
      <c r="H959" s="14">
        <v>7923.0826999999999</v>
      </c>
      <c r="I959" s="12">
        <v>0</v>
      </c>
      <c r="J959" s="13"/>
      <c r="K959" s="14">
        <v>0</v>
      </c>
      <c r="L959" s="12">
        <v>300</v>
      </c>
      <c r="M959" s="13">
        <v>7.7676999999999996</v>
      </c>
      <c r="N959" s="14">
        <v>2330.31</v>
      </c>
      <c r="O959" s="12">
        <v>720</v>
      </c>
      <c r="P959" s="13">
        <v>7.7677398599999998</v>
      </c>
      <c r="Q959" s="14">
        <v>5592.7727000000004</v>
      </c>
      <c r="R959" s="11" t="s">
        <v>2971</v>
      </c>
      <c r="S959" s="11" t="s">
        <v>2972</v>
      </c>
      <c r="T959" s="11" t="s">
        <v>2966</v>
      </c>
    </row>
    <row r="960" spans="1:20" ht="50.1" hidden="1" customHeight="1">
      <c r="A960" s="10">
        <v>959</v>
      </c>
      <c r="B960" s="11" t="s">
        <v>577</v>
      </c>
      <c r="C960" s="11" t="s">
        <v>578</v>
      </c>
      <c r="D960" s="11" t="s">
        <v>17</v>
      </c>
      <c r="E960" s="11" t="s">
        <v>8</v>
      </c>
      <c r="F960" s="12">
        <v>100</v>
      </c>
      <c r="G960" s="13">
        <v>6.6532989999999996</v>
      </c>
      <c r="H960" s="14">
        <v>665.32989999999995</v>
      </c>
      <c r="I960" s="12">
        <v>0</v>
      </c>
      <c r="J960" s="13"/>
      <c r="K960" s="14">
        <v>0</v>
      </c>
      <c r="L960" s="12">
        <v>0</v>
      </c>
      <c r="M960" s="13"/>
      <c r="N960" s="14">
        <v>0</v>
      </c>
      <c r="O960" s="12">
        <v>100</v>
      </c>
      <c r="P960" s="13">
        <v>6.6532989999999996</v>
      </c>
      <c r="Q960" s="14">
        <v>665.32989999999995</v>
      </c>
      <c r="R960" s="11" t="s">
        <v>2971</v>
      </c>
      <c r="S960" s="11" t="s">
        <v>2972</v>
      </c>
      <c r="T960" s="11" t="s">
        <v>2966</v>
      </c>
    </row>
    <row r="961" spans="1:20" ht="50.1" hidden="1" customHeight="1">
      <c r="A961" s="10">
        <v>960</v>
      </c>
      <c r="B961" s="11" t="s">
        <v>2315</v>
      </c>
      <c r="C961" s="11" t="s">
        <v>2316</v>
      </c>
      <c r="D961" s="11" t="s">
        <v>17</v>
      </c>
      <c r="E961" s="11" t="s">
        <v>8</v>
      </c>
      <c r="F961" s="12">
        <v>3000</v>
      </c>
      <c r="G961" s="13">
        <v>1.69324667</v>
      </c>
      <c r="H961" s="14">
        <v>5079.74</v>
      </c>
      <c r="I961" s="12">
        <v>0</v>
      </c>
      <c r="J961" s="13"/>
      <c r="K961" s="14">
        <v>0</v>
      </c>
      <c r="L961" s="12">
        <v>500</v>
      </c>
      <c r="M961" s="13">
        <v>1.6933199999999999</v>
      </c>
      <c r="N961" s="14">
        <v>846.66</v>
      </c>
      <c r="O961" s="12">
        <v>2500</v>
      </c>
      <c r="P961" s="13">
        <v>1.6932320000000001</v>
      </c>
      <c r="Q961" s="14">
        <v>4233.08</v>
      </c>
      <c r="R961" s="11" t="s">
        <v>2971</v>
      </c>
      <c r="S961" s="11" t="s">
        <v>2972</v>
      </c>
      <c r="T961" s="11" t="s">
        <v>2961</v>
      </c>
    </row>
    <row r="962" spans="1:20" ht="50.1" hidden="1" customHeight="1">
      <c r="A962" s="10">
        <v>961</v>
      </c>
      <c r="B962" s="11" t="s">
        <v>581</v>
      </c>
      <c r="C962" s="11" t="s">
        <v>582</v>
      </c>
      <c r="D962" s="11" t="s">
        <v>17</v>
      </c>
      <c r="E962" s="11" t="s">
        <v>8</v>
      </c>
      <c r="F962" s="12">
        <v>1205</v>
      </c>
      <c r="G962" s="13">
        <v>6.10719353</v>
      </c>
      <c r="H962" s="14">
        <v>7359.1682000000001</v>
      </c>
      <c r="I962" s="12">
        <v>0</v>
      </c>
      <c r="J962" s="13"/>
      <c r="K962" s="14">
        <v>0</v>
      </c>
      <c r="L962" s="12">
        <v>0</v>
      </c>
      <c r="M962" s="13"/>
      <c r="N962" s="14">
        <v>0</v>
      </c>
      <c r="O962" s="12">
        <v>1205</v>
      </c>
      <c r="P962" s="13">
        <v>6.10719353</v>
      </c>
      <c r="Q962" s="14">
        <v>7359.1682000000001</v>
      </c>
      <c r="R962" s="11" t="s">
        <v>2971</v>
      </c>
      <c r="S962" s="11" t="s">
        <v>2972</v>
      </c>
      <c r="T962" s="11" t="s">
        <v>2966</v>
      </c>
    </row>
    <row r="963" spans="1:20" ht="50.1" hidden="1" customHeight="1">
      <c r="A963" s="10">
        <v>962</v>
      </c>
      <c r="B963" s="11" t="s">
        <v>587</v>
      </c>
      <c r="C963" s="11" t="s">
        <v>588</v>
      </c>
      <c r="D963" s="11" t="s">
        <v>17</v>
      </c>
      <c r="E963" s="11" t="s">
        <v>8</v>
      </c>
      <c r="F963" s="12">
        <v>507</v>
      </c>
      <c r="G963" s="13">
        <v>19.55</v>
      </c>
      <c r="H963" s="14">
        <v>9911.85</v>
      </c>
      <c r="I963" s="12">
        <v>0</v>
      </c>
      <c r="J963" s="13"/>
      <c r="K963" s="14">
        <v>0</v>
      </c>
      <c r="L963" s="12">
        <v>0</v>
      </c>
      <c r="M963" s="13"/>
      <c r="N963" s="14">
        <v>0</v>
      </c>
      <c r="O963" s="12">
        <v>507</v>
      </c>
      <c r="P963" s="13">
        <v>19.55</v>
      </c>
      <c r="Q963" s="14">
        <v>9911.85</v>
      </c>
      <c r="R963" s="11" t="s">
        <v>2971</v>
      </c>
      <c r="S963" s="11" t="s">
        <v>2972</v>
      </c>
      <c r="T963" s="11" t="s">
        <v>2966</v>
      </c>
    </row>
    <row r="964" spans="1:20" ht="50.1" hidden="1" customHeight="1">
      <c r="A964" s="10">
        <v>963</v>
      </c>
      <c r="B964" s="11" t="s">
        <v>589</v>
      </c>
      <c r="C964" s="11" t="s">
        <v>590</v>
      </c>
      <c r="D964" s="11" t="s">
        <v>17</v>
      </c>
      <c r="E964" s="11" t="s">
        <v>8</v>
      </c>
      <c r="F964" s="12">
        <v>3200</v>
      </c>
      <c r="G964" s="13">
        <v>9.3991500000000006</v>
      </c>
      <c r="H964" s="14">
        <v>30077.279999999999</v>
      </c>
      <c r="I964" s="12">
        <v>0</v>
      </c>
      <c r="J964" s="13"/>
      <c r="K964" s="14">
        <v>0</v>
      </c>
      <c r="L964" s="12">
        <v>200</v>
      </c>
      <c r="M964" s="13">
        <v>9.3991000000000007</v>
      </c>
      <c r="N964" s="14">
        <v>1879.82</v>
      </c>
      <c r="O964" s="12">
        <v>3000</v>
      </c>
      <c r="P964" s="13">
        <v>9.3991533300000008</v>
      </c>
      <c r="Q964" s="14">
        <v>28197.46</v>
      </c>
      <c r="R964" s="11" t="s">
        <v>2971</v>
      </c>
      <c r="S964" s="11" t="s">
        <v>2972</v>
      </c>
      <c r="T964" s="11" t="s">
        <v>2966</v>
      </c>
    </row>
    <row r="965" spans="1:20" ht="50.1" hidden="1" customHeight="1">
      <c r="A965" s="10">
        <v>964</v>
      </c>
      <c r="B965" s="11" t="s">
        <v>3458</v>
      </c>
      <c r="C965" s="11" t="s">
        <v>3459</v>
      </c>
      <c r="D965" s="11" t="s">
        <v>17</v>
      </c>
      <c r="E965" s="11" t="s">
        <v>8</v>
      </c>
      <c r="F965" s="12">
        <v>700</v>
      </c>
      <c r="G965" s="13">
        <v>4</v>
      </c>
      <c r="H965" s="14">
        <v>2800</v>
      </c>
      <c r="I965" s="12">
        <v>0</v>
      </c>
      <c r="J965" s="13"/>
      <c r="K965" s="14">
        <v>0</v>
      </c>
      <c r="L965" s="12">
        <v>0</v>
      </c>
      <c r="M965" s="13"/>
      <c r="N965" s="14">
        <v>0</v>
      </c>
      <c r="O965" s="12">
        <v>700</v>
      </c>
      <c r="P965" s="13">
        <v>4</v>
      </c>
      <c r="Q965" s="14">
        <v>2800</v>
      </c>
      <c r="R965" s="11" t="s">
        <v>2971</v>
      </c>
      <c r="S965" s="11" t="s">
        <v>2972</v>
      </c>
      <c r="T965" s="11" t="s">
        <v>2966</v>
      </c>
    </row>
    <row r="966" spans="1:20" ht="50.1" hidden="1" customHeight="1">
      <c r="A966" s="10">
        <v>965</v>
      </c>
      <c r="B966" s="11" t="s">
        <v>597</v>
      </c>
      <c r="C966" s="11" t="s">
        <v>598</v>
      </c>
      <c r="D966" s="11" t="s">
        <v>17</v>
      </c>
      <c r="E966" s="11" t="s">
        <v>8</v>
      </c>
      <c r="F966" s="12">
        <v>471</v>
      </c>
      <c r="G966" s="13">
        <v>6.5470403399999997</v>
      </c>
      <c r="H966" s="14">
        <v>3083.6559999999999</v>
      </c>
      <c r="I966" s="12">
        <v>0</v>
      </c>
      <c r="J966" s="13"/>
      <c r="K966" s="14">
        <v>0</v>
      </c>
      <c r="L966" s="12">
        <v>0</v>
      </c>
      <c r="M966" s="13"/>
      <c r="N966" s="14">
        <v>0</v>
      </c>
      <c r="O966" s="12">
        <v>471</v>
      </c>
      <c r="P966" s="13">
        <v>6.5470403399999997</v>
      </c>
      <c r="Q966" s="14">
        <v>3083.6559999999999</v>
      </c>
      <c r="R966" s="11" t="s">
        <v>2971</v>
      </c>
      <c r="S966" s="11" t="s">
        <v>2972</v>
      </c>
      <c r="T966" s="11" t="s">
        <v>2966</v>
      </c>
    </row>
    <row r="967" spans="1:20" ht="50.1" hidden="1" customHeight="1">
      <c r="A967" s="10">
        <v>966</v>
      </c>
      <c r="B967" s="11" t="s">
        <v>601</v>
      </c>
      <c r="C967" s="11" t="s">
        <v>602</v>
      </c>
      <c r="D967" s="11" t="s">
        <v>7</v>
      </c>
      <c r="E967" s="11" t="s">
        <v>8</v>
      </c>
      <c r="F967" s="12">
        <v>15000</v>
      </c>
      <c r="G967" s="13">
        <v>1.9467333099999999</v>
      </c>
      <c r="H967" s="14">
        <v>29200.9997</v>
      </c>
      <c r="I967" s="12">
        <v>0</v>
      </c>
      <c r="J967" s="13"/>
      <c r="K967" s="14">
        <v>0</v>
      </c>
      <c r="L967" s="12">
        <v>0</v>
      </c>
      <c r="M967" s="13"/>
      <c r="N967" s="14">
        <v>0</v>
      </c>
      <c r="O967" s="12">
        <v>15000</v>
      </c>
      <c r="P967" s="13">
        <v>1.9467333099999999</v>
      </c>
      <c r="Q967" s="14">
        <v>29200.9997</v>
      </c>
      <c r="R967" s="11" t="s">
        <v>2971</v>
      </c>
      <c r="S967" s="11" t="s">
        <v>2972</v>
      </c>
      <c r="T967" s="11" t="s">
        <v>2966</v>
      </c>
    </row>
    <row r="968" spans="1:20" ht="50.1" hidden="1" customHeight="1">
      <c r="A968" s="10">
        <v>967</v>
      </c>
      <c r="B968" s="11" t="s">
        <v>605</v>
      </c>
      <c r="C968" s="11" t="s">
        <v>606</v>
      </c>
      <c r="D968" s="11" t="s">
        <v>116</v>
      </c>
      <c r="E968" s="11" t="s">
        <v>8</v>
      </c>
      <c r="F968" s="12">
        <v>3</v>
      </c>
      <c r="G968" s="13">
        <v>2950</v>
      </c>
      <c r="H968" s="14">
        <v>8850</v>
      </c>
      <c r="I968" s="12">
        <v>0</v>
      </c>
      <c r="J968" s="13"/>
      <c r="K968" s="14">
        <v>0</v>
      </c>
      <c r="L968" s="12">
        <v>1</v>
      </c>
      <c r="M968" s="13">
        <v>2950</v>
      </c>
      <c r="N968" s="14">
        <v>2950</v>
      </c>
      <c r="O968" s="12">
        <v>2</v>
      </c>
      <c r="P968" s="13">
        <v>2950</v>
      </c>
      <c r="Q968" s="14">
        <v>5900</v>
      </c>
      <c r="R968" s="11" t="s">
        <v>2973</v>
      </c>
      <c r="S968" s="11" t="s">
        <v>2974</v>
      </c>
      <c r="T968" s="11" t="s">
        <v>2966</v>
      </c>
    </row>
    <row r="969" spans="1:20" ht="50.1" hidden="1" customHeight="1">
      <c r="A969" s="10">
        <v>968</v>
      </c>
      <c r="B969" s="11" t="s">
        <v>607</v>
      </c>
      <c r="C969" s="11" t="s">
        <v>608</v>
      </c>
      <c r="D969" s="11" t="s">
        <v>116</v>
      </c>
      <c r="E969" s="11" t="s">
        <v>8</v>
      </c>
      <c r="F969" s="12">
        <v>3</v>
      </c>
      <c r="G969" s="13">
        <v>3150</v>
      </c>
      <c r="H969" s="14">
        <v>9450</v>
      </c>
      <c r="I969" s="12">
        <v>0</v>
      </c>
      <c r="J969" s="13"/>
      <c r="K969" s="14">
        <v>0</v>
      </c>
      <c r="L969" s="12">
        <v>0</v>
      </c>
      <c r="M969" s="13"/>
      <c r="N969" s="14">
        <v>0</v>
      </c>
      <c r="O969" s="12">
        <v>3</v>
      </c>
      <c r="P969" s="13">
        <v>3150</v>
      </c>
      <c r="Q969" s="14">
        <v>9450</v>
      </c>
      <c r="R969" s="11" t="s">
        <v>2973</v>
      </c>
      <c r="S969" s="11" t="s">
        <v>2974</v>
      </c>
      <c r="T969" s="11" t="s">
        <v>2966</v>
      </c>
    </row>
    <row r="970" spans="1:20" ht="50.1" hidden="1" customHeight="1">
      <c r="A970" s="10">
        <v>969</v>
      </c>
      <c r="B970" s="11" t="s">
        <v>609</v>
      </c>
      <c r="C970" s="11" t="s">
        <v>610</v>
      </c>
      <c r="D970" s="11" t="s">
        <v>116</v>
      </c>
      <c r="E970" s="11" t="s">
        <v>8</v>
      </c>
      <c r="F970" s="12">
        <v>2</v>
      </c>
      <c r="G970" s="13">
        <v>3360</v>
      </c>
      <c r="H970" s="14">
        <v>6720</v>
      </c>
      <c r="I970" s="12">
        <v>0</v>
      </c>
      <c r="J970" s="13"/>
      <c r="K970" s="14">
        <v>0</v>
      </c>
      <c r="L970" s="12">
        <v>1</v>
      </c>
      <c r="M970" s="13">
        <v>3360</v>
      </c>
      <c r="N970" s="14">
        <v>3360</v>
      </c>
      <c r="O970" s="12">
        <v>1</v>
      </c>
      <c r="P970" s="13">
        <v>3360</v>
      </c>
      <c r="Q970" s="14">
        <v>3360</v>
      </c>
      <c r="R970" s="11" t="s">
        <v>2973</v>
      </c>
      <c r="S970" s="11" t="s">
        <v>2974</v>
      </c>
      <c r="T970" s="11" t="s">
        <v>2966</v>
      </c>
    </row>
    <row r="971" spans="1:20" ht="50.1" hidden="1" customHeight="1">
      <c r="A971" s="10">
        <v>970</v>
      </c>
      <c r="B971" s="11" t="s">
        <v>611</v>
      </c>
      <c r="C971" s="11" t="s">
        <v>612</v>
      </c>
      <c r="D971" s="11" t="s">
        <v>116</v>
      </c>
      <c r="E971" s="11" t="s">
        <v>8</v>
      </c>
      <c r="F971" s="12">
        <v>3</v>
      </c>
      <c r="G971" s="13">
        <v>2450.0016000000001</v>
      </c>
      <c r="H971" s="14">
        <v>7350.0047999999997</v>
      </c>
      <c r="I971" s="12">
        <v>2</v>
      </c>
      <c r="J971" s="13">
        <v>2450</v>
      </c>
      <c r="K971" s="14">
        <v>4900</v>
      </c>
      <c r="L971" s="12">
        <v>1</v>
      </c>
      <c r="M971" s="13">
        <v>2450</v>
      </c>
      <c r="N971" s="14">
        <v>2450</v>
      </c>
      <c r="O971" s="12">
        <v>4</v>
      </c>
      <c r="P971" s="13">
        <v>2450.0012000000002</v>
      </c>
      <c r="Q971" s="14">
        <v>9800.0048000000006</v>
      </c>
      <c r="R971" s="11" t="s">
        <v>2973</v>
      </c>
      <c r="S971" s="11" t="s">
        <v>2974</v>
      </c>
      <c r="T971" s="11" t="s">
        <v>2966</v>
      </c>
    </row>
    <row r="972" spans="1:20" ht="50.1" hidden="1" customHeight="1">
      <c r="A972" s="10">
        <v>971</v>
      </c>
      <c r="B972" s="11" t="s">
        <v>613</v>
      </c>
      <c r="C972" s="11" t="s">
        <v>614</v>
      </c>
      <c r="D972" s="11" t="s">
        <v>17</v>
      </c>
      <c r="E972" s="11" t="s">
        <v>8</v>
      </c>
      <c r="F972" s="12">
        <v>64</v>
      </c>
      <c r="G972" s="13">
        <v>543.46437500000002</v>
      </c>
      <c r="H972" s="14">
        <v>34781.72</v>
      </c>
      <c r="I972" s="12">
        <v>0</v>
      </c>
      <c r="J972" s="13"/>
      <c r="K972" s="14">
        <v>0</v>
      </c>
      <c r="L972" s="12">
        <v>18</v>
      </c>
      <c r="M972" s="13">
        <v>543.46444443999997</v>
      </c>
      <c r="N972" s="14">
        <v>9782.36</v>
      </c>
      <c r="O972" s="12">
        <v>46</v>
      </c>
      <c r="P972" s="13">
        <v>543.46434782999995</v>
      </c>
      <c r="Q972" s="14">
        <v>24999.360000000001</v>
      </c>
      <c r="R972" s="11" t="s">
        <v>2990</v>
      </c>
      <c r="S972" s="11" t="s">
        <v>2991</v>
      </c>
      <c r="T972" s="11" t="s">
        <v>2966</v>
      </c>
    </row>
    <row r="973" spans="1:20" ht="50.1" hidden="1" customHeight="1">
      <c r="A973" s="10">
        <v>972</v>
      </c>
      <c r="B973" s="11" t="s">
        <v>3261</v>
      </c>
      <c r="C973" s="11" t="s">
        <v>3262</v>
      </c>
      <c r="D973" s="11" t="s">
        <v>20</v>
      </c>
      <c r="E973" s="11" t="s">
        <v>8</v>
      </c>
      <c r="F973" s="12">
        <v>137.96</v>
      </c>
      <c r="G973" s="13">
        <v>175</v>
      </c>
      <c r="H973" s="14">
        <v>24143</v>
      </c>
      <c r="I973" s="12">
        <v>0</v>
      </c>
      <c r="J973" s="13"/>
      <c r="K973" s="14">
        <v>0</v>
      </c>
      <c r="L973" s="12">
        <v>0</v>
      </c>
      <c r="M973" s="13"/>
      <c r="N973" s="14">
        <v>0</v>
      </c>
      <c r="O973" s="12">
        <v>137.96</v>
      </c>
      <c r="P973" s="13">
        <v>175</v>
      </c>
      <c r="Q973" s="14">
        <v>24143</v>
      </c>
      <c r="R973" s="11" t="s">
        <v>2990</v>
      </c>
      <c r="S973" s="11" t="s">
        <v>2991</v>
      </c>
      <c r="T973" s="11" t="s">
        <v>2966</v>
      </c>
    </row>
    <row r="974" spans="1:20" ht="50.1" hidden="1" customHeight="1">
      <c r="A974" s="10">
        <v>973</v>
      </c>
      <c r="B974" s="11" t="s">
        <v>615</v>
      </c>
      <c r="C974" s="11" t="s">
        <v>616</v>
      </c>
      <c r="D974" s="11" t="s">
        <v>20</v>
      </c>
      <c r="E974" s="11" t="s">
        <v>8</v>
      </c>
      <c r="F974" s="12">
        <v>1211.44</v>
      </c>
      <c r="G974" s="13">
        <v>126.1426154</v>
      </c>
      <c r="H974" s="14">
        <v>152814.21</v>
      </c>
      <c r="I974" s="12">
        <v>0</v>
      </c>
      <c r="J974" s="13"/>
      <c r="K974" s="14">
        <v>0</v>
      </c>
      <c r="L974" s="12">
        <v>72.3</v>
      </c>
      <c r="M974" s="13">
        <v>126.14260028</v>
      </c>
      <c r="N974" s="14">
        <v>9120.11</v>
      </c>
      <c r="O974" s="12">
        <v>1139.1400000000001</v>
      </c>
      <c r="P974" s="13">
        <v>126.14261636000001</v>
      </c>
      <c r="Q974" s="14">
        <v>143694.1</v>
      </c>
      <c r="R974" s="11" t="s">
        <v>2990</v>
      </c>
      <c r="S974" s="11" t="s">
        <v>2991</v>
      </c>
      <c r="T974" s="11" t="s">
        <v>2966</v>
      </c>
    </row>
    <row r="975" spans="1:20" ht="50.1" hidden="1" customHeight="1">
      <c r="A975" s="10">
        <v>974</v>
      </c>
      <c r="B975" s="11" t="s">
        <v>617</v>
      </c>
      <c r="C975" s="11" t="s">
        <v>618</v>
      </c>
      <c r="D975" s="11" t="s">
        <v>20</v>
      </c>
      <c r="E975" s="11" t="s">
        <v>8</v>
      </c>
      <c r="F975" s="12">
        <v>214.79</v>
      </c>
      <c r="G975" s="13">
        <v>127.1681177</v>
      </c>
      <c r="H975" s="14">
        <v>27314.44</v>
      </c>
      <c r="I975" s="12">
        <v>0</v>
      </c>
      <c r="J975" s="13"/>
      <c r="K975" s="14">
        <v>0</v>
      </c>
      <c r="L975" s="12">
        <v>59.79</v>
      </c>
      <c r="M975" s="13">
        <v>127.16808831</v>
      </c>
      <c r="N975" s="14">
        <v>7603.38</v>
      </c>
      <c r="O975" s="12">
        <v>155</v>
      </c>
      <c r="P975" s="13">
        <v>127.16812903</v>
      </c>
      <c r="Q975" s="14">
        <v>19711.060000000001</v>
      </c>
      <c r="R975" s="11" t="s">
        <v>2990</v>
      </c>
      <c r="S975" s="11" t="s">
        <v>2991</v>
      </c>
      <c r="T975" s="11" t="s">
        <v>2966</v>
      </c>
    </row>
    <row r="976" spans="1:20" ht="50.1" hidden="1" customHeight="1">
      <c r="A976" s="10">
        <v>975</v>
      </c>
      <c r="B976" s="11" t="s">
        <v>619</v>
      </c>
      <c r="C976" s="11" t="s">
        <v>620</v>
      </c>
      <c r="D976" s="11" t="s">
        <v>17</v>
      </c>
      <c r="E976" s="11" t="s">
        <v>8</v>
      </c>
      <c r="F976" s="12">
        <v>1359</v>
      </c>
      <c r="G976" s="13">
        <v>151</v>
      </c>
      <c r="H976" s="14">
        <v>205209</v>
      </c>
      <c r="I976" s="12">
        <v>820</v>
      </c>
      <c r="J976" s="13">
        <v>151</v>
      </c>
      <c r="K976" s="14">
        <v>123820</v>
      </c>
      <c r="L976" s="12">
        <v>1750</v>
      </c>
      <c r="M976" s="13">
        <v>151</v>
      </c>
      <c r="N976" s="14">
        <v>264250</v>
      </c>
      <c r="O976" s="12">
        <v>429</v>
      </c>
      <c r="P976" s="13">
        <v>151</v>
      </c>
      <c r="Q976" s="14">
        <v>64779</v>
      </c>
      <c r="R976" s="11" t="s">
        <v>2981</v>
      </c>
      <c r="S976" s="11" t="s">
        <v>2982</v>
      </c>
      <c r="T976" s="11" t="s">
        <v>2966</v>
      </c>
    </row>
    <row r="977" spans="1:20" ht="50.1" hidden="1" customHeight="1">
      <c r="A977" s="10">
        <v>976</v>
      </c>
      <c r="B977" s="11" t="s">
        <v>621</v>
      </c>
      <c r="C977" s="11" t="s">
        <v>622</v>
      </c>
      <c r="D977" s="11" t="s">
        <v>17</v>
      </c>
      <c r="E977" s="11" t="s">
        <v>8</v>
      </c>
      <c r="F977" s="12">
        <v>1025</v>
      </c>
      <c r="G977" s="13">
        <v>166</v>
      </c>
      <c r="H977" s="14">
        <v>170150</v>
      </c>
      <c r="I977" s="12">
        <v>500</v>
      </c>
      <c r="J977" s="13">
        <v>166</v>
      </c>
      <c r="K977" s="14">
        <v>83000</v>
      </c>
      <c r="L977" s="12">
        <v>710</v>
      </c>
      <c r="M977" s="13">
        <v>166</v>
      </c>
      <c r="N977" s="14">
        <v>117860</v>
      </c>
      <c r="O977" s="12">
        <v>815</v>
      </c>
      <c r="P977" s="13">
        <v>166</v>
      </c>
      <c r="Q977" s="14">
        <v>135290</v>
      </c>
      <c r="R977" s="11" t="s">
        <v>2981</v>
      </c>
      <c r="S977" s="11" t="s">
        <v>2982</v>
      </c>
      <c r="T977" s="11" t="s">
        <v>2966</v>
      </c>
    </row>
    <row r="978" spans="1:20" ht="50.1" hidden="1" customHeight="1">
      <c r="A978" s="10">
        <v>977</v>
      </c>
      <c r="B978" s="11" t="s">
        <v>623</v>
      </c>
      <c r="C978" s="11" t="s">
        <v>624</v>
      </c>
      <c r="D978" s="11" t="s">
        <v>17</v>
      </c>
      <c r="E978" s="11" t="s">
        <v>8</v>
      </c>
      <c r="F978" s="12">
        <v>16825</v>
      </c>
      <c r="G978" s="13">
        <v>15.5</v>
      </c>
      <c r="H978" s="14">
        <v>260787.5</v>
      </c>
      <c r="I978" s="12">
        <v>0</v>
      </c>
      <c r="J978" s="13"/>
      <c r="K978" s="14">
        <v>0</v>
      </c>
      <c r="L978" s="12">
        <v>0</v>
      </c>
      <c r="M978" s="13"/>
      <c r="N978" s="14">
        <v>0</v>
      </c>
      <c r="O978" s="12">
        <v>16825</v>
      </c>
      <c r="P978" s="13">
        <v>15.5</v>
      </c>
      <c r="Q978" s="14">
        <v>260787.5</v>
      </c>
      <c r="R978" s="11" t="s">
        <v>2971</v>
      </c>
      <c r="S978" s="11" t="s">
        <v>2972</v>
      </c>
      <c r="T978" s="11" t="s">
        <v>2966</v>
      </c>
    </row>
    <row r="979" spans="1:20" ht="50.1" hidden="1" customHeight="1">
      <c r="A979" s="10">
        <v>978</v>
      </c>
      <c r="B979" s="11" t="s">
        <v>625</v>
      </c>
      <c r="C979" s="11" t="s">
        <v>626</v>
      </c>
      <c r="D979" s="11" t="s">
        <v>17</v>
      </c>
      <c r="E979" s="11" t="s">
        <v>8</v>
      </c>
      <c r="F979" s="12">
        <v>3000</v>
      </c>
      <c r="G979" s="13">
        <v>0.9</v>
      </c>
      <c r="H979" s="14">
        <v>2700</v>
      </c>
      <c r="I979" s="12">
        <v>0</v>
      </c>
      <c r="J979" s="13"/>
      <c r="K979" s="14">
        <v>0</v>
      </c>
      <c r="L979" s="12">
        <v>0</v>
      </c>
      <c r="M979" s="13"/>
      <c r="N979" s="14">
        <v>0</v>
      </c>
      <c r="O979" s="12">
        <v>3000</v>
      </c>
      <c r="P979" s="13">
        <v>0.9</v>
      </c>
      <c r="Q979" s="14">
        <v>2700</v>
      </c>
      <c r="R979" s="11" t="s">
        <v>2971</v>
      </c>
      <c r="S979" s="11" t="s">
        <v>2972</v>
      </c>
      <c r="T979" s="11" t="s">
        <v>2966</v>
      </c>
    </row>
    <row r="980" spans="1:20" ht="50.1" hidden="1" customHeight="1">
      <c r="A980" s="10">
        <v>979</v>
      </c>
      <c r="B980" s="11" t="s">
        <v>627</v>
      </c>
      <c r="C980" s="11" t="s">
        <v>628</v>
      </c>
      <c r="D980" s="11" t="s">
        <v>17</v>
      </c>
      <c r="E980" s="11" t="s">
        <v>8</v>
      </c>
      <c r="F980" s="12">
        <v>14725</v>
      </c>
      <c r="G980" s="13">
        <v>15.5</v>
      </c>
      <c r="H980" s="14">
        <v>228237.5</v>
      </c>
      <c r="I980" s="12">
        <v>0</v>
      </c>
      <c r="J980" s="13"/>
      <c r="K980" s="14">
        <v>0</v>
      </c>
      <c r="L980" s="12">
        <v>2687</v>
      </c>
      <c r="M980" s="13">
        <v>15.5</v>
      </c>
      <c r="N980" s="14">
        <v>41648.5</v>
      </c>
      <c r="O980" s="12">
        <v>12038</v>
      </c>
      <c r="P980" s="13">
        <v>15.5</v>
      </c>
      <c r="Q980" s="14">
        <v>186589</v>
      </c>
      <c r="R980" s="11" t="s">
        <v>2971</v>
      </c>
      <c r="S980" s="11" t="s">
        <v>2972</v>
      </c>
      <c r="T980" s="11" t="s">
        <v>2966</v>
      </c>
    </row>
    <row r="981" spans="1:20" ht="50.1" hidden="1" customHeight="1">
      <c r="A981" s="10">
        <v>980</v>
      </c>
      <c r="B981" s="11" t="s">
        <v>629</v>
      </c>
      <c r="C981" s="11" t="s">
        <v>630</v>
      </c>
      <c r="D981" s="11" t="s">
        <v>17</v>
      </c>
      <c r="E981" s="11" t="s">
        <v>8</v>
      </c>
      <c r="F981" s="12">
        <v>13400</v>
      </c>
      <c r="G981" s="13">
        <v>0.89999969999999996</v>
      </c>
      <c r="H981" s="14">
        <v>12059.995999999999</v>
      </c>
      <c r="I981" s="12">
        <v>0</v>
      </c>
      <c r="J981" s="13"/>
      <c r="K981" s="14">
        <v>0</v>
      </c>
      <c r="L981" s="12">
        <v>1000</v>
      </c>
      <c r="M981" s="13">
        <v>0.9</v>
      </c>
      <c r="N981" s="14">
        <v>900</v>
      </c>
      <c r="O981" s="12">
        <v>12400</v>
      </c>
      <c r="P981" s="13">
        <v>0.89999967999999997</v>
      </c>
      <c r="Q981" s="14">
        <v>11159.995999999999</v>
      </c>
      <c r="R981" s="11" t="s">
        <v>2971</v>
      </c>
      <c r="S981" s="11" t="s">
        <v>2972</v>
      </c>
      <c r="T981" s="11" t="s">
        <v>2966</v>
      </c>
    </row>
    <row r="982" spans="1:20" ht="50.1" hidden="1" customHeight="1">
      <c r="A982" s="10">
        <v>981</v>
      </c>
      <c r="B982" s="11" t="s">
        <v>631</v>
      </c>
      <c r="C982" s="11" t="s">
        <v>632</v>
      </c>
      <c r="D982" s="11" t="s">
        <v>20</v>
      </c>
      <c r="E982" s="11" t="s">
        <v>8</v>
      </c>
      <c r="F982" s="12">
        <v>11701</v>
      </c>
      <c r="G982" s="13">
        <v>78.500000360000001</v>
      </c>
      <c r="H982" s="14">
        <v>918528.50419999997</v>
      </c>
      <c r="I982" s="12">
        <v>58063</v>
      </c>
      <c r="J982" s="13">
        <v>78.5</v>
      </c>
      <c r="K982" s="14">
        <v>4557945.5</v>
      </c>
      <c r="L982" s="12">
        <v>8076</v>
      </c>
      <c r="M982" s="13">
        <v>78.5</v>
      </c>
      <c r="N982" s="14">
        <v>633966</v>
      </c>
      <c r="O982" s="12">
        <v>61688</v>
      </c>
      <c r="P982" s="13">
        <v>78.500000069999999</v>
      </c>
      <c r="Q982" s="14">
        <v>4842508.0042000003</v>
      </c>
      <c r="R982" s="11" t="s">
        <v>3033</v>
      </c>
      <c r="S982" s="11" t="s">
        <v>3034</v>
      </c>
      <c r="T982" s="11" t="s">
        <v>2966</v>
      </c>
    </row>
    <row r="983" spans="1:20" ht="50.1" hidden="1" customHeight="1">
      <c r="A983" s="10">
        <v>982</v>
      </c>
      <c r="B983" s="11" t="s">
        <v>635</v>
      </c>
      <c r="C983" s="11" t="s">
        <v>636</v>
      </c>
      <c r="D983" s="11" t="s">
        <v>20</v>
      </c>
      <c r="E983" s="11" t="s">
        <v>8</v>
      </c>
      <c r="F983" s="12">
        <v>49573.1</v>
      </c>
      <c r="G983" s="13">
        <v>75.859482249999999</v>
      </c>
      <c r="H983" s="14">
        <v>3760589.6993</v>
      </c>
      <c r="I983" s="12">
        <v>66476</v>
      </c>
      <c r="J983" s="13">
        <v>75.364808350000004</v>
      </c>
      <c r="K983" s="14">
        <v>5009951</v>
      </c>
      <c r="L983" s="12">
        <v>58511</v>
      </c>
      <c r="M983" s="13">
        <v>75.516638749999998</v>
      </c>
      <c r="N983" s="14">
        <v>4418554.05</v>
      </c>
      <c r="O983" s="12">
        <v>57538.1</v>
      </c>
      <c r="P983" s="13">
        <v>75.636606860000001</v>
      </c>
      <c r="Q983" s="14">
        <v>4351986.6492999997</v>
      </c>
      <c r="R983" s="11" t="s">
        <v>3033</v>
      </c>
      <c r="S983" s="11" t="s">
        <v>3034</v>
      </c>
      <c r="T983" s="11" t="s">
        <v>2966</v>
      </c>
    </row>
    <row r="984" spans="1:20" ht="50.1" hidden="1" customHeight="1">
      <c r="A984" s="10">
        <v>983</v>
      </c>
      <c r="B984" s="11" t="s">
        <v>2118</v>
      </c>
      <c r="C984" s="11" t="s">
        <v>2119</v>
      </c>
      <c r="D984" s="11" t="s">
        <v>20</v>
      </c>
      <c r="E984" s="11" t="s">
        <v>8</v>
      </c>
      <c r="F984" s="12">
        <v>99.1</v>
      </c>
      <c r="G984" s="13">
        <v>90.201917260000002</v>
      </c>
      <c r="H984" s="14">
        <v>8939.01</v>
      </c>
      <c r="I984" s="12">
        <v>0</v>
      </c>
      <c r="J984" s="13"/>
      <c r="K984" s="14">
        <v>0</v>
      </c>
      <c r="L984" s="12">
        <v>0</v>
      </c>
      <c r="M984" s="13"/>
      <c r="N984" s="14">
        <v>0</v>
      </c>
      <c r="O984" s="12">
        <v>99.1</v>
      </c>
      <c r="P984" s="13">
        <v>90.201917260000002</v>
      </c>
      <c r="Q984" s="14">
        <v>8939.01</v>
      </c>
      <c r="R984" s="11" t="s">
        <v>3033</v>
      </c>
      <c r="S984" s="11" t="s">
        <v>3034</v>
      </c>
      <c r="T984" s="11" t="s">
        <v>2966</v>
      </c>
    </row>
    <row r="985" spans="1:20" ht="50.1" hidden="1" customHeight="1">
      <c r="A985" s="10">
        <v>984</v>
      </c>
      <c r="B985" s="11" t="s">
        <v>2235</v>
      </c>
      <c r="C985" s="11" t="s">
        <v>2236</v>
      </c>
      <c r="D985" s="11" t="s">
        <v>20</v>
      </c>
      <c r="E985" s="11" t="s">
        <v>8</v>
      </c>
      <c r="F985" s="12">
        <v>2117.4</v>
      </c>
      <c r="G985" s="13">
        <v>69.012227260000003</v>
      </c>
      <c r="H985" s="14">
        <v>146126.49</v>
      </c>
      <c r="I985" s="12">
        <v>0</v>
      </c>
      <c r="J985" s="13"/>
      <c r="K985" s="14">
        <v>0</v>
      </c>
      <c r="L985" s="12">
        <v>0</v>
      </c>
      <c r="M985" s="13"/>
      <c r="N985" s="14">
        <v>0</v>
      </c>
      <c r="O985" s="12">
        <v>2117.4</v>
      </c>
      <c r="P985" s="13">
        <v>69.012227260000003</v>
      </c>
      <c r="Q985" s="14">
        <v>146126.49</v>
      </c>
      <c r="R985" s="11" t="s">
        <v>3033</v>
      </c>
      <c r="S985" s="11" t="s">
        <v>3034</v>
      </c>
      <c r="T985" s="11" t="s">
        <v>2966</v>
      </c>
    </row>
    <row r="986" spans="1:20" ht="50.1" hidden="1" customHeight="1">
      <c r="A986" s="10">
        <v>985</v>
      </c>
      <c r="B986" s="11" t="s">
        <v>1026</v>
      </c>
      <c r="C986" s="11" t="s">
        <v>1027</v>
      </c>
      <c r="D986" s="11" t="s">
        <v>20</v>
      </c>
      <c r="E986" s="11" t="s">
        <v>8</v>
      </c>
      <c r="F986" s="12">
        <v>68523</v>
      </c>
      <c r="G986" s="13">
        <v>74.887153029999993</v>
      </c>
      <c r="H986" s="14">
        <v>5131492.3868000004</v>
      </c>
      <c r="I986" s="12">
        <v>65380</v>
      </c>
      <c r="J986" s="13">
        <v>75.216059959999995</v>
      </c>
      <c r="K986" s="14">
        <v>4917626</v>
      </c>
      <c r="L986" s="12">
        <v>39382</v>
      </c>
      <c r="M986" s="13">
        <v>75.300936210000003</v>
      </c>
      <c r="N986" s="14">
        <v>2965501.47</v>
      </c>
      <c r="O986" s="12">
        <v>94521</v>
      </c>
      <c r="P986" s="13">
        <v>74.942255340000003</v>
      </c>
      <c r="Q986" s="14">
        <v>7083616.9167999998</v>
      </c>
      <c r="R986" s="11" t="s">
        <v>3033</v>
      </c>
      <c r="S986" s="11" t="s">
        <v>3034</v>
      </c>
      <c r="T986" s="11" t="s">
        <v>2966</v>
      </c>
    </row>
    <row r="987" spans="1:20" ht="50.1" hidden="1" customHeight="1">
      <c r="A987" s="10">
        <v>986</v>
      </c>
      <c r="B987" s="11" t="s">
        <v>1028</v>
      </c>
      <c r="C987" s="11" t="s">
        <v>1029</v>
      </c>
      <c r="D987" s="11" t="s">
        <v>20</v>
      </c>
      <c r="E987" s="11" t="s">
        <v>8</v>
      </c>
      <c r="F987" s="12">
        <v>495</v>
      </c>
      <c r="G987" s="13">
        <v>76.501116969999998</v>
      </c>
      <c r="H987" s="14">
        <v>37868.052900000002</v>
      </c>
      <c r="I987" s="12">
        <v>1432</v>
      </c>
      <c r="J987" s="13">
        <v>76.5</v>
      </c>
      <c r="K987" s="14">
        <v>109548</v>
      </c>
      <c r="L987" s="12">
        <v>1160</v>
      </c>
      <c r="M987" s="13">
        <v>76.500293099999993</v>
      </c>
      <c r="N987" s="14">
        <v>88740.34</v>
      </c>
      <c r="O987" s="12">
        <v>767</v>
      </c>
      <c r="P987" s="13">
        <v>76.500277569999994</v>
      </c>
      <c r="Q987" s="14">
        <v>58675.712899999999</v>
      </c>
      <c r="R987" s="11" t="s">
        <v>3033</v>
      </c>
      <c r="S987" s="11" t="s">
        <v>3034</v>
      </c>
      <c r="T987" s="11" t="s">
        <v>2966</v>
      </c>
    </row>
    <row r="988" spans="1:20" ht="50.1" hidden="1" customHeight="1">
      <c r="A988" s="10">
        <v>987</v>
      </c>
      <c r="B988" s="11" t="s">
        <v>1030</v>
      </c>
      <c r="C988" s="11" t="s">
        <v>1031</v>
      </c>
      <c r="D988" s="11" t="s">
        <v>20</v>
      </c>
      <c r="E988" s="11" t="s">
        <v>8</v>
      </c>
      <c r="F988" s="12">
        <v>13973.46</v>
      </c>
      <c r="G988" s="13">
        <v>73.942449460000006</v>
      </c>
      <c r="H988" s="14">
        <v>1033231.8599</v>
      </c>
      <c r="I988" s="12">
        <v>757</v>
      </c>
      <c r="J988" s="13">
        <v>76.5</v>
      </c>
      <c r="K988" s="14">
        <v>57910.5</v>
      </c>
      <c r="L988" s="12">
        <v>2125.7399999999998</v>
      </c>
      <c r="M988" s="13">
        <v>73.982392009999998</v>
      </c>
      <c r="N988" s="14">
        <v>157267.32999999999</v>
      </c>
      <c r="O988" s="12">
        <v>12604.72</v>
      </c>
      <c r="P988" s="13">
        <v>74.089311769999995</v>
      </c>
      <c r="Q988" s="14">
        <v>933875.02989999996</v>
      </c>
      <c r="R988" s="11" t="s">
        <v>3033</v>
      </c>
      <c r="S988" s="11" t="s">
        <v>3034</v>
      </c>
      <c r="T988" s="11" t="s">
        <v>2966</v>
      </c>
    </row>
    <row r="989" spans="1:20" ht="50.1" hidden="1" customHeight="1">
      <c r="A989" s="10">
        <v>988</v>
      </c>
      <c r="B989" s="11" t="s">
        <v>2120</v>
      </c>
      <c r="C989" s="11" t="s">
        <v>2121</v>
      </c>
      <c r="D989" s="11" t="s">
        <v>20</v>
      </c>
      <c r="E989" s="11" t="s">
        <v>8</v>
      </c>
      <c r="F989" s="12">
        <v>11709.96</v>
      </c>
      <c r="G989" s="13">
        <v>72.308772189999999</v>
      </c>
      <c r="H989" s="14">
        <v>846732.83</v>
      </c>
      <c r="I989" s="12">
        <v>0</v>
      </c>
      <c r="J989" s="13"/>
      <c r="K989" s="14">
        <v>0</v>
      </c>
      <c r="L989" s="12">
        <v>3679.82</v>
      </c>
      <c r="M989" s="13">
        <v>72.308699880000006</v>
      </c>
      <c r="N989" s="14">
        <v>266083</v>
      </c>
      <c r="O989" s="12">
        <v>8030.14</v>
      </c>
      <c r="P989" s="13">
        <v>72.308805329999998</v>
      </c>
      <c r="Q989" s="14">
        <v>580649.82999999996</v>
      </c>
      <c r="R989" s="11" t="s">
        <v>3033</v>
      </c>
      <c r="S989" s="11" t="s">
        <v>3034</v>
      </c>
      <c r="T989" s="11" t="s">
        <v>2966</v>
      </c>
    </row>
    <row r="990" spans="1:20" ht="50.1" hidden="1" customHeight="1">
      <c r="A990" s="10">
        <v>989</v>
      </c>
      <c r="B990" s="11" t="s">
        <v>1032</v>
      </c>
      <c r="C990" s="11" t="s">
        <v>1033</v>
      </c>
      <c r="D990" s="11" t="s">
        <v>17</v>
      </c>
      <c r="E990" s="11" t="s">
        <v>8</v>
      </c>
      <c r="F990" s="12">
        <v>11</v>
      </c>
      <c r="G990" s="13">
        <v>46.61</v>
      </c>
      <c r="H990" s="14">
        <v>512.71</v>
      </c>
      <c r="I990" s="12">
        <v>10</v>
      </c>
      <c r="J990" s="13">
        <v>46.61</v>
      </c>
      <c r="K990" s="14">
        <v>466.1</v>
      </c>
      <c r="L990" s="12">
        <v>5</v>
      </c>
      <c r="M990" s="13">
        <v>46.61</v>
      </c>
      <c r="N990" s="14">
        <v>233.05</v>
      </c>
      <c r="O990" s="12">
        <v>16</v>
      </c>
      <c r="P990" s="13">
        <v>46.61</v>
      </c>
      <c r="Q990" s="14">
        <v>745.76</v>
      </c>
      <c r="R990" s="11" t="s">
        <v>2973</v>
      </c>
      <c r="S990" s="11" t="s">
        <v>2974</v>
      </c>
      <c r="T990" s="11" t="s">
        <v>2966</v>
      </c>
    </row>
    <row r="991" spans="1:20" ht="50.1" hidden="1" customHeight="1">
      <c r="A991" s="10">
        <v>990</v>
      </c>
      <c r="B991" s="11" t="s">
        <v>2803</v>
      </c>
      <c r="C991" s="11" t="s">
        <v>2804</v>
      </c>
      <c r="D991" s="11" t="s">
        <v>7</v>
      </c>
      <c r="E991" s="11" t="s">
        <v>8</v>
      </c>
      <c r="F991" s="12">
        <v>271000</v>
      </c>
      <c r="G991" s="13">
        <v>3.0844950600000001</v>
      </c>
      <c r="H991" s="14">
        <v>835898.16</v>
      </c>
      <c r="I991" s="12">
        <v>0</v>
      </c>
      <c r="J991" s="13"/>
      <c r="K991" s="14">
        <v>0</v>
      </c>
      <c r="L991" s="12">
        <v>58500</v>
      </c>
      <c r="M991" s="13">
        <v>3.0844999999999998</v>
      </c>
      <c r="N991" s="14">
        <v>180443.25</v>
      </c>
      <c r="O991" s="12">
        <v>212500</v>
      </c>
      <c r="P991" s="13">
        <v>3.08449369</v>
      </c>
      <c r="Q991" s="14">
        <v>655454.91</v>
      </c>
      <c r="R991" s="11" t="s">
        <v>2971</v>
      </c>
      <c r="S991" s="11" t="s">
        <v>2972</v>
      </c>
      <c r="T991" s="11" t="s">
        <v>2966</v>
      </c>
    </row>
    <row r="992" spans="1:20" ht="50.1" hidden="1" customHeight="1">
      <c r="A992" s="10">
        <v>991</v>
      </c>
      <c r="B992" s="11" t="s">
        <v>2805</v>
      </c>
      <c r="C992" s="11" t="s">
        <v>2806</v>
      </c>
      <c r="D992" s="11" t="s">
        <v>17</v>
      </c>
      <c r="E992" s="11" t="s">
        <v>8</v>
      </c>
      <c r="F992" s="12">
        <v>5500</v>
      </c>
      <c r="G992" s="13">
        <v>7.5</v>
      </c>
      <c r="H992" s="14">
        <v>41250</v>
      </c>
      <c r="I992" s="12">
        <v>0</v>
      </c>
      <c r="J992" s="13"/>
      <c r="K992" s="14">
        <v>0</v>
      </c>
      <c r="L992" s="12">
        <v>100</v>
      </c>
      <c r="M992" s="13">
        <v>7.5</v>
      </c>
      <c r="N992" s="14">
        <v>750</v>
      </c>
      <c r="O992" s="12">
        <v>5400</v>
      </c>
      <c r="P992" s="13">
        <v>7.5</v>
      </c>
      <c r="Q992" s="14">
        <v>40500</v>
      </c>
      <c r="R992" s="11" t="s">
        <v>2971</v>
      </c>
      <c r="S992" s="11" t="s">
        <v>2972</v>
      </c>
      <c r="T992" s="11" t="s">
        <v>2966</v>
      </c>
    </row>
    <row r="993" spans="1:20" ht="50.1" hidden="1" customHeight="1">
      <c r="A993" s="10">
        <v>992</v>
      </c>
      <c r="B993" s="11" t="s">
        <v>1034</v>
      </c>
      <c r="C993" s="11" t="s">
        <v>1035</v>
      </c>
      <c r="D993" s="11" t="s">
        <v>17</v>
      </c>
      <c r="E993" s="11" t="s">
        <v>8</v>
      </c>
      <c r="F993" s="12">
        <v>1800</v>
      </c>
      <c r="G993" s="13">
        <v>8.75</v>
      </c>
      <c r="H993" s="14">
        <v>15750</v>
      </c>
      <c r="I993" s="12">
        <v>0</v>
      </c>
      <c r="J993" s="13"/>
      <c r="K993" s="14">
        <v>0</v>
      </c>
      <c r="L993" s="12">
        <v>1300</v>
      </c>
      <c r="M993" s="13">
        <v>8.75</v>
      </c>
      <c r="N993" s="14">
        <v>11375</v>
      </c>
      <c r="O993" s="12">
        <v>500</v>
      </c>
      <c r="P993" s="13">
        <v>8.75</v>
      </c>
      <c r="Q993" s="14">
        <v>4375</v>
      </c>
      <c r="R993" s="11" t="s">
        <v>2990</v>
      </c>
      <c r="S993" s="11" t="s">
        <v>2991</v>
      </c>
      <c r="T993" s="11" t="s">
        <v>2966</v>
      </c>
    </row>
    <row r="994" spans="1:20" ht="50.1" hidden="1" customHeight="1">
      <c r="A994" s="10">
        <v>993</v>
      </c>
      <c r="B994" s="11" t="s">
        <v>1036</v>
      </c>
      <c r="C994" s="11" t="s">
        <v>1037</v>
      </c>
      <c r="D994" s="11" t="s">
        <v>17</v>
      </c>
      <c r="E994" s="11" t="s">
        <v>8</v>
      </c>
      <c r="F994" s="12">
        <v>10250</v>
      </c>
      <c r="G994" s="13">
        <v>0.41791511999999997</v>
      </c>
      <c r="H994" s="14">
        <v>4283.63</v>
      </c>
      <c r="I994" s="12">
        <v>0</v>
      </c>
      <c r="J994" s="13"/>
      <c r="K994" s="14">
        <v>0</v>
      </c>
      <c r="L994" s="12">
        <v>0</v>
      </c>
      <c r="M994" s="13"/>
      <c r="N994" s="14">
        <v>0</v>
      </c>
      <c r="O994" s="12">
        <v>10250</v>
      </c>
      <c r="P994" s="13">
        <v>0.41791511999999997</v>
      </c>
      <c r="Q994" s="14">
        <v>4283.63</v>
      </c>
      <c r="R994" s="11" t="s">
        <v>2971</v>
      </c>
      <c r="S994" s="11" t="s">
        <v>2972</v>
      </c>
      <c r="T994" s="11" t="s">
        <v>2966</v>
      </c>
    </row>
    <row r="995" spans="1:20" ht="50.1" hidden="1" customHeight="1">
      <c r="A995" s="10">
        <v>994</v>
      </c>
      <c r="B995" s="11" t="s">
        <v>1038</v>
      </c>
      <c r="C995" s="11" t="s">
        <v>1039</v>
      </c>
      <c r="D995" s="11" t="s">
        <v>17</v>
      </c>
      <c r="E995" s="11" t="s">
        <v>8</v>
      </c>
      <c r="F995" s="12">
        <v>3750</v>
      </c>
      <c r="G995" s="13">
        <v>0.43231000000000003</v>
      </c>
      <c r="H995" s="14">
        <v>1621.1624999999999</v>
      </c>
      <c r="I995" s="12">
        <v>0</v>
      </c>
      <c r="J995" s="13"/>
      <c r="K995" s="14">
        <v>0</v>
      </c>
      <c r="L995" s="12">
        <v>0</v>
      </c>
      <c r="M995" s="13"/>
      <c r="N995" s="14">
        <v>0</v>
      </c>
      <c r="O995" s="12">
        <v>3750</v>
      </c>
      <c r="P995" s="13">
        <v>0.43231000000000003</v>
      </c>
      <c r="Q995" s="14">
        <v>1621.1624999999999</v>
      </c>
      <c r="R995" s="11" t="s">
        <v>2971</v>
      </c>
      <c r="S995" s="11" t="s">
        <v>2972</v>
      </c>
      <c r="T995" s="11" t="s">
        <v>2966</v>
      </c>
    </row>
    <row r="996" spans="1:20" ht="50.1" hidden="1" customHeight="1">
      <c r="A996" s="10">
        <v>995</v>
      </c>
      <c r="B996" s="11" t="s">
        <v>1040</v>
      </c>
      <c r="C996" s="11" t="s">
        <v>1041</v>
      </c>
      <c r="D996" s="11" t="s">
        <v>17</v>
      </c>
      <c r="E996" s="11" t="s">
        <v>8</v>
      </c>
      <c r="F996" s="12">
        <v>139250</v>
      </c>
      <c r="G996" s="13">
        <v>0.25</v>
      </c>
      <c r="H996" s="14">
        <v>34812.5</v>
      </c>
      <c r="I996" s="12">
        <v>0</v>
      </c>
      <c r="J996" s="13"/>
      <c r="K996" s="14">
        <v>0</v>
      </c>
      <c r="L996" s="12">
        <v>1000</v>
      </c>
      <c r="M996" s="13">
        <v>0.25</v>
      </c>
      <c r="N996" s="14">
        <v>250</v>
      </c>
      <c r="O996" s="12">
        <v>138250</v>
      </c>
      <c r="P996" s="13">
        <v>0.25</v>
      </c>
      <c r="Q996" s="14">
        <v>34562.5</v>
      </c>
      <c r="R996" s="11" t="s">
        <v>2971</v>
      </c>
      <c r="S996" s="11" t="s">
        <v>2972</v>
      </c>
      <c r="T996" s="11" t="s">
        <v>2966</v>
      </c>
    </row>
    <row r="997" spans="1:20" ht="50.1" hidden="1" customHeight="1">
      <c r="A997" s="10">
        <v>996</v>
      </c>
      <c r="B997" s="11" t="s">
        <v>1042</v>
      </c>
      <c r="C997" s="11" t="s">
        <v>1043</v>
      </c>
      <c r="D997" s="11" t="s">
        <v>17</v>
      </c>
      <c r="E997" s="11" t="s">
        <v>8</v>
      </c>
      <c r="F997" s="12">
        <v>6250</v>
      </c>
      <c r="G997" s="13">
        <v>0.40981918000000001</v>
      </c>
      <c r="H997" s="14">
        <v>2561.3699000000001</v>
      </c>
      <c r="I997" s="12">
        <v>0</v>
      </c>
      <c r="J997" s="13"/>
      <c r="K997" s="14">
        <v>0</v>
      </c>
      <c r="L997" s="12">
        <v>0</v>
      </c>
      <c r="M997" s="13"/>
      <c r="N997" s="14">
        <v>0</v>
      </c>
      <c r="O997" s="12">
        <v>6250</v>
      </c>
      <c r="P997" s="13">
        <v>0.40981918000000001</v>
      </c>
      <c r="Q997" s="14">
        <v>2561.3699000000001</v>
      </c>
      <c r="R997" s="11" t="s">
        <v>2971</v>
      </c>
      <c r="S997" s="11" t="s">
        <v>2972</v>
      </c>
      <c r="T997" s="11" t="s">
        <v>2966</v>
      </c>
    </row>
    <row r="998" spans="1:20" ht="50.1" hidden="1" customHeight="1">
      <c r="A998" s="10">
        <v>997</v>
      </c>
      <c r="B998" s="11" t="s">
        <v>1046</v>
      </c>
      <c r="C998" s="11" t="s">
        <v>1047</v>
      </c>
      <c r="D998" s="11" t="s">
        <v>17</v>
      </c>
      <c r="E998" s="11" t="s">
        <v>8</v>
      </c>
      <c r="F998" s="12">
        <v>228</v>
      </c>
      <c r="G998" s="13">
        <v>231</v>
      </c>
      <c r="H998" s="14">
        <v>52668</v>
      </c>
      <c r="I998" s="12">
        <v>0</v>
      </c>
      <c r="J998" s="13"/>
      <c r="K998" s="14">
        <v>0</v>
      </c>
      <c r="L998" s="12">
        <v>108</v>
      </c>
      <c r="M998" s="13">
        <v>231</v>
      </c>
      <c r="N998" s="14">
        <v>24948</v>
      </c>
      <c r="O998" s="12">
        <v>120</v>
      </c>
      <c r="P998" s="13">
        <v>231</v>
      </c>
      <c r="Q998" s="14">
        <v>27720</v>
      </c>
      <c r="R998" s="11" t="s">
        <v>2981</v>
      </c>
      <c r="S998" s="11" t="s">
        <v>2982</v>
      </c>
      <c r="T998" s="11" t="s">
        <v>2966</v>
      </c>
    </row>
    <row r="999" spans="1:20" ht="50.1" hidden="1" customHeight="1">
      <c r="A999" s="10">
        <v>998</v>
      </c>
      <c r="B999" s="11" t="s">
        <v>1048</v>
      </c>
      <c r="C999" s="11" t="s">
        <v>1049</v>
      </c>
      <c r="D999" s="11" t="s">
        <v>17</v>
      </c>
      <c r="E999" s="11" t="s">
        <v>8</v>
      </c>
      <c r="F999" s="12">
        <v>1800</v>
      </c>
      <c r="G999" s="13">
        <v>0.9</v>
      </c>
      <c r="H999" s="14">
        <v>1620</v>
      </c>
      <c r="I999" s="12">
        <v>0</v>
      </c>
      <c r="J999" s="13"/>
      <c r="K999" s="14">
        <v>0</v>
      </c>
      <c r="L999" s="12">
        <v>500</v>
      </c>
      <c r="M999" s="13">
        <v>0.9</v>
      </c>
      <c r="N999" s="14">
        <v>450</v>
      </c>
      <c r="O999" s="12">
        <v>1300</v>
      </c>
      <c r="P999" s="13">
        <v>0.9</v>
      </c>
      <c r="Q999" s="14">
        <v>1170</v>
      </c>
      <c r="R999" s="11" t="s">
        <v>2971</v>
      </c>
      <c r="S999" s="11" t="s">
        <v>2972</v>
      </c>
      <c r="T999" s="11" t="s">
        <v>2966</v>
      </c>
    </row>
    <row r="1000" spans="1:20" ht="50.1" hidden="1" customHeight="1">
      <c r="A1000" s="10">
        <v>999</v>
      </c>
      <c r="B1000" s="11" t="s">
        <v>1050</v>
      </c>
      <c r="C1000" s="11" t="s">
        <v>1051</v>
      </c>
      <c r="D1000" s="11" t="s">
        <v>289</v>
      </c>
      <c r="E1000" s="11" t="s">
        <v>8</v>
      </c>
      <c r="F1000" s="12">
        <v>114</v>
      </c>
      <c r="G1000" s="13">
        <v>192.10921053000001</v>
      </c>
      <c r="H1000" s="14">
        <v>21900.45</v>
      </c>
      <c r="I1000" s="12">
        <v>152</v>
      </c>
      <c r="J1000" s="13">
        <v>192.11</v>
      </c>
      <c r="K1000" s="14">
        <v>29200.720000000001</v>
      </c>
      <c r="L1000" s="12">
        <v>190</v>
      </c>
      <c r="M1000" s="13">
        <v>192.10963158000001</v>
      </c>
      <c r="N1000" s="14">
        <v>36500.83</v>
      </c>
      <c r="O1000" s="12">
        <v>76</v>
      </c>
      <c r="P1000" s="13">
        <v>192.10973684000001</v>
      </c>
      <c r="Q1000" s="14">
        <v>14600.34</v>
      </c>
      <c r="R1000" s="11" t="s">
        <v>3035</v>
      </c>
      <c r="S1000" s="11" t="s">
        <v>3036</v>
      </c>
      <c r="T1000" s="11" t="s">
        <v>2961</v>
      </c>
    </row>
    <row r="1001" spans="1:20" ht="50.1" hidden="1" customHeight="1">
      <c r="A1001" s="10">
        <v>1000</v>
      </c>
      <c r="B1001" s="11" t="s">
        <v>3615</v>
      </c>
      <c r="C1001" s="11" t="s">
        <v>3616</v>
      </c>
      <c r="D1001" s="11" t="s">
        <v>17</v>
      </c>
      <c r="E1001" s="11" t="s">
        <v>8</v>
      </c>
      <c r="F1001" s="12">
        <v>0</v>
      </c>
      <c r="G1001" s="13"/>
      <c r="H1001" s="14">
        <v>0</v>
      </c>
      <c r="I1001" s="12">
        <v>38</v>
      </c>
      <c r="J1001" s="13">
        <v>120</v>
      </c>
      <c r="K1001" s="14">
        <v>4560</v>
      </c>
      <c r="L1001" s="12">
        <v>38</v>
      </c>
      <c r="M1001" s="13">
        <v>120</v>
      </c>
      <c r="N1001" s="14">
        <v>4560</v>
      </c>
      <c r="O1001" s="12">
        <v>0</v>
      </c>
      <c r="P1001" s="13"/>
      <c r="Q1001" s="14">
        <v>0</v>
      </c>
      <c r="R1001" s="11" t="s">
        <v>2973</v>
      </c>
      <c r="S1001" s="11" t="s">
        <v>2974</v>
      </c>
      <c r="T1001" s="11" t="s">
        <v>2966</v>
      </c>
    </row>
    <row r="1002" spans="1:20" ht="50.1" hidden="1" customHeight="1">
      <c r="A1002" s="10">
        <v>1001</v>
      </c>
      <c r="B1002" s="11" t="s">
        <v>1052</v>
      </c>
      <c r="C1002" s="11" t="s">
        <v>1053</v>
      </c>
      <c r="D1002" s="11" t="s">
        <v>17</v>
      </c>
      <c r="E1002" s="11" t="s">
        <v>8</v>
      </c>
      <c r="F1002" s="12">
        <v>107</v>
      </c>
      <c r="G1002" s="13">
        <v>74.251495329999997</v>
      </c>
      <c r="H1002" s="14">
        <v>7944.91</v>
      </c>
      <c r="I1002" s="12">
        <v>0</v>
      </c>
      <c r="J1002" s="13"/>
      <c r="K1002" s="14">
        <v>0</v>
      </c>
      <c r="L1002" s="12">
        <v>20</v>
      </c>
      <c r="M1002" s="13">
        <v>74.251499999999993</v>
      </c>
      <c r="N1002" s="14">
        <v>1485.03</v>
      </c>
      <c r="O1002" s="12">
        <v>87</v>
      </c>
      <c r="P1002" s="13">
        <v>74.251494249999993</v>
      </c>
      <c r="Q1002" s="14">
        <v>6459.88</v>
      </c>
      <c r="R1002" s="11" t="s">
        <v>2973</v>
      </c>
      <c r="S1002" s="11" t="s">
        <v>2974</v>
      </c>
      <c r="T1002" s="11" t="s">
        <v>2966</v>
      </c>
    </row>
    <row r="1003" spans="1:20" ht="50.1" hidden="1" customHeight="1">
      <c r="A1003" s="10">
        <v>1002</v>
      </c>
      <c r="B1003" s="11" t="s">
        <v>1054</v>
      </c>
      <c r="C1003" s="11" t="s">
        <v>1055</v>
      </c>
      <c r="D1003" s="11" t="s">
        <v>17</v>
      </c>
      <c r="E1003" s="11" t="s">
        <v>8</v>
      </c>
      <c r="F1003" s="12">
        <v>49</v>
      </c>
      <c r="G1003" s="13">
        <v>80</v>
      </c>
      <c r="H1003" s="14">
        <v>3920</v>
      </c>
      <c r="I1003" s="12">
        <v>60</v>
      </c>
      <c r="J1003" s="13">
        <v>80</v>
      </c>
      <c r="K1003" s="14">
        <v>4800</v>
      </c>
      <c r="L1003" s="12">
        <v>10</v>
      </c>
      <c r="M1003" s="13">
        <v>80</v>
      </c>
      <c r="N1003" s="14">
        <v>800</v>
      </c>
      <c r="O1003" s="12">
        <v>99</v>
      </c>
      <c r="P1003" s="13">
        <v>80</v>
      </c>
      <c r="Q1003" s="14">
        <v>7920</v>
      </c>
      <c r="R1003" s="11" t="s">
        <v>2973</v>
      </c>
      <c r="S1003" s="11" t="s">
        <v>2974</v>
      </c>
      <c r="T1003" s="11" t="s">
        <v>2966</v>
      </c>
    </row>
    <row r="1004" spans="1:20" ht="50.1" hidden="1" customHeight="1">
      <c r="A1004" s="10">
        <v>1003</v>
      </c>
      <c r="B1004" s="11" t="s">
        <v>1058</v>
      </c>
      <c r="C1004" s="11" t="s">
        <v>1059</v>
      </c>
      <c r="D1004" s="11" t="s">
        <v>17</v>
      </c>
      <c r="E1004" s="11" t="s">
        <v>8</v>
      </c>
      <c r="F1004" s="12">
        <v>49</v>
      </c>
      <c r="G1004" s="13">
        <v>76.827551020000001</v>
      </c>
      <c r="H1004" s="14">
        <v>3764.55</v>
      </c>
      <c r="I1004" s="12">
        <v>0</v>
      </c>
      <c r="J1004" s="13"/>
      <c r="K1004" s="14">
        <v>0</v>
      </c>
      <c r="L1004" s="12">
        <v>20</v>
      </c>
      <c r="M1004" s="13">
        <v>76.827500000000001</v>
      </c>
      <c r="N1004" s="14">
        <v>1536.55</v>
      </c>
      <c r="O1004" s="12">
        <v>29</v>
      </c>
      <c r="P1004" s="13">
        <v>76.827586210000007</v>
      </c>
      <c r="Q1004" s="14">
        <v>2228</v>
      </c>
      <c r="R1004" s="11" t="s">
        <v>2973</v>
      </c>
      <c r="S1004" s="11" t="s">
        <v>2974</v>
      </c>
      <c r="T1004" s="11" t="s">
        <v>2966</v>
      </c>
    </row>
    <row r="1005" spans="1:20" ht="50.1" hidden="1" customHeight="1">
      <c r="A1005" s="10">
        <v>1004</v>
      </c>
      <c r="B1005" s="11" t="s">
        <v>1060</v>
      </c>
      <c r="C1005" s="11" t="s">
        <v>1061</v>
      </c>
      <c r="D1005" s="11" t="s">
        <v>17</v>
      </c>
      <c r="E1005" s="11" t="s">
        <v>8</v>
      </c>
      <c r="F1005" s="12">
        <v>256</v>
      </c>
      <c r="G1005" s="13">
        <v>74.657968749999995</v>
      </c>
      <c r="H1005" s="14">
        <v>19112.439999999999</v>
      </c>
      <c r="I1005" s="12">
        <v>0</v>
      </c>
      <c r="J1005" s="13"/>
      <c r="K1005" s="14">
        <v>0</v>
      </c>
      <c r="L1005" s="12">
        <v>10</v>
      </c>
      <c r="M1005" s="13">
        <v>74.658000000000001</v>
      </c>
      <c r="N1005" s="14">
        <v>746.58</v>
      </c>
      <c r="O1005" s="12">
        <v>246</v>
      </c>
      <c r="P1005" s="13">
        <v>74.657967479999996</v>
      </c>
      <c r="Q1005" s="14">
        <v>18365.86</v>
      </c>
      <c r="R1005" s="11" t="s">
        <v>2973</v>
      </c>
      <c r="S1005" s="11" t="s">
        <v>2974</v>
      </c>
      <c r="T1005" s="11" t="s">
        <v>2966</v>
      </c>
    </row>
    <row r="1006" spans="1:20" ht="50.1" hidden="1" customHeight="1">
      <c r="A1006" s="10">
        <v>1005</v>
      </c>
      <c r="B1006" s="11" t="s">
        <v>1062</v>
      </c>
      <c r="C1006" s="11" t="s">
        <v>1063</v>
      </c>
      <c r="D1006" s="11" t="s">
        <v>17</v>
      </c>
      <c r="E1006" s="11" t="s">
        <v>8</v>
      </c>
      <c r="F1006" s="12">
        <v>172</v>
      </c>
      <c r="G1006" s="13">
        <v>278.46379535</v>
      </c>
      <c r="H1006" s="14">
        <v>47895.772799999999</v>
      </c>
      <c r="I1006" s="12">
        <v>0</v>
      </c>
      <c r="J1006" s="13"/>
      <c r="K1006" s="14">
        <v>0</v>
      </c>
      <c r="L1006" s="12">
        <v>8</v>
      </c>
      <c r="M1006" s="13">
        <v>278.46375</v>
      </c>
      <c r="N1006" s="14">
        <v>2227.71</v>
      </c>
      <c r="O1006" s="12">
        <v>164</v>
      </c>
      <c r="P1006" s="13">
        <v>278.46379755999999</v>
      </c>
      <c r="Q1006" s="14">
        <v>45668.0628</v>
      </c>
      <c r="R1006" s="11" t="s">
        <v>2973</v>
      </c>
      <c r="S1006" s="11" t="s">
        <v>2974</v>
      </c>
      <c r="T1006" s="11" t="s">
        <v>2966</v>
      </c>
    </row>
    <row r="1007" spans="1:20" ht="50.1" hidden="1" customHeight="1">
      <c r="A1007" s="10">
        <v>1006</v>
      </c>
      <c r="B1007" s="11" t="s">
        <v>1064</v>
      </c>
      <c r="C1007" s="11" t="s">
        <v>1065</v>
      </c>
      <c r="D1007" s="11" t="s">
        <v>17</v>
      </c>
      <c r="E1007" s="11" t="s">
        <v>8</v>
      </c>
      <c r="F1007" s="12">
        <v>68</v>
      </c>
      <c r="G1007" s="13">
        <v>266.99258823999998</v>
      </c>
      <c r="H1007" s="14">
        <v>18155.495999999999</v>
      </c>
      <c r="I1007" s="12">
        <v>40</v>
      </c>
      <c r="J1007" s="13">
        <v>265</v>
      </c>
      <c r="K1007" s="14">
        <v>10600</v>
      </c>
      <c r="L1007" s="12">
        <v>64</v>
      </c>
      <c r="M1007" s="13">
        <v>266.604375</v>
      </c>
      <c r="N1007" s="14">
        <v>17062.68</v>
      </c>
      <c r="O1007" s="12">
        <v>44</v>
      </c>
      <c r="P1007" s="13">
        <v>265.74581818000001</v>
      </c>
      <c r="Q1007" s="14">
        <v>11692.816000000001</v>
      </c>
      <c r="R1007" s="11" t="s">
        <v>2973</v>
      </c>
      <c r="S1007" s="11" t="s">
        <v>2974</v>
      </c>
      <c r="T1007" s="11" t="s">
        <v>2966</v>
      </c>
    </row>
    <row r="1008" spans="1:20" ht="50.1" hidden="1" customHeight="1">
      <c r="A1008" s="10">
        <v>1007</v>
      </c>
      <c r="B1008" s="11" t="s">
        <v>1066</v>
      </c>
      <c r="C1008" s="11" t="s">
        <v>1067</v>
      </c>
      <c r="D1008" s="11" t="s">
        <v>17</v>
      </c>
      <c r="E1008" s="11" t="s">
        <v>8</v>
      </c>
      <c r="F1008" s="12">
        <v>84</v>
      </c>
      <c r="G1008" s="13">
        <v>279.83088094999999</v>
      </c>
      <c r="H1008" s="14">
        <v>23505.794000000002</v>
      </c>
      <c r="I1008" s="12">
        <v>40</v>
      </c>
      <c r="J1008" s="13">
        <v>265</v>
      </c>
      <c r="K1008" s="14">
        <v>10600</v>
      </c>
      <c r="L1008" s="12">
        <v>24</v>
      </c>
      <c r="M1008" s="13">
        <v>275.71125000000001</v>
      </c>
      <c r="N1008" s="14">
        <v>6617.07</v>
      </c>
      <c r="O1008" s="12">
        <v>100</v>
      </c>
      <c r="P1008" s="13">
        <v>274.88724000000002</v>
      </c>
      <c r="Q1008" s="14">
        <v>27488.723999999998</v>
      </c>
      <c r="R1008" s="11" t="s">
        <v>2973</v>
      </c>
      <c r="S1008" s="11" t="s">
        <v>2974</v>
      </c>
      <c r="T1008" s="11" t="s">
        <v>2966</v>
      </c>
    </row>
    <row r="1009" spans="1:20" ht="50.1" hidden="1" customHeight="1">
      <c r="A1009" s="10">
        <v>1008</v>
      </c>
      <c r="B1009" s="11" t="s">
        <v>1068</v>
      </c>
      <c r="C1009" s="11" t="s">
        <v>1069</v>
      </c>
      <c r="D1009" s="11" t="s">
        <v>17</v>
      </c>
      <c r="E1009" s="11" t="s">
        <v>8</v>
      </c>
      <c r="F1009" s="12">
        <v>900</v>
      </c>
      <c r="G1009" s="13">
        <v>2.6</v>
      </c>
      <c r="H1009" s="14">
        <v>2340</v>
      </c>
      <c r="I1009" s="12">
        <v>5000</v>
      </c>
      <c r="J1009" s="13">
        <v>1.35</v>
      </c>
      <c r="K1009" s="14">
        <v>6750</v>
      </c>
      <c r="L1009" s="12">
        <v>0</v>
      </c>
      <c r="M1009" s="13"/>
      <c r="N1009" s="14">
        <v>0</v>
      </c>
      <c r="O1009" s="12">
        <v>5900</v>
      </c>
      <c r="P1009" s="13">
        <v>1.54067797</v>
      </c>
      <c r="Q1009" s="14">
        <v>9090</v>
      </c>
      <c r="R1009" s="11" t="s">
        <v>2971</v>
      </c>
      <c r="S1009" s="11" t="s">
        <v>2972</v>
      </c>
      <c r="T1009" s="11" t="s">
        <v>2966</v>
      </c>
    </row>
    <row r="1010" spans="1:20" ht="50.1" hidden="1" customHeight="1">
      <c r="A1010" s="10">
        <v>1009</v>
      </c>
      <c r="B1010" s="11" t="s">
        <v>1076</v>
      </c>
      <c r="C1010" s="11" t="s">
        <v>1077</v>
      </c>
      <c r="D1010" s="11" t="s">
        <v>17</v>
      </c>
      <c r="E1010" s="11" t="s">
        <v>8</v>
      </c>
      <c r="F1010" s="12">
        <v>300</v>
      </c>
      <c r="G1010" s="13">
        <v>28</v>
      </c>
      <c r="H1010" s="14">
        <v>8400</v>
      </c>
      <c r="I1010" s="12">
        <v>0</v>
      </c>
      <c r="J1010" s="13"/>
      <c r="K1010" s="14">
        <v>0</v>
      </c>
      <c r="L1010" s="12">
        <v>0</v>
      </c>
      <c r="M1010" s="13"/>
      <c r="N1010" s="14">
        <v>0</v>
      </c>
      <c r="O1010" s="12">
        <v>300</v>
      </c>
      <c r="P1010" s="13">
        <v>28</v>
      </c>
      <c r="Q1010" s="14">
        <v>8400</v>
      </c>
      <c r="R1010" s="11" t="s">
        <v>2971</v>
      </c>
      <c r="S1010" s="11" t="s">
        <v>2972</v>
      </c>
      <c r="T1010" s="11" t="s">
        <v>2961</v>
      </c>
    </row>
    <row r="1011" spans="1:20" ht="50.1" hidden="1" customHeight="1">
      <c r="A1011" s="10">
        <v>1010</v>
      </c>
      <c r="B1011" s="11" t="s">
        <v>1078</v>
      </c>
      <c r="C1011" s="11" t="s">
        <v>1079</v>
      </c>
      <c r="D1011" s="11" t="s">
        <v>17</v>
      </c>
      <c r="E1011" s="11" t="s">
        <v>8</v>
      </c>
      <c r="F1011" s="12">
        <v>0</v>
      </c>
      <c r="G1011" s="13"/>
      <c r="H1011" s="14">
        <v>0</v>
      </c>
      <c r="I1011" s="12">
        <v>52</v>
      </c>
      <c r="J1011" s="13">
        <v>32</v>
      </c>
      <c r="K1011" s="14">
        <v>1664</v>
      </c>
      <c r="L1011" s="12">
        <v>0</v>
      </c>
      <c r="M1011" s="13"/>
      <c r="N1011" s="14">
        <v>0</v>
      </c>
      <c r="O1011" s="12">
        <v>52</v>
      </c>
      <c r="P1011" s="13">
        <v>32</v>
      </c>
      <c r="Q1011" s="14">
        <v>1664</v>
      </c>
      <c r="R1011" s="11" t="s">
        <v>2971</v>
      </c>
      <c r="S1011" s="11" t="s">
        <v>2972</v>
      </c>
      <c r="T1011" s="11" t="s">
        <v>2966</v>
      </c>
    </row>
    <row r="1012" spans="1:20" ht="50.1" hidden="1" customHeight="1">
      <c r="A1012" s="10">
        <v>1011</v>
      </c>
      <c r="B1012" s="11" t="s">
        <v>1084</v>
      </c>
      <c r="C1012" s="11" t="s">
        <v>1085</v>
      </c>
      <c r="D1012" s="11" t="s">
        <v>17</v>
      </c>
      <c r="E1012" s="11" t="s">
        <v>8</v>
      </c>
      <c r="F1012" s="12">
        <v>542</v>
      </c>
      <c r="G1012" s="13">
        <v>69.994773989999999</v>
      </c>
      <c r="H1012" s="14">
        <v>37937.167500000003</v>
      </c>
      <c r="I1012" s="12">
        <v>0</v>
      </c>
      <c r="J1012" s="13"/>
      <c r="K1012" s="14">
        <v>0</v>
      </c>
      <c r="L1012" s="12">
        <v>0</v>
      </c>
      <c r="M1012" s="13"/>
      <c r="N1012" s="14">
        <v>0</v>
      </c>
      <c r="O1012" s="12">
        <v>542</v>
      </c>
      <c r="P1012" s="13">
        <v>69.994773989999999</v>
      </c>
      <c r="Q1012" s="14">
        <v>37937.167500000003</v>
      </c>
      <c r="R1012" s="11" t="s">
        <v>2990</v>
      </c>
      <c r="S1012" s="11" t="s">
        <v>2991</v>
      </c>
      <c r="T1012" s="11" t="s">
        <v>2966</v>
      </c>
    </row>
    <row r="1013" spans="1:20" ht="50.1" hidden="1" customHeight="1">
      <c r="A1013" s="10">
        <v>1012</v>
      </c>
      <c r="B1013" s="11" t="s">
        <v>1088</v>
      </c>
      <c r="C1013" s="11" t="s">
        <v>1089</v>
      </c>
      <c r="D1013" s="11" t="s">
        <v>7</v>
      </c>
      <c r="E1013" s="11" t="s">
        <v>8</v>
      </c>
      <c r="F1013" s="12">
        <v>175</v>
      </c>
      <c r="G1013" s="13">
        <v>9</v>
      </c>
      <c r="H1013" s="14">
        <v>1575</v>
      </c>
      <c r="I1013" s="12">
        <v>0</v>
      </c>
      <c r="J1013" s="13"/>
      <c r="K1013" s="14">
        <v>0</v>
      </c>
      <c r="L1013" s="12">
        <v>25</v>
      </c>
      <c r="M1013" s="13">
        <v>9</v>
      </c>
      <c r="N1013" s="14">
        <v>225</v>
      </c>
      <c r="O1013" s="12">
        <v>150</v>
      </c>
      <c r="P1013" s="13">
        <v>9</v>
      </c>
      <c r="Q1013" s="14">
        <v>1350</v>
      </c>
      <c r="R1013" s="11" t="s">
        <v>2971</v>
      </c>
      <c r="S1013" s="11" t="s">
        <v>2972</v>
      </c>
      <c r="T1013" s="11" t="s">
        <v>2966</v>
      </c>
    </row>
    <row r="1014" spans="1:20" ht="50.1" hidden="1" customHeight="1">
      <c r="A1014" s="10">
        <v>1013</v>
      </c>
      <c r="B1014" s="11" t="s">
        <v>1092</v>
      </c>
      <c r="C1014" s="11" t="s">
        <v>1093</v>
      </c>
      <c r="D1014" s="11" t="s">
        <v>20</v>
      </c>
      <c r="E1014" s="11" t="s">
        <v>8</v>
      </c>
      <c r="F1014" s="12">
        <v>389.34</v>
      </c>
      <c r="G1014" s="13">
        <v>168</v>
      </c>
      <c r="H1014" s="14">
        <v>65409.120000000003</v>
      </c>
      <c r="I1014" s="12">
        <v>335.04</v>
      </c>
      <c r="J1014" s="13">
        <v>170.5</v>
      </c>
      <c r="K1014" s="14">
        <v>57124.32</v>
      </c>
      <c r="L1014" s="12">
        <v>268.89999999999998</v>
      </c>
      <c r="M1014" s="13">
        <v>168.81454072</v>
      </c>
      <c r="N1014" s="14">
        <v>45394.23</v>
      </c>
      <c r="O1014" s="12">
        <v>455.48</v>
      </c>
      <c r="P1014" s="13">
        <v>169.35806181999999</v>
      </c>
      <c r="Q1014" s="14">
        <v>77139.210000000006</v>
      </c>
      <c r="R1014" s="11" t="s">
        <v>2990</v>
      </c>
      <c r="S1014" s="11" t="s">
        <v>2991</v>
      </c>
      <c r="T1014" s="11" t="s">
        <v>2961</v>
      </c>
    </row>
    <row r="1015" spans="1:20" ht="50.1" hidden="1" customHeight="1">
      <c r="A1015" s="10">
        <v>1014</v>
      </c>
      <c r="B1015" s="11" t="s">
        <v>3460</v>
      </c>
      <c r="C1015" s="11" t="s">
        <v>3461</v>
      </c>
      <c r="D1015" s="11" t="s">
        <v>20</v>
      </c>
      <c r="E1015" s="11" t="s">
        <v>8</v>
      </c>
      <c r="F1015" s="12">
        <v>100.8</v>
      </c>
      <c r="G1015" s="13">
        <v>170</v>
      </c>
      <c r="H1015" s="14">
        <v>17136</v>
      </c>
      <c r="I1015" s="12">
        <v>0</v>
      </c>
      <c r="J1015" s="13"/>
      <c r="K1015" s="14">
        <v>0</v>
      </c>
      <c r="L1015" s="12">
        <v>0</v>
      </c>
      <c r="M1015" s="13"/>
      <c r="N1015" s="14">
        <v>0</v>
      </c>
      <c r="O1015" s="12">
        <v>100.8</v>
      </c>
      <c r="P1015" s="13">
        <v>170</v>
      </c>
      <c r="Q1015" s="14">
        <v>17136</v>
      </c>
      <c r="R1015" s="11" t="s">
        <v>2990</v>
      </c>
      <c r="S1015" s="11" t="s">
        <v>2991</v>
      </c>
      <c r="T1015" s="11" t="s">
        <v>2961</v>
      </c>
    </row>
    <row r="1016" spans="1:20" ht="50.1" hidden="1" customHeight="1">
      <c r="A1016" s="10">
        <v>1015</v>
      </c>
      <c r="B1016" s="11" t="s">
        <v>3462</v>
      </c>
      <c r="C1016" s="11" t="s">
        <v>3463</v>
      </c>
      <c r="D1016" s="11" t="s">
        <v>20</v>
      </c>
      <c r="E1016" s="11" t="s">
        <v>8</v>
      </c>
      <c r="F1016" s="12">
        <v>78.88</v>
      </c>
      <c r="G1016" s="13">
        <v>170</v>
      </c>
      <c r="H1016" s="14">
        <v>13409.6</v>
      </c>
      <c r="I1016" s="12">
        <v>0</v>
      </c>
      <c r="J1016" s="13"/>
      <c r="K1016" s="14">
        <v>0</v>
      </c>
      <c r="L1016" s="12">
        <v>0</v>
      </c>
      <c r="M1016" s="13"/>
      <c r="N1016" s="14">
        <v>0</v>
      </c>
      <c r="O1016" s="12">
        <v>78.88</v>
      </c>
      <c r="P1016" s="13">
        <v>170</v>
      </c>
      <c r="Q1016" s="14">
        <v>13409.6</v>
      </c>
      <c r="R1016" s="11" t="s">
        <v>2990</v>
      </c>
      <c r="S1016" s="11" t="s">
        <v>2991</v>
      </c>
      <c r="T1016" s="11" t="s">
        <v>2961</v>
      </c>
    </row>
    <row r="1017" spans="1:20" ht="50.1" hidden="1" customHeight="1">
      <c r="A1017" s="10">
        <v>1016</v>
      </c>
      <c r="B1017" s="11" t="s">
        <v>3464</v>
      </c>
      <c r="C1017" s="11" t="s">
        <v>3465</v>
      </c>
      <c r="D1017" s="11" t="s">
        <v>20</v>
      </c>
      <c r="E1017" s="11" t="s">
        <v>8</v>
      </c>
      <c r="F1017" s="12">
        <v>108.32</v>
      </c>
      <c r="G1017" s="13">
        <v>170</v>
      </c>
      <c r="H1017" s="14">
        <v>18414.400000000001</v>
      </c>
      <c r="I1017" s="12">
        <v>0</v>
      </c>
      <c r="J1017" s="13"/>
      <c r="K1017" s="14">
        <v>0</v>
      </c>
      <c r="L1017" s="12">
        <v>0</v>
      </c>
      <c r="M1017" s="13"/>
      <c r="N1017" s="14">
        <v>0</v>
      </c>
      <c r="O1017" s="12">
        <v>108.32</v>
      </c>
      <c r="P1017" s="13">
        <v>170</v>
      </c>
      <c r="Q1017" s="14">
        <v>18414.400000000001</v>
      </c>
      <c r="R1017" s="11" t="s">
        <v>2990</v>
      </c>
      <c r="S1017" s="11" t="s">
        <v>2991</v>
      </c>
      <c r="T1017" s="11" t="s">
        <v>2961</v>
      </c>
    </row>
    <row r="1018" spans="1:20" ht="50.1" hidden="1" customHeight="1">
      <c r="A1018" s="10">
        <v>1017</v>
      </c>
      <c r="B1018" s="11" t="s">
        <v>3466</v>
      </c>
      <c r="C1018" s="11" t="s">
        <v>3467</v>
      </c>
      <c r="D1018" s="11" t="s">
        <v>20</v>
      </c>
      <c r="E1018" s="11" t="s">
        <v>8</v>
      </c>
      <c r="F1018" s="12">
        <v>48.4</v>
      </c>
      <c r="G1018" s="13">
        <v>170</v>
      </c>
      <c r="H1018" s="14">
        <v>8228</v>
      </c>
      <c r="I1018" s="12">
        <v>0</v>
      </c>
      <c r="J1018" s="13"/>
      <c r="K1018" s="14">
        <v>0</v>
      </c>
      <c r="L1018" s="12">
        <v>0</v>
      </c>
      <c r="M1018" s="13"/>
      <c r="N1018" s="14">
        <v>0</v>
      </c>
      <c r="O1018" s="12">
        <v>48.4</v>
      </c>
      <c r="P1018" s="13">
        <v>170</v>
      </c>
      <c r="Q1018" s="14">
        <v>8228</v>
      </c>
      <c r="R1018" s="11" t="s">
        <v>2990</v>
      </c>
      <c r="S1018" s="11" t="s">
        <v>2991</v>
      </c>
      <c r="T1018" s="11" t="s">
        <v>2961</v>
      </c>
    </row>
    <row r="1019" spans="1:20" ht="50.1" hidden="1" customHeight="1">
      <c r="A1019" s="10">
        <v>1018</v>
      </c>
      <c r="B1019" s="11" t="s">
        <v>3468</v>
      </c>
      <c r="C1019" s="11" t="s">
        <v>3469</v>
      </c>
      <c r="D1019" s="11" t="s">
        <v>20</v>
      </c>
      <c r="E1019" s="11" t="s">
        <v>8</v>
      </c>
      <c r="F1019" s="12">
        <v>98.32</v>
      </c>
      <c r="G1019" s="13">
        <v>170</v>
      </c>
      <c r="H1019" s="14">
        <v>16714.400000000001</v>
      </c>
      <c r="I1019" s="12">
        <v>0</v>
      </c>
      <c r="J1019" s="13"/>
      <c r="K1019" s="14">
        <v>0</v>
      </c>
      <c r="L1019" s="12">
        <v>0</v>
      </c>
      <c r="M1019" s="13"/>
      <c r="N1019" s="14">
        <v>0</v>
      </c>
      <c r="O1019" s="12">
        <v>98.32</v>
      </c>
      <c r="P1019" s="13">
        <v>170</v>
      </c>
      <c r="Q1019" s="14">
        <v>16714.400000000001</v>
      </c>
      <c r="R1019" s="11" t="s">
        <v>2990</v>
      </c>
      <c r="S1019" s="11" t="s">
        <v>2991</v>
      </c>
      <c r="T1019" s="11" t="s">
        <v>2961</v>
      </c>
    </row>
    <row r="1020" spans="1:20" ht="50.1" hidden="1" customHeight="1">
      <c r="A1020" s="10">
        <v>1019</v>
      </c>
      <c r="B1020" s="11" t="s">
        <v>3470</v>
      </c>
      <c r="C1020" s="11" t="s">
        <v>3471</v>
      </c>
      <c r="D1020" s="11" t="s">
        <v>20</v>
      </c>
      <c r="E1020" s="11" t="s">
        <v>8</v>
      </c>
      <c r="F1020" s="12">
        <v>55.66</v>
      </c>
      <c r="G1020" s="13">
        <v>170</v>
      </c>
      <c r="H1020" s="14">
        <v>9462.2000000000007</v>
      </c>
      <c r="I1020" s="12">
        <v>0</v>
      </c>
      <c r="J1020" s="13"/>
      <c r="K1020" s="14">
        <v>0</v>
      </c>
      <c r="L1020" s="12">
        <v>0</v>
      </c>
      <c r="M1020" s="13"/>
      <c r="N1020" s="14">
        <v>0</v>
      </c>
      <c r="O1020" s="12">
        <v>55.66</v>
      </c>
      <c r="P1020" s="13">
        <v>170</v>
      </c>
      <c r="Q1020" s="14">
        <v>9462.2000000000007</v>
      </c>
      <c r="R1020" s="11" t="s">
        <v>2990</v>
      </c>
      <c r="S1020" s="11" t="s">
        <v>2991</v>
      </c>
      <c r="T1020" s="11" t="s">
        <v>2961</v>
      </c>
    </row>
    <row r="1021" spans="1:20" ht="50.1" hidden="1" customHeight="1">
      <c r="A1021" s="10">
        <v>1020</v>
      </c>
      <c r="B1021" s="11" t="s">
        <v>1094</v>
      </c>
      <c r="C1021" s="11" t="s">
        <v>1095</v>
      </c>
      <c r="D1021" s="11" t="s">
        <v>20</v>
      </c>
      <c r="E1021" s="11" t="s">
        <v>8</v>
      </c>
      <c r="F1021" s="12">
        <v>613.6</v>
      </c>
      <c r="G1021" s="13">
        <v>168</v>
      </c>
      <c r="H1021" s="14">
        <v>103084.8</v>
      </c>
      <c r="I1021" s="12">
        <v>0</v>
      </c>
      <c r="J1021" s="13"/>
      <c r="K1021" s="14">
        <v>0</v>
      </c>
      <c r="L1021" s="12">
        <v>0</v>
      </c>
      <c r="M1021" s="13"/>
      <c r="N1021" s="14">
        <v>0</v>
      </c>
      <c r="O1021" s="12">
        <v>613.6</v>
      </c>
      <c r="P1021" s="13">
        <v>168</v>
      </c>
      <c r="Q1021" s="14">
        <v>103084.8</v>
      </c>
      <c r="R1021" s="11" t="s">
        <v>2990</v>
      </c>
      <c r="S1021" s="11" t="s">
        <v>2991</v>
      </c>
      <c r="T1021" s="11" t="s">
        <v>2961</v>
      </c>
    </row>
    <row r="1022" spans="1:20" ht="50.1" hidden="1" customHeight="1">
      <c r="A1022" s="10">
        <v>1021</v>
      </c>
      <c r="B1022" s="11" t="s">
        <v>1096</v>
      </c>
      <c r="C1022" s="11" t="s">
        <v>1097</v>
      </c>
      <c r="D1022" s="11" t="s">
        <v>20</v>
      </c>
      <c r="E1022" s="11" t="s">
        <v>8</v>
      </c>
      <c r="F1022" s="12">
        <v>811.88</v>
      </c>
      <c r="G1022" s="13">
        <v>164.32990097000001</v>
      </c>
      <c r="H1022" s="14">
        <v>133416.16</v>
      </c>
      <c r="I1022" s="12">
        <v>0</v>
      </c>
      <c r="J1022" s="13"/>
      <c r="K1022" s="14">
        <v>0</v>
      </c>
      <c r="L1022" s="12">
        <v>0</v>
      </c>
      <c r="M1022" s="13"/>
      <c r="N1022" s="14">
        <v>0</v>
      </c>
      <c r="O1022" s="12">
        <v>811.88</v>
      </c>
      <c r="P1022" s="13">
        <v>164.32990097000001</v>
      </c>
      <c r="Q1022" s="14">
        <v>133416.16</v>
      </c>
      <c r="R1022" s="11" t="s">
        <v>2990</v>
      </c>
      <c r="S1022" s="11" t="s">
        <v>2991</v>
      </c>
      <c r="T1022" s="11" t="s">
        <v>2961</v>
      </c>
    </row>
    <row r="1023" spans="1:20" ht="50.1" hidden="1" customHeight="1">
      <c r="A1023" s="10">
        <v>1022</v>
      </c>
      <c r="B1023" s="11" t="s">
        <v>3472</v>
      </c>
      <c r="C1023" s="11" t="s">
        <v>3473</v>
      </c>
      <c r="D1023" s="11" t="s">
        <v>20</v>
      </c>
      <c r="E1023" s="11" t="s">
        <v>8</v>
      </c>
      <c r="F1023" s="12">
        <v>103.66</v>
      </c>
      <c r="G1023" s="13">
        <v>170</v>
      </c>
      <c r="H1023" s="14">
        <v>17622.2</v>
      </c>
      <c r="I1023" s="12">
        <v>0</v>
      </c>
      <c r="J1023" s="13"/>
      <c r="K1023" s="14">
        <v>0</v>
      </c>
      <c r="L1023" s="12">
        <v>0</v>
      </c>
      <c r="M1023" s="13"/>
      <c r="N1023" s="14">
        <v>0</v>
      </c>
      <c r="O1023" s="12">
        <v>103.66</v>
      </c>
      <c r="P1023" s="13">
        <v>170</v>
      </c>
      <c r="Q1023" s="14">
        <v>17622.2</v>
      </c>
      <c r="R1023" s="11" t="s">
        <v>2990</v>
      </c>
      <c r="S1023" s="11" t="s">
        <v>2991</v>
      </c>
      <c r="T1023" s="11" t="s">
        <v>2961</v>
      </c>
    </row>
    <row r="1024" spans="1:20" ht="50.1" hidden="1" customHeight="1">
      <c r="A1024" s="10">
        <v>1023</v>
      </c>
      <c r="B1024" s="11" t="s">
        <v>3474</v>
      </c>
      <c r="C1024" s="11" t="s">
        <v>3475</v>
      </c>
      <c r="D1024" s="11" t="s">
        <v>20</v>
      </c>
      <c r="E1024" s="11" t="s">
        <v>8</v>
      </c>
      <c r="F1024" s="12">
        <v>43.08</v>
      </c>
      <c r="G1024" s="13">
        <v>170</v>
      </c>
      <c r="H1024" s="14">
        <v>7323.6</v>
      </c>
      <c r="I1024" s="12">
        <v>0</v>
      </c>
      <c r="J1024" s="13"/>
      <c r="K1024" s="14">
        <v>0</v>
      </c>
      <c r="L1024" s="12">
        <v>0</v>
      </c>
      <c r="M1024" s="13"/>
      <c r="N1024" s="14">
        <v>0</v>
      </c>
      <c r="O1024" s="12">
        <v>43.08</v>
      </c>
      <c r="P1024" s="13">
        <v>170</v>
      </c>
      <c r="Q1024" s="14">
        <v>7323.6</v>
      </c>
      <c r="R1024" s="11" t="s">
        <v>2990</v>
      </c>
      <c r="S1024" s="11" t="s">
        <v>2991</v>
      </c>
      <c r="T1024" s="11" t="s">
        <v>2961</v>
      </c>
    </row>
    <row r="1025" spans="1:20" ht="50.1" hidden="1" customHeight="1">
      <c r="A1025" s="10">
        <v>1024</v>
      </c>
      <c r="B1025" s="11" t="s">
        <v>1098</v>
      </c>
      <c r="C1025" s="11" t="s">
        <v>1099</v>
      </c>
      <c r="D1025" s="11" t="s">
        <v>20</v>
      </c>
      <c r="E1025" s="11" t="s">
        <v>8</v>
      </c>
      <c r="F1025" s="12">
        <v>332.14</v>
      </c>
      <c r="G1025" s="13">
        <v>168.92054555000001</v>
      </c>
      <c r="H1025" s="14">
        <v>56105.27</v>
      </c>
      <c r="I1025" s="12">
        <v>443.84</v>
      </c>
      <c r="J1025" s="13">
        <v>170.5</v>
      </c>
      <c r="K1025" s="14">
        <v>75674.720000000001</v>
      </c>
      <c r="L1025" s="12">
        <v>371.03</v>
      </c>
      <c r="M1025" s="13">
        <v>169.82400344999999</v>
      </c>
      <c r="N1025" s="14">
        <v>63009.8</v>
      </c>
      <c r="O1025" s="12">
        <v>404.95</v>
      </c>
      <c r="P1025" s="13">
        <v>169.82390419000001</v>
      </c>
      <c r="Q1025" s="14">
        <v>68770.19</v>
      </c>
      <c r="R1025" s="11" t="s">
        <v>2990</v>
      </c>
      <c r="S1025" s="11" t="s">
        <v>2991</v>
      </c>
      <c r="T1025" s="11" t="s">
        <v>2961</v>
      </c>
    </row>
    <row r="1026" spans="1:20" ht="50.1" hidden="1" customHeight="1">
      <c r="A1026" s="10">
        <v>1025</v>
      </c>
      <c r="B1026" s="11" t="s">
        <v>1100</v>
      </c>
      <c r="C1026" s="11" t="s">
        <v>1101</v>
      </c>
      <c r="D1026" s="11" t="s">
        <v>20</v>
      </c>
      <c r="E1026" s="11" t="s">
        <v>8</v>
      </c>
      <c r="F1026" s="12">
        <v>493.38</v>
      </c>
      <c r="G1026" s="13">
        <v>169.73369410999999</v>
      </c>
      <c r="H1026" s="14">
        <v>83743.210000000006</v>
      </c>
      <c r="I1026" s="12">
        <v>562.72</v>
      </c>
      <c r="J1026" s="13">
        <v>169.99358473000001</v>
      </c>
      <c r="K1026" s="14">
        <v>95658.79</v>
      </c>
      <c r="L1026" s="12">
        <v>618.32000000000005</v>
      </c>
      <c r="M1026" s="13">
        <v>169.80349981000001</v>
      </c>
      <c r="N1026" s="14">
        <v>104992.9</v>
      </c>
      <c r="O1026" s="12">
        <v>437.78</v>
      </c>
      <c r="P1026" s="13">
        <v>169.96916259</v>
      </c>
      <c r="Q1026" s="14">
        <v>74409.100000000006</v>
      </c>
      <c r="R1026" s="11" t="s">
        <v>2990</v>
      </c>
      <c r="S1026" s="11" t="s">
        <v>2991</v>
      </c>
      <c r="T1026" s="11" t="s">
        <v>2961</v>
      </c>
    </row>
    <row r="1027" spans="1:20" ht="50.1" hidden="1" customHeight="1">
      <c r="A1027" s="10">
        <v>1026</v>
      </c>
      <c r="B1027" s="11" t="s">
        <v>1102</v>
      </c>
      <c r="C1027" s="11" t="s">
        <v>1103</v>
      </c>
      <c r="D1027" s="11" t="s">
        <v>20</v>
      </c>
      <c r="E1027" s="11" t="s">
        <v>8</v>
      </c>
      <c r="F1027" s="12">
        <v>1336.15</v>
      </c>
      <c r="G1027" s="13">
        <v>170.45574973000001</v>
      </c>
      <c r="H1027" s="14">
        <v>227754.45</v>
      </c>
      <c r="I1027" s="12">
        <v>0</v>
      </c>
      <c r="J1027" s="13"/>
      <c r="K1027" s="14">
        <v>0</v>
      </c>
      <c r="L1027" s="12">
        <v>896.88</v>
      </c>
      <c r="M1027" s="13">
        <v>170.45581349</v>
      </c>
      <c r="N1027" s="14">
        <v>152878.41</v>
      </c>
      <c r="O1027" s="12">
        <v>439.27</v>
      </c>
      <c r="P1027" s="13">
        <v>170.45561954999999</v>
      </c>
      <c r="Q1027" s="14">
        <v>74876.039999999994</v>
      </c>
      <c r="R1027" s="11" t="s">
        <v>2990</v>
      </c>
      <c r="S1027" s="11" t="s">
        <v>2991</v>
      </c>
      <c r="T1027" s="11" t="s">
        <v>2961</v>
      </c>
    </row>
    <row r="1028" spans="1:20" ht="50.1" hidden="1" customHeight="1">
      <c r="A1028" s="10">
        <v>1027</v>
      </c>
      <c r="B1028" s="11" t="s">
        <v>1104</v>
      </c>
      <c r="C1028" s="11" t="s">
        <v>1105</v>
      </c>
      <c r="D1028" s="11" t="s">
        <v>20</v>
      </c>
      <c r="E1028" s="11" t="s">
        <v>8</v>
      </c>
      <c r="F1028" s="12">
        <v>784.64</v>
      </c>
      <c r="G1028" s="13">
        <v>170.23019474</v>
      </c>
      <c r="H1028" s="14">
        <v>133569.42000000001</v>
      </c>
      <c r="I1028" s="12">
        <v>1037.9000000000001</v>
      </c>
      <c r="J1028" s="13">
        <v>169.72992581</v>
      </c>
      <c r="K1028" s="14">
        <v>176162.69</v>
      </c>
      <c r="L1028" s="12">
        <v>1145.3399999999999</v>
      </c>
      <c r="M1028" s="13">
        <v>169.9563623</v>
      </c>
      <c r="N1028" s="14">
        <v>194657.82</v>
      </c>
      <c r="O1028" s="12">
        <v>677.2</v>
      </c>
      <c r="P1028" s="13">
        <v>169.9265948</v>
      </c>
      <c r="Q1028" s="14">
        <v>115074.29</v>
      </c>
      <c r="R1028" s="11" t="s">
        <v>2990</v>
      </c>
      <c r="S1028" s="11" t="s">
        <v>2991</v>
      </c>
      <c r="T1028" s="11" t="s">
        <v>2961</v>
      </c>
    </row>
    <row r="1029" spans="1:20" ht="50.1" hidden="1" customHeight="1">
      <c r="A1029" s="10">
        <v>1028</v>
      </c>
      <c r="B1029" s="11" t="s">
        <v>1106</v>
      </c>
      <c r="C1029" s="11" t="s">
        <v>1107</v>
      </c>
      <c r="D1029" s="11" t="s">
        <v>20</v>
      </c>
      <c r="E1029" s="11" t="s">
        <v>8</v>
      </c>
      <c r="F1029" s="12">
        <v>50.6</v>
      </c>
      <c r="G1029" s="13">
        <v>244.49683794000001</v>
      </c>
      <c r="H1029" s="14">
        <v>12371.54</v>
      </c>
      <c r="I1029" s="12">
        <v>0</v>
      </c>
      <c r="J1029" s="13"/>
      <c r="K1029" s="14">
        <v>0</v>
      </c>
      <c r="L1029" s="12">
        <v>0</v>
      </c>
      <c r="M1029" s="13"/>
      <c r="N1029" s="14">
        <v>0</v>
      </c>
      <c r="O1029" s="12">
        <v>50.6</v>
      </c>
      <c r="P1029" s="13">
        <v>244.49683794000001</v>
      </c>
      <c r="Q1029" s="14">
        <v>12371.54</v>
      </c>
      <c r="R1029" s="11" t="s">
        <v>2964</v>
      </c>
      <c r="S1029" s="11" t="s">
        <v>2965</v>
      </c>
      <c r="T1029" s="11" t="s">
        <v>2966</v>
      </c>
    </row>
    <row r="1030" spans="1:20" ht="50.1" hidden="1" customHeight="1">
      <c r="A1030" s="10">
        <v>1029</v>
      </c>
      <c r="B1030" s="11" t="s">
        <v>1108</v>
      </c>
      <c r="C1030" s="11" t="s">
        <v>1109</v>
      </c>
      <c r="D1030" s="11" t="s">
        <v>17</v>
      </c>
      <c r="E1030" s="11" t="s">
        <v>8</v>
      </c>
      <c r="F1030" s="12">
        <v>170</v>
      </c>
      <c r="G1030" s="13">
        <v>111.69817647000001</v>
      </c>
      <c r="H1030" s="14">
        <v>18988.689999999999</v>
      </c>
      <c r="I1030" s="12">
        <v>0</v>
      </c>
      <c r="J1030" s="13"/>
      <c r="K1030" s="14">
        <v>0</v>
      </c>
      <c r="L1030" s="12">
        <v>18</v>
      </c>
      <c r="M1030" s="13">
        <v>111.69666667</v>
      </c>
      <c r="N1030" s="14">
        <v>2010.54</v>
      </c>
      <c r="O1030" s="12">
        <v>152</v>
      </c>
      <c r="P1030" s="13">
        <v>111.69835526</v>
      </c>
      <c r="Q1030" s="14">
        <v>16978.150000000001</v>
      </c>
      <c r="R1030" s="11" t="s">
        <v>2971</v>
      </c>
      <c r="S1030" s="11" t="s">
        <v>2972</v>
      </c>
      <c r="T1030" s="11" t="s">
        <v>2966</v>
      </c>
    </row>
    <row r="1031" spans="1:20" ht="50.1" hidden="1" customHeight="1">
      <c r="A1031" s="10">
        <v>1030</v>
      </c>
      <c r="B1031" s="11" t="s">
        <v>1110</v>
      </c>
      <c r="C1031" s="11" t="s">
        <v>1111</v>
      </c>
      <c r="D1031" s="11" t="s">
        <v>17</v>
      </c>
      <c r="E1031" s="11" t="s">
        <v>8</v>
      </c>
      <c r="F1031" s="12">
        <v>1200</v>
      </c>
      <c r="G1031" s="13">
        <v>0.50300833</v>
      </c>
      <c r="H1031" s="14">
        <v>603.61</v>
      </c>
      <c r="I1031" s="12">
        <v>8500</v>
      </c>
      <c r="J1031" s="13">
        <v>0.5</v>
      </c>
      <c r="K1031" s="14">
        <v>4250</v>
      </c>
      <c r="L1031" s="12">
        <v>2200</v>
      </c>
      <c r="M1031" s="13">
        <v>0.50080000000000002</v>
      </c>
      <c r="N1031" s="14">
        <v>1101.76</v>
      </c>
      <c r="O1031" s="12">
        <v>7500</v>
      </c>
      <c r="P1031" s="13">
        <v>0.50024667</v>
      </c>
      <c r="Q1031" s="14">
        <v>3751.85</v>
      </c>
      <c r="R1031" s="11" t="s">
        <v>2971</v>
      </c>
      <c r="S1031" s="11" t="s">
        <v>2972</v>
      </c>
      <c r="T1031" s="11" t="s">
        <v>2961</v>
      </c>
    </row>
    <row r="1032" spans="1:20" ht="50.1" hidden="1" customHeight="1">
      <c r="A1032" s="10">
        <v>1031</v>
      </c>
      <c r="B1032" s="11" t="s">
        <v>1112</v>
      </c>
      <c r="C1032" s="11" t="s">
        <v>1113</v>
      </c>
      <c r="D1032" s="11" t="s">
        <v>17</v>
      </c>
      <c r="E1032" s="11" t="s">
        <v>8</v>
      </c>
      <c r="F1032" s="12">
        <v>500</v>
      </c>
      <c r="G1032" s="13">
        <v>0.72</v>
      </c>
      <c r="H1032" s="14">
        <v>360</v>
      </c>
      <c r="I1032" s="12">
        <v>500</v>
      </c>
      <c r="J1032" s="13">
        <v>0.72</v>
      </c>
      <c r="K1032" s="14">
        <v>360</v>
      </c>
      <c r="L1032" s="12">
        <v>0</v>
      </c>
      <c r="M1032" s="13"/>
      <c r="N1032" s="14">
        <v>0</v>
      </c>
      <c r="O1032" s="12">
        <v>1000</v>
      </c>
      <c r="P1032" s="13">
        <v>0.72</v>
      </c>
      <c r="Q1032" s="14">
        <v>720</v>
      </c>
      <c r="R1032" s="11" t="s">
        <v>2997</v>
      </c>
      <c r="S1032" s="11" t="s">
        <v>2998</v>
      </c>
      <c r="T1032" s="11" t="s">
        <v>2966</v>
      </c>
    </row>
    <row r="1033" spans="1:20" ht="50.1" hidden="1" customHeight="1">
      <c r="A1033" s="10">
        <v>1032</v>
      </c>
      <c r="B1033" s="11" t="s">
        <v>2927</v>
      </c>
      <c r="C1033" s="11" t="s">
        <v>3037</v>
      </c>
      <c r="D1033" s="11" t="s">
        <v>17</v>
      </c>
      <c r="E1033" s="11" t="s">
        <v>8</v>
      </c>
      <c r="F1033" s="12">
        <v>595</v>
      </c>
      <c r="G1033" s="13">
        <v>11</v>
      </c>
      <c r="H1033" s="14">
        <v>6545</v>
      </c>
      <c r="I1033" s="12">
        <v>0</v>
      </c>
      <c r="J1033" s="13"/>
      <c r="K1033" s="14">
        <v>0</v>
      </c>
      <c r="L1033" s="12">
        <v>0</v>
      </c>
      <c r="M1033" s="13"/>
      <c r="N1033" s="14">
        <v>0</v>
      </c>
      <c r="O1033" s="12">
        <v>595</v>
      </c>
      <c r="P1033" s="13">
        <v>11</v>
      </c>
      <c r="Q1033" s="14">
        <v>6545</v>
      </c>
      <c r="R1033" s="11" t="s">
        <v>2971</v>
      </c>
      <c r="S1033" s="11" t="s">
        <v>2972</v>
      </c>
      <c r="T1033" s="11" t="s">
        <v>2966</v>
      </c>
    </row>
    <row r="1034" spans="1:20" ht="50.1" hidden="1" customHeight="1">
      <c r="A1034" s="10">
        <v>1033</v>
      </c>
      <c r="B1034" s="11" t="s">
        <v>2928</v>
      </c>
      <c r="C1034" s="11" t="s">
        <v>2929</v>
      </c>
      <c r="D1034" s="11" t="s">
        <v>17</v>
      </c>
      <c r="E1034" s="11" t="s">
        <v>8</v>
      </c>
      <c r="F1034" s="12">
        <v>1120</v>
      </c>
      <c r="G1034" s="13">
        <v>0.9</v>
      </c>
      <c r="H1034" s="14">
        <v>1008</v>
      </c>
      <c r="I1034" s="12">
        <v>0</v>
      </c>
      <c r="J1034" s="13"/>
      <c r="K1034" s="14">
        <v>0</v>
      </c>
      <c r="L1034" s="12">
        <v>0</v>
      </c>
      <c r="M1034" s="13"/>
      <c r="N1034" s="14">
        <v>0</v>
      </c>
      <c r="O1034" s="12">
        <v>1120</v>
      </c>
      <c r="P1034" s="13">
        <v>0.9</v>
      </c>
      <c r="Q1034" s="14">
        <v>1008</v>
      </c>
      <c r="R1034" s="11" t="s">
        <v>2971</v>
      </c>
      <c r="S1034" s="11" t="s">
        <v>2972</v>
      </c>
      <c r="T1034" s="11" t="s">
        <v>2966</v>
      </c>
    </row>
    <row r="1035" spans="1:20" ht="50.1" hidden="1" customHeight="1">
      <c r="A1035" s="10">
        <v>1034</v>
      </c>
      <c r="B1035" s="11" t="s">
        <v>1114</v>
      </c>
      <c r="C1035" s="11" t="s">
        <v>1115</v>
      </c>
      <c r="D1035" s="11" t="s">
        <v>1116</v>
      </c>
      <c r="E1035" s="11" t="s">
        <v>8</v>
      </c>
      <c r="F1035" s="12">
        <v>1830</v>
      </c>
      <c r="G1035" s="13">
        <v>76.777721310000004</v>
      </c>
      <c r="H1035" s="14">
        <v>140503.23000000001</v>
      </c>
      <c r="I1035" s="12">
        <v>0</v>
      </c>
      <c r="J1035" s="13"/>
      <c r="K1035" s="14">
        <v>0</v>
      </c>
      <c r="L1035" s="12">
        <v>0</v>
      </c>
      <c r="M1035" s="13"/>
      <c r="N1035" s="14">
        <v>0</v>
      </c>
      <c r="O1035" s="12">
        <v>1830</v>
      </c>
      <c r="P1035" s="13">
        <v>76.777721310000004</v>
      </c>
      <c r="Q1035" s="14">
        <v>140503.23000000001</v>
      </c>
      <c r="R1035" s="11" t="s">
        <v>3028</v>
      </c>
      <c r="S1035" s="11" t="s">
        <v>3029</v>
      </c>
      <c r="T1035" s="11" t="s">
        <v>2966</v>
      </c>
    </row>
    <row r="1036" spans="1:20" ht="50.1" hidden="1" customHeight="1">
      <c r="A1036" s="10">
        <v>1035</v>
      </c>
      <c r="B1036" s="11" t="s">
        <v>1117</v>
      </c>
      <c r="C1036" s="11" t="s">
        <v>1118</v>
      </c>
      <c r="D1036" s="11" t="s">
        <v>17</v>
      </c>
      <c r="E1036" s="11" t="s">
        <v>8</v>
      </c>
      <c r="F1036" s="12">
        <v>8500</v>
      </c>
      <c r="G1036" s="13">
        <v>1.1200000000000001</v>
      </c>
      <c r="H1036" s="14">
        <v>9520</v>
      </c>
      <c r="I1036" s="12">
        <v>0</v>
      </c>
      <c r="J1036" s="13"/>
      <c r="K1036" s="14">
        <v>0</v>
      </c>
      <c r="L1036" s="12">
        <v>0</v>
      </c>
      <c r="M1036" s="13"/>
      <c r="N1036" s="14">
        <v>0</v>
      </c>
      <c r="O1036" s="12">
        <v>8500</v>
      </c>
      <c r="P1036" s="13">
        <v>1.1200000000000001</v>
      </c>
      <c r="Q1036" s="14">
        <v>9520</v>
      </c>
      <c r="R1036" s="11" t="s">
        <v>2971</v>
      </c>
      <c r="S1036" s="11" t="s">
        <v>2972</v>
      </c>
      <c r="T1036" s="11" t="s">
        <v>2966</v>
      </c>
    </row>
    <row r="1037" spans="1:20" ht="50.1" hidden="1" customHeight="1">
      <c r="A1037" s="10">
        <v>1036</v>
      </c>
      <c r="B1037" s="11" t="s">
        <v>1119</v>
      </c>
      <c r="C1037" s="11" t="s">
        <v>1120</v>
      </c>
      <c r="D1037" s="11" t="s">
        <v>17</v>
      </c>
      <c r="E1037" s="11" t="s">
        <v>8</v>
      </c>
      <c r="F1037" s="12">
        <v>4000</v>
      </c>
      <c r="G1037" s="13">
        <v>0.90000349999999996</v>
      </c>
      <c r="H1037" s="14">
        <v>3600.0140000000001</v>
      </c>
      <c r="I1037" s="12">
        <v>0</v>
      </c>
      <c r="J1037" s="13"/>
      <c r="K1037" s="14">
        <v>0</v>
      </c>
      <c r="L1037" s="12">
        <v>1000</v>
      </c>
      <c r="M1037" s="13">
        <v>0.9</v>
      </c>
      <c r="N1037" s="14">
        <v>900</v>
      </c>
      <c r="O1037" s="12">
        <v>3000</v>
      </c>
      <c r="P1037" s="13">
        <v>0.90000466999999995</v>
      </c>
      <c r="Q1037" s="14">
        <v>2700.0140000000001</v>
      </c>
      <c r="R1037" s="11" t="s">
        <v>2971</v>
      </c>
      <c r="S1037" s="11" t="s">
        <v>2972</v>
      </c>
      <c r="T1037" s="11" t="s">
        <v>2966</v>
      </c>
    </row>
    <row r="1038" spans="1:20" ht="50.1" hidden="1" customHeight="1">
      <c r="A1038" s="10">
        <v>1037</v>
      </c>
      <c r="B1038" s="11" t="s">
        <v>2571</v>
      </c>
      <c r="C1038" s="11" t="s">
        <v>2572</v>
      </c>
      <c r="D1038" s="11" t="s">
        <v>17</v>
      </c>
      <c r="E1038" s="11" t="s">
        <v>8</v>
      </c>
      <c r="F1038" s="12">
        <v>1500</v>
      </c>
      <c r="G1038" s="13">
        <v>2.48</v>
      </c>
      <c r="H1038" s="14">
        <v>3720</v>
      </c>
      <c r="I1038" s="12">
        <v>0</v>
      </c>
      <c r="J1038" s="13"/>
      <c r="K1038" s="14">
        <v>0</v>
      </c>
      <c r="L1038" s="12">
        <v>0</v>
      </c>
      <c r="M1038" s="13"/>
      <c r="N1038" s="14">
        <v>0</v>
      </c>
      <c r="O1038" s="12">
        <v>1500</v>
      </c>
      <c r="P1038" s="13">
        <v>2.48</v>
      </c>
      <c r="Q1038" s="14">
        <v>3720</v>
      </c>
      <c r="R1038" s="11" t="s">
        <v>2971</v>
      </c>
      <c r="S1038" s="11" t="s">
        <v>2972</v>
      </c>
      <c r="T1038" s="11" t="s">
        <v>2961</v>
      </c>
    </row>
    <row r="1039" spans="1:20" ht="50.1" hidden="1" customHeight="1">
      <c r="A1039" s="10">
        <v>1038</v>
      </c>
      <c r="B1039" s="11" t="s">
        <v>1121</v>
      </c>
      <c r="C1039" s="11" t="s">
        <v>1122</v>
      </c>
      <c r="D1039" s="11" t="s">
        <v>17</v>
      </c>
      <c r="E1039" s="11" t="s">
        <v>8</v>
      </c>
      <c r="F1039" s="12">
        <v>11100</v>
      </c>
      <c r="G1039" s="13">
        <v>0.89999991000000001</v>
      </c>
      <c r="H1039" s="14">
        <v>9989.9989999999998</v>
      </c>
      <c r="I1039" s="12">
        <v>0</v>
      </c>
      <c r="J1039" s="13"/>
      <c r="K1039" s="14">
        <v>0</v>
      </c>
      <c r="L1039" s="12">
        <v>1000</v>
      </c>
      <c r="M1039" s="13">
        <v>0.9</v>
      </c>
      <c r="N1039" s="14">
        <v>900</v>
      </c>
      <c r="O1039" s="12">
        <v>10100</v>
      </c>
      <c r="P1039" s="13">
        <v>0.89999989999999996</v>
      </c>
      <c r="Q1039" s="14">
        <v>9089.9989999999998</v>
      </c>
      <c r="R1039" s="11" t="s">
        <v>2971</v>
      </c>
      <c r="S1039" s="11" t="s">
        <v>2972</v>
      </c>
      <c r="T1039" s="11" t="s">
        <v>2966</v>
      </c>
    </row>
    <row r="1040" spans="1:20" ht="50.1" hidden="1" customHeight="1">
      <c r="A1040" s="10">
        <v>1039</v>
      </c>
      <c r="B1040" s="11" t="s">
        <v>1123</v>
      </c>
      <c r="C1040" s="11" t="s">
        <v>1124</v>
      </c>
      <c r="D1040" s="11" t="s">
        <v>17</v>
      </c>
      <c r="E1040" s="11" t="s">
        <v>8</v>
      </c>
      <c r="F1040" s="12">
        <v>3100</v>
      </c>
      <c r="G1040" s="13">
        <v>0.9</v>
      </c>
      <c r="H1040" s="14">
        <v>2790</v>
      </c>
      <c r="I1040" s="12">
        <v>0</v>
      </c>
      <c r="J1040" s="13"/>
      <c r="K1040" s="14">
        <v>0</v>
      </c>
      <c r="L1040" s="12">
        <v>0</v>
      </c>
      <c r="M1040" s="13"/>
      <c r="N1040" s="14">
        <v>0</v>
      </c>
      <c r="O1040" s="12">
        <v>3100</v>
      </c>
      <c r="P1040" s="13">
        <v>0.9</v>
      </c>
      <c r="Q1040" s="14">
        <v>2790</v>
      </c>
      <c r="R1040" s="11" t="s">
        <v>2971</v>
      </c>
      <c r="S1040" s="11" t="s">
        <v>2972</v>
      </c>
      <c r="T1040" s="11" t="s">
        <v>2966</v>
      </c>
    </row>
    <row r="1041" spans="1:20" ht="50.1" hidden="1" customHeight="1">
      <c r="A1041" s="10">
        <v>1040</v>
      </c>
      <c r="B1041" s="11" t="s">
        <v>1125</v>
      </c>
      <c r="C1041" s="11" t="s">
        <v>1126</v>
      </c>
      <c r="D1041" s="11" t="s">
        <v>17</v>
      </c>
      <c r="E1041" s="11" t="s">
        <v>8</v>
      </c>
      <c r="F1041" s="12">
        <v>3100</v>
      </c>
      <c r="G1041" s="13">
        <v>0.89999870999999998</v>
      </c>
      <c r="H1041" s="14">
        <v>2789.9960000000001</v>
      </c>
      <c r="I1041" s="12">
        <v>0</v>
      </c>
      <c r="J1041" s="13"/>
      <c r="K1041" s="14">
        <v>0</v>
      </c>
      <c r="L1041" s="12">
        <v>0</v>
      </c>
      <c r="M1041" s="13"/>
      <c r="N1041" s="14">
        <v>0</v>
      </c>
      <c r="O1041" s="12">
        <v>3100</v>
      </c>
      <c r="P1041" s="13">
        <v>0.89999870999999998</v>
      </c>
      <c r="Q1041" s="14">
        <v>2789.9960000000001</v>
      </c>
      <c r="R1041" s="11" t="s">
        <v>2971</v>
      </c>
      <c r="S1041" s="11" t="s">
        <v>2972</v>
      </c>
      <c r="T1041" s="11" t="s">
        <v>2966</v>
      </c>
    </row>
    <row r="1042" spans="1:20" ht="50.1" hidden="1" customHeight="1">
      <c r="A1042" s="10">
        <v>1041</v>
      </c>
      <c r="B1042" s="11" t="s">
        <v>1127</v>
      </c>
      <c r="C1042" s="11" t="s">
        <v>1128</v>
      </c>
      <c r="D1042" s="11" t="s">
        <v>17</v>
      </c>
      <c r="E1042" s="11" t="s">
        <v>8</v>
      </c>
      <c r="F1042" s="12">
        <v>3000</v>
      </c>
      <c r="G1042" s="13">
        <v>0.75266666999999998</v>
      </c>
      <c r="H1042" s="14">
        <v>2258</v>
      </c>
      <c r="I1042" s="12">
        <v>0</v>
      </c>
      <c r="J1042" s="13"/>
      <c r="K1042" s="14">
        <v>0</v>
      </c>
      <c r="L1042" s="12">
        <v>0</v>
      </c>
      <c r="M1042" s="13"/>
      <c r="N1042" s="14">
        <v>0</v>
      </c>
      <c r="O1042" s="12">
        <v>3000</v>
      </c>
      <c r="P1042" s="13">
        <v>0.75266666999999998</v>
      </c>
      <c r="Q1042" s="14">
        <v>2258</v>
      </c>
      <c r="R1042" s="11" t="s">
        <v>2971</v>
      </c>
      <c r="S1042" s="11" t="s">
        <v>2972</v>
      </c>
      <c r="T1042" s="11" t="s">
        <v>2966</v>
      </c>
    </row>
    <row r="1043" spans="1:20" ht="50.1" hidden="1" customHeight="1">
      <c r="A1043" s="10">
        <v>1042</v>
      </c>
      <c r="B1043" s="11" t="s">
        <v>1131</v>
      </c>
      <c r="C1043" s="11" t="s">
        <v>1132</v>
      </c>
      <c r="D1043" s="11" t="s">
        <v>17</v>
      </c>
      <c r="E1043" s="11" t="s">
        <v>8</v>
      </c>
      <c r="F1043" s="12">
        <v>940</v>
      </c>
      <c r="G1043" s="13">
        <v>11</v>
      </c>
      <c r="H1043" s="14">
        <v>10340</v>
      </c>
      <c r="I1043" s="12">
        <v>600</v>
      </c>
      <c r="J1043" s="13">
        <v>11</v>
      </c>
      <c r="K1043" s="14">
        <v>6600</v>
      </c>
      <c r="L1043" s="12">
        <v>520</v>
      </c>
      <c r="M1043" s="13">
        <v>11</v>
      </c>
      <c r="N1043" s="14">
        <v>5720</v>
      </c>
      <c r="O1043" s="12">
        <v>1020</v>
      </c>
      <c r="P1043" s="13">
        <v>11</v>
      </c>
      <c r="Q1043" s="14">
        <v>11220</v>
      </c>
      <c r="R1043" s="11" t="s">
        <v>2990</v>
      </c>
      <c r="S1043" s="11" t="s">
        <v>2991</v>
      </c>
      <c r="T1043" s="11" t="s">
        <v>2966</v>
      </c>
    </row>
    <row r="1044" spans="1:20" ht="50.1" hidden="1" customHeight="1">
      <c r="A1044" s="10">
        <v>1043</v>
      </c>
      <c r="B1044" s="11" t="s">
        <v>3158</v>
      </c>
      <c r="C1044" s="11" t="s">
        <v>3159</v>
      </c>
      <c r="D1044" s="11" t="s">
        <v>7</v>
      </c>
      <c r="E1044" s="11" t="s">
        <v>8</v>
      </c>
      <c r="F1044" s="12">
        <v>1620</v>
      </c>
      <c r="G1044" s="13">
        <v>6</v>
      </c>
      <c r="H1044" s="14">
        <v>9720</v>
      </c>
      <c r="I1044" s="12">
        <v>2160</v>
      </c>
      <c r="J1044" s="13">
        <v>6</v>
      </c>
      <c r="K1044" s="14">
        <v>12960</v>
      </c>
      <c r="L1044" s="12">
        <v>1440</v>
      </c>
      <c r="M1044" s="13">
        <v>6</v>
      </c>
      <c r="N1044" s="14">
        <v>8640</v>
      </c>
      <c r="O1044" s="12">
        <v>2340</v>
      </c>
      <c r="P1044" s="13">
        <v>6</v>
      </c>
      <c r="Q1044" s="14">
        <v>14040</v>
      </c>
      <c r="R1044" s="11" t="s">
        <v>2971</v>
      </c>
      <c r="S1044" s="11" t="s">
        <v>2972</v>
      </c>
      <c r="T1044" s="11" t="s">
        <v>2966</v>
      </c>
    </row>
    <row r="1045" spans="1:20" ht="50.1" hidden="1" customHeight="1">
      <c r="A1045" s="10">
        <v>1044</v>
      </c>
      <c r="B1045" s="11" t="s">
        <v>2882</v>
      </c>
      <c r="C1045" s="11" t="s">
        <v>2883</v>
      </c>
      <c r="D1045" s="11" t="s">
        <v>17</v>
      </c>
      <c r="E1045" s="11" t="s">
        <v>8</v>
      </c>
      <c r="F1045" s="12">
        <v>23650</v>
      </c>
      <c r="G1045" s="13">
        <v>6.6</v>
      </c>
      <c r="H1045" s="14">
        <v>156090</v>
      </c>
      <c r="I1045" s="12">
        <v>0</v>
      </c>
      <c r="J1045" s="13"/>
      <c r="K1045" s="14">
        <v>0</v>
      </c>
      <c r="L1045" s="12">
        <v>0</v>
      </c>
      <c r="M1045" s="13"/>
      <c r="N1045" s="14">
        <v>0</v>
      </c>
      <c r="O1045" s="12">
        <v>23650</v>
      </c>
      <c r="P1045" s="13">
        <v>6.6</v>
      </c>
      <c r="Q1045" s="14">
        <v>156090</v>
      </c>
      <c r="R1045" s="11" t="s">
        <v>2971</v>
      </c>
      <c r="S1045" s="11" t="s">
        <v>2972</v>
      </c>
      <c r="T1045" s="11" t="s">
        <v>2966</v>
      </c>
    </row>
    <row r="1046" spans="1:20" ht="50.1" hidden="1" customHeight="1">
      <c r="A1046" s="10">
        <v>1045</v>
      </c>
      <c r="B1046" s="11" t="s">
        <v>1133</v>
      </c>
      <c r="C1046" s="11" t="s">
        <v>1134</v>
      </c>
      <c r="D1046" s="11" t="s">
        <v>17</v>
      </c>
      <c r="E1046" s="11" t="s">
        <v>8</v>
      </c>
      <c r="F1046" s="12">
        <v>2516</v>
      </c>
      <c r="G1046" s="13">
        <v>0.51555245999999999</v>
      </c>
      <c r="H1046" s="14">
        <v>1297.1300000000001</v>
      </c>
      <c r="I1046" s="12">
        <v>0</v>
      </c>
      <c r="J1046" s="13"/>
      <c r="K1046" s="14">
        <v>0</v>
      </c>
      <c r="L1046" s="12">
        <v>0</v>
      </c>
      <c r="M1046" s="13"/>
      <c r="N1046" s="14">
        <v>0</v>
      </c>
      <c r="O1046" s="12">
        <v>2516</v>
      </c>
      <c r="P1046" s="13">
        <v>0.51555245999999999</v>
      </c>
      <c r="Q1046" s="14">
        <v>1297.1300000000001</v>
      </c>
      <c r="R1046" s="11" t="s">
        <v>2971</v>
      </c>
      <c r="S1046" s="11" t="s">
        <v>2972</v>
      </c>
      <c r="T1046" s="11" t="s">
        <v>2966</v>
      </c>
    </row>
    <row r="1047" spans="1:20" ht="50.1" hidden="1" customHeight="1">
      <c r="A1047" s="10">
        <v>1046</v>
      </c>
      <c r="B1047" s="11" t="s">
        <v>3271</v>
      </c>
      <c r="C1047" s="11" t="s">
        <v>3272</v>
      </c>
      <c r="D1047" s="11" t="s">
        <v>17</v>
      </c>
      <c r="E1047" s="11" t="s">
        <v>8</v>
      </c>
      <c r="F1047" s="12">
        <v>1000</v>
      </c>
      <c r="G1047" s="13">
        <v>1.2</v>
      </c>
      <c r="H1047" s="14">
        <v>1200</v>
      </c>
      <c r="I1047" s="12">
        <v>1500</v>
      </c>
      <c r="J1047" s="13">
        <v>1.2</v>
      </c>
      <c r="K1047" s="14">
        <v>1800</v>
      </c>
      <c r="L1047" s="12">
        <v>1000</v>
      </c>
      <c r="M1047" s="13">
        <v>1.2</v>
      </c>
      <c r="N1047" s="14">
        <v>1200</v>
      </c>
      <c r="O1047" s="12">
        <v>1500</v>
      </c>
      <c r="P1047" s="13">
        <v>1.2</v>
      </c>
      <c r="Q1047" s="14">
        <v>1800</v>
      </c>
      <c r="R1047" s="11" t="s">
        <v>2990</v>
      </c>
      <c r="S1047" s="11" t="s">
        <v>2991</v>
      </c>
      <c r="T1047" s="11" t="s">
        <v>2966</v>
      </c>
    </row>
    <row r="1048" spans="1:20" ht="50.1" hidden="1" customHeight="1">
      <c r="A1048" s="10">
        <v>1047</v>
      </c>
      <c r="B1048" s="11" t="s">
        <v>2319</v>
      </c>
      <c r="C1048" s="11" t="s">
        <v>2320</v>
      </c>
      <c r="D1048" s="11" t="s">
        <v>17</v>
      </c>
      <c r="E1048" s="11" t="s">
        <v>8</v>
      </c>
      <c r="F1048" s="12">
        <v>2</v>
      </c>
      <c r="G1048" s="13">
        <v>11205</v>
      </c>
      <c r="H1048" s="14">
        <v>22410</v>
      </c>
      <c r="I1048" s="12">
        <v>4</v>
      </c>
      <c r="J1048" s="13">
        <v>11205</v>
      </c>
      <c r="K1048" s="14">
        <v>44820</v>
      </c>
      <c r="L1048" s="12">
        <v>0</v>
      </c>
      <c r="M1048" s="13"/>
      <c r="N1048" s="14">
        <v>0</v>
      </c>
      <c r="O1048" s="12">
        <v>6</v>
      </c>
      <c r="P1048" s="13">
        <v>11205</v>
      </c>
      <c r="Q1048" s="14">
        <v>67230</v>
      </c>
      <c r="R1048" s="11" t="s">
        <v>3114</v>
      </c>
      <c r="S1048" s="11" t="s">
        <v>3065</v>
      </c>
      <c r="T1048" s="11" t="s">
        <v>2966</v>
      </c>
    </row>
    <row r="1049" spans="1:20" ht="50.1" hidden="1" customHeight="1">
      <c r="A1049" s="10">
        <v>1048</v>
      </c>
      <c r="B1049" s="11" t="s">
        <v>1139</v>
      </c>
      <c r="C1049" s="11" t="s">
        <v>1140</v>
      </c>
      <c r="D1049" s="11" t="s">
        <v>17</v>
      </c>
      <c r="E1049" s="11" t="s">
        <v>8</v>
      </c>
      <c r="F1049" s="12">
        <v>4200</v>
      </c>
      <c r="G1049" s="13">
        <v>1.9717214300000001</v>
      </c>
      <c r="H1049" s="14">
        <v>8281.23</v>
      </c>
      <c r="I1049" s="12">
        <v>0</v>
      </c>
      <c r="J1049" s="13"/>
      <c r="K1049" s="14">
        <v>0</v>
      </c>
      <c r="L1049" s="12">
        <v>0</v>
      </c>
      <c r="M1049" s="13"/>
      <c r="N1049" s="14">
        <v>0</v>
      </c>
      <c r="O1049" s="12">
        <v>4200</v>
      </c>
      <c r="P1049" s="13">
        <v>1.9717214300000001</v>
      </c>
      <c r="Q1049" s="14">
        <v>8281.23</v>
      </c>
      <c r="R1049" s="11" t="s">
        <v>2971</v>
      </c>
      <c r="S1049" s="11" t="s">
        <v>2972</v>
      </c>
      <c r="T1049" s="11" t="s">
        <v>2966</v>
      </c>
    </row>
    <row r="1050" spans="1:20" ht="50.1" hidden="1" customHeight="1">
      <c r="A1050" s="10">
        <v>1049</v>
      </c>
      <c r="B1050" s="11" t="s">
        <v>1141</v>
      </c>
      <c r="C1050" s="11" t="s">
        <v>1142</v>
      </c>
      <c r="D1050" s="11" t="s">
        <v>17</v>
      </c>
      <c r="E1050" s="11" t="s">
        <v>8</v>
      </c>
      <c r="F1050" s="12">
        <v>300</v>
      </c>
      <c r="G1050" s="13">
        <v>8</v>
      </c>
      <c r="H1050" s="14">
        <v>2400</v>
      </c>
      <c r="I1050" s="12">
        <v>1000</v>
      </c>
      <c r="J1050" s="13">
        <v>8</v>
      </c>
      <c r="K1050" s="14">
        <v>8000</v>
      </c>
      <c r="L1050" s="12">
        <v>0</v>
      </c>
      <c r="M1050" s="13"/>
      <c r="N1050" s="14">
        <v>0</v>
      </c>
      <c r="O1050" s="12">
        <v>1300</v>
      </c>
      <c r="P1050" s="13">
        <v>8</v>
      </c>
      <c r="Q1050" s="14">
        <v>10400</v>
      </c>
      <c r="R1050" s="11" t="s">
        <v>2990</v>
      </c>
      <c r="S1050" s="11" t="s">
        <v>2991</v>
      </c>
      <c r="T1050" s="11" t="s">
        <v>2966</v>
      </c>
    </row>
    <row r="1051" spans="1:20" ht="50.1" hidden="1" customHeight="1">
      <c r="A1051" s="10">
        <v>1050</v>
      </c>
      <c r="B1051" s="11" t="s">
        <v>1145</v>
      </c>
      <c r="C1051" s="11" t="s">
        <v>1146</v>
      </c>
      <c r="D1051" s="11" t="s">
        <v>17</v>
      </c>
      <c r="E1051" s="11" t="s">
        <v>8</v>
      </c>
      <c r="F1051" s="12">
        <v>6</v>
      </c>
      <c r="G1051" s="13">
        <v>5400</v>
      </c>
      <c r="H1051" s="14">
        <v>32400</v>
      </c>
      <c r="I1051" s="12">
        <v>0</v>
      </c>
      <c r="J1051" s="13"/>
      <c r="K1051" s="14">
        <v>0</v>
      </c>
      <c r="L1051" s="12">
        <v>0</v>
      </c>
      <c r="M1051" s="13"/>
      <c r="N1051" s="14">
        <v>0</v>
      </c>
      <c r="O1051" s="12">
        <v>6</v>
      </c>
      <c r="P1051" s="13">
        <v>5400</v>
      </c>
      <c r="Q1051" s="14">
        <v>32400</v>
      </c>
      <c r="R1051" s="11" t="s">
        <v>2971</v>
      </c>
      <c r="S1051" s="11" t="s">
        <v>2972</v>
      </c>
      <c r="T1051" s="11" t="s">
        <v>2966</v>
      </c>
    </row>
    <row r="1052" spans="1:20" ht="50.1" hidden="1" customHeight="1">
      <c r="A1052" s="10">
        <v>1051</v>
      </c>
      <c r="B1052" s="11" t="s">
        <v>1147</v>
      </c>
      <c r="C1052" s="11" t="s">
        <v>1148</v>
      </c>
      <c r="D1052" s="11" t="s">
        <v>17</v>
      </c>
      <c r="E1052" s="11" t="s">
        <v>8</v>
      </c>
      <c r="F1052" s="12">
        <v>250</v>
      </c>
      <c r="G1052" s="13">
        <v>19.997640000000001</v>
      </c>
      <c r="H1052" s="14">
        <v>4999.41</v>
      </c>
      <c r="I1052" s="12">
        <v>0</v>
      </c>
      <c r="J1052" s="13"/>
      <c r="K1052" s="14">
        <v>0</v>
      </c>
      <c r="L1052" s="12">
        <v>0</v>
      </c>
      <c r="M1052" s="13"/>
      <c r="N1052" s="14">
        <v>0</v>
      </c>
      <c r="O1052" s="12">
        <v>250</v>
      </c>
      <c r="P1052" s="13">
        <v>19.997640000000001</v>
      </c>
      <c r="Q1052" s="14">
        <v>4999.41</v>
      </c>
      <c r="R1052" s="11" t="s">
        <v>2990</v>
      </c>
      <c r="S1052" s="11" t="s">
        <v>2991</v>
      </c>
      <c r="T1052" s="11" t="s">
        <v>2966</v>
      </c>
    </row>
    <row r="1053" spans="1:20" ht="50.1" hidden="1" customHeight="1">
      <c r="A1053" s="10">
        <v>1052</v>
      </c>
      <c r="B1053" s="11" t="s">
        <v>1149</v>
      </c>
      <c r="C1053" s="11" t="s">
        <v>1150</v>
      </c>
      <c r="D1053" s="11" t="s">
        <v>20</v>
      </c>
      <c r="E1053" s="11" t="s">
        <v>8</v>
      </c>
      <c r="F1053" s="12">
        <v>994.2</v>
      </c>
      <c r="G1053" s="13">
        <v>124.18254878</v>
      </c>
      <c r="H1053" s="14">
        <v>123462.29</v>
      </c>
      <c r="I1053" s="12">
        <v>719</v>
      </c>
      <c r="J1053" s="13">
        <v>124.5</v>
      </c>
      <c r="K1053" s="14">
        <v>89515.5</v>
      </c>
      <c r="L1053" s="12">
        <v>854.6</v>
      </c>
      <c r="M1053" s="13">
        <v>124.28799438</v>
      </c>
      <c r="N1053" s="14">
        <v>106216.52</v>
      </c>
      <c r="O1053" s="12">
        <v>858.6</v>
      </c>
      <c r="P1053" s="13">
        <v>124.34343117</v>
      </c>
      <c r="Q1053" s="14">
        <v>106761.27</v>
      </c>
      <c r="R1053" s="11" t="s">
        <v>3030</v>
      </c>
      <c r="S1053" s="11" t="s">
        <v>3031</v>
      </c>
      <c r="T1053" s="11" t="s">
        <v>2966</v>
      </c>
    </row>
    <row r="1054" spans="1:20" ht="50.1" hidden="1" customHeight="1">
      <c r="A1054" s="10">
        <v>1053</v>
      </c>
      <c r="B1054" s="11" t="s">
        <v>1151</v>
      </c>
      <c r="C1054" s="11" t="s">
        <v>1152</v>
      </c>
      <c r="D1054" s="11" t="s">
        <v>20</v>
      </c>
      <c r="E1054" s="11" t="s">
        <v>8</v>
      </c>
      <c r="F1054" s="12">
        <v>208.3</v>
      </c>
      <c r="G1054" s="13">
        <v>123.75328853000001</v>
      </c>
      <c r="H1054" s="14">
        <v>25777.81</v>
      </c>
      <c r="I1054" s="12">
        <v>0</v>
      </c>
      <c r="J1054" s="13"/>
      <c r="K1054" s="14">
        <v>0</v>
      </c>
      <c r="L1054" s="12">
        <v>23.4</v>
      </c>
      <c r="M1054" s="13">
        <v>123.75341880000001</v>
      </c>
      <c r="N1054" s="14">
        <v>2895.83</v>
      </c>
      <c r="O1054" s="12">
        <v>184.9</v>
      </c>
      <c r="P1054" s="13">
        <v>123.75327204</v>
      </c>
      <c r="Q1054" s="14">
        <v>22881.98</v>
      </c>
      <c r="R1054" s="11" t="s">
        <v>3030</v>
      </c>
      <c r="S1054" s="11" t="s">
        <v>3031</v>
      </c>
      <c r="T1054" s="11" t="s">
        <v>2966</v>
      </c>
    </row>
    <row r="1055" spans="1:20" ht="50.1" hidden="1" customHeight="1">
      <c r="A1055" s="10">
        <v>1054</v>
      </c>
      <c r="B1055" s="11" t="s">
        <v>1153</v>
      </c>
      <c r="C1055" s="11" t="s">
        <v>1154</v>
      </c>
      <c r="D1055" s="11" t="s">
        <v>20</v>
      </c>
      <c r="E1055" s="11" t="s">
        <v>8</v>
      </c>
      <c r="F1055" s="12">
        <v>0.05</v>
      </c>
      <c r="G1055" s="13">
        <v>124.336</v>
      </c>
      <c r="H1055" s="14">
        <v>6.2168000000000001</v>
      </c>
      <c r="I1055" s="12">
        <v>610.9</v>
      </c>
      <c r="J1055" s="13">
        <v>124.5</v>
      </c>
      <c r="K1055" s="14">
        <v>76057.05</v>
      </c>
      <c r="L1055" s="12">
        <v>365.8</v>
      </c>
      <c r="M1055" s="13">
        <v>124.5</v>
      </c>
      <c r="N1055" s="14">
        <v>45542.1</v>
      </c>
      <c r="O1055" s="12">
        <v>245.15</v>
      </c>
      <c r="P1055" s="13">
        <v>124.49996655</v>
      </c>
      <c r="Q1055" s="14">
        <v>30521.166799999999</v>
      </c>
      <c r="R1055" s="11" t="s">
        <v>3030</v>
      </c>
      <c r="S1055" s="11" t="s">
        <v>3031</v>
      </c>
      <c r="T1055" s="11" t="s">
        <v>2966</v>
      </c>
    </row>
    <row r="1056" spans="1:20" ht="50.1" hidden="1" customHeight="1">
      <c r="A1056" s="10">
        <v>1055</v>
      </c>
      <c r="B1056" s="11" t="s">
        <v>1844</v>
      </c>
      <c r="C1056" s="11" t="s">
        <v>1845</v>
      </c>
      <c r="D1056" s="11" t="s">
        <v>20</v>
      </c>
      <c r="E1056" s="11" t="s">
        <v>8</v>
      </c>
      <c r="F1056" s="12">
        <v>149.35</v>
      </c>
      <c r="G1056" s="13">
        <v>124.19745564</v>
      </c>
      <c r="H1056" s="14">
        <v>18548.89</v>
      </c>
      <c r="I1056" s="12">
        <v>85.9</v>
      </c>
      <c r="J1056" s="13">
        <v>124.5</v>
      </c>
      <c r="K1056" s="14">
        <v>10694.55</v>
      </c>
      <c r="L1056" s="12">
        <v>111.15</v>
      </c>
      <c r="M1056" s="13">
        <v>124.25766982</v>
      </c>
      <c r="N1056" s="14">
        <v>13811.24</v>
      </c>
      <c r="O1056" s="12">
        <v>124.1</v>
      </c>
      <c r="P1056" s="13">
        <v>124.35294118</v>
      </c>
      <c r="Q1056" s="14">
        <v>15432.2</v>
      </c>
      <c r="R1056" s="11" t="s">
        <v>3030</v>
      </c>
      <c r="S1056" s="11" t="s">
        <v>3031</v>
      </c>
      <c r="T1056" s="11" t="s">
        <v>2966</v>
      </c>
    </row>
    <row r="1057" spans="1:20" ht="50.1" hidden="1" customHeight="1">
      <c r="A1057" s="10">
        <v>1056</v>
      </c>
      <c r="B1057" s="11" t="s">
        <v>1846</v>
      </c>
      <c r="C1057" s="11" t="s">
        <v>1847</v>
      </c>
      <c r="D1057" s="11" t="s">
        <v>20</v>
      </c>
      <c r="E1057" s="11" t="s">
        <v>8</v>
      </c>
      <c r="F1057" s="12">
        <v>316.2</v>
      </c>
      <c r="G1057" s="13">
        <v>123.92576028000001</v>
      </c>
      <c r="H1057" s="14">
        <v>39185.325400000002</v>
      </c>
      <c r="I1057" s="12">
        <v>321.3</v>
      </c>
      <c r="J1057" s="13">
        <v>124.5</v>
      </c>
      <c r="K1057" s="14">
        <v>40001.85</v>
      </c>
      <c r="L1057" s="12">
        <v>254.5</v>
      </c>
      <c r="M1057" s="13">
        <v>124.14392927</v>
      </c>
      <c r="N1057" s="14">
        <v>31594.63</v>
      </c>
      <c r="O1057" s="12">
        <v>383</v>
      </c>
      <c r="P1057" s="13">
        <v>124.26252063</v>
      </c>
      <c r="Q1057" s="14">
        <v>47592.545400000003</v>
      </c>
      <c r="R1057" s="11" t="s">
        <v>3030</v>
      </c>
      <c r="S1057" s="11" t="s">
        <v>3031</v>
      </c>
      <c r="T1057" s="11" t="s">
        <v>2966</v>
      </c>
    </row>
    <row r="1058" spans="1:20" ht="50.1" hidden="1" customHeight="1">
      <c r="A1058" s="10">
        <v>1057</v>
      </c>
      <c r="B1058" s="11" t="s">
        <v>1848</v>
      </c>
      <c r="C1058" s="11" t="s">
        <v>1849</v>
      </c>
      <c r="D1058" s="11" t="s">
        <v>20</v>
      </c>
      <c r="E1058" s="11" t="s">
        <v>8</v>
      </c>
      <c r="F1058" s="12">
        <v>77.7</v>
      </c>
      <c r="G1058" s="13">
        <v>126.56370656</v>
      </c>
      <c r="H1058" s="14">
        <v>9834</v>
      </c>
      <c r="I1058" s="12">
        <v>0</v>
      </c>
      <c r="J1058" s="13"/>
      <c r="K1058" s="14">
        <v>0</v>
      </c>
      <c r="L1058" s="12">
        <v>0</v>
      </c>
      <c r="M1058" s="13"/>
      <c r="N1058" s="14">
        <v>0</v>
      </c>
      <c r="O1058" s="12">
        <v>77.7</v>
      </c>
      <c r="P1058" s="13">
        <v>126.56370656</v>
      </c>
      <c r="Q1058" s="14">
        <v>9834</v>
      </c>
      <c r="R1058" s="11" t="s">
        <v>3030</v>
      </c>
      <c r="S1058" s="11" t="s">
        <v>3031</v>
      </c>
      <c r="T1058" s="11" t="s">
        <v>2966</v>
      </c>
    </row>
    <row r="1059" spans="1:20" ht="50.1" hidden="1" customHeight="1">
      <c r="A1059" s="10">
        <v>1058</v>
      </c>
      <c r="B1059" s="11" t="s">
        <v>1850</v>
      </c>
      <c r="C1059" s="11" t="s">
        <v>1851</v>
      </c>
      <c r="D1059" s="11" t="s">
        <v>20</v>
      </c>
      <c r="E1059" s="11" t="s">
        <v>8</v>
      </c>
      <c r="F1059" s="12">
        <v>2108.3000000000002</v>
      </c>
      <c r="G1059" s="13">
        <v>124.33693786000001</v>
      </c>
      <c r="H1059" s="14">
        <v>262139.5661</v>
      </c>
      <c r="I1059" s="12">
        <v>0</v>
      </c>
      <c r="J1059" s="13"/>
      <c r="K1059" s="14">
        <v>0</v>
      </c>
      <c r="L1059" s="12">
        <v>608.04999999999995</v>
      </c>
      <c r="M1059" s="13">
        <v>124.33689664000001</v>
      </c>
      <c r="N1059" s="14">
        <v>75603.05</v>
      </c>
      <c r="O1059" s="12">
        <v>1500.25</v>
      </c>
      <c r="P1059" s="13">
        <v>124.33695457</v>
      </c>
      <c r="Q1059" s="14">
        <v>186536.51610000001</v>
      </c>
      <c r="R1059" s="11" t="s">
        <v>3030</v>
      </c>
      <c r="S1059" s="11" t="s">
        <v>3031</v>
      </c>
      <c r="T1059" s="11" t="s">
        <v>2966</v>
      </c>
    </row>
    <row r="1060" spans="1:20" ht="50.1" hidden="1" customHeight="1">
      <c r="A1060" s="10">
        <v>1059</v>
      </c>
      <c r="B1060" s="11" t="s">
        <v>1852</v>
      </c>
      <c r="C1060" s="11" t="s">
        <v>1853</v>
      </c>
      <c r="D1060" s="11" t="s">
        <v>20</v>
      </c>
      <c r="E1060" s="11" t="s">
        <v>8</v>
      </c>
      <c r="F1060" s="12">
        <v>476.7</v>
      </c>
      <c r="G1060" s="13">
        <v>126.36349906</v>
      </c>
      <c r="H1060" s="14">
        <v>60237.48</v>
      </c>
      <c r="I1060" s="12">
        <v>483.8</v>
      </c>
      <c r="J1060" s="13">
        <v>128.5</v>
      </c>
      <c r="K1060" s="14">
        <v>62168.3</v>
      </c>
      <c r="L1060" s="12">
        <v>338.72</v>
      </c>
      <c r="M1060" s="13">
        <v>126.36351559000001</v>
      </c>
      <c r="N1060" s="14">
        <v>42801.85</v>
      </c>
      <c r="O1060" s="12">
        <v>621.78</v>
      </c>
      <c r="P1060" s="13">
        <v>128.02587732000001</v>
      </c>
      <c r="Q1060" s="14">
        <v>79603.929999999993</v>
      </c>
      <c r="R1060" s="11" t="s">
        <v>3030</v>
      </c>
      <c r="S1060" s="11" t="s">
        <v>3031</v>
      </c>
      <c r="T1060" s="11" t="s">
        <v>2966</v>
      </c>
    </row>
    <row r="1061" spans="1:20" ht="50.1" hidden="1" customHeight="1">
      <c r="A1061" s="10">
        <v>1060</v>
      </c>
      <c r="B1061" s="11" t="s">
        <v>1854</v>
      </c>
      <c r="C1061" s="11" t="s">
        <v>1855</v>
      </c>
      <c r="D1061" s="11" t="s">
        <v>20</v>
      </c>
      <c r="E1061" s="11" t="s">
        <v>8</v>
      </c>
      <c r="F1061" s="12">
        <v>2299</v>
      </c>
      <c r="G1061" s="13">
        <v>124.5</v>
      </c>
      <c r="H1061" s="14">
        <v>286225.5</v>
      </c>
      <c r="I1061" s="12">
        <v>7146</v>
      </c>
      <c r="J1061" s="13">
        <v>124.5</v>
      </c>
      <c r="K1061" s="14">
        <v>889677</v>
      </c>
      <c r="L1061" s="12">
        <v>6386.2</v>
      </c>
      <c r="M1061" s="13">
        <v>124.5</v>
      </c>
      <c r="N1061" s="14">
        <v>795081.9</v>
      </c>
      <c r="O1061" s="12">
        <v>3058.8</v>
      </c>
      <c r="P1061" s="13">
        <v>124.5</v>
      </c>
      <c r="Q1061" s="14">
        <v>380820.6</v>
      </c>
      <c r="R1061" s="11" t="s">
        <v>3030</v>
      </c>
      <c r="S1061" s="11" t="s">
        <v>3031</v>
      </c>
      <c r="T1061" s="11" t="s">
        <v>2966</v>
      </c>
    </row>
    <row r="1062" spans="1:20" ht="50.1" hidden="1" customHeight="1">
      <c r="A1062" s="10">
        <v>1061</v>
      </c>
      <c r="B1062" s="11" t="s">
        <v>1858</v>
      </c>
      <c r="C1062" s="11" t="s">
        <v>1859</v>
      </c>
      <c r="D1062" s="11" t="s">
        <v>20</v>
      </c>
      <c r="E1062" s="11" t="s">
        <v>8</v>
      </c>
      <c r="F1062" s="12">
        <v>153.4</v>
      </c>
      <c r="G1062" s="13">
        <v>123.8047588</v>
      </c>
      <c r="H1062" s="14">
        <v>18991.650000000001</v>
      </c>
      <c r="I1062" s="12">
        <v>592.1</v>
      </c>
      <c r="J1062" s="13">
        <v>124.5</v>
      </c>
      <c r="K1062" s="14">
        <v>73716.45</v>
      </c>
      <c r="L1062" s="12">
        <v>0</v>
      </c>
      <c r="M1062" s="13"/>
      <c r="N1062" s="14">
        <v>0</v>
      </c>
      <c r="O1062" s="12">
        <v>745.5</v>
      </c>
      <c r="P1062" s="13">
        <v>124.35694165</v>
      </c>
      <c r="Q1062" s="14">
        <v>92708.1</v>
      </c>
      <c r="R1062" s="11" t="s">
        <v>3030</v>
      </c>
      <c r="S1062" s="11" t="s">
        <v>3031</v>
      </c>
      <c r="T1062" s="11" t="s">
        <v>2966</v>
      </c>
    </row>
    <row r="1063" spans="1:20" ht="50.1" hidden="1" customHeight="1">
      <c r="A1063" s="10">
        <v>1062</v>
      </c>
      <c r="B1063" s="11" t="s">
        <v>1860</v>
      </c>
      <c r="C1063" s="11" t="s">
        <v>1861</v>
      </c>
      <c r="D1063" s="11" t="s">
        <v>20</v>
      </c>
      <c r="E1063" s="11" t="s">
        <v>8</v>
      </c>
      <c r="F1063" s="12">
        <v>2317.9</v>
      </c>
      <c r="G1063" s="13">
        <v>128.5</v>
      </c>
      <c r="H1063" s="14">
        <v>297850.15000000002</v>
      </c>
      <c r="I1063" s="12">
        <v>1532.9</v>
      </c>
      <c r="J1063" s="13">
        <v>128.5</v>
      </c>
      <c r="K1063" s="14">
        <v>196977.65</v>
      </c>
      <c r="L1063" s="12">
        <v>2142.4</v>
      </c>
      <c r="M1063" s="13">
        <v>128.5</v>
      </c>
      <c r="N1063" s="14">
        <v>275298.40000000002</v>
      </c>
      <c r="O1063" s="12">
        <v>1708.4</v>
      </c>
      <c r="P1063" s="13">
        <v>128.5</v>
      </c>
      <c r="Q1063" s="14">
        <v>219529.4</v>
      </c>
      <c r="R1063" s="11" t="s">
        <v>3030</v>
      </c>
      <c r="S1063" s="11" t="s">
        <v>3031</v>
      </c>
      <c r="T1063" s="11" t="s">
        <v>2966</v>
      </c>
    </row>
    <row r="1064" spans="1:20" ht="50.1" hidden="1" customHeight="1">
      <c r="A1064" s="10">
        <v>1063</v>
      </c>
      <c r="B1064" s="11" t="s">
        <v>2621</v>
      </c>
      <c r="C1064" s="11" t="s">
        <v>2622</v>
      </c>
      <c r="D1064" s="11" t="s">
        <v>20</v>
      </c>
      <c r="E1064" s="11" t="s">
        <v>8</v>
      </c>
      <c r="F1064" s="12">
        <v>181.39</v>
      </c>
      <c r="G1064" s="13">
        <v>123.16716302</v>
      </c>
      <c r="H1064" s="14">
        <v>22341.291700000002</v>
      </c>
      <c r="I1064" s="12">
        <v>403.2</v>
      </c>
      <c r="J1064" s="13">
        <v>124.5</v>
      </c>
      <c r="K1064" s="14">
        <v>50198.400000000001</v>
      </c>
      <c r="L1064" s="12">
        <v>214</v>
      </c>
      <c r="M1064" s="13">
        <v>124.08640187</v>
      </c>
      <c r="N1064" s="14">
        <v>26554.49</v>
      </c>
      <c r="O1064" s="12">
        <v>370.59</v>
      </c>
      <c r="P1064" s="13">
        <v>124.08646132</v>
      </c>
      <c r="Q1064" s="14">
        <v>45985.201699999998</v>
      </c>
      <c r="R1064" s="11" t="s">
        <v>3030</v>
      </c>
      <c r="S1064" s="11" t="s">
        <v>3031</v>
      </c>
      <c r="T1064" s="11" t="s">
        <v>2966</v>
      </c>
    </row>
    <row r="1065" spans="1:20" ht="50.1" hidden="1" customHeight="1">
      <c r="A1065" s="10">
        <v>1064</v>
      </c>
      <c r="B1065" s="11" t="s">
        <v>3265</v>
      </c>
      <c r="C1065" s="11" t="s">
        <v>3266</v>
      </c>
      <c r="D1065" s="11" t="s">
        <v>20</v>
      </c>
      <c r="E1065" s="11" t="s">
        <v>8</v>
      </c>
      <c r="F1065" s="12">
        <v>99.25</v>
      </c>
      <c r="G1065" s="13">
        <v>128</v>
      </c>
      <c r="H1065" s="14">
        <v>12704</v>
      </c>
      <c r="I1065" s="12">
        <v>0</v>
      </c>
      <c r="J1065" s="13"/>
      <c r="K1065" s="14">
        <v>0</v>
      </c>
      <c r="L1065" s="12">
        <v>99.25</v>
      </c>
      <c r="M1065" s="13">
        <v>128</v>
      </c>
      <c r="N1065" s="14">
        <v>12704</v>
      </c>
      <c r="O1065" s="12">
        <v>0</v>
      </c>
      <c r="P1065" s="13"/>
      <c r="Q1065" s="14">
        <v>0</v>
      </c>
      <c r="R1065" s="11" t="s">
        <v>3030</v>
      </c>
      <c r="S1065" s="11" t="s">
        <v>3031</v>
      </c>
      <c r="T1065" s="11" t="s">
        <v>2966</v>
      </c>
    </row>
    <row r="1066" spans="1:20" ht="50.1" hidden="1" customHeight="1">
      <c r="A1066" s="10">
        <v>1065</v>
      </c>
      <c r="B1066" s="11" t="s">
        <v>1862</v>
      </c>
      <c r="C1066" s="11" t="s">
        <v>1863</v>
      </c>
      <c r="D1066" s="11" t="s">
        <v>20</v>
      </c>
      <c r="E1066" s="11" t="s">
        <v>8</v>
      </c>
      <c r="F1066" s="12">
        <v>625.70000000000005</v>
      </c>
      <c r="G1066" s="13">
        <v>128.07182356000001</v>
      </c>
      <c r="H1066" s="14">
        <v>80134.539999999994</v>
      </c>
      <c r="I1066" s="12">
        <v>203.8</v>
      </c>
      <c r="J1066" s="13">
        <v>128.5</v>
      </c>
      <c r="K1066" s="14">
        <v>26188.3</v>
      </c>
      <c r="L1066" s="12">
        <v>197.7</v>
      </c>
      <c r="M1066" s="13">
        <v>128.07182599999999</v>
      </c>
      <c r="N1066" s="14">
        <v>25319.8</v>
      </c>
      <c r="O1066" s="12">
        <v>631.79999999999995</v>
      </c>
      <c r="P1066" s="13">
        <v>128.20993985000001</v>
      </c>
      <c r="Q1066" s="14">
        <v>81003.039999999994</v>
      </c>
      <c r="R1066" s="11" t="s">
        <v>3030</v>
      </c>
      <c r="S1066" s="11" t="s">
        <v>3031</v>
      </c>
      <c r="T1066" s="11" t="s">
        <v>2966</v>
      </c>
    </row>
    <row r="1067" spans="1:20" ht="50.1" hidden="1" customHeight="1">
      <c r="A1067" s="10">
        <v>1066</v>
      </c>
      <c r="B1067" s="11" t="s">
        <v>3476</v>
      </c>
      <c r="C1067" s="11" t="s">
        <v>3477</v>
      </c>
      <c r="D1067" s="11" t="s">
        <v>20</v>
      </c>
      <c r="E1067" s="11" t="s">
        <v>8</v>
      </c>
      <c r="F1067" s="12">
        <v>216</v>
      </c>
      <c r="G1067" s="13">
        <v>128.5</v>
      </c>
      <c r="H1067" s="14">
        <v>27756</v>
      </c>
      <c r="I1067" s="12">
        <v>0</v>
      </c>
      <c r="J1067" s="13"/>
      <c r="K1067" s="14">
        <v>0</v>
      </c>
      <c r="L1067" s="12">
        <v>0</v>
      </c>
      <c r="M1067" s="13"/>
      <c r="N1067" s="14">
        <v>0</v>
      </c>
      <c r="O1067" s="12">
        <v>216</v>
      </c>
      <c r="P1067" s="13">
        <v>128.5</v>
      </c>
      <c r="Q1067" s="14">
        <v>27756</v>
      </c>
      <c r="R1067" s="11" t="s">
        <v>3030</v>
      </c>
      <c r="S1067" s="11" t="s">
        <v>3031</v>
      </c>
      <c r="T1067" s="11" t="s">
        <v>2966</v>
      </c>
    </row>
    <row r="1068" spans="1:20" ht="50.1" hidden="1" customHeight="1">
      <c r="A1068" s="10">
        <v>1067</v>
      </c>
      <c r="B1068" s="11" t="s">
        <v>1866</v>
      </c>
      <c r="C1068" s="11" t="s">
        <v>1867</v>
      </c>
      <c r="D1068" s="11" t="s">
        <v>20</v>
      </c>
      <c r="E1068" s="11" t="s">
        <v>8</v>
      </c>
      <c r="F1068" s="12">
        <v>1034.0999999999999</v>
      </c>
      <c r="G1068" s="13">
        <v>128.48155507000001</v>
      </c>
      <c r="H1068" s="14">
        <v>132862.77609999999</v>
      </c>
      <c r="I1068" s="12">
        <v>3080.1</v>
      </c>
      <c r="J1068" s="13">
        <v>128.5</v>
      </c>
      <c r="K1068" s="14">
        <v>395792.85</v>
      </c>
      <c r="L1068" s="12">
        <v>2254.9</v>
      </c>
      <c r="M1068" s="13">
        <v>128.49368486</v>
      </c>
      <c r="N1068" s="14">
        <v>289740.40999999997</v>
      </c>
      <c r="O1068" s="12">
        <v>1859.3</v>
      </c>
      <c r="P1068" s="13">
        <v>128.49740015</v>
      </c>
      <c r="Q1068" s="14">
        <v>238915.21609999999</v>
      </c>
      <c r="R1068" s="11" t="s">
        <v>3030</v>
      </c>
      <c r="S1068" s="11" t="s">
        <v>3031</v>
      </c>
      <c r="T1068" s="11" t="s">
        <v>2966</v>
      </c>
    </row>
    <row r="1069" spans="1:20" ht="50.1" hidden="1" customHeight="1">
      <c r="A1069" s="10">
        <v>1068</v>
      </c>
      <c r="B1069" s="11" t="s">
        <v>1868</v>
      </c>
      <c r="C1069" s="11" t="s">
        <v>1869</v>
      </c>
      <c r="D1069" s="11" t="s">
        <v>20</v>
      </c>
      <c r="E1069" s="11" t="s">
        <v>8</v>
      </c>
      <c r="F1069" s="12">
        <v>280.2</v>
      </c>
      <c r="G1069" s="13">
        <v>123.85342611999999</v>
      </c>
      <c r="H1069" s="14">
        <v>34703.730000000003</v>
      </c>
      <c r="I1069" s="12">
        <v>0</v>
      </c>
      <c r="J1069" s="13"/>
      <c r="K1069" s="14">
        <v>0</v>
      </c>
      <c r="L1069" s="12">
        <v>138.93</v>
      </c>
      <c r="M1069" s="13">
        <v>123.85337939999999</v>
      </c>
      <c r="N1069" s="14">
        <v>17206.95</v>
      </c>
      <c r="O1069" s="12">
        <v>141.27000000000001</v>
      </c>
      <c r="P1069" s="13">
        <v>123.85347207</v>
      </c>
      <c r="Q1069" s="14">
        <v>17496.78</v>
      </c>
      <c r="R1069" s="11" t="s">
        <v>3030</v>
      </c>
      <c r="S1069" s="11" t="s">
        <v>3031</v>
      </c>
      <c r="T1069" s="11" t="s">
        <v>2966</v>
      </c>
    </row>
    <row r="1070" spans="1:20" ht="50.1" hidden="1" customHeight="1">
      <c r="A1070" s="10">
        <v>1069</v>
      </c>
      <c r="B1070" s="11" t="s">
        <v>1906</v>
      </c>
      <c r="C1070" s="11" t="s">
        <v>1907</v>
      </c>
      <c r="D1070" s="11" t="s">
        <v>17</v>
      </c>
      <c r="E1070" s="11" t="s">
        <v>8</v>
      </c>
      <c r="F1070" s="12">
        <v>230</v>
      </c>
      <c r="G1070" s="13">
        <v>411</v>
      </c>
      <c r="H1070" s="14">
        <v>94530</v>
      </c>
      <c r="I1070" s="12">
        <v>0</v>
      </c>
      <c r="J1070" s="13"/>
      <c r="K1070" s="14">
        <v>0</v>
      </c>
      <c r="L1070" s="12">
        <v>0</v>
      </c>
      <c r="M1070" s="13"/>
      <c r="N1070" s="14">
        <v>0</v>
      </c>
      <c r="O1070" s="12">
        <v>230</v>
      </c>
      <c r="P1070" s="13">
        <v>411</v>
      </c>
      <c r="Q1070" s="14">
        <v>94530</v>
      </c>
      <c r="R1070" s="11" t="s">
        <v>2981</v>
      </c>
      <c r="S1070" s="11" t="s">
        <v>2982</v>
      </c>
      <c r="T1070" s="11" t="s">
        <v>2966</v>
      </c>
    </row>
    <row r="1071" spans="1:20" ht="50.1" hidden="1" customHeight="1">
      <c r="A1071" s="10">
        <v>1070</v>
      </c>
      <c r="B1071" s="11" t="s">
        <v>1908</v>
      </c>
      <c r="C1071" s="11" t="s">
        <v>1909</v>
      </c>
      <c r="D1071" s="11" t="s">
        <v>17</v>
      </c>
      <c r="E1071" s="11" t="s">
        <v>8</v>
      </c>
      <c r="F1071" s="12">
        <v>811</v>
      </c>
      <c r="G1071" s="13">
        <v>431</v>
      </c>
      <c r="H1071" s="14">
        <v>349541</v>
      </c>
      <c r="I1071" s="12">
        <v>0</v>
      </c>
      <c r="J1071" s="13"/>
      <c r="K1071" s="14">
        <v>0</v>
      </c>
      <c r="L1071" s="12">
        <v>25</v>
      </c>
      <c r="M1071" s="13">
        <v>431</v>
      </c>
      <c r="N1071" s="14">
        <v>10775</v>
      </c>
      <c r="O1071" s="12">
        <v>786</v>
      </c>
      <c r="P1071" s="13">
        <v>431</v>
      </c>
      <c r="Q1071" s="14">
        <v>338766</v>
      </c>
      <c r="R1071" s="11" t="s">
        <v>2981</v>
      </c>
      <c r="S1071" s="11" t="s">
        <v>2982</v>
      </c>
      <c r="T1071" s="11" t="s">
        <v>2966</v>
      </c>
    </row>
    <row r="1072" spans="1:20" ht="50.1" hidden="1" customHeight="1">
      <c r="A1072" s="10">
        <v>1071</v>
      </c>
      <c r="B1072" s="11" t="s">
        <v>1910</v>
      </c>
      <c r="C1072" s="11" t="s">
        <v>1911</v>
      </c>
      <c r="D1072" s="11" t="s">
        <v>17</v>
      </c>
      <c r="E1072" s="11" t="s">
        <v>8</v>
      </c>
      <c r="F1072" s="12">
        <v>79</v>
      </c>
      <c r="G1072" s="13">
        <v>451</v>
      </c>
      <c r="H1072" s="14">
        <v>35629</v>
      </c>
      <c r="I1072" s="12">
        <v>350</v>
      </c>
      <c r="J1072" s="13">
        <v>451</v>
      </c>
      <c r="K1072" s="14">
        <v>157850</v>
      </c>
      <c r="L1072" s="12">
        <v>20</v>
      </c>
      <c r="M1072" s="13">
        <v>451</v>
      </c>
      <c r="N1072" s="14">
        <v>9020</v>
      </c>
      <c r="O1072" s="12">
        <v>409</v>
      </c>
      <c r="P1072" s="13">
        <v>451</v>
      </c>
      <c r="Q1072" s="14">
        <v>184459</v>
      </c>
      <c r="R1072" s="11" t="s">
        <v>2981</v>
      </c>
      <c r="S1072" s="11" t="s">
        <v>2982</v>
      </c>
      <c r="T1072" s="11" t="s">
        <v>2966</v>
      </c>
    </row>
    <row r="1073" spans="1:20" ht="50.1" hidden="1" customHeight="1">
      <c r="A1073" s="10">
        <v>1072</v>
      </c>
      <c r="B1073" s="11" t="s">
        <v>1912</v>
      </c>
      <c r="C1073" s="11" t="s">
        <v>1913</v>
      </c>
      <c r="D1073" s="11" t="s">
        <v>17</v>
      </c>
      <c r="E1073" s="11" t="s">
        <v>8</v>
      </c>
      <c r="F1073" s="12">
        <v>37</v>
      </c>
      <c r="G1073" s="13">
        <v>471</v>
      </c>
      <c r="H1073" s="14">
        <v>17427</v>
      </c>
      <c r="I1073" s="12">
        <v>250</v>
      </c>
      <c r="J1073" s="13">
        <v>471</v>
      </c>
      <c r="K1073" s="14">
        <v>117750</v>
      </c>
      <c r="L1073" s="12">
        <v>66</v>
      </c>
      <c r="M1073" s="13">
        <v>471</v>
      </c>
      <c r="N1073" s="14">
        <v>31086</v>
      </c>
      <c r="O1073" s="12">
        <v>221</v>
      </c>
      <c r="P1073" s="13">
        <v>471</v>
      </c>
      <c r="Q1073" s="14">
        <v>104091</v>
      </c>
      <c r="R1073" s="11" t="s">
        <v>2981</v>
      </c>
      <c r="S1073" s="11" t="s">
        <v>2982</v>
      </c>
      <c r="T1073" s="11" t="s">
        <v>2966</v>
      </c>
    </row>
    <row r="1074" spans="1:20" ht="50.1" hidden="1" customHeight="1">
      <c r="A1074" s="10">
        <v>1073</v>
      </c>
      <c r="B1074" s="11" t="s">
        <v>1914</v>
      </c>
      <c r="C1074" s="11" t="s">
        <v>1915</v>
      </c>
      <c r="D1074" s="11" t="s">
        <v>17</v>
      </c>
      <c r="E1074" s="11" t="s">
        <v>8</v>
      </c>
      <c r="F1074" s="12">
        <v>8500</v>
      </c>
      <c r="G1074" s="13">
        <v>5.1203176499999996</v>
      </c>
      <c r="H1074" s="14">
        <v>43522.7</v>
      </c>
      <c r="I1074" s="12">
        <v>30000</v>
      </c>
      <c r="J1074" s="13">
        <v>4.8714000000000004</v>
      </c>
      <c r="K1074" s="14">
        <v>146142</v>
      </c>
      <c r="L1074" s="12">
        <v>12000</v>
      </c>
      <c r="M1074" s="13">
        <v>4.9264000000000001</v>
      </c>
      <c r="N1074" s="14">
        <v>59116.800000000003</v>
      </c>
      <c r="O1074" s="12">
        <v>26500</v>
      </c>
      <c r="P1074" s="13">
        <v>4.9263358500000001</v>
      </c>
      <c r="Q1074" s="14">
        <v>130547.9</v>
      </c>
      <c r="R1074" s="11" t="s">
        <v>2971</v>
      </c>
      <c r="S1074" s="11" t="s">
        <v>2972</v>
      </c>
      <c r="T1074" s="11" t="s">
        <v>2966</v>
      </c>
    </row>
    <row r="1075" spans="1:20" ht="50.1" hidden="1" customHeight="1">
      <c r="A1075" s="10">
        <v>1074</v>
      </c>
      <c r="B1075" s="11" t="s">
        <v>1916</v>
      </c>
      <c r="C1075" s="11" t="s">
        <v>1917</v>
      </c>
      <c r="D1075" s="11" t="s">
        <v>17</v>
      </c>
      <c r="E1075" s="11" t="s">
        <v>8</v>
      </c>
      <c r="F1075" s="12">
        <v>3500</v>
      </c>
      <c r="G1075" s="13">
        <v>2.4559771399999999</v>
      </c>
      <c r="H1075" s="14">
        <v>8595.92</v>
      </c>
      <c r="I1075" s="12">
        <v>0</v>
      </c>
      <c r="J1075" s="13"/>
      <c r="K1075" s="14">
        <v>0</v>
      </c>
      <c r="L1075" s="12">
        <v>285</v>
      </c>
      <c r="M1075" s="13">
        <v>2.456</v>
      </c>
      <c r="N1075" s="14">
        <v>699.96</v>
      </c>
      <c r="O1075" s="12">
        <v>3215</v>
      </c>
      <c r="P1075" s="13">
        <v>2.4559751200000002</v>
      </c>
      <c r="Q1075" s="14">
        <v>7895.96</v>
      </c>
      <c r="R1075" s="11" t="s">
        <v>2971</v>
      </c>
      <c r="S1075" s="11" t="s">
        <v>2972</v>
      </c>
      <c r="T1075" s="11" t="s">
        <v>2966</v>
      </c>
    </row>
    <row r="1076" spans="1:20" ht="50.1" hidden="1" customHeight="1">
      <c r="A1076" s="10">
        <v>1075</v>
      </c>
      <c r="B1076" s="11" t="s">
        <v>1918</v>
      </c>
      <c r="C1076" s="11" t="s">
        <v>1919</v>
      </c>
      <c r="D1076" s="11" t="s">
        <v>17</v>
      </c>
      <c r="E1076" s="11" t="s">
        <v>8</v>
      </c>
      <c r="F1076" s="12">
        <v>5228</v>
      </c>
      <c r="G1076" s="13">
        <v>2.5</v>
      </c>
      <c r="H1076" s="14">
        <v>13070</v>
      </c>
      <c r="I1076" s="12">
        <v>0</v>
      </c>
      <c r="J1076" s="13"/>
      <c r="K1076" s="14">
        <v>0</v>
      </c>
      <c r="L1076" s="12">
        <v>0</v>
      </c>
      <c r="M1076" s="13"/>
      <c r="N1076" s="14">
        <v>0</v>
      </c>
      <c r="O1076" s="12">
        <v>5228</v>
      </c>
      <c r="P1076" s="13">
        <v>2.5</v>
      </c>
      <c r="Q1076" s="14">
        <v>13070</v>
      </c>
      <c r="R1076" s="11" t="s">
        <v>2971</v>
      </c>
      <c r="S1076" s="11" t="s">
        <v>2972</v>
      </c>
      <c r="T1076" s="11" t="s">
        <v>2966</v>
      </c>
    </row>
    <row r="1077" spans="1:20" ht="50.1" hidden="1" customHeight="1">
      <c r="A1077" s="10">
        <v>1076</v>
      </c>
      <c r="B1077" s="11" t="s">
        <v>1920</v>
      </c>
      <c r="C1077" s="11" t="s">
        <v>1921</v>
      </c>
      <c r="D1077" s="11" t="s">
        <v>17</v>
      </c>
      <c r="E1077" s="11" t="s">
        <v>8</v>
      </c>
      <c r="F1077" s="12">
        <v>500</v>
      </c>
      <c r="G1077" s="13">
        <v>2.2127599999999998</v>
      </c>
      <c r="H1077" s="14">
        <v>1106.3800000000001</v>
      </c>
      <c r="I1077" s="12">
        <v>5750</v>
      </c>
      <c r="J1077" s="13">
        <v>2.75</v>
      </c>
      <c r="K1077" s="14">
        <v>15812.5</v>
      </c>
      <c r="L1077" s="12">
        <v>3250</v>
      </c>
      <c r="M1077" s="13">
        <v>2.7069999999999999</v>
      </c>
      <c r="N1077" s="14">
        <v>8797.75</v>
      </c>
      <c r="O1077" s="12">
        <v>3000</v>
      </c>
      <c r="P1077" s="13">
        <v>2.7070433299999999</v>
      </c>
      <c r="Q1077" s="14">
        <v>8121.13</v>
      </c>
      <c r="R1077" s="11" t="s">
        <v>2971</v>
      </c>
      <c r="S1077" s="11" t="s">
        <v>2972</v>
      </c>
      <c r="T1077" s="11" t="s">
        <v>2966</v>
      </c>
    </row>
    <row r="1078" spans="1:20" ht="50.1" hidden="1" customHeight="1">
      <c r="A1078" s="10">
        <v>1077</v>
      </c>
      <c r="B1078" s="11" t="s">
        <v>1926</v>
      </c>
      <c r="C1078" s="11" t="s">
        <v>1927</v>
      </c>
      <c r="D1078" s="11" t="s">
        <v>17</v>
      </c>
      <c r="E1078" s="11" t="s">
        <v>8</v>
      </c>
      <c r="F1078" s="12">
        <v>400</v>
      </c>
      <c r="G1078" s="13">
        <v>1.5498499999999999</v>
      </c>
      <c r="H1078" s="14">
        <v>619.94000000000005</v>
      </c>
      <c r="I1078" s="12">
        <v>500</v>
      </c>
      <c r="J1078" s="13">
        <v>1.5</v>
      </c>
      <c r="K1078" s="14">
        <v>750</v>
      </c>
      <c r="L1078" s="12">
        <v>350</v>
      </c>
      <c r="M1078" s="13">
        <v>1.54994286</v>
      </c>
      <c r="N1078" s="14">
        <v>542.48</v>
      </c>
      <c r="O1078" s="12">
        <v>550</v>
      </c>
      <c r="P1078" s="13">
        <v>1.50447273</v>
      </c>
      <c r="Q1078" s="14">
        <v>827.46</v>
      </c>
      <c r="R1078" s="11" t="s">
        <v>2990</v>
      </c>
      <c r="S1078" s="11" t="s">
        <v>2991</v>
      </c>
      <c r="T1078" s="11" t="s">
        <v>2966</v>
      </c>
    </row>
    <row r="1079" spans="1:20" ht="50.1" hidden="1" customHeight="1">
      <c r="A1079" s="10">
        <v>1078</v>
      </c>
      <c r="B1079" s="11" t="s">
        <v>2807</v>
      </c>
      <c r="C1079" s="11" t="s">
        <v>2808</v>
      </c>
      <c r="D1079" s="11" t="s">
        <v>17</v>
      </c>
      <c r="E1079" s="11" t="s">
        <v>8</v>
      </c>
      <c r="F1079" s="12">
        <v>150</v>
      </c>
      <c r="G1079" s="13">
        <v>85</v>
      </c>
      <c r="H1079" s="14">
        <v>12750</v>
      </c>
      <c r="I1079" s="12">
        <v>0</v>
      </c>
      <c r="J1079" s="13"/>
      <c r="K1079" s="14">
        <v>0</v>
      </c>
      <c r="L1079" s="12">
        <v>100</v>
      </c>
      <c r="M1079" s="13">
        <v>85</v>
      </c>
      <c r="N1079" s="14">
        <v>8500</v>
      </c>
      <c r="O1079" s="12">
        <v>50</v>
      </c>
      <c r="P1079" s="13">
        <v>85</v>
      </c>
      <c r="Q1079" s="14">
        <v>4250</v>
      </c>
      <c r="R1079" s="11" t="s">
        <v>2990</v>
      </c>
      <c r="S1079" s="11" t="s">
        <v>2991</v>
      </c>
      <c r="T1079" s="11" t="s">
        <v>2966</v>
      </c>
    </row>
    <row r="1080" spans="1:20" ht="50.1" hidden="1" customHeight="1">
      <c r="A1080" s="10">
        <v>1079</v>
      </c>
      <c r="B1080" s="11" t="s">
        <v>300</v>
      </c>
      <c r="C1080" s="11" t="s">
        <v>301</v>
      </c>
      <c r="D1080" s="11" t="s">
        <v>17</v>
      </c>
      <c r="E1080" s="11" t="s">
        <v>8</v>
      </c>
      <c r="F1080" s="12">
        <v>40</v>
      </c>
      <c r="G1080" s="13">
        <v>772.16949999999997</v>
      </c>
      <c r="H1080" s="14">
        <v>30886.78</v>
      </c>
      <c r="I1080" s="12">
        <v>0</v>
      </c>
      <c r="J1080" s="13"/>
      <c r="K1080" s="14">
        <v>0</v>
      </c>
      <c r="L1080" s="12">
        <v>10</v>
      </c>
      <c r="M1080" s="13">
        <v>772.16800000000001</v>
      </c>
      <c r="N1080" s="14">
        <v>7721.68</v>
      </c>
      <c r="O1080" s="12">
        <v>30</v>
      </c>
      <c r="P1080" s="13">
        <v>772.17</v>
      </c>
      <c r="Q1080" s="14">
        <v>23165.1</v>
      </c>
      <c r="R1080" s="11" t="s">
        <v>2981</v>
      </c>
      <c r="S1080" s="11" t="s">
        <v>2982</v>
      </c>
      <c r="T1080" s="11" t="s">
        <v>2966</v>
      </c>
    </row>
    <row r="1081" spans="1:20" ht="50.1" hidden="1" customHeight="1">
      <c r="A1081" s="10">
        <v>1080</v>
      </c>
      <c r="B1081" s="11" t="s">
        <v>306</v>
      </c>
      <c r="C1081" s="11" t="s">
        <v>307</v>
      </c>
      <c r="D1081" s="11" t="s">
        <v>17</v>
      </c>
      <c r="E1081" s="11" t="s">
        <v>8</v>
      </c>
      <c r="F1081" s="12">
        <v>230</v>
      </c>
      <c r="G1081" s="13">
        <v>5</v>
      </c>
      <c r="H1081" s="14">
        <v>1150</v>
      </c>
      <c r="I1081" s="12">
        <v>0</v>
      </c>
      <c r="J1081" s="13"/>
      <c r="K1081" s="14">
        <v>0</v>
      </c>
      <c r="L1081" s="12">
        <v>0</v>
      </c>
      <c r="M1081" s="13"/>
      <c r="N1081" s="14">
        <v>0</v>
      </c>
      <c r="O1081" s="12">
        <v>230</v>
      </c>
      <c r="P1081" s="13">
        <v>5</v>
      </c>
      <c r="Q1081" s="14">
        <v>1150</v>
      </c>
      <c r="R1081" s="11" t="s">
        <v>2971</v>
      </c>
      <c r="S1081" s="11" t="s">
        <v>2972</v>
      </c>
      <c r="T1081" s="11" t="s">
        <v>2966</v>
      </c>
    </row>
    <row r="1082" spans="1:20" ht="50.1" hidden="1" customHeight="1">
      <c r="A1082" s="10">
        <v>1081</v>
      </c>
      <c r="B1082" s="11" t="s">
        <v>308</v>
      </c>
      <c r="C1082" s="11" t="s">
        <v>309</v>
      </c>
      <c r="D1082" s="11" t="s">
        <v>17</v>
      </c>
      <c r="E1082" s="11" t="s">
        <v>8</v>
      </c>
      <c r="F1082" s="12">
        <v>694</v>
      </c>
      <c r="G1082" s="13">
        <v>9.8827665699999994</v>
      </c>
      <c r="H1082" s="14">
        <v>6858.64</v>
      </c>
      <c r="I1082" s="12">
        <v>0</v>
      </c>
      <c r="J1082" s="13"/>
      <c r="K1082" s="14">
        <v>0</v>
      </c>
      <c r="L1082" s="12">
        <v>0</v>
      </c>
      <c r="M1082" s="13"/>
      <c r="N1082" s="14">
        <v>0</v>
      </c>
      <c r="O1082" s="12">
        <v>694</v>
      </c>
      <c r="P1082" s="13">
        <v>9.8827665699999994</v>
      </c>
      <c r="Q1082" s="14">
        <v>6858.64</v>
      </c>
      <c r="R1082" s="11" t="s">
        <v>2971</v>
      </c>
      <c r="S1082" s="11" t="s">
        <v>2972</v>
      </c>
      <c r="T1082" s="11" t="s">
        <v>2966</v>
      </c>
    </row>
    <row r="1083" spans="1:20" ht="50.1" hidden="1" customHeight="1">
      <c r="A1083" s="10">
        <v>1082</v>
      </c>
      <c r="B1083" s="11" t="s">
        <v>312</v>
      </c>
      <c r="C1083" s="11" t="s">
        <v>313</v>
      </c>
      <c r="D1083" s="11" t="s">
        <v>17</v>
      </c>
      <c r="E1083" s="11" t="s">
        <v>8</v>
      </c>
      <c r="F1083" s="12">
        <v>413</v>
      </c>
      <c r="G1083" s="13">
        <v>80</v>
      </c>
      <c r="H1083" s="14">
        <v>33040</v>
      </c>
      <c r="I1083" s="12">
        <v>1054</v>
      </c>
      <c r="J1083" s="13">
        <v>80</v>
      </c>
      <c r="K1083" s="14">
        <v>84320</v>
      </c>
      <c r="L1083" s="12">
        <v>454</v>
      </c>
      <c r="M1083" s="13">
        <v>80</v>
      </c>
      <c r="N1083" s="14">
        <v>36320</v>
      </c>
      <c r="O1083" s="12">
        <v>1013</v>
      </c>
      <c r="P1083" s="13">
        <v>80</v>
      </c>
      <c r="Q1083" s="14">
        <v>81040</v>
      </c>
      <c r="R1083" s="11" t="s">
        <v>2962</v>
      </c>
      <c r="S1083" s="11" t="s">
        <v>2963</v>
      </c>
      <c r="T1083" s="11" t="s">
        <v>2966</v>
      </c>
    </row>
    <row r="1084" spans="1:20" ht="50.1" hidden="1" customHeight="1">
      <c r="A1084" s="10">
        <v>1083</v>
      </c>
      <c r="B1084" s="11" t="s">
        <v>314</v>
      </c>
      <c r="C1084" s="11" t="s">
        <v>315</v>
      </c>
      <c r="D1084" s="11" t="s">
        <v>17</v>
      </c>
      <c r="E1084" s="11" t="s">
        <v>8</v>
      </c>
      <c r="F1084" s="12">
        <v>7089</v>
      </c>
      <c r="G1084" s="13">
        <v>18.355487369999999</v>
      </c>
      <c r="H1084" s="14">
        <v>130122.05</v>
      </c>
      <c r="I1084" s="12">
        <v>0</v>
      </c>
      <c r="J1084" s="13"/>
      <c r="K1084" s="14">
        <v>0</v>
      </c>
      <c r="L1084" s="12">
        <v>0</v>
      </c>
      <c r="M1084" s="13"/>
      <c r="N1084" s="14">
        <v>0</v>
      </c>
      <c r="O1084" s="12">
        <v>7089</v>
      </c>
      <c r="P1084" s="13">
        <v>18.355487369999999</v>
      </c>
      <c r="Q1084" s="14">
        <v>130122.05</v>
      </c>
      <c r="R1084" s="11" t="s">
        <v>2990</v>
      </c>
      <c r="S1084" s="11" t="s">
        <v>2991</v>
      </c>
      <c r="T1084" s="11" t="s">
        <v>2966</v>
      </c>
    </row>
    <row r="1085" spans="1:20" ht="50.1" hidden="1" customHeight="1">
      <c r="A1085" s="10">
        <v>1084</v>
      </c>
      <c r="B1085" s="11" t="s">
        <v>316</v>
      </c>
      <c r="C1085" s="11" t="s">
        <v>3038</v>
      </c>
      <c r="D1085" s="11" t="s">
        <v>17</v>
      </c>
      <c r="E1085" s="11" t="s">
        <v>8</v>
      </c>
      <c r="F1085" s="12">
        <v>1762</v>
      </c>
      <c r="G1085" s="13">
        <v>230.99965624000001</v>
      </c>
      <c r="H1085" s="14">
        <v>407021.39429999999</v>
      </c>
      <c r="I1085" s="12">
        <v>744</v>
      </c>
      <c r="J1085" s="13">
        <v>231</v>
      </c>
      <c r="K1085" s="14">
        <v>171864</v>
      </c>
      <c r="L1085" s="12">
        <v>898</v>
      </c>
      <c r="M1085" s="13">
        <v>230.99981069</v>
      </c>
      <c r="N1085" s="14">
        <v>207437.83</v>
      </c>
      <c r="O1085" s="12">
        <v>1608</v>
      </c>
      <c r="P1085" s="13">
        <v>230.99972904000001</v>
      </c>
      <c r="Q1085" s="14">
        <v>371447.56430000003</v>
      </c>
      <c r="R1085" s="11" t="s">
        <v>2990</v>
      </c>
      <c r="S1085" s="11" t="s">
        <v>2991</v>
      </c>
      <c r="T1085" s="11" t="s">
        <v>2966</v>
      </c>
    </row>
    <row r="1086" spans="1:20" ht="50.1" hidden="1" customHeight="1">
      <c r="A1086" s="10">
        <v>1085</v>
      </c>
      <c r="B1086" s="11" t="s">
        <v>317</v>
      </c>
      <c r="C1086" s="11" t="s">
        <v>318</v>
      </c>
      <c r="D1086" s="11" t="s">
        <v>17</v>
      </c>
      <c r="E1086" s="11" t="s">
        <v>8</v>
      </c>
      <c r="F1086" s="12">
        <v>28</v>
      </c>
      <c r="G1086" s="13">
        <v>270.51928571000002</v>
      </c>
      <c r="H1086" s="14">
        <v>7574.54</v>
      </c>
      <c r="I1086" s="12">
        <v>0</v>
      </c>
      <c r="J1086" s="13"/>
      <c r="K1086" s="14">
        <v>0</v>
      </c>
      <c r="L1086" s="12">
        <v>0</v>
      </c>
      <c r="M1086" s="13"/>
      <c r="N1086" s="14">
        <v>0</v>
      </c>
      <c r="O1086" s="12">
        <v>28</v>
      </c>
      <c r="P1086" s="13">
        <v>270.51928571000002</v>
      </c>
      <c r="Q1086" s="14">
        <v>7574.54</v>
      </c>
      <c r="R1086" s="11" t="s">
        <v>2990</v>
      </c>
      <c r="S1086" s="11" t="s">
        <v>2991</v>
      </c>
      <c r="T1086" s="11" t="s">
        <v>2966</v>
      </c>
    </row>
    <row r="1087" spans="1:20" ht="50.1" hidden="1" customHeight="1">
      <c r="A1087" s="10">
        <v>1086</v>
      </c>
      <c r="B1087" s="11" t="s">
        <v>3039</v>
      </c>
      <c r="C1087" s="11" t="s">
        <v>3040</v>
      </c>
      <c r="D1087" s="11" t="s">
        <v>17</v>
      </c>
      <c r="E1087" s="11" t="s">
        <v>8</v>
      </c>
      <c r="F1087" s="12">
        <v>40</v>
      </c>
      <c r="G1087" s="13">
        <v>210</v>
      </c>
      <c r="H1087" s="14">
        <v>8400</v>
      </c>
      <c r="I1087" s="12">
        <v>0</v>
      </c>
      <c r="J1087" s="13"/>
      <c r="K1087" s="14">
        <v>0</v>
      </c>
      <c r="L1087" s="12">
        <v>0</v>
      </c>
      <c r="M1087" s="13"/>
      <c r="N1087" s="14">
        <v>0</v>
      </c>
      <c r="O1087" s="12">
        <v>40</v>
      </c>
      <c r="P1087" s="13">
        <v>210</v>
      </c>
      <c r="Q1087" s="14">
        <v>8400</v>
      </c>
      <c r="R1087" s="11" t="s">
        <v>2990</v>
      </c>
      <c r="S1087" s="11" t="s">
        <v>2991</v>
      </c>
      <c r="T1087" s="11" t="s">
        <v>2966</v>
      </c>
    </row>
    <row r="1088" spans="1:20" ht="50.1" hidden="1" customHeight="1">
      <c r="A1088" s="10">
        <v>1087</v>
      </c>
      <c r="B1088" s="11" t="s">
        <v>319</v>
      </c>
      <c r="C1088" s="11" t="s">
        <v>320</v>
      </c>
      <c r="D1088" s="11" t="s">
        <v>17</v>
      </c>
      <c r="E1088" s="11" t="s">
        <v>8</v>
      </c>
      <c r="F1088" s="12">
        <v>640</v>
      </c>
      <c r="G1088" s="13">
        <v>139.84958499999999</v>
      </c>
      <c r="H1088" s="14">
        <v>89503.734400000001</v>
      </c>
      <c r="I1088" s="12">
        <v>320</v>
      </c>
      <c r="J1088" s="13">
        <v>140</v>
      </c>
      <c r="K1088" s="14">
        <v>44800</v>
      </c>
      <c r="L1088" s="12">
        <v>160</v>
      </c>
      <c r="M1088" s="13">
        <v>139.849625</v>
      </c>
      <c r="N1088" s="14">
        <v>22375.94</v>
      </c>
      <c r="O1088" s="12">
        <v>800</v>
      </c>
      <c r="P1088" s="13">
        <v>139.90974299999999</v>
      </c>
      <c r="Q1088" s="14">
        <v>111927.7944</v>
      </c>
      <c r="R1088" s="11" t="s">
        <v>2990</v>
      </c>
      <c r="S1088" s="11" t="s">
        <v>2991</v>
      </c>
      <c r="T1088" s="11" t="s">
        <v>2966</v>
      </c>
    </row>
    <row r="1089" spans="1:20" ht="50.1" hidden="1" customHeight="1">
      <c r="A1089" s="10">
        <v>1088</v>
      </c>
      <c r="B1089" s="11" t="s">
        <v>321</v>
      </c>
      <c r="C1089" s="11" t="s">
        <v>322</v>
      </c>
      <c r="D1089" s="11" t="s">
        <v>17</v>
      </c>
      <c r="E1089" s="11" t="s">
        <v>8</v>
      </c>
      <c r="F1089" s="12">
        <v>92</v>
      </c>
      <c r="G1089" s="13">
        <v>265.45249999999999</v>
      </c>
      <c r="H1089" s="14">
        <v>24421.63</v>
      </c>
      <c r="I1089" s="12">
        <v>80</v>
      </c>
      <c r="J1089" s="13">
        <v>265</v>
      </c>
      <c r="K1089" s="14">
        <v>21200</v>
      </c>
      <c r="L1089" s="12">
        <v>44</v>
      </c>
      <c r="M1089" s="13">
        <v>265.36068182000002</v>
      </c>
      <c r="N1089" s="14">
        <v>11675.87</v>
      </c>
      <c r="O1089" s="12">
        <v>128</v>
      </c>
      <c r="P1089" s="13">
        <v>265.20125000000002</v>
      </c>
      <c r="Q1089" s="14">
        <v>33945.760000000002</v>
      </c>
      <c r="R1089" s="11" t="s">
        <v>2971</v>
      </c>
      <c r="S1089" s="11" t="s">
        <v>2972</v>
      </c>
      <c r="T1089" s="11" t="s">
        <v>2966</v>
      </c>
    </row>
    <row r="1090" spans="1:20" ht="50.1" hidden="1" customHeight="1">
      <c r="A1090" s="10">
        <v>1089</v>
      </c>
      <c r="B1090" s="11" t="s">
        <v>2128</v>
      </c>
      <c r="C1090" s="11" t="s">
        <v>2129</v>
      </c>
      <c r="D1090" s="11" t="s">
        <v>2130</v>
      </c>
      <c r="E1090" s="11" t="s">
        <v>8</v>
      </c>
      <c r="F1090" s="12">
        <v>0</v>
      </c>
      <c r="G1090" s="13"/>
      <c r="H1090" s="14">
        <v>0</v>
      </c>
      <c r="I1090" s="12">
        <v>110.026</v>
      </c>
      <c r="J1090" s="13">
        <v>1278.0373729800001</v>
      </c>
      <c r="K1090" s="14">
        <v>140617.34</v>
      </c>
      <c r="L1090" s="12">
        <v>110.026</v>
      </c>
      <c r="M1090" s="13">
        <v>1278.0373729800001</v>
      </c>
      <c r="N1090" s="14">
        <v>140617.34</v>
      </c>
      <c r="O1090" s="12">
        <v>0</v>
      </c>
      <c r="P1090" s="13"/>
      <c r="Q1090" s="14">
        <v>0</v>
      </c>
      <c r="R1090" s="11" t="s">
        <v>2997</v>
      </c>
      <c r="S1090" s="11" t="s">
        <v>2998</v>
      </c>
      <c r="T1090" s="11" t="s">
        <v>2966</v>
      </c>
    </row>
    <row r="1091" spans="1:20" ht="50.1" hidden="1" customHeight="1">
      <c r="A1091" s="10">
        <v>1090</v>
      </c>
      <c r="B1091" s="11" t="s">
        <v>2131</v>
      </c>
      <c r="C1091" s="11" t="s">
        <v>2132</v>
      </c>
      <c r="D1091" s="11" t="s">
        <v>2130</v>
      </c>
      <c r="E1091" s="11" t="s">
        <v>8</v>
      </c>
      <c r="F1091" s="12">
        <v>0</v>
      </c>
      <c r="G1091" s="13"/>
      <c r="H1091" s="14">
        <v>0</v>
      </c>
      <c r="I1091" s="12">
        <v>44.957999999999998</v>
      </c>
      <c r="J1091" s="13">
        <v>1226.91578807</v>
      </c>
      <c r="K1091" s="14">
        <v>55159.68</v>
      </c>
      <c r="L1091" s="12">
        <v>44.957999999999998</v>
      </c>
      <c r="M1091" s="13">
        <v>1226.91578807</v>
      </c>
      <c r="N1091" s="14">
        <v>55159.68</v>
      </c>
      <c r="O1091" s="12">
        <v>0</v>
      </c>
      <c r="P1091" s="13"/>
      <c r="Q1091" s="14">
        <v>0</v>
      </c>
      <c r="R1091" s="11" t="s">
        <v>2997</v>
      </c>
      <c r="S1091" s="11" t="s">
        <v>2998</v>
      </c>
      <c r="T1091" s="11" t="s">
        <v>2966</v>
      </c>
    </row>
    <row r="1092" spans="1:20" ht="50.1" hidden="1" customHeight="1">
      <c r="A1092" s="10">
        <v>1091</v>
      </c>
      <c r="B1092" s="11" t="s">
        <v>2133</v>
      </c>
      <c r="C1092" s="11" t="s">
        <v>2134</v>
      </c>
      <c r="D1092" s="11" t="s">
        <v>2130</v>
      </c>
      <c r="E1092" s="11" t="s">
        <v>8</v>
      </c>
      <c r="F1092" s="12">
        <v>0</v>
      </c>
      <c r="G1092" s="13"/>
      <c r="H1092" s="14">
        <v>0</v>
      </c>
      <c r="I1092" s="12">
        <v>66.608999999999995</v>
      </c>
      <c r="J1092" s="13">
        <v>1226.91588224</v>
      </c>
      <c r="K1092" s="14">
        <v>81723.64</v>
      </c>
      <c r="L1092" s="12">
        <v>66.608999999999995</v>
      </c>
      <c r="M1092" s="13">
        <v>1226.91588224</v>
      </c>
      <c r="N1092" s="14">
        <v>81723.64</v>
      </c>
      <c r="O1092" s="12">
        <v>0</v>
      </c>
      <c r="P1092" s="13"/>
      <c r="Q1092" s="14">
        <v>0</v>
      </c>
      <c r="R1092" s="11" t="s">
        <v>2997</v>
      </c>
      <c r="S1092" s="11" t="s">
        <v>2998</v>
      </c>
      <c r="T1092" s="11" t="s">
        <v>2966</v>
      </c>
    </row>
    <row r="1093" spans="1:20" ht="50.1" hidden="1" customHeight="1">
      <c r="A1093" s="10">
        <v>1092</v>
      </c>
      <c r="B1093" s="11" t="s">
        <v>2419</v>
      </c>
      <c r="C1093" s="11" t="s">
        <v>2420</v>
      </c>
      <c r="D1093" s="11" t="s">
        <v>2130</v>
      </c>
      <c r="E1093" s="11" t="s">
        <v>8</v>
      </c>
      <c r="F1093" s="12">
        <v>0</v>
      </c>
      <c r="G1093" s="13"/>
      <c r="H1093" s="14">
        <v>0</v>
      </c>
      <c r="I1093" s="12">
        <v>108.19799999999999</v>
      </c>
      <c r="J1093" s="13">
        <v>1226.9158394799999</v>
      </c>
      <c r="K1093" s="14">
        <v>132749.84</v>
      </c>
      <c r="L1093" s="12">
        <v>108.19799999999999</v>
      </c>
      <c r="M1093" s="13">
        <v>1226.9158394799999</v>
      </c>
      <c r="N1093" s="14">
        <v>132749.84</v>
      </c>
      <c r="O1093" s="12">
        <v>0</v>
      </c>
      <c r="P1093" s="13"/>
      <c r="Q1093" s="14">
        <v>0</v>
      </c>
      <c r="R1093" s="11" t="s">
        <v>2997</v>
      </c>
      <c r="S1093" s="11" t="s">
        <v>2998</v>
      </c>
      <c r="T1093" s="11" t="s">
        <v>2966</v>
      </c>
    </row>
    <row r="1094" spans="1:20" ht="50.1" hidden="1" customHeight="1">
      <c r="A1094" s="10">
        <v>1093</v>
      </c>
      <c r="B1094" s="11" t="s">
        <v>325</v>
      </c>
      <c r="C1094" s="11" t="s">
        <v>326</v>
      </c>
      <c r="D1094" s="11" t="s">
        <v>17</v>
      </c>
      <c r="E1094" s="11" t="s">
        <v>8</v>
      </c>
      <c r="F1094" s="12">
        <v>3000</v>
      </c>
      <c r="G1094" s="13">
        <v>4</v>
      </c>
      <c r="H1094" s="14">
        <v>12000</v>
      </c>
      <c r="I1094" s="12">
        <v>0</v>
      </c>
      <c r="J1094" s="13"/>
      <c r="K1094" s="14">
        <v>0</v>
      </c>
      <c r="L1094" s="12">
        <v>1000</v>
      </c>
      <c r="M1094" s="13">
        <v>4</v>
      </c>
      <c r="N1094" s="14">
        <v>4000</v>
      </c>
      <c r="O1094" s="12">
        <v>2000</v>
      </c>
      <c r="P1094" s="13">
        <v>4</v>
      </c>
      <c r="Q1094" s="14">
        <v>8000</v>
      </c>
      <c r="R1094" s="11" t="s">
        <v>2990</v>
      </c>
      <c r="S1094" s="11" t="s">
        <v>2991</v>
      </c>
      <c r="T1094" s="11" t="s">
        <v>2966</v>
      </c>
    </row>
    <row r="1095" spans="1:20" ht="50.1" hidden="1" customHeight="1">
      <c r="A1095" s="10">
        <v>1094</v>
      </c>
      <c r="B1095" s="11" t="s">
        <v>327</v>
      </c>
      <c r="C1095" s="11" t="s">
        <v>328</v>
      </c>
      <c r="D1095" s="11" t="s">
        <v>17</v>
      </c>
      <c r="E1095" s="11" t="s">
        <v>8</v>
      </c>
      <c r="F1095" s="12">
        <v>95</v>
      </c>
      <c r="G1095" s="13">
        <v>7.8104736800000003</v>
      </c>
      <c r="H1095" s="14">
        <v>741.995</v>
      </c>
      <c r="I1095" s="12">
        <v>0</v>
      </c>
      <c r="J1095" s="13"/>
      <c r="K1095" s="14">
        <v>0</v>
      </c>
      <c r="L1095" s="12">
        <v>0</v>
      </c>
      <c r="M1095" s="13"/>
      <c r="N1095" s="14">
        <v>0</v>
      </c>
      <c r="O1095" s="12">
        <v>95</v>
      </c>
      <c r="P1095" s="13">
        <v>7.8104736800000003</v>
      </c>
      <c r="Q1095" s="14">
        <v>741.995</v>
      </c>
      <c r="R1095" s="11" t="s">
        <v>2971</v>
      </c>
      <c r="S1095" s="11" t="s">
        <v>2972</v>
      </c>
      <c r="T1095" s="11" t="s">
        <v>2966</v>
      </c>
    </row>
    <row r="1096" spans="1:20" ht="50.1" hidden="1" customHeight="1">
      <c r="A1096" s="10">
        <v>1095</v>
      </c>
      <c r="B1096" s="11" t="s">
        <v>333</v>
      </c>
      <c r="C1096" s="11" t="s">
        <v>334</v>
      </c>
      <c r="D1096" s="11" t="s">
        <v>17</v>
      </c>
      <c r="E1096" s="11" t="s">
        <v>8</v>
      </c>
      <c r="F1096" s="12">
        <v>233</v>
      </c>
      <c r="G1096" s="13">
        <v>11.5</v>
      </c>
      <c r="H1096" s="14">
        <v>2679.5</v>
      </c>
      <c r="I1096" s="12">
        <v>0</v>
      </c>
      <c r="J1096" s="13"/>
      <c r="K1096" s="14">
        <v>0</v>
      </c>
      <c r="L1096" s="12">
        <v>0</v>
      </c>
      <c r="M1096" s="13"/>
      <c r="N1096" s="14">
        <v>0</v>
      </c>
      <c r="O1096" s="12">
        <v>233</v>
      </c>
      <c r="P1096" s="13">
        <v>11.5</v>
      </c>
      <c r="Q1096" s="14">
        <v>2679.5</v>
      </c>
      <c r="R1096" s="11" t="s">
        <v>2971</v>
      </c>
      <c r="S1096" s="11" t="s">
        <v>2972</v>
      </c>
      <c r="T1096" s="11" t="s">
        <v>2966</v>
      </c>
    </row>
    <row r="1097" spans="1:20" ht="50.1" hidden="1" customHeight="1">
      <c r="A1097" s="10">
        <v>1096</v>
      </c>
      <c r="B1097" s="11" t="s">
        <v>335</v>
      </c>
      <c r="C1097" s="11" t="s">
        <v>336</v>
      </c>
      <c r="D1097" s="11" t="s">
        <v>17</v>
      </c>
      <c r="E1097" s="11" t="s">
        <v>8</v>
      </c>
      <c r="F1097" s="12">
        <v>3800</v>
      </c>
      <c r="G1097" s="13">
        <v>7.0791815800000002</v>
      </c>
      <c r="H1097" s="14">
        <v>26900.89</v>
      </c>
      <c r="I1097" s="12">
        <v>0</v>
      </c>
      <c r="J1097" s="13"/>
      <c r="K1097" s="14">
        <v>0</v>
      </c>
      <c r="L1097" s="12">
        <v>700</v>
      </c>
      <c r="M1097" s="13">
        <v>7.0791000000000004</v>
      </c>
      <c r="N1097" s="14">
        <v>4955.37</v>
      </c>
      <c r="O1097" s="12">
        <v>3100</v>
      </c>
      <c r="P1097" s="13">
        <v>7.0792000000000002</v>
      </c>
      <c r="Q1097" s="14">
        <v>21945.52</v>
      </c>
      <c r="R1097" s="11" t="s">
        <v>2971</v>
      </c>
      <c r="S1097" s="11" t="s">
        <v>2972</v>
      </c>
      <c r="T1097" s="11" t="s">
        <v>2966</v>
      </c>
    </row>
    <row r="1098" spans="1:20" ht="50.1" hidden="1" customHeight="1">
      <c r="A1098" s="10">
        <v>1097</v>
      </c>
      <c r="B1098" s="11" t="s">
        <v>3041</v>
      </c>
      <c r="C1098" s="11" t="s">
        <v>3042</v>
      </c>
      <c r="D1098" s="11" t="s">
        <v>17</v>
      </c>
      <c r="E1098" s="11" t="s">
        <v>8</v>
      </c>
      <c r="F1098" s="12">
        <v>0</v>
      </c>
      <c r="G1098" s="13"/>
      <c r="H1098" s="14">
        <v>-594</v>
      </c>
      <c r="I1098" s="12">
        <v>0</v>
      </c>
      <c r="J1098" s="13"/>
      <c r="K1098" s="14">
        <v>0</v>
      </c>
      <c r="L1098" s="12">
        <v>0</v>
      </c>
      <c r="M1098" s="13"/>
      <c r="N1098" s="14">
        <v>0</v>
      </c>
      <c r="O1098" s="12">
        <v>0</v>
      </c>
      <c r="P1098" s="13"/>
      <c r="Q1098" s="14">
        <v>-594</v>
      </c>
      <c r="R1098" s="11" t="s">
        <v>3043</v>
      </c>
      <c r="S1098" s="11" t="s">
        <v>3044</v>
      </c>
      <c r="T1098" s="11" t="s">
        <v>2966</v>
      </c>
    </row>
    <row r="1099" spans="1:20" ht="50.1" hidden="1" customHeight="1">
      <c r="A1099" s="10">
        <v>1098</v>
      </c>
      <c r="B1099" s="11" t="s">
        <v>3045</v>
      </c>
      <c r="C1099" s="11" t="s">
        <v>3046</v>
      </c>
      <c r="D1099" s="11" t="s">
        <v>17</v>
      </c>
      <c r="E1099" s="11" t="s">
        <v>8</v>
      </c>
      <c r="F1099" s="12">
        <v>0</v>
      </c>
      <c r="G1099" s="13"/>
      <c r="H1099" s="14">
        <v>602.99720000000002</v>
      </c>
      <c r="I1099" s="12">
        <v>0</v>
      </c>
      <c r="J1099" s="13"/>
      <c r="K1099" s="14">
        <v>0</v>
      </c>
      <c r="L1099" s="12">
        <v>0</v>
      </c>
      <c r="M1099" s="13"/>
      <c r="N1099" s="14">
        <v>0</v>
      </c>
      <c r="O1099" s="12">
        <v>0</v>
      </c>
      <c r="P1099" s="13"/>
      <c r="Q1099" s="14">
        <v>602.99720000000002</v>
      </c>
      <c r="R1099" s="11" t="s">
        <v>3043</v>
      </c>
      <c r="S1099" s="11" t="s">
        <v>3044</v>
      </c>
      <c r="T1099" s="11" t="s">
        <v>2966</v>
      </c>
    </row>
    <row r="1100" spans="1:20" ht="50.1" hidden="1" customHeight="1">
      <c r="A1100" s="10">
        <v>1099</v>
      </c>
      <c r="B1100" s="11" t="s">
        <v>3047</v>
      </c>
      <c r="C1100" s="11" t="s">
        <v>3048</v>
      </c>
      <c r="D1100" s="11" t="s">
        <v>17</v>
      </c>
      <c r="E1100" s="11" t="s">
        <v>8</v>
      </c>
      <c r="F1100" s="12">
        <v>0</v>
      </c>
      <c r="G1100" s="13"/>
      <c r="H1100" s="14">
        <v>774</v>
      </c>
      <c r="I1100" s="12">
        <v>0</v>
      </c>
      <c r="J1100" s="13"/>
      <c r="K1100" s="14">
        <v>0</v>
      </c>
      <c r="L1100" s="12">
        <v>0</v>
      </c>
      <c r="M1100" s="13"/>
      <c r="N1100" s="14">
        <v>0</v>
      </c>
      <c r="O1100" s="12">
        <v>0</v>
      </c>
      <c r="P1100" s="13"/>
      <c r="Q1100" s="14">
        <v>774</v>
      </c>
      <c r="R1100" s="11" t="s">
        <v>3043</v>
      </c>
      <c r="S1100" s="11" t="s">
        <v>3044</v>
      </c>
      <c r="T1100" s="11" t="s">
        <v>2966</v>
      </c>
    </row>
    <row r="1101" spans="1:20" ht="50.1" hidden="1" customHeight="1">
      <c r="A1101" s="10">
        <v>1100</v>
      </c>
      <c r="B1101" s="11" t="s">
        <v>639</v>
      </c>
      <c r="C1101" s="11" t="s">
        <v>640</v>
      </c>
      <c r="D1101" s="11" t="s">
        <v>17</v>
      </c>
      <c r="E1101" s="11" t="s">
        <v>8</v>
      </c>
      <c r="F1101" s="12">
        <v>89</v>
      </c>
      <c r="G1101" s="13">
        <v>2800</v>
      </c>
      <c r="H1101" s="14">
        <v>249200</v>
      </c>
      <c r="I1101" s="12">
        <v>2</v>
      </c>
      <c r="J1101" s="13">
        <v>2800</v>
      </c>
      <c r="K1101" s="14">
        <v>5600</v>
      </c>
      <c r="L1101" s="12">
        <v>15</v>
      </c>
      <c r="M1101" s="13">
        <v>2800</v>
      </c>
      <c r="N1101" s="14">
        <v>42000</v>
      </c>
      <c r="O1101" s="12">
        <v>76</v>
      </c>
      <c r="P1101" s="13">
        <v>2800</v>
      </c>
      <c r="Q1101" s="14">
        <v>212800</v>
      </c>
      <c r="R1101" s="11" t="s">
        <v>2971</v>
      </c>
      <c r="S1101" s="11" t="s">
        <v>2972</v>
      </c>
      <c r="T1101" s="11" t="s">
        <v>2966</v>
      </c>
    </row>
    <row r="1102" spans="1:20" ht="50.1" hidden="1" customHeight="1">
      <c r="A1102" s="10">
        <v>1101</v>
      </c>
      <c r="B1102" s="11" t="s">
        <v>641</v>
      </c>
      <c r="C1102" s="11" t="s">
        <v>3273</v>
      </c>
      <c r="D1102" s="11" t="s">
        <v>17</v>
      </c>
      <c r="E1102" s="11" t="s">
        <v>8</v>
      </c>
      <c r="F1102" s="12">
        <v>1100</v>
      </c>
      <c r="G1102" s="13">
        <v>25</v>
      </c>
      <c r="H1102" s="14">
        <v>27500</v>
      </c>
      <c r="I1102" s="12">
        <v>0</v>
      </c>
      <c r="J1102" s="13"/>
      <c r="K1102" s="14">
        <v>0</v>
      </c>
      <c r="L1102" s="12">
        <v>800</v>
      </c>
      <c r="M1102" s="13">
        <v>25</v>
      </c>
      <c r="N1102" s="14">
        <v>20000</v>
      </c>
      <c r="O1102" s="12">
        <v>300</v>
      </c>
      <c r="P1102" s="13">
        <v>25</v>
      </c>
      <c r="Q1102" s="14">
        <v>7500</v>
      </c>
      <c r="R1102" s="11" t="s">
        <v>2971</v>
      </c>
      <c r="S1102" s="11" t="s">
        <v>2972</v>
      </c>
      <c r="T1102" s="11" t="s">
        <v>2966</v>
      </c>
    </row>
    <row r="1103" spans="1:20" ht="50.1" hidden="1" customHeight="1">
      <c r="A1103" s="10">
        <v>1102</v>
      </c>
      <c r="B1103" s="11" t="s">
        <v>3665</v>
      </c>
      <c r="C1103" s="11" t="s">
        <v>3666</v>
      </c>
      <c r="D1103" s="11" t="s">
        <v>20</v>
      </c>
      <c r="E1103" s="11" t="s">
        <v>8</v>
      </c>
      <c r="F1103" s="12">
        <v>0</v>
      </c>
      <c r="G1103" s="13"/>
      <c r="H1103" s="14">
        <v>0</v>
      </c>
      <c r="I1103" s="12">
        <v>125.9</v>
      </c>
      <c r="J1103" s="13">
        <v>28</v>
      </c>
      <c r="K1103" s="14">
        <v>3525.2</v>
      </c>
      <c r="L1103" s="12">
        <v>0</v>
      </c>
      <c r="M1103" s="13"/>
      <c r="N1103" s="14">
        <v>0</v>
      </c>
      <c r="O1103" s="12">
        <v>125.9</v>
      </c>
      <c r="P1103" s="13">
        <v>28</v>
      </c>
      <c r="Q1103" s="14">
        <v>3525.2</v>
      </c>
      <c r="R1103" s="11" t="s">
        <v>3049</v>
      </c>
      <c r="S1103" s="11" t="s">
        <v>3050</v>
      </c>
      <c r="T1103" s="11" t="s">
        <v>2966</v>
      </c>
    </row>
    <row r="1104" spans="1:20" ht="50.1" hidden="1" customHeight="1">
      <c r="A1104" s="10">
        <v>1103</v>
      </c>
      <c r="B1104" s="11" t="s">
        <v>3667</v>
      </c>
      <c r="C1104" s="11" t="s">
        <v>3668</v>
      </c>
      <c r="D1104" s="11" t="s">
        <v>20</v>
      </c>
      <c r="E1104" s="11" t="s">
        <v>8</v>
      </c>
      <c r="F1104" s="12">
        <v>0</v>
      </c>
      <c r="G1104" s="13"/>
      <c r="H1104" s="14">
        <v>0</v>
      </c>
      <c r="I1104" s="12">
        <v>76</v>
      </c>
      <c r="J1104" s="13">
        <v>6</v>
      </c>
      <c r="K1104" s="14">
        <v>456</v>
      </c>
      <c r="L1104" s="12">
        <v>0</v>
      </c>
      <c r="M1104" s="13"/>
      <c r="N1104" s="14">
        <v>0</v>
      </c>
      <c r="O1104" s="12">
        <v>76</v>
      </c>
      <c r="P1104" s="13">
        <v>6</v>
      </c>
      <c r="Q1104" s="14">
        <v>456</v>
      </c>
      <c r="R1104" s="11" t="s">
        <v>3049</v>
      </c>
      <c r="S1104" s="11" t="s">
        <v>3050</v>
      </c>
      <c r="T1104" s="11" t="s">
        <v>2966</v>
      </c>
    </row>
    <row r="1105" spans="1:20" ht="50.1" hidden="1" customHeight="1">
      <c r="A1105" s="10">
        <v>1104</v>
      </c>
      <c r="B1105" s="11" t="s">
        <v>3669</v>
      </c>
      <c r="C1105" s="11" t="s">
        <v>3670</v>
      </c>
      <c r="D1105" s="11" t="s">
        <v>20</v>
      </c>
      <c r="E1105" s="11" t="s">
        <v>8</v>
      </c>
      <c r="F1105" s="12">
        <v>0</v>
      </c>
      <c r="G1105" s="13"/>
      <c r="H1105" s="14">
        <v>0</v>
      </c>
      <c r="I1105" s="12">
        <v>296</v>
      </c>
      <c r="J1105" s="13">
        <v>10</v>
      </c>
      <c r="K1105" s="14">
        <v>2960</v>
      </c>
      <c r="L1105" s="12">
        <v>0</v>
      </c>
      <c r="M1105" s="13"/>
      <c r="N1105" s="14">
        <v>0</v>
      </c>
      <c r="O1105" s="12">
        <v>296</v>
      </c>
      <c r="P1105" s="13">
        <v>10</v>
      </c>
      <c r="Q1105" s="14">
        <v>2960</v>
      </c>
      <c r="R1105" s="11" t="s">
        <v>3049</v>
      </c>
      <c r="S1105" s="11" t="s">
        <v>3050</v>
      </c>
      <c r="T1105" s="11" t="s">
        <v>2966</v>
      </c>
    </row>
    <row r="1106" spans="1:20" ht="50.1" hidden="1" customHeight="1">
      <c r="A1106" s="10">
        <v>1105</v>
      </c>
      <c r="B1106" s="11" t="s">
        <v>3617</v>
      </c>
      <c r="C1106" s="11" t="s">
        <v>3618</v>
      </c>
      <c r="D1106" s="11" t="s">
        <v>7</v>
      </c>
      <c r="E1106" s="11" t="s">
        <v>8</v>
      </c>
      <c r="F1106" s="12">
        <v>0</v>
      </c>
      <c r="G1106" s="13"/>
      <c r="H1106" s="14">
        <v>0</v>
      </c>
      <c r="I1106" s="12">
        <v>336</v>
      </c>
      <c r="J1106" s="13">
        <v>269</v>
      </c>
      <c r="K1106" s="14">
        <v>90384</v>
      </c>
      <c r="L1106" s="12">
        <v>229</v>
      </c>
      <c r="M1106" s="13">
        <v>269</v>
      </c>
      <c r="N1106" s="14">
        <v>61601</v>
      </c>
      <c r="O1106" s="12">
        <v>107</v>
      </c>
      <c r="P1106" s="13">
        <v>269</v>
      </c>
      <c r="Q1106" s="14">
        <v>28783</v>
      </c>
      <c r="R1106" s="11" t="s">
        <v>3049</v>
      </c>
      <c r="S1106" s="11" t="s">
        <v>3050</v>
      </c>
      <c r="T1106" s="11" t="s">
        <v>2966</v>
      </c>
    </row>
    <row r="1107" spans="1:20" ht="50.1" hidden="1" customHeight="1">
      <c r="A1107" s="10">
        <v>1106</v>
      </c>
      <c r="B1107" s="11" t="s">
        <v>3557</v>
      </c>
      <c r="C1107" s="11" t="s">
        <v>3558</v>
      </c>
      <c r="D1107" s="11" t="s">
        <v>7</v>
      </c>
      <c r="E1107" s="11" t="s">
        <v>8</v>
      </c>
      <c r="F1107" s="12">
        <v>0</v>
      </c>
      <c r="G1107" s="13"/>
      <c r="H1107" s="14">
        <v>0</v>
      </c>
      <c r="I1107" s="12">
        <v>802</v>
      </c>
      <c r="J1107" s="13">
        <v>189</v>
      </c>
      <c r="K1107" s="14">
        <v>151578</v>
      </c>
      <c r="L1107" s="12">
        <v>802</v>
      </c>
      <c r="M1107" s="13">
        <v>189</v>
      </c>
      <c r="N1107" s="14">
        <v>151578</v>
      </c>
      <c r="O1107" s="12">
        <v>0</v>
      </c>
      <c r="P1107" s="13"/>
      <c r="Q1107" s="14">
        <v>0</v>
      </c>
      <c r="R1107" s="11" t="s">
        <v>3049</v>
      </c>
      <c r="S1107" s="11" t="s">
        <v>3050</v>
      </c>
      <c r="T1107" s="11" t="s">
        <v>2966</v>
      </c>
    </row>
    <row r="1108" spans="1:20" ht="50.1" hidden="1" customHeight="1">
      <c r="A1108" s="10">
        <v>1107</v>
      </c>
      <c r="B1108" s="11" t="s">
        <v>3559</v>
      </c>
      <c r="C1108" s="11" t="s">
        <v>3560</v>
      </c>
      <c r="D1108" s="11" t="s">
        <v>7</v>
      </c>
      <c r="E1108" s="11" t="s">
        <v>8</v>
      </c>
      <c r="F1108" s="12">
        <v>0</v>
      </c>
      <c r="G1108" s="13"/>
      <c r="H1108" s="14">
        <v>0</v>
      </c>
      <c r="I1108" s="12">
        <v>478</v>
      </c>
      <c r="J1108" s="13">
        <v>191</v>
      </c>
      <c r="K1108" s="14">
        <v>91298</v>
      </c>
      <c r="L1108" s="12">
        <v>478</v>
      </c>
      <c r="M1108" s="13">
        <v>191</v>
      </c>
      <c r="N1108" s="14">
        <v>91298</v>
      </c>
      <c r="O1108" s="12">
        <v>0</v>
      </c>
      <c r="P1108" s="13"/>
      <c r="Q1108" s="14">
        <v>0</v>
      </c>
      <c r="R1108" s="11" t="s">
        <v>3049</v>
      </c>
      <c r="S1108" s="11" t="s">
        <v>3050</v>
      </c>
      <c r="T1108" s="11" t="s">
        <v>2966</v>
      </c>
    </row>
    <row r="1109" spans="1:20" ht="50.1" hidden="1" customHeight="1">
      <c r="A1109" s="10">
        <v>1108</v>
      </c>
      <c r="B1109" s="11" t="s">
        <v>3561</v>
      </c>
      <c r="C1109" s="11" t="s">
        <v>3562</v>
      </c>
      <c r="D1109" s="11" t="s">
        <v>7</v>
      </c>
      <c r="E1109" s="11" t="s">
        <v>8</v>
      </c>
      <c r="F1109" s="12">
        <v>0</v>
      </c>
      <c r="G1109" s="13"/>
      <c r="H1109" s="14">
        <v>0</v>
      </c>
      <c r="I1109" s="12">
        <v>195</v>
      </c>
      <c r="J1109" s="13">
        <v>334</v>
      </c>
      <c r="K1109" s="14">
        <v>65130</v>
      </c>
      <c r="L1109" s="12">
        <v>170</v>
      </c>
      <c r="M1109" s="13">
        <v>334</v>
      </c>
      <c r="N1109" s="14">
        <v>56780</v>
      </c>
      <c r="O1109" s="12">
        <v>25</v>
      </c>
      <c r="P1109" s="13">
        <v>334</v>
      </c>
      <c r="Q1109" s="14">
        <v>8350</v>
      </c>
      <c r="R1109" s="11" t="s">
        <v>3049</v>
      </c>
      <c r="S1109" s="11" t="s">
        <v>3050</v>
      </c>
      <c r="T1109" s="11" t="s">
        <v>2966</v>
      </c>
    </row>
    <row r="1110" spans="1:20" ht="50.1" hidden="1" customHeight="1">
      <c r="A1110" s="10">
        <v>1109</v>
      </c>
      <c r="B1110" s="11" t="s">
        <v>3619</v>
      </c>
      <c r="C1110" s="11" t="s">
        <v>3620</v>
      </c>
      <c r="D1110" s="11" t="s">
        <v>7</v>
      </c>
      <c r="E1110" s="11" t="s">
        <v>8</v>
      </c>
      <c r="F1110" s="12">
        <v>0</v>
      </c>
      <c r="G1110" s="13"/>
      <c r="H1110" s="14">
        <v>0</v>
      </c>
      <c r="I1110" s="12">
        <v>540</v>
      </c>
      <c r="J1110" s="13">
        <v>189</v>
      </c>
      <c r="K1110" s="14">
        <v>102060</v>
      </c>
      <c r="L1110" s="12">
        <v>489</v>
      </c>
      <c r="M1110" s="13">
        <v>189</v>
      </c>
      <c r="N1110" s="14">
        <v>92421</v>
      </c>
      <c r="O1110" s="12">
        <v>51</v>
      </c>
      <c r="P1110" s="13">
        <v>189</v>
      </c>
      <c r="Q1110" s="14">
        <v>9639</v>
      </c>
      <c r="R1110" s="11" t="s">
        <v>3049</v>
      </c>
      <c r="S1110" s="11" t="s">
        <v>3050</v>
      </c>
      <c r="T1110" s="11" t="s">
        <v>2966</v>
      </c>
    </row>
    <row r="1111" spans="1:20" ht="50.1" hidden="1" customHeight="1">
      <c r="A1111" s="10">
        <v>1110</v>
      </c>
      <c r="B1111" s="11" t="s">
        <v>3563</v>
      </c>
      <c r="C1111" s="11" t="s">
        <v>3564</v>
      </c>
      <c r="D1111" s="11" t="s">
        <v>7</v>
      </c>
      <c r="E1111" s="11" t="s">
        <v>8</v>
      </c>
      <c r="F1111" s="12">
        <v>0</v>
      </c>
      <c r="G1111" s="13"/>
      <c r="H1111" s="14">
        <v>0</v>
      </c>
      <c r="I1111" s="12">
        <v>492</v>
      </c>
      <c r="J1111" s="13">
        <v>184</v>
      </c>
      <c r="K1111" s="14">
        <v>90528</v>
      </c>
      <c r="L1111" s="12">
        <v>492</v>
      </c>
      <c r="M1111" s="13">
        <v>184</v>
      </c>
      <c r="N1111" s="14">
        <v>90528</v>
      </c>
      <c r="O1111" s="12">
        <v>0</v>
      </c>
      <c r="P1111" s="13"/>
      <c r="Q1111" s="14">
        <v>0</v>
      </c>
      <c r="R1111" s="11" t="s">
        <v>3049</v>
      </c>
      <c r="S1111" s="11" t="s">
        <v>3050</v>
      </c>
      <c r="T1111" s="11" t="s">
        <v>2966</v>
      </c>
    </row>
    <row r="1112" spans="1:20" ht="50.1" hidden="1" customHeight="1">
      <c r="A1112" s="10">
        <v>1111</v>
      </c>
      <c r="B1112" s="11" t="s">
        <v>3645</v>
      </c>
      <c r="C1112" s="11" t="s">
        <v>3646</v>
      </c>
      <c r="D1112" s="11" t="s">
        <v>7</v>
      </c>
      <c r="E1112" s="11" t="s">
        <v>8</v>
      </c>
      <c r="F1112" s="12">
        <v>0</v>
      </c>
      <c r="G1112" s="13"/>
      <c r="H1112" s="14">
        <v>0</v>
      </c>
      <c r="I1112" s="12">
        <v>140</v>
      </c>
      <c r="J1112" s="13">
        <v>328</v>
      </c>
      <c r="K1112" s="14">
        <v>45920</v>
      </c>
      <c r="L1112" s="12">
        <v>140</v>
      </c>
      <c r="M1112" s="13">
        <v>328</v>
      </c>
      <c r="N1112" s="14">
        <v>45920</v>
      </c>
      <c r="O1112" s="12">
        <v>0</v>
      </c>
      <c r="P1112" s="13"/>
      <c r="Q1112" s="14">
        <v>0</v>
      </c>
      <c r="R1112" s="11" t="s">
        <v>3049</v>
      </c>
      <c r="S1112" s="11" t="s">
        <v>3050</v>
      </c>
      <c r="T1112" s="11" t="s">
        <v>2966</v>
      </c>
    </row>
    <row r="1113" spans="1:20" ht="50.1" hidden="1" customHeight="1">
      <c r="A1113" s="10">
        <v>1112</v>
      </c>
      <c r="B1113" s="11" t="s">
        <v>3570</v>
      </c>
      <c r="C1113" s="11" t="s">
        <v>3571</v>
      </c>
      <c r="D1113" s="11" t="s">
        <v>7</v>
      </c>
      <c r="E1113" s="11" t="s">
        <v>8</v>
      </c>
      <c r="F1113" s="12">
        <v>135</v>
      </c>
      <c r="G1113" s="13">
        <v>180</v>
      </c>
      <c r="H1113" s="14">
        <v>24300</v>
      </c>
      <c r="I1113" s="12">
        <v>0</v>
      </c>
      <c r="J1113" s="13"/>
      <c r="K1113" s="14">
        <v>0</v>
      </c>
      <c r="L1113" s="12">
        <v>135</v>
      </c>
      <c r="M1113" s="13">
        <v>180</v>
      </c>
      <c r="N1113" s="14">
        <v>24300</v>
      </c>
      <c r="O1113" s="12">
        <v>0</v>
      </c>
      <c r="P1113" s="13"/>
      <c r="Q1113" s="14">
        <v>0</v>
      </c>
      <c r="R1113" s="11" t="s">
        <v>3049</v>
      </c>
      <c r="S1113" s="11" t="s">
        <v>3050</v>
      </c>
      <c r="T1113" s="11" t="s">
        <v>2966</v>
      </c>
    </row>
    <row r="1114" spans="1:20" ht="50.1" hidden="1" customHeight="1">
      <c r="A1114" s="10">
        <v>1113</v>
      </c>
      <c r="B1114" s="11" t="s">
        <v>3572</v>
      </c>
      <c r="C1114" s="11" t="s">
        <v>3573</v>
      </c>
      <c r="D1114" s="11" t="s">
        <v>7</v>
      </c>
      <c r="E1114" s="11" t="s">
        <v>8</v>
      </c>
      <c r="F1114" s="12">
        <v>94</v>
      </c>
      <c r="G1114" s="13">
        <v>448</v>
      </c>
      <c r="H1114" s="14">
        <v>42112</v>
      </c>
      <c r="I1114" s="12">
        <v>0</v>
      </c>
      <c r="J1114" s="13"/>
      <c r="K1114" s="14">
        <v>0</v>
      </c>
      <c r="L1114" s="12">
        <v>94</v>
      </c>
      <c r="M1114" s="13">
        <v>448</v>
      </c>
      <c r="N1114" s="14">
        <v>42112</v>
      </c>
      <c r="O1114" s="12">
        <v>0</v>
      </c>
      <c r="P1114" s="13"/>
      <c r="Q1114" s="14">
        <v>0</v>
      </c>
      <c r="R1114" s="11" t="s">
        <v>3049</v>
      </c>
      <c r="S1114" s="11" t="s">
        <v>3050</v>
      </c>
      <c r="T1114" s="11" t="s">
        <v>2966</v>
      </c>
    </row>
    <row r="1115" spans="1:20" ht="50.1" hidden="1" customHeight="1">
      <c r="A1115" s="10">
        <v>1114</v>
      </c>
      <c r="B1115" s="11" t="s">
        <v>3621</v>
      </c>
      <c r="C1115" s="11" t="s">
        <v>3622</v>
      </c>
      <c r="D1115" s="11" t="s">
        <v>7</v>
      </c>
      <c r="E1115" s="11" t="s">
        <v>8</v>
      </c>
      <c r="F1115" s="12">
        <v>0</v>
      </c>
      <c r="G1115" s="13"/>
      <c r="H1115" s="14">
        <v>0</v>
      </c>
      <c r="I1115" s="12">
        <v>20</v>
      </c>
      <c r="J1115" s="13">
        <v>2294</v>
      </c>
      <c r="K1115" s="14">
        <v>45880</v>
      </c>
      <c r="L1115" s="12">
        <v>20</v>
      </c>
      <c r="M1115" s="13">
        <v>2294</v>
      </c>
      <c r="N1115" s="14">
        <v>45880</v>
      </c>
      <c r="O1115" s="12">
        <v>0</v>
      </c>
      <c r="P1115" s="13"/>
      <c r="Q1115" s="14">
        <v>0</v>
      </c>
      <c r="R1115" s="11" t="s">
        <v>3049</v>
      </c>
      <c r="S1115" s="11" t="s">
        <v>3050</v>
      </c>
      <c r="T1115" s="11" t="s">
        <v>2966</v>
      </c>
    </row>
    <row r="1116" spans="1:20" ht="50.1" hidden="1" customHeight="1">
      <c r="A1116" s="10">
        <v>1115</v>
      </c>
      <c r="B1116" s="11" t="s">
        <v>3623</v>
      </c>
      <c r="C1116" s="11" t="s">
        <v>3624</v>
      </c>
      <c r="D1116" s="11" t="s">
        <v>7</v>
      </c>
      <c r="E1116" s="11" t="s">
        <v>8</v>
      </c>
      <c r="F1116" s="12">
        <v>0</v>
      </c>
      <c r="G1116" s="13"/>
      <c r="H1116" s="14">
        <v>0</v>
      </c>
      <c r="I1116" s="12">
        <v>40</v>
      </c>
      <c r="J1116" s="13">
        <v>669</v>
      </c>
      <c r="K1116" s="14">
        <v>26760</v>
      </c>
      <c r="L1116" s="12">
        <v>40</v>
      </c>
      <c r="M1116" s="13">
        <v>669</v>
      </c>
      <c r="N1116" s="14">
        <v>26760</v>
      </c>
      <c r="O1116" s="12">
        <v>0</v>
      </c>
      <c r="P1116" s="13"/>
      <c r="Q1116" s="14">
        <v>0</v>
      </c>
      <c r="R1116" s="11" t="s">
        <v>3049</v>
      </c>
      <c r="S1116" s="11" t="s">
        <v>3050</v>
      </c>
      <c r="T1116" s="11" t="s">
        <v>2966</v>
      </c>
    </row>
    <row r="1117" spans="1:20" ht="50.1" hidden="1" customHeight="1">
      <c r="A1117" s="10">
        <v>1116</v>
      </c>
      <c r="B1117" s="11" t="s">
        <v>3625</v>
      </c>
      <c r="C1117" s="11" t="s">
        <v>3626</v>
      </c>
      <c r="D1117" s="11" t="s">
        <v>7</v>
      </c>
      <c r="E1117" s="11" t="s">
        <v>8</v>
      </c>
      <c r="F1117" s="12">
        <v>0</v>
      </c>
      <c r="G1117" s="13"/>
      <c r="H1117" s="14">
        <v>0</v>
      </c>
      <c r="I1117" s="12">
        <v>50</v>
      </c>
      <c r="J1117" s="13">
        <v>148</v>
      </c>
      <c r="K1117" s="14">
        <v>7400</v>
      </c>
      <c r="L1117" s="12">
        <v>50</v>
      </c>
      <c r="M1117" s="13">
        <v>148</v>
      </c>
      <c r="N1117" s="14">
        <v>7400</v>
      </c>
      <c r="O1117" s="12">
        <v>0</v>
      </c>
      <c r="P1117" s="13"/>
      <c r="Q1117" s="14">
        <v>0</v>
      </c>
      <c r="R1117" s="11" t="s">
        <v>3049</v>
      </c>
      <c r="S1117" s="11" t="s">
        <v>3050</v>
      </c>
      <c r="T1117" s="11" t="s">
        <v>2966</v>
      </c>
    </row>
    <row r="1118" spans="1:20" ht="50.1" hidden="1" customHeight="1">
      <c r="A1118" s="10">
        <v>1117</v>
      </c>
      <c r="B1118" s="11" t="s">
        <v>3627</v>
      </c>
      <c r="C1118" s="11" t="s">
        <v>3628</v>
      </c>
      <c r="D1118" s="11" t="s">
        <v>7</v>
      </c>
      <c r="E1118" s="11" t="s">
        <v>8</v>
      </c>
      <c r="F1118" s="12">
        <v>0</v>
      </c>
      <c r="G1118" s="13"/>
      <c r="H1118" s="14">
        <v>0</v>
      </c>
      <c r="I1118" s="12">
        <v>25</v>
      </c>
      <c r="J1118" s="13">
        <v>336</v>
      </c>
      <c r="K1118" s="14">
        <v>8400</v>
      </c>
      <c r="L1118" s="12">
        <v>25</v>
      </c>
      <c r="M1118" s="13">
        <v>336</v>
      </c>
      <c r="N1118" s="14">
        <v>8400</v>
      </c>
      <c r="O1118" s="12">
        <v>0</v>
      </c>
      <c r="P1118" s="13"/>
      <c r="Q1118" s="14">
        <v>0</v>
      </c>
      <c r="R1118" s="11" t="s">
        <v>3049</v>
      </c>
      <c r="S1118" s="11" t="s">
        <v>3050</v>
      </c>
      <c r="T1118" s="11" t="s">
        <v>2966</v>
      </c>
    </row>
    <row r="1119" spans="1:20" ht="50.1" hidden="1" customHeight="1">
      <c r="A1119" s="10">
        <v>1118</v>
      </c>
      <c r="B1119" s="11" t="s">
        <v>3629</v>
      </c>
      <c r="C1119" s="11" t="s">
        <v>3630</v>
      </c>
      <c r="D1119" s="11" t="s">
        <v>7</v>
      </c>
      <c r="E1119" s="11" t="s">
        <v>8</v>
      </c>
      <c r="F1119" s="12">
        <v>0</v>
      </c>
      <c r="G1119" s="13"/>
      <c r="H1119" s="14">
        <v>0</v>
      </c>
      <c r="I1119" s="12">
        <v>30</v>
      </c>
      <c r="J1119" s="13">
        <v>1236</v>
      </c>
      <c r="K1119" s="14">
        <v>37080</v>
      </c>
      <c r="L1119" s="12">
        <v>30</v>
      </c>
      <c r="M1119" s="13">
        <v>1236</v>
      </c>
      <c r="N1119" s="14">
        <v>37080</v>
      </c>
      <c r="O1119" s="12">
        <v>0</v>
      </c>
      <c r="P1119" s="13"/>
      <c r="Q1119" s="14">
        <v>0</v>
      </c>
      <c r="R1119" s="11" t="s">
        <v>3049</v>
      </c>
      <c r="S1119" s="11" t="s">
        <v>3050</v>
      </c>
      <c r="T1119" s="11" t="s">
        <v>2966</v>
      </c>
    </row>
    <row r="1120" spans="1:20" ht="50.1" hidden="1" customHeight="1">
      <c r="A1120" s="10">
        <v>1119</v>
      </c>
      <c r="B1120" s="11" t="s">
        <v>3631</v>
      </c>
      <c r="C1120" s="11" t="s">
        <v>3632</v>
      </c>
      <c r="D1120" s="11" t="s">
        <v>7</v>
      </c>
      <c r="E1120" s="11" t="s">
        <v>8</v>
      </c>
      <c r="F1120" s="12">
        <v>0</v>
      </c>
      <c r="G1120" s="13"/>
      <c r="H1120" s="14">
        <v>0</v>
      </c>
      <c r="I1120" s="12">
        <v>890</v>
      </c>
      <c r="J1120" s="13">
        <v>122</v>
      </c>
      <c r="K1120" s="14">
        <v>108580</v>
      </c>
      <c r="L1120" s="12">
        <v>890</v>
      </c>
      <c r="M1120" s="13">
        <v>122</v>
      </c>
      <c r="N1120" s="14">
        <v>108580</v>
      </c>
      <c r="O1120" s="12">
        <v>0</v>
      </c>
      <c r="P1120" s="13"/>
      <c r="Q1120" s="14">
        <v>0</v>
      </c>
      <c r="R1120" s="11" t="s">
        <v>3049</v>
      </c>
      <c r="S1120" s="11" t="s">
        <v>3050</v>
      </c>
      <c r="T1120" s="11" t="s">
        <v>2966</v>
      </c>
    </row>
    <row r="1121" spans="1:20" ht="50.1" hidden="1" customHeight="1">
      <c r="A1121" s="10">
        <v>1120</v>
      </c>
      <c r="B1121" s="11" t="s">
        <v>3583</v>
      </c>
      <c r="C1121" s="11" t="s">
        <v>3584</v>
      </c>
      <c r="D1121" s="11" t="s">
        <v>7</v>
      </c>
      <c r="E1121" s="11" t="s">
        <v>8</v>
      </c>
      <c r="F1121" s="12">
        <v>204</v>
      </c>
      <c r="G1121" s="13">
        <v>200</v>
      </c>
      <c r="H1121" s="14">
        <v>40800</v>
      </c>
      <c r="I1121" s="12">
        <v>0</v>
      </c>
      <c r="J1121" s="13"/>
      <c r="K1121" s="14">
        <v>0</v>
      </c>
      <c r="L1121" s="12">
        <v>202</v>
      </c>
      <c r="M1121" s="13">
        <v>200</v>
      </c>
      <c r="N1121" s="14">
        <v>40400</v>
      </c>
      <c r="O1121" s="12">
        <v>2</v>
      </c>
      <c r="P1121" s="13">
        <v>200</v>
      </c>
      <c r="Q1121" s="14">
        <v>400</v>
      </c>
      <c r="R1121" s="11" t="s">
        <v>3049</v>
      </c>
      <c r="S1121" s="11" t="s">
        <v>3050</v>
      </c>
      <c r="T1121" s="11" t="s">
        <v>2966</v>
      </c>
    </row>
    <row r="1122" spans="1:20" ht="50.1" hidden="1" customHeight="1">
      <c r="A1122" s="10">
        <v>1121</v>
      </c>
      <c r="B1122" s="11" t="s">
        <v>3633</v>
      </c>
      <c r="C1122" s="11" t="s">
        <v>3634</v>
      </c>
      <c r="D1122" s="11" t="s">
        <v>7</v>
      </c>
      <c r="E1122" s="11" t="s">
        <v>8</v>
      </c>
      <c r="F1122" s="12">
        <v>2</v>
      </c>
      <c r="G1122" s="13">
        <v>362</v>
      </c>
      <c r="H1122" s="14">
        <v>724</v>
      </c>
      <c r="I1122" s="12">
        <v>538</v>
      </c>
      <c r="J1122" s="13">
        <v>362</v>
      </c>
      <c r="K1122" s="14">
        <v>194756</v>
      </c>
      <c r="L1122" s="12">
        <v>525</v>
      </c>
      <c r="M1122" s="13">
        <v>362</v>
      </c>
      <c r="N1122" s="14">
        <v>190050</v>
      </c>
      <c r="O1122" s="12">
        <v>15</v>
      </c>
      <c r="P1122" s="13">
        <v>362</v>
      </c>
      <c r="Q1122" s="14">
        <v>5430</v>
      </c>
      <c r="R1122" s="11" t="s">
        <v>3049</v>
      </c>
      <c r="S1122" s="11" t="s">
        <v>3050</v>
      </c>
      <c r="T1122" s="11" t="s">
        <v>2966</v>
      </c>
    </row>
    <row r="1123" spans="1:20" ht="50.1" hidden="1" customHeight="1">
      <c r="A1123" s="10">
        <v>1122</v>
      </c>
      <c r="B1123" s="11" t="s">
        <v>3647</v>
      </c>
      <c r="C1123" s="11" t="s">
        <v>3648</v>
      </c>
      <c r="D1123" s="11" t="s">
        <v>7</v>
      </c>
      <c r="E1123" s="11" t="s">
        <v>8</v>
      </c>
      <c r="F1123" s="12">
        <v>0</v>
      </c>
      <c r="G1123" s="13"/>
      <c r="H1123" s="14">
        <v>0</v>
      </c>
      <c r="I1123" s="12">
        <v>98</v>
      </c>
      <c r="J1123" s="13">
        <v>264</v>
      </c>
      <c r="K1123" s="14">
        <v>25872</v>
      </c>
      <c r="L1123" s="12">
        <v>98</v>
      </c>
      <c r="M1123" s="13">
        <v>264</v>
      </c>
      <c r="N1123" s="14">
        <v>25872</v>
      </c>
      <c r="O1123" s="12">
        <v>0</v>
      </c>
      <c r="P1123" s="13"/>
      <c r="Q1123" s="14">
        <v>0</v>
      </c>
      <c r="R1123" s="11" t="s">
        <v>3049</v>
      </c>
      <c r="S1123" s="11" t="s">
        <v>3050</v>
      </c>
      <c r="T1123" s="11" t="s">
        <v>2966</v>
      </c>
    </row>
    <row r="1124" spans="1:20" ht="50.1" hidden="1" customHeight="1">
      <c r="A1124" s="10">
        <v>1123</v>
      </c>
      <c r="B1124" s="11" t="s">
        <v>3635</v>
      </c>
      <c r="C1124" s="11" t="s">
        <v>3636</v>
      </c>
      <c r="D1124" s="11" t="s">
        <v>7</v>
      </c>
      <c r="E1124" s="11" t="s">
        <v>8</v>
      </c>
      <c r="F1124" s="12">
        <v>0</v>
      </c>
      <c r="G1124" s="13"/>
      <c r="H1124" s="14">
        <v>0</v>
      </c>
      <c r="I1124" s="12">
        <v>482</v>
      </c>
      <c r="J1124" s="13">
        <v>213</v>
      </c>
      <c r="K1124" s="14">
        <v>102666</v>
      </c>
      <c r="L1124" s="12">
        <v>482</v>
      </c>
      <c r="M1124" s="13">
        <v>213</v>
      </c>
      <c r="N1124" s="14">
        <v>102666</v>
      </c>
      <c r="O1124" s="12">
        <v>0</v>
      </c>
      <c r="P1124" s="13"/>
      <c r="Q1124" s="14">
        <v>0</v>
      </c>
      <c r="R1124" s="11" t="s">
        <v>3049</v>
      </c>
      <c r="S1124" s="11" t="s">
        <v>3050</v>
      </c>
      <c r="T1124" s="11" t="s">
        <v>2966</v>
      </c>
    </row>
    <row r="1125" spans="1:20" ht="50.1" hidden="1" customHeight="1">
      <c r="A1125" s="10">
        <v>1124</v>
      </c>
      <c r="B1125" s="11" t="s">
        <v>3637</v>
      </c>
      <c r="C1125" s="11" t="s">
        <v>3638</v>
      </c>
      <c r="D1125" s="11" t="s">
        <v>7</v>
      </c>
      <c r="E1125" s="11" t="s">
        <v>8</v>
      </c>
      <c r="F1125" s="12">
        <v>0</v>
      </c>
      <c r="G1125" s="13"/>
      <c r="H1125" s="14">
        <v>0</v>
      </c>
      <c r="I1125" s="12">
        <v>10</v>
      </c>
      <c r="J1125" s="13">
        <v>2571</v>
      </c>
      <c r="K1125" s="14">
        <v>25710</v>
      </c>
      <c r="L1125" s="12">
        <v>10</v>
      </c>
      <c r="M1125" s="13">
        <v>2571</v>
      </c>
      <c r="N1125" s="14">
        <v>25710</v>
      </c>
      <c r="O1125" s="12">
        <v>0</v>
      </c>
      <c r="P1125" s="13"/>
      <c r="Q1125" s="14">
        <v>0</v>
      </c>
      <c r="R1125" s="11" t="s">
        <v>3049</v>
      </c>
      <c r="S1125" s="11" t="s">
        <v>3050</v>
      </c>
      <c r="T1125" s="11" t="s">
        <v>2966</v>
      </c>
    </row>
    <row r="1126" spans="1:20" ht="50.1" hidden="1" customHeight="1">
      <c r="A1126" s="10">
        <v>1125</v>
      </c>
      <c r="B1126" s="11" t="s">
        <v>3585</v>
      </c>
      <c r="C1126" s="11" t="s">
        <v>3586</v>
      </c>
      <c r="D1126" s="11" t="s">
        <v>7</v>
      </c>
      <c r="E1126" s="11" t="s">
        <v>8</v>
      </c>
      <c r="F1126" s="12">
        <v>0</v>
      </c>
      <c r="G1126" s="13"/>
      <c r="H1126" s="14">
        <v>0</v>
      </c>
      <c r="I1126" s="12">
        <v>1038</v>
      </c>
      <c r="J1126" s="13">
        <v>187</v>
      </c>
      <c r="K1126" s="14">
        <v>194106</v>
      </c>
      <c r="L1126" s="12">
        <v>990</v>
      </c>
      <c r="M1126" s="13">
        <v>187</v>
      </c>
      <c r="N1126" s="14">
        <v>185130</v>
      </c>
      <c r="O1126" s="12">
        <v>48</v>
      </c>
      <c r="P1126" s="13">
        <v>187</v>
      </c>
      <c r="Q1126" s="14">
        <v>8976</v>
      </c>
      <c r="R1126" s="11" t="s">
        <v>3049</v>
      </c>
      <c r="S1126" s="11" t="s">
        <v>3050</v>
      </c>
      <c r="T1126" s="11" t="s">
        <v>2966</v>
      </c>
    </row>
    <row r="1127" spans="1:20" ht="50.1" hidden="1" customHeight="1">
      <c r="A1127" s="10">
        <v>1126</v>
      </c>
      <c r="B1127" s="11" t="s">
        <v>3587</v>
      </c>
      <c r="C1127" s="11" t="s">
        <v>3588</v>
      </c>
      <c r="D1127" s="11" t="s">
        <v>7</v>
      </c>
      <c r="E1127" s="11" t="s">
        <v>8</v>
      </c>
      <c r="F1127" s="12">
        <v>0</v>
      </c>
      <c r="G1127" s="13"/>
      <c r="H1127" s="14">
        <v>0</v>
      </c>
      <c r="I1127" s="12">
        <v>473</v>
      </c>
      <c r="J1127" s="13">
        <v>429</v>
      </c>
      <c r="K1127" s="14">
        <v>202917</v>
      </c>
      <c r="L1127" s="12">
        <v>225</v>
      </c>
      <c r="M1127" s="13">
        <v>429</v>
      </c>
      <c r="N1127" s="14">
        <v>96525</v>
      </c>
      <c r="O1127" s="12">
        <v>248</v>
      </c>
      <c r="P1127" s="13">
        <v>428.99996693999998</v>
      </c>
      <c r="Q1127" s="14">
        <v>106391.9918</v>
      </c>
      <c r="R1127" s="11" t="s">
        <v>3049</v>
      </c>
      <c r="S1127" s="11" t="s">
        <v>3050</v>
      </c>
      <c r="T1127" s="11" t="s">
        <v>2966</v>
      </c>
    </row>
    <row r="1128" spans="1:20" ht="50.1" hidden="1" customHeight="1">
      <c r="A1128" s="10">
        <v>1127</v>
      </c>
      <c r="B1128" s="11" t="s">
        <v>3589</v>
      </c>
      <c r="C1128" s="11" t="s">
        <v>3590</v>
      </c>
      <c r="D1128" s="11" t="s">
        <v>7</v>
      </c>
      <c r="E1128" s="11" t="s">
        <v>8</v>
      </c>
      <c r="F1128" s="12">
        <v>0</v>
      </c>
      <c r="G1128" s="13"/>
      <c r="H1128" s="14">
        <v>0</v>
      </c>
      <c r="I1128" s="12">
        <v>959</v>
      </c>
      <c r="J1128" s="13">
        <v>188</v>
      </c>
      <c r="K1128" s="14">
        <v>180292</v>
      </c>
      <c r="L1128" s="12">
        <v>959</v>
      </c>
      <c r="M1128" s="13">
        <v>188</v>
      </c>
      <c r="N1128" s="14">
        <v>180292</v>
      </c>
      <c r="O1128" s="12">
        <v>0</v>
      </c>
      <c r="P1128" s="13"/>
      <c r="Q1128" s="14">
        <v>0</v>
      </c>
      <c r="R1128" s="11" t="s">
        <v>3049</v>
      </c>
      <c r="S1128" s="11" t="s">
        <v>3050</v>
      </c>
      <c r="T1128" s="11" t="s">
        <v>2966</v>
      </c>
    </row>
    <row r="1129" spans="1:20" ht="50.1" hidden="1" customHeight="1">
      <c r="A1129" s="10">
        <v>1128</v>
      </c>
      <c r="B1129" s="11" t="s">
        <v>3591</v>
      </c>
      <c r="C1129" s="11" t="s">
        <v>3592</v>
      </c>
      <c r="D1129" s="11" t="s">
        <v>7</v>
      </c>
      <c r="E1129" s="11" t="s">
        <v>8</v>
      </c>
      <c r="F1129" s="12">
        <v>0</v>
      </c>
      <c r="G1129" s="13"/>
      <c r="H1129" s="14">
        <v>0</v>
      </c>
      <c r="I1129" s="12">
        <v>419</v>
      </c>
      <c r="J1129" s="13">
        <v>431</v>
      </c>
      <c r="K1129" s="14">
        <v>180589</v>
      </c>
      <c r="L1129" s="12">
        <v>318</v>
      </c>
      <c r="M1129" s="13">
        <v>431</v>
      </c>
      <c r="N1129" s="14">
        <v>137058</v>
      </c>
      <c r="O1129" s="12">
        <v>101</v>
      </c>
      <c r="P1129" s="13">
        <v>431.00012376000001</v>
      </c>
      <c r="Q1129" s="14">
        <v>43531.012499999997</v>
      </c>
      <c r="R1129" s="11" t="s">
        <v>3049</v>
      </c>
      <c r="S1129" s="11" t="s">
        <v>3050</v>
      </c>
      <c r="T1129" s="11" t="s">
        <v>2966</v>
      </c>
    </row>
    <row r="1130" spans="1:20" ht="50.1" hidden="1" customHeight="1">
      <c r="A1130" s="10">
        <v>1129</v>
      </c>
      <c r="B1130" s="11" t="s">
        <v>3639</v>
      </c>
      <c r="C1130" s="11" t="s">
        <v>3640</v>
      </c>
      <c r="D1130" s="11" t="s">
        <v>7</v>
      </c>
      <c r="E1130" s="11" t="s">
        <v>8</v>
      </c>
      <c r="F1130" s="12">
        <v>68</v>
      </c>
      <c r="G1130" s="13">
        <v>220</v>
      </c>
      <c r="H1130" s="14">
        <v>14960</v>
      </c>
      <c r="I1130" s="12">
        <v>0</v>
      </c>
      <c r="J1130" s="13"/>
      <c r="K1130" s="14">
        <v>0</v>
      </c>
      <c r="L1130" s="12">
        <v>68</v>
      </c>
      <c r="M1130" s="13">
        <v>220</v>
      </c>
      <c r="N1130" s="14">
        <v>14960</v>
      </c>
      <c r="O1130" s="12">
        <v>0</v>
      </c>
      <c r="P1130" s="13"/>
      <c r="Q1130" s="14">
        <v>0</v>
      </c>
      <c r="R1130" s="11" t="s">
        <v>3049</v>
      </c>
      <c r="S1130" s="11" t="s">
        <v>3050</v>
      </c>
      <c r="T1130" s="11" t="s">
        <v>2966</v>
      </c>
    </row>
    <row r="1131" spans="1:20" ht="50.1" hidden="1" customHeight="1">
      <c r="A1131" s="10">
        <v>1130</v>
      </c>
      <c r="B1131" s="11" t="s">
        <v>3593</v>
      </c>
      <c r="C1131" s="11" t="s">
        <v>3594</v>
      </c>
      <c r="D1131" s="11" t="s">
        <v>7</v>
      </c>
      <c r="E1131" s="11" t="s">
        <v>8</v>
      </c>
      <c r="F1131" s="12">
        <v>20</v>
      </c>
      <c r="G1131" s="13">
        <v>511</v>
      </c>
      <c r="H1131" s="14">
        <v>10220</v>
      </c>
      <c r="I1131" s="12">
        <v>0</v>
      </c>
      <c r="J1131" s="13"/>
      <c r="K1131" s="14">
        <v>0</v>
      </c>
      <c r="L1131" s="12">
        <v>20</v>
      </c>
      <c r="M1131" s="13">
        <v>511</v>
      </c>
      <c r="N1131" s="14">
        <v>10220</v>
      </c>
      <c r="O1131" s="12">
        <v>0</v>
      </c>
      <c r="P1131" s="13"/>
      <c r="Q1131" s="14">
        <v>0</v>
      </c>
      <c r="R1131" s="11" t="s">
        <v>3049</v>
      </c>
      <c r="S1131" s="11" t="s">
        <v>3050</v>
      </c>
      <c r="T1131" s="11" t="s">
        <v>2966</v>
      </c>
    </row>
    <row r="1132" spans="1:20" ht="50.1" hidden="1" customHeight="1">
      <c r="A1132" s="10">
        <v>1131</v>
      </c>
      <c r="B1132" s="11" t="s">
        <v>3641</v>
      </c>
      <c r="C1132" s="11" t="s">
        <v>3642</v>
      </c>
      <c r="D1132" s="11" t="s">
        <v>7</v>
      </c>
      <c r="E1132" s="11" t="s">
        <v>8</v>
      </c>
      <c r="F1132" s="12">
        <v>128</v>
      </c>
      <c r="G1132" s="13">
        <v>220</v>
      </c>
      <c r="H1132" s="14">
        <v>28160</v>
      </c>
      <c r="I1132" s="12">
        <v>0</v>
      </c>
      <c r="J1132" s="13"/>
      <c r="K1132" s="14">
        <v>0</v>
      </c>
      <c r="L1132" s="12">
        <v>128</v>
      </c>
      <c r="M1132" s="13">
        <v>220</v>
      </c>
      <c r="N1132" s="14">
        <v>28160</v>
      </c>
      <c r="O1132" s="12">
        <v>0</v>
      </c>
      <c r="P1132" s="13"/>
      <c r="Q1132" s="14">
        <v>0</v>
      </c>
      <c r="R1132" s="11" t="s">
        <v>3049</v>
      </c>
      <c r="S1132" s="11" t="s">
        <v>3050</v>
      </c>
      <c r="T1132" s="11" t="s">
        <v>2966</v>
      </c>
    </row>
    <row r="1133" spans="1:20" ht="50.1" hidden="1" customHeight="1">
      <c r="A1133" s="10">
        <v>1132</v>
      </c>
      <c r="B1133" s="11" t="s">
        <v>3596</v>
      </c>
      <c r="C1133" s="11" t="s">
        <v>3597</v>
      </c>
      <c r="D1133" s="11" t="s">
        <v>7</v>
      </c>
      <c r="E1133" s="11" t="s">
        <v>8</v>
      </c>
      <c r="F1133" s="12">
        <v>151</v>
      </c>
      <c r="G1133" s="13">
        <v>184</v>
      </c>
      <c r="H1133" s="14">
        <v>27784</v>
      </c>
      <c r="I1133" s="12">
        <v>0</v>
      </c>
      <c r="J1133" s="13"/>
      <c r="K1133" s="14">
        <v>0</v>
      </c>
      <c r="L1133" s="12">
        <v>151</v>
      </c>
      <c r="M1133" s="13">
        <v>184</v>
      </c>
      <c r="N1133" s="14">
        <v>27784</v>
      </c>
      <c r="O1133" s="12">
        <v>0</v>
      </c>
      <c r="P1133" s="13"/>
      <c r="Q1133" s="14">
        <v>0</v>
      </c>
      <c r="R1133" s="11" t="s">
        <v>3049</v>
      </c>
      <c r="S1133" s="11" t="s">
        <v>3050</v>
      </c>
      <c r="T1133" s="11" t="s">
        <v>2966</v>
      </c>
    </row>
    <row r="1134" spans="1:20" ht="50.1" hidden="1" customHeight="1">
      <c r="A1134" s="10">
        <v>1133</v>
      </c>
      <c r="B1134" s="11" t="s">
        <v>3598</v>
      </c>
      <c r="C1134" s="11" t="s">
        <v>3599</v>
      </c>
      <c r="D1134" s="11" t="s">
        <v>7</v>
      </c>
      <c r="E1134" s="11" t="s">
        <v>8</v>
      </c>
      <c r="F1134" s="12">
        <v>0</v>
      </c>
      <c r="G1134" s="13"/>
      <c r="H1134" s="14">
        <v>0</v>
      </c>
      <c r="I1134" s="12">
        <v>376</v>
      </c>
      <c r="J1134" s="13">
        <v>234</v>
      </c>
      <c r="K1134" s="14">
        <v>87984</v>
      </c>
      <c r="L1134" s="12">
        <v>376</v>
      </c>
      <c r="M1134" s="13">
        <v>234</v>
      </c>
      <c r="N1134" s="14">
        <v>87984</v>
      </c>
      <c r="O1134" s="12">
        <v>0</v>
      </c>
      <c r="P1134" s="13"/>
      <c r="Q1134" s="14">
        <v>0</v>
      </c>
      <c r="R1134" s="11" t="s">
        <v>3049</v>
      </c>
      <c r="S1134" s="11" t="s">
        <v>3050</v>
      </c>
      <c r="T1134" s="11" t="s">
        <v>2966</v>
      </c>
    </row>
    <row r="1135" spans="1:20" ht="50.1" hidden="1" customHeight="1">
      <c r="A1135" s="10">
        <v>1134</v>
      </c>
      <c r="B1135" s="11" t="s">
        <v>1155</v>
      </c>
      <c r="C1135" s="11" t="s">
        <v>1156</v>
      </c>
      <c r="D1135" s="11" t="s">
        <v>17</v>
      </c>
      <c r="E1135" s="11" t="s">
        <v>8</v>
      </c>
      <c r="F1135" s="12">
        <v>94</v>
      </c>
      <c r="G1135" s="13">
        <v>22</v>
      </c>
      <c r="H1135" s="14">
        <v>2068</v>
      </c>
      <c r="I1135" s="12">
        <v>100</v>
      </c>
      <c r="J1135" s="13">
        <v>22</v>
      </c>
      <c r="K1135" s="14">
        <v>2200</v>
      </c>
      <c r="L1135" s="12">
        <v>63</v>
      </c>
      <c r="M1135" s="13">
        <v>22</v>
      </c>
      <c r="N1135" s="14">
        <v>1386</v>
      </c>
      <c r="O1135" s="12">
        <v>131</v>
      </c>
      <c r="P1135" s="13">
        <v>22</v>
      </c>
      <c r="Q1135" s="14">
        <v>2882</v>
      </c>
      <c r="R1135" s="11" t="s">
        <v>2962</v>
      </c>
      <c r="S1135" s="11" t="s">
        <v>2963</v>
      </c>
      <c r="T1135" s="11" t="s">
        <v>2966</v>
      </c>
    </row>
    <row r="1136" spans="1:20" ht="50.1" hidden="1" customHeight="1">
      <c r="A1136" s="10">
        <v>1135</v>
      </c>
      <c r="B1136" s="11" t="s">
        <v>3267</v>
      </c>
      <c r="C1136" s="11" t="s">
        <v>3268</v>
      </c>
      <c r="D1136" s="11" t="s">
        <v>17</v>
      </c>
      <c r="E1136" s="11" t="s">
        <v>8</v>
      </c>
      <c r="F1136" s="12">
        <v>0</v>
      </c>
      <c r="G1136" s="13"/>
      <c r="H1136" s="14">
        <v>0</v>
      </c>
      <c r="I1136" s="12">
        <v>2</v>
      </c>
      <c r="J1136" s="13">
        <v>1750</v>
      </c>
      <c r="K1136" s="14">
        <v>3500</v>
      </c>
      <c r="L1136" s="12">
        <v>2</v>
      </c>
      <c r="M1136" s="13">
        <v>1750</v>
      </c>
      <c r="N1136" s="14">
        <v>3500</v>
      </c>
      <c r="O1136" s="12">
        <v>0</v>
      </c>
      <c r="P1136" s="13"/>
      <c r="Q1136" s="14">
        <v>0</v>
      </c>
      <c r="R1136" s="11" t="s">
        <v>2962</v>
      </c>
      <c r="S1136" s="11" t="s">
        <v>2963</v>
      </c>
      <c r="T1136" s="11" t="s">
        <v>2966</v>
      </c>
    </row>
    <row r="1137" spans="1:20" ht="50.1" hidden="1" customHeight="1">
      <c r="A1137" s="10">
        <v>1136</v>
      </c>
      <c r="B1137" s="11" t="s">
        <v>1157</v>
      </c>
      <c r="C1137" s="11" t="s">
        <v>1158</v>
      </c>
      <c r="D1137" s="11" t="s">
        <v>1159</v>
      </c>
      <c r="E1137" s="11" t="s">
        <v>8</v>
      </c>
      <c r="F1137" s="12">
        <v>4</v>
      </c>
      <c r="G1137" s="13">
        <v>458.435</v>
      </c>
      <c r="H1137" s="14">
        <v>1833.74</v>
      </c>
      <c r="I1137" s="12">
        <v>0</v>
      </c>
      <c r="J1137" s="13"/>
      <c r="K1137" s="14">
        <v>0</v>
      </c>
      <c r="L1137" s="12">
        <v>1</v>
      </c>
      <c r="M1137" s="13">
        <v>458.43</v>
      </c>
      <c r="N1137" s="14">
        <v>458.43</v>
      </c>
      <c r="O1137" s="12">
        <v>3</v>
      </c>
      <c r="P1137" s="13">
        <v>458.43666667000002</v>
      </c>
      <c r="Q1137" s="14">
        <v>1375.31</v>
      </c>
      <c r="R1137" s="11" t="s">
        <v>3051</v>
      </c>
      <c r="S1137" s="11" t="s">
        <v>3052</v>
      </c>
      <c r="T1137" s="11" t="s">
        <v>2966</v>
      </c>
    </row>
    <row r="1138" spans="1:20" ht="50.1" hidden="1" customHeight="1">
      <c r="A1138" s="10">
        <v>1137</v>
      </c>
      <c r="B1138" s="11" t="s">
        <v>1160</v>
      </c>
      <c r="C1138" s="11" t="s">
        <v>1161</v>
      </c>
      <c r="D1138" s="11" t="s">
        <v>17</v>
      </c>
      <c r="E1138" s="11" t="s">
        <v>8</v>
      </c>
      <c r="F1138" s="12">
        <v>34</v>
      </c>
      <c r="G1138" s="13">
        <v>64.5</v>
      </c>
      <c r="H1138" s="14">
        <v>2193</v>
      </c>
      <c r="I1138" s="12">
        <v>80</v>
      </c>
      <c r="J1138" s="13">
        <v>62</v>
      </c>
      <c r="K1138" s="14">
        <v>4960</v>
      </c>
      <c r="L1138" s="12">
        <v>60</v>
      </c>
      <c r="M1138" s="13">
        <v>63.259666670000001</v>
      </c>
      <c r="N1138" s="14">
        <v>3795.58</v>
      </c>
      <c r="O1138" s="12">
        <v>54</v>
      </c>
      <c r="P1138" s="13">
        <v>62.174444440000002</v>
      </c>
      <c r="Q1138" s="14">
        <v>3357.42</v>
      </c>
      <c r="R1138" s="11" t="s">
        <v>3051</v>
      </c>
      <c r="S1138" s="11" t="s">
        <v>3052</v>
      </c>
      <c r="T1138" s="11" t="s">
        <v>2966</v>
      </c>
    </row>
    <row r="1139" spans="1:20" ht="50.1" hidden="1" customHeight="1">
      <c r="A1139" s="10">
        <v>1138</v>
      </c>
      <c r="B1139" s="11" t="s">
        <v>1162</v>
      </c>
      <c r="C1139" s="11" t="s">
        <v>1163</v>
      </c>
      <c r="D1139" s="11" t="s">
        <v>17</v>
      </c>
      <c r="E1139" s="11" t="s">
        <v>8</v>
      </c>
      <c r="F1139" s="12">
        <v>88</v>
      </c>
      <c r="G1139" s="13">
        <v>7.7672727300000002</v>
      </c>
      <c r="H1139" s="14">
        <v>683.52</v>
      </c>
      <c r="I1139" s="12">
        <v>0</v>
      </c>
      <c r="J1139" s="13"/>
      <c r="K1139" s="14">
        <v>0</v>
      </c>
      <c r="L1139" s="12">
        <v>38</v>
      </c>
      <c r="M1139" s="13">
        <v>7.7673684200000004</v>
      </c>
      <c r="N1139" s="14">
        <v>295.16000000000003</v>
      </c>
      <c r="O1139" s="12">
        <v>50</v>
      </c>
      <c r="P1139" s="13">
        <v>7.7671999999999999</v>
      </c>
      <c r="Q1139" s="14">
        <v>388.36</v>
      </c>
      <c r="R1139" s="11" t="s">
        <v>3051</v>
      </c>
      <c r="S1139" s="11" t="s">
        <v>3052</v>
      </c>
      <c r="T1139" s="11" t="s">
        <v>2966</v>
      </c>
    </row>
    <row r="1140" spans="1:20" ht="50.1" hidden="1" customHeight="1">
      <c r="A1140" s="10">
        <v>1139</v>
      </c>
      <c r="B1140" s="11" t="s">
        <v>1164</v>
      </c>
      <c r="C1140" s="11" t="s">
        <v>1165</v>
      </c>
      <c r="D1140" s="11" t="s">
        <v>1159</v>
      </c>
      <c r="E1140" s="11" t="s">
        <v>8</v>
      </c>
      <c r="F1140" s="12">
        <v>44</v>
      </c>
      <c r="G1140" s="13">
        <v>217.26704545000001</v>
      </c>
      <c r="H1140" s="14">
        <v>9559.75</v>
      </c>
      <c r="I1140" s="12">
        <v>100</v>
      </c>
      <c r="J1140" s="13">
        <v>215</v>
      </c>
      <c r="K1140" s="14">
        <v>21500</v>
      </c>
      <c r="L1140" s="12">
        <v>79</v>
      </c>
      <c r="M1140" s="13">
        <v>216.26265823</v>
      </c>
      <c r="N1140" s="14">
        <v>17084.75</v>
      </c>
      <c r="O1140" s="12">
        <v>65</v>
      </c>
      <c r="P1140" s="13">
        <v>215</v>
      </c>
      <c r="Q1140" s="14">
        <v>13975</v>
      </c>
      <c r="R1140" s="11" t="s">
        <v>3051</v>
      </c>
      <c r="S1140" s="11" t="s">
        <v>3052</v>
      </c>
      <c r="T1140" s="11" t="s">
        <v>2966</v>
      </c>
    </row>
    <row r="1141" spans="1:20" ht="50.1" hidden="1" customHeight="1">
      <c r="A1141" s="10">
        <v>1140</v>
      </c>
      <c r="B1141" s="11" t="s">
        <v>1166</v>
      </c>
      <c r="C1141" s="11" t="s">
        <v>1167</v>
      </c>
      <c r="D1141" s="11" t="s">
        <v>17</v>
      </c>
      <c r="E1141" s="11" t="s">
        <v>8</v>
      </c>
      <c r="F1141" s="12">
        <v>7</v>
      </c>
      <c r="G1141" s="13">
        <v>80.988571429999993</v>
      </c>
      <c r="H1141" s="14">
        <v>566.91999999999996</v>
      </c>
      <c r="I1141" s="12">
        <v>0</v>
      </c>
      <c r="J1141" s="13"/>
      <c r="K1141" s="14">
        <v>0</v>
      </c>
      <c r="L1141" s="12">
        <v>4</v>
      </c>
      <c r="M1141" s="13">
        <v>80.989999999999995</v>
      </c>
      <c r="N1141" s="14">
        <v>323.95999999999998</v>
      </c>
      <c r="O1141" s="12">
        <v>3</v>
      </c>
      <c r="P1141" s="13">
        <v>80.986666670000005</v>
      </c>
      <c r="Q1141" s="14">
        <v>242.96</v>
      </c>
      <c r="R1141" s="11" t="s">
        <v>3051</v>
      </c>
      <c r="S1141" s="11" t="s">
        <v>3052</v>
      </c>
      <c r="T1141" s="11" t="s">
        <v>2966</v>
      </c>
    </row>
    <row r="1142" spans="1:20" ht="50.1" hidden="1" customHeight="1">
      <c r="A1142" s="10">
        <v>1141</v>
      </c>
      <c r="B1142" s="11" t="s">
        <v>1168</v>
      </c>
      <c r="C1142" s="11" t="s">
        <v>1169</v>
      </c>
      <c r="D1142" s="11" t="s">
        <v>1170</v>
      </c>
      <c r="E1142" s="11" t="s">
        <v>8</v>
      </c>
      <c r="F1142" s="12">
        <v>4</v>
      </c>
      <c r="G1142" s="13">
        <v>96</v>
      </c>
      <c r="H1142" s="14">
        <v>384</v>
      </c>
      <c r="I1142" s="12">
        <v>0</v>
      </c>
      <c r="J1142" s="13"/>
      <c r="K1142" s="14">
        <v>0</v>
      </c>
      <c r="L1142" s="12">
        <v>0</v>
      </c>
      <c r="M1142" s="13"/>
      <c r="N1142" s="14">
        <v>0</v>
      </c>
      <c r="O1142" s="12">
        <v>4</v>
      </c>
      <c r="P1142" s="13">
        <v>96</v>
      </c>
      <c r="Q1142" s="14">
        <v>384</v>
      </c>
      <c r="R1142" s="11" t="s">
        <v>3051</v>
      </c>
      <c r="S1142" s="11" t="s">
        <v>3052</v>
      </c>
      <c r="T1142" s="11" t="s">
        <v>2966</v>
      </c>
    </row>
    <row r="1143" spans="1:20" ht="50.1" hidden="1" customHeight="1">
      <c r="A1143" s="10">
        <v>1142</v>
      </c>
      <c r="B1143" s="11" t="s">
        <v>1171</v>
      </c>
      <c r="C1143" s="11" t="s">
        <v>1172</v>
      </c>
      <c r="D1143" s="11" t="s">
        <v>1170</v>
      </c>
      <c r="E1143" s="11" t="s">
        <v>8</v>
      </c>
      <c r="F1143" s="12">
        <v>2</v>
      </c>
      <c r="G1143" s="13">
        <v>36.94</v>
      </c>
      <c r="H1143" s="14">
        <v>73.88</v>
      </c>
      <c r="I1143" s="12">
        <v>0</v>
      </c>
      <c r="J1143" s="13"/>
      <c r="K1143" s="14">
        <v>0</v>
      </c>
      <c r="L1143" s="12">
        <v>0</v>
      </c>
      <c r="M1143" s="13"/>
      <c r="N1143" s="14">
        <v>0</v>
      </c>
      <c r="O1143" s="12">
        <v>2</v>
      </c>
      <c r="P1143" s="13">
        <v>36.94</v>
      </c>
      <c r="Q1143" s="14">
        <v>73.88</v>
      </c>
      <c r="R1143" s="11" t="s">
        <v>3051</v>
      </c>
      <c r="S1143" s="11" t="s">
        <v>3052</v>
      </c>
      <c r="T1143" s="11" t="s">
        <v>2966</v>
      </c>
    </row>
    <row r="1144" spans="1:20" ht="50.1" hidden="1" customHeight="1">
      <c r="A1144" s="10">
        <v>1143</v>
      </c>
      <c r="B1144" s="11" t="s">
        <v>2625</v>
      </c>
      <c r="C1144" s="11" t="s">
        <v>2626</v>
      </c>
      <c r="D1144" s="11" t="s">
        <v>17</v>
      </c>
      <c r="E1144" s="11" t="s">
        <v>8</v>
      </c>
      <c r="F1144" s="12">
        <v>620</v>
      </c>
      <c r="G1144" s="13">
        <v>11</v>
      </c>
      <c r="H1144" s="14">
        <v>6820</v>
      </c>
      <c r="I1144" s="12">
        <v>0</v>
      </c>
      <c r="J1144" s="13"/>
      <c r="K1144" s="14">
        <v>0</v>
      </c>
      <c r="L1144" s="12">
        <v>0</v>
      </c>
      <c r="M1144" s="13"/>
      <c r="N1144" s="14">
        <v>0</v>
      </c>
      <c r="O1144" s="12">
        <v>620</v>
      </c>
      <c r="P1144" s="13">
        <v>11</v>
      </c>
      <c r="Q1144" s="14">
        <v>6820</v>
      </c>
      <c r="R1144" s="11" t="s">
        <v>3051</v>
      </c>
      <c r="S1144" s="11" t="s">
        <v>3052</v>
      </c>
      <c r="T1144" s="11" t="s">
        <v>2966</v>
      </c>
    </row>
    <row r="1145" spans="1:20" ht="50.1" hidden="1" customHeight="1">
      <c r="A1145" s="10">
        <v>1144</v>
      </c>
      <c r="B1145" s="11" t="s">
        <v>1173</v>
      </c>
      <c r="C1145" s="11" t="s">
        <v>1174</v>
      </c>
      <c r="D1145" s="11" t="s">
        <v>17</v>
      </c>
      <c r="E1145" s="11" t="s">
        <v>8</v>
      </c>
      <c r="F1145" s="12">
        <v>90</v>
      </c>
      <c r="G1145" s="13">
        <v>2.8764444400000002</v>
      </c>
      <c r="H1145" s="14">
        <v>258.88</v>
      </c>
      <c r="I1145" s="12">
        <v>60</v>
      </c>
      <c r="J1145" s="13">
        <v>2.85</v>
      </c>
      <c r="K1145" s="14">
        <v>171</v>
      </c>
      <c r="L1145" s="12">
        <v>60</v>
      </c>
      <c r="M1145" s="13">
        <v>2.87083333</v>
      </c>
      <c r="N1145" s="14">
        <v>172.25</v>
      </c>
      <c r="O1145" s="12">
        <v>90</v>
      </c>
      <c r="P1145" s="13">
        <v>2.8625555600000001</v>
      </c>
      <c r="Q1145" s="14">
        <v>257.63</v>
      </c>
      <c r="R1145" s="11" t="s">
        <v>3051</v>
      </c>
      <c r="S1145" s="11" t="s">
        <v>3052</v>
      </c>
      <c r="T1145" s="11" t="s">
        <v>2966</v>
      </c>
    </row>
    <row r="1146" spans="1:20" ht="50.1" hidden="1" customHeight="1">
      <c r="A1146" s="10">
        <v>1145</v>
      </c>
      <c r="B1146" s="11" t="s">
        <v>1175</v>
      </c>
      <c r="C1146" s="11" t="s">
        <v>1176</v>
      </c>
      <c r="D1146" s="11" t="s">
        <v>17</v>
      </c>
      <c r="E1146" s="11" t="s">
        <v>8</v>
      </c>
      <c r="F1146" s="12">
        <v>66</v>
      </c>
      <c r="G1146" s="13">
        <v>4.6183333299999996</v>
      </c>
      <c r="H1146" s="14">
        <v>304.81</v>
      </c>
      <c r="I1146" s="12">
        <v>0</v>
      </c>
      <c r="J1146" s="13"/>
      <c r="K1146" s="14">
        <v>0</v>
      </c>
      <c r="L1146" s="12">
        <v>43</v>
      </c>
      <c r="M1146" s="13">
        <v>4.6179069799999999</v>
      </c>
      <c r="N1146" s="14">
        <v>198.57</v>
      </c>
      <c r="O1146" s="12">
        <v>23</v>
      </c>
      <c r="P1146" s="13">
        <v>4.6191304300000002</v>
      </c>
      <c r="Q1146" s="14">
        <v>106.24</v>
      </c>
      <c r="R1146" s="11" t="s">
        <v>3051</v>
      </c>
      <c r="S1146" s="11" t="s">
        <v>3052</v>
      </c>
      <c r="T1146" s="11" t="s">
        <v>2966</v>
      </c>
    </row>
    <row r="1147" spans="1:20" ht="50.1" hidden="1" customHeight="1">
      <c r="A1147" s="10">
        <v>1146</v>
      </c>
      <c r="B1147" s="11" t="s">
        <v>1177</v>
      </c>
      <c r="C1147" s="11" t="s">
        <v>1178</v>
      </c>
      <c r="D1147" s="11" t="s">
        <v>17</v>
      </c>
      <c r="E1147" s="11" t="s">
        <v>8</v>
      </c>
      <c r="F1147" s="12">
        <v>240</v>
      </c>
      <c r="G1147" s="13">
        <v>2.9242916700000001</v>
      </c>
      <c r="H1147" s="14">
        <v>701.83</v>
      </c>
      <c r="I1147" s="12">
        <v>200</v>
      </c>
      <c r="J1147" s="13">
        <v>2.85</v>
      </c>
      <c r="K1147" s="14">
        <v>570</v>
      </c>
      <c r="L1147" s="12">
        <v>259</v>
      </c>
      <c r="M1147" s="13">
        <v>2.8946718100000002</v>
      </c>
      <c r="N1147" s="14">
        <v>749.72</v>
      </c>
      <c r="O1147" s="12">
        <v>181</v>
      </c>
      <c r="P1147" s="13">
        <v>2.8845856400000001</v>
      </c>
      <c r="Q1147" s="14">
        <v>522.11</v>
      </c>
      <c r="R1147" s="11" t="s">
        <v>3051</v>
      </c>
      <c r="S1147" s="11" t="s">
        <v>3052</v>
      </c>
      <c r="T1147" s="11" t="s">
        <v>2966</v>
      </c>
    </row>
    <row r="1148" spans="1:20" ht="50.1" hidden="1" customHeight="1">
      <c r="A1148" s="10">
        <v>1147</v>
      </c>
      <c r="B1148" s="11" t="s">
        <v>1179</v>
      </c>
      <c r="C1148" s="11" t="s">
        <v>1180</v>
      </c>
      <c r="D1148" s="11" t="s">
        <v>17</v>
      </c>
      <c r="E1148" s="11" t="s">
        <v>8</v>
      </c>
      <c r="F1148" s="12">
        <v>128</v>
      </c>
      <c r="G1148" s="13">
        <v>4.6185156300000001</v>
      </c>
      <c r="H1148" s="14">
        <v>591.16999999999996</v>
      </c>
      <c r="I1148" s="12">
        <v>0</v>
      </c>
      <c r="J1148" s="13"/>
      <c r="K1148" s="14">
        <v>0</v>
      </c>
      <c r="L1148" s="12">
        <v>95</v>
      </c>
      <c r="M1148" s="13">
        <v>4.6180000000000003</v>
      </c>
      <c r="N1148" s="14">
        <v>438.71</v>
      </c>
      <c r="O1148" s="12">
        <v>33</v>
      </c>
      <c r="P1148" s="13">
        <v>4.62</v>
      </c>
      <c r="Q1148" s="14">
        <v>152.46</v>
      </c>
      <c r="R1148" s="11" t="s">
        <v>3051</v>
      </c>
      <c r="S1148" s="11" t="s">
        <v>3052</v>
      </c>
      <c r="T1148" s="11" t="s">
        <v>2966</v>
      </c>
    </row>
    <row r="1149" spans="1:20" ht="50.1" hidden="1" customHeight="1">
      <c r="A1149" s="10">
        <v>1148</v>
      </c>
      <c r="B1149" s="11" t="s">
        <v>1181</v>
      </c>
      <c r="C1149" s="11" t="s">
        <v>1182</v>
      </c>
      <c r="D1149" s="11" t="s">
        <v>116</v>
      </c>
      <c r="E1149" s="11" t="s">
        <v>8</v>
      </c>
      <c r="F1149" s="12">
        <v>10</v>
      </c>
      <c r="G1149" s="13">
        <v>27.501999999999999</v>
      </c>
      <c r="H1149" s="14">
        <v>275.02</v>
      </c>
      <c r="I1149" s="12">
        <v>0</v>
      </c>
      <c r="J1149" s="13"/>
      <c r="K1149" s="14">
        <v>0</v>
      </c>
      <c r="L1149" s="12">
        <v>0</v>
      </c>
      <c r="M1149" s="13"/>
      <c r="N1149" s="14">
        <v>0</v>
      </c>
      <c r="O1149" s="12">
        <v>10</v>
      </c>
      <c r="P1149" s="13">
        <v>27.501999999999999</v>
      </c>
      <c r="Q1149" s="14">
        <v>275.02</v>
      </c>
      <c r="R1149" s="11" t="s">
        <v>3051</v>
      </c>
      <c r="S1149" s="11" t="s">
        <v>3052</v>
      </c>
      <c r="T1149" s="11" t="s">
        <v>2966</v>
      </c>
    </row>
    <row r="1150" spans="1:20" ht="50.1" hidden="1" customHeight="1">
      <c r="A1150" s="10">
        <v>1149</v>
      </c>
      <c r="B1150" s="11" t="s">
        <v>1183</v>
      </c>
      <c r="C1150" s="11" t="s">
        <v>1184</v>
      </c>
      <c r="D1150" s="11" t="s">
        <v>17</v>
      </c>
      <c r="E1150" s="11" t="s">
        <v>8</v>
      </c>
      <c r="F1150" s="12">
        <v>3</v>
      </c>
      <c r="G1150" s="13">
        <v>401.23333332999999</v>
      </c>
      <c r="H1150" s="14">
        <v>1203.7</v>
      </c>
      <c r="I1150" s="12">
        <v>0</v>
      </c>
      <c r="J1150" s="13"/>
      <c r="K1150" s="14">
        <v>0</v>
      </c>
      <c r="L1150" s="12">
        <v>0</v>
      </c>
      <c r="M1150" s="13"/>
      <c r="N1150" s="14">
        <v>0</v>
      </c>
      <c r="O1150" s="12">
        <v>3</v>
      </c>
      <c r="P1150" s="13">
        <v>401.23333332999999</v>
      </c>
      <c r="Q1150" s="14">
        <v>1203.7</v>
      </c>
      <c r="R1150" s="11" t="s">
        <v>3051</v>
      </c>
      <c r="S1150" s="11" t="s">
        <v>3052</v>
      </c>
      <c r="T1150" s="11" t="s">
        <v>2966</v>
      </c>
    </row>
    <row r="1151" spans="1:20" ht="50.1" hidden="1" customHeight="1">
      <c r="A1151" s="10">
        <v>1150</v>
      </c>
      <c r="B1151" s="11" t="s">
        <v>1185</v>
      </c>
      <c r="C1151" s="11" t="s">
        <v>1186</v>
      </c>
      <c r="D1151" s="11" t="s">
        <v>17</v>
      </c>
      <c r="E1151" s="11" t="s">
        <v>8</v>
      </c>
      <c r="F1151" s="12">
        <v>13</v>
      </c>
      <c r="G1151" s="13">
        <v>7.7046153799999999</v>
      </c>
      <c r="H1151" s="14">
        <v>100.16</v>
      </c>
      <c r="I1151" s="12">
        <v>0</v>
      </c>
      <c r="J1151" s="13"/>
      <c r="K1151" s="14">
        <v>0</v>
      </c>
      <c r="L1151" s="12">
        <v>4</v>
      </c>
      <c r="M1151" s="13">
        <v>7.7024999999999997</v>
      </c>
      <c r="N1151" s="14">
        <v>30.81</v>
      </c>
      <c r="O1151" s="12">
        <v>9</v>
      </c>
      <c r="P1151" s="13">
        <v>7.7055555599999996</v>
      </c>
      <c r="Q1151" s="14">
        <v>69.349999999999994</v>
      </c>
      <c r="R1151" s="11" t="s">
        <v>3051</v>
      </c>
      <c r="S1151" s="11" t="s">
        <v>3052</v>
      </c>
      <c r="T1151" s="11" t="s">
        <v>2966</v>
      </c>
    </row>
    <row r="1152" spans="1:20" ht="50.1" hidden="1" customHeight="1">
      <c r="A1152" s="10">
        <v>1151</v>
      </c>
      <c r="B1152" s="11" t="s">
        <v>1187</v>
      </c>
      <c r="C1152" s="11" t="s">
        <v>1188</v>
      </c>
      <c r="D1152" s="11" t="s">
        <v>17</v>
      </c>
      <c r="E1152" s="11" t="s">
        <v>8</v>
      </c>
      <c r="F1152" s="12">
        <v>12</v>
      </c>
      <c r="G1152" s="13">
        <v>7.6983333299999996</v>
      </c>
      <c r="H1152" s="14">
        <v>92.38</v>
      </c>
      <c r="I1152" s="12">
        <v>0</v>
      </c>
      <c r="J1152" s="13"/>
      <c r="K1152" s="14">
        <v>0</v>
      </c>
      <c r="L1152" s="12">
        <v>2</v>
      </c>
      <c r="M1152" s="13">
        <v>7.7</v>
      </c>
      <c r="N1152" s="14">
        <v>15.4</v>
      </c>
      <c r="O1152" s="12">
        <v>10</v>
      </c>
      <c r="P1152" s="13">
        <v>7.6980000000000004</v>
      </c>
      <c r="Q1152" s="14">
        <v>76.98</v>
      </c>
      <c r="R1152" s="11" t="s">
        <v>3051</v>
      </c>
      <c r="S1152" s="11" t="s">
        <v>3052</v>
      </c>
      <c r="T1152" s="11" t="s">
        <v>2966</v>
      </c>
    </row>
    <row r="1153" spans="1:20" ht="50.1" hidden="1" customHeight="1">
      <c r="A1153" s="10">
        <v>1152</v>
      </c>
      <c r="B1153" s="11" t="s">
        <v>1189</v>
      </c>
      <c r="C1153" s="11" t="s">
        <v>1190</v>
      </c>
      <c r="D1153" s="11" t="s">
        <v>17</v>
      </c>
      <c r="E1153" s="11" t="s">
        <v>8</v>
      </c>
      <c r="F1153" s="12">
        <v>12</v>
      </c>
      <c r="G1153" s="13">
        <v>7.5</v>
      </c>
      <c r="H1153" s="14">
        <v>90</v>
      </c>
      <c r="I1153" s="12">
        <v>0</v>
      </c>
      <c r="J1153" s="13"/>
      <c r="K1153" s="14">
        <v>0</v>
      </c>
      <c r="L1153" s="12">
        <v>3</v>
      </c>
      <c r="M1153" s="13">
        <v>7.5</v>
      </c>
      <c r="N1153" s="14">
        <v>22.5</v>
      </c>
      <c r="O1153" s="12">
        <v>9</v>
      </c>
      <c r="P1153" s="13">
        <v>7.5</v>
      </c>
      <c r="Q1153" s="14">
        <v>67.5</v>
      </c>
      <c r="R1153" s="11" t="s">
        <v>3051</v>
      </c>
      <c r="S1153" s="11" t="s">
        <v>3052</v>
      </c>
      <c r="T1153" s="11" t="s">
        <v>2966</v>
      </c>
    </row>
    <row r="1154" spans="1:20" ht="50.1" hidden="1" customHeight="1">
      <c r="A1154" s="10">
        <v>1153</v>
      </c>
      <c r="B1154" s="11" t="s">
        <v>1191</v>
      </c>
      <c r="C1154" s="11" t="s">
        <v>1192</v>
      </c>
      <c r="D1154" s="11" t="s">
        <v>17</v>
      </c>
      <c r="E1154" s="11" t="s">
        <v>8</v>
      </c>
      <c r="F1154" s="12">
        <v>6</v>
      </c>
      <c r="G1154" s="13">
        <v>7.7616666700000003</v>
      </c>
      <c r="H1154" s="14">
        <v>46.57</v>
      </c>
      <c r="I1154" s="12">
        <v>0</v>
      </c>
      <c r="J1154" s="13"/>
      <c r="K1154" s="14">
        <v>0</v>
      </c>
      <c r="L1154" s="12">
        <v>1</v>
      </c>
      <c r="M1154" s="13">
        <v>7.77</v>
      </c>
      <c r="N1154" s="14">
        <v>7.77</v>
      </c>
      <c r="O1154" s="12">
        <v>5</v>
      </c>
      <c r="P1154" s="13">
        <v>7.76</v>
      </c>
      <c r="Q1154" s="14">
        <v>38.799999999999997</v>
      </c>
      <c r="R1154" s="11" t="s">
        <v>3051</v>
      </c>
      <c r="S1154" s="11" t="s">
        <v>3052</v>
      </c>
      <c r="T1154" s="11" t="s">
        <v>2966</v>
      </c>
    </row>
    <row r="1155" spans="1:20" ht="50.1" hidden="1" customHeight="1">
      <c r="A1155" s="10">
        <v>1154</v>
      </c>
      <c r="B1155" s="11" t="s">
        <v>1193</v>
      </c>
      <c r="C1155" s="11" t="s">
        <v>1194</v>
      </c>
      <c r="D1155" s="11" t="s">
        <v>17</v>
      </c>
      <c r="E1155" s="11" t="s">
        <v>8</v>
      </c>
      <c r="F1155" s="12">
        <v>325</v>
      </c>
      <c r="G1155" s="13">
        <v>19.66486154</v>
      </c>
      <c r="H1155" s="14">
        <v>6391.08</v>
      </c>
      <c r="I1155" s="12">
        <v>0</v>
      </c>
      <c r="J1155" s="13"/>
      <c r="K1155" s="14">
        <v>0</v>
      </c>
      <c r="L1155" s="12">
        <v>0</v>
      </c>
      <c r="M1155" s="13"/>
      <c r="N1155" s="14">
        <v>0</v>
      </c>
      <c r="O1155" s="12">
        <v>325</v>
      </c>
      <c r="P1155" s="13">
        <v>19.66486154</v>
      </c>
      <c r="Q1155" s="14">
        <v>6391.08</v>
      </c>
      <c r="R1155" s="11" t="s">
        <v>3051</v>
      </c>
      <c r="S1155" s="11" t="s">
        <v>3052</v>
      </c>
      <c r="T1155" s="11" t="s">
        <v>2966</v>
      </c>
    </row>
    <row r="1156" spans="1:20" ht="50.1" hidden="1" customHeight="1">
      <c r="A1156" s="10">
        <v>1155</v>
      </c>
      <c r="B1156" s="11" t="s">
        <v>1195</v>
      </c>
      <c r="C1156" s="11" t="s">
        <v>1196</v>
      </c>
      <c r="D1156" s="11" t="s">
        <v>17</v>
      </c>
      <c r="E1156" s="11" t="s">
        <v>8</v>
      </c>
      <c r="F1156" s="12">
        <v>795</v>
      </c>
      <c r="G1156" s="13">
        <v>14.369157230000001</v>
      </c>
      <c r="H1156" s="14">
        <v>11423.48</v>
      </c>
      <c r="I1156" s="12">
        <v>0</v>
      </c>
      <c r="J1156" s="13"/>
      <c r="K1156" s="14">
        <v>0</v>
      </c>
      <c r="L1156" s="12">
        <v>100</v>
      </c>
      <c r="M1156" s="13">
        <v>14.3691</v>
      </c>
      <c r="N1156" s="14">
        <v>1436.91</v>
      </c>
      <c r="O1156" s="12">
        <v>695</v>
      </c>
      <c r="P1156" s="13">
        <v>14.36916547</v>
      </c>
      <c r="Q1156" s="14">
        <v>9986.57</v>
      </c>
      <c r="R1156" s="11" t="s">
        <v>3051</v>
      </c>
      <c r="S1156" s="11" t="s">
        <v>3052</v>
      </c>
      <c r="T1156" s="11" t="s">
        <v>2966</v>
      </c>
    </row>
    <row r="1157" spans="1:20" ht="50.1" hidden="1" customHeight="1">
      <c r="A1157" s="10">
        <v>1156</v>
      </c>
      <c r="B1157" s="11" t="s">
        <v>1197</v>
      </c>
      <c r="C1157" s="11" t="s">
        <v>1198</v>
      </c>
      <c r="D1157" s="11" t="s">
        <v>1199</v>
      </c>
      <c r="E1157" s="11" t="s">
        <v>8</v>
      </c>
      <c r="F1157" s="12">
        <v>6</v>
      </c>
      <c r="G1157" s="13">
        <v>177.09666666999999</v>
      </c>
      <c r="H1157" s="14">
        <v>1062.58</v>
      </c>
      <c r="I1157" s="12">
        <v>0</v>
      </c>
      <c r="J1157" s="13"/>
      <c r="K1157" s="14">
        <v>0</v>
      </c>
      <c r="L1157" s="12">
        <v>0</v>
      </c>
      <c r="M1157" s="13"/>
      <c r="N1157" s="14">
        <v>0</v>
      </c>
      <c r="O1157" s="12">
        <v>6</v>
      </c>
      <c r="P1157" s="13">
        <v>177.09666666999999</v>
      </c>
      <c r="Q1157" s="14">
        <v>1062.58</v>
      </c>
      <c r="R1157" s="11" t="s">
        <v>3051</v>
      </c>
      <c r="S1157" s="11" t="s">
        <v>3052</v>
      </c>
      <c r="T1157" s="11" t="s">
        <v>2966</v>
      </c>
    </row>
    <row r="1158" spans="1:20" ht="50.1" hidden="1" customHeight="1">
      <c r="A1158" s="10">
        <v>1157</v>
      </c>
      <c r="B1158" s="11" t="s">
        <v>1200</v>
      </c>
      <c r="C1158" s="11" t="s">
        <v>1201</v>
      </c>
      <c r="D1158" s="11" t="s">
        <v>1202</v>
      </c>
      <c r="E1158" s="11" t="s">
        <v>8</v>
      </c>
      <c r="F1158" s="12">
        <v>7</v>
      </c>
      <c r="G1158" s="13">
        <v>170.13714286000001</v>
      </c>
      <c r="H1158" s="14">
        <v>1190.96</v>
      </c>
      <c r="I1158" s="12">
        <v>0</v>
      </c>
      <c r="J1158" s="13"/>
      <c r="K1158" s="14">
        <v>0</v>
      </c>
      <c r="L1158" s="12">
        <v>1</v>
      </c>
      <c r="M1158" s="13">
        <v>170.14</v>
      </c>
      <c r="N1158" s="14">
        <v>170.14</v>
      </c>
      <c r="O1158" s="12">
        <v>6</v>
      </c>
      <c r="P1158" s="13">
        <v>170.13666667000001</v>
      </c>
      <c r="Q1158" s="14">
        <v>1020.82</v>
      </c>
      <c r="R1158" s="11" t="s">
        <v>3051</v>
      </c>
      <c r="S1158" s="11" t="s">
        <v>3052</v>
      </c>
      <c r="T1158" s="11" t="s">
        <v>2966</v>
      </c>
    </row>
    <row r="1159" spans="1:20" ht="50.1" hidden="1" customHeight="1">
      <c r="A1159" s="10">
        <v>1158</v>
      </c>
      <c r="B1159" s="11" t="s">
        <v>1203</v>
      </c>
      <c r="C1159" s="11" t="s">
        <v>1204</v>
      </c>
      <c r="D1159" s="11" t="s">
        <v>17</v>
      </c>
      <c r="E1159" s="11" t="s">
        <v>8</v>
      </c>
      <c r="F1159" s="12">
        <v>153</v>
      </c>
      <c r="G1159" s="13">
        <v>1.19830065</v>
      </c>
      <c r="H1159" s="14">
        <v>183.34</v>
      </c>
      <c r="I1159" s="12">
        <v>0</v>
      </c>
      <c r="J1159" s="13"/>
      <c r="K1159" s="14">
        <v>0</v>
      </c>
      <c r="L1159" s="12">
        <v>70</v>
      </c>
      <c r="M1159" s="13">
        <v>1.1984285699999999</v>
      </c>
      <c r="N1159" s="14">
        <v>83.89</v>
      </c>
      <c r="O1159" s="12">
        <v>83</v>
      </c>
      <c r="P1159" s="13">
        <v>1.1981927699999999</v>
      </c>
      <c r="Q1159" s="14">
        <v>99.45</v>
      </c>
      <c r="R1159" s="11" t="s">
        <v>3051</v>
      </c>
      <c r="S1159" s="11" t="s">
        <v>3052</v>
      </c>
      <c r="T1159" s="11" t="s">
        <v>2966</v>
      </c>
    </row>
    <row r="1160" spans="1:20" ht="50.1" hidden="1" customHeight="1">
      <c r="A1160" s="10">
        <v>1159</v>
      </c>
      <c r="B1160" s="11" t="s">
        <v>1205</v>
      </c>
      <c r="C1160" s="11" t="s">
        <v>1206</v>
      </c>
      <c r="D1160" s="11" t="s">
        <v>17</v>
      </c>
      <c r="E1160" s="11" t="s">
        <v>8</v>
      </c>
      <c r="F1160" s="12">
        <v>83</v>
      </c>
      <c r="G1160" s="13">
        <v>9</v>
      </c>
      <c r="H1160" s="14">
        <v>747</v>
      </c>
      <c r="I1160" s="12">
        <v>0</v>
      </c>
      <c r="J1160" s="13"/>
      <c r="K1160" s="14">
        <v>0</v>
      </c>
      <c r="L1160" s="12">
        <v>65</v>
      </c>
      <c r="M1160" s="13">
        <v>9</v>
      </c>
      <c r="N1160" s="14">
        <v>585</v>
      </c>
      <c r="O1160" s="12">
        <v>18</v>
      </c>
      <c r="P1160" s="13">
        <v>9</v>
      </c>
      <c r="Q1160" s="14">
        <v>162</v>
      </c>
      <c r="R1160" s="11" t="s">
        <v>3051</v>
      </c>
      <c r="S1160" s="11" t="s">
        <v>3052</v>
      </c>
      <c r="T1160" s="11" t="s">
        <v>2966</v>
      </c>
    </row>
    <row r="1161" spans="1:20" ht="50.1" hidden="1" customHeight="1">
      <c r="A1161" s="10">
        <v>1160</v>
      </c>
      <c r="B1161" s="11" t="s">
        <v>1207</v>
      </c>
      <c r="C1161" s="11" t="s">
        <v>1208</v>
      </c>
      <c r="D1161" s="11" t="s">
        <v>17</v>
      </c>
      <c r="E1161" s="11" t="s">
        <v>8</v>
      </c>
      <c r="F1161" s="12">
        <v>140</v>
      </c>
      <c r="G1161" s="13">
        <v>2.5</v>
      </c>
      <c r="H1161" s="14">
        <v>350</v>
      </c>
      <c r="I1161" s="12">
        <v>0</v>
      </c>
      <c r="J1161" s="13"/>
      <c r="K1161" s="14">
        <v>0</v>
      </c>
      <c r="L1161" s="12">
        <v>6</v>
      </c>
      <c r="M1161" s="13">
        <v>2.5</v>
      </c>
      <c r="N1161" s="14">
        <v>15</v>
      </c>
      <c r="O1161" s="12">
        <v>134</v>
      </c>
      <c r="P1161" s="13">
        <v>2.5</v>
      </c>
      <c r="Q1161" s="14">
        <v>335</v>
      </c>
      <c r="R1161" s="11" t="s">
        <v>3051</v>
      </c>
      <c r="S1161" s="11" t="s">
        <v>3052</v>
      </c>
      <c r="T1161" s="11" t="s">
        <v>2966</v>
      </c>
    </row>
    <row r="1162" spans="1:20" ht="50.1" hidden="1" customHeight="1">
      <c r="A1162" s="10">
        <v>1161</v>
      </c>
      <c r="B1162" s="11" t="s">
        <v>1209</v>
      </c>
      <c r="C1162" s="11" t="s">
        <v>1210</v>
      </c>
      <c r="D1162" s="11" t="s">
        <v>17</v>
      </c>
      <c r="E1162" s="11" t="s">
        <v>8</v>
      </c>
      <c r="F1162" s="12">
        <v>1</v>
      </c>
      <c r="G1162" s="13">
        <v>75.540000000000006</v>
      </c>
      <c r="H1162" s="14">
        <v>75.540000000000006</v>
      </c>
      <c r="I1162" s="12">
        <v>2</v>
      </c>
      <c r="J1162" s="13">
        <v>75</v>
      </c>
      <c r="K1162" s="14">
        <v>150</v>
      </c>
      <c r="L1162" s="12">
        <v>0</v>
      </c>
      <c r="M1162" s="13"/>
      <c r="N1162" s="14">
        <v>0</v>
      </c>
      <c r="O1162" s="12">
        <v>3</v>
      </c>
      <c r="P1162" s="13">
        <v>75.180000000000007</v>
      </c>
      <c r="Q1162" s="14">
        <v>225.54</v>
      </c>
      <c r="R1162" s="11" t="s">
        <v>3051</v>
      </c>
      <c r="S1162" s="11" t="s">
        <v>3052</v>
      </c>
      <c r="T1162" s="11" t="s">
        <v>2966</v>
      </c>
    </row>
    <row r="1163" spans="1:20" ht="50.1" hidden="1" customHeight="1">
      <c r="A1163" s="10">
        <v>1162</v>
      </c>
      <c r="B1163" s="11" t="s">
        <v>1211</v>
      </c>
      <c r="C1163" s="11" t="s">
        <v>1212</v>
      </c>
      <c r="D1163" s="11" t="s">
        <v>17</v>
      </c>
      <c r="E1163" s="11" t="s">
        <v>8</v>
      </c>
      <c r="F1163" s="12">
        <v>153</v>
      </c>
      <c r="G1163" s="13">
        <v>39.999738559999997</v>
      </c>
      <c r="H1163" s="14">
        <v>6119.96</v>
      </c>
      <c r="I1163" s="12">
        <v>0</v>
      </c>
      <c r="J1163" s="13"/>
      <c r="K1163" s="14">
        <v>0</v>
      </c>
      <c r="L1163" s="12">
        <v>0</v>
      </c>
      <c r="M1163" s="13"/>
      <c r="N1163" s="14">
        <v>0</v>
      </c>
      <c r="O1163" s="12">
        <v>153</v>
      </c>
      <c r="P1163" s="13">
        <v>39.999738559999997</v>
      </c>
      <c r="Q1163" s="14">
        <v>6119.96</v>
      </c>
      <c r="R1163" s="11" t="s">
        <v>3051</v>
      </c>
      <c r="S1163" s="11" t="s">
        <v>3052</v>
      </c>
      <c r="T1163" s="11" t="s">
        <v>2966</v>
      </c>
    </row>
    <row r="1164" spans="1:20" ht="50.1" hidden="1" customHeight="1">
      <c r="A1164" s="10">
        <v>1163</v>
      </c>
      <c r="B1164" s="11" t="s">
        <v>1213</v>
      </c>
      <c r="C1164" s="11" t="s">
        <v>1214</v>
      </c>
      <c r="D1164" s="11" t="s">
        <v>17</v>
      </c>
      <c r="E1164" s="11" t="s">
        <v>8</v>
      </c>
      <c r="F1164" s="12">
        <v>12</v>
      </c>
      <c r="G1164" s="13">
        <v>96.227500000000006</v>
      </c>
      <c r="H1164" s="14">
        <v>1154.73</v>
      </c>
      <c r="I1164" s="12">
        <v>0</v>
      </c>
      <c r="J1164" s="13"/>
      <c r="K1164" s="14">
        <v>0</v>
      </c>
      <c r="L1164" s="12">
        <v>2</v>
      </c>
      <c r="M1164" s="13">
        <v>96.23</v>
      </c>
      <c r="N1164" s="14">
        <v>192.46</v>
      </c>
      <c r="O1164" s="12">
        <v>10</v>
      </c>
      <c r="P1164" s="13">
        <v>96.227000000000004</v>
      </c>
      <c r="Q1164" s="14">
        <v>962.27</v>
      </c>
      <c r="R1164" s="11" t="s">
        <v>3051</v>
      </c>
      <c r="S1164" s="11" t="s">
        <v>3052</v>
      </c>
      <c r="T1164" s="11" t="s">
        <v>2966</v>
      </c>
    </row>
    <row r="1165" spans="1:20" ht="50.1" hidden="1" customHeight="1">
      <c r="A1165" s="10">
        <v>1164</v>
      </c>
      <c r="B1165" s="11" t="s">
        <v>1215</v>
      </c>
      <c r="C1165" s="11" t="s">
        <v>1216</v>
      </c>
      <c r="D1165" s="11" t="s">
        <v>17</v>
      </c>
      <c r="E1165" s="11" t="s">
        <v>8</v>
      </c>
      <c r="F1165" s="12">
        <v>40</v>
      </c>
      <c r="G1165" s="13">
        <v>19.5</v>
      </c>
      <c r="H1165" s="14">
        <v>780</v>
      </c>
      <c r="I1165" s="12">
        <v>0</v>
      </c>
      <c r="J1165" s="13"/>
      <c r="K1165" s="14">
        <v>0</v>
      </c>
      <c r="L1165" s="12">
        <v>0</v>
      </c>
      <c r="M1165" s="13"/>
      <c r="N1165" s="14">
        <v>0</v>
      </c>
      <c r="O1165" s="12">
        <v>40</v>
      </c>
      <c r="P1165" s="13">
        <v>19.5</v>
      </c>
      <c r="Q1165" s="14">
        <v>780</v>
      </c>
      <c r="R1165" s="11" t="s">
        <v>3051</v>
      </c>
      <c r="S1165" s="11" t="s">
        <v>3052</v>
      </c>
      <c r="T1165" s="11" t="s">
        <v>2966</v>
      </c>
    </row>
    <row r="1166" spans="1:20" ht="50.1" hidden="1" customHeight="1">
      <c r="A1166" s="10">
        <v>1165</v>
      </c>
      <c r="B1166" s="11" t="s">
        <v>1217</v>
      </c>
      <c r="C1166" s="11" t="s">
        <v>1218</v>
      </c>
      <c r="D1166" s="11" t="s">
        <v>17</v>
      </c>
      <c r="E1166" s="11" t="s">
        <v>8</v>
      </c>
      <c r="F1166" s="12">
        <v>215</v>
      </c>
      <c r="G1166" s="13">
        <v>0.79804651000000004</v>
      </c>
      <c r="H1166" s="14">
        <v>171.58</v>
      </c>
      <c r="I1166" s="12">
        <v>0</v>
      </c>
      <c r="J1166" s="13"/>
      <c r="K1166" s="14">
        <v>0</v>
      </c>
      <c r="L1166" s="12">
        <v>0</v>
      </c>
      <c r="M1166" s="13"/>
      <c r="N1166" s="14">
        <v>0</v>
      </c>
      <c r="O1166" s="12">
        <v>215</v>
      </c>
      <c r="P1166" s="13">
        <v>0.79804651000000004</v>
      </c>
      <c r="Q1166" s="14">
        <v>171.58</v>
      </c>
      <c r="R1166" s="11" t="s">
        <v>3051</v>
      </c>
      <c r="S1166" s="11" t="s">
        <v>3052</v>
      </c>
      <c r="T1166" s="11" t="s">
        <v>2966</v>
      </c>
    </row>
    <row r="1167" spans="1:20" ht="50.1" hidden="1" customHeight="1">
      <c r="A1167" s="10">
        <v>1166</v>
      </c>
      <c r="B1167" s="11" t="s">
        <v>1219</v>
      </c>
      <c r="C1167" s="11" t="s">
        <v>1220</v>
      </c>
      <c r="D1167" s="11" t="s">
        <v>17</v>
      </c>
      <c r="E1167" s="11" t="s">
        <v>8</v>
      </c>
      <c r="F1167" s="12">
        <v>51</v>
      </c>
      <c r="G1167" s="13">
        <v>17.869215690000001</v>
      </c>
      <c r="H1167" s="14">
        <v>911.33</v>
      </c>
      <c r="I1167" s="12">
        <v>0</v>
      </c>
      <c r="J1167" s="13"/>
      <c r="K1167" s="14">
        <v>0</v>
      </c>
      <c r="L1167" s="12">
        <v>25</v>
      </c>
      <c r="M1167" s="13">
        <v>17.87</v>
      </c>
      <c r="N1167" s="14">
        <v>446.75</v>
      </c>
      <c r="O1167" s="12">
        <v>26</v>
      </c>
      <c r="P1167" s="13">
        <v>17.868461539999998</v>
      </c>
      <c r="Q1167" s="14">
        <v>464.58</v>
      </c>
      <c r="R1167" s="11" t="s">
        <v>3051</v>
      </c>
      <c r="S1167" s="11" t="s">
        <v>3052</v>
      </c>
      <c r="T1167" s="11" t="s">
        <v>2966</v>
      </c>
    </row>
    <row r="1168" spans="1:20" ht="50.1" hidden="1" customHeight="1">
      <c r="A1168" s="10">
        <v>1167</v>
      </c>
      <c r="B1168" s="11" t="s">
        <v>1221</v>
      </c>
      <c r="C1168" s="11" t="s">
        <v>1222</v>
      </c>
      <c r="D1168" s="11" t="s">
        <v>17</v>
      </c>
      <c r="E1168" s="11" t="s">
        <v>8</v>
      </c>
      <c r="F1168" s="12">
        <v>6</v>
      </c>
      <c r="G1168" s="13">
        <v>506.76833333000002</v>
      </c>
      <c r="H1168" s="14">
        <v>3040.61</v>
      </c>
      <c r="I1168" s="12">
        <v>0</v>
      </c>
      <c r="J1168" s="13"/>
      <c r="K1168" s="14">
        <v>0</v>
      </c>
      <c r="L1168" s="12">
        <v>3</v>
      </c>
      <c r="M1168" s="13">
        <v>506.77</v>
      </c>
      <c r="N1168" s="14">
        <v>1520.31</v>
      </c>
      <c r="O1168" s="12">
        <v>3</v>
      </c>
      <c r="P1168" s="13">
        <v>506.76666667000001</v>
      </c>
      <c r="Q1168" s="14">
        <v>1520.3</v>
      </c>
      <c r="R1168" s="11" t="s">
        <v>3051</v>
      </c>
      <c r="S1168" s="11" t="s">
        <v>3052</v>
      </c>
      <c r="T1168" s="11" t="s">
        <v>2966</v>
      </c>
    </row>
    <row r="1169" spans="1:20" ht="50.1" hidden="1" customHeight="1">
      <c r="A1169" s="10">
        <v>1168</v>
      </c>
      <c r="B1169" s="11" t="s">
        <v>1223</v>
      </c>
      <c r="C1169" s="11" t="s">
        <v>1224</v>
      </c>
      <c r="D1169" s="11" t="s">
        <v>17</v>
      </c>
      <c r="E1169" s="11" t="s">
        <v>8</v>
      </c>
      <c r="F1169" s="12">
        <v>4</v>
      </c>
      <c r="G1169" s="13">
        <v>511.04750000000001</v>
      </c>
      <c r="H1169" s="14">
        <v>2044.19</v>
      </c>
      <c r="I1169" s="12">
        <v>2</v>
      </c>
      <c r="J1169" s="13">
        <v>495</v>
      </c>
      <c r="K1169" s="14">
        <v>990</v>
      </c>
      <c r="L1169" s="12">
        <v>4</v>
      </c>
      <c r="M1169" s="13">
        <v>507.03500000000003</v>
      </c>
      <c r="N1169" s="14">
        <v>2028.14</v>
      </c>
      <c r="O1169" s="12">
        <v>2</v>
      </c>
      <c r="P1169" s="13">
        <v>503.02499999999998</v>
      </c>
      <c r="Q1169" s="14">
        <v>1006.05</v>
      </c>
      <c r="R1169" s="11" t="s">
        <v>3051</v>
      </c>
      <c r="S1169" s="11" t="s">
        <v>3052</v>
      </c>
      <c r="T1169" s="11" t="s">
        <v>2966</v>
      </c>
    </row>
    <row r="1170" spans="1:20" ht="50.1" hidden="1" customHeight="1">
      <c r="A1170" s="10">
        <v>1169</v>
      </c>
      <c r="B1170" s="11" t="s">
        <v>1225</v>
      </c>
      <c r="C1170" s="11" t="s">
        <v>1226</v>
      </c>
      <c r="D1170" s="11" t="s">
        <v>17</v>
      </c>
      <c r="E1170" s="11" t="s">
        <v>8</v>
      </c>
      <c r="F1170" s="12">
        <v>2</v>
      </c>
      <c r="G1170" s="13">
        <v>475</v>
      </c>
      <c r="H1170" s="14">
        <v>950</v>
      </c>
      <c r="I1170" s="12">
        <v>0</v>
      </c>
      <c r="J1170" s="13"/>
      <c r="K1170" s="14">
        <v>0</v>
      </c>
      <c r="L1170" s="12">
        <v>0</v>
      </c>
      <c r="M1170" s="13"/>
      <c r="N1170" s="14">
        <v>0</v>
      </c>
      <c r="O1170" s="12">
        <v>2</v>
      </c>
      <c r="P1170" s="13">
        <v>475</v>
      </c>
      <c r="Q1170" s="14">
        <v>950</v>
      </c>
      <c r="R1170" s="11" t="s">
        <v>3051</v>
      </c>
      <c r="S1170" s="11" t="s">
        <v>3052</v>
      </c>
      <c r="T1170" s="11" t="s">
        <v>2966</v>
      </c>
    </row>
    <row r="1171" spans="1:20" ht="50.1" hidden="1" customHeight="1">
      <c r="A1171" s="10">
        <v>1170</v>
      </c>
      <c r="B1171" s="11" t="s">
        <v>1229</v>
      </c>
      <c r="C1171" s="11" t="s">
        <v>1230</v>
      </c>
      <c r="D1171" s="11" t="s">
        <v>17</v>
      </c>
      <c r="E1171" s="11" t="s">
        <v>8</v>
      </c>
      <c r="F1171" s="12">
        <v>8</v>
      </c>
      <c r="G1171" s="13">
        <v>1.5</v>
      </c>
      <c r="H1171" s="14">
        <v>12</v>
      </c>
      <c r="I1171" s="12">
        <v>0</v>
      </c>
      <c r="J1171" s="13"/>
      <c r="K1171" s="14">
        <v>0</v>
      </c>
      <c r="L1171" s="12">
        <v>1</v>
      </c>
      <c r="M1171" s="13">
        <v>1.5</v>
      </c>
      <c r="N1171" s="14">
        <v>1.5</v>
      </c>
      <c r="O1171" s="12">
        <v>7</v>
      </c>
      <c r="P1171" s="13">
        <v>1.5</v>
      </c>
      <c r="Q1171" s="14">
        <v>10.5</v>
      </c>
      <c r="R1171" s="11" t="s">
        <v>3051</v>
      </c>
      <c r="S1171" s="11" t="s">
        <v>3052</v>
      </c>
      <c r="T1171" s="11" t="s">
        <v>2966</v>
      </c>
    </row>
    <row r="1172" spans="1:20" ht="50.1" hidden="1" customHeight="1">
      <c r="A1172" s="10">
        <v>1171</v>
      </c>
      <c r="B1172" s="11" t="s">
        <v>1231</v>
      </c>
      <c r="C1172" s="11" t="s">
        <v>1232</v>
      </c>
      <c r="D1172" s="11" t="s">
        <v>17</v>
      </c>
      <c r="E1172" s="11" t="s">
        <v>8</v>
      </c>
      <c r="F1172" s="12">
        <v>12</v>
      </c>
      <c r="G1172" s="13">
        <v>190.03416666999999</v>
      </c>
      <c r="H1172" s="14">
        <v>2280.41</v>
      </c>
      <c r="I1172" s="12">
        <v>20</v>
      </c>
      <c r="J1172" s="13">
        <v>405</v>
      </c>
      <c r="K1172" s="14">
        <v>8100</v>
      </c>
      <c r="L1172" s="12">
        <v>11</v>
      </c>
      <c r="M1172" s="13">
        <v>207.8</v>
      </c>
      <c r="N1172" s="14">
        <v>2285.8000000000002</v>
      </c>
      <c r="O1172" s="12">
        <v>21</v>
      </c>
      <c r="P1172" s="13">
        <v>385.45761905000001</v>
      </c>
      <c r="Q1172" s="14">
        <v>8094.61</v>
      </c>
      <c r="R1172" s="11" t="s">
        <v>3051</v>
      </c>
      <c r="S1172" s="11" t="s">
        <v>3052</v>
      </c>
      <c r="T1172" s="11" t="s">
        <v>2966</v>
      </c>
    </row>
    <row r="1173" spans="1:20" ht="50.1" hidden="1" customHeight="1">
      <c r="A1173" s="10">
        <v>1172</v>
      </c>
      <c r="B1173" s="11" t="s">
        <v>2237</v>
      </c>
      <c r="C1173" s="11" t="s">
        <v>2238</v>
      </c>
      <c r="D1173" s="11" t="s">
        <v>17</v>
      </c>
      <c r="E1173" s="11" t="s">
        <v>8</v>
      </c>
      <c r="F1173" s="12">
        <v>8</v>
      </c>
      <c r="G1173" s="13">
        <v>305</v>
      </c>
      <c r="H1173" s="14">
        <v>2440</v>
      </c>
      <c r="I1173" s="12">
        <v>0</v>
      </c>
      <c r="J1173" s="13"/>
      <c r="K1173" s="14">
        <v>0</v>
      </c>
      <c r="L1173" s="12">
        <v>0</v>
      </c>
      <c r="M1173" s="13"/>
      <c r="N1173" s="14">
        <v>0</v>
      </c>
      <c r="O1173" s="12">
        <v>8</v>
      </c>
      <c r="P1173" s="13">
        <v>305</v>
      </c>
      <c r="Q1173" s="14">
        <v>2440</v>
      </c>
      <c r="R1173" s="11" t="s">
        <v>3051</v>
      </c>
      <c r="S1173" s="11" t="s">
        <v>3052</v>
      </c>
      <c r="T1173" s="11" t="s">
        <v>2966</v>
      </c>
    </row>
    <row r="1174" spans="1:20" hidden="1">
      <c r="A1174" s="10">
        <v>1173</v>
      </c>
      <c r="B1174" s="11" t="s">
        <v>3478</v>
      </c>
      <c r="C1174" s="11" t="s">
        <v>3479</v>
      </c>
      <c r="D1174" s="11" t="s">
        <v>17</v>
      </c>
      <c r="E1174" s="11" t="s">
        <v>8</v>
      </c>
      <c r="F1174" s="12">
        <v>6</v>
      </c>
      <c r="G1174" s="13">
        <v>190</v>
      </c>
      <c r="H1174" s="14">
        <v>1140</v>
      </c>
      <c r="I1174" s="12">
        <v>0</v>
      </c>
      <c r="J1174" s="13"/>
      <c r="K1174" s="14">
        <v>0</v>
      </c>
      <c r="L1174" s="12">
        <v>0</v>
      </c>
      <c r="M1174" s="13"/>
      <c r="N1174" s="14">
        <v>0</v>
      </c>
      <c r="O1174" s="12">
        <v>6</v>
      </c>
      <c r="P1174" s="13">
        <v>190</v>
      </c>
      <c r="Q1174" s="14">
        <v>1140</v>
      </c>
      <c r="R1174" s="11" t="s">
        <v>3051</v>
      </c>
      <c r="S1174" s="11" t="s">
        <v>3052</v>
      </c>
      <c r="T1174" s="11" t="s">
        <v>2966</v>
      </c>
    </row>
    <row r="1175" spans="1:20" hidden="1">
      <c r="A1175" s="10">
        <v>1174</v>
      </c>
      <c r="B1175" s="11" t="s">
        <v>1233</v>
      </c>
      <c r="C1175" s="11" t="s">
        <v>1234</v>
      </c>
      <c r="D1175" s="11" t="s">
        <v>17</v>
      </c>
      <c r="E1175" s="11" t="s">
        <v>8</v>
      </c>
      <c r="F1175" s="12">
        <v>6</v>
      </c>
      <c r="G1175" s="13">
        <v>48.395000000000003</v>
      </c>
      <c r="H1175" s="14">
        <v>290.37</v>
      </c>
      <c r="I1175" s="12">
        <v>0</v>
      </c>
      <c r="J1175" s="13"/>
      <c r="K1175" s="14">
        <v>0</v>
      </c>
      <c r="L1175" s="12">
        <v>0</v>
      </c>
      <c r="M1175" s="13"/>
      <c r="N1175" s="14">
        <v>0</v>
      </c>
      <c r="O1175" s="12">
        <v>6</v>
      </c>
      <c r="P1175" s="13">
        <v>48.395000000000003</v>
      </c>
      <c r="Q1175" s="14">
        <v>290.37</v>
      </c>
      <c r="R1175" s="11" t="s">
        <v>3051</v>
      </c>
      <c r="S1175" s="11" t="s">
        <v>3052</v>
      </c>
      <c r="T1175" s="11" t="s">
        <v>2966</v>
      </c>
    </row>
    <row r="1176" spans="1:20" hidden="1">
      <c r="A1176" s="10">
        <v>1175</v>
      </c>
      <c r="B1176" s="11" t="s">
        <v>2239</v>
      </c>
      <c r="C1176" s="11" t="s">
        <v>2240</v>
      </c>
      <c r="D1176" s="11" t="s">
        <v>17</v>
      </c>
      <c r="E1176" s="11" t="s">
        <v>8</v>
      </c>
      <c r="F1176" s="12">
        <v>5</v>
      </c>
      <c r="G1176" s="13">
        <v>410.012</v>
      </c>
      <c r="H1176" s="14">
        <v>2050.06</v>
      </c>
      <c r="I1176" s="12">
        <v>0</v>
      </c>
      <c r="J1176" s="13"/>
      <c r="K1176" s="14">
        <v>0</v>
      </c>
      <c r="L1176" s="12">
        <v>0</v>
      </c>
      <c r="M1176" s="13"/>
      <c r="N1176" s="14">
        <v>0</v>
      </c>
      <c r="O1176" s="12">
        <v>5</v>
      </c>
      <c r="P1176" s="13">
        <v>410.012</v>
      </c>
      <c r="Q1176" s="14">
        <v>2050.06</v>
      </c>
      <c r="R1176" s="11" t="s">
        <v>3051</v>
      </c>
      <c r="S1176" s="11" t="s">
        <v>3052</v>
      </c>
      <c r="T1176" s="11" t="s">
        <v>2966</v>
      </c>
    </row>
    <row r="1177" spans="1:20" hidden="1">
      <c r="A1177" s="10">
        <v>1176</v>
      </c>
      <c r="B1177" s="11" t="s">
        <v>1235</v>
      </c>
      <c r="C1177" s="11" t="s">
        <v>1236</v>
      </c>
      <c r="D1177" s="11" t="s">
        <v>17</v>
      </c>
      <c r="E1177" s="11" t="s">
        <v>8</v>
      </c>
      <c r="F1177" s="12">
        <v>8</v>
      </c>
      <c r="G1177" s="13">
        <v>216.28874999999999</v>
      </c>
      <c r="H1177" s="14">
        <v>1730.31</v>
      </c>
      <c r="I1177" s="12">
        <v>0</v>
      </c>
      <c r="J1177" s="13"/>
      <c r="K1177" s="14">
        <v>0</v>
      </c>
      <c r="L1177" s="12">
        <v>2</v>
      </c>
      <c r="M1177" s="13">
        <v>216.29</v>
      </c>
      <c r="N1177" s="14">
        <v>432.58</v>
      </c>
      <c r="O1177" s="12">
        <v>6</v>
      </c>
      <c r="P1177" s="13">
        <v>216.28833333</v>
      </c>
      <c r="Q1177" s="14">
        <v>1297.73</v>
      </c>
      <c r="R1177" s="11" t="s">
        <v>3051</v>
      </c>
      <c r="S1177" s="11" t="s">
        <v>3052</v>
      </c>
      <c r="T1177" s="11" t="s">
        <v>2966</v>
      </c>
    </row>
    <row r="1178" spans="1:20" hidden="1">
      <c r="A1178" s="10">
        <v>1177</v>
      </c>
      <c r="B1178" s="11" t="s">
        <v>1237</v>
      </c>
      <c r="C1178" s="11" t="s">
        <v>1238</v>
      </c>
      <c r="D1178" s="11" t="s">
        <v>17</v>
      </c>
      <c r="E1178" s="11" t="s">
        <v>8</v>
      </c>
      <c r="F1178" s="12">
        <v>37</v>
      </c>
      <c r="G1178" s="13">
        <v>20.02513514</v>
      </c>
      <c r="H1178" s="14">
        <v>740.93</v>
      </c>
      <c r="I1178" s="12">
        <v>0</v>
      </c>
      <c r="J1178" s="13"/>
      <c r="K1178" s="14">
        <v>0</v>
      </c>
      <c r="L1178" s="12">
        <v>5</v>
      </c>
      <c r="M1178" s="13">
        <v>20.026</v>
      </c>
      <c r="N1178" s="14">
        <v>100.13</v>
      </c>
      <c r="O1178" s="12">
        <v>32</v>
      </c>
      <c r="P1178" s="13">
        <v>20.024999999999999</v>
      </c>
      <c r="Q1178" s="14">
        <v>640.79999999999995</v>
      </c>
      <c r="R1178" s="11" t="s">
        <v>3051</v>
      </c>
      <c r="S1178" s="11" t="s">
        <v>3052</v>
      </c>
      <c r="T1178" s="11" t="s">
        <v>2966</v>
      </c>
    </row>
    <row r="1179" spans="1:20" ht="25.5" hidden="1">
      <c r="A1179" s="10">
        <v>1178</v>
      </c>
      <c r="B1179" s="11" t="s">
        <v>2327</v>
      </c>
      <c r="C1179" s="11" t="s">
        <v>2328</v>
      </c>
      <c r="D1179" s="11" t="s">
        <v>17</v>
      </c>
      <c r="E1179" s="11" t="s">
        <v>8</v>
      </c>
      <c r="F1179" s="12">
        <v>43</v>
      </c>
      <c r="G1179" s="13">
        <v>35.361860470000003</v>
      </c>
      <c r="H1179" s="14">
        <v>1520.56</v>
      </c>
      <c r="I1179" s="12">
        <v>0</v>
      </c>
      <c r="J1179" s="13"/>
      <c r="K1179" s="14">
        <v>0</v>
      </c>
      <c r="L1179" s="12">
        <v>8</v>
      </c>
      <c r="M1179" s="13">
        <v>35.36</v>
      </c>
      <c r="N1179" s="14">
        <v>282.88</v>
      </c>
      <c r="O1179" s="12">
        <v>35</v>
      </c>
      <c r="P1179" s="13">
        <v>35.362285710000002</v>
      </c>
      <c r="Q1179" s="14">
        <v>1237.68</v>
      </c>
      <c r="R1179" s="11" t="s">
        <v>3051</v>
      </c>
      <c r="S1179" s="11" t="s">
        <v>3052</v>
      </c>
      <c r="T1179" s="11" t="s">
        <v>2966</v>
      </c>
    </row>
    <row r="1180" spans="1:20" ht="25.5" hidden="1">
      <c r="A1180" s="10">
        <v>1179</v>
      </c>
      <c r="B1180" s="11" t="s">
        <v>2329</v>
      </c>
      <c r="C1180" s="11" t="s">
        <v>2330</v>
      </c>
      <c r="D1180" s="11" t="s">
        <v>17</v>
      </c>
      <c r="E1180" s="11" t="s">
        <v>8</v>
      </c>
      <c r="F1180" s="12">
        <v>82</v>
      </c>
      <c r="G1180" s="13">
        <v>62</v>
      </c>
      <c r="H1180" s="14">
        <v>5084</v>
      </c>
      <c r="I1180" s="12">
        <v>0</v>
      </c>
      <c r="J1180" s="13"/>
      <c r="K1180" s="14">
        <v>0</v>
      </c>
      <c r="L1180" s="12">
        <v>10</v>
      </c>
      <c r="M1180" s="13">
        <v>62</v>
      </c>
      <c r="N1180" s="14">
        <v>620</v>
      </c>
      <c r="O1180" s="12">
        <v>72</v>
      </c>
      <c r="P1180" s="13">
        <v>62</v>
      </c>
      <c r="Q1180" s="14">
        <v>4464</v>
      </c>
      <c r="R1180" s="11" t="s">
        <v>3051</v>
      </c>
      <c r="S1180" s="11" t="s">
        <v>3052</v>
      </c>
      <c r="T1180" s="11" t="s">
        <v>2966</v>
      </c>
    </row>
    <row r="1181" spans="1:20" ht="25.5" hidden="1">
      <c r="A1181" s="10">
        <v>1180</v>
      </c>
      <c r="B1181" s="11" t="s">
        <v>2331</v>
      </c>
      <c r="C1181" s="11" t="s">
        <v>2332</v>
      </c>
      <c r="D1181" s="11" t="s">
        <v>17</v>
      </c>
      <c r="E1181" s="11" t="s">
        <v>8</v>
      </c>
      <c r="F1181" s="12">
        <v>33</v>
      </c>
      <c r="G1181" s="13">
        <v>35</v>
      </c>
      <c r="H1181" s="14">
        <v>1155</v>
      </c>
      <c r="I1181" s="12">
        <v>0</v>
      </c>
      <c r="J1181" s="13"/>
      <c r="K1181" s="14">
        <v>0</v>
      </c>
      <c r="L1181" s="12">
        <v>9</v>
      </c>
      <c r="M1181" s="13">
        <v>35</v>
      </c>
      <c r="N1181" s="14">
        <v>315</v>
      </c>
      <c r="O1181" s="12">
        <v>24</v>
      </c>
      <c r="P1181" s="13">
        <v>35</v>
      </c>
      <c r="Q1181" s="14">
        <v>840</v>
      </c>
      <c r="R1181" s="11" t="s">
        <v>3051</v>
      </c>
      <c r="S1181" s="11" t="s">
        <v>3052</v>
      </c>
      <c r="T1181" s="11" t="s">
        <v>2966</v>
      </c>
    </row>
    <row r="1182" spans="1:20" hidden="1">
      <c r="A1182" s="10">
        <v>1181</v>
      </c>
      <c r="B1182" s="11" t="s">
        <v>1241</v>
      </c>
      <c r="C1182" s="11" t="s">
        <v>1242</v>
      </c>
      <c r="D1182" s="11" t="s">
        <v>17</v>
      </c>
      <c r="E1182" s="11" t="s">
        <v>8</v>
      </c>
      <c r="F1182" s="12">
        <v>2695</v>
      </c>
      <c r="G1182" s="13">
        <v>4.8995361800000001</v>
      </c>
      <c r="H1182" s="14">
        <v>13204.25</v>
      </c>
      <c r="I1182" s="12">
        <v>0</v>
      </c>
      <c r="J1182" s="13"/>
      <c r="K1182" s="14">
        <v>0</v>
      </c>
      <c r="L1182" s="12">
        <v>30</v>
      </c>
      <c r="M1182" s="13">
        <v>4.8996666700000002</v>
      </c>
      <c r="N1182" s="14">
        <v>146.99</v>
      </c>
      <c r="O1182" s="12">
        <v>2665</v>
      </c>
      <c r="P1182" s="13">
        <v>4.8995347100000002</v>
      </c>
      <c r="Q1182" s="14">
        <v>13057.26</v>
      </c>
      <c r="R1182" s="11" t="s">
        <v>3051</v>
      </c>
      <c r="S1182" s="11" t="s">
        <v>3052</v>
      </c>
      <c r="T1182" s="11" t="s">
        <v>2966</v>
      </c>
    </row>
    <row r="1183" spans="1:20" hidden="1">
      <c r="A1183" s="10">
        <v>1182</v>
      </c>
      <c r="B1183" s="11" t="s">
        <v>1243</v>
      </c>
      <c r="C1183" s="11" t="s">
        <v>1244</v>
      </c>
      <c r="D1183" s="11" t="s">
        <v>116</v>
      </c>
      <c r="E1183" s="11" t="s">
        <v>8</v>
      </c>
      <c r="F1183" s="12">
        <v>14</v>
      </c>
      <c r="G1183" s="13">
        <v>8.5</v>
      </c>
      <c r="H1183" s="14">
        <v>119</v>
      </c>
      <c r="I1183" s="12">
        <v>0</v>
      </c>
      <c r="J1183" s="13"/>
      <c r="K1183" s="14">
        <v>0</v>
      </c>
      <c r="L1183" s="12">
        <v>0</v>
      </c>
      <c r="M1183" s="13"/>
      <c r="N1183" s="14">
        <v>0</v>
      </c>
      <c r="O1183" s="12">
        <v>14</v>
      </c>
      <c r="P1183" s="13">
        <v>8.5</v>
      </c>
      <c r="Q1183" s="14">
        <v>119</v>
      </c>
      <c r="R1183" s="11" t="s">
        <v>3051</v>
      </c>
      <c r="S1183" s="11" t="s">
        <v>3052</v>
      </c>
      <c r="T1183" s="11" t="s">
        <v>2966</v>
      </c>
    </row>
    <row r="1184" spans="1:20" hidden="1">
      <c r="A1184" s="10">
        <v>1183</v>
      </c>
      <c r="B1184" s="11" t="s">
        <v>1245</v>
      </c>
      <c r="C1184" s="11" t="s">
        <v>1246</v>
      </c>
      <c r="D1184" s="11" t="s">
        <v>116</v>
      </c>
      <c r="E1184" s="11" t="s">
        <v>8</v>
      </c>
      <c r="F1184" s="12">
        <v>4</v>
      </c>
      <c r="G1184" s="13">
        <v>35</v>
      </c>
      <c r="H1184" s="14">
        <v>140</v>
      </c>
      <c r="I1184" s="12">
        <v>0</v>
      </c>
      <c r="J1184" s="13"/>
      <c r="K1184" s="14">
        <v>0</v>
      </c>
      <c r="L1184" s="12">
        <v>0</v>
      </c>
      <c r="M1184" s="13"/>
      <c r="N1184" s="14">
        <v>0</v>
      </c>
      <c r="O1184" s="12">
        <v>4</v>
      </c>
      <c r="P1184" s="13">
        <v>35</v>
      </c>
      <c r="Q1184" s="14">
        <v>140</v>
      </c>
      <c r="R1184" s="11" t="s">
        <v>3051</v>
      </c>
      <c r="S1184" s="11" t="s">
        <v>3052</v>
      </c>
      <c r="T1184" s="11" t="s">
        <v>2966</v>
      </c>
    </row>
    <row r="1185" spans="1:20" hidden="1">
      <c r="A1185" s="10">
        <v>1184</v>
      </c>
      <c r="B1185" s="11" t="s">
        <v>3332</v>
      </c>
      <c r="C1185" s="11" t="s">
        <v>3333</v>
      </c>
      <c r="D1185" s="11" t="s">
        <v>17</v>
      </c>
      <c r="E1185" s="11" t="s">
        <v>8</v>
      </c>
      <c r="F1185" s="12">
        <v>9</v>
      </c>
      <c r="G1185" s="13">
        <v>45.568888889999997</v>
      </c>
      <c r="H1185" s="14">
        <v>410.12</v>
      </c>
      <c r="I1185" s="12">
        <v>0</v>
      </c>
      <c r="J1185" s="13"/>
      <c r="K1185" s="14">
        <v>0</v>
      </c>
      <c r="L1185" s="12">
        <v>0</v>
      </c>
      <c r="M1185" s="13"/>
      <c r="N1185" s="14">
        <v>0</v>
      </c>
      <c r="O1185" s="12">
        <v>9</v>
      </c>
      <c r="P1185" s="13">
        <v>45.568888889999997</v>
      </c>
      <c r="Q1185" s="14">
        <v>410.12</v>
      </c>
      <c r="R1185" s="11" t="s">
        <v>3051</v>
      </c>
      <c r="S1185" s="11" t="s">
        <v>3052</v>
      </c>
      <c r="T1185" s="11" t="s">
        <v>2966</v>
      </c>
    </row>
    <row r="1186" spans="1:20" hidden="1">
      <c r="A1186" s="10">
        <v>1185</v>
      </c>
      <c r="B1186" s="11" t="s">
        <v>1247</v>
      </c>
      <c r="C1186" s="11" t="s">
        <v>1248</v>
      </c>
      <c r="D1186" s="11" t="s">
        <v>17</v>
      </c>
      <c r="E1186" s="11" t="s">
        <v>8</v>
      </c>
      <c r="F1186" s="12">
        <v>60</v>
      </c>
      <c r="G1186" s="13">
        <v>4.58233333</v>
      </c>
      <c r="H1186" s="14">
        <v>274.94</v>
      </c>
      <c r="I1186" s="12">
        <v>0</v>
      </c>
      <c r="J1186" s="13"/>
      <c r="K1186" s="14">
        <v>0</v>
      </c>
      <c r="L1186" s="12">
        <v>20</v>
      </c>
      <c r="M1186" s="13">
        <v>4.5819999999999999</v>
      </c>
      <c r="N1186" s="14">
        <v>91.64</v>
      </c>
      <c r="O1186" s="12">
        <v>40</v>
      </c>
      <c r="P1186" s="13">
        <v>4.5824999999999996</v>
      </c>
      <c r="Q1186" s="14">
        <v>183.3</v>
      </c>
      <c r="R1186" s="11" t="s">
        <v>3051</v>
      </c>
      <c r="S1186" s="11" t="s">
        <v>3052</v>
      </c>
      <c r="T1186" s="11" t="s">
        <v>2966</v>
      </c>
    </row>
    <row r="1187" spans="1:20" hidden="1">
      <c r="A1187" s="10">
        <v>1186</v>
      </c>
      <c r="B1187" s="11" t="s">
        <v>1249</v>
      </c>
      <c r="C1187" s="11" t="s">
        <v>1250</v>
      </c>
      <c r="D1187" s="11" t="s">
        <v>17</v>
      </c>
      <c r="E1187" s="11" t="s">
        <v>8</v>
      </c>
      <c r="F1187" s="12">
        <v>104</v>
      </c>
      <c r="G1187" s="13">
        <v>14.85894231</v>
      </c>
      <c r="H1187" s="14">
        <v>1545.33</v>
      </c>
      <c r="I1187" s="12">
        <v>50</v>
      </c>
      <c r="J1187" s="13">
        <v>14.5</v>
      </c>
      <c r="K1187" s="14">
        <v>725</v>
      </c>
      <c r="L1187" s="12">
        <v>64</v>
      </c>
      <c r="M1187" s="13">
        <v>14.780468750000001</v>
      </c>
      <c r="N1187" s="14">
        <v>945.95</v>
      </c>
      <c r="O1187" s="12">
        <v>90</v>
      </c>
      <c r="P1187" s="13">
        <v>14.71533333</v>
      </c>
      <c r="Q1187" s="14">
        <v>1324.38</v>
      </c>
      <c r="R1187" s="11" t="s">
        <v>3051</v>
      </c>
      <c r="S1187" s="11" t="s">
        <v>3052</v>
      </c>
      <c r="T1187" s="11" t="s">
        <v>2966</v>
      </c>
    </row>
    <row r="1188" spans="1:20" hidden="1">
      <c r="A1188" s="10">
        <v>1187</v>
      </c>
      <c r="B1188" s="11" t="s">
        <v>1251</v>
      </c>
      <c r="C1188" s="11" t="s">
        <v>1252</v>
      </c>
      <c r="D1188" s="11" t="s">
        <v>17</v>
      </c>
      <c r="E1188" s="11" t="s">
        <v>8</v>
      </c>
      <c r="F1188" s="12">
        <v>133</v>
      </c>
      <c r="G1188" s="13">
        <v>14.835112779999999</v>
      </c>
      <c r="H1188" s="14">
        <v>1973.07</v>
      </c>
      <c r="I1188" s="12">
        <v>50</v>
      </c>
      <c r="J1188" s="13">
        <v>14.5</v>
      </c>
      <c r="K1188" s="14">
        <v>725</v>
      </c>
      <c r="L1188" s="12">
        <v>73</v>
      </c>
      <c r="M1188" s="13">
        <v>14.767534250000001</v>
      </c>
      <c r="N1188" s="14">
        <v>1078.03</v>
      </c>
      <c r="O1188" s="12">
        <v>110</v>
      </c>
      <c r="P1188" s="13">
        <v>14.72763636</v>
      </c>
      <c r="Q1188" s="14">
        <v>1620.04</v>
      </c>
      <c r="R1188" s="11" t="s">
        <v>3051</v>
      </c>
      <c r="S1188" s="11" t="s">
        <v>3052</v>
      </c>
      <c r="T1188" s="11" t="s">
        <v>2966</v>
      </c>
    </row>
    <row r="1189" spans="1:20" hidden="1">
      <c r="A1189" s="10">
        <v>1188</v>
      </c>
      <c r="B1189" s="11" t="s">
        <v>1253</v>
      </c>
      <c r="C1189" s="11" t="s">
        <v>1254</v>
      </c>
      <c r="D1189" s="11" t="s">
        <v>17</v>
      </c>
      <c r="E1189" s="11" t="s">
        <v>8</v>
      </c>
      <c r="F1189" s="12">
        <v>19</v>
      </c>
      <c r="G1189" s="13">
        <v>14.794736840000001</v>
      </c>
      <c r="H1189" s="14">
        <v>281.10000000000002</v>
      </c>
      <c r="I1189" s="12">
        <v>0</v>
      </c>
      <c r="J1189" s="13"/>
      <c r="K1189" s="14">
        <v>0</v>
      </c>
      <c r="L1189" s="12">
        <v>3</v>
      </c>
      <c r="M1189" s="13">
        <v>14.79666667</v>
      </c>
      <c r="N1189" s="14">
        <v>44.39</v>
      </c>
      <c r="O1189" s="12">
        <v>16</v>
      </c>
      <c r="P1189" s="13">
        <v>14.794375</v>
      </c>
      <c r="Q1189" s="14">
        <v>236.71</v>
      </c>
      <c r="R1189" s="11" t="s">
        <v>3051</v>
      </c>
      <c r="S1189" s="11" t="s">
        <v>3052</v>
      </c>
      <c r="T1189" s="11" t="s">
        <v>2966</v>
      </c>
    </row>
    <row r="1190" spans="1:20" ht="25.5" hidden="1">
      <c r="A1190" s="10">
        <v>1189</v>
      </c>
      <c r="B1190" s="11" t="s">
        <v>2809</v>
      </c>
      <c r="C1190" s="11" t="s">
        <v>2810</v>
      </c>
      <c r="D1190" s="11" t="s">
        <v>17</v>
      </c>
      <c r="E1190" s="11" t="s">
        <v>8</v>
      </c>
      <c r="F1190" s="12">
        <v>1000</v>
      </c>
      <c r="G1190" s="13">
        <v>102.23905000000001</v>
      </c>
      <c r="H1190" s="14">
        <v>102239.05</v>
      </c>
      <c r="I1190" s="12">
        <v>0</v>
      </c>
      <c r="J1190" s="13"/>
      <c r="K1190" s="14">
        <v>0</v>
      </c>
      <c r="L1190" s="12">
        <v>0</v>
      </c>
      <c r="M1190" s="13"/>
      <c r="N1190" s="14">
        <v>0</v>
      </c>
      <c r="O1190" s="12">
        <v>1000</v>
      </c>
      <c r="P1190" s="13">
        <v>102.23905000000001</v>
      </c>
      <c r="Q1190" s="14">
        <v>102239.05</v>
      </c>
      <c r="R1190" s="11" t="s">
        <v>3051</v>
      </c>
      <c r="S1190" s="11" t="s">
        <v>3052</v>
      </c>
      <c r="T1190" s="11" t="s">
        <v>2966</v>
      </c>
    </row>
    <row r="1191" spans="1:20" hidden="1">
      <c r="A1191" s="10">
        <v>1190</v>
      </c>
      <c r="B1191" s="11" t="s">
        <v>1255</v>
      </c>
      <c r="C1191" s="11" t="s">
        <v>1256</v>
      </c>
      <c r="D1191" s="11" t="s">
        <v>17</v>
      </c>
      <c r="E1191" s="11" t="s">
        <v>8</v>
      </c>
      <c r="F1191" s="12">
        <v>1</v>
      </c>
      <c r="G1191" s="13">
        <v>158.87</v>
      </c>
      <c r="H1191" s="14">
        <v>158.87</v>
      </c>
      <c r="I1191" s="12">
        <v>0</v>
      </c>
      <c r="J1191" s="13"/>
      <c r="K1191" s="14">
        <v>0</v>
      </c>
      <c r="L1191" s="12">
        <v>0</v>
      </c>
      <c r="M1191" s="13"/>
      <c r="N1191" s="14">
        <v>0</v>
      </c>
      <c r="O1191" s="12">
        <v>1</v>
      </c>
      <c r="P1191" s="13">
        <v>158.87</v>
      </c>
      <c r="Q1191" s="14">
        <v>158.87</v>
      </c>
      <c r="R1191" s="11" t="s">
        <v>3051</v>
      </c>
      <c r="S1191" s="11" t="s">
        <v>3052</v>
      </c>
      <c r="T1191" s="11" t="s">
        <v>2966</v>
      </c>
    </row>
    <row r="1192" spans="1:20" ht="25.5" hidden="1">
      <c r="A1192" s="10">
        <v>1191</v>
      </c>
      <c r="B1192" s="11" t="s">
        <v>1257</v>
      </c>
      <c r="C1192" s="11" t="s">
        <v>1258</v>
      </c>
      <c r="D1192" s="11" t="s">
        <v>17</v>
      </c>
      <c r="E1192" s="11" t="s">
        <v>8</v>
      </c>
      <c r="F1192" s="12">
        <v>1</v>
      </c>
      <c r="G1192" s="13">
        <v>84.83</v>
      </c>
      <c r="H1192" s="14">
        <v>84.83</v>
      </c>
      <c r="I1192" s="12">
        <v>0</v>
      </c>
      <c r="J1192" s="13"/>
      <c r="K1192" s="14">
        <v>0</v>
      </c>
      <c r="L1192" s="12">
        <v>0</v>
      </c>
      <c r="M1192" s="13"/>
      <c r="N1192" s="14">
        <v>0</v>
      </c>
      <c r="O1192" s="12">
        <v>1</v>
      </c>
      <c r="P1192" s="13">
        <v>84.83</v>
      </c>
      <c r="Q1192" s="14">
        <v>84.83</v>
      </c>
      <c r="R1192" s="11" t="s">
        <v>3051</v>
      </c>
      <c r="S1192" s="11" t="s">
        <v>3052</v>
      </c>
      <c r="T1192" s="11" t="s">
        <v>2966</v>
      </c>
    </row>
    <row r="1193" spans="1:20" hidden="1">
      <c r="A1193" s="10">
        <v>1192</v>
      </c>
      <c r="B1193" s="11" t="s">
        <v>1259</v>
      </c>
      <c r="C1193" s="11" t="s">
        <v>1260</v>
      </c>
      <c r="D1193" s="11" t="s">
        <v>17</v>
      </c>
      <c r="E1193" s="11" t="s">
        <v>8</v>
      </c>
      <c r="F1193" s="12">
        <v>48</v>
      </c>
      <c r="G1193" s="13">
        <v>2.79895833</v>
      </c>
      <c r="H1193" s="14">
        <v>134.35</v>
      </c>
      <c r="I1193" s="12">
        <v>0</v>
      </c>
      <c r="J1193" s="13"/>
      <c r="K1193" s="14">
        <v>0</v>
      </c>
      <c r="L1193" s="12">
        <v>15</v>
      </c>
      <c r="M1193" s="13">
        <v>2.7993333300000001</v>
      </c>
      <c r="N1193" s="14">
        <v>41.99</v>
      </c>
      <c r="O1193" s="12">
        <v>33</v>
      </c>
      <c r="P1193" s="13">
        <v>2.7987878799999999</v>
      </c>
      <c r="Q1193" s="14">
        <v>92.36</v>
      </c>
      <c r="R1193" s="11" t="s">
        <v>3051</v>
      </c>
      <c r="S1193" s="11" t="s">
        <v>3052</v>
      </c>
      <c r="T1193" s="11" t="s">
        <v>2966</v>
      </c>
    </row>
    <row r="1194" spans="1:20" hidden="1">
      <c r="A1194" s="10">
        <v>1193</v>
      </c>
      <c r="B1194" s="11" t="s">
        <v>1261</v>
      </c>
      <c r="C1194" s="11" t="s">
        <v>1262</v>
      </c>
      <c r="D1194" s="11" t="s">
        <v>17</v>
      </c>
      <c r="E1194" s="11" t="s">
        <v>8</v>
      </c>
      <c r="F1194" s="12">
        <v>8</v>
      </c>
      <c r="G1194" s="13">
        <v>147.63374999999999</v>
      </c>
      <c r="H1194" s="14">
        <v>1181.07</v>
      </c>
      <c r="I1194" s="12">
        <v>65</v>
      </c>
      <c r="J1194" s="13">
        <v>233.23076922999999</v>
      </c>
      <c r="K1194" s="14">
        <v>15160</v>
      </c>
      <c r="L1194" s="12">
        <v>65</v>
      </c>
      <c r="M1194" s="13">
        <v>224.58553846000001</v>
      </c>
      <c r="N1194" s="14">
        <v>14598.06</v>
      </c>
      <c r="O1194" s="12">
        <v>8</v>
      </c>
      <c r="P1194" s="13">
        <v>217.87625</v>
      </c>
      <c r="Q1194" s="14">
        <v>1743.01</v>
      </c>
      <c r="R1194" s="11" t="s">
        <v>3051</v>
      </c>
      <c r="S1194" s="11" t="s">
        <v>3052</v>
      </c>
      <c r="T1194" s="11" t="s">
        <v>2966</v>
      </c>
    </row>
    <row r="1195" spans="1:20" hidden="1">
      <c r="A1195" s="10">
        <v>1194</v>
      </c>
      <c r="B1195" s="11" t="s">
        <v>1263</v>
      </c>
      <c r="C1195" s="11" t="s">
        <v>1264</v>
      </c>
      <c r="D1195" s="11" t="s">
        <v>17</v>
      </c>
      <c r="E1195" s="11" t="s">
        <v>8</v>
      </c>
      <c r="F1195" s="12">
        <v>22</v>
      </c>
      <c r="G1195" s="13">
        <v>81.754545449999995</v>
      </c>
      <c r="H1195" s="14">
        <v>1798.6</v>
      </c>
      <c r="I1195" s="12">
        <v>0</v>
      </c>
      <c r="J1195" s="13"/>
      <c r="K1195" s="14">
        <v>0</v>
      </c>
      <c r="L1195" s="12">
        <v>9</v>
      </c>
      <c r="M1195" s="13">
        <v>81.75444444</v>
      </c>
      <c r="N1195" s="14">
        <v>735.79</v>
      </c>
      <c r="O1195" s="12">
        <v>13</v>
      </c>
      <c r="P1195" s="13">
        <v>81.754615380000004</v>
      </c>
      <c r="Q1195" s="14">
        <v>1062.81</v>
      </c>
      <c r="R1195" s="11" t="s">
        <v>3051</v>
      </c>
      <c r="S1195" s="11" t="s">
        <v>3052</v>
      </c>
      <c r="T1195" s="11" t="s">
        <v>2966</v>
      </c>
    </row>
    <row r="1196" spans="1:20" hidden="1">
      <c r="A1196" s="10">
        <v>1195</v>
      </c>
      <c r="B1196" s="11" t="s">
        <v>1265</v>
      </c>
      <c r="C1196" s="11" t="s">
        <v>1266</v>
      </c>
      <c r="D1196" s="11" t="s">
        <v>116</v>
      </c>
      <c r="E1196" s="11" t="s">
        <v>8</v>
      </c>
      <c r="F1196" s="12">
        <v>4</v>
      </c>
      <c r="G1196" s="13">
        <v>3180</v>
      </c>
      <c r="H1196" s="14">
        <v>12720</v>
      </c>
      <c r="I1196" s="12">
        <v>0</v>
      </c>
      <c r="J1196" s="13"/>
      <c r="K1196" s="14">
        <v>0</v>
      </c>
      <c r="L1196" s="12">
        <v>0</v>
      </c>
      <c r="M1196" s="13"/>
      <c r="N1196" s="14">
        <v>0</v>
      </c>
      <c r="O1196" s="12">
        <v>4</v>
      </c>
      <c r="P1196" s="13">
        <v>3180</v>
      </c>
      <c r="Q1196" s="14">
        <v>12720</v>
      </c>
      <c r="R1196" s="11" t="s">
        <v>3051</v>
      </c>
      <c r="S1196" s="11" t="s">
        <v>3052</v>
      </c>
      <c r="T1196" s="11" t="s">
        <v>2966</v>
      </c>
    </row>
    <row r="1197" spans="1:20" hidden="1">
      <c r="A1197" s="10">
        <v>1196</v>
      </c>
      <c r="B1197" s="11" t="s">
        <v>1267</v>
      </c>
      <c r="C1197" s="11" t="s">
        <v>1268</v>
      </c>
      <c r="D1197" s="11" t="s">
        <v>116</v>
      </c>
      <c r="E1197" s="11" t="s">
        <v>8</v>
      </c>
      <c r="F1197" s="12">
        <v>16</v>
      </c>
      <c r="G1197" s="13">
        <v>2200</v>
      </c>
      <c r="H1197" s="14">
        <v>35200</v>
      </c>
      <c r="I1197" s="12">
        <v>10</v>
      </c>
      <c r="J1197" s="13">
        <v>2200</v>
      </c>
      <c r="K1197" s="14">
        <v>22000</v>
      </c>
      <c r="L1197" s="12">
        <v>12</v>
      </c>
      <c r="M1197" s="13">
        <v>2200</v>
      </c>
      <c r="N1197" s="14">
        <v>26400</v>
      </c>
      <c r="O1197" s="12">
        <v>14</v>
      </c>
      <c r="P1197" s="13">
        <v>2200</v>
      </c>
      <c r="Q1197" s="14">
        <v>30800</v>
      </c>
      <c r="R1197" s="11" t="s">
        <v>3051</v>
      </c>
      <c r="S1197" s="11" t="s">
        <v>3052</v>
      </c>
      <c r="T1197" s="11" t="s">
        <v>2966</v>
      </c>
    </row>
    <row r="1198" spans="1:20" hidden="1">
      <c r="A1198" s="10">
        <v>1197</v>
      </c>
      <c r="B1198" s="11" t="s">
        <v>1269</v>
      </c>
      <c r="C1198" s="11" t="s">
        <v>1270</v>
      </c>
      <c r="D1198" s="11" t="s">
        <v>116</v>
      </c>
      <c r="E1198" s="11" t="s">
        <v>8</v>
      </c>
      <c r="F1198" s="12">
        <v>2</v>
      </c>
      <c r="G1198" s="13">
        <v>3250</v>
      </c>
      <c r="H1198" s="14">
        <v>6500</v>
      </c>
      <c r="I1198" s="12">
        <v>0</v>
      </c>
      <c r="J1198" s="13"/>
      <c r="K1198" s="14">
        <v>0</v>
      </c>
      <c r="L1198" s="12">
        <v>0</v>
      </c>
      <c r="M1198" s="13"/>
      <c r="N1198" s="14">
        <v>0</v>
      </c>
      <c r="O1198" s="12">
        <v>2</v>
      </c>
      <c r="P1198" s="13">
        <v>3250</v>
      </c>
      <c r="Q1198" s="14">
        <v>6500</v>
      </c>
      <c r="R1198" s="11" t="s">
        <v>3051</v>
      </c>
      <c r="S1198" s="11" t="s">
        <v>3052</v>
      </c>
      <c r="T1198" s="11" t="s">
        <v>2966</v>
      </c>
    </row>
    <row r="1199" spans="1:20" hidden="1">
      <c r="A1199" s="10">
        <v>1198</v>
      </c>
      <c r="B1199" s="11" t="s">
        <v>1271</v>
      </c>
      <c r="C1199" s="11" t="s">
        <v>1272</v>
      </c>
      <c r="D1199" s="11" t="s">
        <v>116</v>
      </c>
      <c r="E1199" s="11" t="s">
        <v>8</v>
      </c>
      <c r="F1199" s="12">
        <v>6</v>
      </c>
      <c r="G1199" s="13">
        <v>2490</v>
      </c>
      <c r="H1199" s="14">
        <v>14940</v>
      </c>
      <c r="I1199" s="12">
        <v>0</v>
      </c>
      <c r="J1199" s="13"/>
      <c r="K1199" s="14">
        <v>0</v>
      </c>
      <c r="L1199" s="12">
        <v>0</v>
      </c>
      <c r="M1199" s="13"/>
      <c r="N1199" s="14">
        <v>0</v>
      </c>
      <c r="O1199" s="12">
        <v>6</v>
      </c>
      <c r="P1199" s="13">
        <v>2490</v>
      </c>
      <c r="Q1199" s="14">
        <v>14940</v>
      </c>
      <c r="R1199" s="11" t="s">
        <v>3051</v>
      </c>
      <c r="S1199" s="11" t="s">
        <v>3052</v>
      </c>
      <c r="T1199" s="11" t="s">
        <v>2966</v>
      </c>
    </row>
    <row r="1200" spans="1:20" ht="25.5" hidden="1">
      <c r="A1200" s="10">
        <v>1199</v>
      </c>
      <c r="B1200" s="11" t="s">
        <v>1273</v>
      </c>
      <c r="C1200" s="11" t="s">
        <v>1274</v>
      </c>
      <c r="D1200" s="11" t="s">
        <v>116</v>
      </c>
      <c r="E1200" s="11" t="s">
        <v>8</v>
      </c>
      <c r="F1200" s="12">
        <v>1</v>
      </c>
      <c r="G1200" s="13">
        <v>3200</v>
      </c>
      <c r="H1200" s="14">
        <v>3200</v>
      </c>
      <c r="I1200" s="12">
        <v>0</v>
      </c>
      <c r="J1200" s="13"/>
      <c r="K1200" s="14">
        <v>0</v>
      </c>
      <c r="L1200" s="12">
        <v>0</v>
      </c>
      <c r="M1200" s="13"/>
      <c r="N1200" s="14">
        <v>0</v>
      </c>
      <c r="O1200" s="12">
        <v>1</v>
      </c>
      <c r="P1200" s="13">
        <v>3200</v>
      </c>
      <c r="Q1200" s="14">
        <v>3200</v>
      </c>
      <c r="R1200" s="11" t="s">
        <v>3051</v>
      </c>
      <c r="S1200" s="11" t="s">
        <v>3052</v>
      </c>
      <c r="T1200" s="11" t="s">
        <v>2966</v>
      </c>
    </row>
    <row r="1201" spans="1:20" hidden="1">
      <c r="A1201" s="10">
        <v>1200</v>
      </c>
      <c r="B1201" s="11" t="s">
        <v>1275</v>
      </c>
      <c r="C1201" s="11" t="s">
        <v>1276</v>
      </c>
      <c r="D1201" s="11" t="s">
        <v>17</v>
      </c>
      <c r="E1201" s="11" t="s">
        <v>8</v>
      </c>
      <c r="F1201" s="12">
        <v>23</v>
      </c>
      <c r="G1201" s="13">
        <v>350</v>
      </c>
      <c r="H1201" s="14">
        <v>8050</v>
      </c>
      <c r="I1201" s="12">
        <v>0</v>
      </c>
      <c r="J1201" s="13"/>
      <c r="K1201" s="14">
        <v>0</v>
      </c>
      <c r="L1201" s="12">
        <v>8</v>
      </c>
      <c r="M1201" s="13">
        <v>350</v>
      </c>
      <c r="N1201" s="14">
        <v>2800</v>
      </c>
      <c r="O1201" s="12">
        <v>15</v>
      </c>
      <c r="P1201" s="13">
        <v>350</v>
      </c>
      <c r="Q1201" s="14">
        <v>5250</v>
      </c>
      <c r="R1201" s="11" t="s">
        <v>3051</v>
      </c>
      <c r="S1201" s="11" t="s">
        <v>3052</v>
      </c>
      <c r="T1201" s="11" t="s">
        <v>2966</v>
      </c>
    </row>
    <row r="1202" spans="1:20" hidden="1">
      <c r="A1202" s="10">
        <v>1201</v>
      </c>
      <c r="B1202" s="11" t="s">
        <v>1277</v>
      </c>
      <c r="C1202" s="11" t="s">
        <v>1278</v>
      </c>
      <c r="D1202" s="11" t="s">
        <v>17</v>
      </c>
      <c r="E1202" s="11" t="s">
        <v>8</v>
      </c>
      <c r="F1202" s="12">
        <v>22</v>
      </c>
      <c r="G1202" s="13">
        <v>400</v>
      </c>
      <c r="H1202" s="14">
        <v>8800</v>
      </c>
      <c r="I1202" s="12">
        <v>0</v>
      </c>
      <c r="J1202" s="13"/>
      <c r="K1202" s="14">
        <v>0</v>
      </c>
      <c r="L1202" s="12">
        <v>14</v>
      </c>
      <c r="M1202" s="13">
        <v>400</v>
      </c>
      <c r="N1202" s="14">
        <v>5600</v>
      </c>
      <c r="O1202" s="12">
        <v>8</v>
      </c>
      <c r="P1202" s="13">
        <v>400</v>
      </c>
      <c r="Q1202" s="14">
        <v>3200</v>
      </c>
      <c r="R1202" s="11" t="s">
        <v>3051</v>
      </c>
      <c r="S1202" s="11" t="s">
        <v>3052</v>
      </c>
      <c r="T1202" s="11" t="s">
        <v>2966</v>
      </c>
    </row>
    <row r="1203" spans="1:20" hidden="1">
      <c r="A1203" s="10">
        <v>1202</v>
      </c>
      <c r="B1203" s="11" t="s">
        <v>1279</v>
      </c>
      <c r="C1203" s="11" t="s">
        <v>1280</v>
      </c>
      <c r="D1203" s="11" t="s">
        <v>17</v>
      </c>
      <c r="E1203" s="11" t="s">
        <v>8</v>
      </c>
      <c r="F1203" s="12">
        <v>12</v>
      </c>
      <c r="G1203" s="13">
        <v>3.5683333300000002</v>
      </c>
      <c r="H1203" s="14">
        <v>42.82</v>
      </c>
      <c r="I1203" s="12">
        <v>0</v>
      </c>
      <c r="J1203" s="13"/>
      <c r="K1203" s="14">
        <v>0</v>
      </c>
      <c r="L1203" s="12">
        <v>4</v>
      </c>
      <c r="M1203" s="13">
        <v>3.5674999999999999</v>
      </c>
      <c r="N1203" s="14">
        <v>14.27</v>
      </c>
      <c r="O1203" s="12">
        <v>8</v>
      </c>
      <c r="P1203" s="13">
        <v>3.5687500000000001</v>
      </c>
      <c r="Q1203" s="14">
        <v>28.55</v>
      </c>
      <c r="R1203" s="11" t="s">
        <v>3051</v>
      </c>
      <c r="S1203" s="11" t="s">
        <v>3052</v>
      </c>
      <c r="T1203" s="11" t="s">
        <v>2966</v>
      </c>
    </row>
    <row r="1204" spans="1:20" hidden="1">
      <c r="A1204" s="10">
        <v>1203</v>
      </c>
      <c r="B1204" s="11" t="s">
        <v>1281</v>
      </c>
      <c r="C1204" s="11" t="s">
        <v>1282</v>
      </c>
      <c r="D1204" s="11" t="s">
        <v>17</v>
      </c>
      <c r="E1204" s="11" t="s">
        <v>8</v>
      </c>
      <c r="F1204" s="12">
        <v>64</v>
      </c>
      <c r="G1204" s="13">
        <v>34</v>
      </c>
      <c r="H1204" s="14">
        <v>2176</v>
      </c>
      <c r="I1204" s="12">
        <v>24</v>
      </c>
      <c r="J1204" s="13">
        <v>34</v>
      </c>
      <c r="K1204" s="14">
        <v>816</v>
      </c>
      <c r="L1204" s="12">
        <v>36</v>
      </c>
      <c r="M1204" s="13">
        <v>34</v>
      </c>
      <c r="N1204" s="14">
        <v>1224</v>
      </c>
      <c r="O1204" s="12">
        <v>52</v>
      </c>
      <c r="P1204" s="13">
        <v>34</v>
      </c>
      <c r="Q1204" s="14">
        <v>1768</v>
      </c>
      <c r="R1204" s="11" t="s">
        <v>3051</v>
      </c>
      <c r="S1204" s="11" t="s">
        <v>3052</v>
      </c>
      <c r="T1204" s="11" t="s">
        <v>2966</v>
      </c>
    </row>
    <row r="1205" spans="1:20" hidden="1">
      <c r="A1205" s="10">
        <v>1204</v>
      </c>
      <c r="B1205" s="11" t="s">
        <v>1283</v>
      </c>
      <c r="C1205" s="11" t="s">
        <v>1284</v>
      </c>
      <c r="D1205" s="11" t="s">
        <v>17</v>
      </c>
      <c r="E1205" s="11" t="s">
        <v>8</v>
      </c>
      <c r="F1205" s="12">
        <v>18</v>
      </c>
      <c r="G1205" s="13">
        <v>25.47555556</v>
      </c>
      <c r="H1205" s="14">
        <v>458.56</v>
      </c>
      <c r="I1205" s="12">
        <v>0</v>
      </c>
      <c r="J1205" s="13"/>
      <c r="K1205" s="14">
        <v>0</v>
      </c>
      <c r="L1205" s="12">
        <v>0</v>
      </c>
      <c r="M1205" s="13"/>
      <c r="N1205" s="14">
        <v>0</v>
      </c>
      <c r="O1205" s="12">
        <v>18</v>
      </c>
      <c r="P1205" s="13">
        <v>25.47555556</v>
      </c>
      <c r="Q1205" s="14">
        <v>458.56</v>
      </c>
      <c r="R1205" s="11" t="s">
        <v>3051</v>
      </c>
      <c r="S1205" s="11" t="s">
        <v>3052</v>
      </c>
      <c r="T1205" s="11" t="s">
        <v>2966</v>
      </c>
    </row>
    <row r="1206" spans="1:20" hidden="1">
      <c r="A1206" s="10">
        <v>1205</v>
      </c>
      <c r="B1206" s="11" t="s">
        <v>1930</v>
      </c>
      <c r="C1206" s="11" t="s">
        <v>1931</v>
      </c>
      <c r="D1206" s="11" t="s">
        <v>17</v>
      </c>
      <c r="E1206" s="11" t="s">
        <v>8</v>
      </c>
      <c r="F1206" s="12">
        <v>20</v>
      </c>
      <c r="G1206" s="13">
        <v>28.313500000000001</v>
      </c>
      <c r="H1206" s="14">
        <v>566.27</v>
      </c>
      <c r="I1206" s="12">
        <v>0</v>
      </c>
      <c r="J1206" s="13"/>
      <c r="K1206" s="14">
        <v>0</v>
      </c>
      <c r="L1206" s="12">
        <v>1</v>
      </c>
      <c r="M1206" s="13">
        <v>28.32</v>
      </c>
      <c r="N1206" s="14">
        <v>28.32</v>
      </c>
      <c r="O1206" s="12">
        <v>19</v>
      </c>
      <c r="P1206" s="13">
        <v>28.313157889999999</v>
      </c>
      <c r="Q1206" s="14">
        <v>537.95000000000005</v>
      </c>
      <c r="R1206" s="11" t="s">
        <v>3051</v>
      </c>
      <c r="S1206" s="11" t="s">
        <v>3052</v>
      </c>
      <c r="T1206" s="11" t="s">
        <v>2966</v>
      </c>
    </row>
    <row r="1207" spans="1:20" ht="25.5" hidden="1">
      <c r="A1207" s="10">
        <v>1206</v>
      </c>
      <c r="B1207" s="11" t="s">
        <v>1932</v>
      </c>
      <c r="C1207" s="11" t="s">
        <v>1933</v>
      </c>
      <c r="D1207" s="11" t="s">
        <v>17</v>
      </c>
      <c r="E1207" s="11" t="s">
        <v>8</v>
      </c>
      <c r="F1207" s="12">
        <v>4</v>
      </c>
      <c r="G1207" s="13">
        <v>36</v>
      </c>
      <c r="H1207" s="14">
        <v>144</v>
      </c>
      <c r="I1207" s="12">
        <v>0</v>
      </c>
      <c r="J1207" s="13"/>
      <c r="K1207" s="14">
        <v>0</v>
      </c>
      <c r="L1207" s="12">
        <v>0</v>
      </c>
      <c r="M1207" s="13"/>
      <c r="N1207" s="14">
        <v>0</v>
      </c>
      <c r="O1207" s="12">
        <v>4</v>
      </c>
      <c r="P1207" s="13">
        <v>36</v>
      </c>
      <c r="Q1207" s="14">
        <v>144</v>
      </c>
      <c r="R1207" s="11" t="s">
        <v>3051</v>
      </c>
      <c r="S1207" s="11" t="s">
        <v>3052</v>
      </c>
      <c r="T1207" s="11" t="s">
        <v>2966</v>
      </c>
    </row>
    <row r="1208" spans="1:20" ht="25.5" hidden="1">
      <c r="A1208" s="10">
        <v>1207</v>
      </c>
      <c r="B1208" s="11" t="s">
        <v>1934</v>
      </c>
      <c r="C1208" s="11" t="s">
        <v>1935</v>
      </c>
      <c r="D1208" s="11" t="s">
        <v>17</v>
      </c>
      <c r="E1208" s="11" t="s">
        <v>8</v>
      </c>
      <c r="F1208" s="12">
        <v>2</v>
      </c>
      <c r="G1208" s="13">
        <v>34.22</v>
      </c>
      <c r="H1208" s="14">
        <v>68.44</v>
      </c>
      <c r="I1208" s="12">
        <v>0</v>
      </c>
      <c r="J1208" s="13"/>
      <c r="K1208" s="14">
        <v>0</v>
      </c>
      <c r="L1208" s="12">
        <v>0</v>
      </c>
      <c r="M1208" s="13"/>
      <c r="N1208" s="14">
        <v>0</v>
      </c>
      <c r="O1208" s="12">
        <v>2</v>
      </c>
      <c r="P1208" s="13">
        <v>34.22</v>
      </c>
      <c r="Q1208" s="14">
        <v>68.44</v>
      </c>
      <c r="R1208" s="11" t="s">
        <v>3051</v>
      </c>
      <c r="S1208" s="11" t="s">
        <v>3052</v>
      </c>
      <c r="T1208" s="11" t="s">
        <v>2966</v>
      </c>
    </row>
    <row r="1209" spans="1:20" ht="25.5" hidden="1">
      <c r="A1209" s="10">
        <v>1208</v>
      </c>
      <c r="B1209" s="11" t="s">
        <v>1936</v>
      </c>
      <c r="C1209" s="11" t="s">
        <v>1937</v>
      </c>
      <c r="D1209" s="11" t="s">
        <v>17</v>
      </c>
      <c r="E1209" s="11" t="s">
        <v>8</v>
      </c>
      <c r="F1209" s="12">
        <v>20</v>
      </c>
      <c r="G1209" s="13">
        <v>23.227499999999999</v>
      </c>
      <c r="H1209" s="14">
        <v>464.55</v>
      </c>
      <c r="I1209" s="12">
        <v>0</v>
      </c>
      <c r="J1209" s="13"/>
      <c r="K1209" s="14">
        <v>0</v>
      </c>
      <c r="L1209" s="12">
        <v>0</v>
      </c>
      <c r="M1209" s="13"/>
      <c r="N1209" s="14">
        <v>0</v>
      </c>
      <c r="O1209" s="12">
        <v>20</v>
      </c>
      <c r="P1209" s="13">
        <v>23.227499999999999</v>
      </c>
      <c r="Q1209" s="14">
        <v>464.55</v>
      </c>
      <c r="R1209" s="11" t="s">
        <v>3051</v>
      </c>
      <c r="S1209" s="11" t="s">
        <v>3052</v>
      </c>
      <c r="T1209" s="11" t="s">
        <v>2966</v>
      </c>
    </row>
    <row r="1210" spans="1:20" ht="25.5" hidden="1">
      <c r="A1210" s="10">
        <v>1209</v>
      </c>
      <c r="B1210" s="11" t="s">
        <v>1938</v>
      </c>
      <c r="C1210" s="11" t="s">
        <v>1939</v>
      </c>
      <c r="D1210" s="11" t="s">
        <v>17</v>
      </c>
      <c r="E1210" s="11" t="s">
        <v>8</v>
      </c>
      <c r="F1210" s="12">
        <v>10</v>
      </c>
      <c r="G1210" s="13">
        <v>22.548999999999999</v>
      </c>
      <c r="H1210" s="14">
        <v>225.49</v>
      </c>
      <c r="I1210" s="12">
        <v>0</v>
      </c>
      <c r="J1210" s="13"/>
      <c r="K1210" s="14">
        <v>0</v>
      </c>
      <c r="L1210" s="12">
        <v>0</v>
      </c>
      <c r="M1210" s="13"/>
      <c r="N1210" s="14">
        <v>0</v>
      </c>
      <c r="O1210" s="12">
        <v>10</v>
      </c>
      <c r="P1210" s="13">
        <v>22.548999999999999</v>
      </c>
      <c r="Q1210" s="14">
        <v>225.49</v>
      </c>
      <c r="R1210" s="11" t="s">
        <v>3051</v>
      </c>
      <c r="S1210" s="11" t="s">
        <v>3052</v>
      </c>
      <c r="T1210" s="11" t="s">
        <v>2966</v>
      </c>
    </row>
    <row r="1211" spans="1:20" ht="25.5" hidden="1">
      <c r="A1211" s="10">
        <v>1210</v>
      </c>
      <c r="B1211" s="11" t="s">
        <v>1940</v>
      </c>
      <c r="C1211" s="11" t="s">
        <v>1941</v>
      </c>
      <c r="D1211" s="11" t="s">
        <v>17</v>
      </c>
      <c r="E1211" s="11" t="s">
        <v>8</v>
      </c>
      <c r="F1211" s="12">
        <v>0</v>
      </c>
      <c r="G1211" s="13"/>
      <c r="H1211" s="14">
        <v>0</v>
      </c>
      <c r="I1211" s="12">
        <v>5</v>
      </c>
      <c r="J1211" s="13">
        <v>26</v>
      </c>
      <c r="K1211" s="14">
        <v>130</v>
      </c>
      <c r="L1211" s="12">
        <v>0</v>
      </c>
      <c r="M1211" s="13"/>
      <c r="N1211" s="14">
        <v>0</v>
      </c>
      <c r="O1211" s="12">
        <v>5</v>
      </c>
      <c r="P1211" s="13">
        <v>26</v>
      </c>
      <c r="Q1211" s="14">
        <v>130</v>
      </c>
      <c r="R1211" s="11" t="s">
        <v>3051</v>
      </c>
      <c r="S1211" s="11" t="s">
        <v>3052</v>
      </c>
      <c r="T1211" s="11" t="s">
        <v>2966</v>
      </c>
    </row>
    <row r="1212" spans="1:20" hidden="1">
      <c r="A1212" s="10">
        <v>1211</v>
      </c>
      <c r="B1212" s="11" t="s">
        <v>1942</v>
      </c>
      <c r="C1212" s="11" t="s">
        <v>1943</v>
      </c>
      <c r="D1212" s="11" t="s">
        <v>17</v>
      </c>
      <c r="E1212" s="11" t="s">
        <v>8</v>
      </c>
      <c r="F1212" s="12">
        <v>1</v>
      </c>
      <c r="G1212" s="13">
        <v>26.4</v>
      </c>
      <c r="H1212" s="14">
        <v>26.4</v>
      </c>
      <c r="I1212" s="12">
        <v>0</v>
      </c>
      <c r="J1212" s="13"/>
      <c r="K1212" s="14">
        <v>0</v>
      </c>
      <c r="L1212" s="12">
        <v>0</v>
      </c>
      <c r="M1212" s="13"/>
      <c r="N1212" s="14">
        <v>0</v>
      </c>
      <c r="O1212" s="12">
        <v>1</v>
      </c>
      <c r="P1212" s="13">
        <v>26.4</v>
      </c>
      <c r="Q1212" s="14">
        <v>26.4</v>
      </c>
      <c r="R1212" s="11" t="s">
        <v>3051</v>
      </c>
      <c r="S1212" s="11" t="s">
        <v>3052</v>
      </c>
      <c r="T1212" s="11" t="s">
        <v>2966</v>
      </c>
    </row>
    <row r="1213" spans="1:20" hidden="1">
      <c r="A1213" s="10">
        <v>1212</v>
      </c>
      <c r="B1213" s="11" t="s">
        <v>1944</v>
      </c>
      <c r="C1213" s="11" t="s">
        <v>1945</v>
      </c>
      <c r="D1213" s="11" t="s">
        <v>116</v>
      </c>
      <c r="E1213" s="11" t="s">
        <v>8</v>
      </c>
      <c r="F1213" s="12">
        <v>1</v>
      </c>
      <c r="G1213" s="13">
        <v>3160.73</v>
      </c>
      <c r="H1213" s="14">
        <v>3160.73</v>
      </c>
      <c r="I1213" s="12">
        <v>0</v>
      </c>
      <c r="J1213" s="13"/>
      <c r="K1213" s="14">
        <v>0</v>
      </c>
      <c r="L1213" s="12">
        <v>0</v>
      </c>
      <c r="M1213" s="13"/>
      <c r="N1213" s="14">
        <v>0</v>
      </c>
      <c r="O1213" s="12">
        <v>1</v>
      </c>
      <c r="P1213" s="13">
        <v>3160.73</v>
      </c>
      <c r="Q1213" s="14">
        <v>3160.73</v>
      </c>
      <c r="R1213" s="11" t="s">
        <v>3051</v>
      </c>
      <c r="S1213" s="11" t="s">
        <v>3052</v>
      </c>
      <c r="T1213" s="11" t="s">
        <v>2966</v>
      </c>
    </row>
    <row r="1214" spans="1:20" hidden="1">
      <c r="A1214" s="10">
        <v>1213</v>
      </c>
      <c r="B1214" s="11" t="s">
        <v>1946</v>
      </c>
      <c r="C1214" s="11" t="s">
        <v>1947</v>
      </c>
      <c r="D1214" s="11" t="s">
        <v>17</v>
      </c>
      <c r="E1214" s="11" t="s">
        <v>8</v>
      </c>
      <c r="F1214" s="12">
        <v>2</v>
      </c>
      <c r="G1214" s="13">
        <v>220.76</v>
      </c>
      <c r="H1214" s="14">
        <v>441.52</v>
      </c>
      <c r="I1214" s="12">
        <v>0</v>
      </c>
      <c r="J1214" s="13"/>
      <c r="K1214" s="14">
        <v>0</v>
      </c>
      <c r="L1214" s="12">
        <v>0</v>
      </c>
      <c r="M1214" s="13"/>
      <c r="N1214" s="14">
        <v>0</v>
      </c>
      <c r="O1214" s="12">
        <v>2</v>
      </c>
      <c r="P1214" s="13">
        <v>220.76</v>
      </c>
      <c r="Q1214" s="14">
        <v>441.52</v>
      </c>
      <c r="R1214" s="11" t="s">
        <v>3051</v>
      </c>
      <c r="S1214" s="11" t="s">
        <v>3052</v>
      </c>
      <c r="T1214" s="11" t="s">
        <v>2966</v>
      </c>
    </row>
    <row r="1215" spans="1:20" hidden="1">
      <c r="A1215" s="10">
        <v>1214</v>
      </c>
      <c r="B1215" s="11" t="s">
        <v>1948</v>
      </c>
      <c r="C1215" s="11" t="s">
        <v>1949</v>
      </c>
      <c r="D1215" s="11" t="s">
        <v>17</v>
      </c>
      <c r="E1215" s="11" t="s">
        <v>8</v>
      </c>
      <c r="F1215" s="12">
        <v>23</v>
      </c>
      <c r="G1215" s="13">
        <v>18.792173909999999</v>
      </c>
      <c r="H1215" s="14">
        <v>432.22</v>
      </c>
      <c r="I1215" s="12">
        <v>0</v>
      </c>
      <c r="J1215" s="13"/>
      <c r="K1215" s="14">
        <v>0</v>
      </c>
      <c r="L1215" s="12">
        <v>12</v>
      </c>
      <c r="M1215" s="13">
        <v>18.791666670000001</v>
      </c>
      <c r="N1215" s="14">
        <v>225.5</v>
      </c>
      <c r="O1215" s="12">
        <v>11</v>
      </c>
      <c r="P1215" s="13">
        <v>18.79272727</v>
      </c>
      <c r="Q1215" s="14">
        <v>206.72</v>
      </c>
      <c r="R1215" s="11" t="s">
        <v>3051</v>
      </c>
      <c r="S1215" s="11" t="s">
        <v>3052</v>
      </c>
      <c r="T1215" s="11" t="s">
        <v>2966</v>
      </c>
    </row>
    <row r="1216" spans="1:20" hidden="1">
      <c r="A1216" s="10">
        <v>1215</v>
      </c>
      <c r="B1216" s="11" t="s">
        <v>1950</v>
      </c>
      <c r="C1216" s="11" t="s">
        <v>1951</v>
      </c>
      <c r="D1216" s="11" t="s">
        <v>17</v>
      </c>
      <c r="E1216" s="11" t="s">
        <v>8</v>
      </c>
      <c r="F1216" s="12">
        <v>110</v>
      </c>
      <c r="G1216" s="13">
        <v>7.70354545</v>
      </c>
      <c r="H1216" s="14">
        <v>847.39</v>
      </c>
      <c r="I1216" s="12">
        <v>0</v>
      </c>
      <c r="J1216" s="13"/>
      <c r="K1216" s="14">
        <v>0</v>
      </c>
      <c r="L1216" s="12">
        <v>17</v>
      </c>
      <c r="M1216" s="13">
        <v>7.7041176499999997</v>
      </c>
      <c r="N1216" s="14">
        <v>130.97</v>
      </c>
      <c r="O1216" s="12">
        <v>93</v>
      </c>
      <c r="P1216" s="13">
        <v>7.7034408599999997</v>
      </c>
      <c r="Q1216" s="14">
        <v>716.42</v>
      </c>
      <c r="R1216" s="11" t="s">
        <v>3051</v>
      </c>
      <c r="S1216" s="11" t="s">
        <v>3052</v>
      </c>
      <c r="T1216" s="11" t="s">
        <v>2966</v>
      </c>
    </row>
    <row r="1217" spans="1:20" hidden="1">
      <c r="A1217" s="10">
        <v>1216</v>
      </c>
      <c r="B1217" s="11" t="s">
        <v>1952</v>
      </c>
      <c r="C1217" s="11" t="s">
        <v>1953</v>
      </c>
      <c r="D1217" s="11" t="s">
        <v>17</v>
      </c>
      <c r="E1217" s="11" t="s">
        <v>8</v>
      </c>
      <c r="F1217" s="12">
        <v>7</v>
      </c>
      <c r="G1217" s="13">
        <v>46.695714289999998</v>
      </c>
      <c r="H1217" s="14">
        <v>326.87</v>
      </c>
      <c r="I1217" s="12">
        <v>0</v>
      </c>
      <c r="J1217" s="13"/>
      <c r="K1217" s="14">
        <v>0</v>
      </c>
      <c r="L1217" s="12">
        <v>3</v>
      </c>
      <c r="M1217" s="13">
        <v>46.69</v>
      </c>
      <c r="N1217" s="14">
        <v>140.07</v>
      </c>
      <c r="O1217" s="12">
        <v>4</v>
      </c>
      <c r="P1217" s="13">
        <v>46.7</v>
      </c>
      <c r="Q1217" s="14">
        <v>186.8</v>
      </c>
      <c r="R1217" s="11" t="s">
        <v>3051</v>
      </c>
      <c r="S1217" s="11" t="s">
        <v>3052</v>
      </c>
      <c r="T1217" s="11" t="s">
        <v>2966</v>
      </c>
    </row>
    <row r="1218" spans="1:20" hidden="1">
      <c r="A1218" s="10">
        <v>1217</v>
      </c>
      <c r="B1218" s="11" t="s">
        <v>1954</v>
      </c>
      <c r="C1218" s="11" t="s">
        <v>1955</v>
      </c>
      <c r="D1218" s="11" t="s">
        <v>17</v>
      </c>
      <c r="E1218" s="11" t="s">
        <v>8</v>
      </c>
      <c r="F1218" s="12">
        <v>25</v>
      </c>
      <c r="G1218" s="13">
        <v>18.624400000000001</v>
      </c>
      <c r="H1218" s="14">
        <v>465.61</v>
      </c>
      <c r="I1218" s="12">
        <v>0</v>
      </c>
      <c r="J1218" s="13"/>
      <c r="K1218" s="14">
        <v>0</v>
      </c>
      <c r="L1218" s="12">
        <v>5</v>
      </c>
      <c r="M1218" s="13">
        <v>18.623999999999999</v>
      </c>
      <c r="N1218" s="14">
        <v>93.12</v>
      </c>
      <c r="O1218" s="12">
        <v>20</v>
      </c>
      <c r="P1218" s="13">
        <v>18.624500000000001</v>
      </c>
      <c r="Q1218" s="14">
        <v>372.49</v>
      </c>
      <c r="R1218" s="11" t="s">
        <v>3051</v>
      </c>
      <c r="S1218" s="11" t="s">
        <v>3052</v>
      </c>
      <c r="T1218" s="11" t="s">
        <v>2966</v>
      </c>
    </row>
    <row r="1219" spans="1:20" hidden="1">
      <c r="A1219" s="10">
        <v>1218</v>
      </c>
      <c r="B1219" s="11" t="s">
        <v>2333</v>
      </c>
      <c r="C1219" s="11" t="s">
        <v>2334</v>
      </c>
      <c r="D1219" s="11" t="s">
        <v>17</v>
      </c>
      <c r="E1219" s="11" t="s">
        <v>8</v>
      </c>
      <c r="F1219" s="12">
        <v>90</v>
      </c>
      <c r="G1219" s="13">
        <v>2.2000000000000002</v>
      </c>
      <c r="H1219" s="14">
        <v>198</v>
      </c>
      <c r="I1219" s="12">
        <v>0</v>
      </c>
      <c r="J1219" s="13"/>
      <c r="K1219" s="14">
        <v>0</v>
      </c>
      <c r="L1219" s="12">
        <v>0</v>
      </c>
      <c r="M1219" s="13"/>
      <c r="N1219" s="14">
        <v>0</v>
      </c>
      <c r="O1219" s="12">
        <v>90</v>
      </c>
      <c r="P1219" s="13">
        <v>2.2000000000000002</v>
      </c>
      <c r="Q1219" s="14">
        <v>198</v>
      </c>
      <c r="R1219" s="11" t="s">
        <v>3051</v>
      </c>
      <c r="S1219" s="11" t="s">
        <v>3052</v>
      </c>
      <c r="T1219" s="11" t="s">
        <v>2966</v>
      </c>
    </row>
    <row r="1220" spans="1:20" ht="25.5" hidden="1">
      <c r="A1220" s="10">
        <v>1219</v>
      </c>
      <c r="B1220" s="11" t="s">
        <v>1956</v>
      </c>
      <c r="C1220" s="11" t="s">
        <v>1957</v>
      </c>
      <c r="D1220" s="11" t="s">
        <v>17</v>
      </c>
      <c r="E1220" s="11" t="s">
        <v>8</v>
      </c>
      <c r="F1220" s="12">
        <v>210</v>
      </c>
      <c r="G1220" s="13">
        <v>17</v>
      </c>
      <c r="H1220" s="14">
        <v>3570</v>
      </c>
      <c r="I1220" s="12">
        <v>0</v>
      </c>
      <c r="J1220" s="13"/>
      <c r="K1220" s="14">
        <v>0</v>
      </c>
      <c r="L1220" s="12">
        <v>55</v>
      </c>
      <c r="M1220" s="13">
        <v>17</v>
      </c>
      <c r="N1220" s="14">
        <v>935</v>
      </c>
      <c r="O1220" s="12">
        <v>155</v>
      </c>
      <c r="P1220" s="13">
        <v>17</v>
      </c>
      <c r="Q1220" s="14">
        <v>2635</v>
      </c>
      <c r="R1220" s="11" t="s">
        <v>3051</v>
      </c>
      <c r="S1220" s="11" t="s">
        <v>3052</v>
      </c>
      <c r="T1220" s="11" t="s">
        <v>2966</v>
      </c>
    </row>
    <row r="1221" spans="1:20" ht="25.5" hidden="1">
      <c r="A1221" s="10">
        <v>1220</v>
      </c>
      <c r="B1221" s="11" t="s">
        <v>1958</v>
      </c>
      <c r="C1221" s="11" t="s">
        <v>1959</v>
      </c>
      <c r="D1221" s="11" t="s">
        <v>17</v>
      </c>
      <c r="E1221" s="11" t="s">
        <v>8</v>
      </c>
      <c r="F1221" s="12">
        <v>26</v>
      </c>
      <c r="G1221" s="13">
        <v>80.029230769999998</v>
      </c>
      <c r="H1221" s="14">
        <v>2080.7600000000002</v>
      </c>
      <c r="I1221" s="12">
        <v>0</v>
      </c>
      <c r="J1221" s="13"/>
      <c r="K1221" s="14">
        <v>0</v>
      </c>
      <c r="L1221" s="12">
        <v>9</v>
      </c>
      <c r="M1221" s="13">
        <v>80.03</v>
      </c>
      <c r="N1221" s="14">
        <v>720.27</v>
      </c>
      <c r="O1221" s="12">
        <v>17</v>
      </c>
      <c r="P1221" s="13">
        <v>80.028823529999997</v>
      </c>
      <c r="Q1221" s="14">
        <v>1360.49</v>
      </c>
      <c r="R1221" s="11" t="s">
        <v>3051</v>
      </c>
      <c r="S1221" s="11" t="s">
        <v>3052</v>
      </c>
      <c r="T1221" s="11" t="s">
        <v>2966</v>
      </c>
    </row>
    <row r="1222" spans="1:20" hidden="1">
      <c r="A1222" s="10">
        <v>1221</v>
      </c>
      <c r="B1222" s="11" t="s">
        <v>1960</v>
      </c>
      <c r="C1222" s="11" t="s">
        <v>1961</v>
      </c>
      <c r="D1222" s="11" t="s">
        <v>17</v>
      </c>
      <c r="E1222" s="11" t="s">
        <v>8</v>
      </c>
      <c r="F1222" s="12">
        <v>5</v>
      </c>
      <c r="G1222" s="13">
        <v>61.314</v>
      </c>
      <c r="H1222" s="14">
        <v>306.57</v>
      </c>
      <c r="I1222" s="12">
        <v>0</v>
      </c>
      <c r="J1222" s="13"/>
      <c r="K1222" s="14">
        <v>0</v>
      </c>
      <c r="L1222" s="12">
        <v>0</v>
      </c>
      <c r="M1222" s="13"/>
      <c r="N1222" s="14">
        <v>0</v>
      </c>
      <c r="O1222" s="12">
        <v>5</v>
      </c>
      <c r="P1222" s="13">
        <v>61.314</v>
      </c>
      <c r="Q1222" s="14">
        <v>306.57</v>
      </c>
      <c r="R1222" s="11" t="s">
        <v>3051</v>
      </c>
      <c r="S1222" s="11" t="s">
        <v>3052</v>
      </c>
      <c r="T1222" s="11" t="s">
        <v>2966</v>
      </c>
    </row>
    <row r="1223" spans="1:20" ht="25.5" hidden="1">
      <c r="A1223" s="10">
        <v>1222</v>
      </c>
      <c r="B1223" s="11" t="s">
        <v>1962</v>
      </c>
      <c r="C1223" s="11" t="s">
        <v>1963</v>
      </c>
      <c r="D1223" s="11" t="s">
        <v>17</v>
      </c>
      <c r="E1223" s="11" t="s">
        <v>8</v>
      </c>
      <c r="F1223" s="12">
        <v>7</v>
      </c>
      <c r="G1223" s="13">
        <v>18.245714289999999</v>
      </c>
      <c r="H1223" s="14">
        <v>127.72</v>
      </c>
      <c r="I1223" s="12">
        <v>10</v>
      </c>
      <c r="J1223" s="13">
        <v>18</v>
      </c>
      <c r="K1223" s="14">
        <v>180</v>
      </c>
      <c r="L1223" s="12">
        <v>3</v>
      </c>
      <c r="M1223" s="13">
        <v>18.100000000000001</v>
      </c>
      <c r="N1223" s="14">
        <v>54.3</v>
      </c>
      <c r="O1223" s="12">
        <v>14</v>
      </c>
      <c r="P1223" s="13">
        <v>18.101428569999999</v>
      </c>
      <c r="Q1223" s="14">
        <v>253.42</v>
      </c>
      <c r="R1223" s="11" t="s">
        <v>3051</v>
      </c>
      <c r="S1223" s="11" t="s">
        <v>3052</v>
      </c>
      <c r="T1223" s="11" t="s">
        <v>2966</v>
      </c>
    </row>
    <row r="1224" spans="1:20" ht="25.5" hidden="1">
      <c r="A1224" s="10">
        <v>1223</v>
      </c>
      <c r="B1224" s="11" t="s">
        <v>1964</v>
      </c>
      <c r="C1224" s="11" t="s">
        <v>1965</v>
      </c>
      <c r="D1224" s="11" t="s">
        <v>17</v>
      </c>
      <c r="E1224" s="11" t="s">
        <v>8</v>
      </c>
      <c r="F1224" s="12">
        <v>18</v>
      </c>
      <c r="G1224" s="13">
        <v>18.256666670000001</v>
      </c>
      <c r="H1224" s="14">
        <v>328.62</v>
      </c>
      <c r="I1224" s="12">
        <v>0</v>
      </c>
      <c r="J1224" s="13"/>
      <c r="K1224" s="14">
        <v>0</v>
      </c>
      <c r="L1224" s="12">
        <v>3</v>
      </c>
      <c r="M1224" s="13">
        <v>18.25333333</v>
      </c>
      <c r="N1224" s="14">
        <v>54.76</v>
      </c>
      <c r="O1224" s="12">
        <v>15</v>
      </c>
      <c r="P1224" s="13">
        <v>18.257333330000002</v>
      </c>
      <c r="Q1224" s="14">
        <v>273.86</v>
      </c>
      <c r="R1224" s="11" t="s">
        <v>3051</v>
      </c>
      <c r="S1224" s="11" t="s">
        <v>3052</v>
      </c>
      <c r="T1224" s="11" t="s">
        <v>2966</v>
      </c>
    </row>
    <row r="1225" spans="1:20" ht="25.5" hidden="1">
      <c r="A1225" s="10">
        <v>1224</v>
      </c>
      <c r="B1225" s="11" t="s">
        <v>1966</v>
      </c>
      <c r="C1225" s="11" t="s">
        <v>1967</v>
      </c>
      <c r="D1225" s="11" t="s">
        <v>17</v>
      </c>
      <c r="E1225" s="11" t="s">
        <v>8</v>
      </c>
      <c r="F1225" s="12">
        <v>12</v>
      </c>
      <c r="G1225" s="13">
        <v>19.857500000000002</v>
      </c>
      <c r="H1225" s="14">
        <v>238.29</v>
      </c>
      <c r="I1225" s="12">
        <v>0</v>
      </c>
      <c r="J1225" s="13"/>
      <c r="K1225" s="14">
        <v>0</v>
      </c>
      <c r="L1225" s="12">
        <v>2</v>
      </c>
      <c r="M1225" s="13">
        <v>19.86</v>
      </c>
      <c r="N1225" s="14">
        <v>39.72</v>
      </c>
      <c r="O1225" s="12">
        <v>10</v>
      </c>
      <c r="P1225" s="13">
        <v>19.856999999999999</v>
      </c>
      <c r="Q1225" s="14">
        <v>198.57</v>
      </c>
      <c r="R1225" s="11" t="s">
        <v>3051</v>
      </c>
      <c r="S1225" s="11" t="s">
        <v>3052</v>
      </c>
      <c r="T1225" s="11" t="s">
        <v>2966</v>
      </c>
    </row>
    <row r="1226" spans="1:20" ht="25.5" hidden="1">
      <c r="A1226" s="10">
        <v>1225</v>
      </c>
      <c r="B1226" s="11" t="s">
        <v>1968</v>
      </c>
      <c r="C1226" s="11" t="s">
        <v>1969</v>
      </c>
      <c r="D1226" s="11" t="s">
        <v>17</v>
      </c>
      <c r="E1226" s="11" t="s">
        <v>8</v>
      </c>
      <c r="F1226" s="12">
        <v>11</v>
      </c>
      <c r="G1226" s="13">
        <v>18.68181818</v>
      </c>
      <c r="H1226" s="14">
        <v>205.5</v>
      </c>
      <c r="I1226" s="12">
        <v>0</v>
      </c>
      <c r="J1226" s="13"/>
      <c r="K1226" s="14">
        <v>0</v>
      </c>
      <c r="L1226" s="12">
        <v>0</v>
      </c>
      <c r="M1226" s="13"/>
      <c r="N1226" s="14">
        <v>0</v>
      </c>
      <c r="O1226" s="12">
        <v>11</v>
      </c>
      <c r="P1226" s="13">
        <v>18.68181818</v>
      </c>
      <c r="Q1226" s="14">
        <v>205.5</v>
      </c>
      <c r="R1226" s="11" t="s">
        <v>3051</v>
      </c>
      <c r="S1226" s="11" t="s">
        <v>3052</v>
      </c>
      <c r="T1226" s="11" t="s">
        <v>2966</v>
      </c>
    </row>
    <row r="1227" spans="1:20" hidden="1">
      <c r="A1227" s="10">
        <v>1226</v>
      </c>
      <c r="B1227" s="11" t="s">
        <v>1970</v>
      </c>
      <c r="C1227" s="11" t="s">
        <v>1971</v>
      </c>
      <c r="D1227" s="11" t="s">
        <v>17</v>
      </c>
      <c r="E1227" s="11" t="s">
        <v>8</v>
      </c>
      <c r="F1227" s="12">
        <v>21</v>
      </c>
      <c r="G1227" s="13">
        <v>19.957619050000002</v>
      </c>
      <c r="H1227" s="14">
        <v>419.11</v>
      </c>
      <c r="I1227" s="12">
        <v>10</v>
      </c>
      <c r="J1227" s="13">
        <v>19.5</v>
      </c>
      <c r="K1227" s="14">
        <v>195</v>
      </c>
      <c r="L1227" s="12">
        <v>4</v>
      </c>
      <c r="M1227" s="13">
        <v>19.809999999999999</v>
      </c>
      <c r="N1227" s="14">
        <v>79.239999999999995</v>
      </c>
      <c r="O1227" s="12">
        <v>27</v>
      </c>
      <c r="P1227" s="13">
        <v>19.809999999999999</v>
      </c>
      <c r="Q1227" s="14">
        <v>534.87</v>
      </c>
      <c r="R1227" s="11" t="s">
        <v>3051</v>
      </c>
      <c r="S1227" s="11" t="s">
        <v>3052</v>
      </c>
      <c r="T1227" s="11" t="s">
        <v>2966</v>
      </c>
    </row>
    <row r="1228" spans="1:20" hidden="1">
      <c r="A1228" s="10">
        <v>1227</v>
      </c>
      <c r="B1228" s="11" t="s">
        <v>1972</v>
      </c>
      <c r="C1228" s="11" t="s">
        <v>1973</v>
      </c>
      <c r="D1228" s="11" t="s">
        <v>17</v>
      </c>
      <c r="E1228" s="11" t="s">
        <v>8</v>
      </c>
      <c r="F1228" s="12">
        <v>11</v>
      </c>
      <c r="G1228" s="13">
        <v>390</v>
      </c>
      <c r="H1228" s="14">
        <v>4290</v>
      </c>
      <c r="I1228" s="12">
        <v>10</v>
      </c>
      <c r="J1228" s="13">
        <v>390</v>
      </c>
      <c r="K1228" s="14">
        <v>3900</v>
      </c>
      <c r="L1228" s="12">
        <v>1</v>
      </c>
      <c r="M1228" s="13">
        <v>390</v>
      </c>
      <c r="N1228" s="14">
        <v>390</v>
      </c>
      <c r="O1228" s="12">
        <v>20</v>
      </c>
      <c r="P1228" s="13">
        <v>390</v>
      </c>
      <c r="Q1228" s="14">
        <v>7800</v>
      </c>
      <c r="R1228" s="11" t="s">
        <v>3051</v>
      </c>
      <c r="S1228" s="11" t="s">
        <v>3052</v>
      </c>
      <c r="T1228" s="11" t="s">
        <v>2966</v>
      </c>
    </row>
    <row r="1229" spans="1:20" hidden="1">
      <c r="A1229" s="10">
        <v>1228</v>
      </c>
      <c r="B1229" s="11" t="s">
        <v>3671</v>
      </c>
      <c r="C1229" s="11" t="s">
        <v>3672</v>
      </c>
      <c r="D1229" s="11" t="s">
        <v>20</v>
      </c>
      <c r="E1229" s="11" t="s">
        <v>8</v>
      </c>
      <c r="F1229" s="12">
        <v>0</v>
      </c>
      <c r="G1229" s="13"/>
      <c r="H1229" s="14">
        <v>0</v>
      </c>
      <c r="I1229" s="12">
        <v>620</v>
      </c>
      <c r="J1229" s="13">
        <v>1</v>
      </c>
      <c r="K1229" s="14">
        <v>620</v>
      </c>
      <c r="L1229" s="12">
        <v>0</v>
      </c>
      <c r="M1229" s="13"/>
      <c r="N1229" s="14">
        <v>0</v>
      </c>
      <c r="O1229" s="12">
        <v>620</v>
      </c>
      <c r="P1229" s="13">
        <v>1</v>
      </c>
      <c r="Q1229" s="14">
        <v>620</v>
      </c>
      <c r="R1229" s="11" t="s">
        <v>2961</v>
      </c>
      <c r="S1229" s="11" t="s">
        <v>3673</v>
      </c>
      <c r="T1229" s="11" t="s">
        <v>2961</v>
      </c>
    </row>
  </sheetData>
  <autoFilter ref="A1:T1229">
    <filterColumn colId="2">
      <filters>
        <filter val="PEPS BATH TOWEL 60X30&quot;"/>
        <filter val="PEPS FACE TOWEL 12X12&quot;"/>
        <filter val="PEPS HAND TOWEL 16X27&quot;"/>
        <filter val="POOL TOWEL 72&quot; X 36&quot;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92"/>
  <sheetViews>
    <sheetView workbookViewId="0">
      <pane ySplit="1" topLeftCell="A2" activePane="bottomLeft" state="frozen"/>
      <selection pane="bottomLeft" activeCell="E11" sqref="E11"/>
    </sheetView>
  </sheetViews>
  <sheetFormatPr defaultRowHeight="15"/>
  <cols>
    <col min="1" max="1" width="5" bestFit="1" customWidth="1"/>
    <col min="2" max="2" width="15.7109375" bestFit="1" customWidth="1"/>
    <col min="3" max="3" width="3.85546875" bestFit="1" customWidth="1"/>
    <col min="4" max="4" width="13.7109375" bestFit="1" customWidth="1"/>
    <col min="5" max="5" width="36.5703125" bestFit="1" customWidth="1"/>
    <col min="6" max="6" width="12.42578125" bestFit="1" customWidth="1"/>
    <col min="7" max="7" width="14.85546875" bestFit="1" customWidth="1"/>
    <col min="8" max="8" width="9" bestFit="1" customWidth="1"/>
    <col min="9" max="9" width="7.28515625" bestFit="1" customWidth="1"/>
    <col min="10" max="10" width="14.28515625" bestFit="1" customWidth="1"/>
    <col min="11" max="11" width="74.7109375" bestFit="1" customWidth="1"/>
  </cols>
  <sheetData>
    <row r="1" spans="1:11">
      <c r="A1" t="s">
        <v>3115</v>
      </c>
      <c r="B1" t="s">
        <v>3116</v>
      </c>
      <c r="C1" t="s">
        <v>3117</v>
      </c>
      <c r="D1" t="s">
        <v>3118</v>
      </c>
      <c r="E1" t="s">
        <v>1</v>
      </c>
      <c r="F1" t="s">
        <v>3119</v>
      </c>
      <c r="G1" t="s">
        <v>3120</v>
      </c>
      <c r="H1" t="s">
        <v>3121</v>
      </c>
      <c r="I1" t="s">
        <v>3122</v>
      </c>
      <c r="J1" t="s">
        <v>3123</v>
      </c>
      <c r="K1" t="s">
        <v>3124</v>
      </c>
    </row>
    <row r="2" spans="1:11">
      <c r="A2">
        <v>1</v>
      </c>
      <c r="D2" t="s">
        <v>3125</v>
      </c>
      <c r="E2" t="s">
        <v>631</v>
      </c>
      <c r="G2" t="s">
        <v>20</v>
      </c>
      <c r="H2">
        <v>61688</v>
      </c>
      <c r="I2">
        <v>0</v>
      </c>
      <c r="J2" t="s">
        <v>2938</v>
      </c>
      <c r="K2" t="s">
        <v>632</v>
      </c>
    </row>
    <row r="3" spans="1:11">
      <c r="A3">
        <v>2</v>
      </c>
      <c r="D3" t="s">
        <v>3125</v>
      </c>
      <c r="E3" t="s">
        <v>2619</v>
      </c>
      <c r="G3" t="s">
        <v>20</v>
      </c>
      <c r="H3">
        <v>1169.3</v>
      </c>
      <c r="I3">
        <v>0</v>
      </c>
      <c r="J3" t="s">
        <v>2938</v>
      </c>
      <c r="K3" t="s">
        <v>2620</v>
      </c>
    </row>
    <row r="4" spans="1:11">
      <c r="A4">
        <v>3</v>
      </c>
      <c r="D4" t="s">
        <v>3125</v>
      </c>
      <c r="E4" t="s">
        <v>613</v>
      </c>
      <c r="G4" t="s">
        <v>17</v>
      </c>
      <c r="H4">
        <v>46</v>
      </c>
      <c r="I4">
        <v>0</v>
      </c>
      <c r="J4" t="s">
        <v>2938</v>
      </c>
      <c r="K4" t="s">
        <v>614</v>
      </c>
    </row>
    <row r="5" spans="1:11">
      <c r="A5">
        <v>4</v>
      </c>
      <c r="D5" t="s">
        <v>3125</v>
      </c>
      <c r="E5" t="s">
        <v>3550</v>
      </c>
      <c r="G5" t="s">
        <v>7</v>
      </c>
      <c r="H5">
        <v>216</v>
      </c>
      <c r="I5">
        <v>0</v>
      </c>
      <c r="J5" t="s">
        <v>2938</v>
      </c>
      <c r="K5" t="s">
        <v>3551</v>
      </c>
    </row>
    <row r="6" spans="1:11">
      <c r="A6">
        <v>5</v>
      </c>
      <c r="D6" t="s">
        <v>3125</v>
      </c>
      <c r="E6" t="s">
        <v>474</v>
      </c>
      <c r="G6" t="s">
        <v>20</v>
      </c>
      <c r="H6">
        <v>7032.89</v>
      </c>
      <c r="I6">
        <v>0</v>
      </c>
      <c r="J6" t="s">
        <v>2938</v>
      </c>
      <c r="K6" t="s">
        <v>475</v>
      </c>
    </row>
    <row r="7" spans="1:11">
      <c r="A7">
        <v>6</v>
      </c>
      <c r="D7" t="s">
        <v>3125</v>
      </c>
      <c r="E7" t="s">
        <v>2917</v>
      </c>
      <c r="G7" t="s">
        <v>17</v>
      </c>
      <c r="H7">
        <v>3875</v>
      </c>
      <c r="I7">
        <v>0</v>
      </c>
      <c r="J7" t="s">
        <v>2938</v>
      </c>
      <c r="K7" t="s">
        <v>2918</v>
      </c>
    </row>
    <row r="8" spans="1:11">
      <c r="A8">
        <v>7</v>
      </c>
      <c r="D8" t="s">
        <v>3125</v>
      </c>
      <c r="E8" t="s">
        <v>3552</v>
      </c>
      <c r="G8" t="s">
        <v>7</v>
      </c>
      <c r="H8">
        <v>1225</v>
      </c>
      <c r="I8">
        <v>0</v>
      </c>
      <c r="J8" t="s">
        <v>2938</v>
      </c>
      <c r="K8" t="s">
        <v>3553</v>
      </c>
    </row>
    <row r="9" spans="1:11">
      <c r="A9">
        <v>8</v>
      </c>
      <c r="D9" t="s">
        <v>3125</v>
      </c>
      <c r="E9" t="s">
        <v>2118</v>
      </c>
      <c r="G9" t="s">
        <v>20</v>
      </c>
      <c r="H9">
        <v>99.1</v>
      </c>
      <c r="I9">
        <v>0</v>
      </c>
      <c r="J9" t="s">
        <v>2938</v>
      </c>
      <c r="K9" t="s">
        <v>2119</v>
      </c>
    </row>
    <row r="10" spans="1:11">
      <c r="A10">
        <v>9</v>
      </c>
      <c r="D10" t="s">
        <v>3125</v>
      </c>
      <c r="E10" t="s">
        <v>2235</v>
      </c>
      <c r="G10" t="s">
        <v>20</v>
      </c>
      <c r="H10">
        <v>2117.4</v>
      </c>
      <c r="I10">
        <v>0</v>
      </c>
      <c r="J10" t="s">
        <v>2938</v>
      </c>
      <c r="K10" t="s">
        <v>2236</v>
      </c>
    </row>
    <row r="11" spans="1:11">
      <c r="A11">
        <v>10</v>
      </c>
      <c r="D11" t="s">
        <v>3125</v>
      </c>
      <c r="E11" t="s">
        <v>1028</v>
      </c>
      <c r="G11" t="s">
        <v>20</v>
      </c>
      <c r="H11">
        <v>272.10000000000002</v>
      </c>
      <c r="I11">
        <v>0</v>
      </c>
      <c r="J11" t="s">
        <v>2938</v>
      </c>
      <c r="K11" t="s">
        <v>1029</v>
      </c>
    </row>
    <row r="12" spans="1:11">
      <c r="A12">
        <v>11</v>
      </c>
      <c r="D12" t="s">
        <v>3125</v>
      </c>
      <c r="E12" t="s">
        <v>1028</v>
      </c>
      <c r="G12" t="s">
        <v>20</v>
      </c>
      <c r="H12">
        <v>494.9</v>
      </c>
      <c r="I12">
        <v>0</v>
      </c>
      <c r="J12" t="s">
        <v>2940</v>
      </c>
      <c r="K12" t="s">
        <v>1029</v>
      </c>
    </row>
    <row r="13" spans="1:11">
      <c r="A13">
        <v>12</v>
      </c>
      <c r="D13" t="s">
        <v>3125</v>
      </c>
      <c r="E13" t="s">
        <v>1062</v>
      </c>
      <c r="G13" t="s">
        <v>17</v>
      </c>
      <c r="H13">
        <v>164</v>
      </c>
      <c r="I13">
        <v>0</v>
      </c>
      <c r="J13" t="s">
        <v>2938</v>
      </c>
      <c r="K13" t="s">
        <v>1063</v>
      </c>
    </row>
    <row r="14" spans="1:11">
      <c r="A14">
        <v>13</v>
      </c>
      <c r="D14" t="s">
        <v>3125</v>
      </c>
      <c r="E14" t="s">
        <v>1064</v>
      </c>
      <c r="G14" t="s">
        <v>17</v>
      </c>
      <c r="H14">
        <v>44</v>
      </c>
      <c r="I14">
        <v>0</v>
      </c>
      <c r="J14" t="s">
        <v>2938</v>
      </c>
      <c r="K14" t="s">
        <v>1065</v>
      </c>
    </row>
    <row r="15" spans="1:11">
      <c r="A15">
        <v>14</v>
      </c>
      <c r="D15" t="s">
        <v>3125</v>
      </c>
      <c r="E15" t="s">
        <v>1066</v>
      </c>
      <c r="G15" t="s">
        <v>17</v>
      </c>
      <c r="H15">
        <v>100</v>
      </c>
      <c r="I15">
        <v>0</v>
      </c>
      <c r="J15" t="s">
        <v>2938</v>
      </c>
      <c r="K15" t="s">
        <v>1067</v>
      </c>
    </row>
    <row r="16" spans="1:11">
      <c r="A16">
        <v>15</v>
      </c>
      <c r="D16" t="s">
        <v>3125</v>
      </c>
      <c r="E16" t="s">
        <v>321</v>
      </c>
      <c r="G16" t="s">
        <v>17</v>
      </c>
      <c r="H16">
        <v>128</v>
      </c>
      <c r="I16">
        <v>0</v>
      </c>
      <c r="J16" t="s">
        <v>2938</v>
      </c>
      <c r="K16" t="s">
        <v>322</v>
      </c>
    </row>
    <row r="17" spans="1:11">
      <c r="A17">
        <v>16</v>
      </c>
      <c r="D17" t="s">
        <v>3125</v>
      </c>
      <c r="E17" t="s">
        <v>119</v>
      </c>
      <c r="G17" t="s">
        <v>17</v>
      </c>
      <c r="H17">
        <v>51</v>
      </c>
      <c r="I17">
        <v>0</v>
      </c>
      <c r="J17" t="s">
        <v>2938</v>
      </c>
      <c r="K17" t="s">
        <v>120</v>
      </c>
    </row>
    <row r="18" spans="1:11">
      <c r="A18">
        <v>17</v>
      </c>
      <c r="D18" t="s">
        <v>3125</v>
      </c>
      <c r="E18" t="s">
        <v>1594</v>
      </c>
      <c r="G18" t="s">
        <v>17</v>
      </c>
      <c r="H18">
        <v>223</v>
      </c>
      <c r="I18">
        <v>0</v>
      </c>
      <c r="J18" t="s">
        <v>2938</v>
      </c>
      <c r="K18" t="s">
        <v>1595</v>
      </c>
    </row>
    <row r="19" spans="1:11">
      <c r="A19">
        <v>18</v>
      </c>
      <c r="D19" t="s">
        <v>3125</v>
      </c>
      <c r="E19" t="s">
        <v>283</v>
      </c>
      <c r="G19" t="s">
        <v>17</v>
      </c>
      <c r="H19">
        <v>237</v>
      </c>
      <c r="I19">
        <v>0</v>
      </c>
      <c r="J19" t="s">
        <v>2938</v>
      </c>
      <c r="K19" t="s">
        <v>284</v>
      </c>
    </row>
    <row r="20" spans="1:11">
      <c r="A20">
        <v>19</v>
      </c>
      <c r="D20" t="s">
        <v>3125</v>
      </c>
      <c r="E20" t="s">
        <v>3520</v>
      </c>
      <c r="G20" t="s">
        <v>7</v>
      </c>
      <c r="H20">
        <v>13709.68</v>
      </c>
      <c r="I20">
        <v>0</v>
      </c>
      <c r="J20" t="s">
        <v>2938</v>
      </c>
      <c r="K20" t="s">
        <v>3521</v>
      </c>
    </row>
    <row r="21" spans="1:11">
      <c r="A21">
        <v>20</v>
      </c>
      <c r="D21" t="s">
        <v>3125</v>
      </c>
      <c r="E21" t="s">
        <v>543</v>
      </c>
      <c r="G21" t="s">
        <v>17</v>
      </c>
      <c r="H21">
        <v>153575</v>
      </c>
      <c r="I21">
        <v>0</v>
      </c>
      <c r="J21" t="s">
        <v>2938</v>
      </c>
      <c r="K21" t="s">
        <v>544</v>
      </c>
    </row>
    <row r="22" spans="1:11">
      <c r="A22">
        <v>21</v>
      </c>
      <c r="D22" t="s">
        <v>3125</v>
      </c>
      <c r="E22" t="s">
        <v>285</v>
      </c>
      <c r="G22" t="s">
        <v>17</v>
      </c>
      <c r="H22">
        <v>1078</v>
      </c>
      <c r="I22">
        <v>0</v>
      </c>
      <c r="J22" t="s">
        <v>2938</v>
      </c>
      <c r="K22" t="s">
        <v>286</v>
      </c>
    </row>
    <row r="23" spans="1:11">
      <c r="A23">
        <v>22</v>
      </c>
      <c r="D23" t="s">
        <v>3125</v>
      </c>
      <c r="E23" t="s">
        <v>476</v>
      </c>
      <c r="G23" t="s">
        <v>20</v>
      </c>
      <c r="H23">
        <v>597.6</v>
      </c>
      <c r="I23">
        <v>0</v>
      </c>
      <c r="J23" t="s">
        <v>2938</v>
      </c>
      <c r="K23" t="s">
        <v>477</v>
      </c>
    </row>
    <row r="24" spans="1:11">
      <c r="A24">
        <v>23</v>
      </c>
      <c r="D24" t="s">
        <v>3125</v>
      </c>
      <c r="E24" t="s">
        <v>1590</v>
      </c>
      <c r="G24" t="s">
        <v>17</v>
      </c>
      <c r="H24">
        <v>900</v>
      </c>
      <c r="I24">
        <v>0</v>
      </c>
      <c r="J24" t="s">
        <v>2938</v>
      </c>
      <c r="K24" t="s">
        <v>1591</v>
      </c>
    </row>
    <row r="25" spans="1:11">
      <c r="A25">
        <v>24</v>
      </c>
      <c r="D25" t="s">
        <v>3125</v>
      </c>
      <c r="E25" t="s">
        <v>874</v>
      </c>
      <c r="G25" t="s">
        <v>17</v>
      </c>
      <c r="H25">
        <v>32000</v>
      </c>
      <c r="I25">
        <v>0</v>
      </c>
      <c r="J25" t="s">
        <v>2938</v>
      </c>
      <c r="K25" t="s">
        <v>875</v>
      </c>
    </row>
    <row r="26" spans="1:11">
      <c r="A26">
        <v>25</v>
      </c>
      <c r="D26" t="s">
        <v>3125</v>
      </c>
      <c r="E26" t="s">
        <v>876</v>
      </c>
      <c r="G26" t="s">
        <v>17</v>
      </c>
      <c r="H26">
        <v>40</v>
      </c>
      <c r="I26">
        <v>0</v>
      </c>
      <c r="J26" t="s">
        <v>2938</v>
      </c>
      <c r="K26" t="s">
        <v>877</v>
      </c>
    </row>
    <row r="27" spans="1:11">
      <c r="A27">
        <v>26</v>
      </c>
      <c r="D27" t="s">
        <v>3125</v>
      </c>
      <c r="E27" t="s">
        <v>1157</v>
      </c>
      <c r="G27" t="s">
        <v>1159</v>
      </c>
      <c r="H27">
        <v>3</v>
      </c>
      <c r="I27">
        <v>0</v>
      </c>
      <c r="J27" t="s">
        <v>2938</v>
      </c>
      <c r="K27" t="s">
        <v>1158</v>
      </c>
    </row>
    <row r="28" spans="1:11">
      <c r="A28">
        <v>27</v>
      </c>
      <c r="D28" t="s">
        <v>3125</v>
      </c>
      <c r="E28" t="s">
        <v>1160</v>
      </c>
      <c r="G28" t="s">
        <v>17</v>
      </c>
      <c r="H28">
        <v>54</v>
      </c>
      <c r="I28">
        <v>0</v>
      </c>
      <c r="J28" t="s">
        <v>2938</v>
      </c>
      <c r="K28" t="s">
        <v>1161</v>
      </c>
    </row>
    <row r="29" spans="1:11">
      <c r="A29">
        <v>28</v>
      </c>
      <c r="D29" t="s">
        <v>3125</v>
      </c>
      <c r="E29" t="s">
        <v>1162</v>
      </c>
      <c r="G29" t="s">
        <v>17</v>
      </c>
      <c r="H29">
        <v>50</v>
      </c>
      <c r="I29">
        <v>0</v>
      </c>
      <c r="J29" t="s">
        <v>2938</v>
      </c>
      <c r="K29" t="s">
        <v>1163</v>
      </c>
    </row>
    <row r="30" spans="1:11">
      <c r="A30">
        <v>29</v>
      </c>
      <c r="D30" t="s">
        <v>3125</v>
      </c>
      <c r="E30" t="s">
        <v>1164</v>
      </c>
      <c r="G30" t="s">
        <v>1159</v>
      </c>
      <c r="H30">
        <v>65</v>
      </c>
      <c r="I30">
        <v>0</v>
      </c>
      <c r="J30" t="s">
        <v>2938</v>
      </c>
      <c r="K30" t="s">
        <v>1165</v>
      </c>
    </row>
    <row r="31" spans="1:11">
      <c r="A31">
        <v>30</v>
      </c>
      <c r="D31" t="s">
        <v>3125</v>
      </c>
      <c r="E31" t="s">
        <v>121</v>
      </c>
      <c r="G31" t="s">
        <v>17</v>
      </c>
      <c r="H31">
        <v>541</v>
      </c>
      <c r="I31">
        <v>0</v>
      </c>
      <c r="J31" t="s">
        <v>2938</v>
      </c>
      <c r="K31" t="s">
        <v>122</v>
      </c>
    </row>
    <row r="32" spans="1:11">
      <c r="A32">
        <v>31</v>
      </c>
      <c r="D32" t="s">
        <v>3125</v>
      </c>
      <c r="E32" t="s">
        <v>842</v>
      </c>
      <c r="G32" t="s">
        <v>17</v>
      </c>
      <c r="H32">
        <v>18628</v>
      </c>
      <c r="I32">
        <v>0</v>
      </c>
      <c r="J32" t="s">
        <v>2938</v>
      </c>
      <c r="K32" t="s">
        <v>843</v>
      </c>
    </row>
    <row r="33" spans="1:11">
      <c r="A33">
        <v>32</v>
      </c>
      <c r="D33" t="s">
        <v>3125</v>
      </c>
      <c r="E33" t="s">
        <v>648</v>
      </c>
      <c r="G33" t="s">
        <v>7</v>
      </c>
      <c r="H33">
        <v>1781.1</v>
      </c>
      <c r="I33">
        <v>0</v>
      </c>
      <c r="J33" t="s">
        <v>2938</v>
      </c>
      <c r="K33" t="s">
        <v>649</v>
      </c>
    </row>
    <row r="34" spans="1:11">
      <c r="A34">
        <v>33</v>
      </c>
      <c r="D34" t="s">
        <v>3125</v>
      </c>
      <c r="E34" t="s">
        <v>652</v>
      </c>
      <c r="G34" t="s">
        <v>7</v>
      </c>
      <c r="H34">
        <v>2216.6</v>
      </c>
      <c r="I34">
        <v>0</v>
      </c>
      <c r="J34" t="s">
        <v>2938</v>
      </c>
      <c r="K34" t="s">
        <v>653</v>
      </c>
    </row>
    <row r="35" spans="1:11">
      <c r="A35">
        <v>34</v>
      </c>
      <c r="D35" t="s">
        <v>3125</v>
      </c>
      <c r="E35" t="s">
        <v>650</v>
      </c>
      <c r="G35" t="s">
        <v>7</v>
      </c>
      <c r="H35">
        <v>2526.27</v>
      </c>
      <c r="I35">
        <v>0</v>
      </c>
      <c r="J35" t="s">
        <v>2938</v>
      </c>
      <c r="K35" t="s">
        <v>651</v>
      </c>
    </row>
    <row r="36" spans="1:11">
      <c r="A36">
        <v>35</v>
      </c>
      <c r="D36" t="s">
        <v>3125</v>
      </c>
      <c r="E36" t="s">
        <v>654</v>
      </c>
      <c r="G36" t="s">
        <v>7</v>
      </c>
      <c r="H36">
        <v>1212.5999999999999</v>
      </c>
      <c r="I36">
        <v>0</v>
      </c>
      <c r="J36" t="s">
        <v>2938</v>
      </c>
      <c r="K36" t="s">
        <v>655</v>
      </c>
    </row>
    <row r="37" spans="1:11">
      <c r="A37">
        <v>36</v>
      </c>
      <c r="D37" t="s">
        <v>3125</v>
      </c>
      <c r="E37" t="s">
        <v>3617</v>
      </c>
      <c r="G37" t="s">
        <v>7</v>
      </c>
      <c r="H37">
        <v>107</v>
      </c>
      <c r="I37">
        <v>0</v>
      </c>
      <c r="J37" t="s">
        <v>2938</v>
      </c>
      <c r="K37" t="s">
        <v>3618</v>
      </c>
    </row>
    <row r="38" spans="1:11">
      <c r="A38">
        <v>37</v>
      </c>
      <c r="D38" t="s">
        <v>3125</v>
      </c>
      <c r="E38" t="s">
        <v>656</v>
      </c>
      <c r="G38" t="s">
        <v>7</v>
      </c>
      <c r="H38">
        <v>228.5</v>
      </c>
      <c r="I38">
        <v>0</v>
      </c>
      <c r="J38" t="s">
        <v>2938</v>
      </c>
      <c r="K38" t="s">
        <v>657</v>
      </c>
    </row>
    <row r="39" spans="1:11">
      <c r="A39">
        <v>38</v>
      </c>
      <c r="D39" t="s">
        <v>3125</v>
      </c>
      <c r="E39" t="s">
        <v>3174</v>
      </c>
      <c r="G39" t="s">
        <v>7</v>
      </c>
      <c r="H39">
        <v>1200</v>
      </c>
      <c r="I39">
        <v>0</v>
      </c>
      <c r="J39" t="s">
        <v>2938</v>
      </c>
      <c r="K39" t="s">
        <v>3175</v>
      </c>
    </row>
    <row r="40" spans="1:11">
      <c r="A40">
        <v>39</v>
      </c>
      <c r="D40" t="s">
        <v>3125</v>
      </c>
      <c r="E40" t="s">
        <v>2735</v>
      </c>
      <c r="G40" t="s">
        <v>7</v>
      </c>
      <c r="H40">
        <v>2478.3000000000002</v>
      </c>
      <c r="I40">
        <v>0</v>
      </c>
      <c r="J40" t="s">
        <v>2938</v>
      </c>
      <c r="K40" t="s">
        <v>2736</v>
      </c>
    </row>
    <row r="41" spans="1:11">
      <c r="A41">
        <v>40</v>
      </c>
      <c r="D41" t="s">
        <v>3125</v>
      </c>
      <c r="E41" t="s">
        <v>2731</v>
      </c>
      <c r="G41" t="s">
        <v>7</v>
      </c>
      <c r="H41">
        <v>1768.2</v>
      </c>
      <c r="I41">
        <v>0</v>
      </c>
      <c r="J41" t="s">
        <v>2938</v>
      </c>
      <c r="K41" t="s">
        <v>2732</v>
      </c>
    </row>
    <row r="42" spans="1:11">
      <c r="A42">
        <v>41</v>
      </c>
      <c r="D42" t="s">
        <v>3125</v>
      </c>
      <c r="E42" t="s">
        <v>2733</v>
      </c>
      <c r="G42" t="s">
        <v>7</v>
      </c>
      <c r="H42">
        <v>2299.6</v>
      </c>
      <c r="I42">
        <v>0</v>
      </c>
      <c r="J42" t="s">
        <v>2938</v>
      </c>
      <c r="K42" t="s">
        <v>2734</v>
      </c>
    </row>
    <row r="43" spans="1:11">
      <c r="A43">
        <v>42</v>
      </c>
      <c r="D43" t="s">
        <v>3125</v>
      </c>
      <c r="E43" t="s">
        <v>2857</v>
      </c>
      <c r="G43" t="s">
        <v>7</v>
      </c>
      <c r="H43">
        <v>3413</v>
      </c>
      <c r="I43">
        <v>0</v>
      </c>
      <c r="J43" t="s">
        <v>2938</v>
      </c>
      <c r="K43" t="s">
        <v>2858</v>
      </c>
    </row>
    <row r="44" spans="1:11">
      <c r="A44">
        <v>43</v>
      </c>
      <c r="D44" t="s">
        <v>3125</v>
      </c>
      <c r="E44" t="s">
        <v>2783</v>
      </c>
      <c r="G44" t="s">
        <v>7</v>
      </c>
      <c r="H44">
        <v>74000</v>
      </c>
      <c r="I44">
        <v>0</v>
      </c>
      <c r="J44" t="s">
        <v>2938</v>
      </c>
      <c r="K44" t="s">
        <v>2784</v>
      </c>
    </row>
    <row r="45" spans="1:11">
      <c r="A45">
        <v>44</v>
      </c>
      <c r="D45" t="s">
        <v>3125</v>
      </c>
      <c r="E45" t="s">
        <v>2741</v>
      </c>
      <c r="G45" t="s">
        <v>7</v>
      </c>
      <c r="H45">
        <v>2121.6</v>
      </c>
      <c r="I45">
        <v>0</v>
      </c>
      <c r="J45" t="s">
        <v>2938</v>
      </c>
      <c r="K45" t="s">
        <v>2742</v>
      </c>
    </row>
    <row r="46" spans="1:11">
      <c r="A46">
        <v>45</v>
      </c>
      <c r="D46" t="s">
        <v>3125</v>
      </c>
      <c r="E46" t="s">
        <v>2737</v>
      </c>
      <c r="G46" t="s">
        <v>7</v>
      </c>
      <c r="H46">
        <v>1663</v>
      </c>
      <c r="I46">
        <v>0</v>
      </c>
      <c r="J46" t="s">
        <v>2938</v>
      </c>
      <c r="K46" t="s">
        <v>2738</v>
      </c>
    </row>
    <row r="47" spans="1:11">
      <c r="A47">
        <v>46</v>
      </c>
      <c r="D47" t="s">
        <v>3125</v>
      </c>
      <c r="E47" t="s">
        <v>2739</v>
      </c>
      <c r="G47" t="s">
        <v>7</v>
      </c>
      <c r="H47">
        <v>2163.9</v>
      </c>
      <c r="I47">
        <v>0</v>
      </c>
      <c r="J47" t="s">
        <v>2938</v>
      </c>
      <c r="K47" t="s">
        <v>2740</v>
      </c>
    </row>
    <row r="48" spans="1:11">
      <c r="A48">
        <v>47</v>
      </c>
      <c r="D48" t="s">
        <v>3125</v>
      </c>
      <c r="E48" t="s">
        <v>3170</v>
      </c>
      <c r="G48" t="s">
        <v>7</v>
      </c>
      <c r="H48">
        <v>1752.9</v>
      </c>
      <c r="I48">
        <v>0</v>
      </c>
      <c r="J48" t="s">
        <v>2938</v>
      </c>
      <c r="K48" t="s">
        <v>3171</v>
      </c>
    </row>
    <row r="49" spans="1:11">
      <c r="A49">
        <v>48</v>
      </c>
      <c r="D49" t="s">
        <v>3125</v>
      </c>
      <c r="E49" t="s">
        <v>2861</v>
      </c>
      <c r="G49" t="s">
        <v>7</v>
      </c>
      <c r="H49">
        <v>4999</v>
      </c>
      <c r="I49">
        <v>0</v>
      </c>
      <c r="J49" t="s">
        <v>2938</v>
      </c>
      <c r="K49" t="s">
        <v>2862</v>
      </c>
    </row>
    <row r="50" spans="1:11">
      <c r="A50">
        <v>49</v>
      </c>
      <c r="D50" t="s">
        <v>3125</v>
      </c>
      <c r="E50" t="s">
        <v>3172</v>
      </c>
      <c r="G50" t="s">
        <v>7</v>
      </c>
      <c r="H50">
        <v>786.7</v>
      </c>
      <c r="I50">
        <v>0</v>
      </c>
      <c r="J50" t="s">
        <v>2938</v>
      </c>
      <c r="K50" t="s">
        <v>3173</v>
      </c>
    </row>
    <row r="51" spans="1:11">
      <c r="A51">
        <v>50</v>
      </c>
      <c r="D51" t="s">
        <v>3125</v>
      </c>
      <c r="E51" t="s">
        <v>2785</v>
      </c>
      <c r="G51" t="s">
        <v>17</v>
      </c>
      <c r="H51">
        <v>1587</v>
      </c>
      <c r="I51">
        <v>0</v>
      </c>
      <c r="J51" t="s">
        <v>2938</v>
      </c>
      <c r="K51" t="s">
        <v>2786</v>
      </c>
    </row>
    <row r="52" spans="1:11">
      <c r="A52">
        <v>51</v>
      </c>
      <c r="D52" t="s">
        <v>3125</v>
      </c>
      <c r="E52" t="s">
        <v>2892</v>
      </c>
      <c r="G52" t="s">
        <v>17</v>
      </c>
      <c r="H52">
        <v>2851</v>
      </c>
      <c r="I52">
        <v>0</v>
      </c>
      <c r="J52" t="s">
        <v>2938</v>
      </c>
      <c r="K52" t="s">
        <v>2893</v>
      </c>
    </row>
    <row r="53" spans="1:11">
      <c r="A53">
        <v>52</v>
      </c>
      <c r="D53" t="s">
        <v>3125</v>
      </c>
      <c r="E53" t="s">
        <v>848</v>
      </c>
      <c r="G53" t="s">
        <v>17</v>
      </c>
      <c r="H53">
        <v>167</v>
      </c>
      <c r="I53">
        <v>0</v>
      </c>
      <c r="J53" t="s">
        <v>2938</v>
      </c>
      <c r="K53" t="s">
        <v>849</v>
      </c>
    </row>
    <row r="54" spans="1:11">
      <c r="A54">
        <v>53</v>
      </c>
      <c r="D54" t="s">
        <v>3125</v>
      </c>
      <c r="E54" t="s">
        <v>1528</v>
      </c>
      <c r="G54" t="s">
        <v>17</v>
      </c>
      <c r="H54">
        <v>300</v>
      </c>
      <c r="I54">
        <v>0</v>
      </c>
      <c r="J54" t="s">
        <v>2938</v>
      </c>
      <c r="K54" t="s">
        <v>1529</v>
      </c>
    </row>
    <row r="55" spans="1:11">
      <c r="A55">
        <v>54</v>
      </c>
      <c r="D55" t="s">
        <v>3125</v>
      </c>
      <c r="E55" t="s">
        <v>129</v>
      </c>
      <c r="G55" t="s">
        <v>17</v>
      </c>
      <c r="H55">
        <v>175</v>
      </c>
      <c r="I55">
        <v>0</v>
      </c>
      <c r="J55" t="s">
        <v>2938</v>
      </c>
      <c r="K55" t="s">
        <v>130</v>
      </c>
    </row>
    <row r="56" spans="1:11">
      <c r="A56">
        <v>55</v>
      </c>
      <c r="D56" t="s">
        <v>3125</v>
      </c>
      <c r="E56" t="s">
        <v>676</v>
      </c>
      <c r="G56" t="s">
        <v>7</v>
      </c>
      <c r="H56">
        <v>295.5</v>
      </c>
      <c r="I56">
        <v>0</v>
      </c>
      <c r="J56" t="s">
        <v>2938</v>
      </c>
      <c r="K56" t="s">
        <v>677</v>
      </c>
    </row>
    <row r="57" spans="1:11">
      <c r="A57">
        <v>56</v>
      </c>
      <c r="D57" t="s">
        <v>3125</v>
      </c>
      <c r="E57" t="s">
        <v>3160</v>
      </c>
      <c r="G57" t="s">
        <v>17</v>
      </c>
      <c r="H57">
        <v>49</v>
      </c>
      <c r="I57">
        <v>0</v>
      </c>
      <c r="J57" t="s">
        <v>2938</v>
      </c>
      <c r="K57" t="s">
        <v>3556</v>
      </c>
    </row>
    <row r="58" spans="1:11">
      <c r="A58">
        <v>57</v>
      </c>
      <c r="D58" t="s">
        <v>3125</v>
      </c>
      <c r="E58" t="s">
        <v>3156</v>
      </c>
      <c r="G58" t="s">
        <v>7</v>
      </c>
      <c r="H58">
        <v>900</v>
      </c>
      <c r="I58">
        <v>0</v>
      </c>
      <c r="J58" t="s">
        <v>2938</v>
      </c>
      <c r="K58" t="s">
        <v>3157</v>
      </c>
    </row>
    <row r="59" spans="1:11">
      <c r="A59">
        <v>58</v>
      </c>
      <c r="D59" t="s">
        <v>3125</v>
      </c>
      <c r="E59" t="s">
        <v>1166</v>
      </c>
      <c r="G59" t="s">
        <v>17</v>
      </c>
      <c r="H59">
        <v>3</v>
      </c>
      <c r="I59">
        <v>0</v>
      </c>
      <c r="J59" t="s">
        <v>2938</v>
      </c>
      <c r="K59" t="s">
        <v>1167</v>
      </c>
    </row>
    <row r="60" spans="1:11">
      <c r="A60">
        <v>59</v>
      </c>
      <c r="D60" t="s">
        <v>3125</v>
      </c>
      <c r="E60" t="s">
        <v>133</v>
      </c>
      <c r="G60" t="s">
        <v>135</v>
      </c>
      <c r="H60">
        <v>56</v>
      </c>
      <c r="I60">
        <v>0</v>
      </c>
      <c r="J60" t="s">
        <v>2938</v>
      </c>
      <c r="K60" t="s">
        <v>134</v>
      </c>
    </row>
    <row r="61" spans="1:11">
      <c r="A61">
        <v>60</v>
      </c>
      <c r="D61" t="s">
        <v>3125</v>
      </c>
      <c r="E61" t="s">
        <v>1826</v>
      </c>
      <c r="G61" t="s">
        <v>17</v>
      </c>
      <c r="H61">
        <v>264</v>
      </c>
      <c r="I61">
        <v>0</v>
      </c>
      <c r="J61" t="s">
        <v>2938</v>
      </c>
      <c r="K61" t="s">
        <v>1827</v>
      </c>
    </row>
    <row r="62" spans="1:11">
      <c r="A62">
        <v>61</v>
      </c>
      <c r="D62" t="s">
        <v>3125</v>
      </c>
      <c r="E62" t="s">
        <v>864</v>
      </c>
      <c r="G62" t="s">
        <v>20</v>
      </c>
      <c r="H62">
        <v>10</v>
      </c>
      <c r="I62">
        <v>0</v>
      </c>
      <c r="J62" t="s">
        <v>2938</v>
      </c>
      <c r="K62" t="s">
        <v>865</v>
      </c>
    </row>
    <row r="63" spans="1:11">
      <c r="A63">
        <v>62</v>
      </c>
      <c r="D63" t="s">
        <v>3125</v>
      </c>
      <c r="E63" t="s">
        <v>1265</v>
      </c>
      <c r="G63" t="s">
        <v>116</v>
      </c>
      <c r="H63">
        <v>4</v>
      </c>
      <c r="I63">
        <v>0</v>
      </c>
      <c r="J63" t="s">
        <v>2938</v>
      </c>
      <c r="K63" t="s">
        <v>1266</v>
      </c>
    </row>
    <row r="64" spans="1:11">
      <c r="A64">
        <v>63</v>
      </c>
      <c r="D64" t="s">
        <v>3125</v>
      </c>
      <c r="E64" t="s">
        <v>866</v>
      </c>
      <c r="G64" t="s">
        <v>17</v>
      </c>
      <c r="H64">
        <v>1700</v>
      </c>
      <c r="I64">
        <v>0</v>
      </c>
      <c r="J64" t="s">
        <v>2938</v>
      </c>
      <c r="K64" t="s">
        <v>867</v>
      </c>
    </row>
    <row r="65" spans="1:11">
      <c r="A65">
        <v>64</v>
      </c>
      <c r="D65" t="s">
        <v>3125</v>
      </c>
      <c r="E65" t="s">
        <v>870</v>
      </c>
      <c r="G65" t="s">
        <v>17</v>
      </c>
      <c r="H65">
        <v>600</v>
      </c>
      <c r="I65">
        <v>0</v>
      </c>
      <c r="J65" t="s">
        <v>2938</v>
      </c>
      <c r="K65" t="s">
        <v>871</v>
      </c>
    </row>
    <row r="66" spans="1:11">
      <c r="A66">
        <v>65</v>
      </c>
      <c r="D66" t="s">
        <v>3125</v>
      </c>
      <c r="E66" t="s">
        <v>872</v>
      </c>
      <c r="G66" t="s">
        <v>17</v>
      </c>
      <c r="H66">
        <v>1184</v>
      </c>
      <c r="I66">
        <v>0</v>
      </c>
      <c r="J66" t="s">
        <v>2938</v>
      </c>
      <c r="K66" t="s">
        <v>873</v>
      </c>
    </row>
    <row r="67" spans="1:11">
      <c r="A67">
        <v>66</v>
      </c>
      <c r="D67" t="s">
        <v>3125</v>
      </c>
      <c r="E67" t="s">
        <v>239</v>
      </c>
      <c r="G67" t="s">
        <v>135</v>
      </c>
      <c r="H67">
        <v>200</v>
      </c>
      <c r="I67">
        <v>0</v>
      </c>
      <c r="J67" t="s">
        <v>2938</v>
      </c>
      <c r="K67" t="s">
        <v>240</v>
      </c>
    </row>
    <row r="68" spans="1:11">
      <c r="A68">
        <v>67</v>
      </c>
      <c r="D68" t="s">
        <v>3125</v>
      </c>
      <c r="E68" t="s">
        <v>868</v>
      </c>
      <c r="G68" t="s">
        <v>17</v>
      </c>
      <c r="H68">
        <v>183</v>
      </c>
      <c r="I68">
        <v>0</v>
      </c>
      <c r="J68" t="s">
        <v>2938</v>
      </c>
      <c r="K68" t="s">
        <v>869</v>
      </c>
    </row>
    <row r="69" spans="1:11">
      <c r="A69">
        <v>68</v>
      </c>
      <c r="D69" t="s">
        <v>3125</v>
      </c>
      <c r="E69" t="s">
        <v>1986</v>
      </c>
      <c r="G69" t="s">
        <v>7</v>
      </c>
      <c r="H69">
        <v>1389.2</v>
      </c>
      <c r="I69">
        <v>0</v>
      </c>
      <c r="J69" t="s">
        <v>2938</v>
      </c>
      <c r="K69" t="s">
        <v>1987</v>
      </c>
    </row>
    <row r="70" spans="1:11">
      <c r="A70">
        <v>69</v>
      </c>
      <c r="D70" t="s">
        <v>3125</v>
      </c>
      <c r="E70" t="s">
        <v>1490</v>
      </c>
      <c r="G70" t="s">
        <v>7</v>
      </c>
      <c r="H70">
        <v>528.29999999999995</v>
      </c>
      <c r="I70">
        <v>0</v>
      </c>
      <c r="J70" t="s">
        <v>2938</v>
      </c>
      <c r="K70" t="s">
        <v>1491</v>
      </c>
    </row>
    <row r="71" spans="1:11">
      <c r="A71">
        <v>70</v>
      </c>
      <c r="D71" t="s">
        <v>3125</v>
      </c>
      <c r="E71" t="s">
        <v>2625</v>
      </c>
      <c r="G71" t="s">
        <v>17</v>
      </c>
      <c r="H71">
        <v>620</v>
      </c>
      <c r="I71">
        <v>0</v>
      </c>
      <c r="J71" t="s">
        <v>2938</v>
      </c>
      <c r="K71" t="s">
        <v>2626</v>
      </c>
    </row>
    <row r="72" spans="1:11">
      <c r="A72">
        <v>71</v>
      </c>
      <c r="D72" t="s">
        <v>3125</v>
      </c>
      <c r="E72" t="s">
        <v>1168</v>
      </c>
      <c r="G72" t="s">
        <v>1170</v>
      </c>
      <c r="H72">
        <v>4</v>
      </c>
      <c r="I72">
        <v>0</v>
      </c>
      <c r="J72" t="s">
        <v>2938</v>
      </c>
      <c r="K72" t="s">
        <v>1169</v>
      </c>
    </row>
    <row r="73" spans="1:11">
      <c r="A73">
        <v>72</v>
      </c>
      <c r="D73" t="s">
        <v>3125</v>
      </c>
      <c r="E73" t="s">
        <v>1171</v>
      </c>
      <c r="G73" t="s">
        <v>1170</v>
      </c>
      <c r="H73">
        <v>2</v>
      </c>
      <c r="I73">
        <v>0</v>
      </c>
      <c r="J73" t="s">
        <v>2938</v>
      </c>
      <c r="K73" t="s">
        <v>1172</v>
      </c>
    </row>
    <row r="74" spans="1:11">
      <c r="A74">
        <v>73</v>
      </c>
      <c r="D74" t="s">
        <v>3125</v>
      </c>
      <c r="E74" t="s">
        <v>1173</v>
      </c>
      <c r="G74" t="s">
        <v>17</v>
      </c>
      <c r="H74">
        <v>90</v>
      </c>
      <c r="I74">
        <v>0</v>
      </c>
      <c r="J74" t="s">
        <v>2938</v>
      </c>
      <c r="K74" t="s">
        <v>1174</v>
      </c>
    </row>
    <row r="75" spans="1:11">
      <c r="A75">
        <v>74</v>
      </c>
      <c r="D75" t="s">
        <v>3125</v>
      </c>
      <c r="E75" t="s">
        <v>1175</v>
      </c>
      <c r="G75" t="s">
        <v>17</v>
      </c>
      <c r="H75">
        <v>23</v>
      </c>
      <c r="I75">
        <v>0</v>
      </c>
      <c r="J75" t="s">
        <v>2938</v>
      </c>
      <c r="K75" t="s">
        <v>1176</v>
      </c>
    </row>
    <row r="76" spans="1:11">
      <c r="A76">
        <v>75</v>
      </c>
      <c r="D76" t="s">
        <v>3125</v>
      </c>
      <c r="E76" t="s">
        <v>884</v>
      </c>
      <c r="G76" t="s">
        <v>17</v>
      </c>
      <c r="H76">
        <v>4650</v>
      </c>
      <c r="I76">
        <v>0</v>
      </c>
      <c r="J76" t="s">
        <v>2938</v>
      </c>
      <c r="K76" t="s">
        <v>885</v>
      </c>
    </row>
    <row r="77" spans="1:11">
      <c r="A77">
        <v>76</v>
      </c>
      <c r="D77" t="s">
        <v>3125</v>
      </c>
      <c r="E77" t="s">
        <v>888</v>
      </c>
      <c r="G77" t="s">
        <v>7</v>
      </c>
      <c r="H77">
        <v>160</v>
      </c>
      <c r="I77">
        <v>0</v>
      </c>
      <c r="J77" t="s">
        <v>2938</v>
      </c>
      <c r="K77" t="s">
        <v>889</v>
      </c>
    </row>
    <row r="78" spans="1:11">
      <c r="A78">
        <v>77</v>
      </c>
      <c r="D78" t="s">
        <v>3125</v>
      </c>
      <c r="E78" t="s">
        <v>1177</v>
      </c>
      <c r="G78" t="s">
        <v>17</v>
      </c>
      <c r="H78">
        <v>181</v>
      </c>
      <c r="I78">
        <v>0</v>
      </c>
      <c r="J78" t="s">
        <v>2938</v>
      </c>
      <c r="K78" t="s">
        <v>1178</v>
      </c>
    </row>
    <row r="79" spans="1:11">
      <c r="A79">
        <v>78</v>
      </c>
      <c r="D79" t="s">
        <v>3125</v>
      </c>
      <c r="E79" t="s">
        <v>1179</v>
      </c>
      <c r="G79" t="s">
        <v>17</v>
      </c>
      <c r="H79">
        <v>33</v>
      </c>
      <c r="I79">
        <v>0</v>
      </c>
      <c r="J79" t="s">
        <v>2938</v>
      </c>
      <c r="K79" t="s">
        <v>1180</v>
      </c>
    </row>
    <row r="80" spans="1:11">
      <c r="A80">
        <v>79</v>
      </c>
      <c r="D80" t="s">
        <v>3125</v>
      </c>
      <c r="E80" t="s">
        <v>1181</v>
      </c>
      <c r="G80" t="s">
        <v>116</v>
      </c>
      <c r="H80">
        <v>10</v>
      </c>
      <c r="I80">
        <v>0</v>
      </c>
      <c r="J80" t="s">
        <v>2938</v>
      </c>
      <c r="K80" t="s">
        <v>1182</v>
      </c>
    </row>
    <row r="81" spans="1:11">
      <c r="A81">
        <v>80</v>
      </c>
      <c r="D81" t="s">
        <v>3125</v>
      </c>
      <c r="E81" t="s">
        <v>678</v>
      </c>
      <c r="G81" t="s">
        <v>7</v>
      </c>
      <c r="H81">
        <v>590.5</v>
      </c>
      <c r="I81">
        <v>0</v>
      </c>
      <c r="J81" t="s">
        <v>2938</v>
      </c>
      <c r="K81" t="s">
        <v>679</v>
      </c>
    </row>
    <row r="82" spans="1:11">
      <c r="A82">
        <v>81</v>
      </c>
      <c r="D82" t="s">
        <v>3125</v>
      </c>
      <c r="E82" t="s">
        <v>680</v>
      </c>
      <c r="G82" t="s">
        <v>7</v>
      </c>
      <c r="H82">
        <v>936.5</v>
      </c>
      <c r="I82">
        <v>0</v>
      </c>
      <c r="J82" t="s">
        <v>2938</v>
      </c>
      <c r="K82" t="s">
        <v>681</v>
      </c>
    </row>
    <row r="83" spans="1:11">
      <c r="A83">
        <v>82</v>
      </c>
      <c r="D83" t="s">
        <v>3125</v>
      </c>
      <c r="E83" t="s">
        <v>682</v>
      </c>
      <c r="G83" t="s">
        <v>7</v>
      </c>
      <c r="H83">
        <v>597.5</v>
      </c>
      <c r="I83">
        <v>0</v>
      </c>
      <c r="J83" t="s">
        <v>2938</v>
      </c>
      <c r="K83" t="s">
        <v>683</v>
      </c>
    </row>
    <row r="84" spans="1:11">
      <c r="A84">
        <v>83</v>
      </c>
      <c r="D84" t="s">
        <v>3125</v>
      </c>
      <c r="E84" t="s">
        <v>686</v>
      </c>
      <c r="G84" t="s">
        <v>7</v>
      </c>
      <c r="H84">
        <v>680</v>
      </c>
      <c r="I84">
        <v>0</v>
      </c>
      <c r="J84" t="s">
        <v>2938</v>
      </c>
      <c r="K84" t="s">
        <v>687</v>
      </c>
    </row>
    <row r="85" spans="1:11">
      <c r="A85">
        <v>84</v>
      </c>
      <c r="D85" t="s">
        <v>3125</v>
      </c>
      <c r="E85" t="s">
        <v>900</v>
      </c>
      <c r="G85" t="s">
        <v>20</v>
      </c>
      <c r="H85">
        <v>16.95</v>
      </c>
      <c r="I85">
        <v>0</v>
      </c>
      <c r="J85" t="s">
        <v>2938</v>
      </c>
      <c r="K85" t="s">
        <v>901</v>
      </c>
    </row>
    <row r="86" spans="1:11">
      <c r="A86">
        <v>85</v>
      </c>
      <c r="D86" t="s">
        <v>3125</v>
      </c>
      <c r="E86" t="s">
        <v>894</v>
      </c>
      <c r="G86" t="s">
        <v>17</v>
      </c>
      <c r="H86">
        <v>500</v>
      </c>
      <c r="I86">
        <v>0</v>
      </c>
      <c r="J86" t="s">
        <v>2938</v>
      </c>
      <c r="K86" t="s">
        <v>895</v>
      </c>
    </row>
    <row r="87" spans="1:11">
      <c r="A87">
        <v>86</v>
      </c>
      <c r="D87" t="s">
        <v>3125</v>
      </c>
      <c r="E87" t="s">
        <v>193</v>
      </c>
      <c r="G87" t="s">
        <v>20</v>
      </c>
      <c r="H87">
        <v>495.3</v>
      </c>
      <c r="I87">
        <v>0</v>
      </c>
      <c r="J87" t="s">
        <v>2938</v>
      </c>
      <c r="K87" t="s">
        <v>194</v>
      </c>
    </row>
    <row r="88" spans="1:11">
      <c r="A88">
        <v>87</v>
      </c>
      <c r="D88" t="s">
        <v>3125</v>
      </c>
      <c r="E88" t="s">
        <v>195</v>
      </c>
      <c r="G88" t="s">
        <v>20</v>
      </c>
      <c r="H88">
        <v>434.3</v>
      </c>
      <c r="I88">
        <v>0</v>
      </c>
      <c r="J88" t="s">
        <v>2938</v>
      </c>
      <c r="K88" t="s">
        <v>196</v>
      </c>
    </row>
    <row r="89" spans="1:11">
      <c r="A89">
        <v>88</v>
      </c>
      <c r="D89" t="s">
        <v>3125</v>
      </c>
      <c r="E89" t="s">
        <v>191</v>
      </c>
      <c r="G89" t="s">
        <v>20</v>
      </c>
      <c r="H89">
        <v>311.39999999999998</v>
      </c>
      <c r="I89">
        <v>0</v>
      </c>
      <c r="J89" t="s">
        <v>2938</v>
      </c>
      <c r="K89" t="s">
        <v>192</v>
      </c>
    </row>
    <row r="90" spans="1:11">
      <c r="A90">
        <v>89</v>
      </c>
      <c r="D90" t="s">
        <v>3125</v>
      </c>
      <c r="E90" t="s">
        <v>197</v>
      </c>
      <c r="G90" t="s">
        <v>20</v>
      </c>
      <c r="H90">
        <v>470</v>
      </c>
      <c r="I90">
        <v>0</v>
      </c>
      <c r="J90" t="s">
        <v>2938</v>
      </c>
      <c r="K90" t="s">
        <v>198</v>
      </c>
    </row>
    <row r="91" spans="1:11">
      <c r="A91">
        <v>90</v>
      </c>
      <c r="D91" t="s">
        <v>3125</v>
      </c>
      <c r="E91" t="s">
        <v>199</v>
      </c>
      <c r="G91" t="s">
        <v>20</v>
      </c>
      <c r="H91">
        <v>1941.7</v>
      </c>
      <c r="I91">
        <v>0</v>
      </c>
      <c r="J91" t="s">
        <v>2938</v>
      </c>
      <c r="K91" t="s">
        <v>200</v>
      </c>
    </row>
    <row r="92" spans="1:11">
      <c r="A92">
        <v>91</v>
      </c>
      <c r="D92" t="s">
        <v>3125</v>
      </c>
      <c r="E92" t="s">
        <v>1530</v>
      </c>
      <c r="G92" t="s">
        <v>135</v>
      </c>
      <c r="H92">
        <v>46800</v>
      </c>
      <c r="I92">
        <v>0</v>
      </c>
      <c r="J92" t="s">
        <v>2938</v>
      </c>
      <c r="K92" t="s">
        <v>1531</v>
      </c>
    </row>
    <row r="93" spans="1:11">
      <c r="A93">
        <v>92</v>
      </c>
      <c r="D93" t="s">
        <v>3125</v>
      </c>
      <c r="E93" t="s">
        <v>343</v>
      </c>
      <c r="G93" t="s">
        <v>17</v>
      </c>
      <c r="H93">
        <v>28500</v>
      </c>
      <c r="I93">
        <v>0</v>
      </c>
      <c r="J93" t="s">
        <v>2938</v>
      </c>
      <c r="K93" t="s">
        <v>344</v>
      </c>
    </row>
    <row r="94" spans="1:11">
      <c r="A94">
        <v>93</v>
      </c>
      <c r="D94" t="s">
        <v>3125</v>
      </c>
      <c r="E94" t="s">
        <v>3522</v>
      </c>
      <c r="G94" t="s">
        <v>17</v>
      </c>
      <c r="H94">
        <v>2100</v>
      </c>
      <c r="I94">
        <v>0</v>
      </c>
      <c r="J94" t="s">
        <v>2938</v>
      </c>
      <c r="K94" t="s">
        <v>3523</v>
      </c>
    </row>
    <row r="95" spans="1:11">
      <c r="A95">
        <v>94</v>
      </c>
      <c r="D95" t="s">
        <v>3125</v>
      </c>
      <c r="E95" t="s">
        <v>1356</v>
      </c>
      <c r="G95" t="s">
        <v>7</v>
      </c>
      <c r="H95">
        <v>136</v>
      </c>
      <c r="I95">
        <v>0</v>
      </c>
      <c r="J95" t="s">
        <v>2938</v>
      </c>
      <c r="K95" t="s">
        <v>1357</v>
      </c>
    </row>
    <row r="96" spans="1:11">
      <c r="A96">
        <v>95</v>
      </c>
      <c r="D96" t="s">
        <v>3125</v>
      </c>
      <c r="E96" t="s">
        <v>3302</v>
      </c>
      <c r="G96" t="s">
        <v>7</v>
      </c>
      <c r="H96">
        <v>300</v>
      </c>
      <c r="I96">
        <v>0</v>
      </c>
      <c r="J96" t="s">
        <v>2938</v>
      </c>
      <c r="K96" t="s">
        <v>3303</v>
      </c>
    </row>
    <row r="97" spans="1:11">
      <c r="A97">
        <v>96</v>
      </c>
      <c r="D97" t="s">
        <v>3125</v>
      </c>
      <c r="E97" t="s">
        <v>906</v>
      </c>
      <c r="G97" t="s">
        <v>17</v>
      </c>
      <c r="H97">
        <v>70</v>
      </c>
      <c r="I97">
        <v>0</v>
      </c>
      <c r="J97" t="s">
        <v>2938</v>
      </c>
      <c r="K97" t="s">
        <v>907</v>
      </c>
    </row>
    <row r="98" spans="1:11">
      <c r="A98">
        <v>97</v>
      </c>
      <c r="D98" t="s">
        <v>3125</v>
      </c>
      <c r="E98" t="s">
        <v>694</v>
      </c>
      <c r="G98" t="s">
        <v>7</v>
      </c>
      <c r="H98">
        <v>501</v>
      </c>
      <c r="I98">
        <v>0</v>
      </c>
      <c r="J98" t="s">
        <v>2938</v>
      </c>
      <c r="K98" t="s">
        <v>695</v>
      </c>
    </row>
    <row r="99" spans="1:11">
      <c r="A99">
        <v>98</v>
      </c>
      <c r="D99" t="s">
        <v>3125</v>
      </c>
      <c r="E99" t="s">
        <v>862</v>
      </c>
      <c r="G99" t="s">
        <v>17</v>
      </c>
      <c r="H99">
        <v>86</v>
      </c>
      <c r="I99">
        <v>0</v>
      </c>
      <c r="J99" t="s">
        <v>2938</v>
      </c>
      <c r="K99" t="s">
        <v>863</v>
      </c>
    </row>
    <row r="100" spans="1:11">
      <c r="A100">
        <v>99</v>
      </c>
      <c r="D100" t="s">
        <v>3125</v>
      </c>
      <c r="E100" t="s">
        <v>1450</v>
      </c>
      <c r="G100" t="s">
        <v>17</v>
      </c>
      <c r="H100">
        <v>1036</v>
      </c>
      <c r="I100">
        <v>0</v>
      </c>
      <c r="J100" t="s">
        <v>2938</v>
      </c>
      <c r="K100" t="s">
        <v>1451</v>
      </c>
    </row>
    <row r="101" spans="1:11">
      <c r="A101">
        <v>100</v>
      </c>
      <c r="D101" t="s">
        <v>3125</v>
      </c>
      <c r="E101" t="s">
        <v>3619</v>
      </c>
      <c r="G101" t="s">
        <v>7</v>
      </c>
      <c r="H101">
        <v>51</v>
      </c>
      <c r="I101">
        <v>0</v>
      </c>
      <c r="J101" t="s">
        <v>2938</v>
      </c>
      <c r="K101" t="s">
        <v>3620</v>
      </c>
    </row>
    <row r="102" spans="1:11">
      <c r="A102">
        <v>101</v>
      </c>
      <c r="D102" t="s">
        <v>3125</v>
      </c>
      <c r="E102" t="s">
        <v>136</v>
      </c>
      <c r="G102" t="s">
        <v>17</v>
      </c>
      <c r="H102">
        <v>38</v>
      </c>
      <c r="I102">
        <v>0</v>
      </c>
      <c r="J102" t="s">
        <v>2938</v>
      </c>
      <c r="K102" t="s">
        <v>137</v>
      </c>
    </row>
    <row r="103" spans="1:11">
      <c r="A103">
        <v>102</v>
      </c>
      <c r="D103" t="s">
        <v>3125</v>
      </c>
      <c r="E103" t="s">
        <v>1200</v>
      </c>
      <c r="G103" t="s">
        <v>1202</v>
      </c>
      <c r="H103">
        <v>6</v>
      </c>
      <c r="I103">
        <v>0</v>
      </c>
      <c r="J103" t="s">
        <v>2938</v>
      </c>
      <c r="K103" t="s">
        <v>1201</v>
      </c>
    </row>
    <row r="104" spans="1:11">
      <c r="A104">
        <v>103</v>
      </c>
      <c r="D104" t="s">
        <v>3125</v>
      </c>
      <c r="E104" t="s">
        <v>1596</v>
      </c>
      <c r="G104" t="s">
        <v>17</v>
      </c>
      <c r="H104">
        <v>7250</v>
      </c>
      <c r="I104">
        <v>0</v>
      </c>
      <c r="J104" t="s">
        <v>2938</v>
      </c>
      <c r="K104" t="s">
        <v>1597</v>
      </c>
    </row>
    <row r="105" spans="1:11">
      <c r="A105">
        <v>104</v>
      </c>
      <c r="D105" t="s">
        <v>3125</v>
      </c>
      <c r="E105" t="s">
        <v>1456</v>
      </c>
      <c r="G105" t="s">
        <v>17</v>
      </c>
      <c r="H105">
        <v>475</v>
      </c>
      <c r="I105">
        <v>0</v>
      </c>
      <c r="J105" t="s">
        <v>2938</v>
      </c>
      <c r="K105" t="s">
        <v>2996</v>
      </c>
    </row>
    <row r="106" spans="1:11">
      <c r="A106">
        <v>105</v>
      </c>
      <c r="D106" t="s">
        <v>3125</v>
      </c>
      <c r="E106" t="s">
        <v>1540</v>
      </c>
      <c r="G106" t="s">
        <v>17</v>
      </c>
      <c r="H106">
        <v>500</v>
      </c>
      <c r="I106">
        <v>0</v>
      </c>
      <c r="J106" t="s">
        <v>2938</v>
      </c>
      <c r="K106" t="s">
        <v>1541</v>
      </c>
    </row>
    <row r="107" spans="1:11">
      <c r="A107">
        <v>106</v>
      </c>
      <c r="D107" t="s">
        <v>3125</v>
      </c>
      <c r="E107" t="s">
        <v>1183</v>
      </c>
      <c r="G107" t="s">
        <v>17</v>
      </c>
      <c r="H107">
        <v>3</v>
      </c>
      <c r="I107">
        <v>0</v>
      </c>
      <c r="J107" t="s">
        <v>2938</v>
      </c>
      <c r="K107" t="s">
        <v>1184</v>
      </c>
    </row>
    <row r="108" spans="1:11">
      <c r="A108">
        <v>107</v>
      </c>
      <c r="D108" t="s">
        <v>3125</v>
      </c>
      <c r="E108" t="s">
        <v>722</v>
      </c>
      <c r="G108" t="s">
        <v>7</v>
      </c>
      <c r="H108">
        <v>166</v>
      </c>
      <c r="I108">
        <v>0</v>
      </c>
      <c r="J108" t="s">
        <v>2938</v>
      </c>
      <c r="K108" t="s">
        <v>723</v>
      </c>
    </row>
    <row r="109" spans="1:11">
      <c r="A109">
        <v>108</v>
      </c>
      <c r="D109" t="s">
        <v>3125</v>
      </c>
      <c r="E109" t="s">
        <v>726</v>
      </c>
      <c r="G109" t="s">
        <v>7</v>
      </c>
      <c r="H109">
        <v>2502.9</v>
      </c>
      <c r="I109">
        <v>0</v>
      </c>
      <c r="J109" t="s">
        <v>2938</v>
      </c>
      <c r="K109" t="s">
        <v>727</v>
      </c>
    </row>
    <row r="110" spans="1:11">
      <c r="A110">
        <v>109</v>
      </c>
      <c r="D110" t="s">
        <v>3125</v>
      </c>
      <c r="E110" t="s">
        <v>3561</v>
      </c>
      <c r="G110" t="s">
        <v>7</v>
      </c>
      <c r="H110">
        <v>25</v>
      </c>
      <c r="I110">
        <v>0</v>
      </c>
      <c r="J110" t="s">
        <v>2938</v>
      </c>
      <c r="K110" t="s">
        <v>3562</v>
      </c>
    </row>
    <row r="111" spans="1:11">
      <c r="A111">
        <v>110</v>
      </c>
      <c r="D111" t="s">
        <v>3125</v>
      </c>
      <c r="E111" t="s">
        <v>724</v>
      </c>
      <c r="G111" t="s">
        <v>7</v>
      </c>
      <c r="H111">
        <v>2761</v>
      </c>
      <c r="I111">
        <v>0</v>
      </c>
      <c r="J111" t="s">
        <v>2938</v>
      </c>
      <c r="K111" t="s">
        <v>725</v>
      </c>
    </row>
    <row r="112" spans="1:11">
      <c r="A112">
        <v>111</v>
      </c>
      <c r="D112" t="s">
        <v>3125</v>
      </c>
      <c r="E112" t="s">
        <v>728</v>
      </c>
      <c r="G112" t="s">
        <v>7</v>
      </c>
      <c r="H112">
        <v>179.8</v>
      </c>
      <c r="I112">
        <v>0</v>
      </c>
      <c r="J112" t="s">
        <v>2938</v>
      </c>
      <c r="K112" t="s">
        <v>729</v>
      </c>
    </row>
    <row r="113" spans="1:11">
      <c r="A113">
        <v>112</v>
      </c>
      <c r="D113" t="s">
        <v>3125</v>
      </c>
      <c r="E113" t="s">
        <v>1187</v>
      </c>
      <c r="G113" t="s">
        <v>17</v>
      </c>
      <c r="H113">
        <v>10</v>
      </c>
      <c r="I113">
        <v>0</v>
      </c>
      <c r="J113" t="s">
        <v>2938</v>
      </c>
      <c r="K113" t="s">
        <v>1188</v>
      </c>
    </row>
    <row r="114" spans="1:11">
      <c r="A114">
        <v>113</v>
      </c>
      <c r="D114" t="s">
        <v>3125</v>
      </c>
      <c r="E114" t="s">
        <v>1185</v>
      </c>
      <c r="G114" t="s">
        <v>17</v>
      </c>
      <c r="H114">
        <v>9</v>
      </c>
      <c r="I114">
        <v>0</v>
      </c>
      <c r="J114" t="s">
        <v>2938</v>
      </c>
      <c r="K114" t="s">
        <v>1186</v>
      </c>
    </row>
    <row r="115" spans="1:11">
      <c r="A115">
        <v>114</v>
      </c>
      <c r="D115" t="s">
        <v>3125</v>
      </c>
      <c r="E115" t="s">
        <v>1189</v>
      </c>
      <c r="G115" t="s">
        <v>17</v>
      </c>
      <c r="H115">
        <v>9</v>
      </c>
      <c r="I115">
        <v>0</v>
      </c>
      <c r="J115" t="s">
        <v>2938</v>
      </c>
      <c r="K115" t="s">
        <v>1190</v>
      </c>
    </row>
    <row r="116" spans="1:11">
      <c r="A116">
        <v>115</v>
      </c>
      <c r="D116" t="s">
        <v>3125</v>
      </c>
      <c r="E116" t="s">
        <v>1191</v>
      </c>
      <c r="G116" t="s">
        <v>17</v>
      </c>
      <c r="H116">
        <v>5</v>
      </c>
      <c r="I116">
        <v>0</v>
      </c>
      <c r="J116" t="s">
        <v>2938</v>
      </c>
      <c r="K116" t="s">
        <v>1192</v>
      </c>
    </row>
    <row r="117" spans="1:11">
      <c r="A117">
        <v>116</v>
      </c>
      <c r="D117" t="s">
        <v>3125</v>
      </c>
      <c r="E117" t="s">
        <v>3516</v>
      </c>
      <c r="G117" t="s">
        <v>17</v>
      </c>
      <c r="H117">
        <v>10600</v>
      </c>
      <c r="I117">
        <v>0</v>
      </c>
      <c r="J117" t="s">
        <v>2938</v>
      </c>
      <c r="K117" t="s">
        <v>3517</v>
      </c>
    </row>
    <row r="118" spans="1:11">
      <c r="A118">
        <v>117</v>
      </c>
      <c r="D118" t="s">
        <v>3125</v>
      </c>
      <c r="E118" t="s">
        <v>3216</v>
      </c>
      <c r="G118" t="s">
        <v>17</v>
      </c>
      <c r="H118">
        <v>2400</v>
      </c>
      <c r="I118">
        <v>0</v>
      </c>
      <c r="J118" t="s">
        <v>2938</v>
      </c>
      <c r="K118" t="s">
        <v>3217</v>
      </c>
    </row>
    <row r="119" spans="1:11">
      <c r="A119">
        <v>118</v>
      </c>
      <c r="D119" t="s">
        <v>3125</v>
      </c>
      <c r="E119" t="s">
        <v>3524</v>
      </c>
      <c r="G119" t="s">
        <v>17</v>
      </c>
      <c r="H119">
        <v>7000</v>
      </c>
      <c r="I119">
        <v>0</v>
      </c>
      <c r="J119" t="s">
        <v>2938</v>
      </c>
      <c r="K119" t="s">
        <v>3525</v>
      </c>
    </row>
    <row r="120" spans="1:11">
      <c r="A120">
        <v>119</v>
      </c>
      <c r="D120" t="s">
        <v>3125</v>
      </c>
      <c r="E120" t="s">
        <v>3218</v>
      </c>
      <c r="G120" t="s">
        <v>17</v>
      </c>
      <c r="H120">
        <v>1100</v>
      </c>
      <c r="I120">
        <v>0</v>
      </c>
      <c r="J120" t="s">
        <v>2938</v>
      </c>
      <c r="K120" t="s">
        <v>3219</v>
      </c>
    </row>
    <row r="121" spans="1:11">
      <c r="A121">
        <v>120</v>
      </c>
      <c r="D121" t="s">
        <v>3125</v>
      </c>
      <c r="E121" t="s">
        <v>3548</v>
      </c>
      <c r="G121" t="s">
        <v>17</v>
      </c>
      <c r="H121">
        <v>3600</v>
      </c>
      <c r="I121">
        <v>0</v>
      </c>
      <c r="J121" t="s">
        <v>2938</v>
      </c>
      <c r="K121" t="s">
        <v>3549</v>
      </c>
    </row>
    <row r="122" spans="1:11">
      <c r="A122">
        <v>121</v>
      </c>
      <c r="D122" t="s">
        <v>3125</v>
      </c>
      <c r="E122" t="s">
        <v>3220</v>
      </c>
      <c r="G122" t="s">
        <v>17</v>
      </c>
      <c r="H122">
        <v>1000</v>
      </c>
      <c r="I122">
        <v>0</v>
      </c>
      <c r="J122" t="s">
        <v>2938</v>
      </c>
      <c r="K122" t="s">
        <v>3221</v>
      </c>
    </row>
    <row r="123" spans="1:11">
      <c r="A123">
        <v>122</v>
      </c>
      <c r="D123" t="s">
        <v>3125</v>
      </c>
      <c r="E123" t="s">
        <v>3182</v>
      </c>
      <c r="G123" t="s">
        <v>17</v>
      </c>
      <c r="H123">
        <v>127</v>
      </c>
      <c r="I123">
        <v>0</v>
      </c>
      <c r="J123" t="s">
        <v>2938</v>
      </c>
      <c r="K123" t="s">
        <v>3183</v>
      </c>
    </row>
    <row r="124" spans="1:11">
      <c r="A124">
        <v>123</v>
      </c>
      <c r="D124" t="s">
        <v>3125</v>
      </c>
      <c r="E124" t="s">
        <v>3296</v>
      </c>
      <c r="G124" t="s">
        <v>17</v>
      </c>
      <c r="H124">
        <v>64</v>
      </c>
      <c r="I124">
        <v>0</v>
      </c>
      <c r="J124" t="s">
        <v>2938</v>
      </c>
      <c r="K124" t="s">
        <v>3297</v>
      </c>
    </row>
    <row r="125" spans="1:11">
      <c r="A125">
        <v>124</v>
      </c>
      <c r="D125" t="s">
        <v>3125</v>
      </c>
      <c r="E125" t="s">
        <v>3316</v>
      </c>
      <c r="G125" t="s">
        <v>17</v>
      </c>
      <c r="H125">
        <v>4062</v>
      </c>
      <c r="I125">
        <v>0</v>
      </c>
      <c r="J125" t="s">
        <v>2938</v>
      </c>
      <c r="K125" t="s">
        <v>3317</v>
      </c>
    </row>
    <row r="126" spans="1:11">
      <c r="A126">
        <v>125</v>
      </c>
      <c r="D126" t="s">
        <v>3125</v>
      </c>
      <c r="E126" t="s">
        <v>3222</v>
      </c>
      <c r="G126" t="s">
        <v>17</v>
      </c>
      <c r="H126">
        <v>7300</v>
      </c>
      <c r="I126">
        <v>0</v>
      </c>
      <c r="J126" t="s">
        <v>2938</v>
      </c>
      <c r="K126" t="s">
        <v>3223</v>
      </c>
    </row>
    <row r="127" spans="1:11">
      <c r="A127">
        <v>126</v>
      </c>
      <c r="D127" t="s">
        <v>3125</v>
      </c>
      <c r="E127" t="s">
        <v>3184</v>
      </c>
      <c r="G127" t="s">
        <v>17</v>
      </c>
      <c r="H127">
        <v>146</v>
      </c>
      <c r="I127">
        <v>0</v>
      </c>
      <c r="J127" t="s">
        <v>2938</v>
      </c>
      <c r="K127" t="s">
        <v>3185</v>
      </c>
    </row>
    <row r="128" spans="1:11">
      <c r="A128">
        <v>127</v>
      </c>
      <c r="D128" t="s">
        <v>3125</v>
      </c>
      <c r="E128" t="s">
        <v>3190</v>
      </c>
      <c r="G128" t="s">
        <v>17</v>
      </c>
      <c r="H128">
        <v>300</v>
      </c>
      <c r="I128">
        <v>0</v>
      </c>
      <c r="J128" t="s">
        <v>2938</v>
      </c>
      <c r="K128" t="s">
        <v>3191</v>
      </c>
    </row>
    <row r="129" spans="1:11">
      <c r="A129">
        <v>128</v>
      </c>
      <c r="D129" t="s">
        <v>3125</v>
      </c>
      <c r="E129" t="s">
        <v>3196</v>
      </c>
      <c r="G129" t="s">
        <v>17</v>
      </c>
      <c r="H129">
        <v>375</v>
      </c>
      <c r="I129">
        <v>0</v>
      </c>
      <c r="J129" t="s">
        <v>2938</v>
      </c>
      <c r="K129" t="s">
        <v>3197</v>
      </c>
    </row>
    <row r="130" spans="1:11">
      <c r="A130">
        <v>129</v>
      </c>
      <c r="D130" t="s">
        <v>3125</v>
      </c>
      <c r="E130" t="s">
        <v>3198</v>
      </c>
      <c r="G130" t="s">
        <v>17</v>
      </c>
      <c r="H130">
        <v>1000</v>
      </c>
      <c r="I130">
        <v>0</v>
      </c>
      <c r="J130" t="s">
        <v>2938</v>
      </c>
      <c r="K130" t="s">
        <v>3199</v>
      </c>
    </row>
    <row r="131" spans="1:11">
      <c r="A131">
        <v>130</v>
      </c>
      <c r="D131" t="s">
        <v>3125</v>
      </c>
      <c r="E131" t="s">
        <v>3318</v>
      </c>
      <c r="G131" t="s">
        <v>17</v>
      </c>
      <c r="H131">
        <v>2655</v>
      </c>
      <c r="I131">
        <v>0</v>
      </c>
      <c r="J131" t="s">
        <v>2938</v>
      </c>
      <c r="K131" t="s">
        <v>3319</v>
      </c>
    </row>
    <row r="132" spans="1:11">
      <c r="A132">
        <v>131</v>
      </c>
      <c r="D132" t="s">
        <v>3125</v>
      </c>
      <c r="E132" t="s">
        <v>3328</v>
      </c>
      <c r="G132" t="s">
        <v>17</v>
      </c>
      <c r="H132">
        <v>1211</v>
      </c>
      <c r="I132">
        <v>0</v>
      </c>
      <c r="J132" t="s">
        <v>2938</v>
      </c>
      <c r="K132" t="s">
        <v>3329</v>
      </c>
    </row>
    <row r="133" spans="1:11">
      <c r="A133">
        <v>132</v>
      </c>
      <c r="D133" t="s">
        <v>3125</v>
      </c>
      <c r="E133" t="s">
        <v>3200</v>
      </c>
      <c r="G133" t="s">
        <v>17</v>
      </c>
      <c r="H133">
        <v>242</v>
      </c>
      <c r="I133">
        <v>0</v>
      </c>
      <c r="J133" t="s">
        <v>2938</v>
      </c>
      <c r="K133" t="s">
        <v>3201</v>
      </c>
    </row>
    <row r="134" spans="1:11">
      <c r="A134">
        <v>133</v>
      </c>
      <c r="D134" t="s">
        <v>3125</v>
      </c>
      <c r="E134" t="s">
        <v>3202</v>
      </c>
      <c r="G134" t="s">
        <v>17</v>
      </c>
      <c r="H134">
        <v>324</v>
      </c>
      <c r="I134">
        <v>0</v>
      </c>
      <c r="J134" t="s">
        <v>2938</v>
      </c>
      <c r="K134" t="s">
        <v>3203</v>
      </c>
    </row>
    <row r="135" spans="1:11">
      <c r="A135">
        <v>134</v>
      </c>
      <c r="D135" t="s">
        <v>3125</v>
      </c>
      <c r="E135" t="s">
        <v>3308</v>
      </c>
      <c r="G135" t="s">
        <v>17</v>
      </c>
      <c r="H135">
        <v>1300</v>
      </c>
      <c r="I135">
        <v>0</v>
      </c>
      <c r="J135" t="s">
        <v>2938</v>
      </c>
      <c r="K135" t="s">
        <v>3309</v>
      </c>
    </row>
    <row r="136" spans="1:11">
      <c r="A136">
        <v>135</v>
      </c>
      <c r="D136" t="s">
        <v>3125</v>
      </c>
      <c r="E136" t="s">
        <v>3330</v>
      </c>
      <c r="G136" t="s">
        <v>17</v>
      </c>
      <c r="H136">
        <v>1531</v>
      </c>
      <c r="I136">
        <v>0</v>
      </c>
      <c r="J136" t="s">
        <v>2938</v>
      </c>
      <c r="K136" t="s">
        <v>3331</v>
      </c>
    </row>
    <row r="137" spans="1:11">
      <c r="A137">
        <v>136</v>
      </c>
      <c r="D137" t="s">
        <v>3125</v>
      </c>
      <c r="E137" t="s">
        <v>3188</v>
      </c>
      <c r="G137" t="s">
        <v>17</v>
      </c>
      <c r="H137">
        <v>341</v>
      </c>
      <c r="I137">
        <v>0</v>
      </c>
      <c r="J137" t="s">
        <v>2938</v>
      </c>
      <c r="K137" t="s">
        <v>3189</v>
      </c>
    </row>
    <row r="138" spans="1:11">
      <c r="A138">
        <v>137</v>
      </c>
      <c r="D138" t="s">
        <v>3125</v>
      </c>
      <c r="E138" t="s">
        <v>3204</v>
      </c>
      <c r="G138" t="s">
        <v>17</v>
      </c>
      <c r="H138">
        <v>1932</v>
      </c>
      <c r="I138">
        <v>0</v>
      </c>
      <c r="J138" t="s">
        <v>2938</v>
      </c>
      <c r="K138" t="s">
        <v>3205</v>
      </c>
    </row>
    <row r="139" spans="1:11">
      <c r="A139">
        <v>138</v>
      </c>
      <c r="D139" t="s">
        <v>3125</v>
      </c>
      <c r="E139" t="s">
        <v>3310</v>
      </c>
      <c r="G139" t="s">
        <v>17</v>
      </c>
      <c r="H139">
        <v>2300</v>
      </c>
      <c r="I139">
        <v>0</v>
      </c>
      <c r="J139" t="s">
        <v>2938</v>
      </c>
      <c r="K139" t="s">
        <v>3311</v>
      </c>
    </row>
    <row r="140" spans="1:11">
      <c r="A140">
        <v>139</v>
      </c>
      <c r="D140" t="s">
        <v>3125</v>
      </c>
      <c r="E140" t="s">
        <v>3206</v>
      </c>
      <c r="G140" t="s">
        <v>17</v>
      </c>
      <c r="H140">
        <v>336</v>
      </c>
      <c r="I140">
        <v>0</v>
      </c>
      <c r="J140" t="s">
        <v>2938</v>
      </c>
      <c r="K140" t="s">
        <v>3207</v>
      </c>
    </row>
    <row r="141" spans="1:11">
      <c r="A141">
        <v>140</v>
      </c>
      <c r="D141" t="s">
        <v>3125</v>
      </c>
      <c r="E141" t="s">
        <v>3320</v>
      </c>
      <c r="G141" t="s">
        <v>17</v>
      </c>
      <c r="H141">
        <v>3131</v>
      </c>
      <c r="I141">
        <v>0</v>
      </c>
      <c r="J141" t="s">
        <v>2938</v>
      </c>
      <c r="K141" t="s">
        <v>3321</v>
      </c>
    </row>
    <row r="142" spans="1:11">
      <c r="A142">
        <v>141</v>
      </c>
      <c r="D142" t="s">
        <v>3125</v>
      </c>
      <c r="E142" t="s">
        <v>3208</v>
      </c>
      <c r="G142" t="s">
        <v>17</v>
      </c>
      <c r="H142">
        <v>750</v>
      </c>
      <c r="I142">
        <v>0</v>
      </c>
      <c r="J142" t="s">
        <v>2938</v>
      </c>
      <c r="K142" t="s">
        <v>3209</v>
      </c>
    </row>
    <row r="143" spans="1:11">
      <c r="A143">
        <v>142</v>
      </c>
      <c r="D143" t="s">
        <v>3125</v>
      </c>
      <c r="E143" t="s">
        <v>3210</v>
      </c>
      <c r="G143" t="s">
        <v>17</v>
      </c>
      <c r="H143">
        <v>452</v>
      </c>
      <c r="I143">
        <v>0</v>
      </c>
      <c r="J143" t="s">
        <v>2938</v>
      </c>
      <c r="K143" t="s">
        <v>3211</v>
      </c>
    </row>
    <row r="144" spans="1:11">
      <c r="A144">
        <v>143</v>
      </c>
      <c r="D144" t="s">
        <v>3125</v>
      </c>
      <c r="E144" t="s">
        <v>3322</v>
      </c>
      <c r="G144" t="s">
        <v>17</v>
      </c>
      <c r="H144">
        <v>2316</v>
      </c>
      <c r="I144">
        <v>0</v>
      </c>
      <c r="J144" t="s">
        <v>2938</v>
      </c>
      <c r="K144" t="s">
        <v>3323</v>
      </c>
    </row>
    <row r="145" spans="1:11">
      <c r="A145">
        <v>144</v>
      </c>
      <c r="D145" t="s">
        <v>3125</v>
      </c>
      <c r="E145" t="s">
        <v>3374</v>
      </c>
      <c r="G145" t="s">
        <v>17</v>
      </c>
      <c r="H145">
        <v>1956</v>
      </c>
      <c r="I145">
        <v>0</v>
      </c>
      <c r="J145" t="s">
        <v>2938</v>
      </c>
      <c r="K145" t="s">
        <v>3375</v>
      </c>
    </row>
    <row r="146" spans="1:11">
      <c r="A146">
        <v>145</v>
      </c>
      <c r="D146" t="s">
        <v>3125</v>
      </c>
      <c r="E146" t="s">
        <v>3565</v>
      </c>
      <c r="G146" t="s">
        <v>17</v>
      </c>
      <c r="H146">
        <v>200</v>
      </c>
      <c r="I146">
        <v>0</v>
      </c>
      <c r="J146" t="s">
        <v>2938</v>
      </c>
      <c r="K146" t="s">
        <v>3566</v>
      </c>
    </row>
    <row r="147" spans="1:11">
      <c r="A147">
        <v>146</v>
      </c>
      <c r="D147" t="s">
        <v>3125</v>
      </c>
      <c r="E147" t="s">
        <v>3336</v>
      </c>
      <c r="G147" t="s">
        <v>17</v>
      </c>
      <c r="H147">
        <v>6028</v>
      </c>
      <c r="I147">
        <v>0</v>
      </c>
      <c r="J147" t="s">
        <v>2938</v>
      </c>
      <c r="K147" t="s">
        <v>3337</v>
      </c>
    </row>
    <row r="148" spans="1:11">
      <c r="A148">
        <v>147</v>
      </c>
      <c r="D148" t="s">
        <v>3125</v>
      </c>
      <c r="E148" t="s">
        <v>3280</v>
      </c>
      <c r="G148" t="s">
        <v>17</v>
      </c>
      <c r="H148">
        <v>15451</v>
      </c>
      <c r="I148">
        <v>0</v>
      </c>
      <c r="J148" t="s">
        <v>2938</v>
      </c>
      <c r="K148" t="s">
        <v>3281</v>
      </c>
    </row>
    <row r="149" spans="1:11">
      <c r="A149">
        <v>148</v>
      </c>
      <c r="D149" t="s">
        <v>3125</v>
      </c>
      <c r="E149" t="s">
        <v>3238</v>
      </c>
      <c r="G149" t="s">
        <v>17</v>
      </c>
      <c r="H149">
        <v>244</v>
      </c>
      <c r="I149">
        <v>0</v>
      </c>
      <c r="J149" t="s">
        <v>2938</v>
      </c>
      <c r="K149" t="s">
        <v>3239</v>
      </c>
    </row>
    <row r="150" spans="1:11">
      <c r="A150">
        <v>149</v>
      </c>
      <c r="D150" t="s">
        <v>3125</v>
      </c>
      <c r="E150" t="s">
        <v>3192</v>
      </c>
      <c r="G150" t="s">
        <v>17</v>
      </c>
      <c r="H150">
        <v>519</v>
      </c>
      <c r="I150">
        <v>0</v>
      </c>
      <c r="J150" t="s">
        <v>2938</v>
      </c>
      <c r="K150" t="s">
        <v>3193</v>
      </c>
    </row>
    <row r="151" spans="1:11">
      <c r="A151">
        <v>150</v>
      </c>
      <c r="D151" t="s">
        <v>3125</v>
      </c>
      <c r="E151" t="s">
        <v>3312</v>
      </c>
      <c r="G151" t="s">
        <v>17</v>
      </c>
      <c r="H151">
        <v>705</v>
      </c>
      <c r="I151">
        <v>0</v>
      </c>
      <c r="J151" t="s">
        <v>2938</v>
      </c>
      <c r="K151" t="s">
        <v>3313</v>
      </c>
    </row>
    <row r="152" spans="1:11">
      <c r="A152">
        <v>151</v>
      </c>
      <c r="D152" t="s">
        <v>3125</v>
      </c>
      <c r="E152" t="s">
        <v>3212</v>
      </c>
      <c r="G152" t="s">
        <v>17</v>
      </c>
      <c r="H152">
        <v>185</v>
      </c>
      <c r="I152">
        <v>0</v>
      </c>
      <c r="J152" t="s">
        <v>2938</v>
      </c>
      <c r="K152" t="s">
        <v>3213</v>
      </c>
    </row>
    <row r="153" spans="1:11">
      <c r="A153">
        <v>152</v>
      </c>
      <c r="D153" t="s">
        <v>3125</v>
      </c>
      <c r="E153" t="s">
        <v>3314</v>
      </c>
      <c r="G153" t="s">
        <v>17</v>
      </c>
      <c r="H153">
        <v>552</v>
      </c>
      <c r="I153">
        <v>0</v>
      </c>
      <c r="J153" t="s">
        <v>2938</v>
      </c>
      <c r="K153" t="s">
        <v>3315</v>
      </c>
    </row>
    <row r="154" spans="1:11">
      <c r="A154">
        <v>153</v>
      </c>
      <c r="D154" t="s">
        <v>3125</v>
      </c>
      <c r="E154" t="s">
        <v>3567</v>
      </c>
      <c r="G154" t="s">
        <v>17</v>
      </c>
      <c r="H154">
        <v>205</v>
      </c>
      <c r="I154">
        <v>0</v>
      </c>
      <c r="J154" t="s">
        <v>2938</v>
      </c>
      <c r="K154" t="s">
        <v>3568</v>
      </c>
    </row>
    <row r="155" spans="1:11">
      <c r="A155">
        <v>154</v>
      </c>
      <c r="D155" t="s">
        <v>3125</v>
      </c>
      <c r="E155" t="s">
        <v>3186</v>
      </c>
      <c r="G155" t="s">
        <v>17</v>
      </c>
      <c r="H155">
        <v>90</v>
      </c>
      <c r="I155">
        <v>0</v>
      </c>
      <c r="J155" t="s">
        <v>2938</v>
      </c>
      <c r="K155" t="s">
        <v>3569</v>
      </c>
    </row>
    <row r="156" spans="1:11">
      <c r="A156">
        <v>155</v>
      </c>
      <c r="D156" t="s">
        <v>3125</v>
      </c>
      <c r="E156" t="s">
        <v>3376</v>
      </c>
      <c r="G156" t="s">
        <v>17</v>
      </c>
      <c r="H156">
        <v>776</v>
      </c>
      <c r="I156">
        <v>0</v>
      </c>
      <c r="J156" t="s">
        <v>2938</v>
      </c>
      <c r="K156" t="s">
        <v>3377</v>
      </c>
    </row>
    <row r="157" spans="1:11">
      <c r="A157">
        <v>156</v>
      </c>
      <c r="D157" t="s">
        <v>3125</v>
      </c>
      <c r="E157" t="s">
        <v>3240</v>
      </c>
      <c r="G157" t="s">
        <v>17</v>
      </c>
      <c r="H157">
        <v>226</v>
      </c>
      <c r="I157">
        <v>0</v>
      </c>
      <c r="J157" t="s">
        <v>2938</v>
      </c>
      <c r="K157" t="s">
        <v>3241</v>
      </c>
    </row>
    <row r="158" spans="1:11">
      <c r="A158">
        <v>157</v>
      </c>
      <c r="D158" t="s">
        <v>3125</v>
      </c>
      <c r="E158" t="s">
        <v>3194</v>
      </c>
      <c r="G158" t="s">
        <v>17</v>
      </c>
      <c r="H158">
        <v>199</v>
      </c>
      <c r="I158">
        <v>0</v>
      </c>
      <c r="J158" t="s">
        <v>2938</v>
      </c>
      <c r="K158" t="s">
        <v>3195</v>
      </c>
    </row>
    <row r="159" spans="1:11">
      <c r="A159">
        <v>158</v>
      </c>
      <c r="D159" t="s">
        <v>3125</v>
      </c>
      <c r="E159" t="s">
        <v>3324</v>
      </c>
      <c r="G159" t="s">
        <v>17</v>
      </c>
      <c r="H159">
        <v>1092</v>
      </c>
      <c r="I159">
        <v>0</v>
      </c>
      <c r="J159" t="s">
        <v>2938</v>
      </c>
      <c r="K159" t="s">
        <v>3325</v>
      </c>
    </row>
    <row r="160" spans="1:11">
      <c r="A160">
        <v>159</v>
      </c>
      <c r="D160" t="s">
        <v>3125</v>
      </c>
      <c r="E160" t="s">
        <v>3378</v>
      </c>
      <c r="G160" t="s">
        <v>17</v>
      </c>
      <c r="H160">
        <v>1200</v>
      </c>
      <c r="I160">
        <v>0</v>
      </c>
      <c r="J160" t="s">
        <v>2938</v>
      </c>
      <c r="K160" t="s">
        <v>3379</v>
      </c>
    </row>
    <row r="161" spans="1:11">
      <c r="A161">
        <v>160</v>
      </c>
      <c r="D161" t="s">
        <v>3125</v>
      </c>
      <c r="E161" t="s">
        <v>3242</v>
      </c>
      <c r="G161" t="s">
        <v>17</v>
      </c>
      <c r="H161">
        <v>281</v>
      </c>
      <c r="I161">
        <v>0</v>
      </c>
      <c r="J161" t="s">
        <v>2938</v>
      </c>
      <c r="K161" t="s">
        <v>3243</v>
      </c>
    </row>
    <row r="162" spans="1:11">
      <c r="A162">
        <v>161</v>
      </c>
      <c r="D162" t="s">
        <v>3125</v>
      </c>
      <c r="E162" t="s">
        <v>3244</v>
      </c>
      <c r="G162" t="s">
        <v>17</v>
      </c>
      <c r="H162">
        <v>1755</v>
      </c>
      <c r="I162">
        <v>0</v>
      </c>
      <c r="J162" t="s">
        <v>2938</v>
      </c>
      <c r="K162" t="s">
        <v>3245</v>
      </c>
    </row>
    <row r="163" spans="1:11">
      <c r="A163">
        <v>162</v>
      </c>
      <c r="D163" t="s">
        <v>3125</v>
      </c>
      <c r="E163" t="s">
        <v>3326</v>
      </c>
      <c r="G163" t="s">
        <v>17</v>
      </c>
      <c r="H163">
        <v>7307</v>
      </c>
      <c r="I163">
        <v>0</v>
      </c>
      <c r="J163" t="s">
        <v>2938</v>
      </c>
      <c r="K163" t="s">
        <v>3327</v>
      </c>
    </row>
    <row r="164" spans="1:11">
      <c r="A164">
        <v>163</v>
      </c>
      <c r="D164" t="s">
        <v>3125</v>
      </c>
      <c r="E164" t="s">
        <v>1576</v>
      </c>
      <c r="G164" t="s">
        <v>17</v>
      </c>
      <c r="H164">
        <v>196</v>
      </c>
      <c r="I164">
        <v>0</v>
      </c>
      <c r="J164" t="s">
        <v>2938</v>
      </c>
      <c r="K164" t="s">
        <v>1577</v>
      </c>
    </row>
    <row r="165" spans="1:11">
      <c r="A165">
        <v>164</v>
      </c>
      <c r="D165" t="s">
        <v>3125</v>
      </c>
      <c r="E165" t="s">
        <v>1578</v>
      </c>
      <c r="G165" t="s">
        <v>17</v>
      </c>
      <c r="H165">
        <v>229</v>
      </c>
      <c r="I165">
        <v>0</v>
      </c>
      <c r="J165" t="s">
        <v>2938</v>
      </c>
      <c r="K165" t="s">
        <v>1579</v>
      </c>
    </row>
    <row r="166" spans="1:11">
      <c r="A166">
        <v>165</v>
      </c>
      <c r="D166" t="s">
        <v>3125</v>
      </c>
      <c r="E166" t="s">
        <v>1572</v>
      </c>
      <c r="G166" t="s">
        <v>116</v>
      </c>
      <c r="H166">
        <v>226</v>
      </c>
      <c r="I166">
        <v>0</v>
      </c>
      <c r="J166" t="s">
        <v>2938</v>
      </c>
      <c r="K166" t="s">
        <v>1573</v>
      </c>
    </row>
    <row r="167" spans="1:11">
      <c r="A167">
        <v>166</v>
      </c>
      <c r="D167" t="s">
        <v>3125</v>
      </c>
      <c r="E167" t="s">
        <v>1574</v>
      </c>
      <c r="G167" t="s">
        <v>116</v>
      </c>
      <c r="H167">
        <v>171</v>
      </c>
      <c r="I167">
        <v>0</v>
      </c>
      <c r="J167" t="s">
        <v>2938</v>
      </c>
      <c r="K167" t="s">
        <v>1575</v>
      </c>
    </row>
    <row r="168" spans="1:11">
      <c r="A168">
        <v>167</v>
      </c>
      <c r="D168" t="s">
        <v>3125</v>
      </c>
      <c r="E168" t="s">
        <v>1267</v>
      </c>
      <c r="G168" t="s">
        <v>116</v>
      </c>
      <c r="H168">
        <v>14</v>
      </c>
      <c r="I168">
        <v>0</v>
      </c>
      <c r="J168" t="s">
        <v>2938</v>
      </c>
      <c r="K168" t="s">
        <v>1268</v>
      </c>
    </row>
    <row r="169" spans="1:11">
      <c r="A169">
        <v>168</v>
      </c>
      <c r="D169" t="s">
        <v>3125</v>
      </c>
      <c r="E169" t="s">
        <v>1944</v>
      </c>
      <c r="G169" t="s">
        <v>116</v>
      </c>
      <c r="H169">
        <v>1</v>
      </c>
      <c r="I169">
        <v>0</v>
      </c>
      <c r="J169" t="s">
        <v>2938</v>
      </c>
      <c r="K169" t="s">
        <v>1945</v>
      </c>
    </row>
    <row r="170" spans="1:11">
      <c r="A170">
        <v>169</v>
      </c>
      <c r="D170" t="s">
        <v>3125</v>
      </c>
      <c r="E170" t="s">
        <v>3665</v>
      </c>
      <c r="G170" t="s">
        <v>20</v>
      </c>
      <c r="H170">
        <v>125.9</v>
      </c>
      <c r="I170">
        <v>0</v>
      </c>
      <c r="J170" t="s">
        <v>2938</v>
      </c>
      <c r="K170" t="s">
        <v>3666</v>
      </c>
    </row>
    <row r="171" spans="1:11">
      <c r="A171">
        <v>170</v>
      </c>
      <c r="D171" t="s">
        <v>3125</v>
      </c>
      <c r="E171" t="s">
        <v>1197</v>
      </c>
      <c r="G171" t="s">
        <v>1199</v>
      </c>
      <c r="H171">
        <v>6</v>
      </c>
      <c r="I171">
        <v>0</v>
      </c>
      <c r="J171" t="s">
        <v>2938</v>
      </c>
      <c r="K171" t="s">
        <v>1198</v>
      </c>
    </row>
    <row r="172" spans="1:11">
      <c r="A172">
        <v>171</v>
      </c>
      <c r="D172" t="s">
        <v>3125</v>
      </c>
      <c r="E172" t="s">
        <v>2791</v>
      </c>
      <c r="G172" t="s">
        <v>7</v>
      </c>
      <c r="H172">
        <v>120200</v>
      </c>
      <c r="I172">
        <v>0</v>
      </c>
      <c r="J172" t="s">
        <v>2938</v>
      </c>
      <c r="K172" t="s">
        <v>2792</v>
      </c>
    </row>
    <row r="173" spans="1:11">
      <c r="A173">
        <v>172</v>
      </c>
      <c r="D173" t="s">
        <v>3125</v>
      </c>
      <c r="E173" t="s">
        <v>2787</v>
      </c>
      <c r="G173" t="s">
        <v>7</v>
      </c>
      <c r="H173">
        <v>33400</v>
      </c>
      <c r="I173">
        <v>0</v>
      </c>
      <c r="J173" t="s">
        <v>2938</v>
      </c>
      <c r="K173" t="s">
        <v>2788</v>
      </c>
    </row>
    <row r="174" spans="1:11">
      <c r="A174">
        <v>173</v>
      </c>
      <c r="D174" t="s">
        <v>3125</v>
      </c>
      <c r="E174" t="s">
        <v>1580</v>
      </c>
      <c r="G174" t="s">
        <v>17</v>
      </c>
      <c r="H174">
        <v>155</v>
      </c>
      <c r="I174">
        <v>0</v>
      </c>
      <c r="J174" t="s">
        <v>2938</v>
      </c>
      <c r="K174" t="s">
        <v>1581</v>
      </c>
    </row>
    <row r="175" spans="1:11">
      <c r="A175">
        <v>174</v>
      </c>
      <c r="D175" t="s">
        <v>3125</v>
      </c>
      <c r="E175" t="s">
        <v>1588</v>
      </c>
      <c r="G175" t="s">
        <v>17</v>
      </c>
      <c r="H175">
        <v>204</v>
      </c>
      <c r="I175">
        <v>0</v>
      </c>
      <c r="J175" t="s">
        <v>2938</v>
      </c>
      <c r="K175" t="s">
        <v>1589</v>
      </c>
    </row>
    <row r="176" spans="1:11">
      <c r="A176">
        <v>175</v>
      </c>
      <c r="D176" t="s">
        <v>3125</v>
      </c>
      <c r="E176" t="s">
        <v>1650</v>
      </c>
      <c r="G176" t="s">
        <v>17</v>
      </c>
      <c r="H176">
        <v>1000</v>
      </c>
      <c r="I176">
        <v>0</v>
      </c>
      <c r="J176" t="s">
        <v>2938</v>
      </c>
      <c r="K176" t="s">
        <v>1651</v>
      </c>
    </row>
    <row r="177" spans="1:11">
      <c r="A177">
        <v>176</v>
      </c>
      <c r="D177" t="s">
        <v>3125</v>
      </c>
      <c r="E177" t="s">
        <v>1652</v>
      </c>
      <c r="G177" t="s">
        <v>17</v>
      </c>
      <c r="H177">
        <v>1000</v>
      </c>
      <c r="I177">
        <v>0</v>
      </c>
      <c r="J177" t="s">
        <v>2938</v>
      </c>
      <c r="K177" t="s">
        <v>1653</v>
      </c>
    </row>
    <row r="178" spans="1:11">
      <c r="A178">
        <v>177</v>
      </c>
      <c r="D178" t="s">
        <v>3125</v>
      </c>
      <c r="E178" t="s">
        <v>1654</v>
      </c>
      <c r="G178" t="s">
        <v>17</v>
      </c>
      <c r="H178">
        <v>900</v>
      </c>
      <c r="I178">
        <v>0</v>
      </c>
      <c r="J178" t="s">
        <v>2938</v>
      </c>
      <c r="K178" t="s">
        <v>1655</v>
      </c>
    </row>
    <row r="179" spans="1:11">
      <c r="A179">
        <v>178</v>
      </c>
      <c r="D179" t="s">
        <v>3125</v>
      </c>
      <c r="E179" t="s">
        <v>1600</v>
      </c>
      <c r="G179" t="s">
        <v>17</v>
      </c>
      <c r="H179">
        <v>90</v>
      </c>
      <c r="I179">
        <v>0</v>
      </c>
      <c r="J179" t="s">
        <v>2938</v>
      </c>
      <c r="K179" t="s">
        <v>1601</v>
      </c>
    </row>
    <row r="180" spans="1:11">
      <c r="A180">
        <v>179</v>
      </c>
      <c r="D180" t="s">
        <v>3125</v>
      </c>
      <c r="E180" t="s">
        <v>1628</v>
      </c>
      <c r="G180" t="s">
        <v>17</v>
      </c>
      <c r="H180">
        <v>900</v>
      </c>
      <c r="I180">
        <v>0</v>
      </c>
      <c r="J180" t="s">
        <v>2938</v>
      </c>
      <c r="K180" t="s">
        <v>1629</v>
      </c>
    </row>
    <row r="181" spans="1:11">
      <c r="A181">
        <v>180</v>
      </c>
      <c r="D181" t="s">
        <v>3125</v>
      </c>
      <c r="E181" t="s">
        <v>1712</v>
      </c>
      <c r="G181" t="s">
        <v>17</v>
      </c>
      <c r="H181">
        <v>55</v>
      </c>
      <c r="I181">
        <v>0</v>
      </c>
      <c r="J181" t="s">
        <v>2938</v>
      </c>
      <c r="K181" t="s">
        <v>1713</v>
      </c>
    </row>
    <row r="182" spans="1:11">
      <c r="A182">
        <v>181</v>
      </c>
      <c r="D182" t="s">
        <v>3125</v>
      </c>
      <c r="E182" t="s">
        <v>1598</v>
      </c>
      <c r="G182" t="s">
        <v>17</v>
      </c>
      <c r="H182">
        <v>600</v>
      </c>
      <c r="I182">
        <v>0</v>
      </c>
      <c r="J182" t="s">
        <v>2938</v>
      </c>
      <c r="K182" t="s">
        <v>3126</v>
      </c>
    </row>
    <row r="183" spans="1:11">
      <c r="A183">
        <v>182</v>
      </c>
      <c r="D183" t="s">
        <v>3125</v>
      </c>
      <c r="E183" t="s">
        <v>1614</v>
      </c>
      <c r="G183" t="s">
        <v>17</v>
      </c>
      <c r="H183">
        <v>144</v>
      </c>
      <c r="I183">
        <v>0</v>
      </c>
      <c r="J183" t="s">
        <v>2938</v>
      </c>
      <c r="K183" t="s">
        <v>3127</v>
      </c>
    </row>
    <row r="184" spans="1:11">
      <c r="A184">
        <v>183</v>
      </c>
      <c r="D184" t="s">
        <v>3125</v>
      </c>
      <c r="E184" t="s">
        <v>1638</v>
      </c>
      <c r="G184" t="s">
        <v>17</v>
      </c>
      <c r="H184">
        <v>400</v>
      </c>
      <c r="I184">
        <v>0</v>
      </c>
      <c r="J184" t="s">
        <v>2938</v>
      </c>
      <c r="K184" t="s">
        <v>3128</v>
      </c>
    </row>
    <row r="185" spans="1:11">
      <c r="A185">
        <v>184</v>
      </c>
      <c r="D185" t="s">
        <v>3125</v>
      </c>
      <c r="E185" t="s">
        <v>1640</v>
      </c>
      <c r="G185" t="s">
        <v>17</v>
      </c>
      <c r="H185">
        <v>3200</v>
      </c>
      <c r="I185">
        <v>0</v>
      </c>
      <c r="J185" t="s">
        <v>2938</v>
      </c>
      <c r="K185" t="s">
        <v>3129</v>
      </c>
    </row>
    <row r="186" spans="1:11">
      <c r="A186">
        <v>185</v>
      </c>
      <c r="D186" t="s">
        <v>3125</v>
      </c>
      <c r="E186" t="s">
        <v>1642</v>
      </c>
      <c r="G186" t="s">
        <v>17</v>
      </c>
      <c r="H186">
        <v>4300</v>
      </c>
      <c r="I186">
        <v>0</v>
      </c>
      <c r="J186" t="s">
        <v>2938</v>
      </c>
      <c r="K186" t="s">
        <v>3130</v>
      </c>
    </row>
    <row r="187" spans="1:11">
      <c r="A187">
        <v>186</v>
      </c>
      <c r="D187" t="s">
        <v>3125</v>
      </c>
      <c r="E187" t="s">
        <v>1646</v>
      </c>
      <c r="G187" t="s">
        <v>17</v>
      </c>
      <c r="H187">
        <v>1500</v>
      </c>
      <c r="I187">
        <v>0</v>
      </c>
      <c r="J187" t="s">
        <v>2938</v>
      </c>
      <c r="K187" t="s">
        <v>3131</v>
      </c>
    </row>
    <row r="188" spans="1:11">
      <c r="A188">
        <v>187</v>
      </c>
      <c r="D188" t="s">
        <v>3125</v>
      </c>
      <c r="E188" t="s">
        <v>1648</v>
      </c>
      <c r="G188" t="s">
        <v>17</v>
      </c>
      <c r="H188">
        <v>1700</v>
      </c>
      <c r="I188">
        <v>0</v>
      </c>
      <c r="J188" t="s">
        <v>2938</v>
      </c>
      <c r="K188" t="s">
        <v>3132</v>
      </c>
    </row>
    <row r="189" spans="1:11">
      <c r="A189">
        <v>188</v>
      </c>
      <c r="D189" t="s">
        <v>3125</v>
      </c>
      <c r="E189" t="s">
        <v>1656</v>
      </c>
      <c r="G189" t="s">
        <v>17</v>
      </c>
      <c r="H189">
        <v>2700</v>
      </c>
      <c r="I189">
        <v>0</v>
      </c>
      <c r="J189" t="s">
        <v>2938</v>
      </c>
      <c r="K189" t="s">
        <v>3133</v>
      </c>
    </row>
    <row r="190" spans="1:11">
      <c r="A190">
        <v>189</v>
      </c>
      <c r="D190" t="s">
        <v>3125</v>
      </c>
      <c r="E190" t="s">
        <v>1658</v>
      </c>
      <c r="G190" t="s">
        <v>17</v>
      </c>
      <c r="H190">
        <v>900</v>
      </c>
      <c r="I190">
        <v>0</v>
      </c>
      <c r="J190" t="s">
        <v>2938</v>
      </c>
      <c r="K190" t="s">
        <v>3134</v>
      </c>
    </row>
    <row r="191" spans="1:11">
      <c r="A191">
        <v>190</v>
      </c>
      <c r="D191" t="s">
        <v>3125</v>
      </c>
      <c r="E191" t="s">
        <v>1660</v>
      </c>
      <c r="G191" t="s">
        <v>17</v>
      </c>
      <c r="H191">
        <v>800</v>
      </c>
      <c r="I191">
        <v>0</v>
      </c>
      <c r="J191" t="s">
        <v>2938</v>
      </c>
      <c r="K191" t="s">
        <v>3135</v>
      </c>
    </row>
    <row r="192" spans="1:11">
      <c r="A192">
        <v>191</v>
      </c>
      <c r="D192" t="s">
        <v>3125</v>
      </c>
      <c r="E192" t="s">
        <v>1592</v>
      </c>
      <c r="G192" t="s">
        <v>20</v>
      </c>
      <c r="H192">
        <v>953.5</v>
      </c>
      <c r="I192">
        <v>0</v>
      </c>
      <c r="J192" t="s">
        <v>2938</v>
      </c>
      <c r="K192" t="s">
        <v>1593</v>
      </c>
    </row>
    <row r="193" spans="1:11">
      <c r="A193">
        <v>192</v>
      </c>
      <c r="D193" t="s">
        <v>3125</v>
      </c>
      <c r="E193" t="s">
        <v>227</v>
      </c>
      <c r="G193" t="s">
        <v>7</v>
      </c>
      <c r="H193">
        <v>5523.45</v>
      </c>
      <c r="I193">
        <v>0</v>
      </c>
      <c r="J193" t="s">
        <v>2938</v>
      </c>
      <c r="K193" t="s">
        <v>228</v>
      </c>
    </row>
    <row r="194" spans="1:11">
      <c r="A194">
        <v>193</v>
      </c>
      <c r="D194" t="s">
        <v>3125</v>
      </c>
      <c r="E194" t="s">
        <v>3526</v>
      </c>
      <c r="G194" t="s">
        <v>7</v>
      </c>
      <c r="H194">
        <v>116</v>
      </c>
      <c r="I194">
        <v>0</v>
      </c>
      <c r="J194" t="s">
        <v>2938</v>
      </c>
      <c r="K194" t="s">
        <v>3527</v>
      </c>
    </row>
    <row r="195" spans="1:11">
      <c r="A195">
        <v>194</v>
      </c>
      <c r="D195" t="s">
        <v>3125</v>
      </c>
      <c r="E195" t="s">
        <v>3360</v>
      </c>
      <c r="G195" t="s">
        <v>20</v>
      </c>
      <c r="H195">
        <v>91.4</v>
      </c>
      <c r="I195">
        <v>0</v>
      </c>
      <c r="J195" t="s">
        <v>2938</v>
      </c>
      <c r="K195" t="s">
        <v>3361</v>
      </c>
    </row>
    <row r="196" spans="1:11">
      <c r="A196">
        <v>195</v>
      </c>
      <c r="D196" t="s">
        <v>3125</v>
      </c>
      <c r="E196" t="s">
        <v>3480</v>
      </c>
      <c r="G196" t="s">
        <v>20</v>
      </c>
      <c r="H196">
        <v>720.8</v>
      </c>
      <c r="I196">
        <v>0</v>
      </c>
      <c r="J196" t="s">
        <v>2938</v>
      </c>
      <c r="K196" t="s">
        <v>3481</v>
      </c>
    </row>
    <row r="197" spans="1:11">
      <c r="A197">
        <v>196</v>
      </c>
      <c r="D197" t="s">
        <v>3125</v>
      </c>
      <c r="E197" t="s">
        <v>3358</v>
      </c>
      <c r="G197" t="s">
        <v>20</v>
      </c>
      <c r="H197">
        <v>895.9</v>
      </c>
      <c r="I197">
        <v>0</v>
      </c>
      <c r="J197" t="s">
        <v>2938</v>
      </c>
      <c r="K197" t="s">
        <v>3359</v>
      </c>
    </row>
    <row r="198" spans="1:11">
      <c r="A198">
        <v>197</v>
      </c>
      <c r="D198" t="s">
        <v>3125</v>
      </c>
      <c r="E198" t="s">
        <v>2577</v>
      </c>
      <c r="G198" t="s">
        <v>20</v>
      </c>
      <c r="H198">
        <v>6869.4</v>
      </c>
      <c r="I198">
        <v>0</v>
      </c>
      <c r="J198" t="s">
        <v>2938</v>
      </c>
      <c r="K198" t="s">
        <v>2578</v>
      </c>
    </row>
    <row r="199" spans="1:11">
      <c r="A199">
        <v>198</v>
      </c>
      <c r="D199" t="s">
        <v>3125</v>
      </c>
      <c r="E199" t="s">
        <v>2579</v>
      </c>
      <c r="G199" t="s">
        <v>20</v>
      </c>
      <c r="H199">
        <v>2645.4</v>
      </c>
      <c r="I199">
        <v>0</v>
      </c>
      <c r="J199" t="s">
        <v>2938</v>
      </c>
      <c r="K199" t="s">
        <v>2580</v>
      </c>
    </row>
    <row r="200" spans="1:11">
      <c r="A200">
        <v>199</v>
      </c>
      <c r="D200" t="s">
        <v>3125</v>
      </c>
      <c r="E200" t="s">
        <v>3364</v>
      </c>
      <c r="G200" t="s">
        <v>20</v>
      </c>
      <c r="H200">
        <v>500.5</v>
      </c>
      <c r="I200">
        <v>0</v>
      </c>
      <c r="J200" t="s">
        <v>2938</v>
      </c>
      <c r="K200" t="s">
        <v>3365</v>
      </c>
    </row>
    <row r="201" spans="1:11">
      <c r="A201">
        <v>200</v>
      </c>
      <c r="D201" t="s">
        <v>3125</v>
      </c>
      <c r="E201" t="s">
        <v>3366</v>
      </c>
      <c r="G201" t="s">
        <v>20</v>
      </c>
      <c r="H201">
        <v>2834.1</v>
      </c>
      <c r="I201">
        <v>0</v>
      </c>
      <c r="J201" t="s">
        <v>2938</v>
      </c>
      <c r="K201" t="s">
        <v>3367</v>
      </c>
    </row>
    <row r="202" spans="1:11">
      <c r="A202">
        <v>201</v>
      </c>
      <c r="D202" t="s">
        <v>3125</v>
      </c>
      <c r="E202" t="s">
        <v>1544</v>
      </c>
      <c r="G202" t="s">
        <v>20</v>
      </c>
      <c r="H202">
        <v>1628</v>
      </c>
      <c r="I202">
        <v>0</v>
      </c>
      <c r="J202" t="s">
        <v>2938</v>
      </c>
      <c r="K202" t="s">
        <v>3136</v>
      </c>
    </row>
    <row r="203" spans="1:11">
      <c r="A203">
        <v>202</v>
      </c>
      <c r="D203" t="s">
        <v>3125</v>
      </c>
      <c r="E203" t="s">
        <v>1546</v>
      </c>
      <c r="G203" t="s">
        <v>20</v>
      </c>
      <c r="H203">
        <v>510.14</v>
      </c>
      <c r="I203">
        <v>0</v>
      </c>
      <c r="J203" t="s">
        <v>2938</v>
      </c>
      <c r="K203" t="s">
        <v>1547</v>
      </c>
    </row>
    <row r="204" spans="1:11">
      <c r="A204">
        <v>203</v>
      </c>
      <c r="D204" t="s">
        <v>3125</v>
      </c>
      <c r="E204" t="s">
        <v>1542</v>
      </c>
      <c r="G204" t="s">
        <v>20</v>
      </c>
      <c r="H204">
        <v>159.72</v>
      </c>
      <c r="I204">
        <v>0</v>
      </c>
      <c r="J204" t="s">
        <v>2938</v>
      </c>
      <c r="K204" t="s">
        <v>1543</v>
      </c>
    </row>
    <row r="205" spans="1:11">
      <c r="A205">
        <v>204</v>
      </c>
      <c r="D205" t="s">
        <v>3125</v>
      </c>
      <c r="E205" t="s">
        <v>3482</v>
      </c>
      <c r="G205" t="s">
        <v>20</v>
      </c>
      <c r="H205">
        <v>439.9</v>
      </c>
      <c r="I205">
        <v>0</v>
      </c>
      <c r="J205" t="s">
        <v>2938</v>
      </c>
      <c r="K205" t="s">
        <v>3483</v>
      </c>
    </row>
    <row r="206" spans="1:11">
      <c r="A206">
        <v>205</v>
      </c>
      <c r="D206" t="s">
        <v>3125</v>
      </c>
      <c r="E206" t="s">
        <v>3370</v>
      </c>
      <c r="G206" t="s">
        <v>20</v>
      </c>
      <c r="H206">
        <v>777.4</v>
      </c>
      <c r="I206">
        <v>0</v>
      </c>
      <c r="J206" t="s">
        <v>2938</v>
      </c>
      <c r="K206" t="s">
        <v>3371</v>
      </c>
    </row>
    <row r="207" spans="1:11">
      <c r="A207">
        <v>206</v>
      </c>
      <c r="D207" t="s">
        <v>3125</v>
      </c>
      <c r="E207" t="s">
        <v>2581</v>
      </c>
      <c r="G207" t="s">
        <v>20</v>
      </c>
      <c r="H207">
        <v>193.7</v>
      </c>
      <c r="I207">
        <v>0</v>
      </c>
      <c r="J207" t="s">
        <v>2938</v>
      </c>
      <c r="K207" t="s">
        <v>2582</v>
      </c>
    </row>
    <row r="208" spans="1:11">
      <c r="A208">
        <v>207</v>
      </c>
      <c r="D208" t="s">
        <v>3125</v>
      </c>
      <c r="E208" t="s">
        <v>3372</v>
      </c>
      <c r="G208" t="s">
        <v>20</v>
      </c>
      <c r="H208">
        <v>2843.5</v>
      </c>
      <c r="I208">
        <v>0</v>
      </c>
      <c r="J208" t="s">
        <v>2938</v>
      </c>
      <c r="K208" t="s">
        <v>3373</v>
      </c>
    </row>
    <row r="209" spans="1:11">
      <c r="A209">
        <v>208</v>
      </c>
      <c r="D209" t="s">
        <v>3125</v>
      </c>
      <c r="E209" t="s">
        <v>3368</v>
      </c>
      <c r="G209" t="s">
        <v>20</v>
      </c>
      <c r="H209">
        <v>897.2</v>
      </c>
      <c r="I209">
        <v>0</v>
      </c>
      <c r="J209" t="s">
        <v>2938</v>
      </c>
      <c r="K209" t="s">
        <v>3369</v>
      </c>
    </row>
    <row r="210" spans="1:11">
      <c r="A210">
        <v>209</v>
      </c>
      <c r="D210" t="s">
        <v>3125</v>
      </c>
      <c r="E210" t="s">
        <v>1568</v>
      </c>
      <c r="G210" t="s">
        <v>20</v>
      </c>
      <c r="H210">
        <v>5851.8</v>
      </c>
      <c r="I210">
        <v>0</v>
      </c>
      <c r="J210" t="s">
        <v>2938</v>
      </c>
      <c r="K210" t="s">
        <v>1569</v>
      </c>
    </row>
    <row r="211" spans="1:11">
      <c r="A211">
        <v>210</v>
      </c>
      <c r="D211" t="s">
        <v>3125</v>
      </c>
      <c r="E211" t="s">
        <v>1570</v>
      </c>
      <c r="G211" t="s">
        <v>20</v>
      </c>
      <c r="H211">
        <v>8341.7000000000007</v>
      </c>
      <c r="I211">
        <v>0</v>
      </c>
      <c r="J211" t="s">
        <v>2938</v>
      </c>
      <c r="K211" t="s">
        <v>1571</v>
      </c>
    </row>
    <row r="212" spans="1:11">
      <c r="A212">
        <v>211</v>
      </c>
      <c r="D212" t="s">
        <v>3125</v>
      </c>
      <c r="E212" t="s">
        <v>18</v>
      </c>
      <c r="G212" t="s">
        <v>20</v>
      </c>
      <c r="H212">
        <v>1278.2</v>
      </c>
      <c r="I212">
        <v>0</v>
      </c>
      <c r="J212" t="s">
        <v>2938</v>
      </c>
      <c r="K212" t="s">
        <v>19</v>
      </c>
    </row>
    <row r="213" spans="1:11">
      <c r="A213">
        <v>212</v>
      </c>
      <c r="D213" t="s">
        <v>3125</v>
      </c>
      <c r="E213" t="s">
        <v>1566</v>
      </c>
      <c r="G213" t="s">
        <v>20</v>
      </c>
      <c r="H213">
        <v>3724.04</v>
      </c>
      <c r="I213">
        <v>0</v>
      </c>
      <c r="J213" t="s">
        <v>2938</v>
      </c>
      <c r="K213" t="s">
        <v>1567</v>
      </c>
    </row>
    <row r="214" spans="1:11">
      <c r="A214">
        <v>213</v>
      </c>
      <c r="D214" t="s">
        <v>3125</v>
      </c>
      <c r="E214" t="s">
        <v>23</v>
      </c>
      <c r="G214" t="s">
        <v>20</v>
      </c>
      <c r="H214">
        <v>2054.6999999999998</v>
      </c>
      <c r="I214">
        <v>0</v>
      </c>
      <c r="J214" t="s">
        <v>2938</v>
      </c>
      <c r="K214" t="s">
        <v>24</v>
      </c>
    </row>
    <row r="215" spans="1:11">
      <c r="A215">
        <v>214</v>
      </c>
      <c r="D215" t="s">
        <v>3125</v>
      </c>
      <c r="E215" t="s">
        <v>25</v>
      </c>
      <c r="G215" t="s">
        <v>20</v>
      </c>
      <c r="H215">
        <v>4009.5</v>
      </c>
      <c r="I215">
        <v>0</v>
      </c>
      <c r="J215" t="s">
        <v>2938</v>
      </c>
      <c r="K215" t="s">
        <v>26</v>
      </c>
    </row>
    <row r="216" spans="1:11">
      <c r="A216">
        <v>215</v>
      </c>
      <c r="D216" t="s">
        <v>3125</v>
      </c>
      <c r="E216" t="s">
        <v>27</v>
      </c>
      <c r="G216" t="s">
        <v>20</v>
      </c>
      <c r="H216">
        <v>6911.54</v>
      </c>
      <c r="I216">
        <v>0</v>
      </c>
      <c r="J216" t="s">
        <v>2938</v>
      </c>
      <c r="K216" t="s">
        <v>28</v>
      </c>
    </row>
    <row r="217" spans="1:11">
      <c r="A217">
        <v>216</v>
      </c>
      <c r="D217" t="s">
        <v>3125</v>
      </c>
      <c r="E217" t="s">
        <v>21</v>
      </c>
      <c r="G217" t="s">
        <v>20</v>
      </c>
      <c r="H217">
        <v>2897.83</v>
      </c>
      <c r="I217">
        <v>0</v>
      </c>
      <c r="J217" t="s">
        <v>2938</v>
      </c>
      <c r="K217" t="s">
        <v>22</v>
      </c>
    </row>
    <row r="218" spans="1:11">
      <c r="A218">
        <v>217</v>
      </c>
      <c r="D218" t="s">
        <v>3125</v>
      </c>
      <c r="E218" t="s">
        <v>3484</v>
      </c>
      <c r="G218" t="s">
        <v>20</v>
      </c>
      <c r="H218">
        <v>1026.7</v>
      </c>
      <c r="I218">
        <v>0</v>
      </c>
      <c r="J218" t="s">
        <v>2938</v>
      </c>
      <c r="K218" t="s">
        <v>3485</v>
      </c>
    </row>
    <row r="219" spans="1:11">
      <c r="A219">
        <v>218</v>
      </c>
      <c r="D219" t="s">
        <v>3125</v>
      </c>
      <c r="E219" t="s">
        <v>3354</v>
      </c>
      <c r="G219" t="s">
        <v>17</v>
      </c>
      <c r="H219">
        <v>11</v>
      </c>
      <c r="I219">
        <v>0</v>
      </c>
      <c r="J219" t="s">
        <v>2938</v>
      </c>
      <c r="K219" t="s">
        <v>3355</v>
      </c>
    </row>
    <row r="220" spans="1:11">
      <c r="A220">
        <v>219</v>
      </c>
      <c r="D220" t="s">
        <v>3125</v>
      </c>
      <c r="E220" t="s">
        <v>341</v>
      </c>
      <c r="G220" t="s">
        <v>17</v>
      </c>
      <c r="H220">
        <v>230</v>
      </c>
      <c r="I220">
        <v>0</v>
      </c>
      <c r="J220" t="s">
        <v>2938</v>
      </c>
      <c r="K220" t="s">
        <v>342</v>
      </c>
    </row>
    <row r="221" spans="1:11">
      <c r="A221">
        <v>220</v>
      </c>
      <c r="D221" t="s">
        <v>3125</v>
      </c>
      <c r="E221" t="s">
        <v>3356</v>
      </c>
      <c r="G221" t="s">
        <v>17</v>
      </c>
      <c r="H221">
        <v>99</v>
      </c>
      <c r="I221">
        <v>0</v>
      </c>
      <c r="J221" t="s">
        <v>2938</v>
      </c>
      <c r="K221" t="s">
        <v>3357</v>
      </c>
    </row>
    <row r="222" spans="1:11">
      <c r="A222">
        <v>221</v>
      </c>
      <c r="D222" t="s">
        <v>3125</v>
      </c>
      <c r="E222" t="s">
        <v>45</v>
      </c>
      <c r="G222" t="s">
        <v>17</v>
      </c>
      <c r="H222">
        <v>100</v>
      </c>
      <c r="I222">
        <v>0</v>
      </c>
      <c r="J222" t="s">
        <v>2938</v>
      </c>
      <c r="K222" t="s">
        <v>46</v>
      </c>
    </row>
    <row r="223" spans="1:11">
      <c r="A223">
        <v>222</v>
      </c>
      <c r="D223" t="s">
        <v>3125</v>
      </c>
      <c r="E223" t="s">
        <v>472</v>
      </c>
      <c r="G223" t="s">
        <v>116</v>
      </c>
      <c r="H223">
        <v>104</v>
      </c>
      <c r="I223">
        <v>0</v>
      </c>
      <c r="J223" t="s">
        <v>2938</v>
      </c>
      <c r="K223" t="s">
        <v>473</v>
      </c>
    </row>
    <row r="224" spans="1:11">
      <c r="A224">
        <v>223</v>
      </c>
      <c r="D224" t="s">
        <v>3125</v>
      </c>
      <c r="E224" t="s">
        <v>730</v>
      </c>
      <c r="G224" t="s">
        <v>7</v>
      </c>
      <c r="H224">
        <v>1730.4</v>
      </c>
      <c r="I224">
        <v>0</v>
      </c>
      <c r="J224" t="s">
        <v>2938</v>
      </c>
      <c r="K224" t="s">
        <v>731</v>
      </c>
    </row>
    <row r="225" spans="1:11">
      <c r="A225">
        <v>224</v>
      </c>
      <c r="D225" t="s">
        <v>3125</v>
      </c>
      <c r="E225" t="s">
        <v>752</v>
      </c>
      <c r="G225" t="s">
        <v>7</v>
      </c>
      <c r="H225">
        <v>575</v>
      </c>
      <c r="I225">
        <v>0</v>
      </c>
      <c r="J225" t="s">
        <v>2938</v>
      </c>
      <c r="K225" t="s">
        <v>753</v>
      </c>
    </row>
    <row r="226" spans="1:11">
      <c r="A226">
        <v>225</v>
      </c>
      <c r="D226" t="s">
        <v>3125</v>
      </c>
      <c r="E226" t="s">
        <v>754</v>
      </c>
      <c r="G226" t="s">
        <v>7</v>
      </c>
      <c r="H226">
        <v>3239</v>
      </c>
      <c r="I226">
        <v>0</v>
      </c>
      <c r="J226" t="s">
        <v>2938</v>
      </c>
      <c r="K226" t="s">
        <v>755</v>
      </c>
    </row>
    <row r="227" spans="1:11">
      <c r="A227">
        <v>226</v>
      </c>
      <c r="D227" t="s">
        <v>3125</v>
      </c>
      <c r="E227" t="s">
        <v>756</v>
      </c>
      <c r="G227" t="s">
        <v>7</v>
      </c>
      <c r="H227">
        <v>4764</v>
      </c>
      <c r="I227">
        <v>0</v>
      </c>
      <c r="J227" t="s">
        <v>2938</v>
      </c>
      <c r="K227" t="s">
        <v>757</v>
      </c>
    </row>
    <row r="228" spans="1:11">
      <c r="A228">
        <v>227</v>
      </c>
      <c r="D228" t="s">
        <v>3125</v>
      </c>
      <c r="E228" t="s">
        <v>732</v>
      </c>
      <c r="G228" t="s">
        <v>7</v>
      </c>
      <c r="H228">
        <v>325.3</v>
      </c>
      <c r="I228">
        <v>0</v>
      </c>
      <c r="J228" t="s">
        <v>2938</v>
      </c>
      <c r="K228" t="s">
        <v>733</v>
      </c>
    </row>
    <row r="229" spans="1:11">
      <c r="A229">
        <v>228</v>
      </c>
      <c r="D229" t="s">
        <v>3125</v>
      </c>
      <c r="E229" t="s">
        <v>734</v>
      </c>
      <c r="G229" t="s">
        <v>7</v>
      </c>
      <c r="H229">
        <v>598.5</v>
      </c>
      <c r="I229">
        <v>0</v>
      </c>
      <c r="J229" t="s">
        <v>2938</v>
      </c>
      <c r="K229" t="s">
        <v>735</v>
      </c>
    </row>
    <row r="230" spans="1:11">
      <c r="A230">
        <v>229</v>
      </c>
      <c r="D230" t="s">
        <v>3125</v>
      </c>
      <c r="E230" t="s">
        <v>738</v>
      </c>
      <c r="G230" t="s">
        <v>7</v>
      </c>
      <c r="H230">
        <v>13</v>
      </c>
      <c r="I230">
        <v>0</v>
      </c>
      <c r="J230" t="s">
        <v>2939</v>
      </c>
      <c r="K230" t="s">
        <v>739</v>
      </c>
    </row>
    <row r="231" spans="1:11">
      <c r="A231">
        <v>230</v>
      </c>
      <c r="D231" t="s">
        <v>3125</v>
      </c>
      <c r="E231" t="s">
        <v>738</v>
      </c>
      <c r="G231" t="s">
        <v>7</v>
      </c>
      <c r="H231">
        <v>858.64</v>
      </c>
      <c r="I231">
        <v>0</v>
      </c>
      <c r="J231" t="s">
        <v>2938</v>
      </c>
      <c r="K231" t="s">
        <v>739</v>
      </c>
    </row>
    <row r="232" spans="1:11">
      <c r="A232">
        <v>231</v>
      </c>
      <c r="D232" t="s">
        <v>3125</v>
      </c>
      <c r="E232" t="s">
        <v>736</v>
      </c>
      <c r="G232" t="s">
        <v>7</v>
      </c>
      <c r="H232">
        <v>247.1</v>
      </c>
      <c r="I232">
        <v>0</v>
      </c>
      <c r="J232" t="s">
        <v>2940</v>
      </c>
      <c r="K232" t="s">
        <v>737</v>
      </c>
    </row>
    <row r="233" spans="1:11">
      <c r="A233">
        <v>232</v>
      </c>
      <c r="D233" t="s">
        <v>3125</v>
      </c>
      <c r="E233" t="s">
        <v>736</v>
      </c>
      <c r="G233" t="s">
        <v>7</v>
      </c>
      <c r="H233">
        <v>476.5</v>
      </c>
      <c r="I233">
        <v>0</v>
      </c>
      <c r="J233" t="s">
        <v>2938</v>
      </c>
      <c r="K233" t="s">
        <v>737</v>
      </c>
    </row>
    <row r="234" spans="1:11">
      <c r="A234">
        <v>233</v>
      </c>
      <c r="D234" t="s">
        <v>3125</v>
      </c>
      <c r="E234" t="s">
        <v>740</v>
      </c>
      <c r="G234" t="s">
        <v>7</v>
      </c>
      <c r="H234">
        <v>897.63</v>
      </c>
      <c r="I234">
        <v>0</v>
      </c>
      <c r="J234" t="s">
        <v>2938</v>
      </c>
      <c r="K234" t="s">
        <v>741</v>
      </c>
    </row>
    <row r="235" spans="1:11">
      <c r="A235">
        <v>234</v>
      </c>
      <c r="D235" t="s">
        <v>3125</v>
      </c>
      <c r="E235" t="s">
        <v>1466</v>
      </c>
      <c r="G235" t="s">
        <v>17</v>
      </c>
      <c r="H235">
        <v>116</v>
      </c>
      <c r="I235">
        <v>0</v>
      </c>
      <c r="J235" t="s">
        <v>2938</v>
      </c>
      <c r="K235" t="s">
        <v>1467</v>
      </c>
    </row>
    <row r="236" spans="1:11">
      <c r="A236">
        <v>235</v>
      </c>
      <c r="D236" t="s">
        <v>3125</v>
      </c>
      <c r="E236" t="s">
        <v>406</v>
      </c>
      <c r="G236" t="s">
        <v>17</v>
      </c>
      <c r="H236">
        <v>255</v>
      </c>
      <c r="I236">
        <v>0</v>
      </c>
      <c r="J236" t="s">
        <v>2938</v>
      </c>
      <c r="K236" t="s">
        <v>407</v>
      </c>
    </row>
    <row r="237" spans="1:11">
      <c r="A237">
        <v>236</v>
      </c>
      <c r="D237" t="s">
        <v>3125</v>
      </c>
      <c r="E237" t="s">
        <v>772</v>
      </c>
      <c r="G237" t="s">
        <v>7</v>
      </c>
      <c r="H237">
        <v>104</v>
      </c>
      <c r="I237">
        <v>0</v>
      </c>
      <c r="J237" t="s">
        <v>2938</v>
      </c>
      <c r="K237" t="s">
        <v>773</v>
      </c>
    </row>
    <row r="238" spans="1:11">
      <c r="A238">
        <v>237</v>
      </c>
      <c r="D238" t="s">
        <v>3125</v>
      </c>
      <c r="E238" t="s">
        <v>142</v>
      </c>
      <c r="G238" t="s">
        <v>17</v>
      </c>
      <c r="H238">
        <v>255</v>
      </c>
      <c r="I238">
        <v>0</v>
      </c>
      <c r="J238" t="s">
        <v>2938</v>
      </c>
      <c r="K238" t="s">
        <v>143</v>
      </c>
    </row>
    <row r="239" spans="1:11">
      <c r="A239">
        <v>238</v>
      </c>
      <c r="D239" t="s">
        <v>3125</v>
      </c>
      <c r="E239" t="s">
        <v>1718</v>
      </c>
      <c r="G239" t="s">
        <v>17</v>
      </c>
      <c r="H239">
        <v>270</v>
      </c>
      <c r="I239">
        <v>0</v>
      </c>
      <c r="J239" t="s">
        <v>2938</v>
      </c>
      <c r="K239" t="s">
        <v>1719</v>
      </c>
    </row>
    <row r="240" spans="1:11">
      <c r="A240">
        <v>239</v>
      </c>
      <c r="D240" t="s">
        <v>3125</v>
      </c>
      <c r="E240" t="s">
        <v>146</v>
      </c>
      <c r="G240" t="s">
        <v>148</v>
      </c>
      <c r="H240">
        <v>24</v>
      </c>
      <c r="I240">
        <v>0</v>
      </c>
      <c r="J240" t="s">
        <v>2938</v>
      </c>
      <c r="K240" t="s">
        <v>147</v>
      </c>
    </row>
    <row r="241" spans="1:11">
      <c r="A241">
        <v>240</v>
      </c>
      <c r="D241" t="s">
        <v>3125</v>
      </c>
      <c r="E241" t="s">
        <v>748</v>
      </c>
      <c r="G241" t="s">
        <v>7</v>
      </c>
      <c r="H241">
        <v>48</v>
      </c>
      <c r="I241">
        <v>0</v>
      </c>
      <c r="J241" t="s">
        <v>2938</v>
      </c>
      <c r="K241" t="s">
        <v>3137</v>
      </c>
    </row>
    <row r="242" spans="1:11">
      <c r="A242">
        <v>241</v>
      </c>
      <c r="D242" t="s">
        <v>3125</v>
      </c>
      <c r="E242" t="s">
        <v>750</v>
      </c>
      <c r="G242" t="s">
        <v>7</v>
      </c>
      <c r="H242">
        <v>45</v>
      </c>
      <c r="I242">
        <v>0</v>
      </c>
      <c r="J242" t="s">
        <v>2938</v>
      </c>
      <c r="K242" t="s">
        <v>3138</v>
      </c>
    </row>
    <row r="243" spans="1:11">
      <c r="A243">
        <v>242</v>
      </c>
      <c r="D243" t="s">
        <v>3125</v>
      </c>
      <c r="E243" t="s">
        <v>157</v>
      </c>
      <c r="G243" t="s">
        <v>17</v>
      </c>
      <c r="H243">
        <v>5500</v>
      </c>
      <c r="I243">
        <v>0</v>
      </c>
      <c r="J243" t="s">
        <v>2938</v>
      </c>
      <c r="K243" t="s">
        <v>158</v>
      </c>
    </row>
    <row r="244" spans="1:11">
      <c r="A244">
        <v>243</v>
      </c>
      <c r="D244" t="s">
        <v>3125</v>
      </c>
      <c r="E244" t="s">
        <v>1203</v>
      </c>
      <c r="G244" t="s">
        <v>17</v>
      </c>
      <c r="H244">
        <v>83</v>
      </c>
      <c r="I244">
        <v>0</v>
      </c>
      <c r="J244" t="s">
        <v>2938</v>
      </c>
      <c r="K244" t="s">
        <v>1204</v>
      </c>
    </row>
    <row r="245" spans="1:11">
      <c r="A245">
        <v>244</v>
      </c>
      <c r="D245" t="s">
        <v>3125</v>
      </c>
      <c r="E245" t="s">
        <v>1602</v>
      </c>
      <c r="G245" t="s">
        <v>17</v>
      </c>
      <c r="H245">
        <v>100</v>
      </c>
      <c r="I245">
        <v>0</v>
      </c>
      <c r="J245" t="s">
        <v>2938</v>
      </c>
      <c r="K245" t="s">
        <v>1603</v>
      </c>
    </row>
    <row r="246" spans="1:11">
      <c r="A246">
        <v>245</v>
      </c>
      <c r="D246" t="s">
        <v>3125</v>
      </c>
      <c r="E246" t="s">
        <v>1484</v>
      </c>
      <c r="G246" t="s">
        <v>17</v>
      </c>
      <c r="H246">
        <v>224</v>
      </c>
      <c r="I246">
        <v>0</v>
      </c>
      <c r="J246" t="s">
        <v>2938</v>
      </c>
      <c r="K246" t="s">
        <v>1485</v>
      </c>
    </row>
    <row r="247" spans="1:11">
      <c r="A247">
        <v>246</v>
      </c>
      <c r="D247" t="s">
        <v>3125</v>
      </c>
      <c r="E247" t="s">
        <v>744</v>
      </c>
      <c r="G247" t="s">
        <v>7</v>
      </c>
      <c r="H247">
        <v>224.6</v>
      </c>
      <c r="I247">
        <v>0</v>
      </c>
      <c r="J247" t="s">
        <v>2938</v>
      </c>
      <c r="K247" t="s">
        <v>745</v>
      </c>
    </row>
    <row r="248" spans="1:11">
      <c r="A248">
        <v>247</v>
      </c>
      <c r="D248" t="s">
        <v>3125</v>
      </c>
      <c r="E248" t="s">
        <v>1548</v>
      </c>
      <c r="G248" t="s">
        <v>17</v>
      </c>
      <c r="H248">
        <v>19</v>
      </c>
      <c r="I248">
        <v>0</v>
      </c>
      <c r="J248" t="s">
        <v>2938</v>
      </c>
      <c r="K248" t="s">
        <v>1549</v>
      </c>
    </row>
    <row r="249" spans="1:11">
      <c r="A249">
        <v>248</v>
      </c>
      <c r="D249" t="s">
        <v>3125</v>
      </c>
      <c r="E249" t="s">
        <v>149</v>
      </c>
      <c r="G249" t="s">
        <v>17</v>
      </c>
      <c r="H249">
        <v>1250</v>
      </c>
      <c r="I249">
        <v>0</v>
      </c>
      <c r="J249" t="s">
        <v>2938</v>
      </c>
      <c r="K249" t="s">
        <v>150</v>
      </c>
    </row>
    <row r="250" spans="1:11">
      <c r="A250">
        <v>249</v>
      </c>
      <c r="D250" t="s">
        <v>3125</v>
      </c>
      <c r="E250" t="s">
        <v>3269</v>
      </c>
      <c r="G250" t="s">
        <v>17</v>
      </c>
      <c r="H250">
        <v>61</v>
      </c>
      <c r="I250">
        <v>0</v>
      </c>
      <c r="J250" t="s">
        <v>2938</v>
      </c>
      <c r="K250" t="s">
        <v>3270</v>
      </c>
    </row>
    <row r="251" spans="1:11">
      <c r="A251">
        <v>250</v>
      </c>
      <c r="D251" t="s">
        <v>3125</v>
      </c>
      <c r="E251" t="s">
        <v>746</v>
      </c>
      <c r="G251" t="s">
        <v>7</v>
      </c>
      <c r="H251">
        <v>526.75</v>
      </c>
      <c r="I251">
        <v>0</v>
      </c>
      <c r="J251" t="s">
        <v>2939</v>
      </c>
      <c r="K251" t="s">
        <v>747</v>
      </c>
    </row>
    <row r="252" spans="1:11">
      <c r="A252">
        <v>251</v>
      </c>
      <c r="D252" t="s">
        <v>3125</v>
      </c>
      <c r="E252" t="s">
        <v>746</v>
      </c>
      <c r="G252" t="s">
        <v>7</v>
      </c>
      <c r="H252">
        <v>559.01</v>
      </c>
      <c r="I252">
        <v>0</v>
      </c>
      <c r="J252" t="s">
        <v>2938</v>
      </c>
      <c r="K252" t="s">
        <v>747</v>
      </c>
    </row>
    <row r="253" spans="1:11">
      <c r="A253">
        <v>252</v>
      </c>
      <c r="D253" t="s">
        <v>3125</v>
      </c>
      <c r="E253" t="s">
        <v>155</v>
      </c>
      <c r="G253" t="s">
        <v>135</v>
      </c>
      <c r="H253">
        <v>22</v>
      </c>
      <c r="I253">
        <v>0</v>
      </c>
      <c r="J253" t="s">
        <v>2938</v>
      </c>
      <c r="K253" t="s">
        <v>156</v>
      </c>
    </row>
    <row r="254" spans="1:11">
      <c r="A254">
        <v>253</v>
      </c>
      <c r="D254" t="s">
        <v>3125</v>
      </c>
      <c r="E254" t="s">
        <v>2171</v>
      </c>
      <c r="G254" t="s">
        <v>17</v>
      </c>
      <c r="H254">
        <v>6216</v>
      </c>
      <c r="I254">
        <v>0</v>
      </c>
      <c r="J254" t="s">
        <v>2938</v>
      </c>
      <c r="K254" t="s">
        <v>2172</v>
      </c>
    </row>
    <row r="255" spans="1:11">
      <c r="A255">
        <v>254</v>
      </c>
      <c r="D255" t="s">
        <v>3125</v>
      </c>
      <c r="E255" t="s">
        <v>169</v>
      </c>
      <c r="G255" t="s">
        <v>7</v>
      </c>
      <c r="H255">
        <v>7200</v>
      </c>
      <c r="I255">
        <v>0</v>
      </c>
      <c r="J255" t="s">
        <v>2938</v>
      </c>
      <c r="K255" t="s">
        <v>170</v>
      </c>
    </row>
    <row r="256" spans="1:11">
      <c r="A256">
        <v>255</v>
      </c>
      <c r="D256" t="s">
        <v>3125</v>
      </c>
      <c r="E256" t="s">
        <v>171</v>
      </c>
      <c r="G256" t="s">
        <v>7</v>
      </c>
      <c r="H256">
        <v>7200</v>
      </c>
      <c r="I256">
        <v>0</v>
      </c>
      <c r="J256" t="s">
        <v>2938</v>
      </c>
      <c r="K256" t="s">
        <v>172</v>
      </c>
    </row>
    <row r="257" spans="1:11">
      <c r="A257">
        <v>256</v>
      </c>
      <c r="D257" t="s">
        <v>3125</v>
      </c>
      <c r="E257" t="s">
        <v>175</v>
      </c>
      <c r="G257" t="s">
        <v>7</v>
      </c>
      <c r="H257">
        <v>12000</v>
      </c>
      <c r="I257">
        <v>0</v>
      </c>
      <c r="J257" t="s">
        <v>2938</v>
      </c>
      <c r="K257" t="s">
        <v>176</v>
      </c>
    </row>
    <row r="258" spans="1:11">
      <c r="A258">
        <v>257</v>
      </c>
      <c r="D258" t="s">
        <v>3125</v>
      </c>
      <c r="E258" t="s">
        <v>545</v>
      </c>
      <c r="G258" t="s">
        <v>7</v>
      </c>
      <c r="H258">
        <v>9000</v>
      </c>
      <c r="I258">
        <v>0</v>
      </c>
      <c r="J258" t="s">
        <v>2938</v>
      </c>
      <c r="K258" t="s">
        <v>546</v>
      </c>
    </row>
    <row r="259" spans="1:11">
      <c r="A259">
        <v>258</v>
      </c>
      <c r="D259" t="s">
        <v>3125</v>
      </c>
      <c r="E259" t="s">
        <v>601</v>
      </c>
      <c r="G259" t="s">
        <v>7</v>
      </c>
      <c r="H259">
        <v>15000</v>
      </c>
      <c r="I259">
        <v>0</v>
      </c>
      <c r="J259" t="s">
        <v>2938</v>
      </c>
      <c r="K259" t="s">
        <v>602</v>
      </c>
    </row>
    <row r="260" spans="1:11">
      <c r="A260">
        <v>259</v>
      </c>
      <c r="D260" t="s">
        <v>3125</v>
      </c>
      <c r="E260" t="s">
        <v>177</v>
      </c>
      <c r="G260" t="s">
        <v>7</v>
      </c>
      <c r="H260">
        <v>9900</v>
      </c>
      <c r="I260">
        <v>0</v>
      </c>
      <c r="J260" t="s">
        <v>2940</v>
      </c>
      <c r="K260" t="s">
        <v>178</v>
      </c>
    </row>
    <row r="261" spans="1:11">
      <c r="A261">
        <v>260</v>
      </c>
      <c r="D261" t="s">
        <v>3125</v>
      </c>
      <c r="E261" t="s">
        <v>177</v>
      </c>
      <c r="G261" t="s">
        <v>7</v>
      </c>
      <c r="H261">
        <v>19200</v>
      </c>
      <c r="I261">
        <v>0</v>
      </c>
      <c r="J261" t="s">
        <v>2938</v>
      </c>
      <c r="K261" t="s">
        <v>178</v>
      </c>
    </row>
    <row r="262" spans="1:11">
      <c r="A262">
        <v>261</v>
      </c>
      <c r="D262" t="s">
        <v>3125</v>
      </c>
      <c r="E262" t="s">
        <v>179</v>
      </c>
      <c r="G262" t="s">
        <v>7</v>
      </c>
      <c r="H262">
        <v>7200</v>
      </c>
      <c r="I262">
        <v>0</v>
      </c>
      <c r="J262" t="s">
        <v>2938</v>
      </c>
      <c r="K262" t="s">
        <v>180</v>
      </c>
    </row>
    <row r="263" spans="1:11">
      <c r="A263">
        <v>262</v>
      </c>
      <c r="D263" t="s">
        <v>3125</v>
      </c>
      <c r="E263" t="s">
        <v>167</v>
      </c>
      <c r="G263" t="s">
        <v>7</v>
      </c>
      <c r="H263">
        <v>7000</v>
      </c>
      <c r="I263">
        <v>0</v>
      </c>
      <c r="J263" t="s">
        <v>2940</v>
      </c>
      <c r="K263" t="s">
        <v>168</v>
      </c>
    </row>
    <row r="264" spans="1:11">
      <c r="A264">
        <v>263</v>
      </c>
      <c r="D264" t="s">
        <v>3125</v>
      </c>
      <c r="E264" t="s">
        <v>167</v>
      </c>
      <c r="G264" t="s">
        <v>7</v>
      </c>
      <c r="H264">
        <v>92100</v>
      </c>
      <c r="I264">
        <v>0</v>
      </c>
      <c r="J264" t="s">
        <v>2938</v>
      </c>
      <c r="K264" t="s">
        <v>168</v>
      </c>
    </row>
    <row r="265" spans="1:11">
      <c r="A265">
        <v>264</v>
      </c>
      <c r="D265" t="s">
        <v>3125</v>
      </c>
      <c r="E265" t="s">
        <v>165</v>
      </c>
      <c r="G265" t="s">
        <v>7</v>
      </c>
      <c r="H265">
        <v>7200</v>
      </c>
      <c r="I265">
        <v>0</v>
      </c>
      <c r="J265" t="s">
        <v>2938</v>
      </c>
      <c r="K265" t="s">
        <v>166</v>
      </c>
    </row>
    <row r="266" spans="1:11">
      <c r="A266">
        <v>265</v>
      </c>
      <c r="D266" t="s">
        <v>3125</v>
      </c>
      <c r="E266" t="s">
        <v>163</v>
      </c>
      <c r="G266" t="s">
        <v>7</v>
      </c>
      <c r="H266">
        <v>12000</v>
      </c>
      <c r="I266">
        <v>0</v>
      </c>
      <c r="J266" t="s">
        <v>2938</v>
      </c>
      <c r="K266" t="s">
        <v>164</v>
      </c>
    </row>
    <row r="267" spans="1:11">
      <c r="A267">
        <v>266</v>
      </c>
      <c r="D267" t="s">
        <v>3125</v>
      </c>
      <c r="E267" t="s">
        <v>173</v>
      </c>
      <c r="G267" t="s">
        <v>7</v>
      </c>
      <c r="H267">
        <v>21600</v>
      </c>
      <c r="I267">
        <v>0</v>
      </c>
      <c r="J267" t="s">
        <v>2938</v>
      </c>
      <c r="K267" t="s">
        <v>174</v>
      </c>
    </row>
    <row r="268" spans="1:11">
      <c r="A268">
        <v>267</v>
      </c>
      <c r="D268" t="s">
        <v>3125</v>
      </c>
      <c r="E268" t="s">
        <v>110</v>
      </c>
      <c r="G268" t="s">
        <v>7</v>
      </c>
      <c r="H268">
        <v>2500</v>
      </c>
      <c r="I268">
        <v>0</v>
      </c>
      <c r="J268" t="s">
        <v>2938</v>
      </c>
      <c r="K268" t="s">
        <v>111</v>
      </c>
    </row>
    <row r="269" spans="1:11">
      <c r="A269">
        <v>268</v>
      </c>
      <c r="D269" t="s">
        <v>3125</v>
      </c>
      <c r="E269" t="s">
        <v>181</v>
      </c>
      <c r="G269" t="s">
        <v>17</v>
      </c>
      <c r="H269">
        <v>398</v>
      </c>
      <c r="I269">
        <v>0</v>
      </c>
      <c r="J269" t="s">
        <v>2938</v>
      </c>
      <c r="K269" t="s">
        <v>182</v>
      </c>
    </row>
    <row r="270" spans="1:11">
      <c r="A270">
        <v>269</v>
      </c>
      <c r="D270" t="s">
        <v>3125</v>
      </c>
      <c r="E270" t="s">
        <v>1207</v>
      </c>
      <c r="G270" t="s">
        <v>17</v>
      </c>
      <c r="H270">
        <v>134</v>
      </c>
      <c r="I270">
        <v>0</v>
      </c>
      <c r="J270" t="s">
        <v>2938</v>
      </c>
      <c r="K270" t="s">
        <v>1208</v>
      </c>
    </row>
    <row r="271" spans="1:11">
      <c r="A271">
        <v>270</v>
      </c>
      <c r="D271" t="s">
        <v>3125</v>
      </c>
      <c r="E271" t="s">
        <v>1209</v>
      </c>
      <c r="G271" t="s">
        <v>17</v>
      </c>
      <c r="H271">
        <v>3</v>
      </c>
      <c r="I271">
        <v>0</v>
      </c>
      <c r="J271" t="s">
        <v>2938</v>
      </c>
      <c r="K271" t="s">
        <v>1210</v>
      </c>
    </row>
    <row r="272" spans="1:11">
      <c r="A272">
        <v>271</v>
      </c>
      <c r="D272" t="s">
        <v>3125</v>
      </c>
      <c r="E272" t="s">
        <v>2841</v>
      </c>
      <c r="G272" t="s">
        <v>17</v>
      </c>
      <c r="H272">
        <v>9</v>
      </c>
      <c r="I272">
        <v>0</v>
      </c>
      <c r="J272" t="s">
        <v>2938</v>
      </c>
      <c r="K272" t="s">
        <v>2842</v>
      </c>
    </row>
    <row r="273" spans="1:11">
      <c r="A273">
        <v>272</v>
      </c>
      <c r="D273" t="s">
        <v>3125</v>
      </c>
      <c r="E273" t="s">
        <v>3488</v>
      </c>
      <c r="G273" t="s">
        <v>17</v>
      </c>
      <c r="H273">
        <v>1300</v>
      </c>
      <c r="I273">
        <v>0</v>
      </c>
      <c r="J273" t="s">
        <v>2938</v>
      </c>
      <c r="K273" t="s">
        <v>3489</v>
      </c>
    </row>
    <row r="274" spans="1:11">
      <c r="A274">
        <v>273</v>
      </c>
      <c r="D274" t="s">
        <v>3125</v>
      </c>
      <c r="E274" t="s">
        <v>3494</v>
      </c>
      <c r="G274" t="s">
        <v>17</v>
      </c>
      <c r="H274">
        <v>1200</v>
      </c>
      <c r="I274">
        <v>0</v>
      </c>
      <c r="J274" t="s">
        <v>2938</v>
      </c>
      <c r="K274" t="s">
        <v>3495</v>
      </c>
    </row>
    <row r="275" spans="1:11">
      <c r="A275">
        <v>274</v>
      </c>
      <c r="D275" t="s">
        <v>3125</v>
      </c>
      <c r="E275" t="s">
        <v>3496</v>
      </c>
      <c r="G275" t="s">
        <v>17</v>
      </c>
      <c r="H275">
        <v>1200</v>
      </c>
      <c r="I275">
        <v>0</v>
      </c>
      <c r="J275" t="s">
        <v>2938</v>
      </c>
      <c r="K275" t="s">
        <v>3497</v>
      </c>
    </row>
    <row r="276" spans="1:11">
      <c r="A276">
        <v>275</v>
      </c>
      <c r="D276" t="s">
        <v>3125</v>
      </c>
      <c r="E276" t="s">
        <v>3502</v>
      </c>
      <c r="G276" t="s">
        <v>17</v>
      </c>
      <c r="H276">
        <v>300</v>
      </c>
      <c r="I276">
        <v>0</v>
      </c>
      <c r="J276" t="s">
        <v>2938</v>
      </c>
      <c r="K276" t="s">
        <v>3503</v>
      </c>
    </row>
    <row r="277" spans="1:11">
      <c r="A277">
        <v>276</v>
      </c>
      <c r="D277" t="s">
        <v>3125</v>
      </c>
      <c r="E277" t="s">
        <v>2849</v>
      </c>
      <c r="G277" t="s">
        <v>17</v>
      </c>
      <c r="H277">
        <v>150</v>
      </c>
      <c r="I277">
        <v>0</v>
      </c>
      <c r="J277" t="s">
        <v>2938</v>
      </c>
      <c r="K277" t="s">
        <v>3013</v>
      </c>
    </row>
    <row r="278" spans="1:11">
      <c r="A278">
        <v>277</v>
      </c>
      <c r="D278" t="s">
        <v>3125</v>
      </c>
      <c r="E278" t="s">
        <v>2811</v>
      </c>
      <c r="G278" t="s">
        <v>17</v>
      </c>
      <c r="H278">
        <v>150</v>
      </c>
      <c r="I278">
        <v>0</v>
      </c>
      <c r="J278" t="s">
        <v>2938</v>
      </c>
      <c r="K278" t="s">
        <v>3014</v>
      </c>
    </row>
    <row r="279" spans="1:11">
      <c r="A279">
        <v>278</v>
      </c>
      <c r="D279" t="s">
        <v>3125</v>
      </c>
      <c r="E279" t="s">
        <v>2813</v>
      </c>
      <c r="G279" t="s">
        <v>17</v>
      </c>
      <c r="H279">
        <v>500</v>
      </c>
      <c r="I279">
        <v>0</v>
      </c>
      <c r="J279" t="s">
        <v>2938</v>
      </c>
      <c r="K279" t="s">
        <v>3015</v>
      </c>
    </row>
    <row r="280" spans="1:11">
      <c r="A280">
        <v>279</v>
      </c>
      <c r="D280" t="s">
        <v>3125</v>
      </c>
      <c r="E280" t="s">
        <v>3490</v>
      </c>
      <c r="G280" t="s">
        <v>17</v>
      </c>
      <c r="H280">
        <v>1600</v>
      </c>
      <c r="I280">
        <v>0</v>
      </c>
      <c r="J280" t="s">
        <v>2938</v>
      </c>
      <c r="K280" t="s">
        <v>3491</v>
      </c>
    </row>
    <row r="281" spans="1:11">
      <c r="A281">
        <v>280</v>
      </c>
      <c r="D281" t="s">
        <v>3125</v>
      </c>
      <c r="E281" t="s">
        <v>3528</v>
      </c>
      <c r="G281" t="s">
        <v>17</v>
      </c>
      <c r="H281">
        <v>2100</v>
      </c>
      <c r="I281">
        <v>0</v>
      </c>
      <c r="J281" t="s">
        <v>2938</v>
      </c>
      <c r="K281" t="s">
        <v>3529</v>
      </c>
    </row>
    <row r="282" spans="1:11">
      <c r="A282">
        <v>281</v>
      </c>
      <c r="D282" t="s">
        <v>3125</v>
      </c>
      <c r="E282" t="s">
        <v>3498</v>
      </c>
      <c r="G282" t="s">
        <v>17</v>
      </c>
      <c r="H282">
        <v>3000</v>
      </c>
      <c r="I282">
        <v>0</v>
      </c>
      <c r="J282" t="s">
        <v>2938</v>
      </c>
      <c r="K282" t="s">
        <v>3499</v>
      </c>
    </row>
    <row r="283" spans="1:11">
      <c r="A283">
        <v>282</v>
      </c>
      <c r="D283" t="s">
        <v>3125</v>
      </c>
      <c r="E283" t="s">
        <v>3504</v>
      </c>
      <c r="G283" t="s">
        <v>17</v>
      </c>
      <c r="H283">
        <v>200</v>
      </c>
      <c r="I283">
        <v>0</v>
      </c>
      <c r="J283" t="s">
        <v>2938</v>
      </c>
      <c r="K283" t="s">
        <v>3505</v>
      </c>
    </row>
    <row r="284" spans="1:11">
      <c r="A284">
        <v>283</v>
      </c>
      <c r="D284" t="s">
        <v>3125</v>
      </c>
      <c r="E284" t="s">
        <v>3530</v>
      </c>
      <c r="G284" t="s">
        <v>17</v>
      </c>
      <c r="H284">
        <v>20</v>
      </c>
      <c r="I284">
        <v>0</v>
      </c>
      <c r="J284" t="s">
        <v>2938</v>
      </c>
      <c r="K284" t="s">
        <v>3531</v>
      </c>
    </row>
    <row r="285" spans="1:11">
      <c r="A285">
        <v>284</v>
      </c>
      <c r="D285" t="s">
        <v>3125</v>
      </c>
      <c r="E285" t="s">
        <v>3508</v>
      </c>
      <c r="G285" t="s">
        <v>17</v>
      </c>
      <c r="H285">
        <v>20</v>
      </c>
      <c r="I285">
        <v>0</v>
      </c>
      <c r="J285" t="s">
        <v>2938</v>
      </c>
      <c r="K285" t="s">
        <v>3509</v>
      </c>
    </row>
    <row r="286" spans="1:11">
      <c r="A286">
        <v>285</v>
      </c>
      <c r="D286" t="s">
        <v>3125</v>
      </c>
      <c r="E286" t="s">
        <v>3532</v>
      </c>
      <c r="G286" t="s">
        <v>17</v>
      </c>
      <c r="H286">
        <v>20</v>
      </c>
      <c r="I286">
        <v>0</v>
      </c>
      <c r="J286" t="s">
        <v>2938</v>
      </c>
      <c r="K286" t="s">
        <v>2816</v>
      </c>
    </row>
    <row r="287" spans="1:11">
      <c r="A287">
        <v>286</v>
      </c>
      <c r="D287" t="s">
        <v>3125</v>
      </c>
      <c r="E287" t="s">
        <v>2815</v>
      </c>
      <c r="G287" t="s">
        <v>17</v>
      </c>
      <c r="H287">
        <v>41</v>
      </c>
      <c r="I287">
        <v>0</v>
      </c>
      <c r="J287" t="s">
        <v>2938</v>
      </c>
      <c r="K287" t="s">
        <v>3017</v>
      </c>
    </row>
    <row r="288" spans="1:11">
      <c r="A288">
        <v>287</v>
      </c>
      <c r="D288" t="s">
        <v>3125</v>
      </c>
      <c r="E288" t="s">
        <v>2819</v>
      </c>
      <c r="G288" t="s">
        <v>17</v>
      </c>
      <c r="H288">
        <v>300</v>
      </c>
      <c r="I288">
        <v>0</v>
      </c>
      <c r="J288" t="s">
        <v>2938</v>
      </c>
      <c r="K288" t="s">
        <v>2820</v>
      </c>
    </row>
    <row r="289" spans="1:11">
      <c r="A289">
        <v>288</v>
      </c>
      <c r="D289" t="s">
        <v>3125</v>
      </c>
      <c r="E289" t="s">
        <v>2853</v>
      </c>
      <c r="G289" t="s">
        <v>17</v>
      </c>
      <c r="H289">
        <v>900</v>
      </c>
      <c r="I289">
        <v>0</v>
      </c>
      <c r="J289" t="s">
        <v>2938</v>
      </c>
      <c r="K289" t="s">
        <v>3099</v>
      </c>
    </row>
    <row r="290" spans="1:11">
      <c r="A290">
        <v>289</v>
      </c>
      <c r="D290" t="s">
        <v>3125</v>
      </c>
      <c r="E290" t="s">
        <v>3492</v>
      </c>
      <c r="G290" t="s">
        <v>17</v>
      </c>
      <c r="H290">
        <v>1650</v>
      </c>
      <c r="I290">
        <v>0</v>
      </c>
      <c r="J290" t="s">
        <v>2938</v>
      </c>
      <c r="K290" t="s">
        <v>3493</v>
      </c>
    </row>
    <row r="291" spans="1:11">
      <c r="A291">
        <v>290</v>
      </c>
      <c r="D291" t="s">
        <v>3125</v>
      </c>
      <c r="E291" t="s">
        <v>3533</v>
      </c>
      <c r="G291" t="s">
        <v>17</v>
      </c>
      <c r="H291">
        <v>2850</v>
      </c>
      <c r="I291">
        <v>0</v>
      </c>
      <c r="J291" t="s">
        <v>2938</v>
      </c>
      <c r="K291" t="s">
        <v>3534</v>
      </c>
    </row>
    <row r="292" spans="1:11">
      <c r="A292">
        <v>291</v>
      </c>
      <c r="D292" t="s">
        <v>3125</v>
      </c>
      <c r="E292" t="s">
        <v>3500</v>
      </c>
      <c r="G292" t="s">
        <v>17</v>
      </c>
      <c r="H292">
        <v>3000</v>
      </c>
      <c r="I292">
        <v>0</v>
      </c>
      <c r="J292" t="s">
        <v>2938</v>
      </c>
      <c r="K292" t="s">
        <v>3501</v>
      </c>
    </row>
    <row r="293" spans="1:11">
      <c r="A293">
        <v>292</v>
      </c>
      <c r="D293" t="s">
        <v>3125</v>
      </c>
      <c r="E293" t="s">
        <v>3506</v>
      </c>
      <c r="G293" t="s">
        <v>17</v>
      </c>
      <c r="H293">
        <v>50</v>
      </c>
      <c r="I293">
        <v>0</v>
      </c>
      <c r="J293" t="s">
        <v>2938</v>
      </c>
      <c r="K293" t="s">
        <v>3507</v>
      </c>
    </row>
    <row r="294" spans="1:11">
      <c r="A294">
        <v>293</v>
      </c>
      <c r="D294" t="s">
        <v>3125</v>
      </c>
      <c r="E294" t="s">
        <v>3535</v>
      </c>
      <c r="G294" t="s">
        <v>17</v>
      </c>
      <c r="H294">
        <v>20</v>
      </c>
      <c r="I294">
        <v>0</v>
      </c>
      <c r="J294" t="s">
        <v>2938</v>
      </c>
      <c r="K294" t="s">
        <v>3536</v>
      </c>
    </row>
    <row r="295" spans="1:11">
      <c r="A295">
        <v>294</v>
      </c>
      <c r="D295" t="s">
        <v>3125</v>
      </c>
      <c r="E295" t="s">
        <v>3510</v>
      </c>
      <c r="G295" t="s">
        <v>17</v>
      </c>
      <c r="H295">
        <v>20</v>
      </c>
      <c r="I295">
        <v>0</v>
      </c>
      <c r="J295" t="s">
        <v>2938</v>
      </c>
      <c r="K295" t="s">
        <v>3511</v>
      </c>
    </row>
    <row r="296" spans="1:11">
      <c r="A296">
        <v>295</v>
      </c>
      <c r="D296" t="s">
        <v>3125</v>
      </c>
      <c r="E296" t="s">
        <v>3537</v>
      </c>
      <c r="G296" t="s">
        <v>17</v>
      </c>
      <c r="H296">
        <v>20</v>
      </c>
      <c r="I296">
        <v>0</v>
      </c>
      <c r="J296" t="s">
        <v>2938</v>
      </c>
      <c r="K296" t="s">
        <v>2824</v>
      </c>
    </row>
    <row r="297" spans="1:11">
      <c r="A297">
        <v>296</v>
      </c>
      <c r="D297" t="s">
        <v>3125</v>
      </c>
      <c r="E297" t="s">
        <v>2823</v>
      </c>
      <c r="G297" t="s">
        <v>17</v>
      </c>
      <c r="H297">
        <v>35</v>
      </c>
      <c r="I297">
        <v>0</v>
      </c>
      <c r="J297" t="s">
        <v>2938</v>
      </c>
      <c r="K297" t="s">
        <v>3019</v>
      </c>
    </row>
    <row r="298" spans="1:11">
      <c r="A298">
        <v>297</v>
      </c>
      <c r="D298" t="s">
        <v>3125</v>
      </c>
      <c r="E298" t="s">
        <v>2827</v>
      </c>
      <c r="G298" t="s">
        <v>17</v>
      </c>
      <c r="H298">
        <v>200</v>
      </c>
      <c r="I298">
        <v>0</v>
      </c>
      <c r="J298" t="s">
        <v>2938</v>
      </c>
      <c r="K298" t="s">
        <v>2828</v>
      </c>
    </row>
    <row r="299" spans="1:11">
      <c r="A299">
        <v>298</v>
      </c>
      <c r="D299" t="s">
        <v>3125</v>
      </c>
      <c r="E299" t="s">
        <v>2831</v>
      </c>
      <c r="G299" t="s">
        <v>17</v>
      </c>
      <c r="H299">
        <v>15</v>
      </c>
      <c r="I299">
        <v>0</v>
      </c>
      <c r="J299" t="s">
        <v>2938</v>
      </c>
      <c r="K299" t="s">
        <v>2832</v>
      </c>
    </row>
    <row r="300" spans="1:11">
      <c r="A300">
        <v>299</v>
      </c>
      <c r="D300" t="s">
        <v>3125</v>
      </c>
      <c r="E300" t="s">
        <v>3538</v>
      </c>
      <c r="G300" t="s">
        <v>17</v>
      </c>
      <c r="H300">
        <v>20</v>
      </c>
      <c r="I300">
        <v>0</v>
      </c>
      <c r="J300" t="s">
        <v>2938</v>
      </c>
      <c r="K300" t="s">
        <v>3539</v>
      </c>
    </row>
    <row r="301" spans="1:11">
      <c r="A301">
        <v>300</v>
      </c>
      <c r="D301" t="s">
        <v>3125</v>
      </c>
      <c r="E301" t="s">
        <v>3512</v>
      </c>
      <c r="G301" t="s">
        <v>17</v>
      </c>
      <c r="H301">
        <v>20</v>
      </c>
      <c r="I301">
        <v>0</v>
      </c>
      <c r="J301" t="s">
        <v>2938</v>
      </c>
      <c r="K301" t="s">
        <v>3513</v>
      </c>
    </row>
    <row r="302" spans="1:11">
      <c r="A302">
        <v>301</v>
      </c>
      <c r="D302" t="s">
        <v>3125</v>
      </c>
      <c r="E302" t="s">
        <v>3540</v>
      </c>
      <c r="G302" t="s">
        <v>17</v>
      </c>
      <c r="H302">
        <v>20</v>
      </c>
      <c r="I302">
        <v>0</v>
      </c>
      <c r="J302" t="s">
        <v>2938</v>
      </c>
      <c r="K302" t="s">
        <v>2836</v>
      </c>
    </row>
    <row r="303" spans="1:11">
      <c r="A303">
        <v>302</v>
      </c>
      <c r="D303" t="s">
        <v>3125</v>
      </c>
      <c r="E303" t="s">
        <v>2835</v>
      </c>
      <c r="G303" t="s">
        <v>17</v>
      </c>
      <c r="H303">
        <v>40</v>
      </c>
      <c r="I303">
        <v>0</v>
      </c>
      <c r="J303" t="s">
        <v>2938</v>
      </c>
      <c r="K303" t="s">
        <v>3021</v>
      </c>
    </row>
    <row r="304" spans="1:11">
      <c r="A304">
        <v>303</v>
      </c>
      <c r="D304" t="s">
        <v>3125</v>
      </c>
      <c r="E304" t="s">
        <v>3541</v>
      </c>
      <c r="G304" t="s">
        <v>17</v>
      </c>
      <c r="H304">
        <v>20</v>
      </c>
      <c r="I304">
        <v>0</v>
      </c>
      <c r="J304" t="s">
        <v>2938</v>
      </c>
      <c r="K304" t="s">
        <v>3542</v>
      </c>
    </row>
    <row r="305" spans="1:11">
      <c r="A305">
        <v>304</v>
      </c>
      <c r="D305" t="s">
        <v>3125</v>
      </c>
      <c r="E305" t="s">
        <v>3514</v>
      </c>
      <c r="G305" t="s">
        <v>17</v>
      </c>
      <c r="H305">
        <v>20</v>
      </c>
      <c r="I305">
        <v>0</v>
      </c>
      <c r="J305" t="s">
        <v>2938</v>
      </c>
      <c r="K305" t="s">
        <v>3515</v>
      </c>
    </row>
    <row r="306" spans="1:11">
      <c r="A306">
        <v>305</v>
      </c>
      <c r="D306" t="s">
        <v>3125</v>
      </c>
      <c r="E306" t="s">
        <v>3543</v>
      </c>
      <c r="G306" t="s">
        <v>17</v>
      </c>
      <c r="H306">
        <v>20</v>
      </c>
      <c r="I306">
        <v>0</v>
      </c>
      <c r="J306" t="s">
        <v>2938</v>
      </c>
      <c r="K306" t="s">
        <v>2838</v>
      </c>
    </row>
    <row r="307" spans="1:11">
      <c r="A307">
        <v>306</v>
      </c>
      <c r="D307" t="s">
        <v>3125</v>
      </c>
      <c r="E307" t="s">
        <v>2837</v>
      </c>
      <c r="G307" t="s">
        <v>17</v>
      </c>
      <c r="H307">
        <v>43</v>
      </c>
      <c r="I307">
        <v>0</v>
      </c>
      <c r="J307" t="s">
        <v>2938</v>
      </c>
      <c r="K307" t="s">
        <v>3022</v>
      </c>
    </row>
    <row r="308" spans="1:11">
      <c r="A308">
        <v>307</v>
      </c>
      <c r="D308" t="s">
        <v>3125</v>
      </c>
      <c r="E308" t="s">
        <v>2839</v>
      </c>
      <c r="G308" t="s">
        <v>17</v>
      </c>
      <c r="H308">
        <v>14</v>
      </c>
      <c r="I308">
        <v>0</v>
      </c>
      <c r="J308" t="s">
        <v>2938</v>
      </c>
      <c r="K308" t="s">
        <v>2840</v>
      </c>
    </row>
    <row r="309" spans="1:11">
      <c r="A309">
        <v>308</v>
      </c>
      <c r="D309" t="s">
        <v>3125</v>
      </c>
      <c r="E309" t="s">
        <v>2855</v>
      </c>
      <c r="G309" t="s">
        <v>17</v>
      </c>
      <c r="H309">
        <v>750</v>
      </c>
      <c r="I309">
        <v>0</v>
      </c>
      <c r="J309" t="s">
        <v>2938</v>
      </c>
      <c r="K309" t="s">
        <v>3023</v>
      </c>
    </row>
    <row r="310" spans="1:11">
      <c r="A310">
        <v>309</v>
      </c>
      <c r="D310" t="s">
        <v>3125</v>
      </c>
      <c r="E310" t="s">
        <v>1211</v>
      </c>
      <c r="G310" t="s">
        <v>17</v>
      </c>
      <c r="H310">
        <v>153</v>
      </c>
      <c r="I310">
        <v>0</v>
      </c>
      <c r="J310" t="s">
        <v>2938</v>
      </c>
      <c r="K310" t="s">
        <v>1212</v>
      </c>
    </row>
    <row r="311" spans="1:11">
      <c r="A311">
        <v>310</v>
      </c>
      <c r="D311" t="s">
        <v>3125</v>
      </c>
      <c r="E311" t="s">
        <v>243</v>
      </c>
      <c r="G311" t="s">
        <v>20</v>
      </c>
      <c r="H311">
        <v>4.8</v>
      </c>
      <c r="I311">
        <v>0</v>
      </c>
      <c r="J311" t="s">
        <v>2938</v>
      </c>
      <c r="K311" t="s">
        <v>244</v>
      </c>
    </row>
    <row r="312" spans="1:11">
      <c r="A312">
        <v>311</v>
      </c>
      <c r="D312" t="s">
        <v>3125</v>
      </c>
      <c r="E312" t="s">
        <v>243</v>
      </c>
      <c r="G312" t="s">
        <v>20</v>
      </c>
      <c r="H312">
        <v>5</v>
      </c>
      <c r="I312">
        <v>0</v>
      </c>
      <c r="J312" t="s">
        <v>2940</v>
      </c>
      <c r="K312" t="s">
        <v>244</v>
      </c>
    </row>
    <row r="313" spans="1:11">
      <c r="A313">
        <v>312</v>
      </c>
      <c r="D313" t="s">
        <v>3125</v>
      </c>
      <c r="E313" t="s">
        <v>245</v>
      </c>
      <c r="G313" t="s">
        <v>17</v>
      </c>
      <c r="H313">
        <v>500</v>
      </c>
      <c r="I313">
        <v>0</v>
      </c>
      <c r="J313" t="s">
        <v>2938</v>
      </c>
      <c r="K313" t="s">
        <v>246</v>
      </c>
    </row>
    <row r="314" spans="1:11">
      <c r="A314">
        <v>313</v>
      </c>
      <c r="D314" t="s">
        <v>3125</v>
      </c>
      <c r="E314" t="s">
        <v>247</v>
      </c>
      <c r="G314" t="s">
        <v>17</v>
      </c>
      <c r="H314">
        <v>500</v>
      </c>
      <c r="I314">
        <v>0</v>
      </c>
      <c r="J314" t="s">
        <v>2938</v>
      </c>
      <c r="K314" t="s">
        <v>248</v>
      </c>
    </row>
    <row r="315" spans="1:11">
      <c r="A315">
        <v>314</v>
      </c>
      <c r="D315" t="s">
        <v>3125</v>
      </c>
      <c r="E315" t="s">
        <v>249</v>
      </c>
      <c r="G315" t="s">
        <v>17</v>
      </c>
      <c r="H315">
        <v>2000</v>
      </c>
      <c r="I315">
        <v>0</v>
      </c>
      <c r="J315" t="s">
        <v>2938</v>
      </c>
      <c r="K315" t="s">
        <v>250</v>
      </c>
    </row>
    <row r="316" spans="1:11">
      <c r="A316">
        <v>315</v>
      </c>
      <c r="D316" t="s">
        <v>3125</v>
      </c>
      <c r="E316" t="s">
        <v>251</v>
      </c>
      <c r="G316" t="s">
        <v>17</v>
      </c>
      <c r="H316">
        <v>1500</v>
      </c>
      <c r="I316">
        <v>0</v>
      </c>
      <c r="J316" t="s">
        <v>2938</v>
      </c>
      <c r="K316" t="s">
        <v>252</v>
      </c>
    </row>
    <row r="317" spans="1:11">
      <c r="A317">
        <v>316</v>
      </c>
      <c r="D317" t="s">
        <v>3125</v>
      </c>
      <c r="E317" t="s">
        <v>377</v>
      </c>
      <c r="G317" t="s">
        <v>17</v>
      </c>
      <c r="H317">
        <v>750</v>
      </c>
      <c r="I317">
        <v>0</v>
      </c>
      <c r="J317" t="s">
        <v>2938</v>
      </c>
      <c r="K317" t="s">
        <v>378</v>
      </c>
    </row>
    <row r="318" spans="1:11">
      <c r="A318">
        <v>317</v>
      </c>
      <c r="D318" t="s">
        <v>3125</v>
      </c>
      <c r="E318" t="s">
        <v>383</v>
      </c>
      <c r="G318" t="s">
        <v>7</v>
      </c>
      <c r="H318">
        <v>660</v>
      </c>
      <c r="I318">
        <v>0</v>
      </c>
      <c r="J318" t="s">
        <v>2938</v>
      </c>
      <c r="K318" t="s">
        <v>384</v>
      </c>
    </row>
    <row r="319" spans="1:11">
      <c r="A319">
        <v>318</v>
      </c>
      <c r="D319" t="s">
        <v>3125</v>
      </c>
      <c r="E319" t="s">
        <v>385</v>
      </c>
      <c r="G319" t="s">
        <v>7</v>
      </c>
      <c r="H319">
        <v>560</v>
      </c>
      <c r="I319">
        <v>0</v>
      </c>
      <c r="J319" t="s">
        <v>2938</v>
      </c>
      <c r="K319" t="s">
        <v>386</v>
      </c>
    </row>
    <row r="320" spans="1:11">
      <c r="A320">
        <v>319</v>
      </c>
      <c r="D320" t="s">
        <v>3125</v>
      </c>
      <c r="E320" t="s">
        <v>379</v>
      </c>
      <c r="G320" t="s">
        <v>17</v>
      </c>
      <c r="H320">
        <v>2000</v>
      </c>
      <c r="I320">
        <v>0</v>
      </c>
      <c r="J320" t="s">
        <v>2938</v>
      </c>
      <c r="K320" t="s">
        <v>380</v>
      </c>
    </row>
    <row r="321" spans="1:11">
      <c r="A321">
        <v>320</v>
      </c>
      <c r="D321" t="s">
        <v>3125</v>
      </c>
      <c r="E321" t="s">
        <v>381</v>
      </c>
      <c r="G321" t="s">
        <v>17</v>
      </c>
      <c r="H321">
        <v>800</v>
      </c>
      <c r="I321">
        <v>0</v>
      </c>
      <c r="J321" t="s">
        <v>2938</v>
      </c>
      <c r="K321" t="s">
        <v>382</v>
      </c>
    </row>
    <row r="322" spans="1:11">
      <c r="A322">
        <v>321</v>
      </c>
      <c r="D322" t="s">
        <v>3125</v>
      </c>
      <c r="E322" t="s">
        <v>387</v>
      </c>
      <c r="G322" t="s">
        <v>17</v>
      </c>
      <c r="H322">
        <v>600</v>
      </c>
      <c r="I322">
        <v>0</v>
      </c>
      <c r="J322" t="s">
        <v>2938</v>
      </c>
      <c r="K322" t="s">
        <v>388</v>
      </c>
    </row>
    <row r="323" spans="1:11">
      <c r="A323">
        <v>322</v>
      </c>
      <c r="D323" t="s">
        <v>3125</v>
      </c>
      <c r="E323" t="s">
        <v>774</v>
      </c>
      <c r="G323" t="s">
        <v>7</v>
      </c>
      <c r="H323">
        <v>481</v>
      </c>
      <c r="I323">
        <v>0</v>
      </c>
      <c r="J323" t="s">
        <v>2938</v>
      </c>
      <c r="K323" t="s">
        <v>3139</v>
      </c>
    </row>
    <row r="324" spans="1:11">
      <c r="A324">
        <v>323</v>
      </c>
      <c r="D324" t="s">
        <v>3125</v>
      </c>
      <c r="E324" t="s">
        <v>776</v>
      </c>
      <c r="G324" t="s">
        <v>7</v>
      </c>
      <c r="H324">
        <v>888</v>
      </c>
      <c r="I324">
        <v>0</v>
      </c>
      <c r="J324" t="s">
        <v>2938</v>
      </c>
      <c r="K324" t="s">
        <v>3140</v>
      </c>
    </row>
    <row r="325" spans="1:11">
      <c r="A325">
        <v>324</v>
      </c>
      <c r="D325" t="s">
        <v>3125</v>
      </c>
      <c r="E325" t="s">
        <v>778</v>
      </c>
      <c r="G325" t="s">
        <v>7</v>
      </c>
      <c r="H325">
        <v>277</v>
      </c>
      <c r="I325">
        <v>0</v>
      </c>
      <c r="J325" t="s">
        <v>2938</v>
      </c>
      <c r="K325" t="s">
        <v>3141</v>
      </c>
    </row>
    <row r="326" spans="1:11">
      <c r="A326">
        <v>325</v>
      </c>
      <c r="D326" t="s">
        <v>3125</v>
      </c>
      <c r="E326" t="s">
        <v>1500</v>
      </c>
      <c r="G326" t="s">
        <v>17</v>
      </c>
      <c r="H326">
        <v>67</v>
      </c>
      <c r="I326">
        <v>0</v>
      </c>
      <c r="J326" t="s">
        <v>2938</v>
      </c>
      <c r="K326" t="s">
        <v>1501</v>
      </c>
    </row>
    <row r="327" spans="1:11">
      <c r="A327">
        <v>326</v>
      </c>
      <c r="D327" t="s">
        <v>3125</v>
      </c>
      <c r="E327" t="s">
        <v>391</v>
      </c>
      <c r="G327" t="s">
        <v>17</v>
      </c>
      <c r="H327">
        <v>138</v>
      </c>
      <c r="I327">
        <v>0</v>
      </c>
      <c r="J327" t="s">
        <v>2938</v>
      </c>
      <c r="K327" t="s">
        <v>392</v>
      </c>
    </row>
    <row r="328" spans="1:11">
      <c r="A328">
        <v>327</v>
      </c>
      <c r="D328" t="s">
        <v>3125</v>
      </c>
      <c r="E328" t="s">
        <v>1552</v>
      </c>
      <c r="G328" t="s">
        <v>17</v>
      </c>
      <c r="H328">
        <v>7589</v>
      </c>
      <c r="I328">
        <v>0</v>
      </c>
      <c r="J328" t="s">
        <v>2938</v>
      </c>
      <c r="K328" t="s">
        <v>1553</v>
      </c>
    </row>
    <row r="329" spans="1:11">
      <c r="A329">
        <v>328</v>
      </c>
      <c r="D329" t="s">
        <v>3125</v>
      </c>
      <c r="E329" t="s">
        <v>2886</v>
      </c>
      <c r="G329" t="s">
        <v>17</v>
      </c>
      <c r="H329">
        <v>3705</v>
      </c>
      <c r="I329">
        <v>0</v>
      </c>
      <c r="J329" t="s">
        <v>2938</v>
      </c>
      <c r="K329" t="s">
        <v>2887</v>
      </c>
    </row>
    <row r="330" spans="1:11">
      <c r="A330">
        <v>329</v>
      </c>
      <c r="D330" t="s">
        <v>3125</v>
      </c>
      <c r="E330" t="s">
        <v>3258</v>
      </c>
      <c r="G330" t="s">
        <v>17</v>
      </c>
      <c r="H330">
        <v>7510</v>
      </c>
      <c r="I330">
        <v>0</v>
      </c>
      <c r="J330" t="s">
        <v>2938</v>
      </c>
      <c r="K330" t="s">
        <v>2877</v>
      </c>
    </row>
    <row r="331" spans="1:11">
      <c r="A331">
        <v>330</v>
      </c>
      <c r="D331" t="s">
        <v>3125</v>
      </c>
      <c r="E331" t="s">
        <v>800</v>
      </c>
      <c r="G331" t="s">
        <v>7</v>
      </c>
      <c r="H331">
        <v>627.29999999999995</v>
      </c>
      <c r="I331">
        <v>0</v>
      </c>
      <c r="J331" t="s">
        <v>2938</v>
      </c>
      <c r="K331" t="s">
        <v>801</v>
      </c>
    </row>
    <row r="332" spans="1:11">
      <c r="A332">
        <v>331</v>
      </c>
      <c r="D332" t="s">
        <v>3125</v>
      </c>
      <c r="E332" t="s">
        <v>802</v>
      </c>
      <c r="G332" t="s">
        <v>7</v>
      </c>
      <c r="H332">
        <v>2371.5</v>
      </c>
      <c r="I332">
        <v>0</v>
      </c>
      <c r="J332" t="s">
        <v>2938</v>
      </c>
      <c r="K332" t="s">
        <v>803</v>
      </c>
    </row>
    <row r="333" spans="1:11">
      <c r="A333">
        <v>332</v>
      </c>
      <c r="D333" t="s">
        <v>3125</v>
      </c>
      <c r="E333" t="s">
        <v>1502</v>
      </c>
      <c r="G333" t="s">
        <v>17</v>
      </c>
      <c r="H333">
        <v>57</v>
      </c>
      <c r="I333">
        <v>0</v>
      </c>
      <c r="J333" t="s">
        <v>2938</v>
      </c>
      <c r="K333" t="s">
        <v>1503</v>
      </c>
    </row>
    <row r="334" spans="1:11">
      <c r="A334">
        <v>333</v>
      </c>
      <c r="D334" t="s">
        <v>3125</v>
      </c>
      <c r="E334" t="s">
        <v>808</v>
      </c>
      <c r="G334" t="s">
        <v>7</v>
      </c>
      <c r="H334">
        <v>581</v>
      </c>
      <c r="I334">
        <v>0</v>
      </c>
      <c r="J334" t="s">
        <v>2938</v>
      </c>
      <c r="K334" t="s">
        <v>809</v>
      </c>
    </row>
    <row r="335" spans="1:11">
      <c r="A335">
        <v>334</v>
      </c>
      <c r="D335" t="s">
        <v>3125</v>
      </c>
      <c r="E335" t="s">
        <v>810</v>
      </c>
      <c r="G335" t="s">
        <v>7</v>
      </c>
      <c r="H335">
        <v>843.6</v>
      </c>
      <c r="I335">
        <v>0</v>
      </c>
      <c r="J335" t="s">
        <v>2938</v>
      </c>
      <c r="K335" t="s">
        <v>811</v>
      </c>
    </row>
    <row r="336" spans="1:11">
      <c r="A336">
        <v>335</v>
      </c>
      <c r="D336" t="s">
        <v>3125</v>
      </c>
      <c r="E336" t="s">
        <v>804</v>
      </c>
      <c r="G336" t="s">
        <v>7</v>
      </c>
      <c r="H336">
        <v>843</v>
      </c>
      <c r="I336">
        <v>0</v>
      </c>
      <c r="J336" t="s">
        <v>2938</v>
      </c>
      <c r="K336" t="s">
        <v>805</v>
      </c>
    </row>
    <row r="337" spans="1:11">
      <c r="A337">
        <v>336</v>
      </c>
      <c r="D337" t="s">
        <v>3125</v>
      </c>
      <c r="E337" t="s">
        <v>806</v>
      </c>
      <c r="G337" t="s">
        <v>7</v>
      </c>
      <c r="H337">
        <v>465.9</v>
      </c>
      <c r="I337">
        <v>0</v>
      </c>
      <c r="J337" t="s">
        <v>2938</v>
      </c>
      <c r="K337" t="s">
        <v>807</v>
      </c>
    </row>
    <row r="338" spans="1:11">
      <c r="A338">
        <v>337</v>
      </c>
      <c r="D338" t="s">
        <v>3125</v>
      </c>
      <c r="E338" t="s">
        <v>1554</v>
      </c>
      <c r="G338" t="s">
        <v>17</v>
      </c>
      <c r="H338">
        <v>900</v>
      </c>
      <c r="I338">
        <v>0</v>
      </c>
      <c r="J338" t="s">
        <v>2938</v>
      </c>
      <c r="K338" t="s">
        <v>1555</v>
      </c>
    </row>
    <row r="339" spans="1:11">
      <c r="A339">
        <v>338</v>
      </c>
      <c r="D339" t="s">
        <v>3125</v>
      </c>
      <c r="E339" t="s">
        <v>1213</v>
      </c>
      <c r="G339" t="s">
        <v>17</v>
      </c>
      <c r="H339">
        <v>10</v>
      </c>
      <c r="I339">
        <v>0</v>
      </c>
      <c r="J339" t="s">
        <v>2938</v>
      </c>
      <c r="K339" t="s">
        <v>1214</v>
      </c>
    </row>
    <row r="340" spans="1:11">
      <c r="A340">
        <v>339</v>
      </c>
      <c r="D340" t="s">
        <v>3125</v>
      </c>
      <c r="E340" t="s">
        <v>1269</v>
      </c>
      <c r="G340" t="s">
        <v>116</v>
      </c>
      <c r="H340">
        <v>2</v>
      </c>
      <c r="I340">
        <v>0</v>
      </c>
      <c r="J340" t="s">
        <v>2938</v>
      </c>
      <c r="K340" t="s">
        <v>1270</v>
      </c>
    </row>
    <row r="341" spans="1:11">
      <c r="A341">
        <v>340</v>
      </c>
      <c r="D341" t="s">
        <v>3125</v>
      </c>
      <c r="E341" t="s">
        <v>812</v>
      </c>
      <c r="G341" t="s">
        <v>7</v>
      </c>
      <c r="H341">
        <v>194.9</v>
      </c>
      <c r="I341">
        <v>0</v>
      </c>
      <c r="J341" t="s">
        <v>2938</v>
      </c>
      <c r="K341" t="s">
        <v>813</v>
      </c>
    </row>
    <row r="342" spans="1:11">
      <c r="A342">
        <v>341</v>
      </c>
      <c r="D342" t="s">
        <v>3125</v>
      </c>
      <c r="E342" t="s">
        <v>1550</v>
      </c>
      <c r="G342" t="s">
        <v>7</v>
      </c>
      <c r="H342">
        <v>2000</v>
      </c>
      <c r="I342">
        <v>0</v>
      </c>
      <c r="J342" t="s">
        <v>2938</v>
      </c>
      <c r="K342" t="s">
        <v>1551</v>
      </c>
    </row>
    <row r="343" spans="1:11">
      <c r="A343">
        <v>342</v>
      </c>
      <c r="D343" t="s">
        <v>3125</v>
      </c>
      <c r="E343" t="s">
        <v>1556</v>
      </c>
      <c r="G343" t="s">
        <v>17</v>
      </c>
      <c r="H343">
        <v>908</v>
      </c>
      <c r="I343">
        <v>0</v>
      </c>
      <c r="J343" t="s">
        <v>2938</v>
      </c>
      <c r="K343" t="s">
        <v>1557</v>
      </c>
    </row>
    <row r="344" spans="1:11">
      <c r="A344">
        <v>343</v>
      </c>
      <c r="D344" t="s">
        <v>3125</v>
      </c>
      <c r="E344" t="s">
        <v>822</v>
      </c>
      <c r="G344" t="s">
        <v>7</v>
      </c>
      <c r="H344">
        <v>92</v>
      </c>
      <c r="I344">
        <v>0</v>
      </c>
      <c r="J344" t="s">
        <v>2938</v>
      </c>
      <c r="K344" t="s">
        <v>823</v>
      </c>
    </row>
    <row r="345" spans="1:11">
      <c r="A345">
        <v>344</v>
      </c>
      <c r="D345" t="s">
        <v>3125</v>
      </c>
      <c r="E345" t="s">
        <v>814</v>
      </c>
      <c r="G345" t="s">
        <v>7</v>
      </c>
      <c r="H345">
        <v>298.39999999999998</v>
      </c>
      <c r="I345">
        <v>0</v>
      </c>
      <c r="J345" t="s">
        <v>2938</v>
      </c>
      <c r="K345" t="s">
        <v>815</v>
      </c>
    </row>
    <row r="346" spans="1:11">
      <c r="A346">
        <v>345</v>
      </c>
      <c r="D346" t="s">
        <v>3125</v>
      </c>
      <c r="E346" t="s">
        <v>824</v>
      </c>
      <c r="G346" t="s">
        <v>7</v>
      </c>
      <c r="H346">
        <v>505</v>
      </c>
      <c r="I346">
        <v>0</v>
      </c>
      <c r="J346" t="s">
        <v>2938</v>
      </c>
      <c r="K346" t="s">
        <v>825</v>
      </c>
    </row>
    <row r="347" spans="1:11">
      <c r="A347">
        <v>346</v>
      </c>
      <c r="D347" t="s">
        <v>3125</v>
      </c>
      <c r="E347" t="s">
        <v>820</v>
      </c>
      <c r="G347" t="s">
        <v>7</v>
      </c>
      <c r="H347">
        <v>432.8</v>
      </c>
      <c r="I347">
        <v>0</v>
      </c>
      <c r="J347" t="s">
        <v>2938</v>
      </c>
      <c r="K347" t="s">
        <v>821</v>
      </c>
    </row>
    <row r="348" spans="1:11">
      <c r="A348">
        <v>347</v>
      </c>
      <c r="D348" t="s">
        <v>3125</v>
      </c>
      <c r="E348" t="s">
        <v>818</v>
      </c>
      <c r="G348" t="s">
        <v>7</v>
      </c>
      <c r="H348">
        <v>215.82</v>
      </c>
      <c r="I348">
        <v>0</v>
      </c>
      <c r="J348" t="s">
        <v>2938</v>
      </c>
      <c r="K348" t="s">
        <v>819</v>
      </c>
    </row>
    <row r="349" spans="1:11">
      <c r="A349">
        <v>348</v>
      </c>
      <c r="D349" t="s">
        <v>3125</v>
      </c>
      <c r="E349" t="s">
        <v>1558</v>
      </c>
      <c r="G349" t="s">
        <v>17</v>
      </c>
      <c r="H349">
        <v>71</v>
      </c>
      <c r="I349">
        <v>0</v>
      </c>
      <c r="J349" t="s">
        <v>2938</v>
      </c>
      <c r="K349" t="s">
        <v>1559</v>
      </c>
    </row>
    <row r="350" spans="1:11">
      <c r="A350">
        <v>349</v>
      </c>
      <c r="D350" t="s">
        <v>3125</v>
      </c>
      <c r="E350" t="s">
        <v>1193</v>
      </c>
      <c r="G350" t="s">
        <v>17</v>
      </c>
      <c r="H350">
        <v>325</v>
      </c>
      <c r="I350">
        <v>0</v>
      </c>
      <c r="J350" t="s">
        <v>2938</v>
      </c>
      <c r="K350" t="s">
        <v>1194</v>
      </c>
    </row>
    <row r="351" spans="1:11">
      <c r="A351">
        <v>350</v>
      </c>
      <c r="D351" t="s">
        <v>3125</v>
      </c>
      <c r="E351" t="s">
        <v>1195</v>
      </c>
      <c r="G351" t="s">
        <v>17</v>
      </c>
      <c r="H351">
        <v>695</v>
      </c>
      <c r="I351">
        <v>0</v>
      </c>
      <c r="J351" t="s">
        <v>2938</v>
      </c>
      <c r="K351" t="s">
        <v>1196</v>
      </c>
    </row>
    <row r="352" spans="1:11">
      <c r="A352">
        <v>351</v>
      </c>
      <c r="D352" t="s">
        <v>3125</v>
      </c>
      <c r="E352" t="s">
        <v>1036</v>
      </c>
      <c r="G352" t="s">
        <v>17</v>
      </c>
      <c r="H352">
        <v>10250</v>
      </c>
      <c r="I352">
        <v>0</v>
      </c>
      <c r="J352" t="s">
        <v>2938</v>
      </c>
      <c r="K352" t="s">
        <v>1037</v>
      </c>
    </row>
    <row r="353" spans="1:11">
      <c r="A353">
        <v>352</v>
      </c>
      <c r="D353" t="s">
        <v>3125</v>
      </c>
      <c r="E353" t="s">
        <v>1215</v>
      </c>
      <c r="G353" t="s">
        <v>17</v>
      </c>
      <c r="H353">
        <v>40</v>
      </c>
      <c r="I353">
        <v>0</v>
      </c>
      <c r="J353" t="s">
        <v>2938</v>
      </c>
      <c r="K353" t="s">
        <v>1216</v>
      </c>
    </row>
    <row r="354" spans="1:11">
      <c r="A354">
        <v>353</v>
      </c>
      <c r="D354" t="s">
        <v>3125</v>
      </c>
      <c r="E354" t="s">
        <v>1217</v>
      </c>
      <c r="G354" t="s">
        <v>17</v>
      </c>
      <c r="H354">
        <v>215</v>
      </c>
      <c r="I354">
        <v>0</v>
      </c>
      <c r="J354" t="s">
        <v>2938</v>
      </c>
      <c r="K354" t="s">
        <v>1218</v>
      </c>
    </row>
    <row r="355" spans="1:11">
      <c r="A355">
        <v>354</v>
      </c>
      <c r="D355" t="s">
        <v>3125</v>
      </c>
      <c r="E355" t="s">
        <v>1504</v>
      </c>
      <c r="G355" t="s">
        <v>7</v>
      </c>
      <c r="H355">
        <v>360</v>
      </c>
      <c r="I355">
        <v>0</v>
      </c>
      <c r="J355" t="s">
        <v>2938</v>
      </c>
      <c r="K355" t="s">
        <v>1505</v>
      </c>
    </row>
    <row r="356" spans="1:11">
      <c r="A356">
        <v>355</v>
      </c>
      <c r="D356" t="s">
        <v>3125</v>
      </c>
      <c r="E356" t="s">
        <v>828</v>
      </c>
      <c r="G356" t="s">
        <v>17</v>
      </c>
      <c r="H356">
        <v>127</v>
      </c>
      <c r="I356">
        <v>0</v>
      </c>
      <c r="J356" t="s">
        <v>2938</v>
      </c>
      <c r="K356" t="s">
        <v>829</v>
      </c>
    </row>
    <row r="357" spans="1:11">
      <c r="A357">
        <v>356</v>
      </c>
      <c r="D357" t="s">
        <v>3125</v>
      </c>
      <c r="E357" t="s">
        <v>414</v>
      </c>
      <c r="G357" t="s">
        <v>17</v>
      </c>
      <c r="H357">
        <v>1150</v>
      </c>
      <c r="I357">
        <v>0</v>
      </c>
      <c r="J357" t="s">
        <v>2938</v>
      </c>
      <c r="K357" t="s">
        <v>415</v>
      </c>
    </row>
    <row r="358" spans="1:11">
      <c r="A358">
        <v>357</v>
      </c>
      <c r="D358" t="s">
        <v>3125</v>
      </c>
      <c r="E358" t="s">
        <v>422</v>
      </c>
      <c r="G358" t="s">
        <v>17</v>
      </c>
      <c r="H358">
        <v>84</v>
      </c>
      <c r="I358">
        <v>0</v>
      </c>
      <c r="J358" t="s">
        <v>2938</v>
      </c>
      <c r="K358" t="s">
        <v>423</v>
      </c>
    </row>
    <row r="359" spans="1:11">
      <c r="A359">
        <v>358</v>
      </c>
      <c r="D359" t="s">
        <v>3125</v>
      </c>
      <c r="E359" t="s">
        <v>426</v>
      </c>
      <c r="G359" t="s">
        <v>148</v>
      </c>
      <c r="H359">
        <v>20</v>
      </c>
      <c r="I359">
        <v>0</v>
      </c>
      <c r="J359" t="s">
        <v>2938</v>
      </c>
      <c r="K359" t="s">
        <v>427</v>
      </c>
    </row>
    <row r="360" spans="1:11">
      <c r="A360">
        <v>359</v>
      </c>
      <c r="D360" t="s">
        <v>3125</v>
      </c>
      <c r="E360" t="s">
        <v>424</v>
      </c>
      <c r="G360" t="s">
        <v>148</v>
      </c>
      <c r="H360">
        <v>396</v>
      </c>
      <c r="I360">
        <v>0</v>
      </c>
      <c r="J360" t="s">
        <v>2938</v>
      </c>
      <c r="K360" t="s">
        <v>425</v>
      </c>
    </row>
    <row r="361" spans="1:11">
      <c r="A361">
        <v>360</v>
      </c>
      <c r="D361" t="s">
        <v>3125</v>
      </c>
      <c r="E361" t="s">
        <v>1454</v>
      </c>
      <c r="G361" t="s">
        <v>17</v>
      </c>
      <c r="H361">
        <v>1302</v>
      </c>
      <c r="I361">
        <v>0</v>
      </c>
      <c r="J361" t="s">
        <v>2938</v>
      </c>
      <c r="K361" t="s">
        <v>1455</v>
      </c>
    </row>
    <row r="362" spans="1:11">
      <c r="A362">
        <v>361</v>
      </c>
      <c r="D362" t="s">
        <v>3125</v>
      </c>
      <c r="E362" t="s">
        <v>428</v>
      </c>
      <c r="G362" t="s">
        <v>17</v>
      </c>
      <c r="H362">
        <v>391</v>
      </c>
      <c r="I362">
        <v>0</v>
      </c>
      <c r="J362" t="s">
        <v>2938</v>
      </c>
      <c r="K362" t="s">
        <v>429</v>
      </c>
    </row>
    <row r="363" spans="1:11">
      <c r="A363">
        <v>362</v>
      </c>
      <c r="D363" t="s">
        <v>3125</v>
      </c>
      <c r="E363" t="s">
        <v>3667</v>
      </c>
      <c r="G363" t="s">
        <v>20</v>
      </c>
      <c r="H363">
        <v>76</v>
      </c>
      <c r="I363">
        <v>0</v>
      </c>
      <c r="J363" t="s">
        <v>2938</v>
      </c>
      <c r="K363" t="s">
        <v>3668</v>
      </c>
    </row>
    <row r="364" spans="1:11">
      <c r="A364">
        <v>363</v>
      </c>
      <c r="D364" t="s">
        <v>3125</v>
      </c>
      <c r="E364" t="s">
        <v>436</v>
      </c>
      <c r="G364" t="s">
        <v>20</v>
      </c>
      <c r="H364">
        <v>94.58</v>
      </c>
      <c r="I364">
        <v>0</v>
      </c>
      <c r="J364" t="s">
        <v>2938</v>
      </c>
      <c r="K364" t="s">
        <v>437</v>
      </c>
    </row>
    <row r="365" spans="1:11">
      <c r="A365">
        <v>364</v>
      </c>
      <c r="D365" t="s">
        <v>3125</v>
      </c>
      <c r="E365" t="s">
        <v>438</v>
      </c>
      <c r="G365" t="s">
        <v>20</v>
      </c>
      <c r="H365">
        <v>187.28</v>
      </c>
      <c r="I365">
        <v>0</v>
      </c>
      <c r="J365" t="s">
        <v>2938</v>
      </c>
      <c r="K365" t="s">
        <v>439</v>
      </c>
    </row>
    <row r="366" spans="1:11">
      <c r="A366">
        <v>365</v>
      </c>
      <c r="D366" t="s">
        <v>3125</v>
      </c>
      <c r="E366" t="s">
        <v>440</v>
      </c>
      <c r="G366" t="s">
        <v>20</v>
      </c>
      <c r="H366">
        <v>83.46</v>
      </c>
      <c r="I366">
        <v>0</v>
      </c>
      <c r="J366" t="s">
        <v>2938</v>
      </c>
      <c r="K366" t="s">
        <v>441</v>
      </c>
    </row>
    <row r="367" spans="1:11">
      <c r="A367">
        <v>366</v>
      </c>
      <c r="D367" t="s">
        <v>3125</v>
      </c>
      <c r="E367" t="s">
        <v>442</v>
      </c>
      <c r="G367" t="s">
        <v>20</v>
      </c>
      <c r="H367">
        <v>341.2</v>
      </c>
      <c r="I367">
        <v>0</v>
      </c>
      <c r="J367" t="s">
        <v>2938</v>
      </c>
      <c r="K367" t="s">
        <v>443</v>
      </c>
    </row>
    <row r="368" spans="1:11">
      <c r="A368">
        <v>367</v>
      </c>
      <c r="D368" t="s">
        <v>3125</v>
      </c>
      <c r="E368" t="s">
        <v>434</v>
      </c>
      <c r="G368" t="s">
        <v>20</v>
      </c>
      <c r="H368">
        <v>57.64</v>
      </c>
      <c r="I368">
        <v>0</v>
      </c>
      <c r="J368" t="s">
        <v>2938</v>
      </c>
      <c r="K368" t="s">
        <v>435</v>
      </c>
    </row>
    <row r="369" spans="1:11">
      <c r="A369">
        <v>368</v>
      </c>
      <c r="D369" t="s">
        <v>3125</v>
      </c>
      <c r="E369" t="s">
        <v>1798</v>
      </c>
      <c r="G369" t="s">
        <v>7</v>
      </c>
      <c r="H369">
        <v>1755</v>
      </c>
      <c r="I369">
        <v>0</v>
      </c>
      <c r="J369" t="s">
        <v>2938</v>
      </c>
      <c r="K369" t="s">
        <v>1799</v>
      </c>
    </row>
    <row r="370" spans="1:11">
      <c r="A370">
        <v>369</v>
      </c>
      <c r="D370" t="s">
        <v>3125</v>
      </c>
      <c r="E370" t="s">
        <v>1796</v>
      </c>
      <c r="G370" t="s">
        <v>7</v>
      </c>
      <c r="H370">
        <v>10302</v>
      </c>
      <c r="I370">
        <v>0</v>
      </c>
      <c r="J370" t="s">
        <v>2938</v>
      </c>
      <c r="K370" t="s">
        <v>1797</v>
      </c>
    </row>
    <row r="371" spans="1:11">
      <c r="A371">
        <v>370</v>
      </c>
      <c r="D371" t="s">
        <v>3125</v>
      </c>
      <c r="E371" t="s">
        <v>1092</v>
      </c>
      <c r="G371" t="s">
        <v>20</v>
      </c>
      <c r="H371">
        <v>455.48</v>
      </c>
      <c r="I371">
        <v>0</v>
      </c>
      <c r="J371" t="s">
        <v>2938</v>
      </c>
      <c r="K371" t="s">
        <v>1093</v>
      </c>
    </row>
    <row r="372" spans="1:11">
      <c r="A372">
        <v>371</v>
      </c>
      <c r="D372" t="s">
        <v>3125</v>
      </c>
      <c r="E372" t="s">
        <v>3460</v>
      </c>
      <c r="G372" t="s">
        <v>20</v>
      </c>
      <c r="H372">
        <v>100.8</v>
      </c>
      <c r="I372">
        <v>0</v>
      </c>
      <c r="J372" t="s">
        <v>2938</v>
      </c>
      <c r="K372" t="s">
        <v>3461</v>
      </c>
    </row>
    <row r="373" spans="1:11">
      <c r="A373">
        <v>372</v>
      </c>
      <c r="D373" t="s">
        <v>3125</v>
      </c>
      <c r="E373" t="s">
        <v>3462</v>
      </c>
      <c r="G373" t="s">
        <v>20</v>
      </c>
      <c r="H373">
        <v>78.88</v>
      </c>
      <c r="I373">
        <v>0</v>
      </c>
      <c r="J373" t="s">
        <v>2938</v>
      </c>
      <c r="K373" t="s">
        <v>3463</v>
      </c>
    </row>
    <row r="374" spans="1:11">
      <c r="A374">
        <v>373</v>
      </c>
      <c r="D374" t="s">
        <v>3125</v>
      </c>
      <c r="E374" t="s">
        <v>3464</v>
      </c>
      <c r="G374" t="s">
        <v>20</v>
      </c>
      <c r="H374">
        <v>108.32</v>
      </c>
      <c r="I374">
        <v>0</v>
      </c>
      <c r="J374" t="s">
        <v>2938</v>
      </c>
      <c r="K374" t="s">
        <v>3465</v>
      </c>
    </row>
    <row r="375" spans="1:11">
      <c r="A375">
        <v>374</v>
      </c>
      <c r="D375" t="s">
        <v>3125</v>
      </c>
      <c r="E375" t="s">
        <v>3466</v>
      </c>
      <c r="G375" t="s">
        <v>20</v>
      </c>
      <c r="H375">
        <v>48.4</v>
      </c>
      <c r="I375">
        <v>0</v>
      </c>
      <c r="J375" t="s">
        <v>2938</v>
      </c>
      <c r="K375" t="s">
        <v>3467</v>
      </c>
    </row>
    <row r="376" spans="1:11">
      <c r="A376">
        <v>375</v>
      </c>
      <c r="D376" t="s">
        <v>3125</v>
      </c>
      <c r="E376" t="s">
        <v>3468</v>
      </c>
      <c r="G376" t="s">
        <v>20</v>
      </c>
      <c r="H376">
        <v>98.32</v>
      </c>
      <c r="I376">
        <v>0</v>
      </c>
      <c r="J376" t="s">
        <v>2938</v>
      </c>
      <c r="K376" t="s">
        <v>3469</v>
      </c>
    </row>
    <row r="377" spans="1:11">
      <c r="A377">
        <v>376</v>
      </c>
      <c r="D377" t="s">
        <v>3125</v>
      </c>
      <c r="E377" t="s">
        <v>3470</v>
      </c>
      <c r="G377" t="s">
        <v>20</v>
      </c>
      <c r="H377">
        <v>55.66</v>
      </c>
      <c r="I377">
        <v>0</v>
      </c>
      <c r="J377" t="s">
        <v>2938</v>
      </c>
      <c r="K377" t="s">
        <v>3471</v>
      </c>
    </row>
    <row r="378" spans="1:11">
      <c r="A378">
        <v>377</v>
      </c>
      <c r="D378" t="s">
        <v>3125</v>
      </c>
      <c r="E378" t="s">
        <v>1094</v>
      </c>
      <c r="G378" t="s">
        <v>20</v>
      </c>
      <c r="H378">
        <v>613.6</v>
      </c>
      <c r="I378">
        <v>0</v>
      </c>
      <c r="J378" t="s">
        <v>2938</v>
      </c>
      <c r="K378" t="s">
        <v>1095</v>
      </c>
    </row>
    <row r="379" spans="1:11">
      <c r="A379">
        <v>378</v>
      </c>
      <c r="D379" t="s">
        <v>3125</v>
      </c>
      <c r="E379" t="s">
        <v>1096</v>
      </c>
      <c r="G379" t="s">
        <v>20</v>
      </c>
      <c r="H379">
        <v>811.88</v>
      </c>
      <c r="I379">
        <v>0</v>
      </c>
      <c r="J379" t="s">
        <v>2938</v>
      </c>
      <c r="K379" t="s">
        <v>1097</v>
      </c>
    </row>
    <row r="380" spans="1:11">
      <c r="A380">
        <v>379</v>
      </c>
      <c r="D380" t="s">
        <v>3125</v>
      </c>
      <c r="E380" t="s">
        <v>3472</v>
      </c>
      <c r="G380" t="s">
        <v>20</v>
      </c>
      <c r="H380">
        <v>103.66</v>
      </c>
      <c r="I380">
        <v>0</v>
      </c>
      <c r="J380" t="s">
        <v>2938</v>
      </c>
      <c r="K380" t="s">
        <v>3473</v>
      </c>
    </row>
    <row r="381" spans="1:11">
      <c r="A381">
        <v>380</v>
      </c>
      <c r="D381" t="s">
        <v>3125</v>
      </c>
      <c r="E381" t="s">
        <v>3474</v>
      </c>
      <c r="G381" t="s">
        <v>20</v>
      </c>
      <c r="H381">
        <v>43.08</v>
      </c>
      <c r="I381">
        <v>0</v>
      </c>
      <c r="J381" t="s">
        <v>2938</v>
      </c>
      <c r="K381" t="s">
        <v>3475</v>
      </c>
    </row>
    <row r="382" spans="1:11">
      <c r="A382">
        <v>381</v>
      </c>
      <c r="D382" t="s">
        <v>3125</v>
      </c>
      <c r="E382" t="s">
        <v>1098</v>
      </c>
      <c r="G382" t="s">
        <v>20</v>
      </c>
      <c r="H382">
        <v>404.95</v>
      </c>
      <c r="I382">
        <v>0</v>
      </c>
      <c r="J382" t="s">
        <v>2938</v>
      </c>
      <c r="K382" t="s">
        <v>1099</v>
      </c>
    </row>
    <row r="383" spans="1:11">
      <c r="A383">
        <v>382</v>
      </c>
      <c r="D383" t="s">
        <v>3125</v>
      </c>
      <c r="E383" t="s">
        <v>1100</v>
      </c>
      <c r="G383" t="s">
        <v>20</v>
      </c>
      <c r="H383">
        <v>437.78</v>
      </c>
      <c r="I383">
        <v>0</v>
      </c>
      <c r="J383" t="s">
        <v>2938</v>
      </c>
      <c r="K383" t="s">
        <v>1101</v>
      </c>
    </row>
    <row r="384" spans="1:11">
      <c r="A384">
        <v>383</v>
      </c>
      <c r="D384" t="s">
        <v>3125</v>
      </c>
      <c r="E384" t="s">
        <v>1102</v>
      </c>
      <c r="G384" t="s">
        <v>20</v>
      </c>
      <c r="H384">
        <v>439.27</v>
      </c>
      <c r="I384">
        <v>0</v>
      </c>
      <c r="J384" t="s">
        <v>2938</v>
      </c>
      <c r="K384" t="s">
        <v>1103</v>
      </c>
    </row>
    <row r="385" spans="1:11">
      <c r="A385">
        <v>384</v>
      </c>
      <c r="D385" t="s">
        <v>3125</v>
      </c>
      <c r="E385" t="s">
        <v>1104</v>
      </c>
      <c r="G385" t="s">
        <v>20</v>
      </c>
      <c r="H385">
        <v>677.2</v>
      </c>
      <c r="I385">
        <v>0</v>
      </c>
      <c r="J385" t="s">
        <v>2938</v>
      </c>
      <c r="K385" t="s">
        <v>1105</v>
      </c>
    </row>
    <row r="386" spans="1:11">
      <c r="A386">
        <v>385</v>
      </c>
      <c r="D386" t="s">
        <v>3125</v>
      </c>
      <c r="E386" t="s">
        <v>1532</v>
      </c>
      <c r="G386" t="s">
        <v>135</v>
      </c>
      <c r="H386">
        <v>4700</v>
      </c>
      <c r="I386">
        <v>0</v>
      </c>
      <c r="J386" t="s">
        <v>2938</v>
      </c>
      <c r="K386" t="s">
        <v>1533</v>
      </c>
    </row>
    <row r="387" spans="1:11">
      <c r="A387">
        <v>386</v>
      </c>
      <c r="D387" t="s">
        <v>3125</v>
      </c>
      <c r="E387" t="s">
        <v>1512</v>
      </c>
      <c r="G387" t="s">
        <v>17</v>
      </c>
      <c r="H387">
        <v>525</v>
      </c>
      <c r="I387">
        <v>0</v>
      </c>
      <c r="J387" t="s">
        <v>2938</v>
      </c>
      <c r="K387" t="s">
        <v>1513</v>
      </c>
    </row>
    <row r="388" spans="1:11">
      <c r="A388">
        <v>387</v>
      </c>
      <c r="D388" t="s">
        <v>3125</v>
      </c>
      <c r="E388" t="s">
        <v>1514</v>
      </c>
      <c r="G388" t="s">
        <v>135</v>
      </c>
      <c r="H388">
        <v>24000</v>
      </c>
      <c r="I388">
        <v>0</v>
      </c>
      <c r="J388" t="s">
        <v>2938</v>
      </c>
      <c r="K388" t="s">
        <v>1515</v>
      </c>
    </row>
    <row r="389" spans="1:11">
      <c r="A389">
        <v>388</v>
      </c>
      <c r="D389" t="s">
        <v>3125</v>
      </c>
      <c r="E389" t="s">
        <v>430</v>
      </c>
      <c r="G389" t="s">
        <v>17</v>
      </c>
      <c r="H389">
        <v>850</v>
      </c>
      <c r="I389">
        <v>0</v>
      </c>
      <c r="J389" t="s">
        <v>2938</v>
      </c>
      <c r="K389" t="s">
        <v>431</v>
      </c>
    </row>
    <row r="390" spans="1:11">
      <c r="A390">
        <v>389</v>
      </c>
      <c r="D390" t="s">
        <v>3125</v>
      </c>
      <c r="E390" t="s">
        <v>1560</v>
      </c>
      <c r="G390" t="s">
        <v>17</v>
      </c>
      <c r="H390">
        <v>1400</v>
      </c>
      <c r="I390">
        <v>0</v>
      </c>
      <c r="J390" t="s">
        <v>2938</v>
      </c>
      <c r="K390" t="s">
        <v>1561</v>
      </c>
    </row>
    <row r="391" spans="1:11">
      <c r="A391">
        <v>390</v>
      </c>
      <c r="D391" t="s">
        <v>3125</v>
      </c>
      <c r="E391" t="s">
        <v>1562</v>
      </c>
      <c r="G391" t="s">
        <v>17</v>
      </c>
      <c r="H391">
        <v>320</v>
      </c>
      <c r="I391">
        <v>0</v>
      </c>
      <c r="J391" t="s">
        <v>2938</v>
      </c>
      <c r="K391" t="s">
        <v>3142</v>
      </c>
    </row>
    <row r="392" spans="1:11">
      <c r="A392">
        <v>391</v>
      </c>
      <c r="D392" t="s">
        <v>3125</v>
      </c>
      <c r="E392" t="s">
        <v>832</v>
      </c>
      <c r="G392" t="s">
        <v>7</v>
      </c>
      <c r="H392">
        <v>2507</v>
      </c>
      <c r="I392">
        <v>0</v>
      </c>
      <c r="J392" t="s">
        <v>2938</v>
      </c>
      <c r="K392" t="s">
        <v>833</v>
      </c>
    </row>
    <row r="393" spans="1:11">
      <c r="A393">
        <v>392</v>
      </c>
      <c r="D393" t="s">
        <v>3125</v>
      </c>
      <c r="E393" t="s">
        <v>712</v>
      </c>
      <c r="G393" t="s">
        <v>7</v>
      </c>
      <c r="H393">
        <v>42.7</v>
      </c>
      <c r="I393">
        <v>0</v>
      </c>
      <c r="J393" t="s">
        <v>2938</v>
      </c>
      <c r="K393" t="s">
        <v>713</v>
      </c>
    </row>
    <row r="394" spans="1:11">
      <c r="A394">
        <v>393</v>
      </c>
      <c r="D394" t="s">
        <v>3125</v>
      </c>
      <c r="E394" t="s">
        <v>1219</v>
      </c>
      <c r="G394" t="s">
        <v>17</v>
      </c>
      <c r="H394">
        <v>26</v>
      </c>
      <c r="I394">
        <v>0</v>
      </c>
      <c r="J394" t="s">
        <v>2938</v>
      </c>
      <c r="K394" t="s">
        <v>1220</v>
      </c>
    </row>
    <row r="395" spans="1:11">
      <c r="A395">
        <v>394</v>
      </c>
      <c r="D395" t="s">
        <v>3125</v>
      </c>
      <c r="E395" t="s">
        <v>902</v>
      </c>
      <c r="G395" t="s">
        <v>17</v>
      </c>
      <c r="H395">
        <v>500</v>
      </c>
      <c r="I395">
        <v>0</v>
      </c>
      <c r="J395" t="s">
        <v>2938</v>
      </c>
      <c r="K395" t="s">
        <v>903</v>
      </c>
    </row>
    <row r="396" spans="1:11">
      <c r="A396">
        <v>395</v>
      </c>
      <c r="D396" t="s">
        <v>3125</v>
      </c>
      <c r="E396" t="s">
        <v>908</v>
      </c>
      <c r="G396" t="s">
        <v>17</v>
      </c>
      <c r="H396">
        <v>127</v>
      </c>
      <c r="I396">
        <v>0</v>
      </c>
      <c r="J396" t="s">
        <v>2938</v>
      </c>
      <c r="K396" t="s">
        <v>909</v>
      </c>
    </row>
    <row r="397" spans="1:11">
      <c r="A397">
        <v>396</v>
      </c>
      <c r="D397" t="s">
        <v>3125</v>
      </c>
      <c r="E397" t="s">
        <v>31</v>
      </c>
      <c r="G397" t="s">
        <v>20</v>
      </c>
      <c r="H397">
        <v>1575</v>
      </c>
      <c r="I397">
        <v>0</v>
      </c>
      <c r="J397" t="s">
        <v>2938</v>
      </c>
      <c r="K397" t="s">
        <v>32</v>
      </c>
    </row>
    <row r="398" spans="1:11">
      <c r="A398">
        <v>397</v>
      </c>
      <c r="D398" t="s">
        <v>3125</v>
      </c>
      <c r="E398" t="s">
        <v>1564</v>
      </c>
      <c r="G398" t="s">
        <v>17</v>
      </c>
      <c r="H398">
        <v>6000</v>
      </c>
      <c r="I398">
        <v>0</v>
      </c>
      <c r="J398" t="s">
        <v>2938</v>
      </c>
      <c r="K398" t="s">
        <v>1565</v>
      </c>
    </row>
    <row r="399" spans="1:11">
      <c r="A399">
        <v>398</v>
      </c>
      <c r="D399" t="s">
        <v>3125</v>
      </c>
      <c r="E399" t="s">
        <v>2453</v>
      </c>
      <c r="G399" t="s">
        <v>17</v>
      </c>
      <c r="H399">
        <v>290</v>
      </c>
      <c r="I399">
        <v>0</v>
      </c>
      <c r="J399" t="s">
        <v>2938</v>
      </c>
      <c r="K399" t="s">
        <v>2454</v>
      </c>
    </row>
    <row r="400" spans="1:11">
      <c r="A400">
        <v>399</v>
      </c>
      <c r="D400" t="s">
        <v>3125</v>
      </c>
      <c r="E400" t="s">
        <v>29</v>
      </c>
      <c r="G400" t="s">
        <v>17</v>
      </c>
      <c r="H400">
        <v>1600</v>
      </c>
      <c r="I400">
        <v>0</v>
      </c>
      <c r="J400" t="s">
        <v>2938</v>
      </c>
      <c r="K400" t="s">
        <v>30</v>
      </c>
    </row>
    <row r="401" spans="1:11">
      <c r="A401">
        <v>400</v>
      </c>
      <c r="D401" t="s">
        <v>3125</v>
      </c>
      <c r="E401" t="s">
        <v>3633</v>
      </c>
      <c r="G401" t="s">
        <v>7</v>
      </c>
      <c r="H401">
        <v>15</v>
      </c>
      <c r="I401">
        <v>0</v>
      </c>
      <c r="J401" t="s">
        <v>2938</v>
      </c>
      <c r="K401" t="s">
        <v>3634</v>
      </c>
    </row>
    <row r="402" spans="1:11">
      <c r="A402">
        <v>401</v>
      </c>
      <c r="D402" t="s">
        <v>3125</v>
      </c>
      <c r="E402" t="s">
        <v>792</v>
      </c>
      <c r="G402" t="s">
        <v>7</v>
      </c>
      <c r="H402">
        <v>10285.700000000001</v>
      </c>
      <c r="I402">
        <v>0</v>
      </c>
      <c r="J402" t="s">
        <v>2938</v>
      </c>
      <c r="K402" t="s">
        <v>793</v>
      </c>
    </row>
    <row r="403" spans="1:11">
      <c r="A403">
        <v>402</v>
      </c>
      <c r="D403" t="s">
        <v>3125</v>
      </c>
      <c r="E403" t="s">
        <v>794</v>
      </c>
      <c r="G403" t="s">
        <v>7</v>
      </c>
      <c r="H403">
        <v>2075.25</v>
      </c>
      <c r="I403">
        <v>0</v>
      </c>
      <c r="J403" t="s">
        <v>2938</v>
      </c>
      <c r="K403" t="s">
        <v>795</v>
      </c>
    </row>
    <row r="404" spans="1:11">
      <c r="A404">
        <v>403</v>
      </c>
      <c r="D404" t="s">
        <v>3125</v>
      </c>
      <c r="E404" t="s">
        <v>798</v>
      </c>
      <c r="G404" t="s">
        <v>7</v>
      </c>
      <c r="H404">
        <v>1249.7</v>
      </c>
      <c r="I404">
        <v>0</v>
      </c>
      <c r="J404" t="s">
        <v>2938</v>
      </c>
      <c r="K404" t="s">
        <v>799</v>
      </c>
    </row>
    <row r="405" spans="1:11">
      <c r="A405">
        <v>404</v>
      </c>
      <c r="D405" t="s">
        <v>3125</v>
      </c>
      <c r="E405" t="s">
        <v>790</v>
      </c>
      <c r="G405" t="s">
        <v>7</v>
      </c>
      <c r="H405">
        <v>7116.1</v>
      </c>
      <c r="I405">
        <v>0</v>
      </c>
      <c r="J405" t="s">
        <v>2938</v>
      </c>
      <c r="K405" t="s">
        <v>791</v>
      </c>
    </row>
    <row r="406" spans="1:11">
      <c r="A406">
        <v>405</v>
      </c>
      <c r="D406" t="s">
        <v>3125</v>
      </c>
      <c r="E406" t="s">
        <v>2512</v>
      </c>
      <c r="G406" t="s">
        <v>17</v>
      </c>
      <c r="H406">
        <v>2304</v>
      </c>
      <c r="I406">
        <v>0</v>
      </c>
      <c r="J406" t="s">
        <v>2938</v>
      </c>
      <c r="K406" t="s">
        <v>2513</v>
      </c>
    </row>
    <row r="407" spans="1:11">
      <c r="A407">
        <v>406</v>
      </c>
      <c r="D407" t="s">
        <v>3125</v>
      </c>
      <c r="E407" t="s">
        <v>3398</v>
      </c>
      <c r="G407" t="s">
        <v>17</v>
      </c>
      <c r="H407">
        <v>250</v>
      </c>
      <c r="I407">
        <v>0</v>
      </c>
      <c r="J407" t="s">
        <v>2938</v>
      </c>
      <c r="K407" t="s">
        <v>3399</v>
      </c>
    </row>
    <row r="408" spans="1:11">
      <c r="A408">
        <v>407</v>
      </c>
      <c r="D408" t="s">
        <v>3125</v>
      </c>
      <c r="E408" t="s">
        <v>1516</v>
      </c>
      <c r="G408" t="s">
        <v>17</v>
      </c>
      <c r="H408">
        <v>8600</v>
      </c>
      <c r="I408">
        <v>0</v>
      </c>
      <c r="J408" t="s">
        <v>2938</v>
      </c>
      <c r="K408" t="s">
        <v>1517</v>
      </c>
    </row>
    <row r="409" spans="1:11">
      <c r="A409">
        <v>408</v>
      </c>
      <c r="D409" t="s">
        <v>3125</v>
      </c>
      <c r="E409" t="s">
        <v>480</v>
      </c>
      <c r="G409" t="s">
        <v>17</v>
      </c>
      <c r="H409">
        <v>367</v>
      </c>
      <c r="I409">
        <v>0</v>
      </c>
      <c r="J409" t="s">
        <v>2938</v>
      </c>
      <c r="K409" t="s">
        <v>481</v>
      </c>
    </row>
    <row r="410" spans="1:11">
      <c r="A410">
        <v>409</v>
      </c>
      <c r="D410" t="s">
        <v>3125</v>
      </c>
      <c r="E410" t="s">
        <v>482</v>
      </c>
      <c r="G410" t="s">
        <v>17</v>
      </c>
      <c r="H410">
        <v>345</v>
      </c>
      <c r="I410">
        <v>0</v>
      </c>
      <c r="J410" t="s">
        <v>2938</v>
      </c>
      <c r="K410" t="s">
        <v>483</v>
      </c>
    </row>
    <row r="411" spans="1:11">
      <c r="A411">
        <v>410</v>
      </c>
      <c r="D411" t="s">
        <v>3125</v>
      </c>
      <c r="E411" t="s">
        <v>484</v>
      </c>
      <c r="G411" t="s">
        <v>17</v>
      </c>
      <c r="H411">
        <v>240</v>
      </c>
      <c r="I411">
        <v>0</v>
      </c>
      <c r="J411" t="s">
        <v>2938</v>
      </c>
      <c r="K411" t="s">
        <v>485</v>
      </c>
    </row>
    <row r="412" spans="1:11">
      <c r="A412">
        <v>411</v>
      </c>
      <c r="D412" t="s">
        <v>3125</v>
      </c>
      <c r="E412" t="s">
        <v>486</v>
      </c>
      <c r="G412" t="s">
        <v>17</v>
      </c>
      <c r="H412">
        <v>160</v>
      </c>
      <c r="I412">
        <v>0</v>
      </c>
      <c r="J412" t="s">
        <v>2938</v>
      </c>
      <c r="K412" t="s">
        <v>487</v>
      </c>
    </row>
    <row r="413" spans="1:11">
      <c r="A413">
        <v>412</v>
      </c>
      <c r="D413" t="s">
        <v>3125</v>
      </c>
      <c r="E413" t="s">
        <v>1518</v>
      </c>
      <c r="G413" t="s">
        <v>17</v>
      </c>
      <c r="H413">
        <v>974</v>
      </c>
      <c r="I413">
        <v>0</v>
      </c>
      <c r="J413" t="s">
        <v>2938</v>
      </c>
      <c r="K413" t="s">
        <v>1519</v>
      </c>
    </row>
    <row r="414" spans="1:11">
      <c r="A414">
        <v>413</v>
      </c>
      <c r="D414" t="s">
        <v>3125</v>
      </c>
      <c r="E414" t="s">
        <v>1522</v>
      </c>
      <c r="G414" t="s">
        <v>135</v>
      </c>
      <c r="H414">
        <v>4500</v>
      </c>
      <c r="I414">
        <v>0</v>
      </c>
      <c r="J414" t="s">
        <v>2938</v>
      </c>
      <c r="K414" t="s">
        <v>1523</v>
      </c>
    </row>
    <row r="415" spans="1:11">
      <c r="A415">
        <v>414</v>
      </c>
      <c r="D415" t="s">
        <v>3125</v>
      </c>
      <c r="E415" t="s">
        <v>1524</v>
      </c>
      <c r="G415" t="s">
        <v>17</v>
      </c>
      <c r="H415">
        <v>2000</v>
      </c>
      <c r="I415">
        <v>0</v>
      </c>
      <c r="J415" t="s">
        <v>2938</v>
      </c>
      <c r="K415" t="s">
        <v>1525</v>
      </c>
    </row>
    <row r="416" spans="1:11">
      <c r="A416">
        <v>415</v>
      </c>
      <c r="D416" t="s">
        <v>3125</v>
      </c>
      <c r="E416" t="s">
        <v>3388</v>
      </c>
      <c r="G416" t="s">
        <v>17</v>
      </c>
      <c r="H416">
        <v>250</v>
      </c>
      <c r="I416">
        <v>0</v>
      </c>
      <c r="J416" t="s">
        <v>2938</v>
      </c>
      <c r="K416" t="s">
        <v>3389</v>
      </c>
    </row>
    <row r="417" spans="1:11">
      <c r="A417">
        <v>416</v>
      </c>
      <c r="D417" t="s">
        <v>3125</v>
      </c>
      <c r="E417" t="s">
        <v>1624</v>
      </c>
      <c r="G417" t="s">
        <v>17</v>
      </c>
      <c r="H417">
        <v>563</v>
      </c>
      <c r="I417">
        <v>0</v>
      </c>
      <c r="J417" t="s">
        <v>2938</v>
      </c>
      <c r="K417" t="s">
        <v>1625</v>
      </c>
    </row>
    <row r="418" spans="1:11">
      <c r="A418">
        <v>417</v>
      </c>
      <c r="D418" t="s">
        <v>3125</v>
      </c>
      <c r="E418" t="s">
        <v>3390</v>
      </c>
      <c r="G418" t="s">
        <v>17</v>
      </c>
      <c r="H418">
        <v>230</v>
      </c>
      <c r="I418">
        <v>0</v>
      </c>
      <c r="J418" t="s">
        <v>2938</v>
      </c>
      <c r="K418" t="s">
        <v>3391</v>
      </c>
    </row>
    <row r="419" spans="1:11">
      <c r="A419">
        <v>418</v>
      </c>
      <c r="D419" t="s">
        <v>3125</v>
      </c>
      <c r="E419" t="s">
        <v>3392</v>
      </c>
      <c r="G419" t="s">
        <v>17</v>
      </c>
      <c r="H419">
        <v>1020</v>
      </c>
      <c r="I419">
        <v>0</v>
      </c>
      <c r="J419" t="s">
        <v>2938</v>
      </c>
      <c r="K419" t="s">
        <v>3393</v>
      </c>
    </row>
    <row r="420" spans="1:11">
      <c r="A420">
        <v>419</v>
      </c>
      <c r="D420" t="s">
        <v>3125</v>
      </c>
      <c r="E420" t="s">
        <v>3394</v>
      </c>
      <c r="G420" t="s">
        <v>17</v>
      </c>
      <c r="H420">
        <v>200</v>
      </c>
      <c r="I420">
        <v>0</v>
      </c>
      <c r="J420" t="s">
        <v>2938</v>
      </c>
      <c r="K420" t="s">
        <v>3395</v>
      </c>
    </row>
    <row r="421" spans="1:11">
      <c r="A421">
        <v>420</v>
      </c>
      <c r="D421" t="s">
        <v>3125</v>
      </c>
      <c r="E421" t="s">
        <v>3382</v>
      </c>
      <c r="G421" t="s">
        <v>17</v>
      </c>
      <c r="H421">
        <v>560</v>
      </c>
      <c r="I421">
        <v>0</v>
      </c>
      <c r="J421" t="s">
        <v>2938</v>
      </c>
      <c r="K421" t="s">
        <v>3383</v>
      </c>
    </row>
    <row r="422" spans="1:11">
      <c r="A422">
        <v>421</v>
      </c>
      <c r="D422" t="s">
        <v>3125</v>
      </c>
      <c r="E422" t="s">
        <v>2455</v>
      </c>
      <c r="G422" t="s">
        <v>17</v>
      </c>
      <c r="H422">
        <v>740</v>
      </c>
      <c r="I422">
        <v>0</v>
      </c>
      <c r="J422" t="s">
        <v>2938</v>
      </c>
      <c r="K422" t="s">
        <v>2456</v>
      </c>
    </row>
    <row r="423" spans="1:11">
      <c r="A423">
        <v>422</v>
      </c>
      <c r="D423" t="s">
        <v>3125</v>
      </c>
      <c r="E423" t="s">
        <v>2571</v>
      </c>
      <c r="G423" t="s">
        <v>17</v>
      </c>
      <c r="H423">
        <v>1500</v>
      </c>
      <c r="I423">
        <v>0</v>
      </c>
      <c r="J423" t="s">
        <v>2938</v>
      </c>
      <c r="K423" t="s">
        <v>2572</v>
      </c>
    </row>
    <row r="424" spans="1:11">
      <c r="A424">
        <v>423</v>
      </c>
      <c r="D424" t="s">
        <v>3125</v>
      </c>
      <c r="E424" t="s">
        <v>1626</v>
      </c>
      <c r="G424" t="s">
        <v>17</v>
      </c>
      <c r="H424">
        <v>2837</v>
      </c>
      <c r="I424">
        <v>0</v>
      </c>
      <c r="J424" t="s">
        <v>2938</v>
      </c>
      <c r="K424" t="s">
        <v>1627</v>
      </c>
    </row>
    <row r="425" spans="1:11">
      <c r="A425">
        <v>424</v>
      </c>
      <c r="D425" t="s">
        <v>3125</v>
      </c>
      <c r="E425" t="s">
        <v>834</v>
      </c>
      <c r="G425" t="s">
        <v>7</v>
      </c>
      <c r="H425">
        <v>190</v>
      </c>
      <c r="I425">
        <v>0</v>
      </c>
      <c r="J425" t="s">
        <v>2938</v>
      </c>
      <c r="K425" t="s">
        <v>835</v>
      </c>
    </row>
    <row r="426" spans="1:11">
      <c r="A426">
        <v>425</v>
      </c>
      <c r="D426" t="s">
        <v>3125</v>
      </c>
      <c r="E426" t="s">
        <v>836</v>
      </c>
      <c r="G426" t="s">
        <v>7</v>
      </c>
      <c r="H426">
        <v>360</v>
      </c>
      <c r="I426">
        <v>0</v>
      </c>
      <c r="J426" t="s">
        <v>2938</v>
      </c>
      <c r="K426" t="s">
        <v>837</v>
      </c>
    </row>
    <row r="427" spans="1:11">
      <c r="A427">
        <v>426</v>
      </c>
      <c r="D427" t="s">
        <v>3125</v>
      </c>
      <c r="E427" t="s">
        <v>3402</v>
      </c>
      <c r="G427" t="s">
        <v>17</v>
      </c>
      <c r="H427">
        <v>550</v>
      </c>
      <c r="I427">
        <v>0</v>
      </c>
      <c r="J427" t="s">
        <v>2938</v>
      </c>
      <c r="K427" t="s">
        <v>3403</v>
      </c>
    </row>
    <row r="428" spans="1:11">
      <c r="A428">
        <v>427</v>
      </c>
      <c r="D428" t="s">
        <v>3125</v>
      </c>
      <c r="E428" t="s">
        <v>3396</v>
      </c>
      <c r="G428" t="s">
        <v>17</v>
      </c>
      <c r="H428">
        <v>225</v>
      </c>
      <c r="I428">
        <v>0</v>
      </c>
      <c r="J428" t="s">
        <v>2938</v>
      </c>
      <c r="K428" t="s">
        <v>3397</v>
      </c>
    </row>
    <row r="429" spans="1:11">
      <c r="A429">
        <v>428</v>
      </c>
      <c r="D429" t="s">
        <v>3125</v>
      </c>
      <c r="E429" t="s">
        <v>2237</v>
      </c>
      <c r="G429" t="s">
        <v>17</v>
      </c>
      <c r="H429">
        <v>8</v>
      </c>
      <c r="I429">
        <v>0</v>
      </c>
      <c r="J429" t="s">
        <v>2938</v>
      </c>
      <c r="K429" t="s">
        <v>2238</v>
      </c>
    </row>
    <row r="430" spans="1:11">
      <c r="A430">
        <v>429</v>
      </c>
      <c r="D430" t="s">
        <v>3125</v>
      </c>
      <c r="E430" t="s">
        <v>3400</v>
      </c>
      <c r="G430" t="s">
        <v>17</v>
      </c>
      <c r="H430">
        <v>2500</v>
      </c>
      <c r="I430">
        <v>0</v>
      </c>
      <c r="J430" t="s">
        <v>2938</v>
      </c>
      <c r="K430" t="s">
        <v>3401</v>
      </c>
    </row>
    <row r="431" spans="1:11">
      <c r="A431">
        <v>430</v>
      </c>
      <c r="D431" t="s">
        <v>3125</v>
      </c>
      <c r="E431" t="s">
        <v>504</v>
      </c>
      <c r="G431" t="s">
        <v>17</v>
      </c>
      <c r="H431">
        <v>3000</v>
      </c>
      <c r="I431">
        <v>0</v>
      </c>
      <c r="J431" t="s">
        <v>2938</v>
      </c>
      <c r="K431" t="s">
        <v>505</v>
      </c>
    </row>
    <row r="432" spans="1:11">
      <c r="A432">
        <v>431</v>
      </c>
      <c r="D432" t="s">
        <v>3125</v>
      </c>
      <c r="E432" t="s">
        <v>1314</v>
      </c>
      <c r="G432" t="s">
        <v>7</v>
      </c>
      <c r="H432">
        <v>124</v>
      </c>
      <c r="I432">
        <v>0</v>
      </c>
      <c r="J432" t="s">
        <v>2938</v>
      </c>
      <c r="K432" t="s">
        <v>1315</v>
      </c>
    </row>
    <row r="433" spans="1:11">
      <c r="A433">
        <v>432</v>
      </c>
      <c r="D433" t="s">
        <v>3125</v>
      </c>
      <c r="E433" t="s">
        <v>1316</v>
      </c>
      <c r="G433" t="s">
        <v>7</v>
      </c>
      <c r="H433">
        <v>261.5</v>
      </c>
      <c r="I433">
        <v>0</v>
      </c>
      <c r="J433" t="s">
        <v>2938</v>
      </c>
      <c r="K433" t="s">
        <v>1317</v>
      </c>
    </row>
    <row r="434" spans="1:11">
      <c r="A434">
        <v>433</v>
      </c>
      <c r="D434" t="s">
        <v>3125</v>
      </c>
      <c r="E434" t="s">
        <v>498</v>
      </c>
      <c r="G434" t="s">
        <v>17</v>
      </c>
      <c r="H434">
        <v>4000</v>
      </c>
      <c r="I434">
        <v>0</v>
      </c>
      <c r="J434" t="s">
        <v>2938</v>
      </c>
      <c r="K434" t="s">
        <v>499</v>
      </c>
    </row>
    <row r="435" spans="1:11">
      <c r="A435">
        <v>434</v>
      </c>
      <c r="D435" t="s">
        <v>3125</v>
      </c>
      <c r="E435" t="s">
        <v>3454</v>
      </c>
      <c r="G435" t="s">
        <v>17</v>
      </c>
      <c r="H435">
        <v>1080</v>
      </c>
      <c r="I435">
        <v>0</v>
      </c>
      <c r="J435" t="s">
        <v>2938</v>
      </c>
      <c r="K435" t="s">
        <v>3455</v>
      </c>
    </row>
    <row r="436" spans="1:11">
      <c r="A436">
        <v>435</v>
      </c>
      <c r="D436" t="s">
        <v>3125</v>
      </c>
      <c r="E436" t="s">
        <v>3404</v>
      </c>
      <c r="G436" t="s">
        <v>17</v>
      </c>
      <c r="H436">
        <v>200</v>
      </c>
      <c r="I436">
        <v>0</v>
      </c>
      <c r="J436" t="s">
        <v>2938</v>
      </c>
      <c r="K436" t="s">
        <v>3405</v>
      </c>
    </row>
    <row r="437" spans="1:11">
      <c r="A437">
        <v>436</v>
      </c>
      <c r="D437" t="s">
        <v>3125</v>
      </c>
      <c r="E437" t="s">
        <v>1978</v>
      </c>
      <c r="G437" t="s">
        <v>7</v>
      </c>
      <c r="H437">
        <v>188.7</v>
      </c>
      <c r="I437">
        <v>0</v>
      </c>
      <c r="J437" t="s">
        <v>2938</v>
      </c>
      <c r="K437" t="s">
        <v>1979</v>
      </c>
    </row>
    <row r="438" spans="1:11">
      <c r="A438">
        <v>437</v>
      </c>
      <c r="D438" t="s">
        <v>3125</v>
      </c>
      <c r="E438" t="s">
        <v>2427</v>
      </c>
      <c r="G438" t="s">
        <v>17</v>
      </c>
      <c r="H438">
        <v>2500</v>
      </c>
      <c r="I438">
        <v>0</v>
      </c>
      <c r="J438" t="s">
        <v>2938</v>
      </c>
      <c r="K438" t="s">
        <v>2428</v>
      </c>
    </row>
    <row r="439" spans="1:11">
      <c r="A439">
        <v>438</v>
      </c>
      <c r="D439" t="s">
        <v>3125</v>
      </c>
      <c r="E439" t="s">
        <v>3406</v>
      </c>
      <c r="G439" t="s">
        <v>17</v>
      </c>
      <c r="H439">
        <v>876</v>
      </c>
      <c r="I439">
        <v>0</v>
      </c>
      <c r="J439" t="s">
        <v>2938</v>
      </c>
      <c r="K439" t="s">
        <v>3407</v>
      </c>
    </row>
    <row r="440" spans="1:11">
      <c r="A440">
        <v>439</v>
      </c>
      <c r="D440" t="s">
        <v>3125</v>
      </c>
      <c r="E440" t="s">
        <v>3410</v>
      </c>
      <c r="G440" t="s">
        <v>17</v>
      </c>
      <c r="H440">
        <v>1000</v>
      </c>
      <c r="I440">
        <v>0</v>
      </c>
      <c r="J440" t="s">
        <v>2938</v>
      </c>
      <c r="K440" t="s">
        <v>3411</v>
      </c>
    </row>
    <row r="441" spans="1:11">
      <c r="A441">
        <v>440</v>
      </c>
      <c r="D441" t="s">
        <v>3125</v>
      </c>
      <c r="E441" t="s">
        <v>3408</v>
      </c>
      <c r="G441" t="s">
        <v>17</v>
      </c>
      <c r="H441">
        <v>1180</v>
      </c>
      <c r="I441">
        <v>0</v>
      </c>
      <c r="J441" t="s">
        <v>2938</v>
      </c>
      <c r="K441" t="s">
        <v>3409</v>
      </c>
    </row>
    <row r="442" spans="1:11">
      <c r="A442">
        <v>441</v>
      </c>
      <c r="D442" t="s">
        <v>3125</v>
      </c>
      <c r="E442" t="s">
        <v>1223</v>
      </c>
      <c r="G442" t="s">
        <v>17</v>
      </c>
      <c r="H442">
        <v>2</v>
      </c>
      <c r="I442">
        <v>0</v>
      </c>
      <c r="J442" t="s">
        <v>2938</v>
      </c>
      <c r="K442" t="s">
        <v>1224</v>
      </c>
    </row>
    <row r="443" spans="1:11">
      <c r="A443">
        <v>442</v>
      </c>
      <c r="D443" t="s">
        <v>3125</v>
      </c>
      <c r="E443" t="s">
        <v>1221</v>
      </c>
      <c r="G443" t="s">
        <v>17</v>
      </c>
      <c r="H443">
        <v>3</v>
      </c>
      <c r="I443">
        <v>0</v>
      </c>
      <c r="J443" t="s">
        <v>2938</v>
      </c>
      <c r="K443" t="s">
        <v>1222</v>
      </c>
    </row>
    <row r="444" spans="1:11">
      <c r="A444">
        <v>443</v>
      </c>
      <c r="D444" t="s">
        <v>3125</v>
      </c>
      <c r="E444" t="s">
        <v>1225</v>
      </c>
      <c r="G444" t="s">
        <v>17</v>
      </c>
      <c r="H444">
        <v>2</v>
      </c>
      <c r="I444">
        <v>0</v>
      </c>
      <c r="J444" t="s">
        <v>2938</v>
      </c>
      <c r="K444" t="s">
        <v>1226</v>
      </c>
    </row>
    <row r="445" spans="1:11">
      <c r="A445">
        <v>444</v>
      </c>
      <c r="D445" t="s">
        <v>3125</v>
      </c>
      <c r="E445" t="s">
        <v>1229</v>
      </c>
      <c r="G445" t="s">
        <v>17</v>
      </c>
      <c r="H445">
        <v>7</v>
      </c>
      <c r="I445">
        <v>0</v>
      </c>
      <c r="J445" t="s">
        <v>2938</v>
      </c>
      <c r="K445" t="s">
        <v>1230</v>
      </c>
    </row>
    <row r="446" spans="1:11">
      <c r="A446">
        <v>445</v>
      </c>
      <c r="D446" t="s">
        <v>3125</v>
      </c>
      <c r="E446" t="s">
        <v>2797</v>
      </c>
      <c r="G446" t="s">
        <v>17</v>
      </c>
      <c r="H446">
        <v>81781</v>
      </c>
      <c r="I446">
        <v>0</v>
      </c>
      <c r="J446" t="s">
        <v>2938</v>
      </c>
      <c r="K446" t="s">
        <v>2798</v>
      </c>
    </row>
    <row r="447" spans="1:11">
      <c r="A447">
        <v>446</v>
      </c>
      <c r="D447" t="s">
        <v>3125</v>
      </c>
      <c r="E447" t="s">
        <v>3288</v>
      </c>
      <c r="G447" t="s">
        <v>7</v>
      </c>
      <c r="H447">
        <v>1100</v>
      </c>
      <c r="I447">
        <v>0</v>
      </c>
      <c r="J447" t="s">
        <v>2938</v>
      </c>
      <c r="K447" t="s">
        <v>3289</v>
      </c>
    </row>
    <row r="448" spans="1:11">
      <c r="A448">
        <v>447</v>
      </c>
      <c r="D448" t="s">
        <v>3125</v>
      </c>
      <c r="E448" t="s">
        <v>3284</v>
      </c>
      <c r="G448" t="s">
        <v>7</v>
      </c>
      <c r="H448">
        <v>1200</v>
      </c>
      <c r="I448">
        <v>0</v>
      </c>
      <c r="J448" t="s">
        <v>2938</v>
      </c>
      <c r="K448" t="s">
        <v>3285</v>
      </c>
    </row>
    <row r="449" spans="1:11">
      <c r="A449">
        <v>448</v>
      </c>
      <c r="D449" t="s">
        <v>3125</v>
      </c>
      <c r="E449" t="s">
        <v>3286</v>
      </c>
      <c r="G449" t="s">
        <v>7</v>
      </c>
      <c r="H449">
        <v>400</v>
      </c>
      <c r="I449">
        <v>0</v>
      </c>
      <c r="J449" t="s">
        <v>2938</v>
      </c>
      <c r="K449" t="s">
        <v>3287</v>
      </c>
    </row>
    <row r="450" spans="1:11">
      <c r="A450">
        <v>449</v>
      </c>
      <c r="D450" t="s">
        <v>3125</v>
      </c>
      <c r="E450" t="s">
        <v>3282</v>
      </c>
      <c r="G450" t="s">
        <v>7</v>
      </c>
      <c r="H450">
        <v>4100</v>
      </c>
      <c r="I450">
        <v>0</v>
      </c>
      <c r="J450" t="s">
        <v>2938</v>
      </c>
      <c r="K450" t="s">
        <v>3283</v>
      </c>
    </row>
    <row r="451" spans="1:11">
      <c r="A451">
        <v>450</v>
      </c>
      <c r="D451" t="s">
        <v>3125</v>
      </c>
      <c r="E451" t="s">
        <v>1289</v>
      </c>
      <c r="G451" t="s">
        <v>7</v>
      </c>
      <c r="H451">
        <v>1765.3</v>
      </c>
      <c r="I451">
        <v>0</v>
      </c>
      <c r="J451" t="s">
        <v>2938</v>
      </c>
      <c r="K451" t="s">
        <v>3274</v>
      </c>
    </row>
    <row r="452" spans="1:11">
      <c r="A452">
        <v>451</v>
      </c>
      <c r="D452" t="s">
        <v>3125</v>
      </c>
      <c r="E452" t="s">
        <v>2291</v>
      </c>
      <c r="G452" t="s">
        <v>17</v>
      </c>
      <c r="H452">
        <v>377</v>
      </c>
      <c r="I452">
        <v>0</v>
      </c>
      <c r="J452" t="s">
        <v>2938</v>
      </c>
      <c r="K452" t="s">
        <v>2292</v>
      </c>
    </row>
    <row r="453" spans="1:11">
      <c r="A453">
        <v>452</v>
      </c>
      <c r="D453" t="s">
        <v>3125</v>
      </c>
      <c r="E453" t="s">
        <v>2241</v>
      </c>
      <c r="G453" t="s">
        <v>7</v>
      </c>
      <c r="H453">
        <v>313</v>
      </c>
      <c r="I453">
        <v>0</v>
      </c>
      <c r="J453" t="s">
        <v>2938</v>
      </c>
      <c r="K453" t="s">
        <v>2242</v>
      </c>
    </row>
    <row r="454" spans="1:11">
      <c r="A454">
        <v>453</v>
      </c>
      <c r="D454" t="s">
        <v>3125</v>
      </c>
      <c r="E454" t="s">
        <v>2245</v>
      </c>
      <c r="G454" t="s">
        <v>7</v>
      </c>
      <c r="H454">
        <v>1536</v>
      </c>
      <c r="I454">
        <v>0</v>
      </c>
      <c r="J454" t="s">
        <v>2938</v>
      </c>
      <c r="K454" t="s">
        <v>2246</v>
      </c>
    </row>
    <row r="455" spans="1:11">
      <c r="A455">
        <v>454</v>
      </c>
      <c r="D455" t="s">
        <v>3125</v>
      </c>
      <c r="E455" t="s">
        <v>2243</v>
      </c>
      <c r="G455" t="s">
        <v>7</v>
      </c>
      <c r="H455">
        <v>742</v>
      </c>
      <c r="I455">
        <v>0</v>
      </c>
      <c r="J455" t="s">
        <v>2938</v>
      </c>
      <c r="K455" t="s">
        <v>2244</v>
      </c>
    </row>
    <row r="456" spans="1:11">
      <c r="A456">
        <v>455</v>
      </c>
      <c r="D456" t="s">
        <v>3125</v>
      </c>
      <c r="E456" t="s">
        <v>2335</v>
      </c>
      <c r="G456" t="s">
        <v>7</v>
      </c>
      <c r="H456">
        <v>1609</v>
      </c>
      <c r="I456">
        <v>0</v>
      </c>
      <c r="J456" t="s">
        <v>2938</v>
      </c>
      <c r="K456" t="s">
        <v>2336</v>
      </c>
    </row>
    <row r="457" spans="1:11">
      <c r="A457">
        <v>456</v>
      </c>
      <c r="D457" t="s">
        <v>3125</v>
      </c>
      <c r="E457" t="s">
        <v>2337</v>
      </c>
      <c r="G457" t="s">
        <v>7</v>
      </c>
      <c r="H457">
        <v>111</v>
      </c>
      <c r="I457">
        <v>0</v>
      </c>
      <c r="J457" t="s">
        <v>2938</v>
      </c>
      <c r="K457" t="s">
        <v>2338</v>
      </c>
    </row>
    <row r="458" spans="1:11">
      <c r="A458">
        <v>457</v>
      </c>
      <c r="D458" t="s">
        <v>3125</v>
      </c>
      <c r="E458" t="s">
        <v>2249</v>
      </c>
      <c r="G458" t="s">
        <v>7</v>
      </c>
      <c r="H458">
        <v>782</v>
      </c>
      <c r="I458">
        <v>0</v>
      </c>
      <c r="J458" t="s">
        <v>2938</v>
      </c>
      <c r="K458" t="s">
        <v>2250</v>
      </c>
    </row>
    <row r="459" spans="1:11">
      <c r="A459">
        <v>458</v>
      </c>
      <c r="D459" t="s">
        <v>3125</v>
      </c>
      <c r="E459" t="s">
        <v>2247</v>
      </c>
      <c r="G459" t="s">
        <v>7</v>
      </c>
      <c r="H459">
        <v>475</v>
      </c>
      <c r="I459">
        <v>0</v>
      </c>
      <c r="J459" t="s">
        <v>2938</v>
      </c>
      <c r="K459" t="s">
        <v>2248</v>
      </c>
    </row>
    <row r="460" spans="1:11">
      <c r="A460">
        <v>459</v>
      </c>
      <c r="D460" t="s">
        <v>3125</v>
      </c>
      <c r="E460" t="s">
        <v>2251</v>
      </c>
      <c r="G460" t="s">
        <v>7</v>
      </c>
      <c r="H460">
        <v>1552</v>
      </c>
      <c r="I460">
        <v>0</v>
      </c>
      <c r="J460" t="s">
        <v>2938</v>
      </c>
      <c r="K460" t="s">
        <v>2252</v>
      </c>
    </row>
    <row r="461" spans="1:11">
      <c r="A461">
        <v>460</v>
      </c>
      <c r="D461" t="s">
        <v>3125</v>
      </c>
      <c r="E461" t="s">
        <v>2589</v>
      </c>
      <c r="G461" t="s">
        <v>17</v>
      </c>
      <c r="H461">
        <v>20</v>
      </c>
      <c r="I461">
        <v>0</v>
      </c>
      <c r="J461" t="s">
        <v>2938</v>
      </c>
      <c r="K461" t="s">
        <v>2590</v>
      </c>
    </row>
    <row r="462" spans="1:11">
      <c r="A462">
        <v>461</v>
      </c>
      <c r="D462" t="s">
        <v>3125</v>
      </c>
      <c r="E462" t="s">
        <v>2514</v>
      </c>
      <c r="G462" t="s">
        <v>17</v>
      </c>
      <c r="H462">
        <v>65</v>
      </c>
      <c r="I462">
        <v>0</v>
      </c>
      <c r="J462" t="s">
        <v>2938</v>
      </c>
      <c r="K462" t="s">
        <v>2515</v>
      </c>
    </row>
    <row r="463" spans="1:11">
      <c r="A463">
        <v>462</v>
      </c>
      <c r="D463" t="s">
        <v>3125</v>
      </c>
      <c r="E463" t="s">
        <v>518</v>
      </c>
      <c r="G463" t="s">
        <v>7</v>
      </c>
      <c r="H463">
        <v>900</v>
      </c>
      <c r="I463">
        <v>0</v>
      </c>
      <c r="J463" t="s">
        <v>2938</v>
      </c>
      <c r="K463" t="s">
        <v>519</v>
      </c>
    </row>
    <row r="464" spans="1:11">
      <c r="A464">
        <v>463</v>
      </c>
      <c r="D464" t="s">
        <v>3125</v>
      </c>
      <c r="E464" t="s">
        <v>520</v>
      </c>
      <c r="G464" t="s">
        <v>7</v>
      </c>
      <c r="H464">
        <v>180</v>
      </c>
      <c r="I464">
        <v>0</v>
      </c>
      <c r="J464" t="s">
        <v>2939</v>
      </c>
      <c r="K464" t="s">
        <v>521</v>
      </c>
    </row>
    <row r="465" spans="1:11">
      <c r="A465">
        <v>464</v>
      </c>
      <c r="D465" t="s">
        <v>3125</v>
      </c>
      <c r="E465" t="s">
        <v>520</v>
      </c>
      <c r="G465" t="s">
        <v>7</v>
      </c>
      <c r="H465">
        <v>740</v>
      </c>
      <c r="I465">
        <v>0</v>
      </c>
      <c r="J465" t="s">
        <v>2938</v>
      </c>
      <c r="K465" t="s">
        <v>521</v>
      </c>
    </row>
    <row r="466" spans="1:11">
      <c r="A466">
        <v>465</v>
      </c>
      <c r="D466" t="s">
        <v>3125</v>
      </c>
      <c r="E466" t="s">
        <v>522</v>
      </c>
      <c r="G466" t="s">
        <v>7</v>
      </c>
      <c r="H466">
        <v>981</v>
      </c>
      <c r="I466">
        <v>0</v>
      </c>
      <c r="J466" t="s">
        <v>2938</v>
      </c>
      <c r="K466" t="s">
        <v>523</v>
      </c>
    </row>
    <row r="467" spans="1:11">
      <c r="A467">
        <v>466</v>
      </c>
      <c r="D467" t="s">
        <v>3125</v>
      </c>
      <c r="E467" t="s">
        <v>524</v>
      </c>
      <c r="G467" t="s">
        <v>7</v>
      </c>
      <c r="H467">
        <v>816</v>
      </c>
      <c r="I467">
        <v>0</v>
      </c>
      <c r="J467" t="s">
        <v>2938</v>
      </c>
      <c r="K467" t="s">
        <v>525</v>
      </c>
    </row>
    <row r="468" spans="1:11">
      <c r="A468">
        <v>467</v>
      </c>
      <c r="D468" t="s">
        <v>3125</v>
      </c>
      <c r="E468" t="s">
        <v>526</v>
      </c>
      <c r="G468" t="s">
        <v>17</v>
      </c>
      <c r="H468">
        <v>680</v>
      </c>
      <c r="I468">
        <v>0</v>
      </c>
      <c r="J468" t="s">
        <v>2938</v>
      </c>
      <c r="K468" t="s">
        <v>527</v>
      </c>
    </row>
    <row r="469" spans="1:11">
      <c r="A469">
        <v>468</v>
      </c>
      <c r="D469" t="s">
        <v>3125</v>
      </c>
      <c r="E469" t="s">
        <v>952</v>
      </c>
      <c r="G469" t="s">
        <v>17</v>
      </c>
      <c r="H469">
        <v>1157</v>
      </c>
      <c r="I469">
        <v>0</v>
      </c>
      <c r="J469" t="s">
        <v>2938</v>
      </c>
      <c r="K469" t="s">
        <v>953</v>
      </c>
    </row>
    <row r="470" spans="1:11">
      <c r="A470">
        <v>469</v>
      </c>
      <c r="D470" t="s">
        <v>3125</v>
      </c>
      <c r="E470" t="s">
        <v>954</v>
      </c>
      <c r="G470" t="s">
        <v>17</v>
      </c>
      <c r="H470">
        <v>1020</v>
      </c>
      <c r="I470">
        <v>0</v>
      </c>
      <c r="J470" t="s">
        <v>2938</v>
      </c>
      <c r="K470" t="s">
        <v>955</v>
      </c>
    </row>
    <row r="471" spans="1:11">
      <c r="A471">
        <v>470</v>
      </c>
      <c r="D471" t="s">
        <v>3125</v>
      </c>
      <c r="E471" t="s">
        <v>956</v>
      </c>
      <c r="G471" t="s">
        <v>17</v>
      </c>
      <c r="H471">
        <v>1165</v>
      </c>
      <c r="I471">
        <v>0</v>
      </c>
      <c r="J471" t="s">
        <v>2938</v>
      </c>
      <c r="K471" t="s">
        <v>957</v>
      </c>
    </row>
    <row r="472" spans="1:11">
      <c r="A472">
        <v>471</v>
      </c>
      <c r="D472" t="s">
        <v>3125</v>
      </c>
      <c r="E472" t="s">
        <v>958</v>
      </c>
      <c r="G472" t="s">
        <v>17</v>
      </c>
      <c r="H472">
        <v>570</v>
      </c>
      <c r="I472">
        <v>0</v>
      </c>
      <c r="J472" t="s">
        <v>2938</v>
      </c>
      <c r="K472" t="s">
        <v>959</v>
      </c>
    </row>
    <row r="473" spans="1:11">
      <c r="A473">
        <v>472</v>
      </c>
      <c r="D473" t="s">
        <v>3125</v>
      </c>
      <c r="E473" t="s">
        <v>960</v>
      </c>
      <c r="G473" t="s">
        <v>7</v>
      </c>
      <c r="H473">
        <v>720</v>
      </c>
      <c r="I473">
        <v>0</v>
      </c>
      <c r="J473" t="s">
        <v>2938</v>
      </c>
      <c r="K473" t="s">
        <v>961</v>
      </c>
    </row>
    <row r="474" spans="1:11">
      <c r="A474">
        <v>473</v>
      </c>
      <c r="D474" t="s">
        <v>3125</v>
      </c>
      <c r="E474" t="s">
        <v>962</v>
      </c>
      <c r="G474" t="s">
        <v>17</v>
      </c>
      <c r="H474">
        <v>1644</v>
      </c>
      <c r="I474">
        <v>0</v>
      </c>
      <c r="J474" t="s">
        <v>2938</v>
      </c>
      <c r="K474" t="s">
        <v>963</v>
      </c>
    </row>
    <row r="475" spans="1:11">
      <c r="A475">
        <v>474</v>
      </c>
      <c r="D475" t="s">
        <v>3125</v>
      </c>
      <c r="E475" t="s">
        <v>1294</v>
      </c>
      <c r="G475" t="s">
        <v>7</v>
      </c>
      <c r="H475">
        <v>140</v>
      </c>
      <c r="I475">
        <v>0</v>
      </c>
      <c r="J475" t="s">
        <v>2938</v>
      </c>
      <c r="K475" t="s">
        <v>3143</v>
      </c>
    </row>
    <row r="476" spans="1:11">
      <c r="A476">
        <v>475</v>
      </c>
      <c r="D476" t="s">
        <v>3125</v>
      </c>
      <c r="E476" t="s">
        <v>1292</v>
      </c>
      <c r="G476" t="s">
        <v>7</v>
      </c>
      <c r="H476">
        <v>120</v>
      </c>
      <c r="I476">
        <v>0</v>
      </c>
      <c r="J476" t="s">
        <v>2938</v>
      </c>
      <c r="K476" t="s">
        <v>1293</v>
      </c>
    </row>
    <row r="477" spans="1:11">
      <c r="A477">
        <v>476</v>
      </c>
      <c r="D477" t="s">
        <v>3125</v>
      </c>
      <c r="E477" t="s">
        <v>2343</v>
      </c>
      <c r="G477" t="s">
        <v>7</v>
      </c>
      <c r="H477">
        <v>1683.8</v>
      </c>
      <c r="I477">
        <v>0</v>
      </c>
      <c r="J477" t="s">
        <v>2938</v>
      </c>
      <c r="K477" t="s">
        <v>2344</v>
      </c>
    </row>
    <row r="478" spans="1:11">
      <c r="A478">
        <v>477</v>
      </c>
      <c r="D478" t="s">
        <v>3125</v>
      </c>
      <c r="E478" t="s">
        <v>2341</v>
      </c>
      <c r="G478" t="s">
        <v>7</v>
      </c>
      <c r="H478">
        <v>908.7</v>
      </c>
      <c r="I478">
        <v>0</v>
      </c>
      <c r="J478" t="s">
        <v>2938</v>
      </c>
      <c r="K478" t="s">
        <v>2342</v>
      </c>
    </row>
    <row r="479" spans="1:11">
      <c r="A479">
        <v>478</v>
      </c>
      <c r="D479" t="s">
        <v>3125</v>
      </c>
      <c r="E479" t="s">
        <v>1296</v>
      </c>
      <c r="G479" t="s">
        <v>7</v>
      </c>
      <c r="H479">
        <v>148.5</v>
      </c>
      <c r="I479">
        <v>0</v>
      </c>
      <c r="J479" t="s">
        <v>2938</v>
      </c>
      <c r="K479" t="s">
        <v>2967</v>
      </c>
    </row>
    <row r="480" spans="1:11">
      <c r="A480">
        <v>479</v>
      </c>
      <c r="D480" t="s">
        <v>3125</v>
      </c>
      <c r="E480" t="s">
        <v>1297</v>
      </c>
      <c r="G480" t="s">
        <v>7</v>
      </c>
      <c r="H480">
        <v>125</v>
      </c>
      <c r="I480">
        <v>0</v>
      </c>
      <c r="J480" t="s">
        <v>2938</v>
      </c>
      <c r="K480" t="s">
        <v>2968</v>
      </c>
    </row>
    <row r="481" spans="1:11">
      <c r="A481">
        <v>480</v>
      </c>
      <c r="D481" t="s">
        <v>3125</v>
      </c>
      <c r="E481" t="s">
        <v>1298</v>
      </c>
      <c r="G481" t="s">
        <v>7</v>
      </c>
      <c r="H481">
        <v>450</v>
      </c>
      <c r="I481">
        <v>0</v>
      </c>
      <c r="J481" t="s">
        <v>2938</v>
      </c>
      <c r="K481" t="s">
        <v>1299</v>
      </c>
    </row>
    <row r="482" spans="1:11">
      <c r="A482">
        <v>481</v>
      </c>
      <c r="D482" t="s">
        <v>3125</v>
      </c>
      <c r="E482" t="s">
        <v>1300</v>
      </c>
      <c r="G482" t="s">
        <v>7</v>
      </c>
      <c r="H482">
        <v>156</v>
      </c>
      <c r="I482">
        <v>0</v>
      </c>
      <c r="J482" t="s">
        <v>2940</v>
      </c>
      <c r="K482" t="s">
        <v>3144</v>
      </c>
    </row>
    <row r="483" spans="1:11">
      <c r="A483">
        <v>482</v>
      </c>
      <c r="D483" t="s">
        <v>3125</v>
      </c>
      <c r="E483" t="s">
        <v>2139</v>
      </c>
      <c r="G483" t="s">
        <v>7</v>
      </c>
      <c r="H483">
        <v>965</v>
      </c>
      <c r="I483">
        <v>0</v>
      </c>
      <c r="J483" t="s">
        <v>2938</v>
      </c>
      <c r="K483" t="s">
        <v>2969</v>
      </c>
    </row>
    <row r="484" spans="1:11">
      <c r="A484">
        <v>483</v>
      </c>
      <c r="D484" t="s">
        <v>3125</v>
      </c>
      <c r="E484" t="s">
        <v>2349</v>
      </c>
      <c r="G484" t="s">
        <v>7</v>
      </c>
      <c r="H484">
        <v>1425.2</v>
      </c>
      <c r="I484">
        <v>0</v>
      </c>
      <c r="J484" t="s">
        <v>2938</v>
      </c>
      <c r="K484" t="s">
        <v>2350</v>
      </c>
    </row>
    <row r="485" spans="1:11">
      <c r="A485">
        <v>484</v>
      </c>
      <c r="D485" t="s">
        <v>3125</v>
      </c>
      <c r="E485" t="s">
        <v>2098</v>
      </c>
      <c r="G485" t="s">
        <v>17</v>
      </c>
      <c r="H485">
        <v>194</v>
      </c>
      <c r="I485">
        <v>0</v>
      </c>
      <c r="J485" t="s">
        <v>2938</v>
      </c>
      <c r="K485" t="s">
        <v>2099</v>
      </c>
    </row>
    <row r="486" spans="1:11">
      <c r="A486">
        <v>485</v>
      </c>
      <c r="D486" t="s">
        <v>3125</v>
      </c>
      <c r="E486" t="s">
        <v>534</v>
      </c>
      <c r="G486" t="s">
        <v>7</v>
      </c>
      <c r="H486">
        <v>240</v>
      </c>
      <c r="I486">
        <v>0</v>
      </c>
      <c r="J486" t="s">
        <v>2938</v>
      </c>
      <c r="K486" t="s">
        <v>3032</v>
      </c>
    </row>
    <row r="487" spans="1:11">
      <c r="A487">
        <v>486</v>
      </c>
      <c r="D487" t="s">
        <v>3125</v>
      </c>
      <c r="E487" t="s">
        <v>1980</v>
      </c>
      <c r="G487" t="s">
        <v>7</v>
      </c>
      <c r="H487">
        <v>40</v>
      </c>
      <c r="I487">
        <v>0</v>
      </c>
      <c r="J487" t="s">
        <v>2938</v>
      </c>
      <c r="K487" t="s">
        <v>1981</v>
      </c>
    </row>
    <row r="488" spans="1:11">
      <c r="A488">
        <v>487</v>
      </c>
      <c r="D488" t="s">
        <v>3125</v>
      </c>
      <c r="E488" t="s">
        <v>1982</v>
      </c>
      <c r="G488" t="s">
        <v>7</v>
      </c>
      <c r="H488">
        <v>120</v>
      </c>
      <c r="I488">
        <v>0</v>
      </c>
      <c r="J488" t="s">
        <v>2938</v>
      </c>
      <c r="K488" t="s">
        <v>1983</v>
      </c>
    </row>
    <row r="489" spans="1:11">
      <c r="A489">
        <v>488</v>
      </c>
      <c r="D489" t="s">
        <v>3125</v>
      </c>
      <c r="E489" t="s">
        <v>2090</v>
      </c>
      <c r="G489" t="s">
        <v>17</v>
      </c>
      <c r="H489">
        <v>1140</v>
      </c>
      <c r="I489">
        <v>0</v>
      </c>
      <c r="J489" t="s">
        <v>2938</v>
      </c>
      <c r="K489" t="s">
        <v>2091</v>
      </c>
    </row>
    <row r="490" spans="1:11">
      <c r="A490">
        <v>489</v>
      </c>
      <c r="D490" t="s">
        <v>3125</v>
      </c>
      <c r="E490" t="s">
        <v>2518</v>
      </c>
      <c r="G490" t="s">
        <v>17</v>
      </c>
      <c r="H490">
        <v>210</v>
      </c>
      <c r="I490">
        <v>0</v>
      </c>
      <c r="J490" t="s">
        <v>2938</v>
      </c>
      <c r="K490" t="s">
        <v>2519</v>
      </c>
    </row>
    <row r="491" spans="1:11">
      <c r="A491">
        <v>490</v>
      </c>
      <c r="D491" t="s">
        <v>3125</v>
      </c>
      <c r="E491" t="s">
        <v>2516</v>
      </c>
      <c r="G491" t="s">
        <v>17</v>
      </c>
      <c r="H491">
        <v>119</v>
      </c>
      <c r="I491">
        <v>0</v>
      </c>
      <c r="J491" t="s">
        <v>2938</v>
      </c>
      <c r="K491" t="s">
        <v>2517</v>
      </c>
    </row>
    <row r="492" spans="1:11">
      <c r="A492">
        <v>491</v>
      </c>
      <c r="D492" t="s">
        <v>3125</v>
      </c>
      <c r="E492" t="s">
        <v>2094</v>
      </c>
      <c r="G492" t="s">
        <v>17</v>
      </c>
      <c r="H492">
        <v>60</v>
      </c>
      <c r="I492">
        <v>0</v>
      </c>
      <c r="J492" t="s">
        <v>2938</v>
      </c>
      <c r="K492" t="s">
        <v>2095</v>
      </c>
    </row>
    <row r="493" spans="1:11">
      <c r="A493">
        <v>492</v>
      </c>
      <c r="D493" t="s">
        <v>3125</v>
      </c>
      <c r="E493" t="s">
        <v>2185</v>
      </c>
      <c r="G493" t="s">
        <v>17</v>
      </c>
      <c r="H493">
        <v>1000</v>
      </c>
      <c r="I493">
        <v>0</v>
      </c>
      <c r="J493" t="s">
        <v>2938</v>
      </c>
      <c r="K493" t="s">
        <v>2186</v>
      </c>
    </row>
    <row r="494" spans="1:11">
      <c r="A494">
        <v>493</v>
      </c>
      <c r="D494" t="s">
        <v>3125</v>
      </c>
      <c r="E494" t="s">
        <v>2036</v>
      </c>
      <c r="G494" t="s">
        <v>17</v>
      </c>
      <c r="H494">
        <v>150</v>
      </c>
      <c r="I494">
        <v>0</v>
      </c>
      <c r="J494" t="s">
        <v>2938</v>
      </c>
      <c r="K494" t="s">
        <v>2037</v>
      </c>
    </row>
    <row r="495" spans="1:11">
      <c r="A495">
        <v>494</v>
      </c>
      <c r="D495" t="s">
        <v>3125</v>
      </c>
      <c r="E495" t="s">
        <v>2066</v>
      </c>
      <c r="G495" t="s">
        <v>17</v>
      </c>
      <c r="H495">
        <v>1820</v>
      </c>
      <c r="I495">
        <v>0</v>
      </c>
      <c r="J495" t="s">
        <v>2938</v>
      </c>
      <c r="K495" t="s">
        <v>2067</v>
      </c>
    </row>
    <row r="496" spans="1:11">
      <c r="A496">
        <v>495</v>
      </c>
      <c r="D496" t="s">
        <v>3125</v>
      </c>
      <c r="E496" t="s">
        <v>2064</v>
      </c>
      <c r="G496" t="s">
        <v>17</v>
      </c>
      <c r="H496">
        <v>794</v>
      </c>
      <c r="I496">
        <v>0</v>
      </c>
      <c r="J496" t="s">
        <v>2938</v>
      </c>
      <c r="K496" t="s">
        <v>2065</v>
      </c>
    </row>
    <row r="497" spans="1:11">
      <c r="A497">
        <v>496</v>
      </c>
      <c r="D497" t="s">
        <v>3125</v>
      </c>
      <c r="E497" t="s">
        <v>1984</v>
      </c>
      <c r="G497" t="s">
        <v>7</v>
      </c>
      <c r="H497">
        <v>971.5</v>
      </c>
      <c r="I497">
        <v>0</v>
      </c>
      <c r="J497" t="s">
        <v>2938</v>
      </c>
      <c r="K497" t="s">
        <v>1985</v>
      </c>
    </row>
    <row r="498" spans="1:11">
      <c r="A498">
        <v>497</v>
      </c>
      <c r="D498" t="s">
        <v>3125</v>
      </c>
      <c r="E498" t="s">
        <v>922</v>
      </c>
      <c r="G498" t="s">
        <v>20</v>
      </c>
      <c r="H498">
        <v>265.60000000000002</v>
      </c>
      <c r="I498">
        <v>0</v>
      </c>
      <c r="J498" t="s">
        <v>2938</v>
      </c>
      <c r="K498" t="s">
        <v>923</v>
      </c>
    </row>
    <row r="499" spans="1:11">
      <c r="A499">
        <v>498</v>
      </c>
      <c r="D499" t="s">
        <v>3125</v>
      </c>
      <c r="E499" t="s">
        <v>2080</v>
      </c>
      <c r="G499" t="s">
        <v>17</v>
      </c>
      <c r="H499">
        <v>205</v>
      </c>
      <c r="I499">
        <v>0</v>
      </c>
      <c r="J499" t="s">
        <v>2938</v>
      </c>
      <c r="K499" t="s">
        <v>2081</v>
      </c>
    </row>
    <row r="500" spans="1:11">
      <c r="A500">
        <v>499</v>
      </c>
      <c r="D500" t="s">
        <v>3125</v>
      </c>
      <c r="E500" t="s">
        <v>2070</v>
      </c>
      <c r="G500" t="s">
        <v>17</v>
      </c>
      <c r="H500">
        <v>900</v>
      </c>
      <c r="I500">
        <v>0</v>
      </c>
      <c r="J500" t="s">
        <v>2938</v>
      </c>
      <c r="K500" t="s">
        <v>2071</v>
      </c>
    </row>
    <row r="501" spans="1:11">
      <c r="A501">
        <v>500</v>
      </c>
      <c r="D501" t="s">
        <v>3125</v>
      </c>
      <c r="E501" t="s">
        <v>2072</v>
      </c>
      <c r="G501" t="s">
        <v>7</v>
      </c>
      <c r="H501">
        <v>7200</v>
      </c>
      <c r="I501">
        <v>0</v>
      </c>
      <c r="J501" t="s">
        <v>2938</v>
      </c>
      <c r="K501" t="s">
        <v>2073</v>
      </c>
    </row>
    <row r="502" spans="1:11">
      <c r="A502">
        <v>501</v>
      </c>
      <c r="D502" t="s">
        <v>3125</v>
      </c>
      <c r="E502" t="s">
        <v>2297</v>
      </c>
      <c r="G502" t="s">
        <v>7</v>
      </c>
      <c r="H502">
        <v>2400</v>
      </c>
      <c r="I502">
        <v>0</v>
      </c>
      <c r="J502" t="s">
        <v>2938</v>
      </c>
      <c r="K502" t="s">
        <v>2298</v>
      </c>
    </row>
    <row r="503" spans="1:11">
      <c r="A503">
        <v>502</v>
      </c>
      <c r="D503" t="s">
        <v>3125</v>
      </c>
      <c r="E503" t="s">
        <v>2074</v>
      </c>
      <c r="G503" t="s">
        <v>7</v>
      </c>
      <c r="H503">
        <v>2700</v>
      </c>
      <c r="I503">
        <v>0</v>
      </c>
      <c r="J503" t="s">
        <v>2938</v>
      </c>
      <c r="K503" t="s">
        <v>2075</v>
      </c>
    </row>
    <row r="504" spans="1:11">
      <c r="A504">
        <v>503</v>
      </c>
      <c r="D504" t="s">
        <v>3125</v>
      </c>
      <c r="E504" t="s">
        <v>2076</v>
      </c>
      <c r="G504" t="s">
        <v>7</v>
      </c>
      <c r="H504">
        <v>3000</v>
      </c>
      <c r="I504">
        <v>0</v>
      </c>
      <c r="J504" t="s">
        <v>2938</v>
      </c>
      <c r="K504" t="s">
        <v>2077</v>
      </c>
    </row>
    <row r="505" spans="1:11">
      <c r="A505">
        <v>504</v>
      </c>
      <c r="D505" t="s">
        <v>3125</v>
      </c>
      <c r="E505" t="s">
        <v>2299</v>
      </c>
      <c r="G505" t="s">
        <v>7</v>
      </c>
      <c r="H505">
        <v>800</v>
      </c>
      <c r="I505">
        <v>0</v>
      </c>
      <c r="J505" t="s">
        <v>2938</v>
      </c>
      <c r="K505" t="s">
        <v>2300</v>
      </c>
    </row>
    <row r="506" spans="1:11">
      <c r="A506">
        <v>505</v>
      </c>
      <c r="D506" t="s">
        <v>3125</v>
      </c>
      <c r="E506" t="s">
        <v>2038</v>
      </c>
      <c r="G506" t="s">
        <v>17</v>
      </c>
      <c r="H506">
        <v>276</v>
      </c>
      <c r="I506">
        <v>0</v>
      </c>
      <c r="J506" t="s">
        <v>2938</v>
      </c>
      <c r="K506" t="s">
        <v>2039</v>
      </c>
    </row>
    <row r="507" spans="1:11">
      <c r="A507">
        <v>506</v>
      </c>
      <c r="D507" t="s">
        <v>3125</v>
      </c>
      <c r="E507" t="s">
        <v>2078</v>
      </c>
      <c r="G507" t="s">
        <v>17</v>
      </c>
      <c r="H507">
        <v>55</v>
      </c>
      <c r="I507">
        <v>0</v>
      </c>
      <c r="J507" t="s">
        <v>2938</v>
      </c>
      <c r="K507" t="s">
        <v>2079</v>
      </c>
    </row>
    <row r="508" spans="1:11">
      <c r="A508">
        <v>507</v>
      </c>
      <c r="D508" t="s">
        <v>3125</v>
      </c>
      <c r="E508" t="s">
        <v>2462</v>
      </c>
      <c r="G508" t="s">
        <v>7</v>
      </c>
      <c r="H508">
        <v>5280</v>
      </c>
      <c r="I508">
        <v>0</v>
      </c>
      <c r="J508" t="s">
        <v>2938</v>
      </c>
      <c r="K508" t="s">
        <v>2463</v>
      </c>
    </row>
    <row r="509" spans="1:11">
      <c r="A509">
        <v>508</v>
      </c>
      <c r="D509" t="s">
        <v>3125</v>
      </c>
      <c r="E509" t="s">
        <v>2345</v>
      </c>
      <c r="G509" t="s">
        <v>7</v>
      </c>
      <c r="H509">
        <v>484</v>
      </c>
      <c r="I509">
        <v>0</v>
      </c>
      <c r="J509" t="s">
        <v>2938</v>
      </c>
      <c r="K509" t="s">
        <v>2346</v>
      </c>
    </row>
    <row r="510" spans="1:11">
      <c r="A510">
        <v>509</v>
      </c>
      <c r="D510" t="s">
        <v>3125</v>
      </c>
      <c r="E510" t="s">
        <v>2044</v>
      </c>
      <c r="G510" t="s">
        <v>17</v>
      </c>
      <c r="H510">
        <v>300</v>
      </c>
      <c r="I510">
        <v>0</v>
      </c>
      <c r="J510" t="s">
        <v>2938</v>
      </c>
      <c r="K510" t="s">
        <v>2045</v>
      </c>
    </row>
    <row r="511" spans="1:11">
      <c r="A511">
        <v>510</v>
      </c>
      <c r="D511" t="s">
        <v>3125</v>
      </c>
      <c r="E511" t="s">
        <v>2177</v>
      </c>
      <c r="G511" t="s">
        <v>17</v>
      </c>
      <c r="H511">
        <v>90</v>
      </c>
      <c r="I511">
        <v>0</v>
      </c>
      <c r="J511" t="s">
        <v>2938</v>
      </c>
      <c r="K511" t="s">
        <v>2178</v>
      </c>
    </row>
    <row r="512" spans="1:11">
      <c r="A512">
        <v>511</v>
      </c>
      <c r="D512" t="s">
        <v>3125</v>
      </c>
      <c r="E512" t="s">
        <v>2441</v>
      </c>
      <c r="G512" t="s">
        <v>17</v>
      </c>
      <c r="H512">
        <v>150</v>
      </c>
      <c r="I512">
        <v>0</v>
      </c>
      <c r="J512" t="s">
        <v>2938</v>
      </c>
      <c r="K512" t="s">
        <v>2442</v>
      </c>
    </row>
    <row r="513" spans="1:11">
      <c r="A513">
        <v>512</v>
      </c>
      <c r="D513" t="s">
        <v>3125</v>
      </c>
      <c r="E513" t="s">
        <v>2050</v>
      </c>
      <c r="G513" t="s">
        <v>17</v>
      </c>
      <c r="H513">
        <v>19</v>
      </c>
      <c r="I513">
        <v>0</v>
      </c>
      <c r="J513" t="s">
        <v>2938</v>
      </c>
      <c r="K513" t="s">
        <v>2051</v>
      </c>
    </row>
    <row r="514" spans="1:11">
      <c r="A514">
        <v>513</v>
      </c>
      <c r="D514" t="s">
        <v>3125</v>
      </c>
      <c r="E514" t="s">
        <v>2096</v>
      </c>
      <c r="G514" t="s">
        <v>17</v>
      </c>
      <c r="H514">
        <v>95</v>
      </c>
      <c r="I514">
        <v>0</v>
      </c>
      <c r="J514" t="s">
        <v>2938</v>
      </c>
      <c r="K514" t="s">
        <v>2097</v>
      </c>
    </row>
    <row r="515" spans="1:11">
      <c r="A515">
        <v>514</v>
      </c>
      <c r="D515" t="s">
        <v>3125</v>
      </c>
      <c r="E515" t="s">
        <v>2175</v>
      </c>
      <c r="G515" t="s">
        <v>17</v>
      </c>
      <c r="H515">
        <v>300</v>
      </c>
      <c r="I515">
        <v>0</v>
      </c>
      <c r="J515" t="s">
        <v>2938</v>
      </c>
      <c r="K515" t="s">
        <v>2176</v>
      </c>
    </row>
    <row r="516" spans="1:11">
      <c r="A516">
        <v>515</v>
      </c>
      <c r="D516" t="s">
        <v>3125</v>
      </c>
      <c r="E516" t="s">
        <v>2068</v>
      </c>
      <c r="G516" t="s">
        <v>17</v>
      </c>
      <c r="H516">
        <v>1193</v>
      </c>
      <c r="I516">
        <v>0</v>
      </c>
      <c r="J516" t="s">
        <v>2938</v>
      </c>
      <c r="K516" t="s">
        <v>2069</v>
      </c>
    </row>
    <row r="517" spans="1:11">
      <c r="A517">
        <v>516</v>
      </c>
      <c r="D517" t="s">
        <v>3125</v>
      </c>
      <c r="E517" t="s">
        <v>2347</v>
      </c>
      <c r="G517" t="s">
        <v>7</v>
      </c>
      <c r="H517">
        <v>550.9</v>
      </c>
      <c r="I517">
        <v>0</v>
      </c>
      <c r="J517" t="s">
        <v>2938</v>
      </c>
      <c r="K517" t="s">
        <v>2348</v>
      </c>
    </row>
    <row r="518" spans="1:11">
      <c r="A518">
        <v>517</v>
      </c>
      <c r="D518" t="s">
        <v>3125</v>
      </c>
      <c r="E518" t="s">
        <v>2052</v>
      </c>
      <c r="G518" t="s">
        <v>17</v>
      </c>
      <c r="H518">
        <v>350</v>
      </c>
      <c r="I518">
        <v>0</v>
      </c>
      <c r="J518" t="s">
        <v>2938</v>
      </c>
      <c r="K518" t="s">
        <v>2053</v>
      </c>
    </row>
    <row r="519" spans="1:11">
      <c r="A519">
        <v>518</v>
      </c>
      <c r="D519" t="s">
        <v>3125</v>
      </c>
      <c r="E519" t="s">
        <v>2387</v>
      </c>
      <c r="G519" t="s">
        <v>17</v>
      </c>
      <c r="H519">
        <v>162</v>
      </c>
      <c r="I519">
        <v>0</v>
      </c>
      <c r="J519" t="s">
        <v>2938</v>
      </c>
      <c r="K519" t="s">
        <v>2388</v>
      </c>
    </row>
    <row r="520" spans="1:11">
      <c r="A520">
        <v>519</v>
      </c>
      <c r="D520" t="s">
        <v>3125</v>
      </c>
      <c r="E520" t="s">
        <v>2385</v>
      </c>
      <c r="G520" t="s">
        <v>17</v>
      </c>
      <c r="H520">
        <v>363</v>
      </c>
      <c r="I520">
        <v>0</v>
      </c>
      <c r="J520" t="s">
        <v>2938</v>
      </c>
      <c r="K520" t="s">
        <v>2386</v>
      </c>
    </row>
    <row r="521" spans="1:11">
      <c r="A521">
        <v>520</v>
      </c>
      <c r="D521" t="s">
        <v>3125</v>
      </c>
      <c r="E521" t="s">
        <v>2183</v>
      </c>
      <c r="G521" t="s">
        <v>17</v>
      </c>
      <c r="H521">
        <v>400</v>
      </c>
      <c r="I521">
        <v>0</v>
      </c>
      <c r="J521" t="s">
        <v>2938</v>
      </c>
      <c r="K521" t="s">
        <v>2184</v>
      </c>
    </row>
    <row r="522" spans="1:11">
      <c r="A522">
        <v>521</v>
      </c>
      <c r="D522" t="s">
        <v>3125</v>
      </c>
      <c r="E522" t="s">
        <v>2086</v>
      </c>
      <c r="G522" t="s">
        <v>17</v>
      </c>
      <c r="H522">
        <v>1806</v>
      </c>
      <c r="I522">
        <v>0</v>
      </c>
      <c r="J522" t="s">
        <v>2938</v>
      </c>
      <c r="K522" t="s">
        <v>2087</v>
      </c>
    </row>
    <row r="523" spans="1:11">
      <c r="A523">
        <v>522</v>
      </c>
      <c r="D523" t="s">
        <v>3125</v>
      </c>
      <c r="E523" t="s">
        <v>2088</v>
      </c>
      <c r="G523" t="s">
        <v>17</v>
      </c>
      <c r="H523">
        <v>859</v>
      </c>
      <c r="I523">
        <v>0</v>
      </c>
      <c r="J523" t="s">
        <v>2938</v>
      </c>
      <c r="K523" t="s">
        <v>2089</v>
      </c>
    </row>
    <row r="524" spans="1:11">
      <c r="A524">
        <v>523</v>
      </c>
      <c r="D524" t="s">
        <v>3125</v>
      </c>
      <c r="E524" t="s">
        <v>2082</v>
      </c>
      <c r="G524" t="s">
        <v>17</v>
      </c>
      <c r="H524">
        <v>780</v>
      </c>
      <c r="I524">
        <v>0</v>
      </c>
      <c r="J524" t="s">
        <v>2938</v>
      </c>
      <c r="K524" t="s">
        <v>2083</v>
      </c>
    </row>
    <row r="525" spans="1:11">
      <c r="A525">
        <v>524</v>
      </c>
      <c r="D525" t="s">
        <v>3125</v>
      </c>
      <c r="E525" t="s">
        <v>2377</v>
      </c>
      <c r="G525" t="s">
        <v>17</v>
      </c>
      <c r="H525">
        <v>131</v>
      </c>
      <c r="I525">
        <v>0</v>
      </c>
      <c r="J525" t="s">
        <v>2938</v>
      </c>
      <c r="K525" t="s">
        <v>2378</v>
      </c>
    </row>
    <row r="526" spans="1:11">
      <c r="A526">
        <v>525</v>
      </c>
      <c r="D526" t="s">
        <v>3125</v>
      </c>
      <c r="E526" t="s">
        <v>2379</v>
      </c>
      <c r="G526" t="s">
        <v>17</v>
      </c>
      <c r="H526">
        <v>75</v>
      </c>
      <c r="I526">
        <v>0</v>
      </c>
      <c r="J526" t="s">
        <v>2938</v>
      </c>
      <c r="K526" t="s">
        <v>2380</v>
      </c>
    </row>
    <row r="527" spans="1:11">
      <c r="A527">
        <v>526</v>
      </c>
      <c r="D527" t="s">
        <v>3125</v>
      </c>
      <c r="E527" t="s">
        <v>2381</v>
      </c>
      <c r="G527" t="s">
        <v>17</v>
      </c>
      <c r="H527">
        <v>133</v>
      </c>
      <c r="I527">
        <v>0</v>
      </c>
      <c r="J527" t="s">
        <v>2938</v>
      </c>
      <c r="K527" t="s">
        <v>2382</v>
      </c>
    </row>
    <row r="528" spans="1:11">
      <c r="A528">
        <v>527</v>
      </c>
      <c r="D528" t="s">
        <v>3125</v>
      </c>
      <c r="E528" t="s">
        <v>2383</v>
      </c>
      <c r="G528" t="s">
        <v>17</v>
      </c>
      <c r="H528">
        <v>130</v>
      </c>
      <c r="I528">
        <v>0</v>
      </c>
      <c r="J528" t="s">
        <v>2938</v>
      </c>
      <c r="K528" t="s">
        <v>2384</v>
      </c>
    </row>
    <row r="529" spans="1:11">
      <c r="A529">
        <v>528</v>
      </c>
      <c r="D529" t="s">
        <v>3125</v>
      </c>
      <c r="E529" t="s">
        <v>2389</v>
      </c>
      <c r="G529" t="s">
        <v>17</v>
      </c>
      <c r="H529">
        <v>145</v>
      </c>
      <c r="I529">
        <v>0</v>
      </c>
      <c r="J529" t="s">
        <v>2938</v>
      </c>
      <c r="K529" t="s">
        <v>2390</v>
      </c>
    </row>
    <row r="530" spans="1:11">
      <c r="A530">
        <v>529</v>
      </c>
      <c r="D530" t="s">
        <v>3125</v>
      </c>
      <c r="E530" t="s">
        <v>2307</v>
      </c>
      <c r="G530" t="s">
        <v>17</v>
      </c>
      <c r="H530">
        <v>50</v>
      </c>
      <c r="I530">
        <v>0</v>
      </c>
      <c r="J530" t="s">
        <v>2938</v>
      </c>
      <c r="K530" t="s">
        <v>2308</v>
      </c>
    </row>
    <row r="531" spans="1:11">
      <c r="A531">
        <v>530</v>
      </c>
      <c r="D531" t="s">
        <v>3125</v>
      </c>
      <c r="E531" t="s">
        <v>201</v>
      </c>
      <c r="G531" t="s">
        <v>20</v>
      </c>
      <c r="H531">
        <v>232</v>
      </c>
      <c r="I531">
        <v>0</v>
      </c>
      <c r="J531" t="s">
        <v>2938</v>
      </c>
      <c r="K531" t="s">
        <v>202</v>
      </c>
    </row>
    <row r="532" spans="1:11">
      <c r="A532">
        <v>531</v>
      </c>
      <c r="D532" t="s">
        <v>3125</v>
      </c>
      <c r="E532" t="s">
        <v>74</v>
      </c>
      <c r="G532" t="s">
        <v>17</v>
      </c>
      <c r="H532">
        <v>5590</v>
      </c>
      <c r="I532">
        <v>0</v>
      </c>
      <c r="J532" t="s">
        <v>2938</v>
      </c>
      <c r="K532" t="s">
        <v>75</v>
      </c>
    </row>
    <row r="533" spans="1:11">
      <c r="A533">
        <v>532</v>
      </c>
      <c r="D533" t="s">
        <v>3125</v>
      </c>
      <c r="E533" t="s">
        <v>72</v>
      </c>
      <c r="G533" t="s">
        <v>17</v>
      </c>
      <c r="H533">
        <v>218</v>
      </c>
      <c r="I533">
        <v>0</v>
      </c>
      <c r="J533" t="s">
        <v>2938</v>
      </c>
      <c r="K533" t="s">
        <v>73</v>
      </c>
    </row>
    <row r="534" spans="1:11">
      <c r="A534">
        <v>533</v>
      </c>
      <c r="D534" t="s">
        <v>3125</v>
      </c>
      <c r="E534" t="s">
        <v>1271</v>
      </c>
      <c r="G534" t="s">
        <v>116</v>
      </c>
      <c r="H534">
        <v>6</v>
      </c>
      <c r="I534">
        <v>0</v>
      </c>
      <c r="J534" t="s">
        <v>2938</v>
      </c>
      <c r="K534" t="s">
        <v>1272</v>
      </c>
    </row>
    <row r="535" spans="1:11">
      <c r="A535">
        <v>534</v>
      </c>
      <c r="D535" t="s">
        <v>3125</v>
      </c>
      <c r="E535" t="s">
        <v>94</v>
      </c>
      <c r="G535" t="s">
        <v>17</v>
      </c>
      <c r="H535">
        <v>24</v>
      </c>
      <c r="I535">
        <v>0</v>
      </c>
      <c r="J535" t="s">
        <v>2940</v>
      </c>
      <c r="K535" t="s">
        <v>95</v>
      </c>
    </row>
    <row r="536" spans="1:11">
      <c r="A536">
        <v>535</v>
      </c>
      <c r="D536" t="s">
        <v>3125</v>
      </c>
      <c r="E536" t="s">
        <v>94</v>
      </c>
      <c r="G536" t="s">
        <v>17</v>
      </c>
      <c r="H536">
        <v>14606</v>
      </c>
      <c r="I536">
        <v>0</v>
      </c>
      <c r="J536" t="s">
        <v>2938</v>
      </c>
      <c r="K536" t="s">
        <v>95</v>
      </c>
    </row>
    <row r="537" spans="1:11">
      <c r="A537">
        <v>536</v>
      </c>
      <c r="D537" t="s">
        <v>3125</v>
      </c>
      <c r="E537" t="s">
        <v>104</v>
      </c>
      <c r="G537" t="s">
        <v>17</v>
      </c>
      <c r="H537">
        <v>1500</v>
      </c>
      <c r="I537">
        <v>0</v>
      </c>
      <c r="J537" t="s">
        <v>2938</v>
      </c>
      <c r="K537" t="s">
        <v>105</v>
      </c>
    </row>
    <row r="538" spans="1:11">
      <c r="A538">
        <v>537</v>
      </c>
      <c r="D538" t="s">
        <v>3125</v>
      </c>
      <c r="E538" t="s">
        <v>1728</v>
      </c>
      <c r="G538" t="s">
        <v>17</v>
      </c>
      <c r="H538">
        <v>2083</v>
      </c>
      <c r="I538">
        <v>0</v>
      </c>
      <c r="J538" t="s">
        <v>2940</v>
      </c>
      <c r="K538" t="s">
        <v>1729</v>
      </c>
    </row>
    <row r="539" spans="1:11">
      <c r="A539">
        <v>538</v>
      </c>
      <c r="D539" t="s">
        <v>3125</v>
      </c>
      <c r="E539" t="s">
        <v>1728</v>
      </c>
      <c r="G539" t="s">
        <v>17</v>
      </c>
      <c r="H539">
        <v>6735</v>
      </c>
      <c r="I539">
        <v>0</v>
      </c>
      <c r="J539" t="s">
        <v>2938</v>
      </c>
      <c r="K539" t="s">
        <v>1729</v>
      </c>
    </row>
    <row r="540" spans="1:11">
      <c r="A540">
        <v>539</v>
      </c>
      <c r="D540" t="s">
        <v>3125</v>
      </c>
      <c r="E540" t="s">
        <v>138</v>
      </c>
      <c r="G540" t="s">
        <v>17</v>
      </c>
      <c r="H540">
        <v>92</v>
      </c>
      <c r="I540">
        <v>0</v>
      </c>
      <c r="J540" t="s">
        <v>2938</v>
      </c>
      <c r="K540" t="s">
        <v>139</v>
      </c>
    </row>
    <row r="541" spans="1:11">
      <c r="A541">
        <v>540</v>
      </c>
      <c r="D541" t="s">
        <v>3125</v>
      </c>
      <c r="E541" t="s">
        <v>1726</v>
      </c>
      <c r="G541" t="s">
        <v>17</v>
      </c>
      <c r="H541">
        <v>1820</v>
      </c>
      <c r="I541">
        <v>0</v>
      </c>
      <c r="J541" t="s">
        <v>2938</v>
      </c>
      <c r="K541" t="s">
        <v>1727</v>
      </c>
    </row>
    <row r="542" spans="1:11">
      <c r="A542">
        <v>541</v>
      </c>
      <c r="D542" t="s">
        <v>3125</v>
      </c>
      <c r="E542" t="s">
        <v>972</v>
      </c>
      <c r="G542" t="s">
        <v>17</v>
      </c>
      <c r="H542">
        <v>16613</v>
      </c>
      <c r="I542">
        <v>0</v>
      </c>
      <c r="J542" t="s">
        <v>2938</v>
      </c>
      <c r="K542" t="s">
        <v>973</v>
      </c>
    </row>
    <row r="543" spans="1:11">
      <c r="A543">
        <v>542</v>
      </c>
      <c r="D543" t="s">
        <v>3125</v>
      </c>
      <c r="E543" t="s">
        <v>970</v>
      </c>
      <c r="G543" t="s">
        <v>17</v>
      </c>
      <c r="H543">
        <v>172</v>
      </c>
      <c r="I543">
        <v>0</v>
      </c>
      <c r="J543" t="s">
        <v>2938</v>
      </c>
      <c r="K543" t="s">
        <v>971</v>
      </c>
    </row>
    <row r="544" spans="1:11">
      <c r="A544">
        <v>543</v>
      </c>
      <c r="D544" t="s">
        <v>3125</v>
      </c>
      <c r="E544" t="s">
        <v>3180</v>
      </c>
      <c r="G544" t="s">
        <v>17</v>
      </c>
      <c r="H544">
        <v>1260</v>
      </c>
      <c r="I544">
        <v>0</v>
      </c>
      <c r="J544" t="s">
        <v>2938</v>
      </c>
      <c r="K544" t="s">
        <v>3181</v>
      </c>
    </row>
    <row r="545" spans="1:11">
      <c r="A545">
        <v>544</v>
      </c>
      <c r="D545" t="s">
        <v>3125</v>
      </c>
      <c r="E545" t="s">
        <v>974</v>
      </c>
      <c r="G545" t="s">
        <v>17</v>
      </c>
      <c r="H545">
        <v>250</v>
      </c>
      <c r="I545">
        <v>0</v>
      </c>
      <c r="J545" t="s">
        <v>2938</v>
      </c>
      <c r="K545" t="s">
        <v>975</v>
      </c>
    </row>
    <row r="546" spans="1:11">
      <c r="A546">
        <v>545</v>
      </c>
      <c r="D546" t="s">
        <v>3125</v>
      </c>
      <c r="E546" t="s">
        <v>976</v>
      </c>
      <c r="G546" t="s">
        <v>17</v>
      </c>
      <c r="H546">
        <v>451</v>
      </c>
      <c r="I546">
        <v>0</v>
      </c>
      <c r="J546" t="s">
        <v>2938</v>
      </c>
      <c r="K546" t="s">
        <v>977</v>
      </c>
    </row>
    <row r="547" spans="1:11">
      <c r="A547">
        <v>546</v>
      </c>
      <c r="D547" t="s">
        <v>3125</v>
      </c>
      <c r="E547" t="s">
        <v>978</v>
      </c>
      <c r="G547" t="s">
        <v>17</v>
      </c>
      <c r="H547">
        <v>400</v>
      </c>
      <c r="I547">
        <v>0</v>
      </c>
      <c r="J547" t="s">
        <v>2938</v>
      </c>
      <c r="K547" t="s">
        <v>979</v>
      </c>
    </row>
    <row r="548" spans="1:11">
      <c r="A548">
        <v>547</v>
      </c>
      <c r="D548" t="s">
        <v>3125</v>
      </c>
      <c r="E548" t="s">
        <v>3246</v>
      </c>
      <c r="G548" t="s">
        <v>17</v>
      </c>
      <c r="H548">
        <v>500</v>
      </c>
      <c r="I548">
        <v>0</v>
      </c>
      <c r="J548" t="s">
        <v>2938</v>
      </c>
      <c r="K548" t="s">
        <v>3247</v>
      </c>
    </row>
    <row r="549" spans="1:11">
      <c r="A549">
        <v>548</v>
      </c>
      <c r="D549" t="s">
        <v>3125</v>
      </c>
      <c r="E549" t="s">
        <v>2520</v>
      </c>
      <c r="G549" t="s">
        <v>17</v>
      </c>
      <c r="H549">
        <v>2098</v>
      </c>
      <c r="I549">
        <v>0</v>
      </c>
      <c r="J549" t="s">
        <v>2938</v>
      </c>
      <c r="K549" t="s">
        <v>2521</v>
      </c>
    </row>
    <row r="550" spans="1:11">
      <c r="A550">
        <v>549</v>
      </c>
      <c r="D550" t="s">
        <v>3125</v>
      </c>
      <c r="E550" t="s">
        <v>988</v>
      </c>
      <c r="G550" t="s">
        <v>17</v>
      </c>
      <c r="H550">
        <v>6</v>
      </c>
      <c r="I550">
        <v>0</v>
      </c>
      <c r="J550" t="s">
        <v>2938</v>
      </c>
      <c r="K550" t="s">
        <v>989</v>
      </c>
    </row>
    <row r="551" spans="1:11">
      <c r="A551">
        <v>550</v>
      </c>
      <c r="D551" t="s">
        <v>3125</v>
      </c>
      <c r="E551" t="s">
        <v>990</v>
      </c>
      <c r="G551" t="s">
        <v>17</v>
      </c>
      <c r="H551">
        <v>390</v>
      </c>
      <c r="I551">
        <v>0</v>
      </c>
      <c r="J551" t="s">
        <v>2938</v>
      </c>
      <c r="K551" t="s">
        <v>991</v>
      </c>
    </row>
    <row r="552" spans="1:11">
      <c r="A552">
        <v>551</v>
      </c>
      <c r="D552" t="s">
        <v>3125</v>
      </c>
      <c r="E552" t="s">
        <v>992</v>
      </c>
      <c r="G552" t="s">
        <v>17</v>
      </c>
      <c r="H552">
        <v>24</v>
      </c>
      <c r="I552">
        <v>0</v>
      </c>
      <c r="J552" t="s">
        <v>2938</v>
      </c>
      <c r="K552" t="s">
        <v>993</v>
      </c>
    </row>
    <row r="553" spans="1:11">
      <c r="A553">
        <v>552</v>
      </c>
      <c r="D553" t="s">
        <v>3125</v>
      </c>
      <c r="E553" t="s">
        <v>994</v>
      </c>
      <c r="G553" t="s">
        <v>17</v>
      </c>
      <c r="H553">
        <v>14</v>
      </c>
      <c r="I553">
        <v>0</v>
      </c>
      <c r="J553" t="s">
        <v>2938</v>
      </c>
      <c r="K553" t="s">
        <v>995</v>
      </c>
    </row>
    <row r="554" spans="1:11">
      <c r="A554">
        <v>553</v>
      </c>
      <c r="D554" t="s">
        <v>3125</v>
      </c>
      <c r="E554" t="s">
        <v>996</v>
      </c>
      <c r="G554" t="s">
        <v>17</v>
      </c>
      <c r="H554">
        <v>58</v>
      </c>
      <c r="I554">
        <v>0</v>
      </c>
      <c r="J554" t="s">
        <v>2938</v>
      </c>
      <c r="K554" t="s">
        <v>997</v>
      </c>
    </row>
    <row r="555" spans="1:11">
      <c r="A555">
        <v>554</v>
      </c>
      <c r="D555" t="s">
        <v>3125</v>
      </c>
      <c r="E555" t="s">
        <v>1000</v>
      </c>
      <c r="G555" t="s">
        <v>17</v>
      </c>
      <c r="H555">
        <v>201</v>
      </c>
      <c r="I555">
        <v>0</v>
      </c>
      <c r="J555" t="s">
        <v>2938</v>
      </c>
      <c r="K555" t="s">
        <v>1001</v>
      </c>
    </row>
    <row r="556" spans="1:11">
      <c r="A556">
        <v>555</v>
      </c>
      <c r="D556" t="s">
        <v>3125</v>
      </c>
      <c r="E556" t="s">
        <v>1002</v>
      </c>
      <c r="G556" t="s">
        <v>17</v>
      </c>
      <c r="H556">
        <v>1279</v>
      </c>
      <c r="I556">
        <v>0</v>
      </c>
      <c r="J556" t="s">
        <v>2938</v>
      </c>
      <c r="K556" t="s">
        <v>1003</v>
      </c>
    </row>
    <row r="557" spans="1:11">
      <c r="A557">
        <v>556</v>
      </c>
      <c r="D557" t="s">
        <v>3125</v>
      </c>
      <c r="E557" t="s">
        <v>1004</v>
      </c>
      <c r="G557" t="s">
        <v>17</v>
      </c>
      <c r="H557">
        <v>365</v>
      </c>
      <c r="I557">
        <v>0</v>
      </c>
      <c r="J557" t="s">
        <v>2938</v>
      </c>
      <c r="K557" t="s">
        <v>1005</v>
      </c>
    </row>
    <row r="558" spans="1:11">
      <c r="A558">
        <v>557</v>
      </c>
      <c r="D558" t="s">
        <v>3125</v>
      </c>
      <c r="E558" t="s">
        <v>1006</v>
      </c>
      <c r="G558" t="s">
        <v>17</v>
      </c>
      <c r="H558">
        <v>8</v>
      </c>
      <c r="I558">
        <v>0</v>
      </c>
      <c r="J558" t="s">
        <v>2938</v>
      </c>
      <c r="K558" t="s">
        <v>1007</v>
      </c>
    </row>
    <row r="559" spans="1:11">
      <c r="A559">
        <v>558</v>
      </c>
      <c r="D559" t="s">
        <v>3125</v>
      </c>
      <c r="E559" t="s">
        <v>1008</v>
      </c>
      <c r="G559" t="s">
        <v>17</v>
      </c>
      <c r="H559">
        <v>157</v>
      </c>
      <c r="I559">
        <v>0</v>
      </c>
      <c r="J559" t="s">
        <v>2938</v>
      </c>
      <c r="K559" t="s">
        <v>1009</v>
      </c>
    </row>
    <row r="560" spans="1:11">
      <c r="A560">
        <v>559</v>
      </c>
      <c r="D560" t="s">
        <v>3125</v>
      </c>
      <c r="E560" t="s">
        <v>2195</v>
      </c>
      <c r="G560" t="s">
        <v>17</v>
      </c>
      <c r="H560">
        <v>2</v>
      </c>
      <c r="I560">
        <v>0</v>
      </c>
      <c r="J560" t="s">
        <v>2938</v>
      </c>
      <c r="K560" t="s">
        <v>2196</v>
      </c>
    </row>
    <row r="561" spans="1:11">
      <c r="A561">
        <v>560</v>
      </c>
      <c r="D561" t="s">
        <v>3125</v>
      </c>
      <c r="E561" t="s">
        <v>1010</v>
      </c>
      <c r="G561" t="s">
        <v>17</v>
      </c>
      <c r="H561">
        <v>345</v>
      </c>
      <c r="I561">
        <v>0</v>
      </c>
      <c r="J561" t="s">
        <v>2938</v>
      </c>
      <c r="K561" t="s">
        <v>1011</v>
      </c>
    </row>
    <row r="562" spans="1:11">
      <c r="A562">
        <v>561</v>
      </c>
      <c r="D562" t="s">
        <v>3125</v>
      </c>
      <c r="E562" t="s">
        <v>1012</v>
      </c>
      <c r="G562" t="s">
        <v>17</v>
      </c>
      <c r="H562">
        <v>505</v>
      </c>
      <c r="I562">
        <v>0</v>
      </c>
      <c r="J562" t="s">
        <v>2938</v>
      </c>
      <c r="K562" t="s">
        <v>1013</v>
      </c>
    </row>
    <row r="563" spans="1:11">
      <c r="A563">
        <v>562</v>
      </c>
      <c r="D563" t="s">
        <v>3125</v>
      </c>
      <c r="E563" t="s">
        <v>1014</v>
      </c>
      <c r="G563" t="s">
        <v>17</v>
      </c>
      <c r="H563">
        <v>505</v>
      </c>
      <c r="I563">
        <v>0</v>
      </c>
      <c r="J563" t="s">
        <v>2938</v>
      </c>
      <c r="K563" t="s">
        <v>1015</v>
      </c>
    </row>
    <row r="564" spans="1:11">
      <c r="A564">
        <v>563</v>
      </c>
      <c r="D564" t="s">
        <v>3125</v>
      </c>
      <c r="E564" t="s">
        <v>1016</v>
      </c>
      <c r="G564" t="s">
        <v>17</v>
      </c>
      <c r="H564">
        <v>24</v>
      </c>
      <c r="I564">
        <v>0</v>
      </c>
      <c r="J564" t="s">
        <v>2938</v>
      </c>
      <c r="K564" t="s">
        <v>1017</v>
      </c>
    </row>
    <row r="565" spans="1:11">
      <c r="A565">
        <v>564</v>
      </c>
      <c r="D565" t="s">
        <v>3125</v>
      </c>
      <c r="E565" t="s">
        <v>2203</v>
      </c>
      <c r="G565" t="s">
        <v>17</v>
      </c>
      <c r="H565">
        <v>1</v>
      </c>
      <c r="I565">
        <v>0</v>
      </c>
      <c r="J565" t="s">
        <v>2938</v>
      </c>
      <c r="K565" t="s">
        <v>2204</v>
      </c>
    </row>
    <row r="566" spans="1:11">
      <c r="A566">
        <v>565</v>
      </c>
      <c r="D566" t="s">
        <v>3125</v>
      </c>
      <c r="E566" t="s">
        <v>1018</v>
      </c>
      <c r="G566" t="s">
        <v>17</v>
      </c>
      <c r="H566">
        <v>4</v>
      </c>
      <c r="I566">
        <v>0</v>
      </c>
      <c r="J566" t="s">
        <v>2938</v>
      </c>
      <c r="K566" t="s">
        <v>1019</v>
      </c>
    </row>
    <row r="567" spans="1:11">
      <c r="A567">
        <v>566</v>
      </c>
      <c r="D567" t="s">
        <v>3125</v>
      </c>
      <c r="E567" t="s">
        <v>2205</v>
      </c>
      <c r="G567" t="s">
        <v>17</v>
      </c>
      <c r="H567">
        <v>1</v>
      </c>
      <c r="I567">
        <v>0</v>
      </c>
      <c r="J567" t="s">
        <v>2938</v>
      </c>
      <c r="K567" t="s">
        <v>2206</v>
      </c>
    </row>
    <row r="568" spans="1:11">
      <c r="A568">
        <v>567</v>
      </c>
      <c r="D568" t="s">
        <v>3125</v>
      </c>
      <c r="E568" t="s">
        <v>2213</v>
      </c>
      <c r="G568" t="s">
        <v>17</v>
      </c>
      <c r="H568">
        <v>1</v>
      </c>
      <c r="I568">
        <v>0</v>
      </c>
      <c r="J568" t="s">
        <v>2938</v>
      </c>
      <c r="K568" t="s">
        <v>2214</v>
      </c>
    </row>
    <row r="569" spans="1:11">
      <c r="A569">
        <v>568</v>
      </c>
      <c r="D569" t="s">
        <v>3125</v>
      </c>
      <c r="E569" t="s">
        <v>2215</v>
      </c>
      <c r="G569" t="s">
        <v>17</v>
      </c>
      <c r="H569">
        <v>1</v>
      </c>
      <c r="I569">
        <v>0</v>
      </c>
      <c r="J569" t="s">
        <v>2938</v>
      </c>
      <c r="K569" t="s">
        <v>2216</v>
      </c>
    </row>
    <row r="570" spans="1:11">
      <c r="A570">
        <v>569</v>
      </c>
      <c r="D570" t="s">
        <v>3125</v>
      </c>
      <c r="E570" t="s">
        <v>2217</v>
      </c>
      <c r="G570" t="s">
        <v>17</v>
      </c>
      <c r="H570">
        <v>1</v>
      </c>
      <c r="I570">
        <v>0</v>
      </c>
      <c r="J570" t="s">
        <v>2938</v>
      </c>
      <c r="K570" t="s">
        <v>2218</v>
      </c>
    </row>
    <row r="571" spans="1:11">
      <c r="A571">
        <v>570</v>
      </c>
      <c r="D571" t="s">
        <v>3125</v>
      </c>
      <c r="E571" t="s">
        <v>2219</v>
      </c>
      <c r="G571" t="s">
        <v>17</v>
      </c>
      <c r="H571">
        <v>2</v>
      </c>
      <c r="I571">
        <v>0</v>
      </c>
      <c r="J571" t="s">
        <v>2938</v>
      </c>
      <c r="K571" t="s">
        <v>2220</v>
      </c>
    </row>
    <row r="572" spans="1:11">
      <c r="A572">
        <v>571</v>
      </c>
      <c r="D572" t="s">
        <v>3125</v>
      </c>
      <c r="E572" t="s">
        <v>982</v>
      </c>
      <c r="G572" t="s">
        <v>17</v>
      </c>
      <c r="H572">
        <v>15750</v>
      </c>
      <c r="I572">
        <v>0</v>
      </c>
      <c r="J572" t="s">
        <v>2938</v>
      </c>
      <c r="K572" t="s">
        <v>983</v>
      </c>
    </row>
    <row r="573" spans="1:11">
      <c r="A573">
        <v>572</v>
      </c>
      <c r="D573" t="s">
        <v>3125</v>
      </c>
      <c r="E573" t="s">
        <v>1734</v>
      </c>
      <c r="G573" t="s">
        <v>17</v>
      </c>
      <c r="H573">
        <v>7000</v>
      </c>
      <c r="I573">
        <v>0</v>
      </c>
      <c r="J573" t="s">
        <v>2938</v>
      </c>
      <c r="K573" t="s">
        <v>1735</v>
      </c>
    </row>
    <row r="574" spans="1:11">
      <c r="A574">
        <v>573</v>
      </c>
      <c r="D574" t="s">
        <v>3125</v>
      </c>
      <c r="E574" t="s">
        <v>1724</v>
      </c>
      <c r="G574" t="s">
        <v>17</v>
      </c>
      <c r="H574">
        <v>1534</v>
      </c>
      <c r="I574">
        <v>0</v>
      </c>
      <c r="J574" t="s">
        <v>2938</v>
      </c>
      <c r="K574" t="s">
        <v>1725</v>
      </c>
    </row>
    <row r="575" spans="1:11">
      <c r="A575">
        <v>574</v>
      </c>
      <c r="D575" t="s">
        <v>3125</v>
      </c>
      <c r="E575" t="s">
        <v>1722</v>
      </c>
      <c r="G575" t="s">
        <v>17</v>
      </c>
      <c r="H575">
        <v>606</v>
      </c>
      <c r="I575">
        <v>0</v>
      </c>
      <c r="J575" t="s">
        <v>2938</v>
      </c>
      <c r="K575" t="s">
        <v>1723</v>
      </c>
    </row>
    <row r="576" spans="1:11">
      <c r="A576">
        <v>575</v>
      </c>
      <c r="D576" t="s">
        <v>3125</v>
      </c>
      <c r="E576" t="s">
        <v>984</v>
      </c>
      <c r="G576" t="s">
        <v>17</v>
      </c>
      <c r="H576">
        <v>816</v>
      </c>
      <c r="I576">
        <v>0</v>
      </c>
      <c r="J576" t="s">
        <v>2938</v>
      </c>
      <c r="K576" t="s">
        <v>985</v>
      </c>
    </row>
    <row r="577" spans="1:11">
      <c r="A577">
        <v>576</v>
      </c>
      <c r="D577" t="s">
        <v>3125</v>
      </c>
      <c r="E577" t="s">
        <v>1732</v>
      </c>
      <c r="G577" t="s">
        <v>17</v>
      </c>
      <c r="H577">
        <v>2</v>
      </c>
      <c r="I577">
        <v>0</v>
      </c>
      <c r="J577" t="s">
        <v>2940</v>
      </c>
      <c r="K577" t="s">
        <v>1733</v>
      </c>
    </row>
    <row r="578" spans="1:11">
      <c r="A578">
        <v>577</v>
      </c>
      <c r="D578" t="s">
        <v>3125</v>
      </c>
      <c r="E578" t="s">
        <v>1732</v>
      </c>
      <c r="G578" t="s">
        <v>17</v>
      </c>
      <c r="H578">
        <v>25</v>
      </c>
      <c r="I578">
        <v>0</v>
      </c>
      <c r="J578" t="s">
        <v>2938</v>
      </c>
      <c r="K578" t="s">
        <v>1733</v>
      </c>
    </row>
    <row r="579" spans="1:11">
      <c r="A579">
        <v>578</v>
      </c>
      <c r="D579" t="s">
        <v>3125</v>
      </c>
      <c r="E579" t="s">
        <v>1730</v>
      </c>
      <c r="G579" t="s">
        <v>17</v>
      </c>
      <c r="H579">
        <v>1901</v>
      </c>
      <c r="I579">
        <v>0</v>
      </c>
      <c r="J579" t="s">
        <v>2938</v>
      </c>
      <c r="K579" t="s">
        <v>1731</v>
      </c>
    </row>
    <row r="580" spans="1:11">
      <c r="A580">
        <v>579</v>
      </c>
      <c r="D580" t="s">
        <v>3125</v>
      </c>
      <c r="E580" t="s">
        <v>98</v>
      </c>
      <c r="G580" t="s">
        <v>20</v>
      </c>
      <c r="H580">
        <v>1342.6</v>
      </c>
      <c r="I580">
        <v>0</v>
      </c>
      <c r="J580" t="s">
        <v>2938</v>
      </c>
      <c r="K580" t="s">
        <v>99</v>
      </c>
    </row>
    <row r="581" spans="1:11">
      <c r="A581">
        <v>580</v>
      </c>
      <c r="D581" t="s">
        <v>3125</v>
      </c>
      <c r="E581" t="s">
        <v>100</v>
      </c>
      <c r="G581" t="s">
        <v>20</v>
      </c>
      <c r="H581">
        <v>2516.33</v>
      </c>
      <c r="I581">
        <v>0</v>
      </c>
      <c r="J581" t="s">
        <v>2938</v>
      </c>
      <c r="K581" t="s">
        <v>101</v>
      </c>
    </row>
    <row r="582" spans="1:11">
      <c r="A582">
        <v>581</v>
      </c>
      <c r="D582" t="s">
        <v>3125</v>
      </c>
      <c r="E582" t="s">
        <v>86</v>
      </c>
      <c r="G582" t="s">
        <v>17</v>
      </c>
      <c r="H582">
        <v>7439</v>
      </c>
      <c r="I582">
        <v>0</v>
      </c>
      <c r="J582" t="s">
        <v>2938</v>
      </c>
      <c r="K582" t="s">
        <v>87</v>
      </c>
    </row>
    <row r="583" spans="1:11">
      <c r="A583">
        <v>582</v>
      </c>
      <c r="D583" t="s">
        <v>3125</v>
      </c>
      <c r="E583" t="s">
        <v>88</v>
      </c>
      <c r="G583" t="s">
        <v>17</v>
      </c>
      <c r="H583">
        <v>9611</v>
      </c>
      <c r="I583">
        <v>0</v>
      </c>
      <c r="J583" t="s">
        <v>2938</v>
      </c>
      <c r="K583" t="s">
        <v>89</v>
      </c>
    </row>
    <row r="584" spans="1:11">
      <c r="A584">
        <v>583</v>
      </c>
      <c r="D584" t="s">
        <v>3125</v>
      </c>
      <c r="E584" t="s">
        <v>108</v>
      </c>
      <c r="G584" t="s">
        <v>17</v>
      </c>
      <c r="H584">
        <v>17000</v>
      </c>
      <c r="I584">
        <v>0</v>
      </c>
      <c r="J584" t="s">
        <v>2938</v>
      </c>
      <c r="K584" t="s">
        <v>109</v>
      </c>
    </row>
    <row r="585" spans="1:11">
      <c r="A585">
        <v>584</v>
      </c>
      <c r="D585" t="s">
        <v>3125</v>
      </c>
      <c r="E585" t="s">
        <v>980</v>
      </c>
      <c r="G585" t="s">
        <v>17</v>
      </c>
      <c r="H585">
        <v>2285</v>
      </c>
      <c r="I585">
        <v>0</v>
      </c>
      <c r="J585" t="s">
        <v>2938</v>
      </c>
      <c r="K585" t="s">
        <v>3025</v>
      </c>
    </row>
    <row r="586" spans="1:11">
      <c r="A586">
        <v>585</v>
      </c>
      <c r="D586" t="s">
        <v>3125</v>
      </c>
      <c r="E586" t="s">
        <v>80</v>
      </c>
      <c r="G586" t="s">
        <v>17</v>
      </c>
      <c r="H586">
        <v>3786</v>
      </c>
      <c r="I586">
        <v>0</v>
      </c>
      <c r="J586" t="s">
        <v>2938</v>
      </c>
      <c r="K586" t="s">
        <v>81</v>
      </c>
    </row>
    <row r="587" spans="1:11">
      <c r="A587">
        <v>586</v>
      </c>
      <c r="D587" t="s">
        <v>3125</v>
      </c>
      <c r="E587" t="s">
        <v>90</v>
      </c>
      <c r="G587" t="s">
        <v>17</v>
      </c>
      <c r="H587">
        <v>7040</v>
      </c>
      <c r="I587">
        <v>0</v>
      </c>
      <c r="J587" t="s">
        <v>2938</v>
      </c>
      <c r="K587" t="s">
        <v>91</v>
      </c>
    </row>
    <row r="588" spans="1:11">
      <c r="A588">
        <v>587</v>
      </c>
      <c r="D588" t="s">
        <v>3125</v>
      </c>
      <c r="E588" t="s">
        <v>1022</v>
      </c>
      <c r="G588" t="s">
        <v>17</v>
      </c>
      <c r="H588">
        <v>3810</v>
      </c>
      <c r="I588">
        <v>0</v>
      </c>
      <c r="J588" t="s">
        <v>2938</v>
      </c>
      <c r="K588" t="s">
        <v>1023</v>
      </c>
    </row>
    <row r="589" spans="1:11">
      <c r="A589">
        <v>588</v>
      </c>
      <c r="D589" t="s">
        <v>3125</v>
      </c>
      <c r="E589" t="s">
        <v>1720</v>
      </c>
      <c r="G589" t="s">
        <v>17</v>
      </c>
      <c r="H589">
        <v>10000</v>
      </c>
      <c r="I589">
        <v>0</v>
      </c>
      <c r="J589" t="s">
        <v>2938</v>
      </c>
      <c r="K589" t="s">
        <v>1721</v>
      </c>
    </row>
    <row r="590" spans="1:11">
      <c r="A590">
        <v>589</v>
      </c>
      <c r="D590" t="s">
        <v>3125</v>
      </c>
      <c r="E590" t="s">
        <v>92</v>
      </c>
      <c r="G590" t="s">
        <v>17</v>
      </c>
      <c r="H590">
        <v>28250</v>
      </c>
      <c r="I590">
        <v>0</v>
      </c>
      <c r="J590" t="s">
        <v>2938</v>
      </c>
      <c r="K590" t="s">
        <v>93</v>
      </c>
    </row>
    <row r="591" spans="1:11">
      <c r="A591">
        <v>590</v>
      </c>
      <c r="D591" t="s">
        <v>3125</v>
      </c>
      <c r="E591" t="s">
        <v>102</v>
      </c>
      <c r="G591" t="s">
        <v>17</v>
      </c>
      <c r="H591">
        <v>14000</v>
      </c>
      <c r="I591">
        <v>0</v>
      </c>
      <c r="J591" t="s">
        <v>2938</v>
      </c>
      <c r="K591" t="s">
        <v>103</v>
      </c>
    </row>
    <row r="592" spans="1:11">
      <c r="A592">
        <v>591</v>
      </c>
      <c r="D592" t="s">
        <v>3125</v>
      </c>
      <c r="E592" t="s">
        <v>968</v>
      </c>
      <c r="G592" t="s">
        <v>17</v>
      </c>
      <c r="H592">
        <v>1487</v>
      </c>
      <c r="I592">
        <v>0</v>
      </c>
      <c r="J592" t="s">
        <v>2938</v>
      </c>
      <c r="K592" t="s">
        <v>969</v>
      </c>
    </row>
    <row r="593" spans="1:11">
      <c r="A593">
        <v>592</v>
      </c>
      <c r="D593" t="s">
        <v>3125</v>
      </c>
      <c r="E593" t="s">
        <v>966</v>
      </c>
      <c r="G593" t="s">
        <v>17</v>
      </c>
      <c r="H593">
        <v>430</v>
      </c>
      <c r="I593">
        <v>0</v>
      </c>
      <c r="J593" t="s">
        <v>2938</v>
      </c>
      <c r="K593" t="s">
        <v>967</v>
      </c>
    </row>
    <row r="594" spans="1:11">
      <c r="A594">
        <v>593</v>
      </c>
      <c r="D594" t="s">
        <v>3125</v>
      </c>
      <c r="E594" t="s">
        <v>96</v>
      </c>
      <c r="G594" t="s">
        <v>17</v>
      </c>
      <c r="H594">
        <v>11000</v>
      </c>
      <c r="I594">
        <v>0</v>
      </c>
      <c r="J594" t="s">
        <v>2938</v>
      </c>
      <c r="K594" t="s">
        <v>97</v>
      </c>
    </row>
    <row r="595" spans="1:11">
      <c r="A595">
        <v>594</v>
      </c>
      <c r="D595" t="s">
        <v>3125</v>
      </c>
      <c r="E595" t="s">
        <v>106</v>
      </c>
      <c r="G595" t="s">
        <v>17</v>
      </c>
      <c r="H595">
        <v>8100</v>
      </c>
      <c r="I595">
        <v>0</v>
      </c>
      <c r="J595" t="s">
        <v>2938</v>
      </c>
      <c r="K595" t="s">
        <v>107</v>
      </c>
    </row>
    <row r="596" spans="1:11">
      <c r="A596">
        <v>595</v>
      </c>
      <c r="D596" t="s">
        <v>3125</v>
      </c>
      <c r="E596" t="s">
        <v>2478</v>
      </c>
      <c r="G596" t="s">
        <v>7</v>
      </c>
      <c r="H596">
        <v>1170.2</v>
      </c>
      <c r="I596">
        <v>0</v>
      </c>
      <c r="J596" t="s">
        <v>2938</v>
      </c>
      <c r="K596" t="s">
        <v>2479</v>
      </c>
    </row>
    <row r="597" spans="1:11">
      <c r="A597">
        <v>596</v>
      </c>
      <c r="D597" t="s">
        <v>3125</v>
      </c>
      <c r="E597" t="s">
        <v>2480</v>
      </c>
      <c r="G597" t="s">
        <v>7</v>
      </c>
      <c r="H597">
        <v>1893</v>
      </c>
      <c r="I597">
        <v>0</v>
      </c>
      <c r="J597" t="s">
        <v>2938</v>
      </c>
      <c r="K597" t="s">
        <v>2481</v>
      </c>
    </row>
    <row r="598" spans="1:11">
      <c r="A598">
        <v>597</v>
      </c>
      <c r="D598" t="s">
        <v>3125</v>
      </c>
      <c r="E598" t="s">
        <v>2544</v>
      </c>
      <c r="G598" t="s">
        <v>17</v>
      </c>
      <c r="H598">
        <v>600</v>
      </c>
      <c r="I598">
        <v>0</v>
      </c>
      <c r="J598" t="s">
        <v>2938</v>
      </c>
      <c r="K598" t="s">
        <v>2545</v>
      </c>
    </row>
    <row r="599" spans="1:11">
      <c r="A599">
        <v>598</v>
      </c>
      <c r="D599" t="s">
        <v>3125</v>
      </c>
      <c r="E599" t="s">
        <v>2141</v>
      </c>
      <c r="G599" t="s">
        <v>7</v>
      </c>
      <c r="H599">
        <v>1234</v>
      </c>
      <c r="I599">
        <v>0</v>
      </c>
      <c r="J599" t="s">
        <v>2938</v>
      </c>
      <c r="K599" t="s">
        <v>2142</v>
      </c>
    </row>
    <row r="600" spans="1:11">
      <c r="A600">
        <v>599</v>
      </c>
      <c r="D600" t="s">
        <v>3125</v>
      </c>
      <c r="E600" t="s">
        <v>1736</v>
      </c>
      <c r="G600" t="s">
        <v>17</v>
      </c>
      <c r="H600">
        <v>306</v>
      </c>
      <c r="I600">
        <v>0</v>
      </c>
      <c r="J600" t="s">
        <v>2938</v>
      </c>
      <c r="K600" t="s">
        <v>3026</v>
      </c>
    </row>
    <row r="601" spans="1:11">
      <c r="A601">
        <v>600</v>
      </c>
      <c r="D601" t="s">
        <v>3125</v>
      </c>
      <c r="E601" t="s">
        <v>2223</v>
      </c>
      <c r="G601" t="s">
        <v>17</v>
      </c>
      <c r="H601">
        <v>875</v>
      </c>
      <c r="I601">
        <v>0</v>
      </c>
      <c r="J601" t="s">
        <v>2938</v>
      </c>
      <c r="K601" t="s">
        <v>2224</v>
      </c>
    </row>
    <row r="602" spans="1:11">
      <c r="A602">
        <v>601</v>
      </c>
      <c r="D602" t="s">
        <v>3125</v>
      </c>
      <c r="E602" t="s">
        <v>2225</v>
      </c>
      <c r="G602" t="s">
        <v>17</v>
      </c>
      <c r="H602">
        <v>1010</v>
      </c>
      <c r="I602">
        <v>0</v>
      </c>
      <c r="J602" t="s">
        <v>2938</v>
      </c>
      <c r="K602" t="s">
        <v>2226</v>
      </c>
    </row>
    <row r="603" spans="1:11">
      <c r="A603">
        <v>602</v>
      </c>
      <c r="D603" t="s">
        <v>3125</v>
      </c>
      <c r="E603" t="s">
        <v>205</v>
      </c>
      <c r="G603" t="s">
        <v>7</v>
      </c>
      <c r="H603">
        <v>968</v>
      </c>
      <c r="I603">
        <v>0</v>
      </c>
      <c r="J603" t="s">
        <v>2938</v>
      </c>
      <c r="K603" t="s">
        <v>206</v>
      </c>
    </row>
    <row r="604" spans="1:11">
      <c r="A604">
        <v>603</v>
      </c>
      <c r="D604" t="s">
        <v>3125</v>
      </c>
      <c r="E604" t="s">
        <v>207</v>
      </c>
      <c r="G604" t="s">
        <v>7</v>
      </c>
      <c r="H604">
        <v>864</v>
      </c>
      <c r="I604">
        <v>0</v>
      </c>
      <c r="J604" t="s">
        <v>2938</v>
      </c>
      <c r="K604" t="s">
        <v>208</v>
      </c>
    </row>
    <row r="605" spans="1:11">
      <c r="A605">
        <v>604</v>
      </c>
      <c r="D605" t="s">
        <v>3125</v>
      </c>
      <c r="E605" t="s">
        <v>209</v>
      </c>
      <c r="G605" t="s">
        <v>7</v>
      </c>
      <c r="H605">
        <v>1022</v>
      </c>
      <c r="I605">
        <v>0</v>
      </c>
      <c r="J605" t="s">
        <v>2938</v>
      </c>
      <c r="K605" t="s">
        <v>210</v>
      </c>
    </row>
    <row r="606" spans="1:11">
      <c r="A606">
        <v>605</v>
      </c>
      <c r="D606" t="s">
        <v>3125</v>
      </c>
      <c r="E606" t="s">
        <v>211</v>
      </c>
      <c r="G606" t="s">
        <v>7</v>
      </c>
      <c r="H606">
        <v>509</v>
      </c>
      <c r="I606">
        <v>0</v>
      </c>
      <c r="J606" t="s">
        <v>2938</v>
      </c>
      <c r="K606" t="s">
        <v>212</v>
      </c>
    </row>
    <row r="607" spans="1:11">
      <c r="A607">
        <v>606</v>
      </c>
      <c r="D607" t="s">
        <v>3125</v>
      </c>
      <c r="E607" t="s">
        <v>203</v>
      </c>
      <c r="G607" t="s">
        <v>7</v>
      </c>
      <c r="H607">
        <v>479</v>
      </c>
      <c r="I607">
        <v>0</v>
      </c>
      <c r="J607" t="s">
        <v>2938</v>
      </c>
      <c r="K607" t="s">
        <v>204</v>
      </c>
    </row>
    <row r="608" spans="1:11">
      <c r="A608">
        <v>607</v>
      </c>
      <c r="D608" t="s">
        <v>3125</v>
      </c>
      <c r="E608" t="s">
        <v>257</v>
      </c>
      <c r="G608" t="s">
        <v>17</v>
      </c>
      <c r="H608">
        <v>301</v>
      </c>
      <c r="I608">
        <v>0</v>
      </c>
      <c r="J608" t="s">
        <v>2938</v>
      </c>
      <c r="K608" t="s">
        <v>258</v>
      </c>
    </row>
    <row r="609" spans="1:11">
      <c r="A609">
        <v>608</v>
      </c>
      <c r="D609" t="s">
        <v>3125</v>
      </c>
      <c r="E609" t="s">
        <v>2108</v>
      </c>
      <c r="G609" t="s">
        <v>17</v>
      </c>
      <c r="H609">
        <v>50</v>
      </c>
      <c r="I609">
        <v>0</v>
      </c>
      <c r="J609" t="s">
        <v>2938</v>
      </c>
      <c r="K609" t="s">
        <v>2109</v>
      </c>
    </row>
    <row r="610" spans="1:11">
      <c r="A610">
        <v>609</v>
      </c>
      <c r="D610" t="s">
        <v>3125</v>
      </c>
      <c r="E610" t="s">
        <v>1740</v>
      </c>
      <c r="G610" t="s">
        <v>17</v>
      </c>
      <c r="H610">
        <v>24</v>
      </c>
      <c r="I610">
        <v>0</v>
      </c>
      <c r="J610" t="s">
        <v>2938</v>
      </c>
      <c r="K610" t="s">
        <v>1741</v>
      </c>
    </row>
    <row r="611" spans="1:11">
      <c r="A611">
        <v>610</v>
      </c>
      <c r="D611" t="s">
        <v>3125</v>
      </c>
      <c r="E611" t="s">
        <v>1302</v>
      </c>
      <c r="G611" t="s">
        <v>20</v>
      </c>
      <c r="H611">
        <v>56.4</v>
      </c>
      <c r="I611">
        <v>0</v>
      </c>
      <c r="J611" t="s">
        <v>2938</v>
      </c>
      <c r="K611" t="s">
        <v>1303</v>
      </c>
    </row>
    <row r="612" spans="1:11">
      <c r="A612">
        <v>611</v>
      </c>
      <c r="D612" t="s">
        <v>3125</v>
      </c>
      <c r="E612" t="s">
        <v>2915</v>
      </c>
      <c r="G612" t="s">
        <v>17</v>
      </c>
      <c r="H612">
        <v>785</v>
      </c>
      <c r="I612">
        <v>0</v>
      </c>
      <c r="J612" t="s">
        <v>2938</v>
      </c>
      <c r="K612" t="s">
        <v>2916</v>
      </c>
    </row>
    <row r="613" spans="1:11">
      <c r="A613">
        <v>612</v>
      </c>
      <c r="D613" t="s">
        <v>3125</v>
      </c>
      <c r="E613" t="s">
        <v>300</v>
      </c>
      <c r="G613" t="s">
        <v>17</v>
      </c>
      <c r="H613">
        <v>30</v>
      </c>
      <c r="I613">
        <v>0</v>
      </c>
      <c r="J613" t="s">
        <v>2938</v>
      </c>
      <c r="K613" t="s">
        <v>301</v>
      </c>
    </row>
    <row r="614" spans="1:11">
      <c r="A614">
        <v>613</v>
      </c>
      <c r="D614" t="s">
        <v>3125</v>
      </c>
      <c r="E614" t="s">
        <v>1744</v>
      </c>
      <c r="G614" t="s">
        <v>20</v>
      </c>
      <c r="H614">
        <v>124</v>
      </c>
      <c r="I614">
        <v>0</v>
      </c>
      <c r="J614" t="s">
        <v>2939</v>
      </c>
      <c r="K614" t="s">
        <v>1745</v>
      </c>
    </row>
    <row r="615" spans="1:11">
      <c r="A615">
        <v>614</v>
      </c>
      <c r="D615" t="s">
        <v>3125</v>
      </c>
      <c r="E615" t="s">
        <v>1746</v>
      </c>
      <c r="G615" t="s">
        <v>20</v>
      </c>
      <c r="H615">
        <v>205.85</v>
      </c>
      <c r="I615">
        <v>0</v>
      </c>
      <c r="J615" t="s">
        <v>2938</v>
      </c>
      <c r="K615" t="s">
        <v>1747</v>
      </c>
    </row>
    <row r="616" spans="1:11">
      <c r="A616">
        <v>615</v>
      </c>
      <c r="D616" t="s">
        <v>3125</v>
      </c>
      <c r="E616" t="s">
        <v>1748</v>
      </c>
      <c r="G616" t="s">
        <v>20</v>
      </c>
      <c r="H616">
        <v>428.2</v>
      </c>
      <c r="I616">
        <v>0</v>
      </c>
      <c r="J616" t="s">
        <v>2938</v>
      </c>
      <c r="K616" t="s">
        <v>1749</v>
      </c>
    </row>
    <row r="617" spans="1:11">
      <c r="A617">
        <v>616</v>
      </c>
      <c r="D617" t="s">
        <v>3125</v>
      </c>
      <c r="E617" t="s">
        <v>1750</v>
      </c>
      <c r="G617" t="s">
        <v>20</v>
      </c>
      <c r="H617">
        <v>166.2</v>
      </c>
      <c r="I617">
        <v>0</v>
      </c>
      <c r="J617" t="s">
        <v>2938</v>
      </c>
      <c r="K617" t="s">
        <v>1751</v>
      </c>
    </row>
    <row r="618" spans="1:11">
      <c r="A618">
        <v>617</v>
      </c>
      <c r="D618" t="s">
        <v>3125</v>
      </c>
      <c r="E618" t="s">
        <v>1756</v>
      </c>
      <c r="G618" t="s">
        <v>20</v>
      </c>
      <c r="H618">
        <v>200</v>
      </c>
      <c r="I618">
        <v>0</v>
      </c>
      <c r="J618" t="s">
        <v>2938</v>
      </c>
      <c r="K618" t="s">
        <v>1757</v>
      </c>
    </row>
    <row r="619" spans="1:11">
      <c r="A619">
        <v>618</v>
      </c>
      <c r="D619" t="s">
        <v>3125</v>
      </c>
      <c r="E619" t="s">
        <v>1742</v>
      </c>
      <c r="G619" t="s">
        <v>20</v>
      </c>
      <c r="H619">
        <v>61.3</v>
      </c>
      <c r="I619">
        <v>0</v>
      </c>
      <c r="J619" t="s">
        <v>2938</v>
      </c>
      <c r="K619" t="s">
        <v>1743</v>
      </c>
    </row>
    <row r="620" spans="1:11">
      <c r="A620">
        <v>619</v>
      </c>
      <c r="D620" t="s">
        <v>3125</v>
      </c>
      <c r="E620" t="s">
        <v>2391</v>
      </c>
      <c r="G620" t="s">
        <v>20</v>
      </c>
      <c r="H620">
        <v>155.19999999999999</v>
      </c>
      <c r="I620">
        <v>0</v>
      </c>
      <c r="J620" t="s">
        <v>2938</v>
      </c>
      <c r="K620" t="s">
        <v>3145</v>
      </c>
    </row>
    <row r="621" spans="1:11">
      <c r="A621">
        <v>620</v>
      </c>
      <c r="D621" t="s">
        <v>3125</v>
      </c>
      <c r="E621" t="s">
        <v>2393</v>
      </c>
      <c r="G621" t="s">
        <v>20</v>
      </c>
      <c r="H621">
        <v>105</v>
      </c>
      <c r="I621">
        <v>0</v>
      </c>
      <c r="J621" t="s">
        <v>2938</v>
      </c>
      <c r="K621" t="s">
        <v>3146</v>
      </c>
    </row>
    <row r="622" spans="1:11">
      <c r="A622">
        <v>621</v>
      </c>
      <c r="D622" t="s">
        <v>3125</v>
      </c>
      <c r="E622" t="s">
        <v>2395</v>
      </c>
      <c r="G622" t="s">
        <v>20</v>
      </c>
      <c r="H622">
        <v>109.5</v>
      </c>
      <c r="I622">
        <v>0</v>
      </c>
      <c r="J622" t="s">
        <v>2938</v>
      </c>
      <c r="K622" t="s">
        <v>3147</v>
      </c>
    </row>
    <row r="623" spans="1:11">
      <c r="A623">
        <v>622</v>
      </c>
      <c r="D623" t="s">
        <v>3125</v>
      </c>
      <c r="E623" t="s">
        <v>1758</v>
      </c>
      <c r="G623" t="s">
        <v>20</v>
      </c>
      <c r="H623">
        <v>120.5</v>
      </c>
      <c r="I623">
        <v>0</v>
      </c>
      <c r="J623" t="s">
        <v>2938</v>
      </c>
      <c r="K623" t="s">
        <v>1759</v>
      </c>
    </row>
    <row r="624" spans="1:11">
      <c r="A624">
        <v>623</v>
      </c>
      <c r="D624" t="s">
        <v>3125</v>
      </c>
      <c r="E624" t="s">
        <v>1760</v>
      </c>
      <c r="G624" t="s">
        <v>20</v>
      </c>
      <c r="H624">
        <v>156.30000000000001</v>
      </c>
      <c r="I624">
        <v>0</v>
      </c>
      <c r="J624" t="s">
        <v>2938</v>
      </c>
      <c r="K624" t="s">
        <v>3148</v>
      </c>
    </row>
    <row r="625" spans="1:11">
      <c r="A625">
        <v>624</v>
      </c>
      <c r="D625" t="s">
        <v>3125</v>
      </c>
      <c r="E625" t="s">
        <v>153</v>
      </c>
      <c r="G625" t="s">
        <v>20</v>
      </c>
      <c r="H625">
        <v>552</v>
      </c>
      <c r="I625">
        <v>0</v>
      </c>
      <c r="J625" t="s">
        <v>2938</v>
      </c>
      <c r="K625" t="s">
        <v>154</v>
      </c>
    </row>
    <row r="626" spans="1:11">
      <c r="A626">
        <v>625</v>
      </c>
      <c r="D626" t="s">
        <v>3125</v>
      </c>
      <c r="E626" t="s">
        <v>2239</v>
      </c>
      <c r="G626" t="s">
        <v>17</v>
      </c>
      <c r="H626">
        <v>5</v>
      </c>
      <c r="I626">
        <v>0</v>
      </c>
      <c r="J626" t="s">
        <v>2938</v>
      </c>
      <c r="K626" t="s">
        <v>2240</v>
      </c>
    </row>
    <row r="627" spans="1:11">
      <c r="A627">
        <v>626</v>
      </c>
      <c r="D627" t="s">
        <v>3125</v>
      </c>
      <c r="E627" t="s">
        <v>1235</v>
      </c>
      <c r="G627" t="s">
        <v>17</v>
      </c>
      <c r="H627">
        <v>6</v>
      </c>
      <c r="I627">
        <v>0</v>
      </c>
      <c r="J627" t="s">
        <v>2938</v>
      </c>
      <c r="K627" t="s">
        <v>1236</v>
      </c>
    </row>
    <row r="628" spans="1:11">
      <c r="A628">
        <v>627</v>
      </c>
      <c r="D628" t="s">
        <v>3125</v>
      </c>
      <c r="E628" t="s">
        <v>1233</v>
      </c>
      <c r="G628" t="s">
        <v>17</v>
      </c>
      <c r="H628">
        <v>6</v>
      </c>
      <c r="I628">
        <v>0</v>
      </c>
      <c r="J628" t="s">
        <v>2938</v>
      </c>
      <c r="K628" t="s">
        <v>1234</v>
      </c>
    </row>
    <row r="629" spans="1:11">
      <c r="A629">
        <v>628</v>
      </c>
      <c r="D629" t="s">
        <v>3125</v>
      </c>
      <c r="E629" t="s">
        <v>1492</v>
      </c>
      <c r="G629" t="s">
        <v>7</v>
      </c>
      <c r="H629">
        <v>428.4</v>
      </c>
      <c r="I629">
        <v>0</v>
      </c>
      <c r="J629" t="s">
        <v>2938</v>
      </c>
      <c r="K629" t="s">
        <v>1493</v>
      </c>
    </row>
    <row r="630" spans="1:11">
      <c r="A630">
        <v>629</v>
      </c>
      <c r="D630" t="s">
        <v>3125</v>
      </c>
      <c r="E630" t="s">
        <v>1494</v>
      </c>
      <c r="G630" t="s">
        <v>7</v>
      </c>
      <c r="H630">
        <v>180.3</v>
      </c>
      <c r="I630">
        <v>0</v>
      </c>
      <c r="J630" t="s">
        <v>2938</v>
      </c>
      <c r="K630" t="s">
        <v>1495</v>
      </c>
    </row>
    <row r="631" spans="1:11">
      <c r="A631">
        <v>630</v>
      </c>
      <c r="D631" t="s">
        <v>3125</v>
      </c>
      <c r="E631" t="s">
        <v>3162</v>
      </c>
      <c r="G631" t="s">
        <v>17</v>
      </c>
      <c r="H631">
        <v>84</v>
      </c>
      <c r="I631">
        <v>0</v>
      </c>
      <c r="J631" t="s">
        <v>2938</v>
      </c>
      <c r="K631" t="s">
        <v>3574</v>
      </c>
    </row>
    <row r="632" spans="1:11">
      <c r="A632">
        <v>631</v>
      </c>
      <c r="D632" t="s">
        <v>3125</v>
      </c>
      <c r="E632" t="s">
        <v>3158</v>
      </c>
      <c r="G632" t="s">
        <v>7</v>
      </c>
      <c r="H632">
        <v>2340</v>
      </c>
      <c r="I632">
        <v>0</v>
      </c>
      <c r="J632" t="s">
        <v>2938</v>
      </c>
      <c r="K632" t="s">
        <v>3159</v>
      </c>
    </row>
    <row r="633" spans="1:11">
      <c r="A633">
        <v>632</v>
      </c>
      <c r="D633" t="s">
        <v>3125</v>
      </c>
      <c r="E633" t="s">
        <v>1766</v>
      </c>
      <c r="G633" t="s">
        <v>289</v>
      </c>
      <c r="H633">
        <v>210</v>
      </c>
      <c r="I633">
        <v>0</v>
      </c>
      <c r="J633" t="s">
        <v>2938</v>
      </c>
      <c r="K633" t="s">
        <v>1767</v>
      </c>
    </row>
    <row r="634" spans="1:11">
      <c r="A634">
        <v>633</v>
      </c>
      <c r="D634" t="s">
        <v>3125</v>
      </c>
      <c r="E634" t="s">
        <v>646</v>
      </c>
      <c r="G634" t="s">
        <v>7</v>
      </c>
      <c r="H634">
        <v>2309.3200000000002</v>
      </c>
      <c r="I634">
        <v>0</v>
      </c>
      <c r="J634" t="s">
        <v>2940</v>
      </c>
      <c r="K634" t="s">
        <v>647</v>
      </c>
    </row>
    <row r="635" spans="1:11">
      <c r="A635">
        <v>634</v>
      </c>
      <c r="D635" t="s">
        <v>3125</v>
      </c>
      <c r="E635" t="s">
        <v>646</v>
      </c>
      <c r="G635" t="s">
        <v>7</v>
      </c>
      <c r="H635">
        <v>13513.03</v>
      </c>
      <c r="I635">
        <v>0</v>
      </c>
      <c r="J635" t="s">
        <v>2938</v>
      </c>
      <c r="K635" t="s">
        <v>647</v>
      </c>
    </row>
    <row r="636" spans="1:11">
      <c r="A636">
        <v>635</v>
      </c>
      <c r="D636" t="s">
        <v>3125</v>
      </c>
      <c r="E636" t="s">
        <v>2476</v>
      </c>
      <c r="G636" t="s">
        <v>7</v>
      </c>
      <c r="H636">
        <v>1472.2</v>
      </c>
      <c r="I636">
        <v>0</v>
      </c>
      <c r="J636" t="s">
        <v>2938</v>
      </c>
      <c r="K636" t="s">
        <v>2477</v>
      </c>
    </row>
    <row r="637" spans="1:11">
      <c r="A637">
        <v>636</v>
      </c>
      <c r="D637" t="s">
        <v>3125</v>
      </c>
      <c r="E637" t="s">
        <v>856</v>
      </c>
      <c r="G637" t="s">
        <v>17</v>
      </c>
      <c r="H637">
        <v>263</v>
      </c>
      <c r="I637">
        <v>0</v>
      </c>
      <c r="J637" t="s">
        <v>2939</v>
      </c>
      <c r="K637" t="s">
        <v>857</v>
      </c>
    </row>
    <row r="638" spans="1:11">
      <c r="A638">
        <v>637</v>
      </c>
      <c r="D638" t="s">
        <v>3125</v>
      </c>
      <c r="E638" t="s">
        <v>856</v>
      </c>
      <c r="G638" t="s">
        <v>17</v>
      </c>
      <c r="H638">
        <v>585</v>
      </c>
      <c r="I638">
        <v>0</v>
      </c>
      <c r="J638" t="s">
        <v>2938</v>
      </c>
      <c r="K638" t="s">
        <v>857</v>
      </c>
    </row>
    <row r="639" spans="1:11">
      <c r="A639">
        <v>638</v>
      </c>
      <c r="D639" t="s">
        <v>3125</v>
      </c>
      <c r="E639" t="s">
        <v>2100</v>
      </c>
      <c r="G639" t="s">
        <v>17</v>
      </c>
      <c r="H639">
        <v>233</v>
      </c>
      <c r="I639">
        <v>0</v>
      </c>
      <c r="J639" t="s">
        <v>2938</v>
      </c>
      <c r="K639" t="s">
        <v>2101</v>
      </c>
    </row>
    <row r="640" spans="1:11">
      <c r="A640">
        <v>639</v>
      </c>
      <c r="D640" t="s">
        <v>3125</v>
      </c>
      <c r="E640" t="s">
        <v>1768</v>
      </c>
      <c r="G640" t="s">
        <v>7</v>
      </c>
      <c r="H640">
        <v>3000</v>
      </c>
      <c r="I640">
        <v>0</v>
      </c>
      <c r="J640" t="s">
        <v>2938</v>
      </c>
      <c r="K640" t="s">
        <v>1769</v>
      </c>
    </row>
    <row r="641" spans="1:11">
      <c r="A641">
        <v>640</v>
      </c>
      <c r="D641" t="s">
        <v>3125</v>
      </c>
      <c r="E641" t="s">
        <v>1304</v>
      </c>
      <c r="G641" t="s">
        <v>7</v>
      </c>
      <c r="H641">
        <v>1695.4</v>
      </c>
      <c r="I641">
        <v>0</v>
      </c>
      <c r="J641" t="s">
        <v>2938</v>
      </c>
      <c r="K641" t="s">
        <v>1305</v>
      </c>
    </row>
    <row r="642" spans="1:11">
      <c r="A642">
        <v>641</v>
      </c>
      <c r="D642" t="s">
        <v>3125</v>
      </c>
      <c r="E642" t="s">
        <v>1123</v>
      </c>
      <c r="G642" t="s">
        <v>17</v>
      </c>
      <c r="H642">
        <v>3100</v>
      </c>
      <c r="I642">
        <v>0</v>
      </c>
      <c r="J642" t="s">
        <v>2938</v>
      </c>
      <c r="K642" t="s">
        <v>1124</v>
      </c>
    </row>
    <row r="643" spans="1:11">
      <c r="A643">
        <v>642</v>
      </c>
      <c r="D643" t="s">
        <v>3125</v>
      </c>
      <c r="E643" t="s">
        <v>2102</v>
      </c>
      <c r="G643" t="s">
        <v>17</v>
      </c>
      <c r="H643">
        <v>1056</v>
      </c>
      <c r="I643">
        <v>0</v>
      </c>
      <c r="J643" t="s">
        <v>2938</v>
      </c>
      <c r="K643" t="s">
        <v>3575</v>
      </c>
    </row>
    <row r="644" spans="1:11">
      <c r="A644">
        <v>643</v>
      </c>
      <c r="D644" t="s">
        <v>3125</v>
      </c>
      <c r="E644" t="s">
        <v>339</v>
      </c>
      <c r="G644" t="s">
        <v>20</v>
      </c>
      <c r="H644">
        <v>46.1</v>
      </c>
      <c r="I644">
        <v>0</v>
      </c>
      <c r="J644" t="s">
        <v>2938</v>
      </c>
      <c r="K644" t="s">
        <v>340</v>
      </c>
    </row>
    <row r="645" spans="1:11">
      <c r="A645">
        <v>644</v>
      </c>
      <c r="D645" t="s">
        <v>3125</v>
      </c>
      <c r="E645" t="s">
        <v>1770</v>
      </c>
      <c r="G645" t="s">
        <v>17</v>
      </c>
      <c r="H645">
        <v>842</v>
      </c>
      <c r="I645">
        <v>0</v>
      </c>
      <c r="J645" t="s">
        <v>2938</v>
      </c>
      <c r="K645" t="s">
        <v>1771</v>
      </c>
    </row>
    <row r="646" spans="1:11">
      <c r="A646">
        <v>645</v>
      </c>
      <c r="D646" t="s">
        <v>3125</v>
      </c>
      <c r="E646" t="s">
        <v>1310</v>
      </c>
      <c r="G646" t="s">
        <v>7</v>
      </c>
      <c r="H646">
        <v>128.9</v>
      </c>
      <c r="I646">
        <v>0</v>
      </c>
      <c r="J646" t="s">
        <v>2938</v>
      </c>
      <c r="K646" t="s">
        <v>1311</v>
      </c>
    </row>
    <row r="647" spans="1:11">
      <c r="A647">
        <v>646</v>
      </c>
      <c r="D647" t="s">
        <v>3125</v>
      </c>
      <c r="E647" t="s">
        <v>1312</v>
      </c>
      <c r="G647" t="s">
        <v>7</v>
      </c>
      <c r="H647">
        <v>211.5</v>
      </c>
      <c r="I647">
        <v>0</v>
      </c>
      <c r="J647" t="s">
        <v>2938</v>
      </c>
      <c r="K647" t="s">
        <v>3149</v>
      </c>
    </row>
    <row r="648" spans="1:11">
      <c r="A648">
        <v>647</v>
      </c>
      <c r="D648" t="s">
        <v>3125</v>
      </c>
      <c r="E648" t="s">
        <v>1776</v>
      </c>
      <c r="G648" t="s">
        <v>17</v>
      </c>
      <c r="H648">
        <v>53</v>
      </c>
      <c r="I648">
        <v>0</v>
      </c>
      <c r="J648" t="s">
        <v>2938</v>
      </c>
      <c r="K648" t="s">
        <v>3027</v>
      </c>
    </row>
    <row r="649" spans="1:11">
      <c r="A649">
        <v>648</v>
      </c>
      <c r="D649" t="s">
        <v>3125</v>
      </c>
      <c r="E649" t="s">
        <v>37</v>
      </c>
      <c r="G649" t="s">
        <v>17</v>
      </c>
      <c r="H649">
        <v>200</v>
      </c>
      <c r="I649">
        <v>0</v>
      </c>
      <c r="J649" t="s">
        <v>2938</v>
      </c>
      <c r="K649" t="s">
        <v>38</v>
      </c>
    </row>
    <row r="650" spans="1:11">
      <c r="A650">
        <v>649</v>
      </c>
      <c r="D650" t="s">
        <v>3125</v>
      </c>
      <c r="E650" t="s">
        <v>2319</v>
      </c>
      <c r="G650" t="s">
        <v>17</v>
      </c>
      <c r="H650">
        <v>6</v>
      </c>
      <c r="I650">
        <v>0</v>
      </c>
      <c r="J650" t="s">
        <v>2938</v>
      </c>
      <c r="K650" t="s">
        <v>2320</v>
      </c>
    </row>
    <row r="651" spans="1:11">
      <c r="A651">
        <v>650</v>
      </c>
      <c r="D651" t="s">
        <v>3125</v>
      </c>
      <c r="E651" t="s">
        <v>1906</v>
      </c>
      <c r="G651" t="s">
        <v>17</v>
      </c>
      <c r="H651">
        <v>230</v>
      </c>
      <c r="I651">
        <v>0</v>
      </c>
      <c r="J651" t="s">
        <v>2938</v>
      </c>
      <c r="K651" t="s">
        <v>1907</v>
      </c>
    </row>
    <row r="652" spans="1:11">
      <c r="A652">
        <v>651</v>
      </c>
      <c r="D652" t="s">
        <v>3125</v>
      </c>
      <c r="E652" t="s">
        <v>1908</v>
      </c>
      <c r="G652" t="s">
        <v>17</v>
      </c>
      <c r="H652">
        <v>786</v>
      </c>
      <c r="I652">
        <v>0</v>
      </c>
      <c r="J652" t="s">
        <v>2938</v>
      </c>
      <c r="K652" t="s">
        <v>1909</v>
      </c>
    </row>
    <row r="653" spans="1:11">
      <c r="A653">
        <v>652</v>
      </c>
      <c r="D653" t="s">
        <v>3125</v>
      </c>
      <c r="E653" t="s">
        <v>1910</v>
      </c>
      <c r="G653" t="s">
        <v>17</v>
      </c>
      <c r="H653">
        <v>409</v>
      </c>
      <c r="I653">
        <v>0</v>
      </c>
      <c r="J653" t="s">
        <v>2938</v>
      </c>
      <c r="K653" t="s">
        <v>1911</v>
      </c>
    </row>
    <row r="654" spans="1:11">
      <c r="A654">
        <v>653</v>
      </c>
      <c r="D654" t="s">
        <v>3125</v>
      </c>
      <c r="E654" t="s">
        <v>1912</v>
      </c>
      <c r="G654" t="s">
        <v>17</v>
      </c>
      <c r="H654">
        <v>221</v>
      </c>
      <c r="I654">
        <v>0</v>
      </c>
      <c r="J654" t="s">
        <v>2938</v>
      </c>
      <c r="K654" t="s">
        <v>1913</v>
      </c>
    </row>
    <row r="655" spans="1:11">
      <c r="A655">
        <v>654</v>
      </c>
      <c r="D655" t="s">
        <v>3125</v>
      </c>
      <c r="E655" t="s">
        <v>1318</v>
      </c>
      <c r="G655" t="s">
        <v>7</v>
      </c>
      <c r="H655">
        <v>2313</v>
      </c>
      <c r="I655">
        <v>0</v>
      </c>
      <c r="J655" t="s">
        <v>2938</v>
      </c>
      <c r="K655" t="s">
        <v>1319</v>
      </c>
    </row>
    <row r="656" spans="1:11">
      <c r="A656">
        <v>655</v>
      </c>
      <c r="D656" t="s">
        <v>3125</v>
      </c>
      <c r="E656" t="s">
        <v>1322</v>
      </c>
      <c r="G656" t="s">
        <v>7</v>
      </c>
      <c r="H656">
        <v>510.5</v>
      </c>
      <c r="I656">
        <v>0</v>
      </c>
      <c r="J656" t="s">
        <v>2938</v>
      </c>
      <c r="K656" t="s">
        <v>1323</v>
      </c>
    </row>
    <row r="657" spans="1:11">
      <c r="A657">
        <v>656</v>
      </c>
      <c r="D657" t="s">
        <v>3125</v>
      </c>
      <c r="E657" t="s">
        <v>1780</v>
      </c>
      <c r="G657" t="s">
        <v>17</v>
      </c>
      <c r="H657">
        <v>239</v>
      </c>
      <c r="I657">
        <v>0</v>
      </c>
      <c r="J657" t="s">
        <v>2938</v>
      </c>
      <c r="K657" t="s">
        <v>1781</v>
      </c>
    </row>
    <row r="658" spans="1:11">
      <c r="A658">
        <v>657</v>
      </c>
      <c r="D658" t="s">
        <v>3125</v>
      </c>
      <c r="E658" t="s">
        <v>1782</v>
      </c>
      <c r="G658" t="s">
        <v>17</v>
      </c>
      <c r="H658">
        <v>455</v>
      </c>
      <c r="I658">
        <v>0</v>
      </c>
      <c r="J658" t="s">
        <v>2938</v>
      </c>
      <c r="K658" t="s">
        <v>1783</v>
      </c>
    </row>
    <row r="659" spans="1:11">
      <c r="A659">
        <v>658</v>
      </c>
      <c r="D659" t="s">
        <v>3125</v>
      </c>
      <c r="E659" t="s">
        <v>1784</v>
      </c>
      <c r="G659" t="s">
        <v>17</v>
      </c>
      <c r="H659">
        <v>795</v>
      </c>
      <c r="I659">
        <v>0</v>
      </c>
      <c r="J659" t="s">
        <v>2938</v>
      </c>
      <c r="K659" t="s">
        <v>1785</v>
      </c>
    </row>
    <row r="660" spans="1:11">
      <c r="A660">
        <v>659</v>
      </c>
      <c r="D660" t="s">
        <v>3125</v>
      </c>
      <c r="E660" t="s">
        <v>1786</v>
      </c>
      <c r="G660" t="s">
        <v>17</v>
      </c>
      <c r="H660">
        <v>405</v>
      </c>
      <c r="I660">
        <v>0</v>
      </c>
      <c r="J660" t="s">
        <v>2938</v>
      </c>
      <c r="K660" t="s">
        <v>1787</v>
      </c>
    </row>
    <row r="661" spans="1:11">
      <c r="A661">
        <v>660</v>
      </c>
      <c r="D661" t="s">
        <v>3125</v>
      </c>
      <c r="E661" t="s">
        <v>1788</v>
      </c>
      <c r="G661" t="s">
        <v>17</v>
      </c>
      <c r="H661">
        <v>6700</v>
      </c>
      <c r="I661">
        <v>0</v>
      </c>
      <c r="J661" t="s">
        <v>2938</v>
      </c>
      <c r="K661" t="s">
        <v>1789</v>
      </c>
    </row>
    <row r="662" spans="1:11">
      <c r="A662">
        <v>661</v>
      </c>
      <c r="D662" t="s">
        <v>3125</v>
      </c>
      <c r="E662" t="s">
        <v>3077</v>
      </c>
      <c r="G662" t="s">
        <v>17</v>
      </c>
      <c r="H662">
        <v>23</v>
      </c>
      <c r="I662">
        <v>0</v>
      </c>
      <c r="J662" t="s">
        <v>2938</v>
      </c>
      <c r="K662" t="s">
        <v>3078</v>
      </c>
    </row>
    <row r="663" spans="1:11">
      <c r="A663">
        <v>662</v>
      </c>
      <c r="D663" t="s">
        <v>3125</v>
      </c>
      <c r="E663" t="s">
        <v>3649</v>
      </c>
      <c r="G663" t="s">
        <v>7</v>
      </c>
      <c r="H663">
        <v>1280.75</v>
      </c>
      <c r="I663">
        <v>0</v>
      </c>
      <c r="J663" t="s">
        <v>2938</v>
      </c>
      <c r="K663" t="s">
        <v>3650</v>
      </c>
    </row>
    <row r="664" spans="1:11">
      <c r="A664">
        <v>663</v>
      </c>
      <c r="D664" t="s">
        <v>3125</v>
      </c>
      <c r="E664" t="s">
        <v>3304</v>
      </c>
      <c r="G664" t="s">
        <v>17</v>
      </c>
      <c r="H664">
        <v>25917</v>
      </c>
      <c r="I664">
        <v>0</v>
      </c>
      <c r="J664" t="s">
        <v>2938</v>
      </c>
      <c r="K664" t="s">
        <v>3305</v>
      </c>
    </row>
    <row r="665" spans="1:11">
      <c r="A665">
        <v>664</v>
      </c>
      <c r="D665" t="s">
        <v>3125</v>
      </c>
      <c r="E665" t="s">
        <v>3306</v>
      </c>
      <c r="G665" t="s">
        <v>17</v>
      </c>
      <c r="H665">
        <v>12691</v>
      </c>
      <c r="I665">
        <v>0</v>
      </c>
      <c r="J665" t="s">
        <v>2938</v>
      </c>
      <c r="K665" t="s">
        <v>3307</v>
      </c>
    </row>
    <row r="666" spans="1:11">
      <c r="A666">
        <v>665</v>
      </c>
      <c r="D666" t="s">
        <v>3125</v>
      </c>
      <c r="E666" t="s">
        <v>1792</v>
      </c>
      <c r="G666" t="s">
        <v>17</v>
      </c>
      <c r="H666">
        <v>6650</v>
      </c>
      <c r="I666">
        <v>0</v>
      </c>
      <c r="J666" t="s">
        <v>2938</v>
      </c>
      <c r="K666" t="s">
        <v>1793</v>
      </c>
    </row>
    <row r="667" spans="1:11">
      <c r="A667">
        <v>666</v>
      </c>
      <c r="D667" t="s">
        <v>3125</v>
      </c>
      <c r="E667" t="s">
        <v>2902</v>
      </c>
      <c r="G667" t="s">
        <v>17</v>
      </c>
      <c r="H667">
        <v>7208</v>
      </c>
      <c r="I667">
        <v>0</v>
      </c>
      <c r="J667" t="s">
        <v>2938</v>
      </c>
      <c r="K667" t="s">
        <v>3275</v>
      </c>
    </row>
    <row r="668" spans="1:11">
      <c r="A668">
        <v>667</v>
      </c>
      <c r="D668" t="s">
        <v>3125</v>
      </c>
      <c r="E668" t="s">
        <v>3294</v>
      </c>
      <c r="G668" t="s">
        <v>17</v>
      </c>
      <c r="H668">
        <v>9500</v>
      </c>
      <c r="I668">
        <v>0</v>
      </c>
      <c r="J668" t="s">
        <v>2938</v>
      </c>
      <c r="K668" t="s">
        <v>3576</v>
      </c>
    </row>
    <row r="669" spans="1:11">
      <c r="A669">
        <v>668</v>
      </c>
      <c r="D669" t="s">
        <v>3125</v>
      </c>
      <c r="E669" t="s">
        <v>539</v>
      </c>
      <c r="G669" t="s">
        <v>7</v>
      </c>
      <c r="H669">
        <v>332</v>
      </c>
      <c r="I669">
        <v>0</v>
      </c>
      <c r="J669" t="s">
        <v>2938</v>
      </c>
      <c r="K669" t="s">
        <v>540</v>
      </c>
    </row>
    <row r="670" spans="1:11">
      <c r="A670">
        <v>669</v>
      </c>
      <c r="D670" t="s">
        <v>3125</v>
      </c>
      <c r="E670" t="s">
        <v>3544</v>
      </c>
      <c r="G670" t="s">
        <v>17</v>
      </c>
      <c r="H670">
        <v>2125</v>
      </c>
      <c r="I670">
        <v>0</v>
      </c>
      <c r="J670" t="s">
        <v>2938</v>
      </c>
      <c r="K670" t="s">
        <v>3545</v>
      </c>
    </row>
    <row r="671" spans="1:11">
      <c r="A671">
        <v>670</v>
      </c>
      <c r="D671" t="s">
        <v>3125</v>
      </c>
      <c r="E671" t="s">
        <v>3546</v>
      </c>
      <c r="G671" t="s">
        <v>17</v>
      </c>
      <c r="H671">
        <v>1450</v>
      </c>
      <c r="I671">
        <v>0</v>
      </c>
      <c r="J671" t="s">
        <v>2938</v>
      </c>
      <c r="K671" t="s">
        <v>3547</v>
      </c>
    </row>
    <row r="672" spans="1:11">
      <c r="A672">
        <v>671</v>
      </c>
      <c r="D672" t="s">
        <v>3125</v>
      </c>
      <c r="E672" t="s">
        <v>838</v>
      </c>
      <c r="G672" t="s">
        <v>17</v>
      </c>
      <c r="H672">
        <v>2160</v>
      </c>
      <c r="I672">
        <v>0</v>
      </c>
      <c r="J672" t="s">
        <v>2938</v>
      </c>
      <c r="K672" t="s">
        <v>839</v>
      </c>
    </row>
    <row r="673" spans="1:11">
      <c r="A673">
        <v>672</v>
      </c>
      <c r="D673" t="s">
        <v>3125</v>
      </c>
      <c r="E673" t="s">
        <v>2464</v>
      </c>
      <c r="G673" t="s">
        <v>17</v>
      </c>
      <c r="H673">
        <v>8706</v>
      </c>
      <c r="I673">
        <v>0</v>
      </c>
      <c r="J673" t="s">
        <v>2938</v>
      </c>
      <c r="K673" t="s">
        <v>2465</v>
      </c>
    </row>
    <row r="674" spans="1:11">
      <c r="A674">
        <v>673</v>
      </c>
      <c r="D674" t="s">
        <v>3125</v>
      </c>
      <c r="E674" t="s">
        <v>1326</v>
      </c>
      <c r="G674" t="s">
        <v>7</v>
      </c>
      <c r="H674">
        <v>3359</v>
      </c>
      <c r="I674">
        <v>0</v>
      </c>
      <c r="J674" t="s">
        <v>2938</v>
      </c>
      <c r="K674" t="s">
        <v>1327</v>
      </c>
    </row>
    <row r="675" spans="1:11">
      <c r="A675">
        <v>674</v>
      </c>
      <c r="D675" t="s">
        <v>3125</v>
      </c>
      <c r="E675" t="s">
        <v>1328</v>
      </c>
      <c r="G675" t="s">
        <v>7</v>
      </c>
      <c r="H675">
        <v>80</v>
      </c>
      <c r="I675">
        <v>0</v>
      </c>
      <c r="J675" t="s">
        <v>2938</v>
      </c>
      <c r="K675" t="s">
        <v>1329</v>
      </c>
    </row>
    <row r="676" spans="1:11">
      <c r="A676">
        <v>675</v>
      </c>
      <c r="D676" t="s">
        <v>3125</v>
      </c>
      <c r="E676" t="s">
        <v>1330</v>
      </c>
      <c r="G676" t="s">
        <v>7</v>
      </c>
      <c r="H676">
        <v>3959</v>
      </c>
      <c r="I676">
        <v>0</v>
      </c>
      <c r="J676" t="s">
        <v>2938</v>
      </c>
      <c r="K676" t="s">
        <v>1331</v>
      </c>
    </row>
    <row r="677" spans="1:11">
      <c r="A677">
        <v>676</v>
      </c>
      <c r="D677" t="s">
        <v>3125</v>
      </c>
      <c r="E677" t="s">
        <v>39</v>
      </c>
      <c r="G677" t="s">
        <v>17</v>
      </c>
      <c r="H677">
        <v>5500</v>
      </c>
      <c r="I677">
        <v>0</v>
      </c>
      <c r="J677" t="s">
        <v>2938</v>
      </c>
      <c r="K677" t="s">
        <v>40</v>
      </c>
    </row>
    <row r="678" spans="1:11">
      <c r="A678">
        <v>677</v>
      </c>
      <c r="D678" t="s">
        <v>3125</v>
      </c>
      <c r="E678" t="s">
        <v>1800</v>
      </c>
      <c r="G678" t="s">
        <v>17</v>
      </c>
      <c r="H678">
        <v>1750</v>
      </c>
      <c r="I678">
        <v>0</v>
      </c>
      <c r="J678" t="s">
        <v>2938</v>
      </c>
      <c r="K678" t="s">
        <v>1801</v>
      </c>
    </row>
    <row r="679" spans="1:11">
      <c r="A679">
        <v>678</v>
      </c>
      <c r="D679" t="s">
        <v>3125</v>
      </c>
      <c r="E679" t="s">
        <v>1866</v>
      </c>
      <c r="G679" t="s">
        <v>20</v>
      </c>
      <c r="H679">
        <v>1859.3</v>
      </c>
      <c r="I679">
        <v>0</v>
      </c>
      <c r="J679" t="s">
        <v>2938</v>
      </c>
      <c r="K679" t="s">
        <v>1867</v>
      </c>
    </row>
    <row r="680" spans="1:11">
      <c r="A680">
        <v>679</v>
      </c>
      <c r="D680" t="s">
        <v>3125</v>
      </c>
      <c r="E680" t="s">
        <v>1153</v>
      </c>
      <c r="G680" t="s">
        <v>20</v>
      </c>
      <c r="H680">
        <v>245.15</v>
      </c>
      <c r="I680">
        <v>0</v>
      </c>
      <c r="J680" t="s">
        <v>2938</v>
      </c>
      <c r="K680" t="s">
        <v>1154</v>
      </c>
    </row>
    <row r="681" spans="1:11">
      <c r="A681">
        <v>680</v>
      </c>
      <c r="D681" t="s">
        <v>3125</v>
      </c>
      <c r="E681" t="s">
        <v>1844</v>
      </c>
      <c r="G681" t="s">
        <v>20</v>
      </c>
      <c r="H681">
        <v>124.1</v>
      </c>
      <c r="I681">
        <v>0</v>
      </c>
      <c r="J681" t="s">
        <v>2938</v>
      </c>
      <c r="K681" t="s">
        <v>1845</v>
      </c>
    </row>
    <row r="682" spans="1:11">
      <c r="A682">
        <v>681</v>
      </c>
      <c r="D682" t="s">
        <v>3125</v>
      </c>
      <c r="E682" t="s">
        <v>1846</v>
      </c>
      <c r="G682" t="s">
        <v>20</v>
      </c>
      <c r="H682">
        <v>383</v>
      </c>
      <c r="I682">
        <v>0</v>
      </c>
      <c r="J682" t="s">
        <v>2938</v>
      </c>
      <c r="K682" t="s">
        <v>1847</v>
      </c>
    </row>
    <row r="683" spans="1:11">
      <c r="A683">
        <v>682</v>
      </c>
      <c r="D683" t="s">
        <v>3125</v>
      </c>
      <c r="E683" t="s">
        <v>1868</v>
      </c>
      <c r="G683" t="s">
        <v>20</v>
      </c>
      <c r="H683">
        <v>141.27000000000001</v>
      </c>
      <c r="I683">
        <v>0</v>
      </c>
      <c r="J683" t="s">
        <v>2938</v>
      </c>
      <c r="K683" t="s">
        <v>1869</v>
      </c>
    </row>
    <row r="684" spans="1:11">
      <c r="A684">
        <v>683</v>
      </c>
      <c r="D684" t="s">
        <v>3125</v>
      </c>
      <c r="E684" t="s">
        <v>1848</v>
      </c>
      <c r="G684" t="s">
        <v>20</v>
      </c>
      <c r="H684">
        <v>77.7</v>
      </c>
      <c r="I684">
        <v>0</v>
      </c>
      <c r="J684" t="s">
        <v>2938</v>
      </c>
      <c r="K684" t="s">
        <v>1849</v>
      </c>
    </row>
    <row r="685" spans="1:11">
      <c r="A685">
        <v>684</v>
      </c>
      <c r="D685" t="s">
        <v>3125</v>
      </c>
      <c r="E685" t="s">
        <v>1852</v>
      </c>
      <c r="G685" t="s">
        <v>20</v>
      </c>
      <c r="H685">
        <v>621.78</v>
      </c>
      <c r="I685">
        <v>0</v>
      </c>
      <c r="J685" t="s">
        <v>2938</v>
      </c>
      <c r="K685" t="s">
        <v>1853</v>
      </c>
    </row>
    <row r="686" spans="1:11">
      <c r="A686">
        <v>685</v>
      </c>
      <c r="D686" t="s">
        <v>3125</v>
      </c>
      <c r="E686" t="s">
        <v>1850</v>
      </c>
      <c r="G686" t="s">
        <v>20</v>
      </c>
      <c r="H686">
        <v>1500.25</v>
      </c>
      <c r="I686">
        <v>0</v>
      </c>
      <c r="J686" t="s">
        <v>2938</v>
      </c>
      <c r="K686" t="s">
        <v>1851</v>
      </c>
    </row>
    <row r="687" spans="1:11">
      <c r="A687">
        <v>686</v>
      </c>
      <c r="D687" t="s">
        <v>3125</v>
      </c>
      <c r="E687" t="s">
        <v>1854</v>
      </c>
      <c r="G687" t="s">
        <v>20</v>
      </c>
      <c r="H687">
        <v>2774.7</v>
      </c>
      <c r="I687">
        <v>0</v>
      </c>
      <c r="J687" t="s">
        <v>2938</v>
      </c>
      <c r="K687" t="s">
        <v>1855</v>
      </c>
    </row>
    <row r="688" spans="1:11">
      <c r="A688">
        <v>687</v>
      </c>
      <c r="D688" t="s">
        <v>3125</v>
      </c>
      <c r="E688" t="s">
        <v>1860</v>
      </c>
      <c r="G688" t="s">
        <v>20</v>
      </c>
      <c r="H688">
        <v>1708.4</v>
      </c>
      <c r="I688">
        <v>0</v>
      </c>
      <c r="J688" t="s">
        <v>2938</v>
      </c>
      <c r="K688" t="s">
        <v>1861</v>
      </c>
    </row>
    <row r="689" spans="1:11">
      <c r="A689">
        <v>688</v>
      </c>
      <c r="D689" t="s">
        <v>3125</v>
      </c>
      <c r="E689" t="s">
        <v>1858</v>
      </c>
      <c r="G689" t="s">
        <v>20</v>
      </c>
      <c r="H689">
        <v>745.5</v>
      </c>
      <c r="I689">
        <v>0</v>
      </c>
      <c r="J689" t="s">
        <v>2938</v>
      </c>
      <c r="K689" t="s">
        <v>1859</v>
      </c>
    </row>
    <row r="690" spans="1:11">
      <c r="A690">
        <v>689</v>
      </c>
      <c r="D690" t="s">
        <v>3125</v>
      </c>
      <c r="E690" t="s">
        <v>2621</v>
      </c>
      <c r="G690" t="s">
        <v>20</v>
      </c>
      <c r="H690">
        <v>370.59</v>
      </c>
      <c r="I690">
        <v>0</v>
      </c>
      <c r="J690" t="s">
        <v>2938</v>
      </c>
      <c r="K690" t="s">
        <v>2622</v>
      </c>
    </row>
    <row r="691" spans="1:11">
      <c r="A691">
        <v>690</v>
      </c>
      <c r="D691" t="s">
        <v>3125</v>
      </c>
      <c r="E691" t="s">
        <v>1862</v>
      </c>
      <c r="G691" t="s">
        <v>20</v>
      </c>
      <c r="H691">
        <v>631.79999999999995</v>
      </c>
      <c r="I691">
        <v>0</v>
      </c>
      <c r="J691" t="s">
        <v>2938</v>
      </c>
      <c r="K691" t="s">
        <v>1863</v>
      </c>
    </row>
    <row r="692" spans="1:11">
      <c r="A692">
        <v>691</v>
      </c>
      <c r="D692" t="s">
        <v>3125</v>
      </c>
      <c r="E692" t="s">
        <v>1149</v>
      </c>
      <c r="G692" t="s">
        <v>20</v>
      </c>
      <c r="H692">
        <v>858.6</v>
      </c>
      <c r="I692">
        <v>0</v>
      </c>
      <c r="J692" t="s">
        <v>2938</v>
      </c>
      <c r="K692" t="s">
        <v>1150</v>
      </c>
    </row>
    <row r="693" spans="1:11">
      <c r="A693">
        <v>692</v>
      </c>
      <c r="D693" t="s">
        <v>3125</v>
      </c>
      <c r="E693" t="s">
        <v>1802</v>
      </c>
      <c r="G693" t="s">
        <v>20</v>
      </c>
      <c r="H693">
        <v>987.4</v>
      </c>
      <c r="I693">
        <v>0</v>
      </c>
      <c r="J693" t="s">
        <v>2938</v>
      </c>
      <c r="K693" t="s">
        <v>1803</v>
      </c>
    </row>
    <row r="694" spans="1:11">
      <c r="A694">
        <v>693</v>
      </c>
      <c r="D694" t="s">
        <v>3125</v>
      </c>
      <c r="E694" t="s">
        <v>1804</v>
      </c>
      <c r="G694" t="s">
        <v>20</v>
      </c>
      <c r="H694">
        <v>1433.7</v>
      </c>
      <c r="I694">
        <v>0</v>
      </c>
      <c r="J694" t="s">
        <v>2938</v>
      </c>
      <c r="K694" t="s">
        <v>1805</v>
      </c>
    </row>
    <row r="695" spans="1:11">
      <c r="A695">
        <v>694</v>
      </c>
      <c r="D695" t="s">
        <v>3125</v>
      </c>
      <c r="E695" t="s">
        <v>1806</v>
      </c>
      <c r="G695" t="s">
        <v>20</v>
      </c>
      <c r="H695">
        <v>109.4</v>
      </c>
      <c r="I695">
        <v>0</v>
      </c>
      <c r="J695" t="s">
        <v>2938</v>
      </c>
      <c r="K695" t="s">
        <v>1807</v>
      </c>
    </row>
    <row r="696" spans="1:11">
      <c r="A696">
        <v>695</v>
      </c>
      <c r="D696" t="s">
        <v>3125</v>
      </c>
      <c r="E696" t="s">
        <v>1808</v>
      </c>
      <c r="G696" t="s">
        <v>20</v>
      </c>
      <c r="H696">
        <v>493.25</v>
      </c>
      <c r="I696">
        <v>0</v>
      </c>
      <c r="J696" t="s">
        <v>2938</v>
      </c>
      <c r="K696" t="s">
        <v>1809</v>
      </c>
    </row>
    <row r="697" spans="1:11">
      <c r="A697">
        <v>696</v>
      </c>
      <c r="D697" t="s">
        <v>3125</v>
      </c>
      <c r="E697" t="s">
        <v>1151</v>
      </c>
      <c r="G697" t="s">
        <v>20</v>
      </c>
      <c r="H697">
        <v>184.9</v>
      </c>
      <c r="I697">
        <v>0</v>
      </c>
      <c r="J697" t="s">
        <v>2938</v>
      </c>
      <c r="K697" t="s">
        <v>1152</v>
      </c>
    </row>
    <row r="698" spans="1:11">
      <c r="A698">
        <v>697</v>
      </c>
      <c r="D698" t="s">
        <v>3125</v>
      </c>
      <c r="E698" t="s">
        <v>140</v>
      </c>
      <c r="G698" t="s">
        <v>17</v>
      </c>
      <c r="H698">
        <v>11600</v>
      </c>
      <c r="I698">
        <v>0</v>
      </c>
      <c r="J698" t="s">
        <v>2938</v>
      </c>
      <c r="K698" t="s">
        <v>141</v>
      </c>
    </row>
    <row r="699" spans="1:11">
      <c r="A699">
        <v>698</v>
      </c>
      <c r="D699" t="s">
        <v>3125</v>
      </c>
      <c r="E699" t="s">
        <v>1237</v>
      </c>
      <c r="G699" t="s">
        <v>17</v>
      </c>
      <c r="H699">
        <v>32</v>
      </c>
      <c r="I699">
        <v>0</v>
      </c>
      <c r="J699" t="s">
        <v>2938</v>
      </c>
      <c r="K699" t="s">
        <v>1238</v>
      </c>
    </row>
    <row r="700" spans="1:11">
      <c r="A700">
        <v>699</v>
      </c>
      <c r="D700" t="s">
        <v>3125</v>
      </c>
      <c r="E700" t="s">
        <v>3290</v>
      </c>
      <c r="G700" t="s">
        <v>7</v>
      </c>
      <c r="H700">
        <v>1000</v>
      </c>
      <c r="I700">
        <v>0</v>
      </c>
      <c r="J700" t="s">
        <v>2938</v>
      </c>
      <c r="K700" t="s">
        <v>3291</v>
      </c>
    </row>
    <row r="701" spans="1:11">
      <c r="A701">
        <v>700</v>
      </c>
      <c r="D701" t="s">
        <v>3125</v>
      </c>
      <c r="E701" t="s">
        <v>1810</v>
      </c>
      <c r="G701" t="s">
        <v>17</v>
      </c>
      <c r="H701">
        <v>5935</v>
      </c>
      <c r="I701">
        <v>0</v>
      </c>
      <c r="J701" t="s">
        <v>2938</v>
      </c>
      <c r="K701" t="s">
        <v>1811</v>
      </c>
    </row>
    <row r="702" spans="1:11">
      <c r="A702">
        <v>701</v>
      </c>
      <c r="D702" t="s">
        <v>3125</v>
      </c>
      <c r="E702" t="s">
        <v>43</v>
      </c>
      <c r="G702" t="s">
        <v>17</v>
      </c>
      <c r="H702">
        <v>9127</v>
      </c>
      <c r="I702">
        <v>0</v>
      </c>
      <c r="J702" t="s">
        <v>2938</v>
      </c>
      <c r="K702" t="s">
        <v>44</v>
      </c>
    </row>
    <row r="703" spans="1:11">
      <c r="A703">
        <v>702</v>
      </c>
      <c r="D703" t="s">
        <v>3125</v>
      </c>
      <c r="E703" t="s">
        <v>1332</v>
      </c>
      <c r="G703" t="s">
        <v>7</v>
      </c>
      <c r="H703">
        <v>109</v>
      </c>
      <c r="I703">
        <v>0</v>
      </c>
      <c r="J703" t="s">
        <v>2938</v>
      </c>
      <c r="K703" t="s">
        <v>1333</v>
      </c>
    </row>
    <row r="704" spans="1:11">
      <c r="A704">
        <v>703</v>
      </c>
      <c r="D704" t="s">
        <v>3125</v>
      </c>
      <c r="E704" t="s">
        <v>1334</v>
      </c>
      <c r="G704" t="s">
        <v>7</v>
      </c>
      <c r="H704">
        <v>104.8</v>
      </c>
      <c r="I704">
        <v>0</v>
      </c>
      <c r="J704" t="s">
        <v>2938</v>
      </c>
      <c r="K704" t="s">
        <v>1335</v>
      </c>
    </row>
    <row r="705" spans="1:11">
      <c r="A705">
        <v>704</v>
      </c>
      <c r="D705" t="s">
        <v>3125</v>
      </c>
      <c r="E705" t="s">
        <v>1334</v>
      </c>
      <c r="G705" t="s">
        <v>7</v>
      </c>
      <c r="H705">
        <v>264</v>
      </c>
      <c r="I705">
        <v>0</v>
      </c>
      <c r="J705" t="s">
        <v>2939</v>
      </c>
      <c r="K705" t="s">
        <v>1335</v>
      </c>
    </row>
    <row r="706" spans="1:11">
      <c r="A706">
        <v>705</v>
      </c>
      <c r="D706" t="s">
        <v>3125</v>
      </c>
      <c r="E706" t="s">
        <v>1336</v>
      </c>
      <c r="G706" t="s">
        <v>7</v>
      </c>
      <c r="H706">
        <v>297</v>
      </c>
      <c r="I706">
        <v>0</v>
      </c>
      <c r="J706" t="s">
        <v>2938</v>
      </c>
      <c r="K706" t="s">
        <v>1337</v>
      </c>
    </row>
    <row r="707" spans="1:11">
      <c r="A707">
        <v>706</v>
      </c>
      <c r="D707" t="s">
        <v>3125</v>
      </c>
      <c r="E707" t="s">
        <v>1534</v>
      </c>
      <c r="G707" t="s">
        <v>135</v>
      </c>
      <c r="H707">
        <v>8100</v>
      </c>
      <c r="I707">
        <v>0</v>
      </c>
      <c r="J707" t="s">
        <v>2938</v>
      </c>
      <c r="K707" t="s">
        <v>1535</v>
      </c>
    </row>
    <row r="708" spans="1:11">
      <c r="A708">
        <v>707</v>
      </c>
      <c r="D708" t="s">
        <v>3125</v>
      </c>
      <c r="E708" t="s">
        <v>1342</v>
      </c>
      <c r="G708" t="s">
        <v>7</v>
      </c>
      <c r="H708">
        <v>1215.9000000000001</v>
      </c>
      <c r="I708">
        <v>0</v>
      </c>
      <c r="J708" t="s">
        <v>2938</v>
      </c>
      <c r="K708" t="s">
        <v>1343</v>
      </c>
    </row>
    <row r="709" spans="1:11">
      <c r="A709">
        <v>708</v>
      </c>
      <c r="D709" t="s">
        <v>3125</v>
      </c>
      <c r="E709" t="s">
        <v>1820</v>
      </c>
      <c r="G709" t="s">
        <v>7</v>
      </c>
      <c r="H709">
        <v>600</v>
      </c>
      <c r="I709">
        <v>0</v>
      </c>
      <c r="J709" t="s">
        <v>2938</v>
      </c>
      <c r="K709" t="s">
        <v>1821</v>
      </c>
    </row>
    <row r="710" spans="1:11">
      <c r="A710">
        <v>709</v>
      </c>
      <c r="D710" t="s">
        <v>3125</v>
      </c>
      <c r="E710" t="s">
        <v>1338</v>
      </c>
      <c r="G710" t="s">
        <v>7</v>
      </c>
      <c r="H710">
        <v>156.4</v>
      </c>
      <c r="I710">
        <v>0</v>
      </c>
      <c r="J710" t="s">
        <v>2938</v>
      </c>
      <c r="K710" t="s">
        <v>1339</v>
      </c>
    </row>
    <row r="711" spans="1:11">
      <c r="A711">
        <v>710</v>
      </c>
      <c r="D711" t="s">
        <v>3125</v>
      </c>
      <c r="E711" t="s">
        <v>1822</v>
      </c>
      <c r="G711" t="s">
        <v>17</v>
      </c>
      <c r="H711">
        <v>287</v>
      </c>
      <c r="I711">
        <v>0</v>
      </c>
      <c r="J711" t="s">
        <v>2938</v>
      </c>
      <c r="K711" t="s">
        <v>1823</v>
      </c>
    </row>
    <row r="712" spans="1:11">
      <c r="A712">
        <v>711</v>
      </c>
      <c r="D712" t="s">
        <v>3125</v>
      </c>
      <c r="E712" t="s">
        <v>1824</v>
      </c>
      <c r="G712" t="s">
        <v>17</v>
      </c>
      <c r="H712">
        <v>194</v>
      </c>
      <c r="I712">
        <v>0</v>
      </c>
      <c r="J712" t="s">
        <v>2938</v>
      </c>
      <c r="K712" t="s">
        <v>1825</v>
      </c>
    </row>
    <row r="713" spans="1:11">
      <c r="A713">
        <v>712</v>
      </c>
      <c r="D713" t="s">
        <v>3125</v>
      </c>
      <c r="E713" t="s">
        <v>2890</v>
      </c>
      <c r="G713" t="s">
        <v>17</v>
      </c>
      <c r="H713">
        <v>2150</v>
      </c>
      <c r="I713">
        <v>0</v>
      </c>
      <c r="J713" t="s">
        <v>2938</v>
      </c>
      <c r="K713" t="s">
        <v>2891</v>
      </c>
    </row>
    <row r="714" spans="1:11">
      <c r="A714">
        <v>713</v>
      </c>
      <c r="D714" t="s">
        <v>3125</v>
      </c>
      <c r="E714" t="s">
        <v>2327</v>
      </c>
      <c r="G714" t="s">
        <v>17</v>
      </c>
      <c r="H714">
        <v>35</v>
      </c>
      <c r="I714">
        <v>0</v>
      </c>
      <c r="J714" t="s">
        <v>2938</v>
      </c>
      <c r="K714" t="s">
        <v>2328</v>
      </c>
    </row>
    <row r="715" spans="1:11">
      <c r="A715">
        <v>714</v>
      </c>
      <c r="D715" t="s">
        <v>3125</v>
      </c>
      <c r="E715" t="s">
        <v>2331</v>
      </c>
      <c r="G715" t="s">
        <v>17</v>
      </c>
      <c r="H715">
        <v>24</v>
      </c>
      <c r="I715">
        <v>0</v>
      </c>
      <c r="J715" t="s">
        <v>2938</v>
      </c>
      <c r="K715" t="s">
        <v>2332</v>
      </c>
    </row>
    <row r="716" spans="1:11">
      <c r="A716">
        <v>715</v>
      </c>
      <c r="D716" t="s">
        <v>3125</v>
      </c>
      <c r="E716" t="s">
        <v>2329</v>
      </c>
      <c r="G716" t="s">
        <v>17</v>
      </c>
      <c r="H716">
        <v>72</v>
      </c>
      <c r="I716">
        <v>0</v>
      </c>
      <c r="J716" t="s">
        <v>2938</v>
      </c>
      <c r="K716" t="s">
        <v>2330</v>
      </c>
    </row>
    <row r="717" spans="1:11">
      <c r="A717">
        <v>716</v>
      </c>
      <c r="D717" t="s">
        <v>3125</v>
      </c>
      <c r="E717" t="s">
        <v>418</v>
      </c>
      <c r="G717" t="s">
        <v>17</v>
      </c>
      <c r="H717">
        <v>213</v>
      </c>
      <c r="I717">
        <v>0</v>
      </c>
      <c r="J717" t="s">
        <v>2938</v>
      </c>
      <c r="K717" t="s">
        <v>3150</v>
      </c>
    </row>
    <row r="718" spans="1:11">
      <c r="A718">
        <v>717</v>
      </c>
      <c r="D718" t="s">
        <v>3125</v>
      </c>
      <c r="E718" t="s">
        <v>416</v>
      </c>
      <c r="G718" t="s">
        <v>17</v>
      </c>
      <c r="H718">
        <v>1020</v>
      </c>
      <c r="I718">
        <v>0</v>
      </c>
      <c r="J718" t="s">
        <v>2938</v>
      </c>
      <c r="K718" t="s">
        <v>417</v>
      </c>
    </row>
    <row r="719" spans="1:11">
      <c r="A719">
        <v>718</v>
      </c>
      <c r="D719" t="s">
        <v>3125</v>
      </c>
      <c r="E719" t="s">
        <v>420</v>
      </c>
      <c r="G719" t="s">
        <v>17</v>
      </c>
      <c r="H719">
        <v>582</v>
      </c>
      <c r="I719">
        <v>0</v>
      </c>
      <c r="J719" t="s">
        <v>2938</v>
      </c>
      <c r="K719" t="s">
        <v>421</v>
      </c>
    </row>
    <row r="720" spans="1:11">
      <c r="A720">
        <v>719</v>
      </c>
      <c r="D720" t="s">
        <v>3125</v>
      </c>
      <c r="E720" t="s">
        <v>1344</v>
      </c>
      <c r="G720" t="s">
        <v>7</v>
      </c>
      <c r="H720">
        <v>138.35</v>
      </c>
      <c r="I720">
        <v>0</v>
      </c>
      <c r="J720" t="s">
        <v>2938</v>
      </c>
      <c r="K720" t="s">
        <v>1345</v>
      </c>
    </row>
    <row r="721" spans="1:11">
      <c r="A721">
        <v>720</v>
      </c>
      <c r="D721" t="s">
        <v>3125</v>
      </c>
      <c r="E721" t="s">
        <v>1346</v>
      </c>
      <c r="G721" t="s">
        <v>7</v>
      </c>
      <c r="H721">
        <v>693.8</v>
      </c>
      <c r="I721">
        <v>0</v>
      </c>
      <c r="J721" t="s">
        <v>2938</v>
      </c>
      <c r="K721" t="s">
        <v>1347</v>
      </c>
    </row>
    <row r="722" spans="1:11">
      <c r="A722">
        <v>721</v>
      </c>
      <c r="D722" t="s">
        <v>3125</v>
      </c>
      <c r="E722" t="s">
        <v>1830</v>
      </c>
      <c r="G722" t="s">
        <v>17</v>
      </c>
      <c r="H722">
        <v>123</v>
      </c>
      <c r="I722">
        <v>0</v>
      </c>
      <c r="J722" t="s">
        <v>2938</v>
      </c>
      <c r="K722" t="s">
        <v>1831</v>
      </c>
    </row>
    <row r="723" spans="1:11">
      <c r="A723">
        <v>722</v>
      </c>
      <c r="D723" t="s">
        <v>3125</v>
      </c>
      <c r="E723" t="s">
        <v>1834</v>
      </c>
      <c r="G723" t="s">
        <v>17</v>
      </c>
      <c r="H723">
        <v>711</v>
      </c>
      <c r="I723">
        <v>0</v>
      </c>
      <c r="J723" t="s">
        <v>2938</v>
      </c>
      <c r="K723" t="s">
        <v>1835</v>
      </c>
    </row>
    <row r="724" spans="1:11">
      <c r="A724">
        <v>723</v>
      </c>
      <c r="D724" t="s">
        <v>3125</v>
      </c>
      <c r="E724" t="s">
        <v>1838</v>
      </c>
      <c r="G724" t="s">
        <v>17</v>
      </c>
      <c r="H724">
        <v>618</v>
      </c>
      <c r="I724">
        <v>0</v>
      </c>
      <c r="J724" t="s">
        <v>2938</v>
      </c>
      <c r="K724" t="s">
        <v>1839</v>
      </c>
    </row>
    <row r="725" spans="1:11">
      <c r="A725">
        <v>724</v>
      </c>
      <c r="D725" t="s">
        <v>3125</v>
      </c>
      <c r="E725" t="s">
        <v>1842</v>
      </c>
      <c r="G725" t="s">
        <v>17</v>
      </c>
      <c r="H725">
        <v>224</v>
      </c>
      <c r="I725">
        <v>0</v>
      </c>
      <c r="J725" t="s">
        <v>2938</v>
      </c>
      <c r="K725" t="s">
        <v>1843</v>
      </c>
    </row>
    <row r="726" spans="1:11">
      <c r="A726">
        <v>725</v>
      </c>
      <c r="D726" t="s">
        <v>3125</v>
      </c>
      <c r="E726" t="s">
        <v>1832</v>
      </c>
      <c r="G726" t="s">
        <v>17</v>
      </c>
      <c r="H726">
        <v>80</v>
      </c>
      <c r="I726">
        <v>0</v>
      </c>
      <c r="J726" t="s">
        <v>2938</v>
      </c>
      <c r="K726" t="s">
        <v>1833</v>
      </c>
    </row>
    <row r="727" spans="1:11">
      <c r="A727">
        <v>726</v>
      </c>
      <c r="D727" t="s">
        <v>3125</v>
      </c>
      <c r="E727" t="s">
        <v>1836</v>
      </c>
      <c r="G727" t="s">
        <v>17</v>
      </c>
      <c r="H727">
        <v>206</v>
      </c>
      <c r="I727">
        <v>0</v>
      </c>
      <c r="J727" t="s">
        <v>2938</v>
      </c>
      <c r="K727" t="s">
        <v>1837</v>
      </c>
    </row>
    <row r="728" spans="1:11">
      <c r="A728">
        <v>727</v>
      </c>
      <c r="D728" t="s">
        <v>3125</v>
      </c>
      <c r="E728" t="s">
        <v>1840</v>
      </c>
      <c r="G728" t="s">
        <v>17</v>
      </c>
      <c r="H728">
        <v>223</v>
      </c>
      <c r="I728">
        <v>0</v>
      </c>
      <c r="J728" t="s">
        <v>2938</v>
      </c>
      <c r="K728" t="s">
        <v>1841</v>
      </c>
    </row>
    <row r="729" spans="1:11">
      <c r="A729">
        <v>728</v>
      </c>
      <c r="D729" t="s">
        <v>3125</v>
      </c>
      <c r="E729" t="s">
        <v>253</v>
      </c>
      <c r="G729" t="s">
        <v>17</v>
      </c>
      <c r="H729">
        <v>172</v>
      </c>
      <c r="I729">
        <v>0</v>
      </c>
      <c r="J729" t="s">
        <v>2938</v>
      </c>
      <c r="K729" t="s">
        <v>254</v>
      </c>
    </row>
    <row r="730" spans="1:11">
      <c r="A730">
        <v>729</v>
      </c>
      <c r="D730" t="s">
        <v>3125</v>
      </c>
      <c r="E730" t="s">
        <v>1243</v>
      </c>
      <c r="G730" t="s">
        <v>116</v>
      </c>
      <c r="H730">
        <v>14</v>
      </c>
      <c r="I730">
        <v>0</v>
      </c>
      <c r="J730" t="s">
        <v>2938</v>
      </c>
      <c r="K730" t="s">
        <v>1244</v>
      </c>
    </row>
    <row r="731" spans="1:11">
      <c r="A731">
        <v>730</v>
      </c>
      <c r="D731" t="s">
        <v>3125</v>
      </c>
      <c r="E731" t="s">
        <v>1245</v>
      </c>
      <c r="G731" t="s">
        <v>116</v>
      </c>
      <c r="H731">
        <v>4</v>
      </c>
      <c r="I731">
        <v>0</v>
      </c>
      <c r="J731" t="s">
        <v>2938</v>
      </c>
      <c r="K731" t="s">
        <v>1246</v>
      </c>
    </row>
    <row r="732" spans="1:11">
      <c r="A732">
        <v>731</v>
      </c>
      <c r="D732" t="s">
        <v>3125</v>
      </c>
      <c r="E732" t="s">
        <v>3669</v>
      </c>
      <c r="G732" t="s">
        <v>20</v>
      </c>
      <c r="H732">
        <v>296</v>
      </c>
      <c r="I732">
        <v>0</v>
      </c>
      <c r="J732" t="s">
        <v>2938</v>
      </c>
      <c r="K732" t="s">
        <v>3670</v>
      </c>
    </row>
    <row r="733" spans="1:11">
      <c r="A733">
        <v>732</v>
      </c>
      <c r="D733" t="s">
        <v>3125</v>
      </c>
      <c r="E733" t="s">
        <v>3332</v>
      </c>
      <c r="G733" t="s">
        <v>17</v>
      </c>
      <c r="H733">
        <v>9</v>
      </c>
      <c r="I733">
        <v>0</v>
      </c>
      <c r="J733" t="s">
        <v>2938</v>
      </c>
      <c r="K733" t="s">
        <v>3333</v>
      </c>
    </row>
    <row r="734" spans="1:11">
      <c r="A734">
        <v>733</v>
      </c>
      <c r="D734" t="s">
        <v>3125</v>
      </c>
      <c r="E734" t="s">
        <v>1247</v>
      </c>
      <c r="G734" t="s">
        <v>17</v>
      </c>
      <c r="H734">
        <v>40</v>
      </c>
      <c r="I734">
        <v>0</v>
      </c>
      <c r="J734" t="s">
        <v>2938</v>
      </c>
      <c r="K734" t="s">
        <v>1248</v>
      </c>
    </row>
    <row r="735" spans="1:11">
      <c r="A735">
        <v>734</v>
      </c>
      <c r="D735" t="s">
        <v>3125</v>
      </c>
      <c r="E735" t="s">
        <v>3444</v>
      </c>
      <c r="G735" t="s">
        <v>17</v>
      </c>
      <c r="H735">
        <v>250</v>
      </c>
      <c r="I735">
        <v>0</v>
      </c>
      <c r="J735" t="s">
        <v>2938</v>
      </c>
      <c r="K735" t="s">
        <v>3445</v>
      </c>
    </row>
    <row r="736" spans="1:11">
      <c r="A736">
        <v>735</v>
      </c>
      <c r="D736" t="s">
        <v>3125</v>
      </c>
      <c r="E736" t="s">
        <v>938</v>
      </c>
      <c r="G736" t="s">
        <v>17</v>
      </c>
      <c r="H736">
        <v>94</v>
      </c>
      <c r="I736">
        <v>0</v>
      </c>
      <c r="J736" t="s">
        <v>2938</v>
      </c>
      <c r="K736" t="s">
        <v>939</v>
      </c>
    </row>
    <row r="737" spans="1:11">
      <c r="A737">
        <v>736</v>
      </c>
      <c r="D737" t="s">
        <v>3125</v>
      </c>
      <c r="E737" t="s">
        <v>942</v>
      </c>
      <c r="G737" t="s">
        <v>17</v>
      </c>
      <c r="H737">
        <v>44</v>
      </c>
      <c r="I737">
        <v>0</v>
      </c>
      <c r="J737" t="s">
        <v>2938</v>
      </c>
      <c r="K737" t="s">
        <v>943</v>
      </c>
    </row>
    <row r="738" spans="1:11">
      <c r="A738">
        <v>737</v>
      </c>
      <c r="D738" t="s">
        <v>3125</v>
      </c>
      <c r="E738" t="s">
        <v>940</v>
      </c>
      <c r="G738" t="s">
        <v>17</v>
      </c>
      <c r="H738">
        <v>70</v>
      </c>
      <c r="I738">
        <v>0</v>
      </c>
      <c r="J738" t="s">
        <v>2938</v>
      </c>
      <c r="K738" t="s">
        <v>941</v>
      </c>
    </row>
    <row r="739" spans="1:11">
      <c r="A739">
        <v>738</v>
      </c>
      <c r="D739" t="s">
        <v>3125</v>
      </c>
      <c r="E739" t="s">
        <v>944</v>
      </c>
      <c r="G739" t="s">
        <v>17</v>
      </c>
      <c r="H739">
        <v>391</v>
      </c>
      <c r="I739">
        <v>0</v>
      </c>
      <c r="J739" t="s">
        <v>2938</v>
      </c>
      <c r="K739" t="s">
        <v>945</v>
      </c>
    </row>
    <row r="740" spans="1:11">
      <c r="A740">
        <v>739</v>
      </c>
      <c r="D740" t="s">
        <v>3125</v>
      </c>
      <c r="E740" t="s">
        <v>444</v>
      </c>
      <c r="G740" t="s">
        <v>17</v>
      </c>
      <c r="H740">
        <v>600</v>
      </c>
      <c r="I740">
        <v>0</v>
      </c>
      <c r="J740" t="s">
        <v>2938</v>
      </c>
      <c r="K740" t="s">
        <v>445</v>
      </c>
    </row>
    <row r="741" spans="1:11">
      <c r="A741">
        <v>740</v>
      </c>
      <c r="D741" t="s">
        <v>3125</v>
      </c>
      <c r="E741" t="s">
        <v>446</v>
      </c>
      <c r="G741" t="s">
        <v>17</v>
      </c>
      <c r="H741">
        <v>1465</v>
      </c>
      <c r="I741">
        <v>0</v>
      </c>
      <c r="J741" t="s">
        <v>2938</v>
      </c>
      <c r="K741" t="s">
        <v>447</v>
      </c>
    </row>
    <row r="742" spans="1:11">
      <c r="A742">
        <v>741</v>
      </c>
      <c r="D742" t="s">
        <v>3125</v>
      </c>
      <c r="E742" t="s">
        <v>127</v>
      </c>
      <c r="G742" t="s">
        <v>17</v>
      </c>
      <c r="H742">
        <v>4745</v>
      </c>
      <c r="I742">
        <v>0</v>
      </c>
      <c r="J742" t="s">
        <v>2938</v>
      </c>
      <c r="K742" t="s">
        <v>128</v>
      </c>
    </row>
    <row r="743" spans="1:11">
      <c r="A743">
        <v>742</v>
      </c>
      <c r="D743" t="s">
        <v>3125</v>
      </c>
      <c r="E743" t="s">
        <v>125</v>
      </c>
      <c r="G743" t="s">
        <v>17</v>
      </c>
      <c r="H743">
        <v>2000</v>
      </c>
      <c r="I743">
        <v>0</v>
      </c>
      <c r="J743" t="s">
        <v>2938</v>
      </c>
      <c r="K743" t="s">
        <v>126</v>
      </c>
    </row>
    <row r="744" spans="1:11">
      <c r="A744">
        <v>743</v>
      </c>
      <c r="D744" t="s">
        <v>3125</v>
      </c>
      <c r="E744" t="s">
        <v>131</v>
      </c>
      <c r="G744" t="s">
        <v>17</v>
      </c>
      <c r="H744">
        <v>1600</v>
      </c>
      <c r="I744">
        <v>0</v>
      </c>
      <c r="J744" t="s">
        <v>2938</v>
      </c>
      <c r="K744" t="s">
        <v>132</v>
      </c>
    </row>
    <row r="745" spans="1:11">
      <c r="A745">
        <v>744</v>
      </c>
      <c r="D745" t="s">
        <v>3125</v>
      </c>
      <c r="E745" t="s">
        <v>850</v>
      </c>
      <c r="G745" t="s">
        <v>17</v>
      </c>
      <c r="H745">
        <v>230</v>
      </c>
      <c r="I745">
        <v>0</v>
      </c>
      <c r="J745" t="s">
        <v>2938</v>
      </c>
      <c r="K745" t="s">
        <v>851</v>
      </c>
    </row>
    <row r="746" spans="1:11">
      <c r="A746">
        <v>745</v>
      </c>
      <c r="D746" t="s">
        <v>3125</v>
      </c>
      <c r="E746" t="s">
        <v>852</v>
      </c>
      <c r="G746" t="s">
        <v>17</v>
      </c>
      <c r="H746">
        <v>380</v>
      </c>
      <c r="I746">
        <v>0</v>
      </c>
      <c r="J746" t="s">
        <v>2938</v>
      </c>
      <c r="K746" t="s">
        <v>853</v>
      </c>
    </row>
    <row r="747" spans="1:11">
      <c r="A747">
        <v>746</v>
      </c>
      <c r="D747" t="s">
        <v>3125</v>
      </c>
      <c r="E747" t="s">
        <v>16</v>
      </c>
      <c r="G747" t="s">
        <v>17</v>
      </c>
      <c r="H747">
        <v>153</v>
      </c>
      <c r="I747">
        <v>0</v>
      </c>
      <c r="J747" t="s">
        <v>2938</v>
      </c>
      <c r="K747" t="s">
        <v>2979</v>
      </c>
    </row>
    <row r="748" spans="1:11">
      <c r="A748">
        <v>747</v>
      </c>
      <c r="D748" t="s">
        <v>3125</v>
      </c>
      <c r="E748" t="s">
        <v>1468</v>
      </c>
      <c r="G748" t="s">
        <v>17</v>
      </c>
      <c r="H748">
        <v>23</v>
      </c>
      <c r="I748">
        <v>0</v>
      </c>
      <c r="J748" t="s">
        <v>2938</v>
      </c>
      <c r="K748" t="s">
        <v>1469</v>
      </c>
    </row>
    <row r="749" spans="1:11">
      <c r="A749">
        <v>748</v>
      </c>
      <c r="D749" t="s">
        <v>3125</v>
      </c>
      <c r="E749" t="s">
        <v>898</v>
      </c>
      <c r="G749" t="s">
        <v>17</v>
      </c>
      <c r="H749">
        <v>400</v>
      </c>
      <c r="I749">
        <v>0</v>
      </c>
      <c r="J749" t="s">
        <v>2938</v>
      </c>
      <c r="K749" t="s">
        <v>899</v>
      </c>
    </row>
    <row r="750" spans="1:11">
      <c r="A750">
        <v>749</v>
      </c>
      <c r="D750" t="s">
        <v>3125</v>
      </c>
      <c r="E750" t="s">
        <v>910</v>
      </c>
      <c r="G750" t="s">
        <v>17</v>
      </c>
      <c r="H750">
        <v>100</v>
      </c>
      <c r="I750">
        <v>0</v>
      </c>
      <c r="J750" t="s">
        <v>2938</v>
      </c>
      <c r="K750" t="s">
        <v>911</v>
      </c>
    </row>
    <row r="751" spans="1:11">
      <c r="A751">
        <v>750</v>
      </c>
      <c r="D751" t="s">
        <v>3125</v>
      </c>
      <c r="E751" t="s">
        <v>1117</v>
      </c>
      <c r="G751" t="s">
        <v>17</v>
      </c>
      <c r="H751">
        <v>8500</v>
      </c>
      <c r="I751">
        <v>0</v>
      </c>
      <c r="J751" t="s">
        <v>2938</v>
      </c>
      <c r="K751" t="s">
        <v>1118</v>
      </c>
    </row>
    <row r="752" spans="1:11">
      <c r="A752">
        <v>751</v>
      </c>
      <c r="D752" t="s">
        <v>3125</v>
      </c>
      <c r="E752" t="s">
        <v>3292</v>
      </c>
      <c r="G752" t="s">
        <v>20</v>
      </c>
      <c r="H752">
        <v>1017.9</v>
      </c>
      <c r="I752">
        <v>0</v>
      </c>
      <c r="J752" t="s">
        <v>2938</v>
      </c>
      <c r="K752" t="s">
        <v>3293</v>
      </c>
    </row>
    <row r="753" spans="1:11">
      <c r="A753">
        <v>752</v>
      </c>
      <c r="D753" t="s">
        <v>3125</v>
      </c>
      <c r="E753" t="s">
        <v>2743</v>
      </c>
      <c r="G753" t="s">
        <v>7</v>
      </c>
      <c r="H753">
        <v>5123</v>
      </c>
      <c r="I753">
        <v>0</v>
      </c>
      <c r="J753" t="s">
        <v>2938</v>
      </c>
      <c r="K753" t="s">
        <v>2744</v>
      </c>
    </row>
    <row r="754" spans="1:11">
      <c r="A754">
        <v>753</v>
      </c>
      <c r="D754" t="s">
        <v>3125</v>
      </c>
      <c r="E754" t="s">
        <v>2747</v>
      </c>
      <c r="G754" t="s">
        <v>7</v>
      </c>
      <c r="H754">
        <v>8295</v>
      </c>
      <c r="I754">
        <v>0</v>
      </c>
      <c r="J754" t="s">
        <v>2938</v>
      </c>
      <c r="K754" t="s">
        <v>2748</v>
      </c>
    </row>
    <row r="755" spans="1:11">
      <c r="A755">
        <v>754</v>
      </c>
      <c r="D755" t="s">
        <v>3125</v>
      </c>
      <c r="E755" t="s">
        <v>2875</v>
      </c>
      <c r="G755" t="s">
        <v>7</v>
      </c>
      <c r="H755">
        <v>7504.5</v>
      </c>
      <c r="I755">
        <v>0</v>
      </c>
      <c r="J755" t="s">
        <v>2938</v>
      </c>
      <c r="K755" t="s">
        <v>2876</v>
      </c>
    </row>
    <row r="756" spans="1:11">
      <c r="A756">
        <v>755</v>
      </c>
      <c r="D756" t="s">
        <v>3125</v>
      </c>
      <c r="E756" t="s">
        <v>2905</v>
      </c>
      <c r="G756" t="s">
        <v>7</v>
      </c>
      <c r="H756">
        <v>13117</v>
      </c>
      <c r="I756">
        <v>0</v>
      </c>
      <c r="J756" t="s">
        <v>2938</v>
      </c>
      <c r="K756" t="s">
        <v>2906</v>
      </c>
    </row>
    <row r="757" spans="1:11">
      <c r="A757">
        <v>756</v>
      </c>
      <c r="D757" t="s">
        <v>3125</v>
      </c>
      <c r="E757" t="s">
        <v>2745</v>
      </c>
      <c r="G757" t="s">
        <v>7</v>
      </c>
      <c r="H757">
        <v>1131</v>
      </c>
      <c r="I757">
        <v>0</v>
      </c>
      <c r="J757" t="s">
        <v>2938</v>
      </c>
      <c r="K757" t="s">
        <v>2746</v>
      </c>
    </row>
    <row r="758" spans="1:11">
      <c r="A758">
        <v>757</v>
      </c>
      <c r="D758" t="s">
        <v>3125</v>
      </c>
      <c r="E758" t="s">
        <v>2749</v>
      </c>
      <c r="G758" t="s">
        <v>7</v>
      </c>
      <c r="H758">
        <v>2080</v>
      </c>
      <c r="I758">
        <v>0</v>
      </c>
      <c r="J758" t="s">
        <v>2938</v>
      </c>
      <c r="K758" t="s">
        <v>2750</v>
      </c>
    </row>
    <row r="759" spans="1:11">
      <c r="A759">
        <v>758</v>
      </c>
      <c r="D759" t="s">
        <v>3125</v>
      </c>
      <c r="E759" t="s">
        <v>2789</v>
      </c>
      <c r="G759" t="s">
        <v>17</v>
      </c>
      <c r="H759">
        <v>3290</v>
      </c>
      <c r="I759">
        <v>0</v>
      </c>
      <c r="J759" t="s">
        <v>2938</v>
      </c>
      <c r="K759" t="s">
        <v>2790</v>
      </c>
    </row>
    <row r="760" spans="1:11">
      <c r="A760">
        <v>759</v>
      </c>
      <c r="D760" t="s">
        <v>3125</v>
      </c>
      <c r="E760" t="s">
        <v>2894</v>
      </c>
      <c r="G760" t="s">
        <v>17</v>
      </c>
      <c r="H760">
        <v>7125</v>
      </c>
      <c r="I760">
        <v>0</v>
      </c>
      <c r="J760" t="s">
        <v>2938</v>
      </c>
      <c r="K760" t="s">
        <v>2895</v>
      </c>
    </row>
    <row r="761" spans="1:11">
      <c r="A761">
        <v>760</v>
      </c>
      <c r="D761" t="s">
        <v>3125</v>
      </c>
      <c r="E761" t="s">
        <v>1582</v>
      </c>
      <c r="G761" t="s">
        <v>17</v>
      </c>
      <c r="H761">
        <v>302</v>
      </c>
      <c r="I761">
        <v>0</v>
      </c>
      <c r="J761" t="s">
        <v>2938</v>
      </c>
      <c r="K761" t="s">
        <v>1583</v>
      </c>
    </row>
    <row r="762" spans="1:11">
      <c r="A762">
        <v>761</v>
      </c>
      <c r="D762" t="s">
        <v>3125</v>
      </c>
      <c r="E762" t="s">
        <v>1584</v>
      </c>
      <c r="G762" t="s">
        <v>17</v>
      </c>
      <c r="H762">
        <v>287</v>
      </c>
      <c r="I762">
        <v>0</v>
      </c>
      <c r="J762" t="s">
        <v>2938</v>
      </c>
      <c r="K762" t="s">
        <v>1585</v>
      </c>
    </row>
    <row r="763" spans="1:11">
      <c r="A763">
        <v>762</v>
      </c>
      <c r="D763" t="s">
        <v>3125</v>
      </c>
      <c r="E763" t="s">
        <v>1586</v>
      </c>
      <c r="G763" t="s">
        <v>17</v>
      </c>
      <c r="H763">
        <v>300</v>
      </c>
      <c r="I763">
        <v>0</v>
      </c>
      <c r="J763" t="s">
        <v>2938</v>
      </c>
      <c r="K763" t="s">
        <v>1587</v>
      </c>
    </row>
    <row r="764" spans="1:11">
      <c r="A764">
        <v>763</v>
      </c>
      <c r="D764" t="s">
        <v>3125</v>
      </c>
      <c r="E764" t="s">
        <v>3432</v>
      </c>
      <c r="G764" t="s">
        <v>17</v>
      </c>
      <c r="H764">
        <v>250</v>
      </c>
      <c r="I764">
        <v>0</v>
      </c>
      <c r="J764" t="s">
        <v>2938</v>
      </c>
      <c r="K764" t="s">
        <v>3433</v>
      </c>
    </row>
    <row r="765" spans="1:11">
      <c r="A765">
        <v>764</v>
      </c>
      <c r="D765" t="s">
        <v>3125</v>
      </c>
      <c r="E765" t="s">
        <v>1119</v>
      </c>
      <c r="G765" t="s">
        <v>17</v>
      </c>
      <c r="H765">
        <v>3000</v>
      </c>
      <c r="I765">
        <v>0</v>
      </c>
      <c r="J765" t="s">
        <v>2938</v>
      </c>
      <c r="K765" t="s">
        <v>1120</v>
      </c>
    </row>
    <row r="766" spans="1:11">
      <c r="A766">
        <v>765</v>
      </c>
      <c r="D766" t="s">
        <v>3125</v>
      </c>
      <c r="E766" t="s">
        <v>1470</v>
      </c>
      <c r="G766" t="s">
        <v>17</v>
      </c>
      <c r="H766">
        <v>97</v>
      </c>
      <c r="I766">
        <v>0</v>
      </c>
      <c r="J766" t="s">
        <v>2938</v>
      </c>
      <c r="K766" t="s">
        <v>1471</v>
      </c>
    </row>
    <row r="767" spans="1:11">
      <c r="A767">
        <v>766</v>
      </c>
      <c r="D767" t="s">
        <v>3125</v>
      </c>
      <c r="E767" t="s">
        <v>144</v>
      </c>
      <c r="G767" t="s">
        <v>17</v>
      </c>
      <c r="H767">
        <v>193</v>
      </c>
      <c r="I767">
        <v>0</v>
      </c>
      <c r="J767" t="s">
        <v>2938</v>
      </c>
      <c r="K767" t="s">
        <v>145</v>
      </c>
    </row>
    <row r="768" spans="1:11">
      <c r="A768">
        <v>767</v>
      </c>
      <c r="D768" t="s">
        <v>3125</v>
      </c>
      <c r="E768" t="s">
        <v>912</v>
      </c>
      <c r="G768" t="s">
        <v>20</v>
      </c>
      <c r="H768">
        <v>52</v>
      </c>
      <c r="I768">
        <v>0</v>
      </c>
      <c r="J768" t="s">
        <v>2938</v>
      </c>
      <c r="K768" t="s">
        <v>913</v>
      </c>
    </row>
    <row r="769" spans="1:11">
      <c r="A769">
        <v>768</v>
      </c>
      <c r="D769" t="s">
        <v>3125</v>
      </c>
      <c r="E769" t="s">
        <v>914</v>
      </c>
      <c r="G769" t="s">
        <v>20</v>
      </c>
      <c r="H769">
        <v>281.3</v>
      </c>
      <c r="I769">
        <v>0</v>
      </c>
      <c r="J769" t="s">
        <v>2938</v>
      </c>
      <c r="K769" t="s">
        <v>915</v>
      </c>
    </row>
    <row r="770" spans="1:11">
      <c r="A770">
        <v>769</v>
      </c>
      <c r="D770" t="s">
        <v>3125</v>
      </c>
      <c r="E770" t="s">
        <v>918</v>
      </c>
      <c r="G770" t="s">
        <v>20</v>
      </c>
      <c r="H770">
        <v>22.6</v>
      </c>
      <c r="I770">
        <v>0</v>
      </c>
      <c r="J770" t="s">
        <v>2939</v>
      </c>
      <c r="K770" t="s">
        <v>919</v>
      </c>
    </row>
    <row r="771" spans="1:11">
      <c r="A771">
        <v>770</v>
      </c>
      <c r="D771" t="s">
        <v>3125</v>
      </c>
      <c r="E771" t="s">
        <v>918</v>
      </c>
      <c r="G771" t="s">
        <v>20</v>
      </c>
      <c r="H771">
        <v>1085.0999999999999</v>
      </c>
      <c r="I771">
        <v>0</v>
      </c>
      <c r="J771" t="s">
        <v>2938</v>
      </c>
      <c r="K771" t="s">
        <v>919</v>
      </c>
    </row>
    <row r="772" spans="1:11">
      <c r="A772">
        <v>771</v>
      </c>
      <c r="D772" t="s">
        <v>3125</v>
      </c>
      <c r="E772" t="s">
        <v>1604</v>
      </c>
      <c r="G772" t="s">
        <v>17</v>
      </c>
      <c r="H772">
        <v>700</v>
      </c>
      <c r="I772">
        <v>0</v>
      </c>
      <c r="J772" t="s">
        <v>2938</v>
      </c>
      <c r="K772" t="s">
        <v>1605</v>
      </c>
    </row>
    <row r="773" spans="1:11">
      <c r="A773">
        <v>772</v>
      </c>
      <c r="D773" t="s">
        <v>3125</v>
      </c>
      <c r="E773" t="s">
        <v>1606</v>
      </c>
      <c r="G773" t="s">
        <v>17</v>
      </c>
      <c r="H773">
        <v>5600</v>
      </c>
      <c r="I773">
        <v>0</v>
      </c>
      <c r="J773" t="s">
        <v>2938</v>
      </c>
      <c r="K773" t="s">
        <v>1607</v>
      </c>
    </row>
    <row r="774" spans="1:11">
      <c r="A774">
        <v>773</v>
      </c>
      <c r="D774" t="s">
        <v>3125</v>
      </c>
      <c r="E774" t="s">
        <v>1608</v>
      </c>
      <c r="G774" t="s">
        <v>17</v>
      </c>
      <c r="H774">
        <v>8600</v>
      </c>
      <c r="I774">
        <v>0</v>
      </c>
      <c r="J774" t="s">
        <v>2939</v>
      </c>
      <c r="K774" t="s">
        <v>1609</v>
      </c>
    </row>
    <row r="775" spans="1:11">
      <c r="A775">
        <v>774</v>
      </c>
      <c r="D775" t="s">
        <v>3125</v>
      </c>
      <c r="E775" t="s">
        <v>1608</v>
      </c>
      <c r="G775" t="s">
        <v>17</v>
      </c>
      <c r="H775">
        <v>31800</v>
      </c>
      <c r="I775">
        <v>0</v>
      </c>
      <c r="J775" t="s">
        <v>2938</v>
      </c>
      <c r="K775" t="s">
        <v>1609</v>
      </c>
    </row>
    <row r="776" spans="1:11">
      <c r="A776">
        <v>775</v>
      </c>
      <c r="D776" t="s">
        <v>3125</v>
      </c>
      <c r="E776" t="s">
        <v>1610</v>
      </c>
      <c r="G776" t="s">
        <v>17</v>
      </c>
      <c r="H776">
        <v>750</v>
      </c>
      <c r="I776">
        <v>0</v>
      </c>
      <c r="J776" t="s">
        <v>2938</v>
      </c>
      <c r="K776" t="s">
        <v>1611</v>
      </c>
    </row>
    <row r="777" spans="1:11">
      <c r="A777">
        <v>776</v>
      </c>
      <c r="D777" t="s">
        <v>3125</v>
      </c>
      <c r="E777" t="s">
        <v>1612</v>
      </c>
      <c r="G777" t="s">
        <v>17</v>
      </c>
      <c r="H777">
        <v>1200</v>
      </c>
      <c r="I777">
        <v>0</v>
      </c>
      <c r="J777" t="s">
        <v>2938</v>
      </c>
      <c r="K777" t="s">
        <v>1613</v>
      </c>
    </row>
    <row r="778" spans="1:11">
      <c r="A778">
        <v>777</v>
      </c>
      <c r="D778" t="s">
        <v>3125</v>
      </c>
      <c r="E778" t="s">
        <v>1488</v>
      </c>
      <c r="G778" t="s">
        <v>17</v>
      </c>
      <c r="H778">
        <v>227</v>
      </c>
      <c r="I778">
        <v>0</v>
      </c>
      <c r="J778" t="s">
        <v>2938</v>
      </c>
      <c r="K778" t="s">
        <v>1489</v>
      </c>
    </row>
    <row r="779" spans="1:11">
      <c r="A779">
        <v>778</v>
      </c>
      <c r="D779" t="s">
        <v>3125</v>
      </c>
      <c r="E779" t="s">
        <v>3434</v>
      </c>
      <c r="G779" t="s">
        <v>17</v>
      </c>
      <c r="H779">
        <v>250</v>
      </c>
      <c r="I779">
        <v>0</v>
      </c>
      <c r="J779" t="s">
        <v>2938</v>
      </c>
      <c r="K779" t="s">
        <v>3435</v>
      </c>
    </row>
    <row r="780" spans="1:11">
      <c r="A780">
        <v>779</v>
      </c>
      <c r="D780" t="s">
        <v>3125</v>
      </c>
      <c r="E780" t="s">
        <v>397</v>
      </c>
      <c r="G780" t="s">
        <v>17</v>
      </c>
      <c r="H780">
        <v>4</v>
      </c>
      <c r="I780">
        <v>0</v>
      </c>
      <c r="J780" t="s">
        <v>2938</v>
      </c>
      <c r="K780" t="s">
        <v>398</v>
      </c>
    </row>
    <row r="781" spans="1:11">
      <c r="A781">
        <v>780</v>
      </c>
      <c r="D781" t="s">
        <v>3125</v>
      </c>
      <c r="E781" t="s">
        <v>2110</v>
      </c>
      <c r="G781" t="s">
        <v>17</v>
      </c>
      <c r="H781">
        <v>75</v>
      </c>
      <c r="I781">
        <v>0</v>
      </c>
      <c r="J781" t="s">
        <v>2938</v>
      </c>
      <c r="K781" t="s">
        <v>2111</v>
      </c>
    </row>
    <row r="782" spans="1:11">
      <c r="A782">
        <v>781</v>
      </c>
      <c r="D782" t="s">
        <v>3125</v>
      </c>
      <c r="E782" t="s">
        <v>2587</v>
      </c>
      <c r="G782" t="s">
        <v>17</v>
      </c>
      <c r="H782">
        <v>10</v>
      </c>
      <c r="I782">
        <v>0</v>
      </c>
      <c r="J782" t="s">
        <v>2938</v>
      </c>
      <c r="K782" t="s">
        <v>2588</v>
      </c>
    </row>
    <row r="783" spans="1:11">
      <c r="A783">
        <v>782</v>
      </c>
      <c r="D783" t="s">
        <v>3125</v>
      </c>
      <c r="E783" t="s">
        <v>241</v>
      </c>
      <c r="G783" t="s">
        <v>17</v>
      </c>
      <c r="H783">
        <v>7</v>
      </c>
      <c r="I783">
        <v>0</v>
      </c>
      <c r="J783" t="s">
        <v>2938</v>
      </c>
      <c r="K783" t="s">
        <v>242</v>
      </c>
    </row>
    <row r="784" spans="1:11">
      <c r="A784">
        <v>783</v>
      </c>
      <c r="D784" t="s">
        <v>3125</v>
      </c>
      <c r="E784" t="s">
        <v>3436</v>
      </c>
      <c r="G784" t="s">
        <v>17</v>
      </c>
      <c r="H784">
        <v>1030</v>
      </c>
      <c r="I784">
        <v>0</v>
      </c>
      <c r="J784" t="s">
        <v>2938</v>
      </c>
      <c r="K784" t="s">
        <v>3437</v>
      </c>
    </row>
    <row r="785" spans="1:11">
      <c r="A785">
        <v>784</v>
      </c>
      <c r="D785" t="s">
        <v>3125</v>
      </c>
      <c r="E785" t="s">
        <v>3438</v>
      </c>
      <c r="G785" t="s">
        <v>17</v>
      </c>
      <c r="H785">
        <v>250</v>
      </c>
      <c r="I785">
        <v>0</v>
      </c>
      <c r="J785" t="s">
        <v>2938</v>
      </c>
      <c r="K785" t="s">
        <v>3439</v>
      </c>
    </row>
    <row r="786" spans="1:11">
      <c r="A786">
        <v>785</v>
      </c>
      <c r="D786" t="s">
        <v>3125</v>
      </c>
      <c r="E786" t="s">
        <v>1472</v>
      </c>
      <c r="G786" t="s">
        <v>17</v>
      </c>
      <c r="H786">
        <v>71</v>
      </c>
      <c r="I786">
        <v>0</v>
      </c>
      <c r="J786" t="s">
        <v>2938</v>
      </c>
      <c r="K786" t="s">
        <v>1473</v>
      </c>
    </row>
    <row r="787" spans="1:11">
      <c r="A787">
        <v>786</v>
      </c>
      <c r="D787" t="s">
        <v>3125</v>
      </c>
      <c r="E787" t="s">
        <v>412</v>
      </c>
      <c r="G787" t="s">
        <v>17</v>
      </c>
      <c r="H787">
        <v>250</v>
      </c>
      <c r="I787">
        <v>0</v>
      </c>
      <c r="J787" t="s">
        <v>2938</v>
      </c>
      <c r="K787" t="s">
        <v>413</v>
      </c>
    </row>
    <row r="788" spans="1:11">
      <c r="A788">
        <v>787</v>
      </c>
      <c r="D788" t="s">
        <v>3125</v>
      </c>
      <c r="E788" t="s">
        <v>830</v>
      </c>
      <c r="G788" t="s">
        <v>20</v>
      </c>
      <c r="H788">
        <v>494.4</v>
      </c>
      <c r="I788">
        <v>0</v>
      </c>
      <c r="J788" t="s">
        <v>2938</v>
      </c>
      <c r="K788" t="s">
        <v>831</v>
      </c>
    </row>
    <row r="789" spans="1:11">
      <c r="A789">
        <v>788</v>
      </c>
      <c r="D789" t="s">
        <v>3125</v>
      </c>
      <c r="E789" t="s">
        <v>1506</v>
      </c>
      <c r="G789" t="s">
        <v>17</v>
      </c>
      <c r="H789">
        <v>450</v>
      </c>
      <c r="I789">
        <v>0</v>
      </c>
      <c r="J789" t="s">
        <v>2938</v>
      </c>
      <c r="K789" t="s">
        <v>1507</v>
      </c>
    </row>
    <row r="790" spans="1:11">
      <c r="A790">
        <v>789</v>
      </c>
      <c r="D790" t="s">
        <v>3125</v>
      </c>
      <c r="E790" t="s">
        <v>1508</v>
      </c>
      <c r="G790" t="s">
        <v>17</v>
      </c>
      <c r="H790">
        <v>250</v>
      </c>
      <c r="I790">
        <v>0</v>
      </c>
      <c r="J790" t="s">
        <v>2938</v>
      </c>
      <c r="K790" t="s">
        <v>1509</v>
      </c>
    </row>
    <row r="791" spans="1:11">
      <c r="A791">
        <v>790</v>
      </c>
      <c r="D791" t="s">
        <v>3125</v>
      </c>
      <c r="E791" t="s">
        <v>259</v>
      </c>
      <c r="G791" t="s">
        <v>17</v>
      </c>
      <c r="H791">
        <v>500</v>
      </c>
      <c r="I791">
        <v>0</v>
      </c>
      <c r="J791" t="s">
        <v>2938</v>
      </c>
      <c r="K791" t="s">
        <v>260</v>
      </c>
    </row>
    <row r="792" spans="1:11">
      <c r="A792">
        <v>791</v>
      </c>
      <c r="D792" t="s">
        <v>3125</v>
      </c>
      <c r="E792" t="s">
        <v>1478</v>
      </c>
      <c r="G792" t="s">
        <v>17</v>
      </c>
      <c r="H792">
        <v>11</v>
      </c>
      <c r="I792">
        <v>0</v>
      </c>
      <c r="J792" t="s">
        <v>2938</v>
      </c>
      <c r="K792" t="s">
        <v>1479</v>
      </c>
    </row>
    <row r="793" spans="1:11">
      <c r="A793">
        <v>792</v>
      </c>
      <c r="D793" t="s">
        <v>3125</v>
      </c>
      <c r="E793" t="s">
        <v>1480</v>
      </c>
      <c r="G793" t="s">
        <v>17</v>
      </c>
      <c r="H793">
        <v>15</v>
      </c>
      <c r="I793">
        <v>0</v>
      </c>
      <c r="J793" t="s">
        <v>2938</v>
      </c>
      <c r="K793" t="s">
        <v>1481</v>
      </c>
    </row>
    <row r="794" spans="1:11">
      <c r="A794">
        <v>793</v>
      </c>
      <c r="D794" t="s">
        <v>3125</v>
      </c>
      <c r="E794" t="s">
        <v>1476</v>
      </c>
      <c r="G794" t="s">
        <v>17</v>
      </c>
      <c r="H794">
        <v>22</v>
      </c>
      <c r="I794">
        <v>0</v>
      </c>
      <c r="J794" t="s">
        <v>2938</v>
      </c>
      <c r="K794" t="s">
        <v>1477</v>
      </c>
    </row>
    <row r="795" spans="1:11">
      <c r="A795">
        <v>794</v>
      </c>
      <c r="D795" t="s">
        <v>3125</v>
      </c>
      <c r="E795" t="s">
        <v>1482</v>
      </c>
      <c r="G795" t="s">
        <v>17</v>
      </c>
      <c r="H795">
        <v>2</v>
      </c>
      <c r="I795">
        <v>0</v>
      </c>
      <c r="J795" t="s">
        <v>2938</v>
      </c>
      <c r="K795" t="s">
        <v>1483</v>
      </c>
    </row>
    <row r="796" spans="1:11">
      <c r="A796">
        <v>795</v>
      </c>
      <c r="D796" t="s">
        <v>3125</v>
      </c>
      <c r="E796" t="s">
        <v>1510</v>
      </c>
      <c r="G796" t="s">
        <v>17</v>
      </c>
      <c r="H796">
        <v>220</v>
      </c>
      <c r="I796">
        <v>0</v>
      </c>
      <c r="J796" t="s">
        <v>2938</v>
      </c>
      <c r="K796" t="s">
        <v>1511</v>
      </c>
    </row>
    <row r="797" spans="1:11">
      <c r="A797">
        <v>796</v>
      </c>
      <c r="D797" t="s">
        <v>3125</v>
      </c>
      <c r="E797" t="s">
        <v>2900</v>
      </c>
      <c r="G797" t="s">
        <v>17</v>
      </c>
      <c r="H797">
        <v>900</v>
      </c>
      <c r="I797">
        <v>0</v>
      </c>
      <c r="J797" t="s">
        <v>2938</v>
      </c>
      <c r="K797" t="s">
        <v>2901</v>
      </c>
    </row>
    <row r="798" spans="1:11">
      <c r="A798">
        <v>797</v>
      </c>
      <c r="D798" t="s">
        <v>3125</v>
      </c>
      <c r="E798" t="s">
        <v>920</v>
      </c>
      <c r="G798" t="s">
        <v>20</v>
      </c>
      <c r="H798">
        <v>54</v>
      </c>
      <c r="I798">
        <v>0</v>
      </c>
      <c r="J798" t="s">
        <v>2938</v>
      </c>
      <c r="K798" t="s">
        <v>921</v>
      </c>
    </row>
    <row r="799" spans="1:11">
      <c r="A799">
        <v>798</v>
      </c>
      <c r="D799" t="s">
        <v>3125</v>
      </c>
      <c r="E799" t="s">
        <v>512</v>
      </c>
      <c r="G799" t="s">
        <v>17</v>
      </c>
      <c r="H799">
        <v>1364</v>
      </c>
      <c r="I799">
        <v>0</v>
      </c>
      <c r="J799" t="s">
        <v>2938</v>
      </c>
      <c r="K799" t="s">
        <v>513</v>
      </c>
    </row>
    <row r="800" spans="1:11">
      <c r="A800">
        <v>799</v>
      </c>
      <c r="D800" t="s">
        <v>3125</v>
      </c>
      <c r="E800" t="s">
        <v>514</v>
      </c>
      <c r="G800" t="s">
        <v>17</v>
      </c>
      <c r="H800">
        <v>120</v>
      </c>
      <c r="I800">
        <v>0</v>
      </c>
      <c r="J800" t="s">
        <v>2938</v>
      </c>
      <c r="K800" t="s">
        <v>515</v>
      </c>
    </row>
    <row r="801" spans="1:11">
      <c r="A801">
        <v>800</v>
      </c>
      <c r="D801" t="s">
        <v>3125</v>
      </c>
      <c r="E801" t="s">
        <v>2062</v>
      </c>
      <c r="G801" t="s">
        <v>17</v>
      </c>
      <c r="H801">
        <v>322</v>
      </c>
      <c r="I801">
        <v>0</v>
      </c>
      <c r="J801" t="s">
        <v>2938</v>
      </c>
      <c r="K801" t="s">
        <v>2063</v>
      </c>
    </row>
    <row r="802" spans="1:11">
      <c r="A802">
        <v>801</v>
      </c>
      <c r="D802" t="s">
        <v>3125</v>
      </c>
      <c r="E802" t="s">
        <v>964</v>
      </c>
      <c r="G802" t="s">
        <v>17</v>
      </c>
      <c r="H802">
        <v>1000</v>
      </c>
      <c r="I802">
        <v>0</v>
      </c>
      <c r="J802" t="s">
        <v>2938</v>
      </c>
      <c r="K802" t="s">
        <v>965</v>
      </c>
    </row>
    <row r="803" spans="1:11">
      <c r="A803">
        <v>802</v>
      </c>
      <c r="D803" t="s">
        <v>3125</v>
      </c>
      <c r="E803" t="s">
        <v>3414</v>
      </c>
      <c r="G803" t="s">
        <v>17</v>
      </c>
      <c r="H803">
        <v>1135</v>
      </c>
      <c r="I803">
        <v>0</v>
      </c>
      <c r="J803" t="s">
        <v>2938</v>
      </c>
      <c r="K803" t="s">
        <v>3415</v>
      </c>
    </row>
    <row r="804" spans="1:11">
      <c r="A804">
        <v>803</v>
      </c>
      <c r="D804" t="s">
        <v>3125</v>
      </c>
      <c r="E804" t="s">
        <v>878</v>
      </c>
      <c r="G804" t="s">
        <v>17</v>
      </c>
      <c r="H804">
        <v>34</v>
      </c>
      <c r="I804">
        <v>0</v>
      </c>
      <c r="J804" t="s">
        <v>2938</v>
      </c>
      <c r="K804" t="s">
        <v>879</v>
      </c>
    </row>
    <row r="805" spans="1:11">
      <c r="A805">
        <v>804</v>
      </c>
      <c r="D805" t="s">
        <v>3125</v>
      </c>
      <c r="E805" t="s">
        <v>3416</v>
      </c>
      <c r="G805" t="s">
        <v>17</v>
      </c>
      <c r="H805">
        <v>1075</v>
      </c>
      <c r="I805">
        <v>0</v>
      </c>
      <c r="J805" t="s">
        <v>2938</v>
      </c>
      <c r="K805" t="s">
        <v>3417</v>
      </c>
    </row>
    <row r="806" spans="1:11">
      <c r="A806">
        <v>805</v>
      </c>
      <c r="D806" t="s">
        <v>3125</v>
      </c>
      <c r="E806" t="s">
        <v>3418</v>
      </c>
      <c r="G806" t="s">
        <v>17</v>
      </c>
      <c r="H806">
        <v>750</v>
      </c>
      <c r="I806">
        <v>0</v>
      </c>
      <c r="J806" t="s">
        <v>2938</v>
      </c>
      <c r="K806" t="s">
        <v>3419</v>
      </c>
    </row>
    <row r="807" spans="1:11">
      <c r="A807">
        <v>806</v>
      </c>
      <c r="D807" t="s">
        <v>3125</v>
      </c>
      <c r="E807" t="s">
        <v>3420</v>
      </c>
      <c r="G807" t="s">
        <v>17</v>
      </c>
      <c r="H807">
        <v>1110</v>
      </c>
      <c r="I807">
        <v>0</v>
      </c>
      <c r="J807" t="s">
        <v>2938</v>
      </c>
      <c r="K807" t="s">
        <v>3421</v>
      </c>
    </row>
    <row r="808" spans="1:11">
      <c r="A808">
        <v>807</v>
      </c>
      <c r="D808" t="s">
        <v>3125</v>
      </c>
      <c r="E808" t="s">
        <v>3422</v>
      </c>
      <c r="G808" t="s">
        <v>17</v>
      </c>
      <c r="H808">
        <v>1090</v>
      </c>
      <c r="I808">
        <v>0</v>
      </c>
      <c r="J808" t="s">
        <v>2938</v>
      </c>
      <c r="K808" t="s">
        <v>3423</v>
      </c>
    </row>
    <row r="809" spans="1:11">
      <c r="A809">
        <v>808</v>
      </c>
      <c r="D809" t="s">
        <v>3125</v>
      </c>
      <c r="E809" t="s">
        <v>3440</v>
      </c>
      <c r="G809" t="s">
        <v>17</v>
      </c>
      <c r="H809">
        <v>200</v>
      </c>
      <c r="I809">
        <v>0</v>
      </c>
      <c r="J809" t="s">
        <v>2938</v>
      </c>
      <c r="K809" t="s">
        <v>3441</v>
      </c>
    </row>
    <row r="810" spans="1:11">
      <c r="A810">
        <v>809</v>
      </c>
      <c r="D810" t="s">
        <v>3125</v>
      </c>
      <c r="E810" t="s">
        <v>1231</v>
      </c>
      <c r="G810" t="s">
        <v>17</v>
      </c>
      <c r="H810">
        <v>21</v>
      </c>
      <c r="I810">
        <v>0</v>
      </c>
      <c r="J810" t="s">
        <v>2938</v>
      </c>
      <c r="K810" t="s">
        <v>1232</v>
      </c>
    </row>
    <row r="811" spans="1:11">
      <c r="A811">
        <v>810</v>
      </c>
      <c r="D811" t="s">
        <v>3125</v>
      </c>
      <c r="E811" t="s">
        <v>3442</v>
      </c>
      <c r="G811" t="s">
        <v>17</v>
      </c>
      <c r="H811">
        <v>2208</v>
      </c>
      <c r="I811">
        <v>0</v>
      </c>
      <c r="J811" t="s">
        <v>2938</v>
      </c>
      <c r="K811" t="s">
        <v>3443</v>
      </c>
    </row>
    <row r="812" spans="1:11">
      <c r="A812">
        <v>811</v>
      </c>
      <c r="D812" t="s">
        <v>3125</v>
      </c>
      <c r="E812" t="s">
        <v>3577</v>
      </c>
      <c r="G812" t="s">
        <v>17</v>
      </c>
      <c r="H812">
        <v>300</v>
      </c>
      <c r="I812">
        <v>0</v>
      </c>
      <c r="J812" t="s">
        <v>2938</v>
      </c>
      <c r="K812" t="s">
        <v>3578</v>
      </c>
    </row>
    <row r="813" spans="1:11">
      <c r="A813">
        <v>812</v>
      </c>
      <c r="D813" t="s">
        <v>3125</v>
      </c>
      <c r="E813" t="s">
        <v>1474</v>
      </c>
      <c r="G813" t="s">
        <v>17</v>
      </c>
      <c r="H813">
        <v>39</v>
      </c>
      <c r="I813">
        <v>0</v>
      </c>
      <c r="J813" t="s">
        <v>2938</v>
      </c>
      <c r="K813" t="s">
        <v>1475</v>
      </c>
    </row>
    <row r="814" spans="1:11">
      <c r="A814">
        <v>813</v>
      </c>
      <c r="D814" t="s">
        <v>3125</v>
      </c>
      <c r="E814" t="s">
        <v>349</v>
      </c>
      <c r="G814" t="s">
        <v>17</v>
      </c>
      <c r="H814">
        <v>137</v>
      </c>
      <c r="I814">
        <v>0</v>
      </c>
      <c r="J814" t="s">
        <v>2938</v>
      </c>
      <c r="K814" t="s">
        <v>2980</v>
      </c>
    </row>
    <row r="815" spans="1:11">
      <c r="A815">
        <v>814</v>
      </c>
      <c r="D815" t="s">
        <v>3125</v>
      </c>
      <c r="E815" t="s">
        <v>351</v>
      </c>
      <c r="G815" t="s">
        <v>17</v>
      </c>
      <c r="H815">
        <v>222</v>
      </c>
      <c r="I815">
        <v>0</v>
      </c>
      <c r="J815" t="s">
        <v>2938</v>
      </c>
      <c r="K815" t="s">
        <v>2983</v>
      </c>
    </row>
    <row r="816" spans="1:11">
      <c r="A816">
        <v>815</v>
      </c>
      <c r="D816" t="s">
        <v>3125</v>
      </c>
      <c r="E816" t="s">
        <v>353</v>
      </c>
      <c r="G816" t="s">
        <v>17</v>
      </c>
      <c r="H816">
        <v>160</v>
      </c>
      <c r="I816">
        <v>0</v>
      </c>
      <c r="J816" t="s">
        <v>2938</v>
      </c>
      <c r="K816" t="s">
        <v>2984</v>
      </c>
    </row>
    <row r="817" spans="1:11">
      <c r="A817">
        <v>816</v>
      </c>
      <c r="D817" t="s">
        <v>3125</v>
      </c>
      <c r="E817" t="s">
        <v>355</v>
      </c>
      <c r="G817" t="s">
        <v>17</v>
      </c>
      <c r="H817">
        <v>172</v>
      </c>
      <c r="I817">
        <v>0</v>
      </c>
      <c r="J817" t="s">
        <v>2938</v>
      </c>
      <c r="K817" t="s">
        <v>2985</v>
      </c>
    </row>
    <row r="818" spans="1:11">
      <c r="A818">
        <v>817</v>
      </c>
      <c r="D818" t="s">
        <v>3125</v>
      </c>
      <c r="E818" t="s">
        <v>357</v>
      </c>
      <c r="G818" t="s">
        <v>17</v>
      </c>
      <c r="H818">
        <v>182</v>
      </c>
      <c r="I818">
        <v>0</v>
      </c>
      <c r="J818" t="s">
        <v>2938</v>
      </c>
      <c r="K818" t="s">
        <v>2986</v>
      </c>
    </row>
    <row r="819" spans="1:11">
      <c r="A819">
        <v>818</v>
      </c>
      <c r="D819" t="s">
        <v>3125</v>
      </c>
      <c r="E819" t="s">
        <v>359</v>
      </c>
      <c r="G819" t="s">
        <v>17</v>
      </c>
      <c r="H819">
        <v>250</v>
      </c>
      <c r="I819">
        <v>0</v>
      </c>
      <c r="J819" t="s">
        <v>2938</v>
      </c>
      <c r="K819" t="s">
        <v>2987</v>
      </c>
    </row>
    <row r="820" spans="1:11">
      <c r="A820">
        <v>819</v>
      </c>
      <c r="D820" t="s">
        <v>3125</v>
      </c>
      <c r="E820" t="s">
        <v>361</v>
      </c>
      <c r="G820" t="s">
        <v>17</v>
      </c>
      <c r="H820">
        <v>135</v>
      </c>
      <c r="I820">
        <v>0</v>
      </c>
      <c r="J820" t="s">
        <v>2938</v>
      </c>
      <c r="K820" t="s">
        <v>2988</v>
      </c>
    </row>
    <row r="821" spans="1:11">
      <c r="A821">
        <v>820</v>
      </c>
      <c r="D821" t="s">
        <v>3125</v>
      </c>
      <c r="E821" t="s">
        <v>363</v>
      </c>
      <c r="G821" t="s">
        <v>17</v>
      </c>
      <c r="H821">
        <v>139</v>
      </c>
      <c r="I821">
        <v>0</v>
      </c>
      <c r="J821" t="s">
        <v>2938</v>
      </c>
      <c r="K821" t="s">
        <v>2989</v>
      </c>
    </row>
    <row r="822" spans="1:11">
      <c r="A822">
        <v>821</v>
      </c>
      <c r="D822" t="s">
        <v>3125</v>
      </c>
      <c r="E822" t="s">
        <v>1139</v>
      </c>
      <c r="G822" t="s">
        <v>17</v>
      </c>
      <c r="H822">
        <v>4200</v>
      </c>
      <c r="I822">
        <v>0</v>
      </c>
      <c r="J822" t="s">
        <v>2938</v>
      </c>
      <c r="K822" t="s">
        <v>1140</v>
      </c>
    </row>
    <row r="823" spans="1:11">
      <c r="A823">
        <v>822</v>
      </c>
      <c r="D823" t="s">
        <v>3125</v>
      </c>
      <c r="E823" t="s">
        <v>1914</v>
      </c>
      <c r="G823" t="s">
        <v>17</v>
      </c>
      <c r="H823">
        <v>26500</v>
      </c>
      <c r="I823">
        <v>0</v>
      </c>
      <c r="J823" t="s">
        <v>2938</v>
      </c>
      <c r="K823" t="s">
        <v>1915</v>
      </c>
    </row>
    <row r="824" spans="1:11">
      <c r="A824">
        <v>823</v>
      </c>
      <c r="D824" t="s">
        <v>3125</v>
      </c>
      <c r="E824" t="s">
        <v>1916</v>
      </c>
      <c r="G824" t="s">
        <v>17</v>
      </c>
      <c r="H824">
        <v>3215</v>
      </c>
      <c r="I824">
        <v>0</v>
      </c>
      <c r="J824" t="s">
        <v>2938</v>
      </c>
      <c r="K824" t="s">
        <v>1917</v>
      </c>
    </row>
    <row r="825" spans="1:11">
      <c r="A825">
        <v>824</v>
      </c>
      <c r="D825" t="s">
        <v>3125</v>
      </c>
      <c r="E825" t="s">
        <v>1918</v>
      </c>
      <c r="G825" t="s">
        <v>17</v>
      </c>
      <c r="H825">
        <v>5228</v>
      </c>
      <c r="I825">
        <v>0</v>
      </c>
      <c r="J825" t="s">
        <v>2938</v>
      </c>
      <c r="K825" t="s">
        <v>1919</v>
      </c>
    </row>
    <row r="826" spans="1:11">
      <c r="A826">
        <v>825</v>
      </c>
      <c r="D826" t="s">
        <v>3125</v>
      </c>
      <c r="E826" t="s">
        <v>1920</v>
      </c>
      <c r="G826" t="s">
        <v>17</v>
      </c>
      <c r="H826">
        <v>3000</v>
      </c>
      <c r="I826">
        <v>0</v>
      </c>
      <c r="J826" t="s">
        <v>2938</v>
      </c>
      <c r="K826" t="s">
        <v>1921</v>
      </c>
    </row>
    <row r="827" spans="1:11">
      <c r="A827">
        <v>826</v>
      </c>
      <c r="D827" t="s">
        <v>3125</v>
      </c>
      <c r="E827" t="s">
        <v>1308</v>
      </c>
      <c r="G827" t="s">
        <v>7</v>
      </c>
      <c r="H827">
        <v>514.70000000000005</v>
      </c>
      <c r="I827">
        <v>0</v>
      </c>
      <c r="J827" t="s">
        <v>2938</v>
      </c>
      <c r="K827" t="s">
        <v>1309</v>
      </c>
    </row>
    <row r="828" spans="1:11">
      <c r="A828">
        <v>827</v>
      </c>
      <c r="D828" t="s">
        <v>3125</v>
      </c>
      <c r="E828" t="s">
        <v>639</v>
      </c>
      <c r="G828" t="s">
        <v>17</v>
      </c>
      <c r="H828">
        <v>11</v>
      </c>
      <c r="I828">
        <v>0</v>
      </c>
      <c r="J828" t="s">
        <v>2939</v>
      </c>
      <c r="K828" t="s">
        <v>640</v>
      </c>
    </row>
    <row r="829" spans="1:11">
      <c r="A829">
        <v>828</v>
      </c>
      <c r="D829" t="s">
        <v>3125</v>
      </c>
      <c r="E829" t="s">
        <v>639</v>
      </c>
      <c r="G829" t="s">
        <v>17</v>
      </c>
      <c r="H829">
        <v>65</v>
      </c>
      <c r="I829">
        <v>0</v>
      </c>
      <c r="J829" t="s">
        <v>2938</v>
      </c>
      <c r="K829" t="s">
        <v>640</v>
      </c>
    </row>
    <row r="830" spans="1:11">
      <c r="A830">
        <v>829</v>
      </c>
      <c r="D830" t="s">
        <v>3125</v>
      </c>
      <c r="E830" t="s">
        <v>1774</v>
      </c>
      <c r="G830" t="s">
        <v>17</v>
      </c>
      <c r="H830">
        <v>650</v>
      </c>
      <c r="I830">
        <v>0</v>
      </c>
      <c r="J830" t="s">
        <v>2938</v>
      </c>
      <c r="K830" t="s">
        <v>1775</v>
      </c>
    </row>
    <row r="831" spans="1:11">
      <c r="A831">
        <v>830</v>
      </c>
      <c r="D831" t="s">
        <v>3125</v>
      </c>
      <c r="E831" t="s">
        <v>1121</v>
      </c>
      <c r="G831" t="s">
        <v>17</v>
      </c>
      <c r="H831">
        <v>10100</v>
      </c>
      <c r="I831">
        <v>0</v>
      </c>
      <c r="J831" t="s">
        <v>2938</v>
      </c>
      <c r="K831" t="s">
        <v>1122</v>
      </c>
    </row>
    <row r="832" spans="1:11">
      <c r="A832">
        <v>831</v>
      </c>
      <c r="D832" t="s">
        <v>3125</v>
      </c>
      <c r="E832" t="s">
        <v>1084</v>
      </c>
      <c r="G832" t="s">
        <v>17</v>
      </c>
      <c r="H832">
        <v>542</v>
      </c>
      <c r="I832">
        <v>0</v>
      </c>
      <c r="J832" t="s">
        <v>2938</v>
      </c>
      <c r="K832" t="s">
        <v>1085</v>
      </c>
    </row>
    <row r="833" spans="1:11">
      <c r="A833">
        <v>832</v>
      </c>
      <c r="D833" t="s">
        <v>3125</v>
      </c>
      <c r="E833" t="s">
        <v>1125</v>
      </c>
      <c r="G833" t="s">
        <v>17</v>
      </c>
      <c r="H833">
        <v>3100</v>
      </c>
      <c r="I833">
        <v>0</v>
      </c>
      <c r="J833" t="s">
        <v>2938</v>
      </c>
      <c r="K833" t="s">
        <v>1126</v>
      </c>
    </row>
    <row r="834" spans="1:11">
      <c r="A834">
        <v>833</v>
      </c>
      <c r="D834" t="s">
        <v>3125</v>
      </c>
      <c r="E834" t="s">
        <v>3446</v>
      </c>
      <c r="G834" t="s">
        <v>17</v>
      </c>
      <c r="H834">
        <v>1115</v>
      </c>
      <c r="I834">
        <v>0</v>
      </c>
      <c r="J834" t="s">
        <v>2938</v>
      </c>
      <c r="K834" t="s">
        <v>3447</v>
      </c>
    </row>
    <row r="835" spans="1:11">
      <c r="A835">
        <v>834</v>
      </c>
      <c r="D835" t="s">
        <v>3125</v>
      </c>
      <c r="E835" t="s">
        <v>924</v>
      </c>
      <c r="G835" t="s">
        <v>20</v>
      </c>
      <c r="H835">
        <v>308.3</v>
      </c>
      <c r="I835">
        <v>0</v>
      </c>
      <c r="J835" t="s">
        <v>2938</v>
      </c>
      <c r="K835" t="s">
        <v>925</v>
      </c>
    </row>
    <row r="836" spans="1:11">
      <c r="A836">
        <v>835</v>
      </c>
      <c r="D836" t="s">
        <v>3125</v>
      </c>
      <c r="E836" t="s">
        <v>2691</v>
      </c>
      <c r="G836" t="s">
        <v>7</v>
      </c>
      <c r="H836">
        <v>110.8</v>
      </c>
      <c r="I836">
        <v>0</v>
      </c>
      <c r="J836" t="s">
        <v>2938</v>
      </c>
      <c r="K836" t="s">
        <v>2692</v>
      </c>
    </row>
    <row r="837" spans="1:11">
      <c r="A837">
        <v>836</v>
      </c>
      <c r="D837" t="s">
        <v>3125</v>
      </c>
      <c r="E837" t="s">
        <v>2697</v>
      </c>
      <c r="G837" t="s">
        <v>7</v>
      </c>
      <c r="H837">
        <v>562.5</v>
      </c>
      <c r="I837">
        <v>0</v>
      </c>
      <c r="J837" t="s">
        <v>2938</v>
      </c>
      <c r="K837" t="s">
        <v>2698</v>
      </c>
    </row>
    <row r="838" spans="1:11">
      <c r="A838">
        <v>837</v>
      </c>
      <c r="D838" t="s">
        <v>3125</v>
      </c>
      <c r="E838" t="s">
        <v>2695</v>
      </c>
      <c r="G838" t="s">
        <v>7</v>
      </c>
      <c r="H838">
        <v>1166.3</v>
      </c>
      <c r="I838">
        <v>0</v>
      </c>
      <c r="J838" t="s">
        <v>2938</v>
      </c>
      <c r="K838" t="s">
        <v>2696</v>
      </c>
    </row>
    <row r="839" spans="1:11">
      <c r="A839">
        <v>838</v>
      </c>
      <c r="D839" t="s">
        <v>3125</v>
      </c>
      <c r="E839" t="s">
        <v>2693</v>
      </c>
      <c r="G839" t="s">
        <v>7</v>
      </c>
      <c r="H839">
        <v>210.2</v>
      </c>
      <c r="I839">
        <v>0</v>
      </c>
      <c r="J839" t="s">
        <v>2938</v>
      </c>
      <c r="K839" t="s">
        <v>2694</v>
      </c>
    </row>
    <row r="840" spans="1:11">
      <c r="A840">
        <v>839</v>
      </c>
      <c r="D840" t="s">
        <v>3125</v>
      </c>
      <c r="E840" t="s">
        <v>2699</v>
      </c>
      <c r="G840" t="s">
        <v>7</v>
      </c>
      <c r="H840">
        <v>1621.5</v>
      </c>
      <c r="I840">
        <v>0</v>
      </c>
      <c r="J840" t="s">
        <v>2938</v>
      </c>
      <c r="K840" t="s">
        <v>2700</v>
      </c>
    </row>
    <row r="841" spans="1:11">
      <c r="A841">
        <v>840</v>
      </c>
      <c r="D841" t="s">
        <v>3125</v>
      </c>
      <c r="E841" t="s">
        <v>76</v>
      </c>
      <c r="G841" t="s">
        <v>17</v>
      </c>
      <c r="H841">
        <v>400</v>
      </c>
      <c r="I841">
        <v>0</v>
      </c>
      <c r="J841" t="s">
        <v>2938</v>
      </c>
      <c r="K841" t="s">
        <v>77</v>
      </c>
    </row>
    <row r="842" spans="1:11">
      <c r="A842">
        <v>841</v>
      </c>
      <c r="D842" t="s">
        <v>3125</v>
      </c>
      <c r="E842" t="s">
        <v>1147</v>
      </c>
      <c r="G842" t="s">
        <v>17</v>
      </c>
      <c r="H842">
        <v>250</v>
      </c>
      <c r="I842">
        <v>0</v>
      </c>
      <c r="J842" t="s">
        <v>2938</v>
      </c>
      <c r="K842" t="s">
        <v>1148</v>
      </c>
    </row>
    <row r="843" spans="1:11">
      <c r="A843">
        <v>842</v>
      </c>
      <c r="D843" t="s">
        <v>3125</v>
      </c>
      <c r="E843" t="s">
        <v>367</v>
      </c>
      <c r="G843" t="s">
        <v>17</v>
      </c>
      <c r="H843">
        <v>1833</v>
      </c>
      <c r="I843">
        <v>0</v>
      </c>
      <c r="J843" t="s">
        <v>2938</v>
      </c>
      <c r="K843" t="s">
        <v>368</v>
      </c>
    </row>
    <row r="844" spans="1:11">
      <c r="A844">
        <v>843</v>
      </c>
      <c r="D844" t="s">
        <v>3125</v>
      </c>
      <c r="E844" t="s">
        <v>263</v>
      </c>
      <c r="G844" t="s">
        <v>17</v>
      </c>
      <c r="H844">
        <v>354</v>
      </c>
      <c r="I844">
        <v>0</v>
      </c>
      <c r="J844" t="s">
        <v>2938</v>
      </c>
      <c r="K844" t="s">
        <v>264</v>
      </c>
    </row>
    <row r="845" spans="1:11">
      <c r="A845">
        <v>844</v>
      </c>
      <c r="D845" t="s">
        <v>3125</v>
      </c>
      <c r="E845" t="s">
        <v>265</v>
      </c>
      <c r="G845" t="s">
        <v>17</v>
      </c>
      <c r="H845">
        <v>296</v>
      </c>
      <c r="I845">
        <v>0</v>
      </c>
      <c r="J845" t="s">
        <v>2938</v>
      </c>
      <c r="K845" t="s">
        <v>266</v>
      </c>
    </row>
    <row r="846" spans="1:11">
      <c r="A846">
        <v>845</v>
      </c>
      <c r="D846" t="s">
        <v>3125</v>
      </c>
      <c r="E846" t="s">
        <v>267</v>
      </c>
      <c r="G846" t="s">
        <v>17</v>
      </c>
      <c r="H846">
        <v>316</v>
      </c>
      <c r="I846">
        <v>0</v>
      </c>
      <c r="J846" t="s">
        <v>2938</v>
      </c>
      <c r="K846" t="s">
        <v>268</v>
      </c>
    </row>
    <row r="847" spans="1:11">
      <c r="A847">
        <v>846</v>
      </c>
      <c r="D847" t="s">
        <v>3125</v>
      </c>
      <c r="E847" t="s">
        <v>269</v>
      </c>
      <c r="G847" t="s">
        <v>17</v>
      </c>
      <c r="H847">
        <v>221</v>
      </c>
      <c r="I847">
        <v>0</v>
      </c>
      <c r="J847" t="s">
        <v>2938</v>
      </c>
      <c r="K847" t="s">
        <v>270</v>
      </c>
    </row>
    <row r="848" spans="1:11">
      <c r="A848">
        <v>847</v>
      </c>
      <c r="D848" t="s">
        <v>3125</v>
      </c>
      <c r="E848" t="s">
        <v>2114</v>
      </c>
      <c r="G848" t="s">
        <v>17</v>
      </c>
      <c r="H848">
        <v>2</v>
      </c>
      <c r="I848">
        <v>0</v>
      </c>
      <c r="J848" t="s">
        <v>2938</v>
      </c>
      <c r="K848" t="s">
        <v>2115</v>
      </c>
    </row>
    <row r="849" spans="1:11">
      <c r="A849">
        <v>848</v>
      </c>
      <c r="D849" t="s">
        <v>3125</v>
      </c>
      <c r="E849" t="s">
        <v>235</v>
      </c>
      <c r="G849" t="s">
        <v>17</v>
      </c>
      <c r="H849">
        <v>246</v>
      </c>
      <c r="I849">
        <v>0</v>
      </c>
      <c r="J849" t="s">
        <v>2938</v>
      </c>
      <c r="K849" t="s">
        <v>236</v>
      </c>
    </row>
    <row r="850" spans="1:11">
      <c r="A850">
        <v>849</v>
      </c>
      <c r="D850" t="s">
        <v>3125</v>
      </c>
      <c r="E850" t="s">
        <v>237</v>
      </c>
      <c r="G850" t="s">
        <v>17</v>
      </c>
      <c r="H850">
        <v>300</v>
      </c>
      <c r="I850">
        <v>0</v>
      </c>
      <c r="J850" t="s">
        <v>2938</v>
      </c>
      <c r="K850" t="s">
        <v>238</v>
      </c>
    </row>
    <row r="851" spans="1:11">
      <c r="A851">
        <v>850</v>
      </c>
      <c r="D851" t="s">
        <v>3125</v>
      </c>
      <c r="E851" t="s">
        <v>271</v>
      </c>
      <c r="G851" t="s">
        <v>17</v>
      </c>
      <c r="H851">
        <v>283</v>
      </c>
      <c r="I851">
        <v>0</v>
      </c>
      <c r="J851" t="s">
        <v>2938</v>
      </c>
      <c r="K851" t="s">
        <v>272</v>
      </c>
    </row>
    <row r="852" spans="1:11">
      <c r="A852">
        <v>851</v>
      </c>
      <c r="D852" t="s">
        <v>3125</v>
      </c>
      <c r="E852" t="s">
        <v>273</v>
      </c>
      <c r="G852" t="s">
        <v>17</v>
      </c>
      <c r="H852">
        <v>282</v>
      </c>
      <c r="I852">
        <v>0</v>
      </c>
      <c r="J852" t="s">
        <v>2938</v>
      </c>
      <c r="K852" t="s">
        <v>274</v>
      </c>
    </row>
    <row r="853" spans="1:11">
      <c r="A853">
        <v>852</v>
      </c>
      <c r="D853" t="s">
        <v>3125</v>
      </c>
      <c r="E853" t="s">
        <v>890</v>
      </c>
      <c r="G853" t="s">
        <v>17</v>
      </c>
      <c r="H853">
        <v>186</v>
      </c>
      <c r="I853">
        <v>0</v>
      </c>
      <c r="J853" t="s">
        <v>2938</v>
      </c>
      <c r="K853" t="s">
        <v>891</v>
      </c>
    </row>
    <row r="854" spans="1:11">
      <c r="A854">
        <v>853</v>
      </c>
      <c r="D854" t="s">
        <v>3125</v>
      </c>
      <c r="E854" t="s">
        <v>892</v>
      </c>
      <c r="G854" t="s">
        <v>17</v>
      </c>
      <c r="H854">
        <v>300</v>
      </c>
      <c r="I854">
        <v>0</v>
      </c>
      <c r="J854" t="s">
        <v>2938</v>
      </c>
      <c r="K854" t="s">
        <v>893</v>
      </c>
    </row>
    <row r="855" spans="1:11">
      <c r="A855">
        <v>854</v>
      </c>
      <c r="D855" t="s">
        <v>3125</v>
      </c>
      <c r="E855" t="s">
        <v>2809</v>
      </c>
      <c r="G855" t="s">
        <v>17</v>
      </c>
      <c r="H855">
        <v>1000</v>
      </c>
      <c r="I855">
        <v>0</v>
      </c>
      <c r="J855" t="s">
        <v>2938</v>
      </c>
      <c r="K855" t="s">
        <v>2810</v>
      </c>
    </row>
    <row r="856" spans="1:11">
      <c r="A856">
        <v>855</v>
      </c>
      <c r="D856" t="s">
        <v>3125</v>
      </c>
      <c r="E856" t="s">
        <v>261</v>
      </c>
      <c r="G856" t="s">
        <v>17</v>
      </c>
      <c r="H856">
        <v>182</v>
      </c>
      <c r="I856">
        <v>0</v>
      </c>
      <c r="J856" t="s">
        <v>2938</v>
      </c>
      <c r="K856" t="s">
        <v>262</v>
      </c>
    </row>
    <row r="857" spans="1:11">
      <c r="A857">
        <v>856</v>
      </c>
      <c r="D857" t="s">
        <v>3125</v>
      </c>
      <c r="E857" t="s">
        <v>3448</v>
      </c>
      <c r="G857" t="s">
        <v>17</v>
      </c>
      <c r="H857">
        <v>250</v>
      </c>
      <c r="I857">
        <v>0</v>
      </c>
      <c r="J857" t="s">
        <v>2938</v>
      </c>
      <c r="K857" t="s">
        <v>3449</v>
      </c>
    </row>
    <row r="858" spans="1:11">
      <c r="A858">
        <v>857</v>
      </c>
      <c r="D858" t="s">
        <v>3125</v>
      </c>
      <c r="E858" t="s">
        <v>926</v>
      </c>
      <c r="G858" t="s">
        <v>20</v>
      </c>
      <c r="H858">
        <v>413.9</v>
      </c>
      <c r="I858">
        <v>0</v>
      </c>
      <c r="J858" t="s">
        <v>2939</v>
      </c>
      <c r="K858" t="s">
        <v>927</v>
      </c>
    </row>
    <row r="859" spans="1:11">
      <c r="A859">
        <v>858</v>
      </c>
      <c r="D859" t="s">
        <v>3125</v>
      </c>
      <c r="E859" t="s">
        <v>926</v>
      </c>
      <c r="G859" t="s">
        <v>20</v>
      </c>
      <c r="H859">
        <v>941.2</v>
      </c>
      <c r="I859">
        <v>0</v>
      </c>
      <c r="J859" t="s">
        <v>2938</v>
      </c>
      <c r="K859" t="s">
        <v>927</v>
      </c>
    </row>
    <row r="860" spans="1:11">
      <c r="A860">
        <v>859</v>
      </c>
      <c r="D860" t="s">
        <v>3125</v>
      </c>
      <c r="E860" t="s">
        <v>1462</v>
      </c>
      <c r="G860" t="s">
        <v>20</v>
      </c>
      <c r="H860">
        <v>572.94000000000005</v>
      </c>
      <c r="I860">
        <v>0</v>
      </c>
      <c r="J860" t="s">
        <v>2938</v>
      </c>
      <c r="K860" t="s">
        <v>1463</v>
      </c>
    </row>
    <row r="861" spans="1:11">
      <c r="A861">
        <v>860</v>
      </c>
      <c r="D861" t="s">
        <v>3125</v>
      </c>
      <c r="E861" t="s">
        <v>3300</v>
      </c>
      <c r="G861" t="s">
        <v>17</v>
      </c>
      <c r="H861">
        <v>300</v>
      </c>
      <c r="I861">
        <v>0</v>
      </c>
      <c r="J861" t="s">
        <v>2938</v>
      </c>
      <c r="K861" t="s">
        <v>3301</v>
      </c>
    </row>
    <row r="862" spans="1:11">
      <c r="A862">
        <v>861</v>
      </c>
      <c r="D862" t="s">
        <v>3125</v>
      </c>
      <c r="E862" t="s">
        <v>3450</v>
      </c>
      <c r="G862" t="s">
        <v>17</v>
      </c>
      <c r="H862">
        <v>1808</v>
      </c>
      <c r="I862">
        <v>0</v>
      </c>
      <c r="J862" t="s">
        <v>2938</v>
      </c>
      <c r="K862" t="s">
        <v>3451</v>
      </c>
    </row>
    <row r="863" spans="1:11">
      <c r="A863">
        <v>862</v>
      </c>
      <c r="D863" t="s">
        <v>3125</v>
      </c>
      <c r="E863" t="s">
        <v>928</v>
      </c>
      <c r="G863" t="s">
        <v>20</v>
      </c>
      <c r="H863">
        <v>437.2</v>
      </c>
      <c r="I863">
        <v>0</v>
      </c>
      <c r="J863" t="s">
        <v>2938</v>
      </c>
      <c r="K863" t="s">
        <v>929</v>
      </c>
    </row>
    <row r="864" spans="1:11">
      <c r="A864">
        <v>863</v>
      </c>
      <c r="D864" t="s">
        <v>3125</v>
      </c>
      <c r="E864" t="s">
        <v>1464</v>
      </c>
      <c r="G864" t="s">
        <v>20</v>
      </c>
      <c r="H864">
        <v>64</v>
      </c>
      <c r="I864">
        <v>0</v>
      </c>
      <c r="J864" t="s">
        <v>2938</v>
      </c>
      <c r="K864" t="s">
        <v>1465</v>
      </c>
    </row>
    <row r="865" spans="1:11">
      <c r="A865">
        <v>864</v>
      </c>
      <c r="D865" t="s">
        <v>3125</v>
      </c>
      <c r="E865" t="s">
        <v>571</v>
      </c>
      <c r="G865" t="s">
        <v>17</v>
      </c>
      <c r="H865">
        <v>186</v>
      </c>
      <c r="I865">
        <v>0</v>
      </c>
      <c r="J865" t="s">
        <v>2938</v>
      </c>
      <c r="K865" t="s">
        <v>572</v>
      </c>
    </row>
    <row r="866" spans="1:11">
      <c r="A866">
        <v>865</v>
      </c>
      <c r="D866" t="s">
        <v>3125</v>
      </c>
      <c r="E866" t="s">
        <v>597</v>
      </c>
      <c r="G866" t="s">
        <v>17</v>
      </c>
      <c r="H866">
        <v>471</v>
      </c>
      <c r="I866">
        <v>0</v>
      </c>
      <c r="J866" t="s">
        <v>2938</v>
      </c>
      <c r="K866" t="s">
        <v>598</v>
      </c>
    </row>
    <row r="867" spans="1:11">
      <c r="A867">
        <v>866</v>
      </c>
      <c r="D867" t="s">
        <v>3125</v>
      </c>
      <c r="E867" t="s">
        <v>930</v>
      </c>
      <c r="G867" t="s">
        <v>20</v>
      </c>
      <c r="H867">
        <v>166.7</v>
      </c>
      <c r="I867">
        <v>0</v>
      </c>
      <c r="J867" t="s">
        <v>2938</v>
      </c>
      <c r="K867" t="s">
        <v>931</v>
      </c>
    </row>
    <row r="868" spans="1:11">
      <c r="A868">
        <v>867</v>
      </c>
      <c r="D868" t="s">
        <v>3125</v>
      </c>
      <c r="E868" t="s">
        <v>587</v>
      </c>
      <c r="G868" t="s">
        <v>17</v>
      </c>
      <c r="H868">
        <v>507</v>
      </c>
      <c r="I868">
        <v>0</v>
      </c>
      <c r="J868" t="s">
        <v>2938</v>
      </c>
      <c r="K868" t="s">
        <v>588</v>
      </c>
    </row>
    <row r="869" spans="1:11">
      <c r="A869">
        <v>868</v>
      </c>
      <c r="D869" t="s">
        <v>3125</v>
      </c>
      <c r="E869" t="s">
        <v>932</v>
      </c>
      <c r="G869" t="s">
        <v>20</v>
      </c>
      <c r="H869">
        <v>1503.16</v>
      </c>
      <c r="I869">
        <v>0</v>
      </c>
      <c r="J869" t="s">
        <v>2938</v>
      </c>
      <c r="K869" t="s">
        <v>933</v>
      </c>
    </row>
    <row r="870" spans="1:11">
      <c r="A870">
        <v>869</v>
      </c>
      <c r="D870" t="s">
        <v>3125</v>
      </c>
      <c r="E870" t="s">
        <v>1692</v>
      </c>
      <c r="G870" t="s">
        <v>17</v>
      </c>
      <c r="H870">
        <v>1400</v>
      </c>
      <c r="I870">
        <v>0</v>
      </c>
      <c r="J870" t="s">
        <v>2938</v>
      </c>
      <c r="K870" t="s">
        <v>1693</v>
      </c>
    </row>
    <row r="871" spans="1:11">
      <c r="A871">
        <v>870</v>
      </c>
      <c r="D871" t="s">
        <v>3125</v>
      </c>
      <c r="E871" t="s">
        <v>1694</v>
      </c>
      <c r="G871" t="s">
        <v>17</v>
      </c>
      <c r="H871">
        <v>700</v>
      </c>
      <c r="I871">
        <v>0</v>
      </c>
      <c r="J871" t="s">
        <v>2938</v>
      </c>
      <c r="K871" t="s">
        <v>1695</v>
      </c>
    </row>
    <row r="872" spans="1:11">
      <c r="A872">
        <v>871</v>
      </c>
      <c r="D872" t="s">
        <v>3125</v>
      </c>
      <c r="E872" t="s">
        <v>1696</v>
      </c>
      <c r="G872" t="s">
        <v>17</v>
      </c>
      <c r="H872">
        <v>450</v>
      </c>
      <c r="I872">
        <v>0</v>
      </c>
      <c r="J872" t="s">
        <v>2938</v>
      </c>
      <c r="K872" t="s">
        <v>1697</v>
      </c>
    </row>
    <row r="873" spans="1:11">
      <c r="A873">
        <v>872</v>
      </c>
      <c r="D873" t="s">
        <v>3125</v>
      </c>
      <c r="E873" t="s">
        <v>589</v>
      </c>
      <c r="G873" t="s">
        <v>17</v>
      </c>
      <c r="H873">
        <v>3000</v>
      </c>
      <c r="I873">
        <v>0</v>
      </c>
      <c r="J873" t="s">
        <v>2938</v>
      </c>
      <c r="K873" t="s">
        <v>590</v>
      </c>
    </row>
    <row r="874" spans="1:11">
      <c r="A874">
        <v>873</v>
      </c>
      <c r="D874" t="s">
        <v>3125</v>
      </c>
      <c r="E874" t="s">
        <v>934</v>
      </c>
      <c r="G874" t="s">
        <v>20</v>
      </c>
      <c r="H874">
        <v>109.8</v>
      </c>
      <c r="I874">
        <v>0</v>
      </c>
      <c r="J874" t="s">
        <v>2938</v>
      </c>
      <c r="K874" t="s">
        <v>935</v>
      </c>
    </row>
    <row r="875" spans="1:11">
      <c r="A875">
        <v>874</v>
      </c>
      <c r="D875" t="s">
        <v>3125</v>
      </c>
      <c r="E875" t="s">
        <v>619</v>
      </c>
      <c r="G875" t="s">
        <v>17</v>
      </c>
      <c r="H875">
        <v>429</v>
      </c>
      <c r="I875">
        <v>0</v>
      </c>
      <c r="J875" t="s">
        <v>2938</v>
      </c>
      <c r="K875" t="s">
        <v>620</v>
      </c>
    </row>
    <row r="876" spans="1:11">
      <c r="A876">
        <v>875</v>
      </c>
      <c r="D876" t="s">
        <v>3125</v>
      </c>
      <c r="E876" t="s">
        <v>627</v>
      </c>
      <c r="G876" t="s">
        <v>17</v>
      </c>
      <c r="H876">
        <v>12038</v>
      </c>
      <c r="I876">
        <v>0</v>
      </c>
      <c r="J876" t="s">
        <v>2938</v>
      </c>
      <c r="K876" t="s">
        <v>628</v>
      </c>
    </row>
    <row r="877" spans="1:11">
      <c r="A877">
        <v>876</v>
      </c>
      <c r="D877" t="s">
        <v>3125</v>
      </c>
      <c r="E877" t="s">
        <v>629</v>
      </c>
      <c r="G877" t="s">
        <v>17</v>
      </c>
      <c r="H877">
        <v>12400</v>
      </c>
      <c r="I877">
        <v>0</v>
      </c>
      <c r="J877" t="s">
        <v>2938</v>
      </c>
      <c r="K877" t="s">
        <v>630</v>
      </c>
    </row>
    <row r="878" spans="1:11">
      <c r="A878">
        <v>877</v>
      </c>
      <c r="D878" t="s">
        <v>3125</v>
      </c>
      <c r="E878" t="s">
        <v>621</v>
      </c>
      <c r="G878" t="s">
        <v>17</v>
      </c>
      <c r="H878">
        <v>815</v>
      </c>
      <c r="I878">
        <v>0</v>
      </c>
      <c r="J878" t="s">
        <v>2938</v>
      </c>
      <c r="K878" t="s">
        <v>622</v>
      </c>
    </row>
    <row r="879" spans="1:11">
      <c r="A879">
        <v>878</v>
      </c>
      <c r="D879" t="s">
        <v>3125</v>
      </c>
      <c r="E879" t="s">
        <v>623</v>
      </c>
      <c r="G879" t="s">
        <v>17</v>
      </c>
      <c r="H879">
        <v>16825</v>
      </c>
      <c r="I879">
        <v>0</v>
      </c>
      <c r="J879" t="s">
        <v>2938</v>
      </c>
      <c r="K879" t="s">
        <v>624</v>
      </c>
    </row>
    <row r="880" spans="1:11">
      <c r="A880">
        <v>879</v>
      </c>
      <c r="D880" t="s">
        <v>3125</v>
      </c>
      <c r="E880" t="s">
        <v>625</v>
      </c>
      <c r="G880" t="s">
        <v>17</v>
      </c>
      <c r="H880">
        <v>3000</v>
      </c>
      <c r="I880">
        <v>0</v>
      </c>
      <c r="J880" t="s">
        <v>2938</v>
      </c>
      <c r="K880" t="s">
        <v>626</v>
      </c>
    </row>
    <row r="881" spans="1:11">
      <c r="A881">
        <v>880</v>
      </c>
      <c r="D881" t="s">
        <v>3125</v>
      </c>
      <c r="E881" t="s">
        <v>2775</v>
      </c>
      <c r="G881" t="s">
        <v>7</v>
      </c>
      <c r="H881">
        <v>1444</v>
      </c>
      <c r="I881">
        <v>0</v>
      </c>
      <c r="J881" t="s">
        <v>2938</v>
      </c>
      <c r="K881" t="s">
        <v>2776</v>
      </c>
    </row>
    <row r="882" spans="1:11">
      <c r="A882">
        <v>881</v>
      </c>
      <c r="D882" t="s">
        <v>3125</v>
      </c>
      <c r="E882" t="s">
        <v>2779</v>
      </c>
      <c r="G882" t="s">
        <v>7</v>
      </c>
      <c r="H882">
        <v>2654</v>
      </c>
      <c r="I882">
        <v>0</v>
      </c>
      <c r="J882" t="s">
        <v>2940</v>
      </c>
      <c r="K882" t="s">
        <v>2780</v>
      </c>
    </row>
    <row r="883" spans="1:11">
      <c r="A883">
        <v>882</v>
      </c>
      <c r="D883" t="s">
        <v>3125</v>
      </c>
      <c r="E883" t="s">
        <v>2779</v>
      </c>
      <c r="G883" t="s">
        <v>7</v>
      </c>
      <c r="H883">
        <v>4150.2</v>
      </c>
      <c r="I883">
        <v>0</v>
      </c>
      <c r="J883" t="s">
        <v>2938</v>
      </c>
      <c r="K883" t="s">
        <v>2780</v>
      </c>
    </row>
    <row r="884" spans="1:11">
      <c r="A884">
        <v>883</v>
      </c>
      <c r="D884" t="s">
        <v>3125</v>
      </c>
      <c r="E884" t="s">
        <v>2777</v>
      </c>
      <c r="G884" t="s">
        <v>7</v>
      </c>
      <c r="H884">
        <v>3450.2</v>
      </c>
      <c r="I884">
        <v>0</v>
      </c>
      <c r="J884" t="s">
        <v>2938</v>
      </c>
      <c r="K884" t="s">
        <v>2778</v>
      </c>
    </row>
    <row r="885" spans="1:11">
      <c r="A885">
        <v>884</v>
      </c>
      <c r="D885" t="s">
        <v>3125</v>
      </c>
      <c r="E885" t="s">
        <v>2781</v>
      </c>
      <c r="G885" t="s">
        <v>7</v>
      </c>
      <c r="H885">
        <v>1093.5</v>
      </c>
      <c r="I885">
        <v>0</v>
      </c>
      <c r="J885" t="s">
        <v>2940</v>
      </c>
      <c r="K885" t="s">
        <v>2782</v>
      </c>
    </row>
    <row r="886" spans="1:11">
      <c r="A886">
        <v>885</v>
      </c>
      <c r="D886" t="s">
        <v>3125</v>
      </c>
      <c r="E886" t="s">
        <v>2781</v>
      </c>
      <c r="G886" t="s">
        <v>7</v>
      </c>
      <c r="H886">
        <v>11532</v>
      </c>
      <c r="I886">
        <v>0</v>
      </c>
      <c r="J886" t="s">
        <v>2938</v>
      </c>
      <c r="K886" t="s">
        <v>2782</v>
      </c>
    </row>
    <row r="887" spans="1:11">
      <c r="A887">
        <v>886</v>
      </c>
      <c r="D887" t="s">
        <v>3125</v>
      </c>
      <c r="E887" t="s">
        <v>2805</v>
      </c>
      <c r="G887" t="s">
        <v>17</v>
      </c>
      <c r="H887">
        <v>5400</v>
      </c>
      <c r="I887">
        <v>0</v>
      </c>
      <c r="J887" t="s">
        <v>2938</v>
      </c>
      <c r="K887" t="s">
        <v>2806</v>
      </c>
    </row>
    <row r="888" spans="1:11">
      <c r="A888">
        <v>887</v>
      </c>
      <c r="D888" t="s">
        <v>3125</v>
      </c>
      <c r="E888" t="s">
        <v>2898</v>
      </c>
      <c r="G888" t="s">
        <v>17</v>
      </c>
      <c r="H888">
        <v>7150</v>
      </c>
      <c r="I888">
        <v>0</v>
      </c>
      <c r="J888" t="s">
        <v>2938</v>
      </c>
      <c r="K888" t="s">
        <v>2899</v>
      </c>
    </row>
    <row r="889" spans="1:11">
      <c r="A889">
        <v>888</v>
      </c>
      <c r="D889" t="s">
        <v>3125</v>
      </c>
      <c r="E889" t="s">
        <v>1046</v>
      </c>
      <c r="G889" t="s">
        <v>17</v>
      </c>
      <c r="H889">
        <v>120</v>
      </c>
      <c r="I889">
        <v>0</v>
      </c>
      <c r="J889" t="s">
        <v>2938</v>
      </c>
      <c r="K889" t="s">
        <v>1047</v>
      </c>
    </row>
    <row r="890" spans="1:11">
      <c r="A890">
        <v>889</v>
      </c>
      <c r="D890" t="s">
        <v>3125</v>
      </c>
      <c r="E890" t="s">
        <v>1048</v>
      </c>
      <c r="G890" t="s">
        <v>17</v>
      </c>
      <c r="H890">
        <v>1300</v>
      </c>
      <c r="I890">
        <v>0</v>
      </c>
      <c r="J890" t="s">
        <v>2938</v>
      </c>
      <c r="K890" t="s">
        <v>1049</v>
      </c>
    </row>
    <row r="891" spans="1:11">
      <c r="A891">
        <v>890</v>
      </c>
      <c r="D891" t="s">
        <v>3125</v>
      </c>
      <c r="E891" t="s">
        <v>1078</v>
      </c>
      <c r="G891" t="s">
        <v>17</v>
      </c>
      <c r="H891">
        <v>52</v>
      </c>
      <c r="I891">
        <v>0</v>
      </c>
      <c r="J891" t="s">
        <v>2938</v>
      </c>
      <c r="K891" t="s">
        <v>1079</v>
      </c>
    </row>
    <row r="892" spans="1:11">
      <c r="A892">
        <v>891</v>
      </c>
      <c r="D892" t="s">
        <v>3125</v>
      </c>
      <c r="E892" t="s">
        <v>3452</v>
      </c>
      <c r="G892" t="s">
        <v>17</v>
      </c>
      <c r="H892">
        <v>1050</v>
      </c>
      <c r="I892">
        <v>0</v>
      </c>
      <c r="J892" t="s">
        <v>2938</v>
      </c>
      <c r="K892" t="s">
        <v>3453</v>
      </c>
    </row>
    <row r="893" spans="1:11">
      <c r="A893">
        <v>892</v>
      </c>
      <c r="D893" t="s">
        <v>3125</v>
      </c>
      <c r="E893" t="s">
        <v>281</v>
      </c>
      <c r="G893" t="s">
        <v>17</v>
      </c>
      <c r="H893">
        <v>3500</v>
      </c>
      <c r="I893">
        <v>0</v>
      </c>
      <c r="J893" t="s">
        <v>2938</v>
      </c>
      <c r="K893" t="s">
        <v>282</v>
      </c>
    </row>
    <row r="894" spans="1:11">
      <c r="A894">
        <v>893</v>
      </c>
      <c r="D894" t="s">
        <v>3125</v>
      </c>
      <c r="E894" t="s">
        <v>528</v>
      </c>
      <c r="G894" t="s">
        <v>17</v>
      </c>
      <c r="H894">
        <v>1160</v>
      </c>
      <c r="I894">
        <v>0</v>
      </c>
      <c r="J894" t="s">
        <v>2938</v>
      </c>
      <c r="K894" t="s">
        <v>529</v>
      </c>
    </row>
    <row r="895" spans="1:11">
      <c r="A895">
        <v>894</v>
      </c>
      <c r="D895" t="s">
        <v>3125</v>
      </c>
      <c r="E895" t="s">
        <v>1241</v>
      </c>
      <c r="G895" t="s">
        <v>17</v>
      </c>
      <c r="H895">
        <v>2665</v>
      </c>
      <c r="I895">
        <v>0</v>
      </c>
      <c r="J895" t="s">
        <v>2938</v>
      </c>
      <c r="K895" t="s">
        <v>1242</v>
      </c>
    </row>
    <row r="896" spans="1:11">
      <c r="A896">
        <v>895</v>
      </c>
      <c r="D896" t="s">
        <v>3125</v>
      </c>
      <c r="E896" t="s">
        <v>2227</v>
      </c>
      <c r="G896" t="s">
        <v>17</v>
      </c>
      <c r="H896">
        <v>39</v>
      </c>
      <c r="I896">
        <v>0</v>
      </c>
      <c r="J896" t="s">
        <v>2938</v>
      </c>
      <c r="K896" t="s">
        <v>2228</v>
      </c>
    </row>
    <row r="897" spans="1:11">
      <c r="A897">
        <v>896</v>
      </c>
      <c r="D897" t="s">
        <v>3125</v>
      </c>
      <c r="E897" t="s">
        <v>3579</v>
      </c>
      <c r="G897" t="s">
        <v>17</v>
      </c>
      <c r="H897">
        <v>45</v>
      </c>
      <c r="I897">
        <v>0</v>
      </c>
      <c r="J897" t="s">
        <v>2938</v>
      </c>
      <c r="K897" t="s">
        <v>3580</v>
      </c>
    </row>
    <row r="898" spans="1:11">
      <c r="A898">
        <v>897</v>
      </c>
      <c r="D898" t="s">
        <v>3125</v>
      </c>
      <c r="E898" t="s">
        <v>2919</v>
      </c>
      <c r="G898" t="s">
        <v>17</v>
      </c>
      <c r="H898">
        <v>41</v>
      </c>
      <c r="I898">
        <v>0</v>
      </c>
      <c r="J898" t="s">
        <v>2938</v>
      </c>
      <c r="K898" t="s">
        <v>2920</v>
      </c>
    </row>
    <row r="899" spans="1:11">
      <c r="A899">
        <v>898</v>
      </c>
      <c r="D899" t="s">
        <v>3125</v>
      </c>
      <c r="E899" t="s">
        <v>3581</v>
      </c>
      <c r="G899" t="s">
        <v>17</v>
      </c>
      <c r="H899">
        <v>10</v>
      </c>
      <c r="I899">
        <v>0</v>
      </c>
      <c r="J899" t="s">
        <v>2938</v>
      </c>
      <c r="K899" t="s">
        <v>3582</v>
      </c>
    </row>
    <row r="900" spans="1:11">
      <c r="A900">
        <v>899</v>
      </c>
      <c r="D900" t="s">
        <v>3125</v>
      </c>
      <c r="E900" t="s">
        <v>33</v>
      </c>
      <c r="G900" t="s">
        <v>17</v>
      </c>
      <c r="H900">
        <v>16</v>
      </c>
      <c r="I900">
        <v>0</v>
      </c>
      <c r="J900" t="s">
        <v>2938</v>
      </c>
      <c r="K900" t="s">
        <v>34</v>
      </c>
    </row>
    <row r="901" spans="1:11">
      <c r="A901">
        <v>900</v>
      </c>
      <c r="D901" t="s">
        <v>3125</v>
      </c>
      <c r="E901" t="s">
        <v>35</v>
      </c>
      <c r="G901" t="s">
        <v>17</v>
      </c>
      <c r="H901">
        <v>2</v>
      </c>
      <c r="I901">
        <v>0</v>
      </c>
      <c r="J901" t="s">
        <v>2939</v>
      </c>
      <c r="K901" t="s">
        <v>36</v>
      </c>
    </row>
    <row r="902" spans="1:11">
      <c r="A902">
        <v>901</v>
      </c>
      <c r="D902" t="s">
        <v>3125</v>
      </c>
      <c r="E902" t="s">
        <v>35</v>
      </c>
      <c r="G902" t="s">
        <v>17</v>
      </c>
      <c r="H902">
        <v>6</v>
      </c>
      <c r="I902">
        <v>0</v>
      </c>
      <c r="J902" t="s">
        <v>2938</v>
      </c>
      <c r="K902" t="s">
        <v>36</v>
      </c>
    </row>
    <row r="903" spans="1:11">
      <c r="A903">
        <v>902</v>
      </c>
      <c r="D903" t="s">
        <v>3125</v>
      </c>
      <c r="E903" t="s">
        <v>1251</v>
      </c>
      <c r="G903" t="s">
        <v>17</v>
      </c>
      <c r="H903">
        <v>110</v>
      </c>
      <c r="I903">
        <v>0</v>
      </c>
      <c r="J903" t="s">
        <v>2938</v>
      </c>
      <c r="K903" t="s">
        <v>1252</v>
      </c>
    </row>
    <row r="904" spans="1:11">
      <c r="A904">
        <v>903</v>
      </c>
      <c r="D904" t="s">
        <v>3125</v>
      </c>
      <c r="E904" t="s">
        <v>1249</v>
      </c>
      <c r="G904" t="s">
        <v>17</v>
      </c>
      <c r="H904">
        <v>90</v>
      </c>
      <c r="I904">
        <v>0</v>
      </c>
      <c r="J904" t="s">
        <v>2938</v>
      </c>
      <c r="K904" t="s">
        <v>1250</v>
      </c>
    </row>
    <row r="905" spans="1:11">
      <c r="A905">
        <v>904</v>
      </c>
      <c r="D905" t="s">
        <v>3125</v>
      </c>
      <c r="E905" t="s">
        <v>1253</v>
      </c>
      <c r="G905" t="s">
        <v>17</v>
      </c>
      <c r="H905">
        <v>16</v>
      </c>
      <c r="I905">
        <v>0</v>
      </c>
      <c r="J905" t="s">
        <v>2938</v>
      </c>
      <c r="K905" t="s">
        <v>1254</v>
      </c>
    </row>
    <row r="906" spans="1:11">
      <c r="A906">
        <v>905</v>
      </c>
      <c r="D906" t="s">
        <v>3125</v>
      </c>
      <c r="E906" t="s">
        <v>2552</v>
      </c>
      <c r="G906" t="s">
        <v>17</v>
      </c>
      <c r="H906">
        <v>650</v>
      </c>
      <c r="I906">
        <v>0</v>
      </c>
      <c r="J906" t="s">
        <v>2938</v>
      </c>
      <c r="K906" t="s">
        <v>2549</v>
      </c>
    </row>
    <row r="907" spans="1:11">
      <c r="A907">
        <v>906</v>
      </c>
      <c r="D907" t="s">
        <v>3125</v>
      </c>
      <c r="E907" t="s">
        <v>2553</v>
      </c>
      <c r="G907" t="s">
        <v>17</v>
      </c>
      <c r="H907">
        <v>5000</v>
      </c>
      <c r="I907">
        <v>0</v>
      </c>
      <c r="J907" t="s">
        <v>2938</v>
      </c>
      <c r="K907" t="s">
        <v>2554</v>
      </c>
    </row>
    <row r="908" spans="1:11">
      <c r="A908">
        <v>907</v>
      </c>
      <c r="D908" t="s">
        <v>3125</v>
      </c>
      <c r="E908" t="s">
        <v>2923</v>
      </c>
      <c r="G908" t="s">
        <v>17</v>
      </c>
      <c r="H908">
        <v>632</v>
      </c>
      <c r="I908">
        <v>0</v>
      </c>
      <c r="J908" t="s">
        <v>2938</v>
      </c>
      <c r="K908" t="s">
        <v>2924</v>
      </c>
    </row>
    <row r="909" spans="1:11">
      <c r="A909">
        <v>908</v>
      </c>
      <c r="D909" t="s">
        <v>3125</v>
      </c>
      <c r="E909" t="s">
        <v>275</v>
      </c>
      <c r="G909" t="s">
        <v>17</v>
      </c>
      <c r="H909">
        <v>3675</v>
      </c>
      <c r="I909">
        <v>0</v>
      </c>
      <c r="J909" t="s">
        <v>2938</v>
      </c>
      <c r="K909" t="s">
        <v>276</v>
      </c>
    </row>
    <row r="910" spans="1:11">
      <c r="A910">
        <v>909</v>
      </c>
      <c r="D910" t="s">
        <v>3125</v>
      </c>
      <c r="E910" t="s">
        <v>1038</v>
      </c>
      <c r="G910" t="s">
        <v>17</v>
      </c>
      <c r="H910">
        <v>3750</v>
      </c>
      <c r="I910">
        <v>0</v>
      </c>
      <c r="J910" t="s">
        <v>2938</v>
      </c>
      <c r="K910" t="s">
        <v>1039</v>
      </c>
    </row>
    <row r="911" spans="1:11">
      <c r="A911">
        <v>910</v>
      </c>
      <c r="D911" t="s">
        <v>3125</v>
      </c>
      <c r="E911" t="s">
        <v>1632</v>
      </c>
      <c r="G911" t="s">
        <v>17</v>
      </c>
      <c r="H911">
        <v>1250</v>
      </c>
      <c r="I911">
        <v>0</v>
      </c>
      <c r="J911" t="s">
        <v>2938</v>
      </c>
      <c r="K911" t="s">
        <v>1633</v>
      </c>
    </row>
    <row r="912" spans="1:11">
      <c r="A912">
        <v>911</v>
      </c>
      <c r="D912" t="s">
        <v>3125</v>
      </c>
      <c r="E912" t="s">
        <v>1636</v>
      </c>
      <c r="G912" t="s">
        <v>17</v>
      </c>
      <c r="H912">
        <v>5400</v>
      </c>
      <c r="I912">
        <v>0</v>
      </c>
      <c r="J912" t="s">
        <v>2938</v>
      </c>
      <c r="K912" t="s">
        <v>1637</v>
      </c>
    </row>
    <row r="913" spans="1:11">
      <c r="A913">
        <v>912</v>
      </c>
      <c r="D913" t="s">
        <v>3125</v>
      </c>
      <c r="E913" t="s">
        <v>1630</v>
      </c>
      <c r="G913" t="s">
        <v>17</v>
      </c>
      <c r="H913">
        <v>1240</v>
      </c>
      <c r="I913">
        <v>0</v>
      </c>
      <c r="J913" t="s">
        <v>2938</v>
      </c>
      <c r="K913" t="s">
        <v>1631</v>
      </c>
    </row>
    <row r="914" spans="1:11">
      <c r="A914">
        <v>913</v>
      </c>
      <c r="D914" t="s">
        <v>3125</v>
      </c>
      <c r="E914" t="s">
        <v>1634</v>
      </c>
      <c r="G914" t="s">
        <v>17</v>
      </c>
      <c r="H914">
        <v>6728</v>
      </c>
      <c r="I914">
        <v>0</v>
      </c>
      <c r="J914" t="s">
        <v>2938</v>
      </c>
      <c r="K914" t="s">
        <v>1635</v>
      </c>
    </row>
    <row r="915" spans="1:11">
      <c r="A915">
        <v>914</v>
      </c>
      <c r="D915" t="s">
        <v>3125</v>
      </c>
      <c r="E915" t="s">
        <v>277</v>
      </c>
      <c r="G915" t="s">
        <v>17</v>
      </c>
      <c r="H915">
        <v>50</v>
      </c>
      <c r="I915">
        <v>0</v>
      </c>
      <c r="J915" t="s">
        <v>2938</v>
      </c>
      <c r="K915" t="s">
        <v>278</v>
      </c>
    </row>
    <row r="916" spans="1:11">
      <c r="A916">
        <v>915</v>
      </c>
      <c r="D916" t="s">
        <v>3125</v>
      </c>
      <c r="E916" t="s">
        <v>279</v>
      </c>
      <c r="G916" t="s">
        <v>17</v>
      </c>
      <c r="H916">
        <v>6875</v>
      </c>
      <c r="I916">
        <v>0</v>
      </c>
      <c r="J916" t="s">
        <v>2938</v>
      </c>
      <c r="K916" t="s">
        <v>280</v>
      </c>
    </row>
    <row r="917" spans="1:11">
      <c r="A917">
        <v>916</v>
      </c>
      <c r="D917" t="s">
        <v>3125</v>
      </c>
      <c r="E917" t="s">
        <v>1926</v>
      </c>
      <c r="G917" t="s">
        <v>17</v>
      </c>
      <c r="H917">
        <v>550</v>
      </c>
      <c r="I917">
        <v>0</v>
      </c>
      <c r="J917" t="s">
        <v>2938</v>
      </c>
      <c r="K917" t="s">
        <v>1927</v>
      </c>
    </row>
    <row r="918" spans="1:11">
      <c r="A918">
        <v>917</v>
      </c>
      <c r="D918" t="s">
        <v>3125</v>
      </c>
      <c r="E918" t="s">
        <v>3661</v>
      </c>
      <c r="G918" t="s">
        <v>17</v>
      </c>
      <c r="H918">
        <v>5</v>
      </c>
      <c r="I918">
        <v>0</v>
      </c>
      <c r="J918" t="s">
        <v>2938</v>
      </c>
      <c r="K918" t="s">
        <v>3662</v>
      </c>
    </row>
    <row r="919" spans="1:11">
      <c r="A919">
        <v>918</v>
      </c>
      <c r="D919" t="s">
        <v>3125</v>
      </c>
      <c r="E919" t="s">
        <v>3663</v>
      </c>
      <c r="G919" t="s">
        <v>17</v>
      </c>
      <c r="H919">
        <v>1</v>
      </c>
      <c r="I919">
        <v>0</v>
      </c>
      <c r="J919" t="s">
        <v>2938</v>
      </c>
      <c r="K919" t="s">
        <v>3664</v>
      </c>
    </row>
    <row r="920" spans="1:11">
      <c r="A920">
        <v>919</v>
      </c>
      <c r="D920" t="s">
        <v>3125</v>
      </c>
      <c r="E920" t="s">
        <v>1486</v>
      </c>
      <c r="G920" t="s">
        <v>17</v>
      </c>
      <c r="H920">
        <v>61</v>
      </c>
      <c r="I920">
        <v>0</v>
      </c>
      <c r="J920" t="s">
        <v>2938</v>
      </c>
      <c r="K920" t="s">
        <v>1487</v>
      </c>
    </row>
    <row r="921" spans="1:11">
      <c r="A921">
        <v>920</v>
      </c>
      <c r="D921" t="s">
        <v>3125</v>
      </c>
      <c r="E921" t="s">
        <v>217</v>
      </c>
      <c r="G921" t="s">
        <v>7</v>
      </c>
      <c r="H921">
        <v>431.3</v>
      </c>
      <c r="I921">
        <v>0</v>
      </c>
      <c r="J921" t="s">
        <v>2938</v>
      </c>
      <c r="K921" t="s">
        <v>218</v>
      </c>
    </row>
    <row r="922" spans="1:11">
      <c r="A922">
        <v>921</v>
      </c>
      <c r="D922" t="s">
        <v>3125</v>
      </c>
      <c r="E922" t="s">
        <v>217</v>
      </c>
      <c r="G922" t="s">
        <v>7</v>
      </c>
      <c r="H922">
        <v>3946</v>
      </c>
      <c r="I922">
        <v>0</v>
      </c>
      <c r="J922" t="s">
        <v>2940</v>
      </c>
      <c r="K922" t="s">
        <v>218</v>
      </c>
    </row>
    <row r="923" spans="1:11">
      <c r="A923">
        <v>922</v>
      </c>
      <c r="D923" t="s">
        <v>3125</v>
      </c>
      <c r="E923" t="s">
        <v>3659</v>
      </c>
      <c r="G923" t="s">
        <v>17</v>
      </c>
      <c r="H923">
        <v>80</v>
      </c>
      <c r="I923">
        <v>0</v>
      </c>
      <c r="J923" t="s">
        <v>2938</v>
      </c>
      <c r="K923" t="s">
        <v>3660</v>
      </c>
    </row>
    <row r="924" spans="1:11">
      <c r="A924">
        <v>923</v>
      </c>
      <c r="D924" t="s">
        <v>3125</v>
      </c>
      <c r="E924" t="s">
        <v>2231</v>
      </c>
      <c r="G924" t="s">
        <v>7</v>
      </c>
      <c r="H924">
        <v>120</v>
      </c>
      <c r="I924">
        <v>0</v>
      </c>
      <c r="J924" t="s">
        <v>2938</v>
      </c>
      <c r="K924" t="s">
        <v>2232</v>
      </c>
    </row>
    <row r="925" spans="1:11">
      <c r="A925">
        <v>924</v>
      </c>
      <c r="D925" t="s">
        <v>3125</v>
      </c>
      <c r="E925" t="s">
        <v>1350</v>
      </c>
      <c r="G925" t="s">
        <v>20</v>
      </c>
      <c r="H925">
        <v>133.28</v>
      </c>
      <c r="I925">
        <v>0</v>
      </c>
      <c r="J925" t="s">
        <v>2938</v>
      </c>
      <c r="K925" t="s">
        <v>1351</v>
      </c>
    </row>
    <row r="926" spans="1:11">
      <c r="A926">
        <v>925</v>
      </c>
      <c r="D926" t="s">
        <v>3125</v>
      </c>
      <c r="E926" t="s">
        <v>1352</v>
      </c>
      <c r="G926" t="s">
        <v>20</v>
      </c>
      <c r="H926">
        <v>233.9</v>
      </c>
      <c r="I926">
        <v>0</v>
      </c>
      <c r="J926" t="s">
        <v>2938</v>
      </c>
      <c r="K926" t="s">
        <v>1353</v>
      </c>
    </row>
    <row r="927" spans="1:11">
      <c r="A927">
        <v>926</v>
      </c>
      <c r="D927" t="s">
        <v>3125</v>
      </c>
      <c r="E927" t="s">
        <v>1354</v>
      </c>
      <c r="G927" t="s">
        <v>20</v>
      </c>
      <c r="H927">
        <v>310.89999999999998</v>
      </c>
      <c r="I927">
        <v>0</v>
      </c>
      <c r="J927" t="s">
        <v>2938</v>
      </c>
      <c r="K927" t="s">
        <v>1355</v>
      </c>
    </row>
    <row r="928" spans="1:11">
      <c r="A928">
        <v>927</v>
      </c>
      <c r="D928" t="s">
        <v>3125</v>
      </c>
      <c r="E928" t="s">
        <v>290</v>
      </c>
      <c r="G928" t="s">
        <v>17</v>
      </c>
      <c r="H928">
        <v>183</v>
      </c>
      <c r="I928">
        <v>0</v>
      </c>
      <c r="J928" t="s">
        <v>2938</v>
      </c>
      <c r="K928" t="s">
        <v>291</v>
      </c>
    </row>
    <row r="929" spans="1:11">
      <c r="A929">
        <v>928</v>
      </c>
      <c r="D929" t="s">
        <v>3125</v>
      </c>
      <c r="E929" t="s">
        <v>292</v>
      </c>
      <c r="G929" t="s">
        <v>17</v>
      </c>
      <c r="H929">
        <v>2200</v>
      </c>
      <c r="I929">
        <v>0</v>
      </c>
      <c r="J929" t="s">
        <v>2938</v>
      </c>
      <c r="K929" t="s">
        <v>293</v>
      </c>
    </row>
    <row r="930" spans="1:11">
      <c r="A930">
        <v>929</v>
      </c>
      <c r="D930" t="s">
        <v>3125</v>
      </c>
      <c r="E930" t="s">
        <v>345</v>
      </c>
      <c r="G930" t="s">
        <v>17</v>
      </c>
      <c r="H930">
        <v>102</v>
      </c>
      <c r="I930">
        <v>0</v>
      </c>
      <c r="J930" t="s">
        <v>2938</v>
      </c>
      <c r="K930" t="s">
        <v>346</v>
      </c>
    </row>
    <row r="931" spans="1:11">
      <c r="A931">
        <v>930</v>
      </c>
      <c r="D931" t="s">
        <v>3125</v>
      </c>
      <c r="E931" t="s">
        <v>2807</v>
      </c>
      <c r="G931" t="s">
        <v>17</v>
      </c>
      <c r="H931">
        <v>50</v>
      </c>
      <c r="I931">
        <v>0</v>
      </c>
      <c r="J931" t="s">
        <v>2938</v>
      </c>
      <c r="K931" t="s">
        <v>2808</v>
      </c>
    </row>
    <row r="932" spans="1:11">
      <c r="A932">
        <v>931</v>
      </c>
      <c r="D932" t="s">
        <v>3125</v>
      </c>
      <c r="E932" t="s">
        <v>221</v>
      </c>
      <c r="G932" t="s">
        <v>7</v>
      </c>
      <c r="H932">
        <v>100</v>
      </c>
      <c r="I932">
        <v>0</v>
      </c>
      <c r="J932" t="s">
        <v>2938</v>
      </c>
      <c r="K932" t="s">
        <v>222</v>
      </c>
    </row>
    <row r="933" spans="1:11">
      <c r="A933">
        <v>932</v>
      </c>
      <c r="D933" t="s">
        <v>3125</v>
      </c>
      <c r="E933" t="s">
        <v>112</v>
      </c>
      <c r="G933" t="s">
        <v>7</v>
      </c>
      <c r="H933">
        <v>980</v>
      </c>
      <c r="I933">
        <v>0</v>
      </c>
      <c r="J933" t="s">
        <v>2938</v>
      </c>
      <c r="K933" t="s">
        <v>113</v>
      </c>
    </row>
    <row r="934" spans="1:11">
      <c r="A934">
        <v>933</v>
      </c>
      <c r="D934" t="s">
        <v>3125</v>
      </c>
      <c r="E934" t="s">
        <v>117</v>
      </c>
      <c r="G934" t="s">
        <v>7</v>
      </c>
      <c r="H934">
        <v>700</v>
      </c>
      <c r="I934">
        <v>0</v>
      </c>
      <c r="J934" t="s">
        <v>2938</v>
      </c>
      <c r="K934" t="s">
        <v>118</v>
      </c>
    </row>
    <row r="935" spans="1:11">
      <c r="A935">
        <v>934</v>
      </c>
      <c r="D935" t="s">
        <v>3125</v>
      </c>
      <c r="E935" t="s">
        <v>296</v>
      </c>
      <c r="G935" t="s">
        <v>7</v>
      </c>
      <c r="H935">
        <v>50</v>
      </c>
      <c r="I935">
        <v>0</v>
      </c>
      <c r="J935" t="s">
        <v>2938</v>
      </c>
      <c r="K935" t="s">
        <v>297</v>
      </c>
    </row>
    <row r="936" spans="1:11">
      <c r="A936">
        <v>935</v>
      </c>
      <c r="D936" t="s">
        <v>3125</v>
      </c>
      <c r="E936" t="s">
        <v>298</v>
      </c>
      <c r="G936" t="s">
        <v>7</v>
      </c>
      <c r="H936">
        <v>340</v>
      </c>
      <c r="I936">
        <v>0</v>
      </c>
      <c r="J936" t="s">
        <v>2938</v>
      </c>
      <c r="K936" t="s">
        <v>299</v>
      </c>
    </row>
    <row r="937" spans="1:11">
      <c r="A937">
        <v>936</v>
      </c>
      <c r="D937" t="s">
        <v>3125</v>
      </c>
      <c r="E937" t="s">
        <v>1255</v>
      </c>
      <c r="G937" t="s">
        <v>17</v>
      </c>
      <c r="H937">
        <v>1</v>
      </c>
      <c r="I937">
        <v>0</v>
      </c>
      <c r="J937" t="s">
        <v>2938</v>
      </c>
      <c r="K937" t="s">
        <v>1256</v>
      </c>
    </row>
    <row r="938" spans="1:11">
      <c r="A938">
        <v>937</v>
      </c>
      <c r="D938" t="s">
        <v>3125</v>
      </c>
      <c r="E938" t="s">
        <v>1273</v>
      </c>
      <c r="G938" t="s">
        <v>116</v>
      </c>
      <c r="H938">
        <v>1</v>
      </c>
      <c r="I938">
        <v>0</v>
      </c>
      <c r="J938" t="s">
        <v>2938</v>
      </c>
      <c r="K938" t="s">
        <v>1274</v>
      </c>
    </row>
    <row r="939" spans="1:11">
      <c r="A939">
        <v>938</v>
      </c>
      <c r="D939" t="s">
        <v>3125</v>
      </c>
      <c r="E939" t="s">
        <v>47</v>
      </c>
      <c r="G939" t="s">
        <v>20</v>
      </c>
      <c r="H939">
        <v>4092.1</v>
      </c>
      <c r="I939">
        <v>0</v>
      </c>
      <c r="J939" t="s">
        <v>2938</v>
      </c>
      <c r="K939" t="s">
        <v>48</v>
      </c>
    </row>
    <row r="940" spans="1:11">
      <c r="A940">
        <v>939</v>
      </c>
      <c r="D940" t="s">
        <v>3125</v>
      </c>
      <c r="E940" t="s">
        <v>49</v>
      </c>
      <c r="G940" t="s">
        <v>20</v>
      </c>
      <c r="H940">
        <v>1859.2</v>
      </c>
      <c r="I940">
        <v>0</v>
      </c>
      <c r="J940" t="s">
        <v>2938</v>
      </c>
      <c r="K940" t="s">
        <v>50</v>
      </c>
    </row>
    <row r="941" spans="1:11">
      <c r="A941">
        <v>940</v>
      </c>
      <c r="D941" t="s">
        <v>3125</v>
      </c>
      <c r="E941" t="s">
        <v>51</v>
      </c>
      <c r="G941" t="s">
        <v>20</v>
      </c>
      <c r="H941">
        <v>4250.1000000000004</v>
      </c>
      <c r="I941">
        <v>0</v>
      </c>
      <c r="J941" t="s">
        <v>2938</v>
      </c>
      <c r="K941" t="s">
        <v>52</v>
      </c>
    </row>
    <row r="942" spans="1:11">
      <c r="A942">
        <v>941</v>
      </c>
      <c r="D942" t="s">
        <v>3125</v>
      </c>
      <c r="E942" t="s">
        <v>53</v>
      </c>
      <c r="G942" t="s">
        <v>20</v>
      </c>
      <c r="H942">
        <v>3907.123</v>
      </c>
      <c r="I942">
        <v>0</v>
      </c>
      <c r="J942" t="s">
        <v>2938</v>
      </c>
      <c r="K942" t="s">
        <v>54</v>
      </c>
    </row>
    <row r="943" spans="1:11">
      <c r="A943">
        <v>942</v>
      </c>
      <c r="D943" t="s">
        <v>3125</v>
      </c>
      <c r="E943" t="s">
        <v>1814</v>
      </c>
      <c r="G943" t="s">
        <v>17</v>
      </c>
      <c r="H943">
        <v>26460</v>
      </c>
      <c r="I943">
        <v>0</v>
      </c>
      <c r="J943" t="s">
        <v>2938</v>
      </c>
      <c r="K943" t="s">
        <v>1815</v>
      </c>
    </row>
    <row r="944" spans="1:11">
      <c r="A944">
        <v>943</v>
      </c>
      <c r="D944" t="s">
        <v>3125</v>
      </c>
      <c r="E944" t="s">
        <v>1816</v>
      </c>
      <c r="G944" t="s">
        <v>17</v>
      </c>
      <c r="H944">
        <v>13500</v>
      </c>
      <c r="I944">
        <v>0</v>
      </c>
      <c r="J944" t="s">
        <v>2938</v>
      </c>
      <c r="K944" t="s">
        <v>1817</v>
      </c>
    </row>
    <row r="945" spans="1:11">
      <c r="A945">
        <v>944</v>
      </c>
      <c r="D945" t="s">
        <v>3125</v>
      </c>
      <c r="E945" t="s">
        <v>1818</v>
      </c>
      <c r="G945" t="s">
        <v>17</v>
      </c>
      <c r="H945">
        <v>844</v>
      </c>
      <c r="I945">
        <v>0</v>
      </c>
      <c r="J945" t="s">
        <v>2938</v>
      </c>
      <c r="K945" t="s">
        <v>1819</v>
      </c>
    </row>
    <row r="946" spans="1:11">
      <c r="A946">
        <v>945</v>
      </c>
      <c r="D946" t="s">
        <v>3125</v>
      </c>
      <c r="E946" t="s">
        <v>1259</v>
      </c>
      <c r="G946" t="s">
        <v>17</v>
      </c>
      <c r="H946">
        <v>33</v>
      </c>
      <c r="I946">
        <v>0</v>
      </c>
      <c r="J946" t="s">
        <v>2938</v>
      </c>
      <c r="K946" t="s">
        <v>1260</v>
      </c>
    </row>
    <row r="947" spans="1:11">
      <c r="A947">
        <v>946</v>
      </c>
      <c r="D947" t="s">
        <v>3125</v>
      </c>
      <c r="E947" t="s">
        <v>1261</v>
      </c>
      <c r="G947" t="s">
        <v>17</v>
      </c>
      <c r="H947">
        <v>8</v>
      </c>
      <c r="I947">
        <v>0</v>
      </c>
      <c r="J947" t="s">
        <v>2938</v>
      </c>
      <c r="K947" t="s">
        <v>1262</v>
      </c>
    </row>
    <row r="948" spans="1:11">
      <c r="A948">
        <v>947</v>
      </c>
      <c r="D948" t="s">
        <v>3125</v>
      </c>
      <c r="E948" t="s">
        <v>448</v>
      </c>
      <c r="G948" t="s">
        <v>17</v>
      </c>
      <c r="H948">
        <v>1475</v>
      </c>
      <c r="I948">
        <v>0</v>
      </c>
      <c r="J948" t="s">
        <v>2938</v>
      </c>
      <c r="K948" t="s">
        <v>449</v>
      </c>
    </row>
    <row r="949" spans="1:11">
      <c r="A949">
        <v>948</v>
      </c>
      <c r="D949" t="s">
        <v>3125</v>
      </c>
      <c r="E949" t="s">
        <v>660</v>
      </c>
      <c r="G949" t="s">
        <v>7</v>
      </c>
      <c r="H949">
        <v>230</v>
      </c>
      <c r="I949">
        <v>0</v>
      </c>
      <c r="J949" t="s">
        <v>2938</v>
      </c>
      <c r="K949" t="s">
        <v>661</v>
      </c>
    </row>
    <row r="950" spans="1:11">
      <c r="A950">
        <v>949</v>
      </c>
      <c r="D950" t="s">
        <v>3125</v>
      </c>
      <c r="E950" t="s">
        <v>662</v>
      </c>
      <c r="G950" t="s">
        <v>7</v>
      </c>
      <c r="H950">
        <v>897.1</v>
      </c>
      <c r="I950">
        <v>0</v>
      </c>
      <c r="J950" t="s">
        <v>2938</v>
      </c>
      <c r="K950" t="s">
        <v>663</v>
      </c>
    </row>
    <row r="951" spans="1:11">
      <c r="A951">
        <v>950</v>
      </c>
      <c r="D951" t="s">
        <v>3125</v>
      </c>
      <c r="E951" t="s">
        <v>450</v>
      </c>
      <c r="G951" t="s">
        <v>17</v>
      </c>
      <c r="H951">
        <v>125</v>
      </c>
      <c r="I951">
        <v>0</v>
      </c>
      <c r="J951" t="s">
        <v>2938</v>
      </c>
      <c r="K951" t="s">
        <v>451</v>
      </c>
    </row>
    <row r="952" spans="1:11">
      <c r="A952">
        <v>951</v>
      </c>
      <c r="D952" t="s">
        <v>3125</v>
      </c>
      <c r="E952" t="s">
        <v>674</v>
      </c>
      <c r="G952" t="s">
        <v>7</v>
      </c>
      <c r="H952">
        <v>113.1</v>
      </c>
      <c r="I952">
        <v>0</v>
      </c>
      <c r="J952" t="s">
        <v>2938</v>
      </c>
      <c r="K952" t="s">
        <v>675</v>
      </c>
    </row>
    <row r="953" spans="1:11">
      <c r="A953">
        <v>952</v>
      </c>
      <c r="D953" t="s">
        <v>3125</v>
      </c>
      <c r="E953" t="s">
        <v>664</v>
      </c>
      <c r="G953" t="s">
        <v>7</v>
      </c>
      <c r="H953">
        <v>402</v>
      </c>
      <c r="I953">
        <v>0</v>
      </c>
      <c r="J953" t="s">
        <v>2938</v>
      </c>
      <c r="K953" t="s">
        <v>665</v>
      </c>
    </row>
    <row r="954" spans="1:11">
      <c r="A954">
        <v>953</v>
      </c>
      <c r="D954" t="s">
        <v>3125</v>
      </c>
      <c r="E954" t="s">
        <v>666</v>
      </c>
      <c r="G954" t="s">
        <v>7</v>
      </c>
      <c r="H954">
        <v>177.1</v>
      </c>
      <c r="I954">
        <v>0</v>
      </c>
      <c r="J954" t="s">
        <v>2938</v>
      </c>
      <c r="K954" t="s">
        <v>667</v>
      </c>
    </row>
    <row r="955" spans="1:11">
      <c r="A955">
        <v>954</v>
      </c>
      <c r="D955" t="s">
        <v>3125</v>
      </c>
      <c r="E955" t="s">
        <v>668</v>
      </c>
      <c r="G955" t="s">
        <v>7</v>
      </c>
      <c r="H955">
        <v>70</v>
      </c>
      <c r="I955">
        <v>0</v>
      </c>
      <c r="J955" t="s">
        <v>2938</v>
      </c>
      <c r="K955" t="s">
        <v>669</v>
      </c>
    </row>
    <row r="956" spans="1:11">
      <c r="A956">
        <v>955</v>
      </c>
      <c r="D956" t="s">
        <v>3125</v>
      </c>
      <c r="E956" t="s">
        <v>670</v>
      </c>
      <c r="G956" t="s">
        <v>7</v>
      </c>
      <c r="H956">
        <v>285.3</v>
      </c>
      <c r="I956">
        <v>0</v>
      </c>
      <c r="J956" t="s">
        <v>2938</v>
      </c>
      <c r="K956" t="s">
        <v>671</v>
      </c>
    </row>
    <row r="957" spans="1:11">
      <c r="A957">
        <v>956</v>
      </c>
      <c r="D957" t="s">
        <v>3125</v>
      </c>
      <c r="E957" t="s">
        <v>708</v>
      </c>
      <c r="G957" t="s">
        <v>7</v>
      </c>
      <c r="H957">
        <v>368.9</v>
      </c>
      <c r="I957">
        <v>0</v>
      </c>
      <c r="J957" t="s">
        <v>2938</v>
      </c>
      <c r="K957" t="s">
        <v>709</v>
      </c>
    </row>
    <row r="958" spans="1:11">
      <c r="A958">
        <v>957</v>
      </c>
      <c r="D958" t="s">
        <v>3125</v>
      </c>
      <c r="E958" t="s">
        <v>452</v>
      </c>
      <c r="G958" t="s">
        <v>17</v>
      </c>
      <c r="H958">
        <v>6900</v>
      </c>
      <c r="I958">
        <v>0</v>
      </c>
      <c r="J958" t="s">
        <v>2938</v>
      </c>
      <c r="K958" t="s">
        <v>453</v>
      </c>
    </row>
    <row r="959" spans="1:11">
      <c r="A959">
        <v>958</v>
      </c>
      <c r="D959" t="s">
        <v>3125</v>
      </c>
      <c r="E959" t="s">
        <v>718</v>
      </c>
      <c r="G959" t="s">
        <v>7</v>
      </c>
      <c r="H959">
        <v>465.3</v>
      </c>
      <c r="I959">
        <v>0</v>
      </c>
      <c r="J959" t="s">
        <v>2938</v>
      </c>
      <c r="K959" t="s">
        <v>719</v>
      </c>
    </row>
    <row r="960" spans="1:11">
      <c r="A960">
        <v>959</v>
      </c>
      <c r="D960" t="s">
        <v>3125</v>
      </c>
      <c r="E960" t="s">
        <v>710</v>
      </c>
      <c r="G960" t="s">
        <v>7</v>
      </c>
      <c r="H960">
        <v>333.1</v>
      </c>
      <c r="I960">
        <v>0</v>
      </c>
      <c r="J960" t="s">
        <v>2938</v>
      </c>
      <c r="K960" t="s">
        <v>711</v>
      </c>
    </row>
    <row r="961" spans="1:11">
      <c r="A961">
        <v>960</v>
      </c>
      <c r="D961" t="s">
        <v>3125</v>
      </c>
      <c r="E961" t="s">
        <v>454</v>
      </c>
      <c r="G961" t="s">
        <v>17</v>
      </c>
      <c r="H961">
        <v>1975</v>
      </c>
      <c r="I961">
        <v>0</v>
      </c>
      <c r="J961" t="s">
        <v>2938</v>
      </c>
      <c r="K961" t="s">
        <v>455</v>
      </c>
    </row>
    <row r="962" spans="1:11">
      <c r="A962">
        <v>961</v>
      </c>
      <c r="D962" t="s">
        <v>3125</v>
      </c>
      <c r="E962" t="s">
        <v>720</v>
      </c>
      <c r="G962" t="s">
        <v>7</v>
      </c>
      <c r="H962">
        <v>764.8</v>
      </c>
      <c r="I962">
        <v>0</v>
      </c>
      <c r="J962" t="s">
        <v>2938</v>
      </c>
      <c r="K962" t="s">
        <v>721</v>
      </c>
    </row>
    <row r="963" spans="1:11">
      <c r="A963">
        <v>962</v>
      </c>
      <c r="D963" t="s">
        <v>3125</v>
      </c>
      <c r="E963" t="s">
        <v>456</v>
      </c>
      <c r="G963" t="s">
        <v>17</v>
      </c>
      <c r="H963">
        <v>450</v>
      </c>
      <c r="I963">
        <v>0</v>
      </c>
      <c r="J963" t="s">
        <v>2938</v>
      </c>
      <c r="K963" t="s">
        <v>457</v>
      </c>
    </row>
    <row r="964" spans="1:11">
      <c r="A964">
        <v>963</v>
      </c>
      <c r="D964" t="s">
        <v>3125</v>
      </c>
      <c r="E964" t="s">
        <v>716</v>
      </c>
      <c r="G964" t="s">
        <v>7</v>
      </c>
      <c r="H964">
        <v>325.3</v>
      </c>
      <c r="I964">
        <v>0</v>
      </c>
      <c r="J964" t="s">
        <v>2938</v>
      </c>
      <c r="K964" t="s">
        <v>717</v>
      </c>
    </row>
    <row r="965" spans="1:11">
      <c r="A965">
        <v>964</v>
      </c>
      <c r="D965" t="s">
        <v>3125</v>
      </c>
      <c r="E965" t="s">
        <v>714</v>
      </c>
      <c r="G965" t="s">
        <v>7</v>
      </c>
      <c r="H965">
        <v>313.89999999999998</v>
      </c>
      <c r="I965">
        <v>0</v>
      </c>
      <c r="J965" t="s">
        <v>2938</v>
      </c>
      <c r="K965" t="s">
        <v>3151</v>
      </c>
    </row>
    <row r="966" spans="1:11">
      <c r="A966">
        <v>965</v>
      </c>
      <c r="D966" t="s">
        <v>3125</v>
      </c>
      <c r="E966" t="s">
        <v>458</v>
      </c>
      <c r="G966" t="s">
        <v>17</v>
      </c>
      <c r="H966">
        <v>1800</v>
      </c>
      <c r="I966">
        <v>0</v>
      </c>
      <c r="J966" t="s">
        <v>2938</v>
      </c>
      <c r="K966" t="s">
        <v>459</v>
      </c>
    </row>
    <row r="967" spans="1:11">
      <c r="A967">
        <v>966</v>
      </c>
      <c r="D967" t="s">
        <v>3125</v>
      </c>
      <c r="E967" t="s">
        <v>782</v>
      </c>
      <c r="G967" t="s">
        <v>7</v>
      </c>
      <c r="H967">
        <v>125.1</v>
      </c>
      <c r="I967">
        <v>0</v>
      </c>
      <c r="J967" t="s">
        <v>2938</v>
      </c>
      <c r="K967" t="s">
        <v>783</v>
      </c>
    </row>
    <row r="968" spans="1:11">
      <c r="A968">
        <v>967</v>
      </c>
      <c r="D968" t="s">
        <v>3125</v>
      </c>
      <c r="E968" t="s">
        <v>460</v>
      </c>
      <c r="G968" t="s">
        <v>17</v>
      </c>
      <c r="H968">
        <v>350</v>
      </c>
      <c r="I968">
        <v>0</v>
      </c>
      <c r="J968" t="s">
        <v>2938</v>
      </c>
      <c r="K968" t="s">
        <v>461</v>
      </c>
    </row>
    <row r="969" spans="1:11">
      <c r="A969">
        <v>968</v>
      </c>
      <c r="D969" t="s">
        <v>3125</v>
      </c>
      <c r="E969" t="s">
        <v>784</v>
      </c>
      <c r="G969" t="s">
        <v>7</v>
      </c>
      <c r="H969">
        <v>200</v>
      </c>
      <c r="I969">
        <v>0</v>
      </c>
      <c r="J969" t="s">
        <v>2938</v>
      </c>
      <c r="K969" t="s">
        <v>785</v>
      </c>
    </row>
    <row r="970" spans="1:11">
      <c r="A970">
        <v>969</v>
      </c>
      <c r="D970" t="s">
        <v>3125</v>
      </c>
      <c r="E970" t="s">
        <v>786</v>
      </c>
      <c r="G970" t="s">
        <v>7</v>
      </c>
      <c r="H970">
        <v>129.69999999999999</v>
      </c>
      <c r="I970">
        <v>0</v>
      </c>
      <c r="J970" t="s">
        <v>2938</v>
      </c>
      <c r="K970" t="s">
        <v>787</v>
      </c>
    </row>
    <row r="971" spans="1:11">
      <c r="A971">
        <v>970</v>
      </c>
      <c r="D971" t="s">
        <v>3125</v>
      </c>
      <c r="E971" t="s">
        <v>462</v>
      </c>
      <c r="G971" t="s">
        <v>17</v>
      </c>
      <c r="H971">
        <v>1000</v>
      </c>
      <c r="I971">
        <v>0</v>
      </c>
      <c r="J971" t="s">
        <v>2938</v>
      </c>
      <c r="K971" t="s">
        <v>463</v>
      </c>
    </row>
    <row r="972" spans="1:11">
      <c r="A972">
        <v>971</v>
      </c>
      <c r="D972" t="s">
        <v>3125</v>
      </c>
      <c r="E972" t="s">
        <v>464</v>
      </c>
      <c r="G972" t="s">
        <v>17</v>
      </c>
      <c r="H972">
        <v>1150</v>
      </c>
      <c r="I972">
        <v>0</v>
      </c>
      <c r="J972" t="s">
        <v>2938</v>
      </c>
      <c r="K972" t="s">
        <v>465</v>
      </c>
    </row>
    <row r="973" spans="1:11">
      <c r="A973">
        <v>972</v>
      </c>
      <c r="D973" t="s">
        <v>3125</v>
      </c>
      <c r="E973" t="s">
        <v>3583</v>
      </c>
      <c r="G973" t="s">
        <v>7</v>
      </c>
      <c r="H973">
        <v>2</v>
      </c>
      <c r="I973">
        <v>0</v>
      </c>
      <c r="J973" t="s">
        <v>2938</v>
      </c>
      <c r="K973" t="s">
        <v>3584</v>
      </c>
    </row>
    <row r="974" spans="1:11">
      <c r="A974">
        <v>973</v>
      </c>
      <c r="D974" t="s">
        <v>3125</v>
      </c>
      <c r="E974" t="s">
        <v>466</v>
      </c>
      <c r="G974" t="s">
        <v>17</v>
      </c>
      <c r="H974">
        <v>1450</v>
      </c>
      <c r="I974">
        <v>0</v>
      </c>
      <c r="J974" t="s">
        <v>2938</v>
      </c>
      <c r="K974" t="s">
        <v>467</v>
      </c>
    </row>
    <row r="975" spans="1:11">
      <c r="A975">
        <v>974</v>
      </c>
      <c r="D975" t="s">
        <v>3125</v>
      </c>
      <c r="E975" t="s">
        <v>468</v>
      </c>
      <c r="G975" t="s">
        <v>17</v>
      </c>
      <c r="H975">
        <v>700</v>
      </c>
      <c r="I975">
        <v>0</v>
      </c>
      <c r="J975" t="s">
        <v>2938</v>
      </c>
      <c r="K975" t="s">
        <v>469</v>
      </c>
    </row>
    <row r="976" spans="1:11">
      <c r="A976">
        <v>975</v>
      </c>
      <c r="D976" t="s">
        <v>3125</v>
      </c>
      <c r="E976" t="s">
        <v>840</v>
      </c>
      <c r="G976" t="s">
        <v>17</v>
      </c>
      <c r="H976">
        <v>2000</v>
      </c>
      <c r="I976">
        <v>0</v>
      </c>
      <c r="J976" t="s">
        <v>2938</v>
      </c>
      <c r="K976" t="s">
        <v>841</v>
      </c>
    </row>
    <row r="977" spans="1:11">
      <c r="A977">
        <v>976</v>
      </c>
      <c r="D977" t="s">
        <v>3125</v>
      </c>
      <c r="E977" t="s">
        <v>532</v>
      </c>
      <c r="G977" t="s">
        <v>7</v>
      </c>
      <c r="H977">
        <v>465</v>
      </c>
      <c r="I977">
        <v>0</v>
      </c>
      <c r="J977" t="s">
        <v>2938</v>
      </c>
      <c r="K977" t="s">
        <v>533</v>
      </c>
    </row>
    <row r="978" spans="1:11">
      <c r="A978">
        <v>977</v>
      </c>
      <c r="D978" t="s">
        <v>3125</v>
      </c>
      <c r="E978" t="s">
        <v>537</v>
      </c>
      <c r="G978" t="s">
        <v>7</v>
      </c>
      <c r="H978">
        <v>30</v>
      </c>
      <c r="I978">
        <v>0</v>
      </c>
      <c r="J978" t="s">
        <v>2938</v>
      </c>
      <c r="K978" t="s">
        <v>538</v>
      </c>
    </row>
    <row r="979" spans="1:11">
      <c r="A979">
        <v>978</v>
      </c>
      <c r="D979" t="s">
        <v>3125</v>
      </c>
      <c r="E979" t="s">
        <v>535</v>
      </c>
      <c r="G979" t="s">
        <v>7</v>
      </c>
      <c r="H979">
        <v>56</v>
      </c>
      <c r="I979">
        <v>0</v>
      </c>
      <c r="J979" t="s">
        <v>2938</v>
      </c>
      <c r="K979" t="s">
        <v>536</v>
      </c>
    </row>
    <row r="980" spans="1:11">
      <c r="A980">
        <v>979</v>
      </c>
      <c r="D980" t="s">
        <v>3125</v>
      </c>
      <c r="E980" t="s">
        <v>213</v>
      </c>
      <c r="G980" t="s">
        <v>7</v>
      </c>
      <c r="H980">
        <v>560</v>
      </c>
      <c r="I980">
        <v>0</v>
      </c>
      <c r="J980" t="s">
        <v>2938</v>
      </c>
      <c r="K980" t="s">
        <v>214</v>
      </c>
    </row>
    <row r="981" spans="1:11">
      <c r="A981">
        <v>980</v>
      </c>
      <c r="D981" t="s">
        <v>3125</v>
      </c>
      <c r="E981" t="s">
        <v>55</v>
      </c>
      <c r="G981" t="s">
        <v>7</v>
      </c>
      <c r="H981">
        <v>126.16</v>
      </c>
      <c r="I981">
        <v>0</v>
      </c>
      <c r="J981" t="s">
        <v>2938</v>
      </c>
      <c r="K981" t="s">
        <v>56</v>
      </c>
    </row>
    <row r="982" spans="1:11">
      <c r="A982">
        <v>981</v>
      </c>
      <c r="D982" t="s">
        <v>3125</v>
      </c>
      <c r="E982" t="s">
        <v>541</v>
      </c>
      <c r="G982" t="s">
        <v>7</v>
      </c>
      <c r="H982">
        <v>500</v>
      </c>
      <c r="I982">
        <v>0</v>
      </c>
      <c r="J982" t="s">
        <v>2938</v>
      </c>
      <c r="K982" t="s">
        <v>542</v>
      </c>
    </row>
    <row r="983" spans="1:11">
      <c r="A983">
        <v>982</v>
      </c>
      <c r="D983" t="s">
        <v>3125</v>
      </c>
      <c r="E983" t="s">
        <v>3426</v>
      </c>
      <c r="G983" t="s">
        <v>20</v>
      </c>
      <c r="H983">
        <v>14.7</v>
      </c>
      <c r="I983">
        <v>0</v>
      </c>
      <c r="J983" t="s">
        <v>2938</v>
      </c>
      <c r="K983" t="s">
        <v>3427</v>
      </c>
    </row>
    <row r="984" spans="1:11">
      <c r="A984">
        <v>983</v>
      </c>
      <c r="D984" t="s">
        <v>3125</v>
      </c>
      <c r="E984" t="s">
        <v>904</v>
      </c>
      <c r="G984" t="s">
        <v>17</v>
      </c>
      <c r="H984">
        <v>4500</v>
      </c>
      <c r="I984">
        <v>0</v>
      </c>
      <c r="J984" t="s">
        <v>2938</v>
      </c>
      <c r="K984" t="s">
        <v>905</v>
      </c>
    </row>
    <row r="985" spans="1:11">
      <c r="A985">
        <v>984</v>
      </c>
      <c r="D985" t="s">
        <v>3125</v>
      </c>
      <c r="E985" t="s">
        <v>1263</v>
      </c>
      <c r="G985" t="s">
        <v>17</v>
      </c>
      <c r="H985">
        <v>13</v>
      </c>
      <c r="I985">
        <v>0</v>
      </c>
      <c r="J985" t="s">
        <v>2938</v>
      </c>
      <c r="K985" t="s">
        <v>1264</v>
      </c>
    </row>
    <row r="986" spans="1:11">
      <c r="A986">
        <v>985</v>
      </c>
      <c r="D986" t="s">
        <v>3125</v>
      </c>
      <c r="E986" t="s">
        <v>1205</v>
      </c>
      <c r="G986" t="s">
        <v>17</v>
      </c>
      <c r="H986">
        <v>18</v>
      </c>
      <c r="I986">
        <v>0</v>
      </c>
      <c r="J986" t="s">
        <v>2938</v>
      </c>
      <c r="K986" t="s">
        <v>1206</v>
      </c>
    </row>
    <row r="987" spans="1:11">
      <c r="A987">
        <v>986</v>
      </c>
      <c r="D987" t="s">
        <v>3125</v>
      </c>
      <c r="E987" t="s">
        <v>1155</v>
      </c>
      <c r="G987" t="s">
        <v>17</v>
      </c>
      <c r="H987">
        <v>131</v>
      </c>
      <c r="I987">
        <v>0</v>
      </c>
      <c r="J987" t="s">
        <v>2938</v>
      </c>
      <c r="K987" t="s">
        <v>1156</v>
      </c>
    </row>
    <row r="988" spans="1:11">
      <c r="A988">
        <v>987</v>
      </c>
      <c r="D988" t="s">
        <v>3125</v>
      </c>
      <c r="E988" t="s">
        <v>559</v>
      </c>
      <c r="G988" t="s">
        <v>17</v>
      </c>
      <c r="H988">
        <v>2686</v>
      </c>
      <c r="I988">
        <v>0</v>
      </c>
      <c r="J988" t="s">
        <v>2938</v>
      </c>
      <c r="K988" t="s">
        <v>560</v>
      </c>
    </row>
    <row r="989" spans="1:11">
      <c r="A989">
        <v>988</v>
      </c>
      <c r="D989" t="s">
        <v>3125</v>
      </c>
      <c r="E989" t="s">
        <v>1496</v>
      </c>
      <c r="G989" t="s">
        <v>7</v>
      </c>
      <c r="H989">
        <v>2671.6</v>
      </c>
      <c r="I989">
        <v>0</v>
      </c>
      <c r="J989" t="s">
        <v>2938</v>
      </c>
      <c r="K989" t="s">
        <v>1497</v>
      </c>
    </row>
    <row r="990" spans="1:11">
      <c r="A990">
        <v>989</v>
      </c>
      <c r="D990" t="s">
        <v>3125</v>
      </c>
      <c r="E990" t="s">
        <v>1358</v>
      </c>
      <c r="G990" t="s">
        <v>7</v>
      </c>
      <c r="H990">
        <v>1821</v>
      </c>
      <c r="I990">
        <v>0</v>
      </c>
      <c r="J990" t="s">
        <v>2938</v>
      </c>
      <c r="K990" t="s">
        <v>1359</v>
      </c>
    </row>
    <row r="991" spans="1:11">
      <c r="A991">
        <v>990</v>
      </c>
      <c r="D991" t="s">
        <v>3125</v>
      </c>
      <c r="E991" t="s">
        <v>2351</v>
      </c>
      <c r="G991" t="s">
        <v>7</v>
      </c>
      <c r="H991">
        <v>101.2</v>
      </c>
      <c r="I991">
        <v>0</v>
      </c>
      <c r="J991" t="s">
        <v>2939</v>
      </c>
      <c r="K991" t="s">
        <v>2352</v>
      </c>
    </row>
    <row r="992" spans="1:11">
      <c r="A992">
        <v>991</v>
      </c>
      <c r="D992" t="s">
        <v>3125</v>
      </c>
      <c r="E992" t="s">
        <v>2351</v>
      </c>
      <c r="G992" t="s">
        <v>7</v>
      </c>
      <c r="H992">
        <v>251</v>
      </c>
      <c r="I992">
        <v>0</v>
      </c>
      <c r="J992" t="s">
        <v>2938</v>
      </c>
      <c r="K992" t="s">
        <v>2352</v>
      </c>
    </row>
    <row r="993" spans="1:11">
      <c r="A993">
        <v>992</v>
      </c>
      <c r="D993" t="s">
        <v>3125</v>
      </c>
      <c r="E993" t="s">
        <v>1364</v>
      </c>
      <c r="G993" t="s">
        <v>7</v>
      </c>
      <c r="H993">
        <v>102</v>
      </c>
      <c r="I993">
        <v>0</v>
      </c>
      <c r="J993" t="s">
        <v>2938</v>
      </c>
      <c r="K993" t="s">
        <v>1365</v>
      </c>
    </row>
    <row r="994" spans="1:11">
      <c r="A994">
        <v>993</v>
      </c>
      <c r="D994" t="s">
        <v>3125</v>
      </c>
      <c r="E994" t="s">
        <v>2359</v>
      </c>
      <c r="G994" t="s">
        <v>7</v>
      </c>
      <c r="H994">
        <v>2797.2</v>
      </c>
      <c r="I994">
        <v>0</v>
      </c>
      <c r="J994" t="s">
        <v>2938</v>
      </c>
      <c r="K994" t="s">
        <v>2360</v>
      </c>
    </row>
    <row r="995" spans="1:11">
      <c r="A995">
        <v>994</v>
      </c>
      <c r="D995" t="s">
        <v>3125</v>
      </c>
      <c r="E995" t="s">
        <v>2353</v>
      </c>
      <c r="G995" t="s">
        <v>7</v>
      </c>
      <c r="H995">
        <v>263</v>
      </c>
      <c r="I995">
        <v>0</v>
      </c>
      <c r="J995" t="s">
        <v>2938</v>
      </c>
      <c r="K995" t="s">
        <v>2354</v>
      </c>
    </row>
    <row r="996" spans="1:11">
      <c r="A996">
        <v>995</v>
      </c>
      <c r="D996" t="s">
        <v>3125</v>
      </c>
      <c r="E996" t="s">
        <v>2361</v>
      </c>
      <c r="G996" t="s">
        <v>7</v>
      </c>
      <c r="H996">
        <v>262.5</v>
      </c>
      <c r="I996">
        <v>0</v>
      </c>
      <c r="J996" t="s">
        <v>2940</v>
      </c>
      <c r="K996" t="s">
        <v>2362</v>
      </c>
    </row>
    <row r="997" spans="1:11">
      <c r="A997">
        <v>996</v>
      </c>
      <c r="D997" t="s">
        <v>3125</v>
      </c>
      <c r="E997" t="s">
        <v>2361</v>
      </c>
      <c r="G997" t="s">
        <v>7</v>
      </c>
      <c r="H997">
        <v>2300.75</v>
      </c>
      <c r="I997">
        <v>0</v>
      </c>
      <c r="J997" t="s">
        <v>2938</v>
      </c>
      <c r="K997" t="s">
        <v>2362</v>
      </c>
    </row>
    <row r="998" spans="1:11">
      <c r="A998">
        <v>997</v>
      </c>
      <c r="D998" t="s">
        <v>3125</v>
      </c>
      <c r="E998" t="s">
        <v>2355</v>
      </c>
      <c r="G998" t="s">
        <v>7</v>
      </c>
      <c r="H998">
        <v>102.5</v>
      </c>
      <c r="I998">
        <v>0</v>
      </c>
      <c r="J998" t="s">
        <v>2939</v>
      </c>
      <c r="K998" t="s">
        <v>2356</v>
      </c>
    </row>
    <row r="999" spans="1:11">
      <c r="A999">
        <v>998</v>
      </c>
      <c r="D999" t="s">
        <v>3125</v>
      </c>
      <c r="E999" t="s">
        <v>2355</v>
      </c>
      <c r="G999" t="s">
        <v>7</v>
      </c>
      <c r="H999">
        <v>443.5</v>
      </c>
      <c r="I999">
        <v>0</v>
      </c>
      <c r="J999" t="s">
        <v>2938</v>
      </c>
      <c r="K999" t="s">
        <v>2356</v>
      </c>
    </row>
    <row r="1000" spans="1:11">
      <c r="A1000">
        <v>999</v>
      </c>
      <c r="D1000" t="s">
        <v>3125</v>
      </c>
      <c r="E1000" t="s">
        <v>2363</v>
      </c>
      <c r="G1000" t="s">
        <v>7</v>
      </c>
      <c r="H1000">
        <v>2489.1</v>
      </c>
      <c r="I1000">
        <v>0</v>
      </c>
      <c r="J1000" t="s">
        <v>2938</v>
      </c>
      <c r="K1000" t="s">
        <v>2364</v>
      </c>
    </row>
    <row r="1001" spans="1:11">
      <c r="A1001">
        <v>1000</v>
      </c>
      <c r="D1001" t="s">
        <v>3125</v>
      </c>
      <c r="E1001" t="s">
        <v>1988</v>
      </c>
      <c r="G1001" t="s">
        <v>7</v>
      </c>
      <c r="H1001">
        <v>291.89999999999998</v>
      </c>
      <c r="I1001">
        <v>0</v>
      </c>
      <c r="J1001" t="s">
        <v>2938</v>
      </c>
      <c r="K1001" t="s">
        <v>1989</v>
      </c>
    </row>
    <row r="1002" spans="1:11">
      <c r="A1002">
        <v>1001</v>
      </c>
      <c r="D1002" t="s">
        <v>3125</v>
      </c>
      <c r="E1002" t="s">
        <v>1990</v>
      </c>
      <c r="G1002" t="s">
        <v>7</v>
      </c>
      <c r="H1002">
        <v>298.60000000000002</v>
      </c>
      <c r="I1002">
        <v>0</v>
      </c>
      <c r="J1002" t="s">
        <v>2938</v>
      </c>
      <c r="K1002" t="s">
        <v>1991</v>
      </c>
    </row>
    <row r="1003" spans="1:11">
      <c r="A1003">
        <v>1002</v>
      </c>
      <c r="D1003" t="s">
        <v>3125</v>
      </c>
      <c r="E1003" t="s">
        <v>1360</v>
      </c>
      <c r="G1003" t="s">
        <v>7</v>
      </c>
      <c r="H1003">
        <v>816</v>
      </c>
      <c r="I1003">
        <v>0</v>
      </c>
      <c r="J1003" t="s">
        <v>2938</v>
      </c>
      <c r="K1003" t="s">
        <v>1361</v>
      </c>
    </row>
    <row r="1004" spans="1:11">
      <c r="A1004">
        <v>1003</v>
      </c>
      <c r="D1004" t="s">
        <v>3125</v>
      </c>
      <c r="E1004" t="s">
        <v>2357</v>
      </c>
      <c r="G1004" t="s">
        <v>7</v>
      </c>
      <c r="H1004">
        <v>101.2</v>
      </c>
      <c r="I1004">
        <v>0</v>
      </c>
      <c r="J1004" t="s">
        <v>2939</v>
      </c>
      <c r="K1004" t="s">
        <v>2358</v>
      </c>
    </row>
    <row r="1005" spans="1:11">
      <c r="A1005">
        <v>1004</v>
      </c>
      <c r="D1005" t="s">
        <v>3125</v>
      </c>
      <c r="E1005" t="s">
        <v>2357</v>
      </c>
      <c r="G1005" t="s">
        <v>7</v>
      </c>
      <c r="H1005">
        <v>468</v>
      </c>
      <c r="I1005">
        <v>0</v>
      </c>
      <c r="J1005" t="s">
        <v>2938</v>
      </c>
      <c r="K1005" t="s">
        <v>2358</v>
      </c>
    </row>
    <row r="1006" spans="1:11">
      <c r="A1006">
        <v>1005</v>
      </c>
      <c r="D1006" t="s">
        <v>3125</v>
      </c>
      <c r="E1006" t="s">
        <v>1366</v>
      </c>
      <c r="G1006" t="s">
        <v>7</v>
      </c>
      <c r="H1006">
        <v>578.79999999999995</v>
      </c>
      <c r="I1006">
        <v>0</v>
      </c>
      <c r="J1006" t="s">
        <v>2938</v>
      </c>
      <c r="K1006" t="s">
        <v>1367</v>
      </c>
    </row>
    <row r="1007" spans="1:11">
      <c r="A1007">
        <v>1006</v>
      </c>
      <c r="D1007" t="s">
        <v>3125</v>
      </c>
      <c r="E1007" t="s">
        <v>2365</v>
      </c>
      <c r="G1007" t="s">
        <v>7</v>
      </c>
      <c r="H1007">
        <v>1596.1</v>
      </c>
      <c r="I1007">
        <v>0</v>
      </c>
      <c r="J1007" t="s">
        <v>2938</v>
      </c>
      <c r="K1007" t="s">
        <v>2366</v>
      </c>
    </row>
    <row r="1008" spans="1:11">
      <c r="A1008">
        <v>1007</v>
      </c>
      <c r="D1008" t="s">
        <v>3125</v>
      </c>
      <c r="E1008" t="s">
        <v>1362</v>
      </c>
      <c r="G1008" t="s">
        <v>7</v>
      </c>
      <c r="H1008">
        <v>648</v>
      </c>
      <c r="I1008">
        <v>0</v>
      </c>
      <c r="J1008" t="s">
        <v>2938</v>
      </c>
      <c r="K1008" t="s">
        <v>1363</v>
      </c>
    </row>
    <row r="1009" spans="1:11">
      <c r="A1009">
        <v>1008</v>
      </c>
      <c r="D1009" t="s">
        <v>3125</v>
      </c>
      <c r="E1009" t="s">
        <v>1368</v>
      </c>
      <c r="G1009" t="s">
        <v>7</v>
      </c>
      <c r="H1009">
        <v>445.1</v>
      </c>
      <c r="I1009">
        <v>0</v>
      </c>
      <c r="J1009" t="s">
        <v>2938</v>
      </c>
      <c r="K1009" t="s">
        <v>1369</v>
      </c>
    </row>
    <row r="1010" spans="1:11">
      <c r="A1010">
        <v>1009</v>
      </c>
      <c r="D1010" t="s">
        <v>3125</v>
      </c>
      <c r="E1010" t="s">
        <v>2859</v>
      </c>
      <c r="G1010" t="s">
        <v>7</v>
      </c>
      <c r="H1010">
        <v>900</v>
      </c>
      <c r="I1010">
        <v>0</v>
      </c>
      <c r="J1010" t="s">
        <v>2940</v>
      </c>
      <c r="K1010" t="s">
        <v>2860</v>
      </c>
    </row>
    <row r="1011" spans="1:11">
      <c r="A1011">
        <v>1010</v>
      </c>
      <c r="D1011" t="s">
        <v>3125</v>
      </c>
      <c r="E1011" t="s">
        <v>2859</v>
      </c>
      <c r="G1011" t="s">
        <v>7</v>
      </c>
      <c r="H1011">
        <v>6500</v>
      </c>
      <c r="I1011">
        <v>0</v>
      </c>
      <c r="J1011" t="s">
        <v>2938</v>
      </c>
      <c r="K1011" t="s">
        <v>2860</v>
      </c>
    </row>
    <row r="1012" spans="1:11">
      <c r="A1012">
        <v>1011</v>
      </c>
      <c r="D1012" t="s">
        <v>3125</v>
      </c>
      <c r="E1012" t="s">
        <v>2755</v>
      </c>
      <c r="G1012" t="s">
        <v>7</v>
      </c>
      <c r="H1012">
        <v>1757.3</v>
      </c>
      <c r="I1012">
        <v>0</v>
      </c>
      <c r="J1012" t="s">
        <v>2938</v>
      </c>
      <c r="K1012" t="s">
        <v>2756</v>
      </c>
    </row>
    <row r="1013" spans="1:11">
      <c r="A1013">
        <v>1012</v>
      </c>
      <c r="D1013" t="s">
        <v>3125</v>
      </c>
      <c r="E1013" t="s">
        <v>2751</v>
      </c>
      <c r="G1013" t="s">
        <v>7</v>
      </c>
      <c r="H1013">
        <v>1465.2</v>
      </c>
      <c r="I1013">
        <v>0</v>
      </c>
      <c r="J1013" t="s">
        <v>2938</v>
      </c>
      <c r="K1013" t="s">
        <v>2752</v>
      </c>
    </row>
    <row r="1014" spans="1:11">
      <c r="A1014">
        <v>1013</v>
      </c>
      <c r="D1014" t="s">
        <v>3125</v>
      </c>
      <c r="E1014" t="s">
        <v>2753</v>
      </c>
      <c r="G1014" t="s">
        <v>7</v>
      </c>
      <c r="H1014">
        <v>2066</v>
      </c>
      <c r="I1014">
        <v>0</v>
      </c>
      <c r="J1014" t="s">
        <v>2938</v>
      </c>
      <c r="K1014" t="s">
        <v>2754</v>
      </c>
    </row>
    <row r="1015" spans="1:11">
      <c r="A1015">
        <v>1014</v>
      </c>
      <c r="D1015" t="s">
        <v>3125</v>
      </c>
      <c r="E1015" t="s">
        <v>2907</v>
      </c>
      <c r="G1015" t="s">
        <v>7</v>
      </c>
      <c r="H1015">
        <v>1377.1</v>
      </c>
      <c r="I1015">
        <v>0</v>
      </c>
      <c r="J1015" t="s">
        <v>2938</v>
      </c>
      <c r="K1015" t="s">
        <v>2908</v>
      </c>
    </row>
    <row r="1016" spans="1:11">
      <c r="A1016">
        <v>1015</v>
      </c>
      <c r="D1016" t="s">
        <v>3125</v>
      </c>
      <c r="E1016" t="s">
        <v>2769</v>
      </c>
      <c r="G1016" t="s">
        <v>7</v>
      </c>
      <c r="H1016">
        <v>6104</v>
      </c>
      <c r="I1016">
        <v>0</v>
      </c>
      <c r="J1016" t="s">
        <v>2938</v>
      </c>
      <c r="K1016" t="s">
        <v>2770</v>
      </c>
    </row>
    <row r="1017" spans="1:11">
      <c r="A1017">
        <v>1016</v>
      </c>
      <c r="D1017" t="s">
        <v>3125</v>
      </c>
      <c r="E1017" t="s">
        <v>2911</v>
      </c>
      <c r="G1017" t="s">
        <v>7</v>
      </c>
      <c r="H1017">
        <v>825.2</v>
      </c>
      <c r="I1017">
        <v>0</v>
      </c>
      <c r="J1017" t="s">
        <v>2938</v>
      </c>
      <c r="K1017" t="s">
        <v>2912</v>
      </c>
    </row>
    <row r="1018" spans="1:11">
      <c r="A1018">
        <v>1017</v>
      </c>
      <c r="D1018" t="s">
        <v>3125</v>
      </c>
      <c r="E1018" t="s">
        <v>2771</v>
      </c>
      <c r="G1018" t="s">
        <v>7</v>
      </c>
      <c r="H1018">
        <v>233.3</v>
      </c>
      <c r="I1018">
        <v>0</v>
      </c>
      <c r="J1018" t="s">
        <v>2938</v>
      </c>
      <c r="K1018" t="s">
        <v>2772</v>
      </c>
    </row>
    <row r="1019" spans="1:11">
      <c r="A1019">
        <v>1018</v>
      </c>
      <c r="D1019" t="s">
        <v>3125</v>
      </c>
      <c r="E1019" t="s">
        <v>2767</v>
      </c>
      <c r="G1019" t="s">
        <v>7</v>
      </c>
      <c r="H1019">
        <v>1476.4</v>
      </c>
      <c r="I1019">
        <v>0</v>
      </c>
      <c r="J1019" t="s">
        <v>2938</v>
      </c>
      <c r="K1019" t="s">
        <v>2768</v>
      </c>
    </row>
    <row r="1020" spans="1:11">
      <c r="A1020">
        <v>1019</v>
      </c>
      <c r="D1020" t="s">
        <v>3125</v>
      </c>
      <c r="E1020" t="s">
        <v>2763</v>
      </c>
      <c r="G1020" t="s">
        <v>7</v>
      </c>
      <c r="H1020">
        <v>1075.8</v>
      </c>
      <c r="I1020">
        <v>0</v>
      </c>
      <c r="J1020" t="s">
        <v>2938</v>
      </c>
      <c r="K1020" t="s">
        <v>2764</v>
      </c>
    </row>
    <row r="1021" spans="1:11">
      <c r="A1021">
        <v>1020</v>
      </c>
      <c r="D1021" t="s">
        <v>3125</v>
      </c>
      <c r="E1021" t="s">
        <v>2765</v>
      </c>
      <c r="G1021" t="s">
        <v>7</v>
      </c>
      <c r="H1021">
        <v>1315.8</v>
      </c>
      <c r="I1021">
        <v>0</v>
      </c>
      <c r="J1021" t="s">
        <v>2938</v>
      </c>
      <c r="K1021" t="s">
        <v>2766</v>
      </c>
    </row>
    <row r="1022" spans="1:11">
      <c r="A1022">
        <v>1021</v>
      </c>
      <c r="D1022" t="s">
        <v>3125</v>
      </c>
      <c r="E1022" t="s">
        <v>2909</v>
      </c>
      <c r="G1022" t="s">
        <v>7</v>
      </c>
      <c r="H1022">
        <v>1416.2</v>
      </c>
      <c r="I1022">
        <v>0</v>
      </c>
      <c r="J1022" t="s">
        <v>2938</v>
      </c>
      <c r="K1022" t="s">
        <v>2910</v>
      </c>
    </row>
    <row r="1023" spans="1:11">
      <c r="A1023">
        <v>1022</v>
      </c>
      <c r="D1023" t="s">
        <v>3125</v>
      </c>
      <c r="E1023" t="s">
        <v>2773</v>
      </c>
      <c r="G1023" t="s">
        <v>7</v>
      </c>
      <c r="H1023">
        <v>7878.6</v>
      </c>
      <c r="I1023">
        <v>0</v>
      </c>
      <c r="J1023" t="s">
        <v>2938</v>
      </c>
      <c r="K1023" t="s">
        <v>2774</v>
      </c>
    </row>
    <row r="1024" spans="1:11">
      <c r="A1024">
        <v>1023</v>
      </c>
      <c r="D1024" t="s">
        <v>3125</v>
      </c>
      <c r="E1024" t="s">
        <v>2801</v>
      </c>
      <c r="G1024" t="s">
        <v>17</v>
      </c>
      <c r="H1024">
        <v>1225</v>
      </c>
      <c r="I1024">
        <v>0</v>
      </c>
      <c r="J1024" t="s">
        <v>2938</v>
      </c>
      <c r="K1024" t="s">
        <v>2802</v>
      </c>
    </row>
    <row r="1025" spans="1:11">
      <c r="A1025">
        <v>1024</v>
      </c>
      <c r="D1025" t="s">
        <v>3125</v>
      </c>
      <c r="E1025" t="s">
        <v>2896</v>
      </c>
      <c r="G1025" t="s">
        <v>17</v>
      </c>
      <c r="H1025">
        <v>2527</v>
      </c>
      <c r="I1025">
        <v>0</v>
      </c>
      <c r="J1025" t="s">
        <v>2938</v>
      </c>
      <c r="K1025" t="s">
        <v>2897</v>
      </c>
    </row>
    <row r="1026" spans="1:11">
      <c r="A1026">
        <v>1025</v>
      </c>
      <c r="D1026" t="s">
        <v>3125</v>
      </c>
      <c r="E1026" t="s">
        <v>2367</v>
      </c>
      <c r="G1026" t="s">
        <v>17</v>
      </c>
      <c r="H1026">
        <v>1900</v>
      </c>
      <c r="I1026">
        <v>0</v>
      </c>
      <c r="J1026" t="s">
        <v>2938</v>
      </c>
      <c r="K1026" t="s">
        <v>3003</v>
      </c>
    </row>
    <row r="1027" spans="1:11">
      <c r="A1027">
        <v>1026</v>
      </c>
      <c r="D1027" t="s">
        <v>3125</v>
      </c>
      <c r="E1027" t="s">
        <v>59</v>
      </c>
      <c r="G1027" t="s">
        <v>17</v>
      </c>
      <c r="H1027">
        <v>1475</v>
      </c>
      <c r="I1027">
        <v>0</v>
      </c>
      <c r="J1027" t="s">
        <v>2938</v>
      </c>
      <c r="K1027" t="s">
        <v>60</v>
      </c>
    </row>
    <row r="1028" spans="1:11">
      <c r="A1028">
        <v>1027</v>
      </c>
      <c r="D1028" t="s">
        <v>3125</v>
      </c>
      <c r="E1028" t="s">
        <v>1275</v>
      </c>
      <c r="G1028" t="s">
        <v>17</v>
      </c>
      <c r="H1028">
        <v>15</v>
      </c>
      <c r="I1028">
        <v>0</v>
      </c>
      <c r="J1028" t="s">
        <v>2938</v>
      </c>
      <c r="K1028" t="s">
        <v>1276</v>
      </c>
    </row>
    <row r="1029" spans="1:11">
      <c r="A1029">
        <v>1028</v>
      </c>
      <c r="D1029" t="s">
        <v>3125</v>
      </c>
      <c r="E1029" t="s">
        <v>1277</v>
      </c>
      <c r="G1029" t="s">
        <v>17</v>
      </c>
      <c r="H1029">
        <v>8</v>
      </c>
      <c r="I1029">
        <v>0</v>
      </c>
      <c r="J1029" t="s">
        <v>2938</v>
      </c>
      <c r="K1029" t="s">
        <v>1278</v>
      </c>
    </row>
    <row r="1030" spans="1:11">
      <c r="A1030">
        <v>1029</v>
      </c>
      <c r="D1030" t="s">
        <v>3125</v>
      </c>
      <c r="E1030" t="s">
        <v>1283</v>
      </c>
      <c r="G1030" t="s">
        <v>17</v>
      </c>
      <c r="H1030">
        <v>18</v>
      </c>
      <c r="I1030">
        <v>0</v>
      </c>
      <c r="J1030" t="s">
        <v>2938</v>
      </c>
      <c r="K1030" t="s">
        <v>1284</v>
      </c>
    </row>
    <row r="1031" spans="1:11">
      <c r="A1031">
        <v>1030</v>
      </c>
      <c r="D1031" t="s">
        <v>3125</v>
      </c>
      <c r="E1031" t="s">
        <v>1279</v>
      </c>
      <c r="G1031" t="s">
        <v>17</v>
      </c>
      <c r="H1031">
        <v>8</v>
      </c>
      <c r="I1031">
        <v>0</v>
      </c>
      <c r="J1031" t="s">
        <v>2938</v>
      </c>
      <c r="K1031" t="s">
        <v>1280</v>
      </c>
    </row>
    <row r="1032" spans="1:11">
      <c r="A1032">
        <v>1031</v>
      </c>
      <c r="D1032" t="s">
        <v>3125</v>
      </c>
      <c r="E1032" t="s">
        <v>337</v>
      </c>
      <c r="G1032" t="s">
        <v>17</v>
      </c>
      <c r="H1032">
        <v>99</v>
      </c>
      <c r="I1032">
        <v>0</v>
      </c>
      <c r="J1032" t="s">
        <v>2938</v>
      </c>
      <c r="K1032" t="s">
        <v>338</v>
      </c>
    </row>
    <row r="1033" spans="1:11">
      <c r="A1033">
        <v>1032</v>
      </c>
      <c r="D1033" t="s">
        <v>3125</v>
      </c>
      <c r="E1033" t="s">
        <v>1257</v>
      </c>
      <c r="G1033" t="s">
        <v>17</v>
      </c>
      <c r="H1033">
        <v>1</v>
      </c>
      <c r="I1033">
        <v>0</v>
      </c>
      <c r="J1033" t="s">
        <v>2938</v>
      </c>
      <c r="K1033" t="s">
        <v>1258</v>
      </c>
    </row>
    <row r="1034" spans="1:11">
      <c r="A1034">
        <v>1033</v>
      </c>
      <c r="D1034" t="s">
        <v>3125</v>
      </c>
      <c r="E1034" t="s">
        <v>3276</v>
      </c>
      <c r="G1034" t="s">
        <v>7</v>
      </c>
      <c r="H1034">
        <v>66</v>
      </c>
      <c r="I1034">
        <v>0</v>
      </c>
      <c r="J1034" t="s">
        <v>2938</v>
      </c>
      <c r="K1034" t="s">
        <v>3277</v>
      </c>
    </row>
    <row r="1035" spans="1:11">
      <c r="A1035">
        <v>1034</v>
      </c>
      <c r="D1035" t="s">
        <v>3125</v>
      </c>
      <c r="E1035" t="s">
        <v>3278</v>
      </c>
      <c r="G1035" t="s">
        <v>7</v>
      </c>
      <c r="H1035">
        <v>2970.8</v>
      </c>
      <c r="I1035">
        <v>0</v>
      </c>
      <c r="J1035" t="s">
        <v>2938</v>
      </c>
      <c r="K1035" t="s">
        <v>3279</v>
      </c>
    </row>
    <row r="1036" spans="1:11">
      <c r="A1036">
        <v>1035</v>
      </c>
      <c r="D1036" t="s">
        <v>3125</v>
      </c>
      <c r="E1036" t="s">
        <v>1764</v>
      </c>
      <c r="G1036" t="s">
        <v>17</v>
      </c>
      <c r="H1036">
        <v>1</v>
      </c>
      <c r="I1036">
        <v>0</v>
      </c>
      <c r="J1036" t="s">
        <v>2938</v>
      </c>
      <c r="K1036" t="s">
        <v>1765</v>
      </c>
    </row>
    <row r="1037" spans="1:11">
      <c r="A1037">
        <v>1036</v>
      </c>
      <c r="D1037" t="s">
        <v>3125</v>
      </c>
      <c r="E1037" t="s">
        <v>287</v>
      </c>
      <c r="G1037" t="s">
        <v>289</v>
      </c>
      <c r="H1037">
        <v>4790</v>
      </c>
      <c r="I1037">
        <v>0</v>
      </c>
      <c r="J1037" t="s">
        <v>2938</v>
      </c>
      <c r="K1037" t="s">
        <v>288</v>
      </c>
    </row>
    <row r="1038" spans="1:11">
      <c r="A1038">
        <v>1037</v>
      </c>
      <c r="D1038" t="s">
        <v>3125</v>
      </c>
      <c r="E1038" t="s">
        <v>1370</v>
      </c>
      <c r="G1038" t="s">
        <v>7</v>
      </c>
      <c r="H1038">
        <v>1539</v>
      </c>
      <c r="I1038">
        <v>0</v>
      </c>
      <c r="J1038" t="s">
        <v>2938</v>
      </c>
      <c r="K1038" t="s">
        <v>1371</v>
      </c>
    </row>
    <row r="1039" spans="1:11">
      <c r="A1039">
        <v>1038</v>
      </c>
      <c r="D1039" t="s">
        <v>3125</v>
      </c>
      <c r="E1039" t="s">
        <v>1372</v>
      </c>
      <c r="G1039" t="s">
        <v>7</v>
      </c>
      <c r="H1039">
        <v>185</v>
      </c>
      <c r="I1039">
        <v>0</v>
      </c>
      <c r="J1039" t="s">
        <v>2938</v>
      </c>
      <c r="K1039" t="s">
        <v>1373</v>
      </c>
    </row>
    <row r="1040" spans="1:11">
      <c r="A1040">
        <v>1039</v>
      </c>
      <c r="D1040" t="s">
        <v>3125</v>
      </c>
      <c r="E1040" t="s">
        <v>1372</v>
      </c>
      <c r="G1040" t="s">
        <v>7</v>
      </c>
      <c r="H1040">
        <v>401</v>
      </c>
      <c r="I1040">
        <v>0</v>
      </c>
      <c r="J1040" t="s">
        <v>2940</v>
      </c>
      <c r="K1040" t="s">
        <v>1373</v>
      </c>
    </row>
    <row r="1041" spans="1:11">
      <c r="A1041">
        <v>1040</v>
      </c>
      <c r="D1041" t="s">
        <v>3125</v>
      </c>
      <c r="E1041" t="s">
        <v>3259</v>
      </c>
      <c r="G1041" t="s">
        <v>17</v>
      </c>
      <c r="H1041">
        <v>1280</v>
      </c>
      <c r="I1041">
        <v>0</v>
      </c>
      <c r="J1041" t="s">
        <v>2938</v>
      </c>
      <c r="K1041" t="s">
        <v>3260</v>
      </c>
    </row>
    <row r="1042" spans="1:11">
      <c r="A1042">
        <v>1041</v>
      </c>
      <c r="D1042" t="s">
        <v>3125</v>
      </c>
      <c r="E1042" t="s">
        <v>573</v>
      </c>
      <c r="G1042" t="s">
        <v>17</v>
      </c>
      <c r="H1042">
        <v>720</v>
      </c>
      <c r="I1042">
        <v>0</v>
      </c>
      <c r="J1042" t="s">
        <v>2938</v>
      </c>
      <c r="K1042" t="s">
        <v>574</v>
      </c>
    </row>
    <row r="1043" spans="1:11">
      <c r="A1043">
        <v>1042</v>
      </c>
      <c r="D1043" t="s">
        <v>3125</v>
      </c>
      <c r="E1043" t="s">
        <v>581</v>
      </c>
      <c r="G1043" t="s">
        <v>17</v>
      </c>
      <c r="H1043">
        <v>1205</v>
      </c>
      <c r="I1043">
        <v>0</v>
      </c>
      <c r="J1043" t="s">
        <v>2938</v>
      </c>
      <c r="K1043" t="s">
        <v>582</v>
      </c>
    </row>
    <row r="1044" spans="1:11">
      <c r="A1044">
        <v>1043</v>
      </c>
      <c r="D1044" t="s">
        <v>3125</v>
      </c>
      <c r="E1044" t="s">
        <v>1378</v>
      </c>
      <c r="G1044" t="s">
        <v>7</v>
      </c>
      <c r="H1044">
        <v>66.599999999999994</v>
      </c>
      <c r="I1044">
        <v>0</v>
      </c>
      <c r="J1044" t="s">
        <v>2938</v>
      </c>
      <c r="K1044" t="s">
        <v>1379</v>
      </c>
    </row>
    <row r="1045" spans="1:11">
      <c r="A1045">
        <v>1044</v>
      </c>
      <c r="D1045" t="s">
        <v>3125</v>
      </c>
      <c r="E1045" t="s">
        <v>1536</v>
      </c>
      <c r="G1045" t="s">
        <v>135</v>
      </c>
      <c r="H1045">
        <v>5500</v>
      </c>
      <c r="I1045">
        <v>0</v>
      </c>
      <c r="J1045" t="s">
        <v>2938</v>
      </c>
      <c r="K1045" t="s">
        <v>1537</v>
      </c>
    </row>
    <row r="1046" spans="1:11">
      <c r="A1046">
        <v>1045</v>
      </c>
      <c r="D1046" t="s">
        <v>3125</v>
      </c>
      <c r="E1046" t="s">
        <v>306</v>
      </c>
      <c r="G1046" t="s">
        <v>17</v>
      </c>
      <c r="H1046">
        <v>230</v>
      </c>
      <c r="I1046">
        <v>0</v>
      </c>
      <c r="J1046" t="s">
        <v>2938</v>
      </c>
      <c r="K1046" t="s">
        <v>307</v>
      </c>
    </row>
    <row r="1047" spans="1:11">
      <c r="A1047">
        <v>1046</v>
      </c>
      <c r="D1047" t="s">
        <v>3125</v>
      </c>
      <c r="E1047" t="s">
        <v>577</v>
      </c>
      <c r="G1047" t="s">
        <v>17</v>
      </c>
      <c r="H1047">
        <v>100</v>
      </c>
      <c r="I1047">
        <v>0</v>
      </c>
      <c r="J1047" t="s">
        <v>2938</v>
      </c>
      <c r="K1047" t="s">
        <v>578</v>
      </c>
    </row>
    <row r="1048" spans="1:11">
      <c r="A1048">
        <v>1047</v>
      </c>
      <c r="D1048" t="s">
        <v>3125</v>
      </c>
      <c r="E1048" t="s">
        <v>2315</v>
      </c>
      <c r="G1048" t="s">
        <v>17</v>
      </c>
      <c r="H1048">
        <v>2500</v>
      </c>
      <c r="I1048">
        <v>0</v>
      </c>
      <c r="J1048" t="s">
        <v>2938</v>
      </c>
      <c r="K1048" t="s">
        <v>2316</v>
      </c>
    </row>
    <row r="1049" spans="1:11">
      <c r="A1049">
        <v>1048</v>
      </c>
      <c r="D1049" t="s">
        <v>3125</v>
      </c>
      <c r="E1049" t="s">
        <v>308</v>
      </c>
      <c r="G1049" t="s">
        <v>17</v>
      </c>
      <c r="H1049">
        <v>694</v>
      </c>
      <c r="I1049">
        <v>0</v>
      </c>
      <c r="J1049" t="s">
        <v>2938</v>
      </c>
      <c r="K1049" t="s">
        <v>309</v>
      </c>
    </row>
    <row r="1050" spans="1:11">
      <c r="A1050">
        <v>1049</v>
      </c>
      <c r="D1050" t="s">
        <v>3125</v>
      </c>
      <c r="E1050" t="s">
        <v>2884</v>
      </c>
      <c r="G1050" t="s">
        <v>17</v>
      </c>
      <c r="H1050">
        <v>780</v>
      </c>
      <c r="I1050">
        <v>0</v>
      </c>
      <c r="J1050" t="s">
        <v>2940</v>
      </c>
      <c r="K1050" t="s">
        <v>3152</v>
      </c>
    </row>
    <row r="1051" spans="1:11">
      <c r="A1051">
        <v>1050</v>
      </c>
      <c r="D1051" t="s">
        <v>3125</v>
      </c>
      <c r="E1051" t="s">
        <v>2884</v>
      </c>
      <c r="G1051" t="s">
        <v>17</v>
      </c>
      <c r="H1051">
        <v>2426</v>
      </c>
      <c r="I1051">
        <v>0</v>
      </c>
      <c r="J1051" t="s">
        <v>2938</v>
      </c>
      <c r="K1051" t="s">
        <v>3152</v>
      </c>
    </row>
    <row r="1052" spans="1:11">
      <c r="A1052">
        <v>1051</v>
      </c>
      <c r="D1052" t="s">
        <v>3125</v>
      </c>
      <c r="E1052" t="s">
        <v>1438</v>
      </c>
      <c r="G1052" t="s">
        <v>20</v>
      </c>
      <c r="H1052">
        <v>195.6</v>
      </c>
      <c r="I1052">
        <v>0</v>
      </c>
      <c r="J1052" t="s">
        <v>2938</v>
      </c>
      <c r="K1052" t="s">
        <v>1439</v>
      </c>
    </row>
    <row r="1053" spans="1:11">
      <c r="A1053">
        <v>1052</v>
      </c>
      <c r="D1053" t="s">
        <v>3125</v>
      </c>
      <c r="E1053" t="s">
        <v>1440</v>
      </c>
      <c r="G1053" t="s">
        <v>20</v>
      </c>
      <c r="H1053">
        <v>253.5</v>
      </c>
      <c r="I1053">
        <v>0</v>
      </c>
      <c r="J1053" t="s">
        <v>2938</v>
      </c>
      <c r="K1053" t="s">
        <v>1441</v>
      </c>
    </row>
    <row r="1054" spans="1:11">
      <c r="A1054">
        <v>1053</v>
      </c>
      <c r="D1054" t="s">
        <v>3125</v>
      </c>
      <c r="E1054" t="s">
        <v>1382</v>
      </c>
      <c r="G1054" t="s">
        <v>7</v>
      </c>
      <c r="H1054">
        <v>817</v>
      </c>
      <c r="I1054">
        <v>0</v>
      </c>
      <c r="J1054" t="s">
        <v>2938</v>
      </c>
      <c r="K1054" t="s">
        <v>1383</v>
      </c>
    </row>
    <row r="1055" spans="1:11">
      <c r="A1055">
        <v>1054</v>
      </c>
      <c r="D1055" t="s">
        <v>3125</v>
      </c>
      <c r="E1055" t="s">
        <v>1376</v>
      </c>
      <c r="G1055" t="s">
        <v>7</v>
      </c>
      <c r="H1055">
        <v>180</v>
      </c>
      <c r="I1055">
        <v>0</v>
      </c>
      <c r="J1055" t="s">
        <v>2940</v>
      </c>
      <c r="K1055" t="s">
        <v>1377</v>
      </c>
    </row>
    <row r="1056" spans="1:11">
      <c r="A1056">
        <v>1055</v>
      </c>
      <c r="D1056" t="s">
        <v>3125</v>
      </c>
      <c r="E1056" t="s">
        <v>1376</v>
      </c>
      <c r="G1056" t="s">
        <v>7</v>
      </c>
      <c r="H1056">
        <v>1735</v>
      </c>
      <c r="I1056">
        <v>0</v>
      </c>
      <c r="J1056" t="s">
        <v>2938</v>
      </c>
      <c r="K1056" t="s">
        <v>1377</v>
      </c>
    </row>
    <row r="1057" spans="1:11">
      <c r="A1057">
        <v>1056</v>
      </c>
      <c r="D1057" t="s">
        <v>3125</v>
      </c>
      <c r="E1057" t="s">
        <v>1384</v>
      </c>
      <c r="G1057" t="s">
        <v>20</v>
      </c>
      <c r="H1057">
        <v>912.3</v>
      </c>
      <c r="I1057">
        <v>0</v>
      </c>
      <c r="J1057" t="s">
        <v>2938</v>
      </c>
      <c r="K1057" t="s">
        <v>1385</v>
      </c>
    </row>
    <row r="1058" spans="1:11">
      <c r="A1058">
        <v>1057</v>
      </c>
      <c r="D1058" t="s">
        <v>3125</v>
      </c>
      <c r="E1058" t="s">
        <v>1380</v>
      </c>
      <c r="G1058" t="s">
        <v>7</v>
      </c>
      <c r="H1058">
        <v>313.8</v>
      </c>
      <c r="I1058">
        <v>0</v>
      </c>
      <c r="J1058" t="s">
        <v>2938</v>
      </c>
      <c r="K1058" t="s">
        <v>1381</v>
      </c>
    </row>
    <row r="1059" spans="1:11">
      <c r="A1059">
        <v>1058</v>
      </c>
      <c r="D1059" t="s">
        <v>3125</v>
      </c>
      <c r="E1059" t="s">
        <v>3585</v>
      </c>
      <c r="G1059" t="s">
        <v>7</v>
      </c>
      <c r="H1059">
        <v>48</v>
      </c>
      <c r="I1059">
        <v>0</v>
      </c>
      <c r="J1059" t="s">
        <v>2938</v>
      </c>
      <c r="K1059" t="s">
        <v>3586</v>
      </c>
    </row>
    <row r="1060" spans="1:11">
      <c r="A1060">
        <v>1059</v>
      </c>
      <c r="D1060" t="s">
        <v>3125</v>
      </c>
      <c r="E1060" t="s">
        <v>3587</v>
      </c>
      <c r="G1060" t="s">
        <v>7</v>
      </c>
      <c r="H1060">
        <v>248</v>
      </c>
      <c r="I1060">
        <v>0</v>
      </c>
      <c r="J1060" t="s">
        <v>2938</v>
      </c>
      <c r="K1060" t="s">
        <v>3588</v>
      </c>
    </row>
    <row r="1061" spans="1:11">
      <c r="A1061">
        <v>1060</v>
      </c>
      <c r="D1061" t="s">
        <v>3125</v>
      </c>
      <c r="E1061" t="s">
        <v>3591</v>
      </c>
      <c r="G1061" t="s">
        <v>7</v>
      </c>
      <c r="H1061">
        <v>101</v>
      </c>
      <c r="I1061">
        <v>0</v>
      </c>
      <c r="J1061" t="s">
        <v>2938</v>
      </c>
      <c r="K1061" t="s">
        <v>3592</v>
      </c>
    </row>
    <row r="1062" spans="1:11">
      <c r="A1062">
        <v>1061</v>
      </c>
      <c r="D1062" t="s">
        <v>3125</v>
      </c>
      <c r="E1062" t="s">
        <v>950</v>
      </c>
      <c r="G1062" t="s">
        <v>7</v>
      </c>
      <c r="H1062">
        <v>1153</v>
      </c>
      <c r="I1062">
        <v>0</v>
      </c>
      <c r="J1062" t="s">
        <v>2938</v>
      </c>
      <c r="K1062" t="s">
        <v>951</v>
      </c>
    </row>
    <row r="1063" spans="1:11">
      <c r="A1063">
        <v>1062</v>
      </c>
      <c r="D1063" t="s">
        <v>3125</v>
      </c>
      <c r="E1063" t="s">
        <v>1794</v>
      </c>
      <c r="G1063" t="s">
        <v>17</v>
      </c>
      <c r="H1063">
        <v>1820</v>
      </c>
      <c r="I1063">
        <v>0</v>
      </c>
      <c r="J1063" t="s">
        <v>2938</v>
      </c>
      <c r="K1063" t="s">
        <v>1795</v>
      </c>
    </row>
    <row r="1064" spans="1:11">
      <c r="A1064">
        <v>1063</v>
      </c>
      <c r="D1064" t="s">
        <v>3125</v>
      </c>
      <c r="E1064" t="s">
        <v>1412</v>
      </c>
      <c r="G1064" t="s">
        <v>7</v>
      </c>
      <c r="H1064">
        <v>1771</v>
      </c>
      <c r="I1064">
        <v>0</v>
      </c>
      <c r="J1064" t="s">
        <v>2938</v>
      </c>
      <c r="K1064" t="s">
        <v>1413</v>
      </c>
    </row>
    <row r="1065" spans="1:11">
      <c r="A1065">
        <v>1064</v>
      </c>
      <c r="D1065" t="s">
        <v>3125</v>
      </c>
      <c r="E1065" t="s">
        <v>1416</v>
      </c>
      <c r="G1065" t="s">
        <v>7</v>
      </c>
      <c r="H1065">
        <v>540</v>
      </c>
      <c r="I1065">
        <v>0</v>
      </c>
      <c r="J1065" t="s">
        <v>2938</v>
      </c>
      <c r="K1065" t="s">
        <v>1417</v>
      </c>
    </row>
    <row r="1066" spans="1:11">
      <c r="A1066">
        <v>1065</v>
      </c>
      <c r="D1066" t="s">
        <v>3125</v>
      </c>
      <c r="E1066" t="s">
        <v>1408</v>
      </c>
      <c r="G1066" t="s">
        <v>7</v>
      </c>
      <c r="H1066">
        <v>14509</v>
      </c>
      <c r="I1066">
        <v>0</v>
      </c>
      <c r="J1066" t="s">
        <v>2938</v>
      </c>
      <c r="K1066" t="s">
        <v>1409</v>
      </c>
    </row>
    <row r="1067" spans="1:11">
      <c r="A1067">
        <v>1066</v>
      </c>
      <c r="D1067" t="s">
        <v>3125</v>
      </c>
      <c r="E1067" t="s">
        <v>1394</v>
      </c>
      <c r="G1067" t="s">
        <v>7</v>
      </c>
      <c r="H1067">
        <v>1572</v>
      </c>
      <c r="I1067">
        <v>0</v>
      </c>
      <c r="J1067" t="s">
        <v>2940</v>
      </c>
      <c r="K1067" t="s">
        <v>1395</v>
      </c>
    </row>
    <row r="1068" spans="1:11">
      <c r="A1068">
        <v>1067</v>
      </c>
      <c r="D1068" t="s">
        <v>3125</v>
      </c>
      <c r="E1068" t="s">
        <v>1394</v>
      </c>
      <c r="G1068" t="s">
        <v>7</v>
      </c>
      <c r="H1068">
        <v>3240</v>
      </c>
      <c r="I1068">
        <v>0</v>
      </c>
      <c r="J1068" t="s">
        <v>2938</v>
      </c>
      <c r="K1068" t="s">
        <v>1395</v>
      </c>
    </row>
    <row r="1069" spans="1:11">
      <c r="A1069">
        <v>1068</v>
      </c>
      <c r="D1069" t="s">
        <v>3125</v>
      </c>
      <c r="E1069" t="s">
        <v>1414</v>
      </c>
      <c r="G1069" t="s">
        <v>7</v>
      </c>
      <c r="H1069">
        <v>1670.2</v>
      </c>
      <c r="I1069">
        <v>0</v>
      </c>
      <c r="J1069" t="s">
        <v>2938</v>
      </c>
      <c r="K1069" t="s">
        <v>1415</v>
      </c>
    </row>
    <row r="1070" spans="1:11">
      <c r="A1070">
        <v>1069</v>
      </c>
      <c r="D1070" t="s">
        <v>3125</v>
      </c>
      <c r="E1070" t="s">
        <v>1418</v>
      </c>
      <c r="G1070" t="s">
        <v>7</v>
      </c>
      <c r="H1070">
        <v>9685</v>
      </c>
      <c r="I1070">
        <v>0</v>
      </c>
      <c r="J1070" t="s">
        <v>2938</v>
      </c>
      <c r="K1070" t="s">
        <v>1419</v>
      </c>
    </row>
    <row r="1071" spans="1:11">
      <c r="A1071">
        <v>1070</v>
      </c>
      <c r="D1071" t="s">
        <v>3125</v>
      </c>
      <c r="E1071" t="s">
        <v>1390</v>
      </c>
      <c r="G1071" t="s">
        <v>7</v>
      </c>
      <c r="H1071">
        <v>1014.5</v>
      </c>
      <c r="I1071">
        <v>0</v>
      </c>
      <c r="J1071" t="s">
        <v>2938</v>
      </c>
      <c r="K1071" t="s">
        <v>1391</v>
      </c>
    </row>
    <row r="1072" spans="1:11">
      <c r="A1072">
        <v>1071</v>
      </c>
      <c r="D1072" t="s">
        <v>3125</v>
      </c>
      <c r="E1072" t="s">
        <v>1410</v>
      </c>
      <c r="G1072" t="s">
        <v>7</v>
      </c>
      <c r="H1072">
        <v>3299</v>
      </c>
      <c r="I1072">
        <v>0</v>
      </c>
      <c r="J1072" t="s">
        <v>2938</v>
      </c>
      <c r="K1072" t="s">
        <v>1411</v>
      </c>
    </row>
    <row r="1073" spans="1:11">
      <c r="A1073">
        <v>1072</v>
      </c>
      <c r="D1073" t="s">
        <v>3125</v>
      </c>
      <c r="E1073" t="s">
        <v>1400</v>
      </c>
      <c r="G1073" t="s">
        <v>7</v>
      </c>
      <c r="H1073">
        <v>2456.5</v>
      </c>
      <c r="I1073">
        <v>0</v>
      </c>
      <c r="J1073" t="s">
        <v>2938</v>
      </c>
      <c r="K1073" t="s">
        <v>1401</v>
      </c>
    </row>
    <row r="1074" spans="1:11">
      <c r="A1074">
        <v>1073</v>
      </c>
      <c r="D1074" t="s">
        <v>3125</v>
      </c>
      <c r="E1074" t="s">
        <v>1420</v>
      </c>
      <c r="G1074" t="s">
        <v>7</v>
      </c>
      <c r="H1074">
        <v>5484.1</v>
      </c>
      <c r="I1074">
        <v>0</v>
      </c>
      <c r="J1074" t="s">
        <v>2938</v>
      </c>
      <c r="K1074" t="s">
        <v>1421</v>
      </c>
    </row>
    <row r="1075" spans="1:11">
      <c r="A1075">
        <v>1074</v>
      </c>
      <c r="D1075" t="s">
        <v>3125</v>
      </c>
      <c r="E1075" t="s">
        <v>1404</v>
      </c>
      <c r="G1075" t="s">
        <v>7</v>
      </c>
      <c r="H1075">
        <v>1292.3</v>
      </c>
      <c r="I1075">
        <v>0</v>
      </c>
      <c r="J1075" t="s">
        <v>2938</v>
      </c>
      <c r="K1075" t="s">
        <v>1405</v>
      </c>
    </row>
    <row r="1076" spans="1:11">
      <c r="A1076">
        <v>1075</v>
      </c>
      <c r="D1076" t="s">
        <v>3125</v>
      </c>
      <c r="E1076" t="s">
        <v>1424</v>
      </c>
      <c r="G1076" t="s">
        <v>7</v>
      </c>
      <c r="H1076">
        <v>479</v>
      </c>
      <c r="I1076">
        <v>0</v>
      </c>
      <c r="J1076" t="s">
        <v>2940</v>
      </c>
      <c r="K1076" t="s">
        <v>1425</v>
      </c>
    </row>
    <row r="1077" spans="1:11">
      <c r="A1077">
        <v>1076</v>
      </c>
      <c r="D1077" t="s">
        <v>3125</v>
      </c>
      <c r="E1077" t="s">
        <v>1424</v>
      </c>
      <c r="G1077" t="s">
        <v>7</v>
      </c>
      <c r="H1077">
        <v>1528.07</v>
      </c>
      <c r="I1077">
        <v>0</v>
      </c>
      <c r="J1077" t="s">
        <v>2938</v>
      </c>
      <c r="K1077" t="s">
        <v>1425</v>
      </c>
    </row>
    <row r="1078" spans="1:11">
      <c r="A1078">
        <v>1077</v>
      </c>
      <c r="D1078" t="s">
        <v>3125</v>
      </c>
      <c r="E1078" t="s">
        <v>1402</v>
      </c>
      <c r="G1078" t="s">
        <v>7</v>
      </c>
      <c r="H1078">
        <v>2184</v>
      </c>
      <c r="I1078">
        <v>0</v>
      </c>
      <c r="J1078" t="s">
        <v>2938</v>
      </c>
      <c r="K1078" t="s">
        <v>1403</v>
      </c>
    </row>
    <row r="1079" spans="1:11">
      <c r="A1079">
        <v>1078</v>
      </c>
      <c r="D1079" t="s">
        <v>3125</v>
      </c>
      <c r="E1079" t="s">
        <v>1422</v>
      </c>
      <c r="G1079" t="s">
        <v>7</v>
      </c>
      <c r="H1079">
        <v>14997</v>
      </c>
      <c r="I1079">
        <v>0</v>
      </c>
      <c r="J1079" t="s">
        <v>2938</v>
      </c>
      <c r="K1079" t="s">
        <v>1423</v>
      </c>
    </row>
    <row r="1080" spans="1:11">
      <c r="A1080">
        <v>1079</v>
      </c>
      <c r="D1080" t="s">
        <v>3125</v>
      </c>
      <c r="E1080" t="s">
        <v>405</v>
      </c>
      <c r="G1080" t="s">
        <v>17</v>
      </c>
      <c r="H1080">
        <v>8000</v>
      </c>
      <c r="I1080">
        <v>0</v>
      </c>
      <c r="J1080" t="s">
        <v>2938</v>
      </c>
      <c r="K1080" t="s">
        <v>3024</v>
      </c>
    </row>
    <row r="1081" spans="1:11">
      <c r="A1081">
        <v>1080</v>
      </c>
      <c r="D1081" t="s">
        <v>3125</v>
      </c>
      <c r="E1081" t="s">
        <v>3458</v>
      </c>
      <c r="G1081" t="s">
        <v>17</v>
      </c>
      <c r="H1081">
        <v>700</v>
      </c>
      <c r="I1081">
        <v>0</v>
      </c>
      <c r="J1081" t="s">
        <v>2938</v>
      </c>
      <c r="K1081" t="s">
        <v>3459</v>
      </c>
    </row>
    <row r="1082" spans="1:11">
      <c r="A1082">
        <v>1081</v>
      </c>
      <c r="D1082" t="s">
        <v>3125</v>
      </c>
      <c r="E1082" t="s">
        <v>65</v>
      </c>
      <c r="G1082" t="s">
        <v>17</v>
      </c>
      <c r="H1082">
        <v>2500</v>
      </c>
      <c r="I1082">
        <v>0</v>
      </c>
      <c r="J1082" t="s">
        <v>2938</v>
      </c>
      <c r="K1082" t="s">
        <v>66</v>
      </c>
    </row>
    <row r="1083" spans="1:11">
      <c r="A1083">
        <v>1082</v>
      </c>
      <c r="D1083" t="s">
        <v>3125</v>
      </c>
      <c r="E1083" t="s">
        <v>1052</v>
      </c>
      <c r="G1083" t="s">
        <v>17</v>
      </c>
      <c r="H1083">
        <v>87</v>
      </c>
      <c r="I1083">
        <v>0</v>
      </c>
      <c r="J1083" t="s">
        <v>2938</v>
      </c>
      <c r="K1083" t="s">
        <v>1053</v>
      </c>
    </row>
    <row r="1084" spans="1:11">
      <c r="A1084">
        <v>1083</v>
      </c>
      <c r="D1084" t="s">
        <v>3125</v>
      </c>
      <c r="E1084" t="s">
        <v>1054</v>
      </c>
      <c r="G1084" t="s">
        <v>17</v>
      </c>
      <c r="H1084">
        <v>99</v>
      </c>
      <c r="I1084">
        <v>0</v>
      </c>
      <c r="J1084" t="s">
        <v>2938</v>
      </c>
      <c r="K1084" t="s">
        <v>1055</v>
      </c>
    </row>
    <row r="1085" spans="1:11">
      <c r="A1085">
        <v>1084</v>
      </c>
      <c r="D1085" t="s">
        <v>3125</v>
      </c>
      <c r="E1085" t="s">
        <v>1058</v>
      </c>
      <c r="G1085" t="s">
        <v>17</v>
      </c>
      <c r="H1085">
        <v>29</v>
      </c>
      <c r="I1085">
        <v>0</v>
      </c>
      <c r="J1085" t="s">
        <v>2938</v>
      </c>
      <c r="K1085" t="s">
        <v>1059</v>
      </c>
    </row>
    <row r="1086" spans="1:11">
      <c r="A1086">
        <v>1085</v>
      </c>
      <c r="D1086" t="s">
        <v>3125</v>
      </c>
      <c r="E1086" t="s">
        <v>1060</v>
      </c>
      <c r="G1086" t="s">
        <v>17</v>
      </c>
      <c r="H1086">
        <v>246</v>
      </c>
      <c r="I1086">
        <v>0</v>
      </c>
      <c r="J1086" t="s">
        <v>2938</v>
      </c>
      <c r="K1086" t="s">
        <v>1061</v>
      </c>
    </row>
    <row r="1087" spans="1:11">
      <c r="A1087">
        <v>1086</v>
      </c>
      <c r="D1087" t="s">
        <v>3125</v>
      </c>
      <c r="E1087" t="s">
        <v>1932</v>
      </c>
      <c r="G1087" t="s">
        <v>17</v>
      </c>
      <c r="H1087">
        <v>4</v>
      </c>
      <c r="I1087">
        <v>0</v>
      </c>
      <c r="J1087" t="s">
        <v>2938</v>
      </c>
      <c r="K1087" t="s">
        <v>1933</v>
      </c>
    </row>
    <row r="1088" spans="1:11">
      <c r="A1088">
        <v>1087</v>
      </c>
      <c r="D1088" t="s">
        <v>3125</v>
      </c>
      <c r="E1088" t="s">
        <v>1934</v>
      </c>
      <c r="G1088" t="s">
        <v>17</v>
      </c>
      <c r="H1088">
        <v>2</v>
      </c>
      <c r="I1088">
        <v>0</v>
      </c>
      <c r="J1088" t="s">
        <v>2938</v>
      </c>
      <c r="K1088" t="s">
        <v>1935</v>
      </c>
    </row>
    <row r="1089" spans="1:11">
      <c r="A1089">
        <v>1088</v>
      </c>
      <c r="D1089" t="s">
        <v>3125</v>
      </c>
      <c r="E1089" t="s">
        <v>1936</v>
      </c>
      <c r="G1089" t="s">
        <v>17</v>
      </c>
      <c r="H1089">
        <v>20</v>
      </c>
      <c r="I1089">
        <v>0</v>
      </c>
      <c r="J1089" t="s">
        <v>2938</v>
      </c>
      <c r="K1089" t="s">
        <v>1937</v>
      </c>
    </row>
    <row r="1090" spans="1:11">
      <c r="A1090">
        <v>1089</v>
      </c>
      <c r="D1090" t="s">
        <v>3125</v>
      </c>
      <c r="E1090" t="s">
        <v>1938</v>
      </c>
      <c r="G1090" t="s">
        <v>17</v>
      </c>
      <c r="H1090">
        <v>10</v>
      </c>
      <c r="I1090">
        <v>0</v>
      </c>
      <c r="J1090" t="s">
        <v>2938</v>
      </c>
      <c r="K1090" t="s">
        <v>1939</v>
      </c>
    </row>
    <row r="1091" spans="1:11">
      <c r="A1091">
        <v>1090</v>
      </c>
      <c r="D1091" t="s">
        <v>3125</v>
      </c>
      <c r="E1091" t="s">
        <v>1940</v>
      </c>
      <c r="G1091" t="s">
        <v>17</v>
      </c>
      <c r="H1091">
        <v>5</v>
      </c>
      <c r="I1091">
        <v>0</v>
      </c>
      <c r="J1091" t="s">
        <v>2938</v>
      </c>
      <c r="K1091" t="s">
        <v>1941</v>
      </c>
    </row>
    <row r="1092" spans="1:11">
      <c r="A1092">
        <v>1091</v>
      </c>
      <c r="D1092" t="s">
        <v>3125</v>
      </c>
      <c r="E1092" t="s">
        <v>1942</v>
      </c>
      <c r="G1092" t="s">
        <v>17</v>
      </c>
      <c r="H1092">
        <v>1</v>
      </c>
      <c r="I1092">
        <v>0</v>
      </c>
      <c r="J1092" t="s">
        <v>2938</v>
      </c>
      <c r="K1092" t="s">
        <v>1943</v>
      </c>
    </row>
    <row r="1093" spans="1:11">
      <c r="A1093">
        <v>1092</v>
      </c>
      <c r="D1093" t="s">
        <v>3125</v>
      </c>
      <c r="E1093" t="s">
        <v>1946</v>
      </c>
      <c r="G1093" t="s">
        <v>17</v>
      </c>
      <c r="H1093">
        <v>2</v>
      </c>
      <c r="I1093">
        <v>0</v>
      </c>
      <c r="J1093" t="s">
        <v>2938</v>
      </c>
      <c r="K1093" t="s">
        <v>1947</v>
      </c>
    </row>
    <row r="1094" spans="1:11">
      <c r="A1094">
        <v>1093</v>
      </c>
      <c r="D1094" t="s">
        <v>3125</v>
      </c>
      <c r="E1094" t="s">
        <v>114</v>
      </c>
      <c r="G1094" t="s">
        <v>116</v>
      </c>
      <c r="H1094">
        <v>162</v>
      </c>
      <c r="I1094">
        <v>0</v>
      </c>
      <c r="J1094" t="s">
        <v>2938</v>
      </c>
      <c r="K1094" t="s">
        <v>115</v>
      </c>
    </row>
    <row r="1095" spans="1:11">
      <c r="A1095">
        <v>1094</v>
      </c>
      <c r="D1095" t="s">
        <v>3125</v>
      </c>
      <c r="E1095" t="s">
        <v>605</v>
      </c>
      <c r="G1095" t="s">
        <v>116</v>
      </c>
      <c r="H1095">
        <v>2</v>
      </c>
      <c r="I1095">
        <v>0</v>
      </c>
      <c r="J1095" t="s">
        <v>2938</v>
      </c>
      <c r="K1095" t="s">
        <v>606</v>
      </c>
    </row>
    <row r="1096" spans="1:11">
      <c r="A1096">
        <v>1095</v>
      </c>
      <c r="D1096" t="s">
        <v>3125</v>
      </c>
      <c r="E1096" t="s">
        <v>607</v>
      </c>
      <c r="G1096" t="s">
        <v>116</v>
      </c>
      <c r="H1096">
        <v>3</v>
      </c>
      <c r="I1096">
        <v>0</v>
      </c>
      <c r="J1096" t="s">
        <v>2938</v>
      </c>
      <c r="K1096" t="s">
        <v>608</v>
      </c>
    </row>
    <row r="1097" spans="1:11">
      <c r="A1097">
        <v>1096</v>
      </c>
      <c r="D1097" t="s">
        <v>3125</v>
      </c>
      <c r="E1097" t="s">
        <v>609</v>
      </c>
      <c r="G1097" t="s">
        <v>116</v>
      </c>
      <c r="H1097">
        <v>1</v>
      </c>
      <c r="I1097">
        <v>0</v>
      </c>
      <c r="J1097" t="s">
        <v>2938</v>
      </c>
      <c r="K1097" t="s">
        <v>610</v>
      </c>
    </row>
    <row r="1098" spans="1:11">
      <c r="A1098">
        <v>1097</v>
      </c>
      <c r="D1098" t="s">
        <v>3125</v>
      </c>
      <c r="E1098" t="s">
        <v>1948</v>
      </c>
      <c r="G1098" t="s">
        <v>17</v>
      </c>
      <c r="H1098">
        <v>11</v>
      </c>
      <c r="I1098">
        <v>0</v>
      </c>
      <c r="J1098" t="s">
        <v>2938</v>
      </c>
      <c r="K1098" t="s">
        <v>1949</v>
      </c>
    </row>
    <row r="1099" spans="1:11">
      <c r="A1099">
        <v>1098</v>
      </c>
      <c r="D1099" t="s">
        <v>3125</v>
      </c>
      <c r="E1099" t="s">
        <v>611</v>
      </c>
      <c r="G1099" t="s">
        <v>116</v>
      </c>
      <c r="H1099">
        <v>4</v>
      </c>
      <c r="I1099">
        <v>0</v>
      </c>
      <c r="J1099" t="s">
        <v>2938</v>
      </c>
      <c r="K1099" t="s">
        <v>612</v>
      </c>
    </row>
    <row r="1100" spans="1:11">
      <c r="A1100">
        <v>1099</v>
      </c>
      <c r="D1100" t="s">
        <v>3125</v>
      </c>
      <c r="E1100" t="s">
        <v>1950</v>
      </c>
      <c r="G1100" t="s">
        <v>17</v>
      </c>
      <c r="H1100">
        <v>93</v>
      </c>
      <c r="I1100">
        <v>0</v>
      </c>
      <c r="J1100" t="s">
        <v>2938</v>
      </c>
      <c r="K1100" t="s">
        <v>1951</v>
      </c>
    </row>
    <row r="1101" spans="1:11">
      <c r="A1101">
        <v>1100</v>
      </c>
      <c r="D1101" t="s">
        <v>3125</v>
      </c>
      <c r="E1101" t="s">
        <v>1952</v>
      </c>
      <c r="G1101" t="s">
        <v>17</v>
      </c>
      <c r="H1101">
        <v>4</v>
      </c>
      <c r="I1101">
        <v>0</v>
      </c>
      <c r="J1101" t="s">
        <v>2938</v>
      </c>
      <c r="K1101" t="s">
        <v>1953</v>
      </c>
    </row>
    <row r="1102" spans="1:11">
      <c r="A1102">
        <v>1101</v>
      </c>
      <c r="D1102" t="s">
        <v>3125</v>
      </c>
      <c r="E1102" t="s">
        <v>565</v>
      </c>
      <c r="G1102" t="s">
        <v>17</v>
      </c>
      <c r="H1102">
        <v>23500</v>
      </c>
      <c r="I1102">
        <v>0</v>
      </c>
      <c r="J1102" t="s">
        <v>2938</v>
      </c>
      <c r="K1102" t="s">
        <v>566</v>
      </c>
    </row>
    <row r="1103" spans="1:11">
      <c r="A1103">
        <v>1102</v>
      </c>
      <c r="D1103" t="s">
        <v>3125</v>
      </c>
      <c r="E1103" t="s">
        <v>569</v>
      </c>
      <c r="G1103" t="s">
        <v>17</v>
      </c>
      <c r="H1103">
        <v>2000</v>
      </c>
      <c r="I1103">
        <v>0</v>
      </c>
      <c r="J1103" t="s">
        <v>2938</v>
      </c>
      <c r="K1103" t="s">
        <v>570</v>
      </c>
    </row>
    <row r="1104" spans="1:11">
      <c r="A1104">
        <v>1103</v>
      </c>
      <c r="D1104" t="s">
        <v>3125</v>
      </c>
      <c r="E1104" t="s">
        <v>561</v>
      </c>
      <c r="G1104" t="s">
        <v>17</v>
      </c>
      <c r="H1104">
        <v>3000</v>
      </c>
      <c r="I1104">
        <v>0</v>
      </c>
      <c r="J1104" t="s">
        <v>2938</v>
      </c>
      <c r="K1104" t="s">
        <v>562</v>
      </c>
    </row>
    <row r="1105" spans="1:11">
      <c r="A1105">
        <v>1104</v>
      </c>
      <c r="D1105" t="s">
        <v>3125</v>
      </c>
      <c r="E1105" t="s">
        <v>567</v>
      </c>
      <c r="G1105" t="s">
        <v>17</v>
      </c>
      <c r="H1105">
        <v>6000</v>
      </c>
      <c r="I1105">
        <v>0</v>
      </c>
      <c r="J1105" t="s">
        <v>2938</v>
      </c>
      <c r="K1105" t="s">
        <v>568</v>
      </c>
    </row>
    <row r="1106" spans="1:11">
      <c r="A1106">
        <v>1105</v>
      </c>
      <c r="D1106" t="s">
        <v>3125</v>
      </c>
      <c r="E1106" t="s">
        <v>563</v>
      </c>
      <c r="G1106" t="s">
        <v>17</v>
      </c>
      <c r="H1106">
        <v>3000</v>
      </c>
      <c r="I1106">
        <v>0</v>
      </c>
      <c r="J1106" t="s">
        <v>2938</v>
      </c>
      <c r="K1106" t="s">
        <v>564</v>
      </c>
    </row>
    <row r="1107" spans="1:11">
      <c r="A1107">
        <v>1106</v>
      </c>
      <c r="D1107" t="s">
        <v>3125</v>
      </c>
      <c r="E1107" t="s">
        <v>1281</v>
      </c>
      <c r="G1107" t="s">
        <v>17</v>
      </c>
      <c r="H1107">
        <v>52</v>
      </c>
      <c r="I1107">
        <v>0</v>
      </c>
      <c r="J1107" t="s">
        <v>2938</v>
      </c>
      <c r="K1107" t="s">
        <v>1282</v>
      </c>
    </row>
    <row r="1108" spans="1:11">
      <c r="A1108">
        <v>1107</v>
      </c>
      <c r="D1108" t="s">
        <v>3125</v>
      </c>
      <c r="E1108" t="s">
        <v>312</v>
      </c>
      <c r="G1108" t="s">
        <v>17</v>
      </c>
      <c r="H1108">
        <v>1013</v>
      </c>
      <c r="I1108">
        <v>0</v>
      </c>
      <c r="J1108" t="s">
        <v>2938</v>
      </c>
      <c r="K1108" t="s">
        <v>313</v>
      </c>
    </row>
    <row r="1109" spans="1:11">
      <c r="A1109">
        <v>1108</v>
      </c>
      <c r="D1109" t="s">
        <v>3125</v>
      </c>
      <c r="E1109" t="s">
        <v>1930</v>
      </c>
      <c r="G1109" t="s">
        <v>17</v>
      </c>
      <c r="H1109">
        <v>19</v>
      </c>
      <c r="I1109">
        <v>0</v>
      </c>
      <c r="J1109" t="s">
        <v>2938</v>
      </c>
      <c r="K1109" t="s">
        <v>1931</v>
      </c>
    </row>
    <row r="1110" spans="1:11">
      <c r="A1110">
        <v>1109</v>
      </c>
      <c r="D1110" t="s">
        <v>3125</v>
      </c>
      <c r="E1110" t="s">
        <v>635</v>
      </c>
      <c r="G1110" t="s">
        <v>20</v>
      </c>
      <c r="H1110">
        <v>55698.1</v>
      </c>
      <c r="I1110">
        <v>0</v>
      </c>
      <c r="J1110" t="s">
        <v>2938</v>
      </c>
      <c r="K1110" t="s">
        <v>636</v>
      </c>
    </row>
    <row r="1111" spans="1:11">
      <c r="A1111">
        <v>1110</v>
      </c>
      <c r="D1111" t="s">
        <v>3125</v>
      </c>
      <c r="E1111" t="s">
        <v>1026</v>
      </c>
      <c r="G1111" t="s">
        <v>20</v>
      </c>
      <c r="H1111">
        <v>92790</v>
      </c>
      <c r="I1111">
        <v>0</v>
      </c>
      <c r="J1111" t="s">
        <v>2938</v>
      </c>
      <c r="K1111" t="s">
        <v>1027</v>
      </c>
    </row>
    <row r="1112" spans="1:11">
      <c r="A1112">
        <v>1111</v>
      </c>
      <c r="D1112" t="s">
        <v>3125</v>
      </c>
      <c r="E1112" t="s">
        <v>1030</v>
      </c>
      <c r="G1112" t="s">
        <v>20</v>
      </c>
      <c r="H1112">
        <v>12604.72</v>
      </c>
      <c r="I1112">
        <v>0</v>
      </c>
      <c r="J1112" t="s">
        <v>2938</v>
      </c>
      <c r="K1112" t="s">
        <v>1031</v>
      </c>
    </row>
    <row r="1113" spans="1:11">
      <c r="A1113">
        <v>1112</v>
      </c>
      <c r="D1113" t="s">
        <v>3125</v>
      </c>
      <c r="E1113" t="s">
        <v>2120</v>
      </c>
      <c r="G1113" t="s">
        <v>20</v>
      </c>
      <c r="H1113">
        <v>8030.14</v>
      </c>
      <c r="I1113">
        <v>0</v>
      </c>
      <c r="J1113" t="s">
        <v>2938</v>
      </c>
      <c r="K1113" t="s">
        <v>2121</v>
      </c>
    </row>
    <row r="1114" spans="1:11">
      <c r="A1114">
        <v>1113</v>
      </c>
      <c r="D1114" t="s">
        <v>3125</v>
      </c>
      <c r="E1114" t="s">
        <v>1972</v>
      </c>
      <c r="G1114" t="s">
        <v>17</v>
      </c>
      <c r="H1114">
        <v>20</v>
      </c>
      <c r="I1114">
        <v>0</v>
      </c>
      <c r="J1114" t="s">
        <v>2938</v>
      </c>
      <c r="K1114" t="s">
        <v>1973</v>
      </c>
    </row>
    <row r="1115" spans="1:11">
      <c r="A1115">
        <v>1114</v>
      </c>
      <c r="D1115" t="s">
        <v>3125</v>
      </c>
      <c r="E1115" t="s">
        <v>3261</v>
      </c>
      <c r="G1115" t="s">
        <v>20</v>
      </c>
      <c r="H1115">
        <v>137.96</v>
      </c>
      <c r="I1115">
        <v>0</v>
      </c>
      <c r="J1115" t="s">
        <v>2938</v>
      </c>
      <c r="K1115" t="s">
        <v>3262</v>
      </c>
    </row>
    <row r="1116" spans="1:11">
      <c r="A1116">
        <v>1115</v>
      </c>
      <c r="D1116" t="s">
        <v>3125</v>
      </c>
      <c r="E1116" t="s">
        <v>615</v>
      </c>
      <c r="G1116" t="s">
        <v>20</v>
      </c>
      <c r="H1116">
        <v>1139.1400000000001</v>
      </c>
      <c r="I1116">
        <v>0</v>
      </c>
      <c r="J1116" t="s">
        <v>2938</v>
      </c>
      <c r="K1116" t="s">
        <v>616</v>
      </c>
    </row>
    <row r="1117" spans="1:11">
      <c r="A1117">
        <v>1116</v>
      </c>
      <c r="D1117" t="s">
        <v>3125</v>
      </c>
      <c r="E1117" t="s">
        <v>617</v>
      </c>
      <c r="G1117" t="s">
        <v>20</v>
      </c>
      <c r="H1117">
        <v>155</v>
      </c>
      <c r="I1117">
        <v>0</v>
      </c>
      <c r="J1117" t="s">
        <v>2938</v>
      </c>
      <c r="K1117" t="s">
        <v>618</v>
      </c>
    </row>
    <row r="1118" spans="1:11">
      <c r="A1118">
        <v>1117</v>
      </c>
      <c r="D1118" t="s">
        <v>3125</v>
      </c>
      <c r="E1118" t="s">
        <v>1032</v>
      </c>
      <c r="G1118" t="s">
        <v>17</v>
      </c>
      <c r="H1118">
        <v>16</v>
      </c>
      <c r="I1118">
        <v>0</v>
      </c>
      <c r="J1118" t="s">
        <v>2938</v>
      </c>
      <c r="K1118" t="s">
        <v>1033</v>
      </c>
    </row>
    <row r="1119" spans="1:11">
      <c r="A1119">
        <v>1118</v>
      </c>
      <c r="D1119" t="s">
        <v>3125</v>
      </c>
      <c r="E1119" t="s">
        <v>2803</v>
      </c>
      <c r="G1119" t="s">
        <v>7</v>
      </c>
      <c r="H1119">
        <v>209500</v>
      </c>
      <c r="I1119">
        <v>0</v>
      </c>
      <c r="J1119" t="s">
        <v>2938</v>
      </c>
      <c r="K1119" t="s">
        <v>2804</v>
      </c>
    </row>
    <row r="1120" spans="1:11">
      <c r="A1120">
        <v>1119</v>
      </c>
      <c r="D1120" t="s">
        <v>3125</v>
      </c>
      <c r="E1120" t="s">
        <v>1034</v>
      </c>
      <c r="G1120" t="s">
        <v>17</v>
      </c>
      <c r="H1120">
        <v>500</v>
      </c>
      <c r="I1120">
        <v>0</v>
      </c>
      <c r="J1120" t="s">
        <v>2938</v>
      </c>
      <c r="K1120" t="s">
        <v>1035</v>
      </c>
    </row>
    <row r="1121" spans="1:11">
      <c r="A1121">
        <v>1120</v>
      </c>
      <c r="D1121" t="s">
        <v>3125</v>
      </c>
      <c r="E1121" t="s">
        <v>223</v>
      </c>
      <c r="G1121" t="s">
        <v>7</v>
      </c>
      <c r="H1121">
        <v>1574.75</v>
      </c>
      <c r="I1121">
        <v>0</v>
      </c>
      <c r="J1121" t="s">
        <v>2938</v>
      </c>
      <c r="K1121" t="s">
        <v>3153</v>
      </c>
    </row>
    <row r="1122" spans="1:11">
      <c r="A1122">
        <v>1121</v>
      </c>
      <c r="D1122" t="s">
        <v>3125</v>
      </c>
      <c r="E1122" t="s">
        <v>1954</v>
      </c>
      <c r="G1122" t="s">
        <v>17</v>
      </c>
      <c r="H1122">
        <v>20</v>
      </c>
      <c r="I1122">
        <v>0</v>
      </c>
      <c r="J1122" t="s">
        <v>2938</v>
      </c>
      <c r="K1122" t="s">
        <v>1955</v>
      </c>
    </row>
    <row r="1123" spans="1:11">
      <c r="A1123">
        <v>1122</v>
      </c>
      <c r="D1123" t="s">
        <v>3125</v>
      </c>
      <c r="E1123" t="s">
        <v>1141</v>
      </c>
      <c r="G1123" t="s">
        <v>17</v>
      </c>
      <c r="H1123">
        <v>1300</v>
      </c>
      <c r="I1123">
        <v>0</v>
      </c>
      <c r="J1123" t="s">
        <v>2938</v>
      </c>
      <c r="K1123" t="s">
        <v>3595</v>
      </c>
    </row>
    <row r="1124" spans="1:11">
      <c r="A1124">
        <v>1123</v>
      </c>
      <c r="D1124" t="s">
        <v>3125</v>
      </c>
      <c r="E1124" t="s">
        <v>2333</v>
      </c>
      <c r="G1124" t="s">
        <v>17</v>
      </c>
      <c r="H1124">
        <v>90</v>
      </c>
      <c r="I1124">
        <v>0</v>
      </c>
      <c r="J1124" t="s">
        <v>2938</v>
      </c>
      <c r="K1124" t="s">
        <v>2334</v>
      </c>
    </row>
    <row r="1125" spans="1:11">
      <c r="A1125">
        <v>1124</v>
      </c>
      <c r="D1125" t="s">
        <v>3125</v>
      </c>
      <c r="E1125" t="s">
        <v>1426</v>
      </c>
      <c r="G1125" t="s">
        <v>7</v>
      </c>
      <c r="H1125">
        <v>359.5</v>
      </c>
      <c r="I1125">
        <v>0</v>
      </c>
      <c r="J1125" t="s">
        <v>2938</v>
      </c>
      <c r="K1125" t="s">
        <v>1427</v>
      </c>
    </row>
    <row r="1126" spans="1:11">
      <c r="A1126">
        <v>1125</v>
      </c>
      <c r="D1126" t="s">
        <v>3125</v>
      </c>
      <c r="E1126" t="s">
        <v>1432</v>
      </c>
      <c r="G1126" t="s">
        <v>7</v>
      </c>
      <c r="H1126">
        <v>470.58</v>
      </c>
      <c r="I1126">
        <v>0</v>
      </c>
      <c r="J1126" t="s">
        <v>2938</v>
      </c>
      <c r="K1126" t="s">
        <v>1433</v>
      </c>
    </row>
    <row r="1127" spans="1:11">
      <c r="A1127">
        <v>1126</v>
      </c>
      <c r="D1127" t="s">
        <v>3125</v>
      </c>
      <c r="E1127" t="s">
        <v>1428</v>
      </c>
      <c r="G1127" t="s">
        <v>7</v>
      </c>
      <c r="H1127">
        <v>1310.5999999999999</v>
      </c>
      <c r="I1127">
        <v>0</v>
      </c>
      <c r="J1127" t="s">
        <v>2938</v>
      </c>
      <c r="K1127" t="s">
        <v>1429</v>
      </c>
    </row>
    <row r="1128" spans="1:11">
      <c r="A1128">
        <v>1127</v>
      </c>
      <c r="D1128" t="s">
        <v>3125</v>
      </c>
      <c r="E1128" t="s">
        <v>1434</v>
      </c>
      <c r="G1128" t="s">
        <v>7</v>
      </c>
      <c r="H1128">
        <v>161.30000000000001</v>
      </c>
      <c r="I1128">
        <v>0</v>
      </c>
      <c r="J1128" t="s">
        <v>2938</v>
      </c>
      <c r="K1128" t="s">
        <v>1435</v>
      </c>
    </row>
    <row r="1129" spans="1:11">
      <c r="A1129">
        <v>1128</v>
      </c>
      <c r="D1129" t="s">
        <v>3125</v>
      </c>
      <c r="E1129" t="s">
        <v>1430</v>
      </c>
      <c r="G1129" t="s">
        <v>7</v>
      </c>
      <c r="H1129">
        <v>1055</v>
      </c>
      <c r="I1129">
        <v>0</v>
      </c>
      <c r="J1129" t="s">
        <v>2938</v>
      </c>
      <c r="K1129" t="s">
        <v>1431</v>
      </c>
    </row>
    <row r="1130" spans="1:11">
      <c r="A1130">
        <v>1129</v>
      </c>
      <c r="D1130" t="s">
        <v>3125</v>
      </c>
      <c r="E1130" t="s">
        <v>1436</v>
      </c>
      <c r="G1130" t="s">
        <v>7</v>
      </c>
      <c r="H1130">
        <v>2494.1999999999998</v>
      </c>
      <c r="I1130">
        <v>0</v>
      </c>
      <c r="J1130" t="s">
        <v>2938</v>
      </c>
      <c r="K1130" t="s">
        <v>1437</v>
      </c>
    </row>
    <row r="1131" spans="1:11">
      <c r="A1131">
        <v>1130</v>
      </c>
      <c r="D1131" t="s">
        <v>3125</v>
      </c>
      <c r="E1131" t="s">
        <v>314</v>
      </c>
      <c r="G1131" t="s">
        <v>17</v>
      </c>
      <c r="H1131">
        <v>7089</v>
      </c>
      <c r="I1131">
        <v>0</v>
      </c>
      <c r="J1131" t="s">
        <v>2938</v>
      </c>
      <c r="K1131" t="s">
        <v>315</v>
      </c>
    </row>
    <row r="1132" spans="1:11">
      <c r="A1132">
        <v>1131</v>
      </c>
      <c r="D1132" t="s">
        <v>3125</v>
      </c>
      <c r="E1132" t="s">
        <v>1050</v>
      </c>
      <c r="G1132" t="s">
        <v>289</v>
      </c>
      <c r="H1132">
        <v>76</v>
      </c>
      <c r="I1132">
        <v>0</v>
      </c>
      <c r="J1132" t="s">
        <v>2938</v>
      </c>
      <c r="K1132" t="s">
        <v>1051</v>
      </c>
    </row>
    <row r="1133" spans="1:11">
      <c r="A1133">
        <v>1132</v>
      </c>
      <c r="D1133" t="s">
        <v>3125</v>
      </c>
      <c r="E1133" t="s">
        <v>316</v>
      </c>
      <c r="G1133" t="s">
        <v>17</v>
      </c>
      <c r="H1133">
        <v>1604</v>
      </c>
      <c r="I1133">
        <v>0</v>
      </c>
      <c r="J1133" t="s">
        <v>2938</v>
      </c>
      <c r="K1133" t="s">
        <v>3038</v>
      </c>
    </row>
    <row r="1134" spans="1:11">
      <c r="A1134">
        <v>1133</v>
      </c>
      <c r="D1134" t="s">
        <v>3125</v>
      </c>
      <c r="E1134" t="s">
        <v>3039</v>
      </c>
      <c r="G1134" t="s">
        <v>17</v>
      </c>
      <c r="H1134">
        <v>40</v>
      </c>
      <c r="I1134">
        <v>0</v>
      </c>
      <c r="J1134" t="s">
        <v>2938</v>
      </c>
      <c r="K1134" t="s">
        <v>3040</v>
      </c>
    </row>
    <row r="1135" spans="1:11">
      <c r="A1135">
        <v>1134</v>
      </c>
      <c r="D1135" t="s">
        <v>3125</v>
      </c>
      <c r="E1135" t="s">
        <v>319</v>
      </c>
      <c r="G1135" t="s">
        <v>17</v>
      </c>
      <c r="H1135">
        <v>800</v>
      </c>
      <c r="I1135">
        <v>0</v>
      </c>
      <c r="J1135" t="s">
        <v>2938</v>
      </c>
      <c r="K1135" t="s">
        <v>320</v>
      </c>
    </row>
    <row r="1136" spans="1:11">
      <c r="A1136">
        <v>1135</v>
      </c>
      <c r="D1136" t="s">
        <v>3125</v>
      </c>
      <c r="E1136" t="s">
        <v>1956</v>
      </c>
      <c r="G1136" t="s">
        <v>17</v>
      </c>
      <c r="H1136">
        <v>155</v>
      </c>
      <c r="I1136">
        <v>0</v>
      </c>
      <c r="J1136" t="s">
        <v>2938</v>
      </c>
      <c r="K1136" t="s">
        <v>1957</v>
      </c>
    </row>
    <row r="1137" spans="1:11">
      <c r="A1137">
        <v>1136</v>
      </c>
      <c r="D1137" t="s">
        <v>3125</v>
      </c>
      <c r="E1137" t="s">
        <v>317</v>
      </c>
      <c r="G1137" t="s">
        <v>17</v>
      </c>
      <c r="H1137">
        <v>28</v>
      </c>
      <c r="I1137">
        <v>0</v>
      </c>
      <c r="J1137" t="s">
        <v>2938</v>
      </c>
      <c r="K1137" t="s">
        <v>318</v>
      </c>
    </row>
    <row r="1138" spans="1:11">
      <c r="A1138">
        <v>1137</v>
      </c>
      <c r="D1138" t="s">
        <v>3125</v>
      </c>
      <c r="E1138" t="s">
        <v>1754</v>
      </c>
      <c r="G1138" t="s">
        <v>20</v>
      </c>
      <c r="H1138">
        <v>13.1</v>
      </c>
      <c r="I1138">
        <v>0</v>
      </c>
      <c r="J1138" t="s">
        <v>2938</v>
      </c>
      <c r="K1138" t="s">
        <v>1755</v>
      </c>
    </row>
    <row r="1139" spans="1:11">
      <c r="A1139">
        <v>1138</v>
      </c>
      <c r="D1139" t="s">
        <v>3125</v>
      </c>
      <c r="E1139" t="s">
        <v>2397</v>
      </c>
      <c r="G1139" t="s">
        <v>17</v>
      </c>
      <c r="H1139">
        <v>30</v>
      </c>
      <c r="I1139">
        <v>0</v>
      </c>
      <c r="J1139" t="s">
        <v>2938</v>
      </c>
      <c r="K1139" t="s">
        <v>2398</v>
      </c>
    </row>
    <row r="1140" spans="1:11">
      <c r="A1140">
        <v>1139</v>
      </c>
      <c r="D1140" t="s">
        <v>3125</v>
      </c>
      <c r="E1140" t="s">
        <v>1068</v>
      </c>
      <c r="G1140" t="s">
        <v>17</v>
      </c>
      <c r="H1140">
        <v>5900</v>
      </c>
      <c r="I1140">
        <v>0</v>
      </c>
      <c r="J1140" t="s">
        <v>2938</v>
      </c>
      <c r="K1140" t="s">
        <v>1069</v>
      </c>
    </row>
    <row r="1141" spans="1:11">
      <c r="A1141">
        <v>1140</v>
      </c>
      <c r="D1141" t="s">
        <v>3125</v>
      </c>
      <c r="E1141" t="s">
        <v>1145</v>
      </c>
      <c r="G1141" t="s">
        <v>17</v>
      </c>
      <c r="H1141">
        <v>6</v>
      </c>
      <c r="I1141">
        <v>0</v>
      </c>
      <c r="J1141" t="s">
        <v>2938</v>
      </c>
      <c r="K1141" t="s">
        <v>1146</v>
      </c>
    </row>
    <row r="1142" spans="1:11">
      <c r="A1142">
        <v>1141</v>
      </c>
      <c r="D1142" t="s">
        <v>3125</v>
      </c>
      <c r="E1142" t="s">
        <v>1076</v>
      </c>
      <c r="G1142" t="s">
        <v>17</v>
      </c>
      <c r="H1142">
        <v>300</v>
      </c>
      <c r="I1142">
        <v>0</v>
      </c>
      <c r="J1142" t="s">
        <v>2938</v>
      </c>
      <c r="K1142" t="s">
        <v>1077</v>
      </c>
    </row>
    <row r="1143" spans="1:11">
      <c r="A1143">
        <v>1142</v>
      </c>
      <c r="D1143" t="s">
        <v>3125</v>
      </c>
      <c r="E1143" t="s">
        <v>3486</v>
      </c>
      <c r="G1143" t="s">
        <v>7</v>
      </c>
      <c r="H1143">
        <v>277</v>
      </c>
      <c r="I1143">
        <v>0</v>
      </c>
      <c r="J1143" t="s">
        <v>2938</v>
      </c>
      <c r="K1143" t="s">
        <v>3487</v>
      </c>
    </row>
    <row r="1144" spans="1:11">
      <c r="A1144">
        <v>1143</v>
      </c>
      <c r="D1144" t="s">
        <v>3125</v>
      </c>
      <c r="E1144" t="s">
        <v>3478</v>
      </c>
      <c r="G1144" t="s">
        <v>17</v>
      </c>
      <c r="H1144">
        <v>6</v>
      </c>
      <c r="I1144">
        <v>0</v>
      </c>
      <c r="J1144" t="s">
        <v>2938</v>
      </c>
      <c r="K1144" t="s">
        <v>3479</v>
      </c>
    </row>
    <row r="1145" spans="1:11">
      <c r="A1145">
        <v>1144</v>
      </c>
      <c r="D1145" t="s">
        <v>3125</v>
      </c>
      <c r="E1145" t="s">
        <v>1127</v>
      </c>
      <c r="G1145" t="s">
        <v>17</v>
      </c>
      <c r="H1145">
        <v>3000</v>
      </c>
      <c r="I1145">
        <v>0</v>
      </c>
      <c r="J1145" t="s">
        <v>2938</v>
      </c>
      <c r="K1145" t="s">
        <v>1128</v>
      </c>
    </row>
    <row r="1146" spans="1:11">
      <c r="A1146">
        <v>1145</v>
      </c>
      <c r="D1146" t="s">
        <v>3125</v>
      </c>
      <c r="E1146" t="s">
        <v>1538</v>
      </c>
      <c r="G1146" t="s">
        <v>17</v>
      </c>
      <c r="H1146">
        <v>5997</v>
      </c>
      <c r="I1146">
        <v>0</v>
      </c>
      <c r="J1146" t="s">
        <v>2938</v>
      </c>
      <c r="K1146" t="s">
        <v>1539</v>
      </c>
    </row>
    <row r="1147" spans="1:11">
      <c r="A1147">
        <v>1146</v>
      </c>
      <c r="D1147" t="s">
        <v>3125</v>
      </c>
      <c r="E1147" t="s">
        <v>68</v>
      </c>
      <c r="G1147" t="s">
        <v>17</v>
      </c>
      <c r="H1147">
        <v>29703</v>
      </c>
      <c r="I1147">
        <v>0</v>
      </c>
      <c r="J1147" t="s">
        <v>2938</v>
      </c>
      <c r="K1147" t="s">
        <v>69</v>
      </c>
    </row>
    <row r="1148" spans="1:11">
      <c r="A1148">
        <v>1147</v>
      </c>
      <c r="D1148" t="s">
        <v>3125</v>
      </c>
      <c r="E1148" t="s">
        <v>57</v>
      </c>
      <c r="G1148" t="s">
        <v>17</v>
      </c>
      <c r="H1148">
        <v>21836</v>
      </c>
      <c r="I1148">
        <v>0</v>
      </c>
      <c r="J1148" t="s">
        <v>2938</v>
      </c>
      <c r="K1148" t="s">
        <v>58</v>
      </c>
    </row>
    <row r="1149" spans="1:11">
      <c r="A1149">
        <v>1148</v>
      </c>
      <c r="D1149" t="s">
        <v>3125</v>
      </c>
      <c r="E1149" t="s">
        <v>1958</v>
      </c>
      <c r="G1149" t="s">
        <v>17</v>
      </c>
      <c r="H1149">
        <v>17</v>
      </c>
      <c r="I1149">
        <v>0</v>
      </c>
      <c r="J1149" t="s">
        <v>2938</v>
      </c>
      <c r="K1149" t="s">
        <v>1959</v>
      </c>
    </row>
    <row r="1150" spans="1:11">
      <c r="A1150">
        <v>1149</v>
      </c>
      <c r="D1150" t="s">
        <v>3125</v>
      </c>
      <c r="E1150" t="s">
        <v>1088</v>
      </c>
      <c r="G1150" t="s">
        <v>7</v>
      </c>
      <c r="H1150">
        <v>150</v>
      </c>
      <c r="I1150">
        <v>0</v>
      </c>
      <c r="J1150" t="s">
        <v>2938</v>
      </c>
      <c r="K1150" t="s">
        <v>1089</v>
      </c>
    </row>
    <row r="1151" spans="1:11">
      <c r="A1151">
        <v>1150</v>
      </c>
      <c r="D1151" t="s">
        <v>3125</v>
      </c>
      <c r="E1151" t="s">
        <v>3476</v>
      </c>
      <c r="G1151" t="s">
        <v>20</v>
      </c>
      <c r="H1151">
        <v>216</v>
      </c>
      <c r="I1151">
        <v>0</v>
      </c>
      <c r="J1151" t="s">
        <v>2938</v>
      </c>
      <c r="K1151" t="s">
        <v>3477</v>
      </c>
    </row>
    <row r="1152" spans="1:11">
      <c r="A1152">
        <v>1151</v>
      </c>
      <c r="D1152" t="s">
        <v>3125</v>
      </c>
      <c r="E1152" t="s">
        <v>1106</v>
      </c>
      <c r="G1152" t="s">
        <v>20</v>
      </c>
      <c r="H1152">
        <v>50.6</v>
      </c>
      <c r="I1152">
        <v>0</v>
      </c>
      <c r="J1152" t="s">
        <v>2938</v>
      </c>
      <c r="K1152" t="s">
        <v>1107</v>
      </c>
    </row>
    <row r="1153" spans="1:11">
      <c r="A1153">
        <v>1152</v>
      </c>
      <c r="D1153" t="s">
        <v>3125</v>
      </c>
      <c r="E1153" t="s">
        <v>2573</v>
      </c>
      <c r="G1153" t="s">
        <v>7</v>
      </c>
      <c r="H1153">
        <v>1249</v>
      </c>
      <c r="I1153">
        <v>0</v>
      </c>
      <c r="J1153" t="s">
        <v>2940</v>
      </c>
      <c r="K1153" t="s">
        <v>2574</v>
      </c>
    </row>
    <row r="1154" spans="1:11">
      <c r="A1154">
        <v>1153</v>
      </c>
      <c r="D1154" t="s">
        <v>3125</v>
      </c>
      <c r="E1154" t="s">
        <v>2573</v>
      </c>
      <c r="G1154" t="s">
        <v>7</v>
      </c>
      <c r="H1154">
        <v>6172</v>
      </c>
      <c r="I1154">
        <v>0</v>
      </c>
      <c r="J1154" t="s">
        <v>2938</v>
      </c>
      <c r="K1154" t="s">
        <v>2574</v>
      </c>
    </row>
    <row r="1155" spans="1:11">
      <c r="A1155">
        <v>1154</v>
      </c>
      <c r="D1155" t="s">
        <v>3125</v>
      </c>
      <c r="E1155" t="s">
        <v>1444</v>
      </c>
      <c r="G1155" t="s">
        <v>7</v>
      </c>
      <c r="H1155">
        <v>1370.75</v>
      </c>
      <c r="I1155">
        <v>0</v>
      </c>
      <c r="J1155" t="s">
        <v>2938</v>
      </c>
      <c r="K1155" t="s">
        <v>1445</v>
      </c>
    </row>
    <row r="1156" spans="1:11">
      <c r="A1156">
        <v>1155</v>
      </c>
      <c r="D1156" t="s">
        <v>3125</v>
      </c>
      <c r="E1156" t="s">
        <v>70</v>
      </c>
      <c r="G1156" t="s">
        <v>17</v>
      </c>
      <c r="H1156">
        <v>30</v>
      </c>
      <c r="I1156">
        <v>0</v>
      </c>
      <c r="J1156" t="s">
        <v>2938</v>
      </c>
      <c r="K1156" t="s">
        <v>71</v>
      </c>
    </row>
    <row r="1157" spans="1:11">
      <c r="A1157">
        <v>1156</v>
      </c>
      <c r="D1157" t="s">
        <v>3125</v>
      </c>
      <c r="E1157" t="s">
        <v>1108</v>
      </c>
      <c r="G1157" t="s">
        <v>17</v>
      </c>
      <c r="H1157">
        <v>152</v>
      </c>
      <c r="I1157">
        <v>0</v>
      </c>
      <c r="J1157" t="s">
        <v>2938</v>
      </c>
      <c r="K1157" t="s">
        <v>1109</v>
      </c>
    </row>
    <row r="1158" spans="1:11">
      <c r="A1158">
        <v>1157</v>
      </c>
      <c r="D1158" t="s">
        <v>3125</v>
      </c>
      <c r="E1158" t="s">
        <v>1446</v>
      </c>
      <c r="G1158" t="s">
        <v>7</v>
      </c>
      <c r="H1158">
        <v>616</v>
      </c>
      <c r="I1158">
        <v>0</v>
      </c>
      <c r="J1158" t="s">
        <v>2938</v>
      </c>
      <c r="K1158" t="s">
        <v>1447</v>
      </c>
    </row>
    <row r="1159" spans="1:11">
      <c r="A1159">
        <v>1158</v>
      </c>
      <c r="D1159" t="s">
        <v>3125</v>
      </c>
      <c r="E1159" t="s">
        <v>1448</v>
      </c>
      <c r="G1159" t="s">
        <v>7</v>
      </c>
      <c r="H1159">
        <v>306.05</v>
      </c>
      <c r="I1159">
        <v>0</v>
      </c>
      <c r="J1159" t="s">
        <v>2938</v>
      </c>
      <c r="K1159" t="s">
        <v>1449</v>
      </c>
    </row>
    <row r="1160" spans="1:11">
      <c r="A1160">
        <v>1159</v>
      </c>
      <c r="D1160" t="s">
        <v>3125</v>
      </c>
      <c r="E1160" t="s">
        <v>1960</v>
      </c>
      <c r="G1160" t="s">
        <v>17</v>
      </c>
      <c r="H1160">
        <v>5</v>
      </c>
      <c r="I1160">
        <v>0</v>
      </c>
      <c r="J1160" t="s">
        <v>2938</v>
      </c>
      <c r="K1160" t="s">
        <v>1961</v>
      </c>
    </row>
    <row r="1161" spans="1:11">
      <c r="A1161">
        <v>1160</v>
      </c>
      <c r="D1161" t="s">
        <v>3125</v>
      </c>
      <c r="E1161" t="s">
        <v>325</v>
      </c>
      <c r="G1161" t="s">
        <v>17</v>
      </c>
      <c r="H1161">
        <v>2000</v>
      </c>
      <c r="I1161">
        <v>0</v>
      </c>
      <c r="J1161" t="s">
        <v>2938</v>
      </c>
      <c r="K1161" t="s">
        <v>326</v>
      </c>
    </row>
    <row r="1162" spans="1:11">
      <c r="A1162">
        <v>1161</v>
      </c>
      <c r="D1162" t="s">
        <v>3125</v>
      </c>
      <c r="E1162" t="s">
        <v>1110</v>
      </c>
      <c r="G1162" t="s">
        <v>17</v>
      </c>
      <c r="H1162">
        <v>7500</v>
      </c>
      <c r="I1162">
        <v>0</v>
      </c>
      <c r="J1162" t="s">
        <v>2938</v>
      </c>
      <c r="K1162" t="s">
        <v>1111</v>
      </c>
    </row>
    <row r="1163" spans="1:11">
      <c r="A1163">
        <v>1162</v>
      </c>
      <c r="D1163" t="s">
        <v>3125</v>
      </c>
      <c r="E1163" t="s">
        <v>1112</v>
      </c>
      <c r="G1163" t="s">
        <v>17</v>
      </c>
      <c r="H1163">
        <v>1000</v>
      </c>
      <c r="I1163">
        <v>0</v>
      </c>
      <c r="J1163" t="s">
        <v>2938</v>
      </c>
      <c r="K1163" t="s">
        <v>1113</v>
      </c>
    </row>
    <row r="1164" spans="1:11">
      <c r="A1164">
        <v>1163</v>
      </c>
      <c r="D1164" t="s">
        <v>3125</v>
      </c>
      <c r="E1164" t="s">
        <v>641</v>
      </c>
      <c r="G1164" t="s">
        <v>17</v>
      </c>
      <c r="H1164">
        <v>300</v>
      </c>
      <c r="I1164">
        <v>0</v>
      </c>
      <c r="J1164" t="s">
        <v>2938</v>
      </c>
      <c r="K1164" t="s">
        <v>3273</v>
      </c>
    </row>
    <row r="1165" spans="1:11">
      <c r="A1165">
        <v>1164</v>
      </c>
      <c r="D1165" t="s">
        <v>3125</v>
      </c>
      <c r="E1165" t="s">
        <v>3671</v>
      </c>
      <c r="G1165" t="s">
        <v>20</v>
      </c>
      <c r="H1165">
        <v>620</v>
      </c>
      <c r="I1165">
        <v>0</v>
      </c>
      <c r="J1165" t="s">
        <v>2938</v>
      </c>
      <c r="K1165" t="s">
        <v>3672</v>
      </c>
    </row>
    <row r="1166" spans="1:11">
      <c r="A1166">
        <v>1165</v>
      </c>
      <c r="D1166" t="s">
        <v>3125</v>
      </c>
      <c r="E1166" t="s">
        <v>294</v>
      </c>
      <c r="G1166" t="s">
        <v>17</v>
      </c>
      <c r="H1166">
        <v>650</v>
      </c>
      <c r="I1166">
        <v>0</v>
      </c>
      <c r="J1166" t="s">
        <v>2938</v>
      </c>
      <c r="K1166" t="s">
        <v>295</v>
      </c>
    </row>
    <row r="1167" spans="1:11">
      <c r="A1167">
        <v>1166</v>
      </c>
      <c r="D1167" t="s">
        <v>3125</v>
      </c>
      <c r="E1167" t="s">
        <v>2927</v>
      </c>
      <c r="G1167" t="s">
        <v>17</v>
      </c>
      <c r="H1167">
        <v>595</v>
      </c>
      <c r="I1167">
        <v>0</v>
      </c>
      <c r="J1167" t="s">
        <v>2938</v>
      </c>
      <c r="K1167" t="s">
        <v>3037</v>
      </c>
    </row>
    <row r="1168" spans="1:11">
      <c r="A1168">
        <v>1167</v>
      </c>
      <c r="D1168" t="s">
        <v>3125</v>
      </c>
      <c r="E1168" t="s">
        <v>2928</v>
      </c>
      <c r="G1168" t="s">
        <v>17</v>
      </c>
      <c r="H1168">
        <v>1120</v>
      </c>
      <c r="I1168">
        <v>0</v>
      </c>
      <c r="J1168" t="s">
        <v>2938</v>
      </c>
      <c r="K1168" t="s">
        <v>2929</v>
      </c>
    </row>
    <row r="1169" spans="1:11">
      <c r="A1169">
        <v>1168</v>
      </c>
      <c r="D1169" t="s">
        <v>3125</v>
      </c>
      <c r="E1169" t="s">
        <v>1964</v>
      </c>
      <c r="G1169" t="s">
        <v>17</v>
      </c>
      <c r="H1169">
        <v>15</v>
      </c>
      <c r="I1169">
        <v>0</v>
      </c>
      <c r="J1169" t="s">
        <v>2938</v>
      </c>
      <c r="K1169" t="s">
        <v>1965</v>
      </c>
    </row>
    <row r="1170" spans="1:11">
      <c r="A1170">
        <v>1169</v>
      </c>
      <c r="D1170" t="s">
        <v>3125</v>
      </c>
      <c r="E1170" t="s">
        <v>1962</v>
      </c>
      <c r="G1170" t="s">
        <v>17</v>
      </c>
      <c r="H1170">
        <v>14</v>
      </c>
      <c r="I1170">
        <v>0</v>
      </c>
      <c r="J1170" t="s">
        <v>2938</v>
      </c>
      <c r="K1170" t="s">
        <v>1963</v>
      </c>
    </row>
    <row r="1171" spans="1:11">
      <c r="A1171">
        <v>1170</v>
      </c>
      <c r="D1171" t="s">
        <v>3125</v>
      </c>
      <c r="E1171" t="s">
        <v>1966</v>
      </c>
      <c r="G1171" t="s">
        <v>17</v>
      </c>
      <c r="H1171">
        <v>10</v>
      </c>
      <c r="I1171">
        <v>0</v>
      </c>
      <c r="J1171" t="s">
        <v>2938</v>
      </c>
      <c r="K1171" t="s">
        <v>1967</v>
      </c>
    </row>
    <row r="1172" spans="1:11">
      <c r="A1172">
        <v>1171</v>
      </c>
      <c r="D1172" t="s">
        <v>3125</v>
      </c>
      <c r="E1172" t="s">
        <v>1968</v>
      </c>
      <c r="G1172" t="s">
        <v>17</v>
      </c>
      <c r="H1172">
        <v>11</v>
      </c>
      <c r="I1172">
        <v>0</v>
      </c>
      <c r="J1172" t="s">
        <v>2938</v>
      </c>
      <c r="K1172" t="s">
        <v>1969</v>
      </c>
    </row>
    <row r="1173" spans="1:11">
      <c r="A1173">
        <v>1172</v>
      </c>
      <c r="D1173" t="s">
        <v>3125</v>
      </c>
      <c r="E1173" t="s">
        <v>1114</v>
      </c>
      <c r="G1173" t="s">
        <v>1116</v>
      </c>
      <c r="H1173">
        <v>1830</v>
      </c>
      <c r="I1173">
        <v>0</v>
      </c>
      <c r="J1173" t="s">
        <v>2938</v>
      </c>
      <c r="K1173" t="s">
        <v>1115</v>
      </c>
    </row>
    <row r="1174" spans="1:11">
      <c r="A1174">
        <v>1173</v>
      </c>
      <c r="D1174" t="s">
        <v>3125</v>
      </c>
      <c r="E1174" t="s">
        <v>1040</v>
      </c>
      <c r="G1174" t="s">
        <v>17</v>
      </c>
      <c r="H1174">
        <v>138250</v>
      </c>
      <c r="I1174">
        <v>0</v>
      </c>
      <c r="J1174" t="s">
        <v>2938</v>
      </c>
      <c r="K1174" t="s">
        <v>1041</v>
      </c>
    </row>
    <row r="1175" spans="1:11">
      <c r="A1175">
        <v>1174</v>
      </c>
      <c r="D1175" t="s">
        <v>3125</v>
      </c>
      <c r="E1175" t="s">
        <v>225</v>
      </c>
      <c r="G1175" t="s">
        <v>7</v>
      </c>
      <c r="H1175">
        <v>4468.75</v>
      </c>
      <c r="I1175">
        <v>0</v>
      </c>
      <c r="J1175" t="s">
        <v>2938</v>
      </c>
      <c r="K1175" t="s">
        <v>226</v>
      </c>
    </row>
    <row r="1176" spans="1:11">
      <c r="A1176">
        <v>1175</v>
      </c>
      <c r="D1176" t="s">
        <v>3125</v>
      </c>
      <c r="E1176" t="s">
        <v>1970</v>
      </c>
      <c r="G1176" t="s">
        <v>17</v>
      </c>
      <c r="H1176">
        <v>27</v>
      </c>
      <c r="I1176">
        <v>0</v>
      </c>
      <c r="J1176" t="s">
        <v>2938</v>
      </c>
      <c r="K1176" t="s">
        <v>1971</v>
      </c>
    </row>
    <row r="1177" spans="1:11">
      <c r="A1177">
        <v>1176</v>
      </c>
      <c r="D1177" t="s">
        <v>3125</v>
      </c>
      <c r="E1177" t="s">
        <v>1042</v>
      </c>
      <c r="G1177" t="s">
        <v>17</v>
      </c>
      <c r="H1177">
        <v>6250</v>
      </c>
      <c r="I1177">
        <v>0</v>
      </c>
      <c r="J1177" t="s">
        <v>2938</v>
      </c>
      <c r="K1177" t="s">
        <v>1043</v>
      </c>
    </row>
    <row r="1178" spans="1:11">
      <c r="A1178">
        <v>1177</v>
      </c>
      <c r="D1178" t="s">
        <v>3125</v>
      </c>
      <c r="E1178" t="s">
        <v>1131</v>
      </c>
      <c r="G1178" t="s">
        <v>17</v>
      </c>
      <c r="H1178">
        <v>1020</v>
      </c>
      <c r="I1178">
        <v>0</v>
      </c>
      <c r="J1178" t="s">
        <v>2938</v>
      </c>
      <c r="K1178" t="s">
        <v>1132</v>
      </c>
    </row>
    <row r="1179" spans="1:11">
      <c r="A1179">
        <v>1178</v>
      </c>
      <c r="D1179" t="s">
        <v>3125</v>
      </c>
      <c r="E1179" t="s">
        <v>5</v>
      </c>
      <c r="G1179" t="s">
        <v>7</v>
      </c>
      <c r="H1179">
        <v>680</v>
      </c>
      <c r="I1179">
        <v>0</v>
      </c>
      <c r="J1179" t="s">
        <v>2938</v>
      </c>
      <c r="K1179" t="s">
        <v>6</v>
      </c>
    </row>
    <row r="1180" spans="1:11">
      <c r="A1180">
        <v>1179</v>
      </c>
      <c r="D1180" t="s">
        <v>3125</v>
      </c>
      <c r="E1180" t="s">
        <v>14</v>
      </c>
      <c r="G1180" t="s">
        <v>7</v>
      </c>
      <c r="H1180">
        <v>465.6</v>
      </c>
      <c r="I1180">
        <v>0</v>
      </c>
      <c r="J1180" t="s">
        <v>2938</v>
      </c>
      <c r="K1180" t="s">
        <v>15</v>
      </c>
    </row>
    <row r="1181" spans="1:11">
      <c r="A1181">
        <v>1180</v>
      </c>
      <c r="D1181" t="s">
        <v>3125</v>
      </c>
      <c r="E1181" t="s">
        <v>936</v>
      </c>
      <c r="G1181" t="s">
        <v>20</v>
      </c>
      <c r="H1181">
        <v>233.85</v>
      </c>
      <c r="I1181">
        <v>0</v>
      </c>
      <c r="J1181" t="s">
        <v>2938</v>
      </c>
      <c r="K1181" t="s">
        <v>937</v>
      </c>
    </row>
    <row r="1182" spans="1:11">
      <c r="A1182">
        <v>1181</v>
      </c>
      <c r="D1182" t="s">
        <v>3125</v>
      </c>
      <c r="E1182" t="s">
        <v>1714</v>
      </c>
      <c r="G1182" t="s">
        <v>17</v>
      </c>
      <c r="H1182">
        <v>600</v>
      </c>
      <c r="I1182">
        <v>0</v>
      </c>
      <c r="J1182" t="s">
        <v>2938</v>
      </c>
      <c r="K1182" t="s">
        <v>1715</v>
      </c>
    </row>
    <row r="1183" spans="1:11">
      <c r="A1183">
        <v>1182</v>
      </c>
      <c r="D1183" t="s">
        <v>3125</v>
      </c>
      <c r="E1183" t="s">
        <v>1716</v>
      </c>
      <c r="G1183" t="s">
        <v>17</v>
      </c>
      <c r="H1183">
        <v>400</v>
      </c>
      <c r="I1183">
        <v>0</v>
      </c>
      <c r="J1183" t="s">
        <v>2938</v>
      </c>
      <c r="K1183" t="s">
        <v>1717</v>
      </c>
    </row>
    <row r="1184" spans="1:11">
      <c r="A1184">
        <v>1183</v>
      </c>
      <c r="D1184" t="s">
        <v>3125</v>
      </c>
      <c r="E1184" t="s">
        <v>11</v>
      </c>
      <c r="G1184" t="s">
        <v>7</v>
      </c>
      <c r="H1184">
        <v>385</v>
      </c>
      <c r="I1184">
        <v>0</v>
      </c>
      <c r="J1184" t="s">
        <v>2938</v>
      </c>
      <c r="K1184" t="s">
        <v>2970</v>
      </c>
    </row>
    <row r="1185" spans="1:11">
      <c r="A1185">
        <v>1184</v>
      </c>
      <c r="D1185" t="s">
        <v>3125</v>
      </c>
      <c r="E1185" t="s">
        <v>333</v>
      </c>
      <c r="G1185" t="s">
        <v>17</v>
      </c>
      <c r="H1185">
        <v>233</v>
      </c>
      <c r="I1185">
        <v>0</v>
      </c>
      <c r="J1185" t="s">
        <v>2938</v>
      </c>
      <c r="K1185" t="s">
        <v>334</v>
      </c>
    </row>
    <row r="1186" spans="1:11">
      <c r="A1186">
        <v>1185</v>
      </c>
      <c r="D1186" t="s">
        <v>3125</v>
      </c>
      <c r="E1186" t="s">
        <v>2882</v>
      </c>
      <c r="G1186" t="s">
        <v>17</v>
      </c>
      <c r="H1186">
        <v>23650</v>
      </c>
      <c r="I1186">
        <v>0</v>
      </c>
      <c r="J1186" t="s">
        <v>2938</v>
      </c>
      <c r="K1186" t="s">
        <v>2883</v>
      </c>
    </row>
    <row r="1187" spans="1:11">
      <c r="A1187">
        <v>1186</v>
      </c>
      <c r="D1187" t="s">
        <v>3125</v>
      </c>
      <c r="E1187" t="s">
        <v>335</v>
      </c>
      <c r="G1187" t="s">
        <v>17</v>
      </c>
      <c r="H1187">
        <v>3100</v>
      </c>
      <c r="I1187">
        <v>0</v>
      </c>
      <c r="J1187" t="s">
        <v>2938</v>
      </c>
      <c r="K1187" t="s">
        <v>336</v>
      </c>
    </row>
    <row r="1188" spans="1:11">
      <c r="A1188">
        <v>1187</v>
      </c>
      <c r="D1188" t="s">
        <v>3125</v>
      </c>
      <c r="E1188" t="s">
        <v>327</v>
      </c>
      <c r="G1188" t="s">
        <v>17</v>
      </c>
      <c r="H1188">
        <v>95</v>
      </c>
      <c r="I1188">
        <v>0</v>
      </c>
      <c r="J1188" t="s">
        <v>2938</v>
      </c>
      <c r="K1188" t="s">
        <v>328</v>
      </c>
    </row>
    <row r="1189" spans="1:11">
      <c r="A1189">
        <v>1188</v>
      </c>
      <c r="D1189" t="s">
        <v>3125</v>
      </c>
      <c r="E1189" t="s">
        <v>2880</v>
      </c>
      <c r="G1189" t="s">
        <v>17</v>
      </c>
      <c r="H1189">
        <v>3900</v>
      </c>
      <c r="I1189">
        <v>0</v>
      </c>
      <c r="J1189" t="s">
        <v>2938</v>
      </c>
      <c r="K1189" t="s">
        <v>2881</v>
      </c>
    </row>
    <row r="1190" spans="1:11">
      <c r="A1190">
        <v>1189</v>
      </c>
      <c r="D1190" t="s">
        <v>3125</v>
      </c>
      <c r="E1190" t="s">
        <v>1133</v>
      </c>
      <c r="G1190" t="s">
        <v>17</v>
      </c>
      <c r="H1190">
        <v>2516</v>
      </c>
      <c r="I1190">
        <v>0</v>
      </c>
      <c r="J1190" t="s">
        <v>2938</v>
      </c>
      <c r="K1190" t="s">
        <v>1134</v>
      </c>
    </row>
    <row r="1191" spans="1:11">
      <c r="A1191">
        <v>1190</v>
      </c>
      <c r="D1191" t="s">
        <v>3125</v>
      </c>
      <c r="E1191" t="s">
        <v>3271</v>
      </c>
      <c r="G1191" t="s">
        <v>17</v>
      </c>
      <c r="H1191">
        <v>1500</v>
      </c>
      <c r="I1191">
        <v>0</v>
      </c>
      <c r="J1191" t="s">
        <v>2938</v>
      </c>
      <c r="K1191" t="s">
        <v>3272</v>
      </c>
    </row>
    <row r="1192" spans="1:11">
      <c r="A1192">
        <v>1191</v>
      </c>
      <c r="D1192" t="s">
        <v>3125</v>
      </c>
      <c r="E1192" t="s">
        <v>555</v>
      </c>
      <c r="G1192" t="s">
        <v>17</v>
      </c>
      <c r="H1192">
        <v>796</v>
      </c>
      <c r="I1192">
        <v>0</v>
      </c>
      <c r="J1192" t="s">
        <v>2938</v>
      </c>
      <c r="K1192" t="s">
        <v>556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690"/>
  <sheetViews>
    <sheetView workbookViewId="0">
      <pane ySplit="1" topLeftCell="A2" activePane="bottomLeft" state="frozen"/>
      <selection pane="bottomLeft" activeCell="B6" sqref="A1:X1690"/>
    </sheetView>
  </sheetViews>
  <sheetFormatPr defaultRowHeight="15"/>
  <cols>
    <col min="1" max="1" width="8" style="5" bestFit="1" customWidth="1"/>
    <col min="2" max="2" width="36.85546875" bestFit="1" customWidth="1"/>
    <col min="3" max="3" width="74.7109375" bestFit="1" customWidth="1"/>
    <col min="4" max="4" width="7.7109375" bestFit="1" customWidth="1"/>
    <col min="5" max="5" width="13.42578125" bestFit="1" customWidth="1"/>
    <col min="6" max="6" width="19.85546875" bestFit="1" customWidth="1"/>
    <col min="7" max="7" width="13.7109375" bestFit="1" customWidth="1"/>
    <col min="8" max="8" width="15.42578125" bestFit="1" customWidth="1"/>
    <col min="9" max="9" width="18.5703125" bestFit="1" customWidth="1"/>
    <col min="10" max="10" width="11.5703125" bestFit="1" customWidth="1"/>
    <col min="11" max="11" width="16.5703125" bestFit="1" customWidth="1"/>
    <col min="12" max="12" width="12.28515625" bestFit="1" customWidth="1"/>
    <col min="13" max="13" width="13.85546875" bestFit="1" customWidth="1"/>
    <col min="14" max="14" width="17.7109375" customWidth="1"/>
    <col min="15" max="15" width="23.42578125" bestFit="1" customWidth="1"/>
    <col min="16" max="16" width="16.28515625" bestFit="1" customWidth="1"/>
    <col min="17" max="17" width="16.7109375" bestFit="1" customWidth="1"/>
    <col min="18" max="18" width="15.7109375" bestFit="1" customWidth="1"/>
    <col min="19" max="19" width="25.7109375" bestFit="1" customWidth="1"/>
    <col min="20" max="20" width="40.5703125" bestFit="1" customWidth="1"/>
    <col min="21" max="21" width="20.85546875" bestFit="1" customWidth="1"/>
    <col min="22" max="22" width="18" bestFit="1" customWidth="1"/>
    <col min="23" max="23" width="18.28515625" bestFit="1" customWidth="1"/>
    <col min="24" max="24" width="25.5703125" bestFit="1" customWidth="1"/>
  </cols>
  <sheetData>
    <row r="1" spans="1:2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2934</v>
      </c>
      <c r="G1" t="s">
        <v>2935</v>
      </c>
      <c r="H1" t="s">
        <v>2936</v>
      </c>
      <c r="I1" t="s">
        <v>2937</v>
      </c>
      <c r="J1" t="s">
        <v>2940</v>
      </c>
      <c r="K1" t="s">
        <v>2939</v>
      </c>
      <c r="L1" t="s">
        <v>2938</v>
      </c>
      <c r="M1" t="s">
        <v>3155</v>
      </c>
      <c r="N1" t="s">
        <v>2941</v>
      </c>
      <c r="O1" t="s">
        <v>2942</v>
      </c>
      <c r="P1" t="s">
        <v>3066</v>
      </c>
      <c r="Q1" t="s">
        <v>3067</v>
      </c>
      <c r="R1" t="s">
        <v>2943</v>
      </c>
      <c r="S1" t="s">
        <v>2944</v>
      </c>
      <c r="T1" t="s">
        <v>2956</v>
      </c>
      <c r="U1" t="s">
        <v>2945</v>
      </c>
      <c r="V1" t="s">
        <v>2946</v>
      </c>
      <c r="W1" t="s">
        <v>3054</v>
      </c>
      <c r="X1" t="s">
        <v>3154</v>
      </c>
    </row>
    <row r="2" spans="1:24">
      <c r="A2">
        <v>1</v>
      </c>
      <c r="B2" t="s">
        <v>5</v>
      </c>
      <c r="C2" t="s">
        <v>6</v>
      </c>
      <c r="D2" t="s">
        <v>7</v>
      </c>
      <c r="E2" t="s">
        <v>8</v>
      </c>
      <c r="F2" s="22">
        <v>433</v>
      </c>
      <c r="G2" s="22">
        <v>247</v>
      </c>
      <c r="H2" s="22">
        <v>0</v>
      </c>
      <c r="I2" s="22">
        <v>680</v>
      </c>
      <c r="J2">
        <v>0</v>
      </c>
      <c r="K2">
        <v>0</v>
      </c>
      <c r="L2" s="22">
        <v>680</v>
      </c>
      <c r="M2" s="22">
        <v>0</v>
      </c>
      <c r="N2" s="22">
        <v>0</v>
      </c>
      <c r="O2" s="22">
        <v>680</v>
      </c>
      <c r="P2" s="22">
        <v>100</v>
      </c>
      <c r="Q2" s="22">
        <v>580</v>
      </c>
      <c r="R2">
        <v>0</v>
      </c>
      <c r="T2" t="s">
        <v>2965</v>
      </c>
      <c r="U2" t="s">
        <v>3055</v>
      </c>
      <c r="V2" t="s">
        <v>3056</v>
      </c>
    </row>
    <row r="3" spans="1:24">
      <c r="A3">
        <v>2</v>
      </c>
      <c r="B3" t="s">
        <v>9</v>
      </c>
      <c r="C3" t="s">
        <v>10</v>
      </c>
      <c r="D3" t="s">
        <v>7</v>
      </c>
      <c r="E3" t="s">
        <v>8</v>
      </c>
      <c r="F3" s="22">
        <v>0</v>
      </c>
      <c r="G3" s="22">
        <v>0</v>
      </c>
      <c r="H3" s="22">
        <v>0</v>
      </c>
      <c r="I3" s="22">
        <v>0</v>
      </c>
      <c r="J3">
        <v>0</v>
      </c>
      <c r="K3">
        <v>0</v>
      </c>
      <c r="L3" s="22">
        <v>0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>
        <v>0</v>
      </c>
      <c r="T3" t="s">
        <v>2965</v>
      </c>
      <c r="U3" t="s">
        <v>3055</v>
      </c>
      <c r="V3" t="s">
        <v>3056</v>
      </c>
    </row>
    <row r="4" spans="1:24">
      <c r="A4">
        <v>3</v>
      </c>
      <c r="B4" t="s">
        <v>14</v>
      </c>
      <c r="C4" t="s">
        <v>15</v>
      </c>
      <c r="D4" t="s">
        <v>7</v>
      </c>
      <c r="E4" t="s">
        <v>8</v>
      </c>
      <c r="F4" s="22">
        <v>696.4</v>
      </c>
      <c r="G4" s="22">
        <v>0</v>
      </c>
      <c r="H4" s="22">
        <v>230.8</v>
      </c>
      <c r="I4" s="22">
        <v>465.6</v>
      </c>
      <c r="J4">
        <v>0</v>
      </c>
      <c r="K4">
        <v>0</v>
      </c>
      <c r="L4" s="22">
        <v>465.6</v>
      </c>
      <c r="M4" s="22">
        <v>0</v>
      </c>
      <c r="N4" s="22">
        <v>0</v>
      </c>
      <c r="O4" s="22">
        <v>465.6</v>
      </c>
      <c r="P4" s="22">
        <v>300</v>
      </c>
      <c r="Q4" s="22">
        <v>165.60000000000002</v>
      </c>
      <c r="R4">
        <v>0</v>
      </c>
      <c r="T4" t="s">
        <v>2965</v>
      </c>
      <c r="U4" t="s">
        <v>3055</v>
      </c>
      <c r="V4" t="s">
        <v>3056</v>
      </c>
    </row>
    <row r="5" spans="1:24">
      <c r="A5">
        <v>4</v>
      </c>
      <c r="B5" t="s">
        <v>51</v>
      </c>
      <c r="C5" t="s">
        <v>52</v>
      </c>
      <c r="D5" t="s">
        <v>20</v>
      </c>
      <c r="E5" t="s">
        <v>8</v>
      </c>
      <c r="F5" s="22">
        <v>1119.8</v>
      </c>
      <c r="G5" s="22">
        <v>5821.6</v>
      </c>
      <c r="H5" s="22">
        <v>2691.3</v>
      </c>
      <c r="I5" s="22">
        <v>4250.1000000000004</v>
      </c>
      <c r="J5">
        <v>0</v>
      </c>
      <c r="K5">
        <v>0</v>
      </c>
      <c r="L5" s="22">
        <v>4250.1000000000004</v>
      </c>
      <c r="M5" s="22">
        <v>0</v>
      </c>
      <c r="N5" s="22">
        <v>0</v>
      </c>
      <c r="O5" s="22">
        <v>4250.1000000000004</v>
      </c>
      <c r="P5" s="22">
        <v>4000</v>
      </c>
      <c r="Q5" s="22">
        <v>250.10000000000036</v>
      </c>
      <c r="R5">
        <v>0</v>
      </c>
      <c r="T5" t="s">
        <v>2991</v>
      </c>
      <c r="U5" t="s">
        <v>3057</v>
      </c>
      <c r="V5" t="s">
        <v>3056</v>
      </c>
    </row>
    <row r="6" spans="1:24">
      <c r="A6">
        <v>5</v>
      </c>
      <c r="B6" t="s">
        <v>18</v>
      </c>
      <c r="C6" t="s">
        <v>19</v>
      </c>
      <c r="D6" t="s">
        <v>20</v>
      </c>
      <c r="E6" t="s">
        <v>8</v>
      </c>
      <c r="F6" s="22">
        <v>3486</v>
      </c>
      <c r="G6" s="22">
        <v>0</v>
      </c>
      <c r="H6" s="22">
        <v>2207.8000000000002</v>
      </c>
      <c r="I6" s="22">
        <v>1278.2</v>
      </c>
      <c r="J6">
        <v>0</v>
      </c>
      <c r="K6">
        <v>0</v>
      </c>
      <c r="L6" s="22">
        <v>1278.2</v>
      </c>
      <c r="M6" s="22">
        <v>0</v>
      </c>
      <c r="N6" s="22">
        <v>0</v>
      </c>
      <c r="O6" s="22">
        <v>1278.2</v>
      </c>
      <c r="P6" s="22">
        <v>0</v>
      </c>
      <c r="Q6" s="22">
        <v>1278.2</v>
      </c>
      <c r="R6">
        <v>0</v>
      </c>
      <c r="T6" t="s">
        <v>3000</v>
      </c>
      <c r="U6" t="s">
        <v>3059</v>
      </c>
      <c r="V6" t="s">
        <v>3056</v>
      </c>
    </row>
    <row r="7" spans="1:24">
      <c r="A7">
        <v>6</v>
      </c>
      <c r="B7" t="s">
        <v>21</v>
      </c>
      <c r="C7" t="s">
        <v>22</v>
      </c>
      <c r="D7" t="s">
        <v>20</v>
      </c>
      <c r="E7" t="s">
        <v>8</v>
      </c>
      <c r="F7" s="22">
        <v>3214.63</v>
      </c>
      <c r="G7" s="22">
        <v>0</v>
      </c>
      <c r="H7" s="22">
        <v>316.8</v>
      </c>
      <c r="I7" s="22">
        <v>2897.83</v>
      </c>
      <c r="J7">
        <v>0</v>
      </c>
      <c r="K7">
        <v>0</v>
      </c>
      <c r="L7" s="22">
        <v>2897.83</v>
      </c>
      <c r="M7" s="22">
        <v>0</v>
      </c>
      <c r="N7" s="22">
        <v>0</v>
      </c>
      <c r="O7" s="22">
        <v>2897.83</v>
      </c>
      <c r="P7" s="22">
        <v>0</v>
      </c>
      <c r="Q7" s="22">
        <v>2897.83</v>
      </c>
      <c r="R7">
        <v>0</v>
      </c>
      <c r="T7" t="s">
        <v>3000</v>
      </c>
      <c r="U7" t="s">
        <v>3059</v>
      </c>
      <c r="V7" t="s">
        <v>3056</v>
      </c>
    </row>
    <row r="8" spans="1:24">
      <c r="A8">
        <v>7</v>
      </c>
      <c r="B8" t="s">
        <v>27</v>
      </c>
      <c r="C8" t="s">
        <v>28</v>
      </c>
      <c r="D8" t="s">
        <v>20</v>
      </c>
      <c r="E8" t="s">
        <v>8</v>
      </c>
      <c r="F8" s="22">
        <v>9228.14</v>
      </c>
      <c r="G8" s="22">
        <v>0</v>
      </c>
      <c r="H8" s="22">
        <v>2316.6</v>
      </c>
      <c r="I8" s="22">
        <v>6911.54</v>
      </c>
      <c r="J8">
        <v>0</v>
      </c>
      <c r="K8">
        <v>0</v>
      </c>
      <c r="L8" s="22">
        <v>6911.54</v>
      </c>
      <c r="M8" s="22">
        <v>0</v>
      </c>
      <c r="N8" s="22">
        <v>0</v>
      </c>
      <c r="O8" s="22">
        <v>6911.54</v>
      </c>
      <c r="P8" s="22">
        <v>0</v>
      </c>
      <c r="Q8" s="22">
        <v>6911.54</v>
      </c>
      <c r="R8">
        <v>0</v>
      </c>
      <c r="T8" t="s">
        <v>3000</v>
      </c>
      <c r="U8" t="s">
        <v>3059</v>
      </c>
      <c r="V8" t="s">
        <v>3056</v>
      </c>
    </row>
    <row r="9" spans="1:24">
      <c r="A9">
        <v>8</v>
      </c>
      <c r="B9" t="s">
        <v>29</v>
      </c>
      <c r="C9" t="s">
        <v>30</v>
      </c>
      <c r="D9" t="s">
        <v>17</v>
      </c>
      <c r="E9" t="s">
        <v>8</v>
      </c>
      <c r="F9" s="22">
        <v>2000</v>
      </c>
      <c r="G9" s="22">
        <v>0</v>
      </c>
      <c r="H9" s="22">
        <v>400</v>
      </c>
      <c r="I9" s="22">
        <v>1600</v>
      </c>
      <c r="J9">
        <v>0</v>
      </c>
      <c r="K9">
        <v>0</v>
      </c>
      <c r="L9" s="22">
        <v>1600</v>
      </c>
      <c r="M9" s="22">
        <v>0</v>
      </c>
      <c r="N9" s="22">
        <v>0</v>
      </c>
      <c r="O9" s="22">
        <v>1600</v>
      </c>
      <c r="P9" s="22">
        <v>1000</v>
      </c>
      <c r="Q9" s="22">
        <v>600</v>
      </c>
      <c r="R9">
        <v>0</v>
      </c>
      <c r="T9" t="s">
        <v>2972</v>
      </c>
      <c r="U9" t="s">
        <v>3055</v>
      </c>
      <c r="V9" t="s">
        <v>3056</v>
      </c>
    </row>
    <row r="10" spans="1:24">
      <c r="A10">
        <v>9</v>
      </c>
      <c r="B10" t="s">
        <v>57</v>
      </c>
      <c r="C10" t="s">
        <v>58</v>
      </c>
      <c r="D10" t="s">
        <v>17</v>
      </c>
      <c r="E10" t="s">
        <v>8</v>
      </c>
      <c r="F10" s="22">
        <v>26086</v>
      </c>
      <c r="G10" s="22">
        <v>0</v>
      </c>
      <c r="H10" s="22">
        <v>4250</v>
      </c>
      <c r="I10" s="22">
        <v>21836</v>
      </c>
      <c r="J10">
        <v>0</v>
      </c>
      <c r="K10">
        <v>0</v>
      </c>
      <c r="L10" s="22">
        <v>21836</v>
      </c>
      <c r="M10" s="22">
        <v>0</v>
      </c>
      <c r="N10" s="22">
        <v>0</v>
      </c>
      <c r="O10" s="22">
        <v>21836</v>
      </c>
      <c r="P10" s="22">
        <v>10000</v>
      </c>
      <c r="Q10" s="22">
        <v>11836</v>
      </c>
      <c r="R10">
        <v>0</v>
      </c>
      <c r="T10" t="s">
        <v>2991</v>
      </c>
      <c r="U10" t="s">
        <v>3057</v>
      </c>
      <c r="V10" t="s">
        <v>3056</v>
      </c>
    </row>
    <row r="11" spans="1:24">
      <c r="A11">
        <v>10</v>
      </c>
      <c r="B11" t="s">
        <v>68</v>
      </c>
      <c r="C11" t="s">
        <v>69</v>
      </c>
      <c r="D11" t="s">
        <v>17</v>
      </c>
      <c r="E11" t="s">
        <v>8</v>
      </c>
      <c r="F11" s="22">
        <v>32903</v>
      </c>
      <c r="G11" s="22">
        <v>0</v>
      </c>
      <c r="H11" s="22">
        <v>3200</v>
      </c>
      <c r="I11" s="22">
        <v>29703</v>
      </c>
      <c r="J11">
        <v>0</v>
      </c>
      <c r="K11">
        <v>0</v>
      </c>
      <c r="L11" s="22">
        <v>29703</v>
      </c>
      <c r="M11" s="22">
        <v>0</v>
      </c>
      <c r="N11" s="22">
        <v>0</v>
      </c>
      <c r="O11" s="22">
        <v>29703</v>
      </c>
      <c r="P11" s="22">
        <v>8000</v>
      </c>
      <c r="Q11" s="22">
        <v>21703</v>
      </c>
      <c r="R11">
        <v>0</v>
      </c>
      <c r="T11" t="s">
        <v>2991</v>
      </c>
      <c r="U11" t="s">
        <v>3057</v>
      </c>
      <c r="V11" t="s">
        <v>3056</v>
      </c>
    </row>
    <row r="12" spans="1:24">
      <c r="A12">
        <v>11</v>
      </c>
      <c r="B12" t="s">
        <v>96</v>
      </c>
      <c r="C12" t="s">
        <v>97</v>
      </c>
      <c r="D12" t="s">
        <v>17</v>
      </c>
      <c r="E12" t="s">
        <v>8</v>
      </c>
      <c r="F12" s="22">
        <v>13000</v>
      </c>
      <c r="G12" s="22">
        <v>0</v>
      </c>
      <c r="H12" s="22">
        <v>2000</v>
      </c>
      <c r="I12" s="22">
        <v>11000</v>
      </c>
      <c r="J12">
        <v>0</v>
      </c>
      <c r="K12">
        <v>0</v>
      </c>
      <c r="L12" s="22">
        <v>11000</v>
      </c>
      <c r="M12" s="22">
        <v>0</v>
      </c>
      <c r="N12" s="22">
        <v>0</v>
      </c>
      <c r="O12" s="22">
        <v>11000</v>
      </c>
      <c r="P12" s="22">
        <v>7000</v>
      </c>
      <c r="Q12" s="22">
        <v>4000</v>
      </c>
      <c r="R12">
        <v>0</v>
      </c>
      <c r="T12" t="s">
        <v>2991</v>
      </c>
      <c r="U12" t="s">
        <v>3057</v>
      </c>
      <c r="V12" t="s">
        <v>3058</v>
      </c>
    </row>
    <row r="13" spans="1:24">
      <c r="A13">
        <v>12</v>
      </c>
      <c r="B13" t="s">
        <v>125</v>
      </c>
      <c r="C13" t="s">
        <v>126</v>
      </c>
      <c r="D13" t="s">
        <v>17</v>
      </c>
      <c r="E13" t="s">
        <v>8</v>
      </c>
      <c r="F13" s="22">
        <v>2000</v>
      </c>
      <c r="G13" s="22">
        <v>0</v>
      </c>
      <c r="H13" s="22">
        <v>0</v>
      </c>
      <c r="I13" s="22">
        <v>2000</v>
      </c>
      <c r="J13">
        <v>0</v>
      </c>
      <c r="K13">
        <v>0</v>
      </c>
      <c r="L13" s="22">
        <v>2000</v>
      </c>
      <c r="M13" s="22">
        <v>0</v>
      </c>
      <c r="N13" s="22">
        <v>0</v>
      </c>
      <c r="O13" s="22">
        <v>2000</v>
      </c>
      <c r="P13" s="22">
        <v>1100</v>
      </c>
      <c r="Q13" s="22">
        <v>900</v>
      </c>
      <c r="R13">
        <v>0</v>
      </c>
      <c r="T13" t="s">
        <v>2972</v>
      </c>
      <c r="U13" t="s">
        <v>3057</v>
      </c>
      <c r="V13" t="s">
        <v>3058</v>
      </c>
    </row>
    <row r="14" spans="1:24">
      <c r="A14">
        <v>13</v>
      </c>
      <c r="B14" t="s">
        <v>39</v>
      </c>
      <c r="C14" t="s">
        <v>40</v>
      </c>
      <c r="D14" t="s">
        <v>17</v>
      </c>
      <c r="E14" t="s">
        <v>8</v>
      </c>
      <c r="F14" s="22">
        <v>6100</v>
      </c>
      <c r="G14" s="22">
        <v>0</v>
      </c>
      <c r="H14" s="22">
        <v>600</v>
      </c>
      <c r="I14" s="22">
        <v>5500</v>
      </c>
      <c r="J14">
        <v>0</v>
      </c>
      <c r="K14">
        <v>0</v>
      </c>
      <c r="L14" s="22">
        <v>5500</v>
      </c>
      <c r="M14" s="22">
        <v>0</v>
      </c>
      <c r="N14" s="22">
        <v>0</v>
      </c>
      <c r="O14" s="22">
        <v>5500</v>
      </c>
      <c r="P14" s="22">
        <v>1000</v>
      </c>
      <c r="Q14" s="22">
        <v>4500</v>
      </c>
      <c r="R14">
        <v>0</v>
      </c>
      <c r="T14" t="s">
        <v>2972</v>
      </c>
      <c r="U14" t="s">
        <v>3055</v>
      </c>
      <c r="V14" t="s">
        <v>3056</v>
      </c>
    </row>
    <row r="15" spans="1:24">
      <c r="A15">
        <v>14</v>
      </c>
      <c r="B15" t="s">
        <v>41</v>
      </c>
      <c r="C15" t="s">
        <v>42</v>
      </c>
      <c r="D15" t="s">
        <v>17</v>
      </c>
      <c r="E15" t="s">
        <v>8</v>
      </c>
      <c r="F15" s="22">
        <v>0</v>
      </c>
      <c r="G15" s="22">
        <v>0</v>
      </c>
      <c r="H15" s="22">
        <v>0</v>
      </c>
      <c r="I15" s="22">
        <v>0</v>
      </c>
      <c r="J15">
        <v>0</v>
      </c>
      <c r="K15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>
        <v>0</v>
      </c>
      <c r="T15" t="s">
        <v>2972</v>
      </c>
      <c r="U15" t="s">
        <v>3055</v>
      </c>
      <c r="V15" t="s">
        <v>3056</v>
      </c>
    </row>
    <row r="16" spans="1:24">
      <c r="A16">
        <v>15</v>
      </c>
      <c r="B16" t="s">
        <v>43</v>
      </c>
      <c r="C16" t="s">
        <v>44</v>
      </c>
      <c r="D16" t="s">
        <v>17</v>
      </c>
      <c r="E16" t="s">
        <v>8</v>
      </c>
      <c r="F16" s="22">
        <v>9127</v>
      </c>
      <c r="G16" s="22">
        <v>0</v>
      </c>
      <c r="H16" s="22">
        <v>0</v>
      </c>
      <c r="I16" s="22">
        <v>9127</v>
      </c>
      <c r="J16">
        <v>0</v>
      </c>
      <c r="K16">
        <v>0</v>
      </c>
      <c r="L16" s="22">
        <v>9127</v>
      </c>
      <c r="M16" s="22">
        <v>0</v>
      </c>
      <c r="N16" s="22">
        <v>0</v>
      </c>
      <c r="O16" s="22">
        <v>9127</v>
      </c>
      <c r="P16" s="22">
        <v>0</v>
      </c>
      <c r="Q16" s="22">
        <v>9127</v>
      </c>
      <c r="R16">
        <v>0</v>
      </c>
      <c r="T16" t="s">
        <v>2972</v>
      </c>
      <c r="U16" t="s">
        <v>3055</v>
      </c>
      <c r="V16" t="s">
        <v>3056</v>
      </c>
    </row>
    <row r="17" spans="1:22">
      <c r="A17">
        <v>16</v>
      </c>
      <c r="B17" t="s">
        <v>243</v>
      </c>
      <c r="C17" t="s">
        <v>244</v>
      </c>
      <c r="D17" t="s">
        <v>20</v>
      </c>
      <c r="E17" t="s">
        <v>8</v>
      </c>
      <c r="F17" s="22">
        <v>9.8000000000000007</v>
      </c>
      <c r="G17" s="22">
        <v>0</v>
      </c>
      <c r="H17" s="22">
        <v>0</v>
      </c>
      <c r="I17" s="22">
        <v>9.8000000000000007</v>
      </c>
      <c r="J17">
        <v>0</v>
      </c>
      <c r="K17">
        <v>0</v>
      </c>
      <c r="L17" s="22">
        <v>9.8000000000000007</v>
      </c>
      <c r="M17" s="22">
        <v>0</v>
      </c>
      <c r="N17" s="22">
        <v>0</v>
      </c>
      <c r="O17" s="22">
        <v>9.8000000000000007</v>
      </c>
      <c r="P17" s="22">
        <v>5</v>
      </c>
      <c r="Q17" s="22">
        <v>4.8000000000000007</v>
      </c>
      <c r="R17">
        <v>0</v>
      </c>
      <c r="T17" t="s">
        <v>2972</v>
      </c>
      <c r="U17" t="s">
        <v>3057</v>
      </c>
      <c r="V17" t="s">
        <v>3058</v>
      </c>
    </row>
    <row r="18" spans="1:22">
      <c r="A18">
        <v>17</v>
      </c>
      <c r="B18" t="s">
        <v>247</v>
      </c>
      <c r="C18" t="s">
        <v>248</v>
      </c>
      <c r="D18" t="s">
        <v>17</v>
      </c>
      <c r="E18" t="s">
        <v>8</v>
      </c>
      <c r="F18" s="22">
        <v>500</v>
      </c>
      <c r="G18" s="22">
        <v>0</v>
      </c>
      <c r="H18" s="22">
        <v>0</v>
      </c>
      <c r="I18" s="22">
        <v>500</v>
      </c>
      <c r="J18">
        <v>0</v>
      </c>
      <c r="K18">
        <v>0</v>
      </c>
      <c r="L18" s="22">
        <v>500</v>
      </c>
      <c r="M18" s="22">
        <v>0</v>
      </c>
      <c r="N18" s="22">
        <v>0</v>
      </c>
      <c r="O18" s="22">
        <v>500</v>
      </c>
      <c r="P18" s="22">
        <v>400</v>
      </c>
      <c r="Q18" s="22">
        <v>100</v>
      </c>
      <c r="R18">
        <v>0</v>
      </c>
      <c r="T18" t="s">
        <v>2991</v>
      </c>
      <c r="U18" t="s">
        <v>3057</v>
      </c>
      <c r="V18" t="s">
        <v>3058</v>
      </c>
    </row>
    <row r="19" spans="1:22">
      <c r="A19">
        <v>18</v>
      </c>
      <c r="B19" t="s">
        <v>287</v>
      </c>
      <c r="C19" t="s">
        <v>288</v>
      </c>
      <c r="D19" t="s">
        <v>289</v>
      </c>
      <c r="E19" t="s">
        <v>8</v>
      </c>
      <c r="F19" s="22">
        <v>630</v>
      </c>
      <c r="G19" s="22">
        <v>20565</v>
      </c>
      <c r="H19" s="22">
        <v>16090</v>
      </c>
      <c r="I19" s="22">
        <v>5105</v>
      </c>
      <c r="J19">
        <v>0</v>
      </c>
      <c r="K19">
        <v>0</v>
      </c>
      <c r="L19" s="22">
        <v>5105</v>
      </c>
      <c r="M19" s="22">
        <v>0</v>
      </c>
      <c r="N19" s="22">
        <v>0</v>
      </c>
      <c r="O19" s="22">
        <v>5105</v>
      </c>
      <c r="P19" s="22">
        <v>5000</v>
      </c>
      <c r="Q19" s="22">
        <v>105</v>
      </c>
      <c r="R19">
        <v>22000</v>
      </c>
      <c r="T19" t="s">
        <v>2974</v>
      </c>
      <c r="U19" t="s">
        <v>3057</v>
      </c>
      <c r="V19" t="s">
        <v>3056</v>
      </c>
    </row>
    <row r="20" spans="1:22">
      <c r="A20">
        <v>19</v>
      </c>
      <c r="B20" t="s">
        <v>55</v>
      </c>
      <c r="C20" t="s">
        <v>56</v>
      </c>
      <c r="D20" t="s">
        <v>7</v>
      </c>
      <c r="E20" t="s">
        <v>8</v>
      </c>
      <c r="F20" s="22">
        <v>133.16</v>
      </c>
      <c r="G20" s="22">
        <v>0</v>
      </c>
      <c r="H20" s="22">
        <v>7</v>
      </c>
      <c r="I20" s="22">
        <v>126.16</v>
      </c>
      <c r="J20">
        <v>0</v>
      </c>
      <c r="K20">
        <v>0</v>
      </c>
      <c r="L20" s="22">
        <v>126.16</v>
      </c>
      <c r="M20" s="22">
        <v>0</v>
      </c>
      <c r="N20" s="22">
        <v>0</v>
      </c>
      <c r="O20" s="22">
        <v>126.16</v>
      </c>
      <c r="P20" s="22">
        <v>60</v>
      </c>
      <c r="Q20" s="22">
        <v>66.16</v>
      </c>
      <c r="R20">
        <v>0</v>
      </c>
      <c r="T20" t="s">
        <v>2965</v>
      </c>
      <c r="U20" t="s">
        <v>3055</v>
      </c>
      <c r="V20" t="s">
        <v>3056</v>
      </c>
    </row>
    <row r="21" spans="1:22">
      <c r="A21">
        <v>20</v>
      </c>
      <c r="B21" t="s">
        <v>292</v>
      </c>
      <c r="C21" t="s">
        <v>293</v>
      </c>
      <c r="D21" t="s">
        <v>17</v>
      </c>
      <c r="E21" t="s">
        <v>8</v>
      </c>
      <c r="F21" s="22">
        <v>2550</v>
      </c>
      <c r="G21" s="22">
        <v>0</v>
      </c>
      <c r="H21" s="22">
        <v>350</v>
      </c>
      <c r="I21" s="22">
        <v>2200</v>
      </c>
      <c r="J21">
        <v>0</v>
      </c>
      <c r="K21">
        <v>0</v>
      </c>
      <c r="L21" s="22">
        <v>2200</v>
      </c>
      <c r="M21" s="22">
        <v>0</v>
      </c>
      <c r="N21" s="22">
        <v>0</v>
      </c>
      <c r="O21" s="22">
        <v>2200</v>
      </c>
      <c r="P21" s="22">
        <v>500</v>
      </c>
      <c r="Q21" s="22">
        <v>1700</v>
      </c>
      <c r="R21">
        <v>0</v>
      </c>
      <c r="T21" t="s">
        <v>2972</v>
      </c>
      <c r="U21" t="s">
        <v>3057</v>
      </c>
      <c r="V21" t="s">
        <v>3056</v>
      </c>
    </row>
    <row r="22" spans="1:22">
      <c r="A22">
        <v>21</v>
      </c>
      <c r="B22" t="s">
        <v>377</v>
      </c>
      <c r="C22" t="s">
        <v>378</v>
      </c>
      <c r="D22" t="s">
        <v>17</v>
      </c>
      <c r="E22" t="s">
        <v>8</v>
      </c>
      <c r="F22" s="22">
        <v>750</v>
      </c>
      <c r="G22" s="22">
        <v>0</v>
      </c>
      <c r="H22" s="22">
        <v>0</v>
      </c>
      <c r="I22" s="22">
        <v>750</v>
      </c>
      <c r="J22">
        <v>0</v>
      </c>
      <c r="K22">
        <v>0</v>
      </c>
      <c r="L22" s="22">
        <v>750</v>
      </c>
      <c r="M22" s="22">
        <v>0</v>
      </c>
      <c r="N22" s="22">
        <v>0</v>
      </c>
      <c r="O22" s="22">
        <v>750</v>
      </c>
      <c r="P22" s="22">
        <v>500</v>
      </c>
      <c r="Q22" s="22">
        <v>250</v>
      </c>
      <c r="R22">
        <v>0</v>
      </c>
      <c r="T22" t="s">
        <v>2991</v>
      </c>
      <c r="U22" t="s">
        <v>3057</v>
      </c>
      <c r="V22" t="s">
        <v>3058</v>
      </c>
    </row>
    <row r="23" spans="1:22">
      <c r="A23">
        <v>22</v>
      </c>
      <c r="B23" t="s">
        <v>379</v>
      </c>
      <c r="C23" t="s">
        <v>380</v>
      </c>
      <c r="D23" t="s">
        <v>17</v>
      </c>
      <c r="E23" t="s">
        <v>8</v>
      </c>
      <c r="F23" s="22">
        <v>2000</v>
      </c>
      <c r="G23" s="22">
        <v>0</v>
      </c>
      <c r="H23" s="22">
        <v>0</v>
      </c>
      <c r="I23" s="22">
        <v>2000</v>
      </c>
      <c r="J23">
        <v>0</v>
      </c>
      <c r="K23">
        <v>0</v>
      </c>
      <c r="L23" s="22">
        <v>2000</v>
      </c>
      <c r="M23" s="22">
        <v>0</v>
      </c>
      <c r="N23" s="22">
        <v>0</v>
      </c>
      <c r="O23" s="22">
        <v>2000</v>
      </c>
      <c r="P23" s="22">
        <v>500</v>
      </c>
      <c r="Q23" s="22">
        <v>1500</v>
      </c>
      <c r="R23">
        <v>0</v>
      </c>
      <c r="T23" t="s">
        <v>2972</v>
      </c>
      <c r="U23" t="s">
        <v>3057</v>
      </c>
      <c r="V23" t="s">
        <v>3058</v>
      </c>
    </row>
    <row r="24" spans="1:22">
      <c r="A24">
        <v>23</v>
      </c>
      <c r="B24" t="s">
        <v>65</v>
      </c>
      <c r="C24" t="s">
        <v>66</v>
      </c>
      <c r="D24" t="s">
        <v>17</v>
      </c>
      <c r="E24" t="s">
        <v>8</v>
      </c>
      <c r="F24" s="22">
        <v>4000</v>
      </c>
      <c r="G24" s="22">
        <v>0</v>
      </c>
      <c r="H24" s="22">
        <v>1500</v>
      </c>
      <c r="I24" s="22">
        <v>2500</v>
      </c>
      <c r="J24">
        <v>0</v>
      </c>
      <c r="K24">
        <v>0</v>
      </c>
      <c r="L24" s="22">
        <v>2500</v>
      </c>
      <c r="M24" s="22">
        <v>0</v>
      </c>
      <c r="N24" s="22">
        <v>0</v>
      </c>
      <c r="O24" s="22">
        <v>2500</v>
      </c>
      <c r="P24" s="22">
        <v>2000</v>
      </c>
      <c r="Q24" s="22">
        <v>500</v>
      </c>
      <c r="R24">
        <v>10000</v>
      </c>
      <c r="T24" t="s">
        <v>2972</v>
      </c>
      <c r="U24" t="s">
        <v>3055</v>
      </c>
      <c r="V24" t="s">
        <v>3056</v>
      </c>
    </row>
    <row r="25" spans="1:22">
      <c r="A25">
        <v>24</v>
      </c>
      <c r="B25" t="s">
        <v>506</v>
      </c>
      <c r="C25" t="s">
        <v>507</v>
      </c>
      <c r="D25" t="s">
        <v>17</v>
      </c>
      <c r="E25" t="s">
        <v>8</v>
      </c>
      <c r="F25" s="22">
        <v>0</v>
      </c>
      <c r="G25" s="22">
        <v>0</v>
      </c>
      <c r="H25" s="22">
        <v>0</v>
      </c>
      <c r="I25" s="22">
        <v>0</v>
      </c>
      <c r="J25">
        <v>0</v>
      </c>
      <c r="K25">
        <v>0</v>
      </c>
      <c r="L25" s="22">
        <v>0</v>
      </c>
      <c r="M25" s="22">
        <v>0</v>
      </c>
      <c r="N25" s="22">
        <v>0</v>
      </c>
      <c r="O25" s="22">
        <v>0</v>
      </c>
      <c r="P25" s="22">
        <v>1500</v>
      </c>
      <c r="Q25" s="22">
        <v>-1500</v>
      </c>
      <c r="R25">
        <v>0</v>
      </c>
      <c r="T25" t="s">
        <v>2972</v>
      </c>
      <c r="U25" t="s">
        <v>3057</v>
      </c>
      <c r="V25" t="s">
        <v>3056</v>
      </c>
    </row>
    <row r="26" spans="1:22">
      <c r="A26">
        <v>25</v>
      </c>
      <c r="B26" t="s">
        <v>70</v>
      </c>
      <c r="C26" t="s">
        <v>71</v>
      </c>
      <c r="D26" t="s">
        <v>17</v>
      </c>
      <c r="E26" t="s">
        <v>8</v>
      </c>
      <c r="F26" s="22">
        <v>42</v>
      </c>
      <c r="G26" s="22">
        <v>0</v>
      </c>
      <c r="H26" s="22">
        <v>12</v>
      </c>
      <c r="I26" s="22">
        <v>30</v>
      </c>
      <c r="J26">
        <v>0</v>
      </c>
      <c r="K26">
        <v>0</v>
      </c>
      <c r="L26" s="22">
        <v>30</v>
      </c>
      <c r="M26" s="22">
        <v>0</v>
      </c>
      <c r="N26" s="22">
        <v>0</v>
      </c>
      <c r="O26" s="22">
        <v>30</v>
      </c>
      <c r="P26" s="22">
        <v>50</v>
      </c>
      <c r="Q26" s="22">
        <v>-20</v>
      </c>
      <c r="R26">
        <v>0</v>
      </c>
      <c r="T26" t="s">
        <v>2972</v>
      </c>
      <c r="U26" t="s">
        <v>3055</v>
      </c>
      <c r="V26" t="s">
        <v>3056</v>
      </c>
    </row>
    <row r="27" spans="1:22">
      <c r="A27">
        <v>26</v>
      </c>
      <c r="B27" t="s">
        <v>72</v>
      </c>
      <c r="C27" t="s">
        <v>73</v>
      </c>
      <c r="D27" t="s">
        <v>17</v>
      </c>
      <c r="E27" t="s">
        <v>8</v>
      </c>
      <c r="F27" s="22">
        <v>258</v>
      </c>
      <c r="G27" s="22">
        <v>0</v>
      </c>
      <c r="H27" s="22">
        <v>40</v>
      </c>
      <c r="I27" s="22">
        <v>218</v>
      </c>
      <c r="J27">
        <v>0</v>
      </c>
      <c r="K27">
        <v>0</v>
      </c>
      <c r="L27" s="22">
        <v>218</v>
      </c>
      <c r="M27" s="22">
        <v>0</v>
      </c>
      <c r="N27" s="22">
        <v>0</v>
      </c>
      <c r="O27" s="22">
        <v>218</v>
      </c>
      <c r="P27" s="22">
        <v>110</v>
      </c>
      <c r="Q27" s="22">
        <v>108</v>
      </c>
      <c r="R27">
        <v>0</v>
      </c>
      <c r="T27" t="s">
        <v>2982</v>
      </c>
      <c r="U27" t="s">
        <v>3060</v>
      </c>
      <c r="V27" t="s">
        <v>3061</v>
      </c>
    </row>
    <row r="28" spans="1:22">
      <c r="A28">
        <v>27</v>
      </c>
      <c r="B28" t="s">
        <v>76</v>
      </c>
      <c r="C28" t="s">
        <v>77</v>
      </c>
      <c r="D28" t="s">
        <v>17</v>
      </c>
      <c r="E28" t="s">
        <v>8</v>
      </c>
      <c r="F28" s="22">
        <v>400</v>
      </c>
      <c r="G28" s="22">
        <v>0</v>
      </c>
      <c r="H28" s="22">
        <v>0</v>
      </c>
      <c r="I28" s="22">
        <v>400</v>
      </c>
      <c r="J28">
        <v>0</v>
      </c>
      <c r="K28">
        <v>0</v>
      </c>
      <c r="L28" s="22">
        <v>400</v>
      </c>
      <c r="M28" s="22">
        <v>0</v>
      </c>
      <c r="N28" s="22">
        <v>0</v>
      </c>
      <c r="O28" s="22">
        <v>400</v>
      </c>
      <c r="P28" s="22">
        <v>150</v>
      </c>
      <c r="Q28" s="22">
        <v>250</v>
      </c>
      <c r="R28">
        <v>0</v>
      </c>
      <c r="T28" t="s">
        <v>2991</v>
      </c>
      <c r="U28" t="s">
        <v>3060</v>
      </c>
      <c r="V28" t="s">
        <v>3058</v>
      </c>
    </row>
    <row r="29" spans="1:22">
      <c r="A29">
        <v>28</v>
      </c>
      <c r="B29" t="s">
        <v>569</v>
      </c>
      <c r="C29" t="s">
        <v>570</v>
      </c>
      <c r="D29" t="s">
        <v>17</v>
      </c>
      <c r="E29" t="s">
        <v>8</v>
      </c>
      <c r="F29" s="22">
        <v>2000</v>
      </c>
      <c r="G29" s="22">
        <v>0</v>
      </c>
      <c r="H29" s="22">
        <v>0</v>
      </c>
      <c r="I29" s="22">
        <v>2000</v>
      </c>
      <c r="J29">
        <v>0</v>
      </c>
      <c r="K29">
        <v>0</v>
      </c>
      <c r="L29" s="22">
        <v>2000</v>
      </c>
      <c r="M29" s="22">
        <v>0</v>
      </c>
      <c r="N29" s="22">
        <v>0</v>
      </c>
      <c r="O29" s="22">
        <v>2000</v>
      </c>
      <c r="P29" s="22">
        <v>1000</v>
      </c>
      <c r="Q29" s="22">
        <v>1000</v>
      </c>
      <c r="R29">
        <v>0</v>
      </c>
      <c r="T29" t="s">
        <v>2998</v>
      </c>
      <c r="U29" t="s">
        <v>3057</v>
      </c>
      <c r="V29" t="s">
        <v>3056</v>
      </c>
    </row>
    <row r="30" spans="1:22">
      <c r="A30">
        <v>29</v>
      </c>
      <c r="B30" t="s">
        <v>80</v>
      </c>
      <c r="C30" t="s">
        <v>81</v>
      </c>
      <c r="D30" t="s">
        <v>17</v>
      </c>
      <c r="E30" t="s">
        <v>8</v>
      </c>
      <c r="F30" s="22">
        <v>3786</v>
      </c>
      <c r="G30" s="22">
        <v>0</v>
      </c>
      <c r="H30" s="22">
        <v>0</v>
      </c>
      <c r="I30" s="22">
        <v>3786</v>
      </c>
      <c r="J30">
        <v>0</v>
      </c>
      <c r="K30">
        <v>0</v>
      </c>
      <c r="L30" s="22">
        <v>3786</v>
      </c>
      <c r="M30" s="22">
        <v>0</v>
      </c>
      <c r="N30" s="22">
        <v>0</v>
      </c>
      <c r="O30" s="22">
        <v>3786</v>
      </c>
      <c r="P30" s="22">
        <v>5000</v>
      </c>
      <c r="Q30" s="22">
        <v>-1214</v>
      </c>
      <c r="R30">
        <v>0</v>
      </c>
      <c r="T30" t="s">
        <v>2972</v>
      </c>
      <c r="U30" t="s">
        <v>3060</v>
      </c>
      <c r="V30" t="s">
        <v>3058</v>
      </c>
    </row>
    <row r="31" spans="1:22">
      <c r="A31">
        <v>30</v>
      </c>
      <c r="B31" t="s">
        <v>1092</v>
      </c>
      <c r="C31" t="s">
        <v>1093</v>
      </c>
      <c r="D31" t="s">
        <v>20</v>
      </c>
      <c r="E31" t="s">
        <v>8</v>
      </c>
      <c r="F31" s="22">
        <v>389.34</v>
      </c>
      <c r="G31" s="22">
        <v>335.04</v>
      </c>
      <c r="H31" s="22">
        <v>268.89999999999998</v>
      </c>
      <c r="I31" s="22">
        <v>455.48</v>
      </c>
      <c r="J31">
        <v>0</v>
      </c>
      <c r="K31">
        <v>0</v>
      </c>
      <c r="L31" s="22">
        <v>455.48</v>
      </c>
      <c r="M31" s="22">
        <v>0</v>
      </c>
      <c r="N31" s="22">
        <v>0</v>
      </c>
      <c r="O31" s="22">
        <v>455.48</v>
      </c>
      <c r="P31" s="22">
        <v>300</v>
      </c>
      <c r="Q31" s="22">
        <v>155.48000000000002</v>
      </c>
      <c r="R31">
        <v>250</v>
      </c>
      <c r="T31" t="s">
        <v>2991</v>
      </c>
      <c r="U31" t="s">
        <v>3057</v>
      </c>
      <c r="V31" t="s">
        <v>3056</v>
      </c>
    </row>
    <row r="32" spans="1:22">
      <c r="A32">
        <v>31</v>
      </c>
      <c r="B32" t="s">
        <v>86</v>
      </c>
      <c r="C32" t="s">
        <v>87</v>
      </c>
      <c r="D32" t="s">
        <v>17</v>
      </c>
      <c r="E32" t="s">
        <v>8</v>
      </c>
      <c r="F32" s="22">
        <v>8439</v>
      </c>
      <c r="G32" s="22">
        <v>0</v>
      </c>
      <c r="H32" s="22">
        <v>1000</v>
      </c>
      <c r="I32" s="22">
        <v>7439</v>
      </c>
      <c r="J32">
        <v>0</v>
      </c>
      <c r="K32">
        <v>0</v>
      </c>
      <c r="L32" s="22">
        <v>7439</v>
      </c>
      <c r="M32" s="22">
        <v>0</v>
      </c>
      <c r="N32" s="22">
        <v>0</v>
      </c>
      <c r="O32" s="22">
        <v>7439</v>
      </c>
      <c r="P32" s="22">
        <v>2500</v>
      </c>
      <c r="Q32" s="22">
        <v>4939</v>
      </c>
      <c r="R32">
        <v>0</v>
      </c>
      <c r="T32" t="s">
        <v>2972</v>
      </c>
      <c r="U32" t="s">
        <v>3060</v>
      </c>
      <c r="V32" t="s">
        <v>3058</v>
      </c>
    </row>
    <row r="33" spans="1:22">
      <c r="A33">
        <v>32</v>
      </c>
      <c r="B33" t="s">
        <v>88</v>
      </c>
      <c r="C33" t="s">
        <v>89</v>
      </c>
      <c r="D33" t="s">
        <v>17</v>
      </c>
      <c r="E33" t="s">
        <v>8</v>
      </c>
      <c r="F33" s="22">
        <v>5070</v>
      </c>
      <c r="G33" s="22">
        <v>11470</v>
      </c>
      <c r="H33" s="22">
        <v>6929</v>
      </c>
      <c r="I33" s="22">
        <v>9611</v>
      </c>
      <c r="J33">
        <v>0</v>
      </c>
      <c r="K33">
        <v>0</v>
      </c>
      <c r="L33" s="22">
        <v>9611</v>
      </c>
      <c r="M33" s="22">
        <v>0</v>
      </c>
      <c r="N33" s="22">
        <v>0</v>
      </c>
      <c r="O33" s="22">
        <v>9611</v>
      </c>
      <c r="P33" s="22">
        <v>7000</v>
      </c>
      <c r="Q33" s="22">
        <v>2611</v>
      </c>
      <c r="R33">
        <v>10000</v>
      </c>
      <c r="T33" t="s">
        <v>2972</v>
      </c>
      <c r="U33" t="s">
        <v>3060</v>
      </c>
      <c r="V33" t="s">
        <v>3058</v>
      </c>
    </row>
    <row r="34" spans="1:22">
      <c r="A34">
        <v>33</v>
      </c>
      <c r="B34" t="s">
        <v>90</v>
      </c>
      <c r="C34" t="s">
        <v>91</v>
      </c>
      <c r="D34" t="s">
        <v>17</v>
      </c>
      <c r="E34" t="s">
        <v>8</v>
      </c>
      <c r="F34" s="22">
        <v>7040</v>
      </c>
      <c r="G34" s="22">
        <v>0</v>
      </c>
      <c r="H34" s="22">
        <v>0</v>
      </c>
      <c r="I34" s="22">
        <v>7040</v>
      </c>
      <c r="J34">
        <v>0</v>
      </c>
      <c r="K34">
        <v>0</v>
      </c>
      <c r="L34" s="22">
        <v>7040</v>
      </c>
      <c r="M34" s="22">
        <v>0</v>
      </c>
      <c r="N34" s="22">
        <v>0</v>
      </c>
      <c r="O34" s="22">
        <v>7040</v>
      </c>
      <c r="P34" s="22">
        <v>5000</v>
      </c>
      <c r="Q34" s="22">
        <v>2040</v>
      </c>
      <c r="R34">
        <v>0</v>
      </c>
      <c r="T34" t="s">
        <v>2991</v>
      </c>
      <c r="U34" t="s">
        <v>3060</v>
      </c>
      <c r="V34" t="s">
        <v>3058</v>
      </c>
    </row>
    <row r="35" spans="1:22">
      <c r="A35">
        <v>34</v>
      </c>
      <c r="B35" t="s">
        <v>1104</v>
      </c>
      <c r="C35" t="s">
        <v>1105</v>
      </c>
      <c r="D35" t="s">
        <v>20</v>
      </c>
      <c r="E35" t="s">
        <v>8</v>
      </c>
      <c r="F35" s="22">
        <v>784.64</v>
      </c>
      <c r="G35" s="22">
        <v>1037.9000000000001</v>
      </c>
      <c r="H35" s="22">
        <v>1145.3399999999999</v>
      </c>
      <c r="I35" s="22">
        <v>677.2</v>
      </c>
      <c r="J35">
        <v>0</v>
      </c>
      <c r="K35">
        <v>0</v>
      </c>
      <c r="L35" s="22">
        <v>677.2</v>
      </c>
      <c r="M35" s="22">
        <v>0</v>
      </c>
      <c r="N35" s="22">
        <v>0</v>
      </c>
      <c r="O35" s="22">
        <v>677.2</v>
      </c>
      <c r="P35" s="22">
        <v>600</v>
      </c>
      <c r="Q35" s="22">
        <v>77.200000000000045</v>
      </c>
      <c r="R35">
        <v>1800</v>
      </c>
      <c r="T35" t="s">
        <v>2991</v>
      </c>
      <c r="U35" t="s">
        <v>3057</v>
      </c>
      <c r="V35" t="s">
        <v>3056</v>
      </c>
    </row>
    <row r="36" spans="1:22">
      <c r="A36">
        <v>35</v>
      </c>
      <c r="B36" t="s">
        <v>1119</v>
      </c>
      <c r="C36" t="s">
        <v>1120</v>
      </c>
      <c r="D36" t="s">
        <v>17</v>
      </c>
      <c r="E36" t="s">
        <v>8</v>
      </c>
      <c r="F36" s="22">
        <v>4000</v>
      </c>
      <c r="G36" s="22">
        <v>0</v>
      </c>
      <c r="H36" s="22">
        <v>1000</v>
      </c>
      <c r="I36" s="22">
        <v>3000</v>
      </c>
      <c r="J36">
        <v>0</v>
      </c>
      <c r="K36">
        <v>0</v>
      </c>
      <c r="L36" s="22">
        <v>3000</v>
      </c>
      <c r="M36" s="22">
        <v>0</v>
      </c>
      <c r="N36" s="22">
        <v>0</v>
      </c>
      <c r="O36" s="22">
        <v>3000</v>
      </c>
      <c r="P36" s="22">
        <v>2000</v>
      </c>
      <c r="Q36" s="22">
        <v>1000</v>
      </c>
      <c r="R36">
        <v>0</v>
      </c>
      <c r="T36" t="s">
        <v>2972</v>
      </c>
      <c r="U36" t="s">
        <v>3057</v>
      </c>
      <c r="V36" t="s">
        <v>3058</v>
      </c>
    </row>
    <row r="37" spans="1:22">
      <c r="A37">
        <v>36</v>
      </c>
      <c r="B37" t="s">
        <v>1125</v>
      </c>
      <c r="C37" t="s">
        <v>1126</v>
      </c>
      <c r="D37" t="s">
        <v>17</v>
      </c>
      <c r="E37" t="s">
        <v>8</v>
      </c>
      <c r="F37" s="22">
        <v>3100</v>
      </c>
      <c r="G37" s="22">
        <v>0</v>
      </c>
      <c r="H37" s="22">
        <v>0</v>
      </c>
      <c r="I37" s="22">
        <v>3100</v>
      </c>
      <c r="J37">
        <v>0</v>
      </c>
      <c r="K37">
        <v>0</v>
      </c>
      <c r="L37" s="22">
        <v>3100</v>
      </c>
      <c r="M37" s="22">
        <v>0</v>
      </c>
      <c r="N37" s="22">
        <v>0</v>
      </c>
      <c r="O37" s="22">
        <v>3100</v>
      </c>
      <c r="P37" s="22">
        <v>2000</v>
      </c>
      <c r="Q37" s="22">
        <v>1100</v>
      </c>
      <c r="R37">
        <v>0</v>
      </c>
      <c r="T37" t="s">
        <v>2972</v>
      </c>
      <c r="U37" t="s">
        <v>3057</v>
      </c>
      <c r="V37" t="s">
        <v>3058</v>
      </c>
    </row>
    <row r="38" spans="1:22">
      <c r="A38">
        <v>37</v>
      </c>
      <c r="B38" t="s">
        <v>98</v>
      </c>
      <c r="C38" t="s">
        <v>99</v>
      </c>
      <c r="D38" t="s">
        <v>20</v>
      </c>
      <c r="E38" t="s">
        <v>8</v>
      </c>
      <c r="F38" s="22">
        <v>942.6</v>
      </c>
      <c r="G38" s="22">
        <v>450</v>
      </c>
      <c r="H38" s="22">
        <v>50</v>
      </c>
      <c r="I38" s="22">
        <v>1342.6</v>
      </c>
      <c r="J38">
        <v>0</v>
      </c>
      <c r="K38">
        <v>0</v>
      </c>
      <c r="L38" s="22">
        <v>1342.6</v>
      </c>
      <c r="M38" s="22">
        <v>0</v>
      </c>
      <c r="N38" s="22">
        <v>0</v>
      </c>
      <c r="O38" s="22">
        <v>1342.6</v>
      </c>
      <c r="P38" s="22">
        <v>250</v>
      </c>
      <c r="Q38" s="22">
        <v>1092.5999999999999</v>
      </c>
      <c r="R38">
        <v>0</v>
      </c>
      <c r="T38" t="s">
        <v>2991</v>
      </c>
      <c r="U38" t="s">
        <v>3060</v>
      </c>
      <c r="V38" t="s">
        <v>3058</v>
      </c>
    </row>
    <row r="39" spans="1:22">
      <c r="A39">
        <v>38</v>
      </c>
      <c r="B39" t="s">
        <v>100</v>
      </c>
      <c r="C39" t="s">
        <v>101</v>
      </c>
      <c r="D39" t="s">
        <v>20</v>
      </c>
      <c r="E39" t="s">
        <v>8</v>
      </c>
      <c r="F39" s="22">
        <v>2015.83</v>
      </c>
      <c r="G39" s="22">
        <v>1500.5</v>
      </c>
      <c r="H39" s="22">
        <v>1000</v>
      </c>
      <c r="I39" s="22">
        <v>2516.33</v>
      </c>
      <c r="J39">
        <v>0</v>
      </c>
      <c r="K39">
        <v>0</v>
      </c>
      <c r="L39" s="22">
        <v>2516.33</v>
      </c>
      <c r="M39" s="22">
        <v>0</v>
      </c>
      <c r="N39" s="22">
        <v>0</v>
      </c>
      <c r="O39" s="22">
        <v>2516.33</v>
      </c>
      <c r="P39" s="22">
        <v>500</v>
      </c>
      <c r="Q39" s="22">
        <v>2016.33</v>
      </c>
      <c r="R39">
        <v>0</v>
      </c>
      <c r="T39" t="s">
        <v>2991</v>
      </c>
      <c r="U39" t="s">
        <v>3060</v>
      </c>
      <c r="V39" t="s">
        <v>3058</v>
      </c>
    </row>
    <row r="40" spans="1:22">
      <c r="A40">
        <v>39</v>
      </c>
      <c r="B40" t="s">
        <v>1141</v>
      </c>
      <c r="C40" t="s">
        <v>1142</v>
      </c>
      <c r="D40" t="s">
        <v>17</v>
      </c>
      <c r="E40" t="s">
        <v>8</v>
      </c>
      <c r="F40" s="22">
        <v>300</v>
      </c>
      <c r="G40" s="22">
        <v>1000</v>
      </c>
      <c r="H40" s="22">
        <v>0</v>
      </c>
      <c r="I40" s="22">
        <v>1300</v>
      </c>
      <c r="J40">
        <v>0</v>
      </c>
      <c r="K40">
        <v>0</v>
      </c>
      <c r="L40" s="22">
        <v>1300</v>
      </c>
      <c r="M40" s="22">
        <v>0</v>
      </c>
      <c r="N40" s="22">
        <v>0</v>
      </c>
      <c r="O40" s="22">
        <v>1300</v>
      </c>
      <c r="P40" s="22">
        <v>500</v>
      </c>
      <c r="Q40" s="22">
        <v>800</v>
      </c>
      <c r="R40">
        <v>1000</v>
      </c>
      <c r="T40" t="s">
        <v>2991</v>
      </c>
      <c r="U40" t="s">
        <v>3057</v>
      </c>
      <c r="V40" t="s">
        <v>3056</v>
      </c>
    </row>
    <row r="41" spans="1:22">
      <c r="A41">
        <v>40</v>
      </c>
      <c r="B41" t="s">
        <v>1506</v>
      </c>
      <c r="C41" t="s">
        <v>1507</v>
      </c>
      <c r="D41" t="s">
        <v>17</v>
      </c>
      <c r="E41" t="s">
        <v>8</v>
      </c>
      <c r="F41" s="22">
        <v>450</v>
      </c>
      <c r="G41" s="22">
        <v>0</v>
      </c>
      <c r="H41" s="22">
        <v>0</v>
      </c>
      <c r="I41" s="22">
        <v>450</v>
      </c>
      <c r="J41">
        <v>0</v>
      </c>
      <c r="K41">
        <v>0</v>
      </c>
      <c r="L41" s="22">
        <v>450</v>
      </c>
      <c r="M41" s="22">
        <v>0</v>
      </c>
      <c r="N41" s="22">
        <v>0</v>
      </c>
      <c r="O41" s="22">
        <v>450</v>
      </c>
      <c r="P41" s="22">
        <v>200</v>
      </c>
      <c r="Q41" s="22">
        <v>250</v>
      </c>
      <c r="R41">
        <v>0</v>
      </c>
      <c r="T41" t="s">
        <v>2991</v>
      </c>
      <c r="U41" t="s">
        <v>3057</v>
      </c>
      <c r="V41" t="s">
        <v>3058</v>
      </c>
    </row>
    <row r="42" spans="1:22">
      <c r="A42">
        <v>41</v>
      </c>
      <c r="B42" t="s">
        <v>110</v>
      </c>
      <c r="C42" t="s">
        <v>111</v>
      </c>
      <c r="D42" t="s">
        <v>7</v>
      </c>
      <c r="E42" t="s">
        <v>8</v>
      </c>
      <c r="F42" s="22">
        <v>2500</v>
      </c>
      <c r="G42" s="22">
        <v>0</v>
      </c>
      <c r="H42" s="22">
        <v>0</v>
      </c>
      <c r="I42" s="22">
        <v>2500</v>
      </c>
      <c r="J42">
        <v>0</v>
      </c>
      <c r="K42">
        <v>0</v>
      </c>
      <c r="L42" s="22">
        <v>2500</v>
      </c>
      <c r="M42" s="22">
        <v>0</v>
      </c>
      <c r="N42" s="22">
        <v>0</v>
      </c>
      <c r="O42" s="22">
        <v>2500</v>
      </c>
      <c r="P42" s="22">
        <v>0</v>
      </c>
      <c r="Q42" s="22">
        <v>2500</v>
      </c>
      <c r="R42">
        <v>0</v>
      </c>
      <c r="T42" t="s">
        <v>2972</v>
      </c>
      <c r="U42" t="s">
        <v>3060</v>
      </c>
      <c r="V42" t="s">
        <v>3056</v>
      </c>
    </row>
    <row r="43" spans="1:22">
      <c r="A43">
        <v>42</v>
      </c>
      <c r="B43" t="s">
        <v>112</v>
      </c>
      <c r="C43" t="s">
        <v>113</v>
      </c>
      <c r="D43" t="s">
        <v>7</v>
      </c>
      <c r="E43" t="s">
        <v>8</v>
      </c>
      <c r="F43" s="22">
        <v>1130</v>
      </c>
      <c r="G43" s="22">
        <v>2780</v>
      </c>
      <c r="H43" s="22">
        <v>2930</v>
      </c>
      <c r="I43" s="22">
        <v>980</v>
      </c>
      <c r="J43">
        <v>0</v>
      </c>
      <c r="K43">
        <v>0</v>
      </c>
      <c r="L43" s="22">
        <v>980</v>
      </c>
      <c r="M43" s="22">
        <v>5000</v>
      </c>
      <c r="N43" s="22">
        <v>0</v>
      </c>
      <c r="O43" s="22">
        <v>5980</v>
      </c>
      <c r="P43" s="22">
        <v>3000</v>
      </c>
      <c r="Q43" s="22">
        <v>2980</v>
      </c>
      <c r="R43">
        <v>5000</v>
      </c>
      <c r="T43" t="s">
        <v>3006</v>
      </c>
      <c r="U43" t="s">
        <v>3060</v>
      </c>
      <c r="V43" t="s">
        <v>3058</v>
      </c>
    </row>
    <row r="44" spans="1:22">
      <c r="A44">
        <v>43</v>
      </c>
      <c r="B44" t="s">
        <v>1586</v>
      </c>
      <c r="C44" t="s">
        <v>1587</v>
      </c>
      <c r="D44" t="s">
        <v>17</v>
      </c>
      <c r="E44" t="s">
        <v>8</v>
      </c>
      <c r="F44" s="22">
        <v>450</v>
      </c>
      <c r="G44" s="22">
        <v>400</v>
      </c>
      <c r="H44" s="22">
        <v>550</v>
      </c>
      <c r="I44" s="22">
        <v>300</v>
      </c>
      <c r="J44">
        <v>0</v>
      </c>
      <c r="K44">
        <v>0</v>
      </c>
      <c r="L44" s="22">
        <v>300</v>
      </c>
      <c r="M44" s="22">
        <v>0</v>
      </c>
      <c r="N44" s="22">
        <v>0</v>
      </c>
      <c r="O44" s="22">
        <v>300</v>
      </c>
      <c r="P44" s="22">
        <v>450</v>
      </c>
      <c r="Q44" s="22">
        <v>-150</v>
      </c>
      <c r="R44">
        <v>400</v>
      </c>
      <c r="T44" t="s">
        <v>2972</v>
      </c>
      <c r="U44" t="s">
        <v>3057</v>
      </c>
      <c r="V44" t="s">
        <v>3058</v>
      </c>
    </row>
    <row r="45" spans="1:22">
      <c r="A45">
        <v>44</v>
      </c>
      <c r="B45" t="s">
        <v>117</v>
      </c>
      <c r="C45" t="s">
        <v>118</v>
      </c>
      <c r="D45" t="s">
        <v>7</v>
      </c>
      <c r="E45" t="s">
        <v>8</v>
      </c>
      <c r="F45" s="22">
        <v>700</v>
      </c>
      <c r="G45" s="22">
        <v>0</v>
      </c>
      <c r="H45" s="22">
        <v>0</v>
      </c>
      <c r="I45" s="22">
        <v>700</v>
      </c>
      <c r="J45">
        <v>0</v>
      </c>
      <c r="K45">
        <v>0</v>
      </c>
      <c r="L45" s="22">
        <v>700</v>
      </c>
      <c r="M45" s="22">
        <v>2380</v>
      </c>
      <c r="N45" s="22">
        <v>0</v>
      </c>
      <c r="O45" s="22">
        <v>3080</v>
      </c>
      <c r="P45" s="22">
        <v>1000</v>
      </c>
      <c r="Q45" s="22">
        <v>2080</v>
      </c>
      <c r="R45">
        <v>2500</v>
      </c>
      <c r="T45" t="s">
        <v>3006</v>
      </c>
      <c r="U45" t="s">
        <v>3060</v>
      </c>
      <c r="V45" t="s">
        <v>3058</v>
      </c>
    </row>
    <row r="46" spans="1:22">
      <c r="A46">
        <v>45</v>
      </c>
      <c r="B46" t="s">
        <v>119</v>
      </c>
      <c r="C46" t="s">
        <v>120</v>
      </c>
      <c r="D46" t="s">
        <v>17</v>
      </c>
      <c r="E46" t="s">
        <v>8</v>
      </c>
      <c r="F46" s="22">
        <v>51</v>
      </c>
      <c r="G46" s="22">
        <v>0</v>
      </c>
      <c r="H46" s="22">
        <v>0</v>
      </c>
      <c r="I46" s="22">
        <v>51</v>
      </c>
      <c r="J46">
        <v>0</v>
      </c>
      <c r="K46">
        <v>0</v>
      </c>
      <c r="L46" s="22">
        <v>51</v>
      </c>
      <c r="M46" s="22">
        <v>0</v>
      </c>
      <c r="N46" s="22">
        <v>0</v>
      </c>
      <c r="O46" s="22">
        <v>51</v>
      </c>
      <c r="P46" s="22">
        <v>25</v>
      </c>
      <c r="Q46" s="22">
        <v>26</v>
      </c>
      <c r="R46">
        <v>0</v>
      </c>
      <c r="T46" t="s">
        <v>2991</v>
      </c>
      <c r="U46" t="s">
        <v>3060</v>
      </c>
      <c r="V46" t="s">
        <v>3058</v>
      </c>
    </row>
    <row r="47" spans="1:22">
      <c r="A47">
        <v>46</v>
      </c>
      <c r="B47" t="s">
        <v>121</v>
      </c>
      <c r="C47" t="s">
        <v>122</v>
      </c>
      <c r="D47" t="s">
        <v>17</v>
      </c>
      <c r="E47" t="s">
        <v>8</v>
      </c>
      <c r="F47" s="22">
        <v>541</v>
      </c>
      <c r="G47" s="22">
        <v>0</v>
      </c>
      <c r="H47" s="22">
        <v>0</v>
      </c>
      <c r="I47" s="22">
        <v>541</v>
      </c>
      <c r="J47">
        <v>0</v>
      </c>
      <c r="K47">
        <v>0</v>
      </c>
      <c r="L47" s="22">
        <v>541</v>
      </c>
      <c r="M47" s="22">
        <v>0</v>
      </c>
      <c r="N47" s="22">
        <v>0</v>
      </c>
      <c r="O47" s="22">
        <v>541</v>
      </c>
      <c r="P47" s="22">
        <v>100</v>
      </c>
      <c r="Q47" s="22">
        <v>441</v>
      </c>
      <c r="R47">
        <v>0</v>
      </c>
      <c r="T47" t="s">
        <v>2991</v>
      </c>
      <c r="U47" t="s">
        <v>3062</v>
      </c>
      <c r="V47" t="s">
        <v>3056</v>
      </c>
    </row>
    <row r="48" spans="1:22">
      <c r="A48">
        <v>47</v>
      </c>
      <c r="B48" t="s">
        <v>1598</v>
      </c>
      <c r="C48" t="s">
        <v>1599</v>
      </c>
      <c r="D48" t="s">
        <v>17</v>
      </c>
      <c r="E48" t="s">
        <v>8</v>
      </c>
      <c r="F48" s="22">
        <v>500</v>
      </c>
      <c r="G48" s="22">
        <v>300</v>
      </c>
      <c r="H48" s="22">
        <v>200</v>
      </c>
      <c r="I48" s="22">
        <v>600</v>
      </c>
      <c r="J48">
        <v>0</v>
      </c>
      <c r="K48">
        <v>0</v>
      </c>
      <c r="L48" s="22">
        <v>600</v>
      </c>
      <c r="M48" s="22">
        <v>0</v>
      </c>
      <c r="N48" s="22">
        <v>0</v>
      </c>
      <c r="O48" s="22">
        <v>600</v>
      </c>
      <c r="P48" s="22">
        <v>500</v>
      </c>
      <c r="Q48" s="22">
        <v>100</v>
      </c>
      <c r="R48">
        <v>300</v>
      </c>
      <c r="T48" t="s">
        <v>2972</v>
      </c>
      <c r="U48" t="s">
        <v>3057</v>
      </c>
      <c r="V48" t="s">
        <v>3056</v>
      </c>
    </row>
    <row r="49" spans="1:22">
      <c r="A49">
        <v>48</v>
      </c>
      <c r="B49" t="s">
        <v>1606</v>
      </c>
      <c r="C49" t="s">
        <v>1607</v>
      </c>
      <c r="D49" t="s">
        <v>17</v>
      </c>
      <c r="E49" t="s">
        <v>8</v>
      </c>
      <c r="F49" s="22">
        <v>5600</v>
      </c>
      <c r="G49" s="22">
        <v>0</v>
      </c>
      <c r="H49" s="22">
        <v>0</v>
      </c>
      <c r="I49" s="22">
        <v>5600</v>
      </c>
      <c r="J49">
        <v>0</v>
      </c>
      <c r="K49">
        <v>0</v>
      </c>
      <c r="L49" s="22">
        <v>5600</v>
      </c>
      <c r="M49" s="22">
        <v>0</v>
      </c>
      <c r="N49" s="22">
        <v>0</v>
      </c>
      <c r="O49" s="22">
        <v>5600</v>
      </c>
      <c r="P49" s="22">
        <v>2000</v>
      </c>
      <c r="Q49" s="22">
        <v>3600</v>
      </c>
      <c r="R49">
        <v>0</v>
      </c>
      <c r="T49" t="s">
        <v>2972</v>
      </c>
      <c r="U49" t="s">
        <v>3057</v>
      </c>
      <c r="V49" t="s">
        <v>3056</v>
      </c>
    </row>
    <row r="50" spans="1:22">
      <c r="A50">
        <v>49</v>
      </c>
      <c r="B50" t="s">
        <v>1618</v>
      </c>
      <c r="C50" t="s">
        <v>1619</v>
      </c>
      <c r="D50" t="s">
        <v>17</v>
      </c>
      <c r="E50" t="s">
        <v>8</v>
      </c>
      <c r="F50" s="22">
        <v>1926</v>
      </c>
      <c r="G50" s="22">
        <v>0</v>
      </c>
      <c r="H50" s="22">
        <v>1926</v>
      </c>
      <c r="I50" s="22">
        <v>0</v>
      </c>
      <c r="J50">
        <v>0</v>
      </c>
      <c r="K50">
        <v>0</v>
      </c>
      <c r="L50" s="22">
        <v>0</v>
      </c>
      <c r="M50" s="22">
        <v>0</v>
      </c>
      <c r="N50" s="22">
        <v>0</v>
      </c>
      <c r="O50" s="22">
        <v>0</v>
      </c>
      <c r="P50" s="22">
        <v>0</v>
      </c>
      <c r="Q50" s="22">
        <v>0</v>
      </c>
      <c r="R50">
        <v>0</v>
      </c>
      <c r="T50" t="s">
        <v>2972</v>
      </c>
      <c r="U50" t="s">
        <v>3057</v>
      </c>
      <c r="V50" t="s">
        <v>3056</v>
      </c>
    </row>
    <row r="51" spans="1:22">
      <c r="A51">
        <v>50</v>
      </c>
      <c r="B51" t="s">
        <v>1620</v>
      </c>
      <c r="C51" t="s">
        <v>1621</v>
      </c>
      <c r="D51" t="s">
        <v>17</v>
      </c>
      <c r="E51" t="s">
        <v>8</v>
      </c>
      <c r="F51" s="22">
        <v>2029</v>
      </c>
      <c r="G51" s="22">
        <v>0</v>
      </c>
      <c r="H51" s="22">
        <v>2029</v>
      </c>
      <c r="I51" s="22">
        <v>0</v>
      </c>
      <c r="J51">
        <v>0</v>
      </c>
      <c r="K51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>
        <v>0</v>
      </c>
      <c r="T51" t="s">
        <v>2972</v>
      </c>
      <c r="U51" t="s">
        <v>3057</v>
      </c>
      <c r="V51" t="s">
        <v>3056</v>
      </c>
    </row>
    <row r="52" spans="1:22">
      <c r="A52">
        <v>51</v>
      </c>
      <c r="B52" t="s">
        <v>1622</v>
      </c>
      <c r="C52" t="s">
        <v>1623</v>
      </c>
      <c r="D52" t="s">
        <v>17</v>
      </c>
      <c r="E52" t="s">
        <v>8</v>
      </c>
      <c r="F52" s="22">
        <v>1758</v>
      </c>
      <c r="G52" s="22">
        <v>0</v>
      </c>
      <c r="H52" s="22">
        <v>1758</v>
      </c>
      <c r="I52" s="22">
        <v>0</v>
      </c>
      <c r="J52">
        <v>0</v>
      </c>
      <c r="K5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>
        <v>0</v>
      </c>
      <c r="T52" t="s">
        <v>2972</v>
      </c>
      <c r="U52" t="s">
        <v>3057</v>
      </c>
      <c r="V52" t="s">
        <v>3056</v>
      </c>
    </row>
    <row r="53" spans="1:22">
      <c r="A53">
        <v>52</v>
      </c>
      <c r="B53" t="s">
        <v>136</v>
      </c>
      <c r="C53" t="s">
        <v>137</v>
      </c>
      <c r="D53" t="s">
        <v>17</v>
      </c>
      <c r="E53" t="s">
        <v>8</v>
      </c>
      <c r="F53" s="22">
        <v>38</v>
      </c>
      <c r="G53" s="22">
        <v>0</v>
      </c>
      <c r="H53" s="22">
        <v>0</v>
      </c>
      <c r="I53" s="22">
        <v>38</v>
      </c>
      <c r="J53">
        <v>0</v>
      </c>
      <c r="K53">
        <v>0</v>
      </c>
      <c r="L53" s="22">
        <v>38</v>
      </c>
      <c r="M53" s="22">
        <v>0</v>
      </c>
      <c r="N53" s="22">
        <v>0</v>
      </c>
      <c r="O53" s="22">
        <v>38</v>
      </c>
      <c r="P53" s="22">
        <v>20</v>
      </c>
      <c r="Q53" s="22">
        <v>18</v>
      </c>
      <c r="R53">
        <v>0</v>
      </c>
      <c r="T53" t="s">
        <v>2991</v>
      </c>
      <c r="U53" t="s">
        <v>3060</v>
      </c>
      <c r="V53" t="s">
        <v>3058</v>
      </c>
    </row>
    <row r="54" spans="1:22">
      <c r="A54">
        <v>53</v>
      </c>
      <c r="B54" t="s">
        <v>138</v>
      </c>
      <c r="C54" t="s">
        <v>139</v>
      </c>
      <c r="D54" t="s">
        <v>17</v>
      </c>
      <c r="E54" t="s">
        <v>8</v>
      </c>
      <c r="F54" s="22">
        <v>92</v>
      </c>
      <c r="G54" s="22">
        <v>0</v>
      </c>
      <c r="H54" s="22">
        <v>0</v>
      </c>
      <c r="I54" s="22">
        <v>92</v>
      </c>
      <c r="J54">
        <v>0</v>
      </c>
      <c r="K54">
        <v>0</v>
      </c>
      <c r="L54" s="22">
        <v>92</v>
      </c>
      <c r="M54" s="22">
        <v>0</v>
      </c>
      <c r="N54" s="22">
        <v>0</v>
      </c>
      <c r="O54" s="22">
        <v>92</v>
      </c>
      <c r="P54" s="22">
        <v>0</v>
      </c>
      <c r="Q54" s="22">
        <v>92</v>
      </c>
      <c r="R54">
        <v>0</v>
      </c>
      <c r="T54" t="s">
        <v>2991</v>
      </c>
      <c r="U54" t="s">
        <v>3060</v>
      </c>
      <c r="V54" t="s">
        <v>3058</v>
      </c>
    </row>
    <row r="55" spans="1:22">
      <c r="A55">
        <v>54</v>
      </c>
      <c r="B55" t="s">
        <v>140</v>
      </c>
      <c r="C55" t="s">
        <v>141</v>
      </c>
      <c r="D55" t="s">
        <v>17</v>
      </c>
      <c r="E55" t="s">
        <v>8</v>
      </c>
      <c r="F55" s="22">
        <v>11600</v>
      </c>
      <c r="G55" s="22">
        <v>0</v>
      </c>
      <c r="H55" s="22">
        <v>0</v>
      </c>
      <c r="I55" s="22">
        <v>11600</v>
      </c>
      <c r="J55">
        <v>0</v>
      </c>
      <c r="K55">
        <v>0</v>
      </c>
      <c r="L55" s="22">
        <v>11600</v>
      </c>
      <c r="M55" s="22">
        <v>0</v>
      </c>
      <c r="N55" s="22">
        <v>0</v>
      </c>
      <c r="O55" s="22">
        <v>11600</v>
      </c>
      <c r="P55" s="22">
        <v>1000</v>
      </c>
      <c r="Q55" s="22">
        <v>10600</v>
      </c>
      <c r="R55">
        <v>0</v>
      </c>
      <c r="T55" t="s">
        <v>2991</v>
      </c>
      <c r="U55" t="s">
        <v>3060</v>
      </c>
      <c r="V55" t="s">
        <v>3058</v>
      </c>
    </row>
    <row r="56" spans="1:22">
      <c r="A56">
        <v>55</v>
      </c>
      <c r="B56" t="s">
        <v>142</v>
      </c>
      <c r="C56" t="s">
        <v>143</v>
      </c>
      <c r="D56" t="s">
        <v>17</v>
      </c>
      <c r="E56" t="s">
        <v>8</v>
      </c>
      <c r="F56" s="22">
        <v>300</v>
      </c>
      <c r="G56" s="22">
        <v>0</v>
      </c>
      <c r="H56" s="22">
        <v>45</v>
      </c>
      <c r="I56" s="22">
        <v>255</v>
      </c>
      <c r="J56">
        <v>0</v>
      </c>
      <c r="K56">
        <v>0</v>
      </c>
      <c r="L56" s="22">
        <v>255</v>
      </c>
      <c r="M56" s="22">
        <v>0</v>
      </c>
      <c r="N56" s="22">
        <v>0</v>
      </c>
      <c r="O56" s="22">
        <v>255</v>
      </c>
      <c r="P56" s="22">
        <v>100</v>
      </c>
      <c r="Q56" s="22">
        <v>155</v>
      </c>
      <c r="R56">
        <v>0</v>
      </c>
      <c r="T56" t="s">
        <v>2972</v>
      </c>
      <c r="U56" t="s">
        <v>3060</v>
      </c>
      <c r="V56" t="s">
        <v>3058</v>
      </c>
    </row>
    <row r="57" spans="1:22">
      <c r="A57">
        <v>56</v>
      </c>
      <c r="B57" t="s">
        <v>144</v>
      </c>
      <c r="C57" t="s">
        <v>145</v>
      </c>
      <c r="D57" t="s">
        <v>17</v>
      </c>
      <c r="E57" t="s">
        <v>8</v>
      </c>
      <c r="F57" s="22">
        <v>290</v>
      </c>
      <c r="G57" s="22">
        <v>0</v>
      </c>
      <c r="H57" s="22">
        <v>97</v>
      </c>
      <c r="I57" s="22">
        <v>193</v>
      </c>
      <c r="J57">
        <v>0</v>
      </c>
      <c r="K57">
        <v>0</v>
      </c>
      <c r="L57" s="22">
        <v>193</v>
      </c>
      <c r="M57" s="22">
        <v>0</v>
      </c>
      <c r="N57" s="22">
        <v>0</v>
      </c>
      <c r="O57" s="22">
        <v>193</v>
      </c>
      <c r="P57" s="22">
        <v>125</v>
      </c>
      <c r="Q57" s="22">
        <v>68</v>
      </c>
      <c r="R57">
        <v>0</v>
      </c>
      <c r="T57" t="s">
        <v>2982</v>
      </c>
      <c r="U57" t="s">
        <v>3060</v>
      </c>
      <c r="V57" t="s">
        <v>3061</v>
      </c>
    </row>
    <row r="58" spans="1:22">
      <c r="A58">
        <v>57</v>
      </c>
      <c r="B58" t="s">
        <v>149</v>
      </c>
      <c r="C58" t="s">
        <v>150</v>
      </c>
      <c r="D58" t="s">
        <v>17</v>
      </c>
      <c r="E58" t="s">
        <v>8</v>
      </c>
      <c r="F58" s="22">
        <v>1256</v>
      </c>
      <c r="G58" s="22">
        <v>0</v>
      </c>
      <c r="H58" s="22">
        <v>6</v>
      </c>
      <c r="I58" s="22">
        <v>1250</v>
      </c>
      <c r="J58">
        <v>0</v>
      </c>
      <c r="K58">
        <v>0</v>
      </c>
      <c r="L58" s="22">
        <v>1250</v>
      </c>
      <c r="M58" s="22">
        <v>0</v>
      </c>
      <c r="N58" s="22">
        <v>0</v>
      </c>
      <c r="O58" s="22">
        <v>1250</v>
      </c>
      <c r="P58" s="22">
        <v>100</v>
      </c>
      <c r="Q58" s="22">
        <v>1150</v>
      </c>
      <c r="R58">
        <v>0</v>
      </c>
      <c r="T58" t="s">
        <v>2972</v>
      </c>
      <c r="U58" t="s">
        <v>3055</v>
      </c>
      <c r="V58" t="s">
        <v>3056</v>
      </c>
    </row>
    <row r="59" spans="1:22">
      <c r="A59">
        <v>58</v>
      </c>
      <c r="B59" t="s">
        <v>1636</v>
      </c>
      <c r="C59" t="s">
        <v>1637</v>
      </c>
      <c r="D59" t="s">
        <v>17</v>
      </c>
      <c r="E59" t="s">
        <v>8</v>
      </c>
      <c r="F59" s="22">
        <v>5300</v>
      </c>
      <c r="G59" s="22">
        <v>5000</v>
      </c>
      <c r="H59" s="22">
        <v>4900</v>
      </c>
      <c r="I59" s="22">
        <v>5400</v>
      </c>
      <c r="J59">
        <v>0</v>
      </c>
      <c r="K59">
        <v>0</v>
      </c>
      <c r="L59" s="22">
        <v>5400</v>
      </c>
      <c r="M59" s="22">
        <v>0</v>
      </c>
      <c r="N59" s="22">
        <v>0</v>
      </c>
      <c r="O59" s="22">
        <v>5400</v>
      </c>
      <c r="P59" s="22">
        <v>5000</v>
      </c>
      <c r="Q59" s="22">
        <v>400</v>
      </c>
      <c r="R59">
        <v>5000</v>
      </c>
      <c r="T59" t="s">
        <v>2972</v>
      </c>
      <c r="U59" t="s">
        <v>3057</v>
      </c>
      <c r="V59" t="s">
        <v>3056</v>
      </c>
    </row>
    <row r="60" spans="1:22">
      <c r="A60">
        <v>59</v>
      </c>
      <c r="B60" t="s">
        <v>153</v>
      </c>
      <c r="C60" t="s">
        <v>154</v>
      </c>
      <c r="D60" t="s">
        <v>20</v>
      </c>
      <c r="E60" t="s">
        <v>8</v>
      </c>
      <c r="F60" s="22">
        <v>418.4</v>
      </c>
      <c r="G60" s="22">
        <v>222.8</v>
      </c>
      <c r="H60" s="22">
        <v>89.2</v>
      </c>
      <c r="I60" s="22">
        <v>552</v>
      </c>
      <c r="J60">
        <v>0</v>
      </c>
      <c r="K60">
        <v>0</v>
      </c>
      <c r="L60" s="22">
        <v>552</v>
      </c>
      <c r="M60" s="22">
        <v>0</v>
      </c>
      <c r="N60" s="22">
        <v>0</v>
      </c>
      <c r="O60" s="22">
        <v>552</v>
      </c>
      <c r="P60" s="22">
        <v>300</v>
      </c>
      <c r="Q60" s="22">
        <v>252</v>
      </c>
      <c r="R60">
        <v>250</v>
      </c>
      <c r="T60" t="s">
        <v>2991</v>
      </c>
      <c r="U60" t="s">
        <v>3055</v>
      </c>
      <c r="V60" t="s">
        <v>3056</v>
      </c>
    </row>
    <row r="61" spans="1:22">
      <c r="A61">
        <v>60</v>
      </c>
      <c r="B61" t="s">
        <v>1638</v>
      </c>
      <c r="C61" t="s">
        <v>1639</v>
      </c>
      <c r="D61" t="s">
        <v>17</v>
      </c>
      <c r="E61" t="s">
        <v>8</v>
      </c>
      <c r="F61" s="22">
        <v>500</v>
      </c>
      <c r="G61" s="22">
        <v>0</v>
      </c>
      <c r="H61" s="22">
        <v>100</v>
      </c>
      <c r="I61" s="22">
        <v>400</v>
      </c>
      <c r="J61">
        <v>0</v>
      </c>
      <c r="K61">
        <v>0</v>
      </c>
      <c r="L61" s="22">
        <v>400</v>
      </c>
      <c r="M61" s="22">
        <v>0</v>
      </c>
      <c r="N61" s="22">
        <v>0</v>
      </c>
      <c r="O61" s="22">
        <v>400</v>
      </c>
      <c r="P61" s="22">
        <v>300</v>
      </c>
      <c r="Q61" s="22">
        <v>100</v>
      </c>
      <c r="R61">
        <v>0</v>
      </c>
      <c r="T61" t="s">
        <v>2972</v>
      </c>
      <c r="U61" t="s">
        <v>3057</v>
      </c>
      <c r="V61" t="s">
        <v>3056</v>
      </c>
    </row>
    <row r="62" spans="1:22">
      <c r="A62">
        <v>61</v>
      </c>
      <c r="B62" t="s">
        <v>157</v>
      </c>
      <c r="C62" t="s">
        <v>158</v>
      </c>
      <c r="D62" t="s">
        <v>17</v>
      </c>
      <c r="E62" t="s">
        <v>8</v>
      </c>
      <c r="F62" s="22">
        <v>7500</v>
      </c>
      <c r="G62" s="22">
        <v>0</v>
      </c>
      <c r="H62" s="22">
        <v>2000</v>
      </c>
      <c r="I62" s="22">
        <v>5500</v>
      </c>
      <c r="J62">
        <v>0</v>
      </c>
      <c r="K62">
        <v>0</v>
      </c>
      <c r="L62" s="22">
        <v>5500</v>
      </c>
      <c r="M62" s="22">
        <v>0</v>
      </c>
      <c r="N62" s="22">
        <v>0</v>
      </c>
      <c r="O62" s="22">
        <v>5500</v>
      </c>
      <c r="P62" s="22">
        <v>5000</v>
      </c>
      <c r="Q62" s="22">
        <v>500</v>
      </c>
      <c r="R62">
        <v>0</v>
      </c>
      <c r="T62" t="s">
        <v>2972</v>
      </c>
      <c r="U62" t="s">
        <v>3055</v>
      </c>
      <c r="V62" t="s">
        <v>3056</v>
      </c>
    </row>
    <row r="63" spans="1:22">
      <c r="A63">
        <v>62</v>
      </c>
      <c r="B63" t="s">
        <v>1648</v>
      </c>
      <c r="C63" t="s">
        <v>1649</v>
      </c>
      <c r="D63" t="s">
        <v>17</v>
      </c>
      <c r="E63" t="s">
        <v>8</v>
      </c>
      <c r="F63" s="22">
        <v>2000</v>
      </c>
      <c r="G63" s="22">
        <v>0</v>
      </c>
      <c r="H63" s="22">
        <v>300</v>
      </c>
      <c r="I63" s="22">
        <v>1700</v>
      </c>
      <c r="J63">
        <v>0</v>
      </c>
      <c r="K63">
        <v>0</v>
      </c>
      <c r="L63" s="22">
        <v>1700</v>
      </c>
      <c r="M63" s="22">
        <v>0</v>
      </c>
      <c r="N63" s="22">
        <v>0</v>
      </c>
      <c r="O63" s="22">
        <v>1700</v>
      </c>
      <c r="P63" s="22">
        <v>1000</v>
      </c>
      <c r="Q63" s="22">
        <v>700</v>
      </c>
      <c r="R63">
        <v>0</v>
      </c>
      <c r="T63" t="s">
        <v>2972</v>
      </c>
      <c r="U63" t="s">
        <v>3057</v>
      </c>
      <c r="V63" t="s">
        <v>3056</v>
      </c>
    </row>
    <row r="64" spans="1:22">
      <c r="A64">
        <v>63</v>
      </c>
      <c r="B64" t="s">
        <v>1658</v>
      </c>
      <c r="C64" t="s">
        <v>1659</v>
      </c>
      <c r="D64" t="s">
        <v>17</v>
      </c>
      <c r="E64" t="s">
        <v>8</v>
      </c>
      <c r="F64" s="22">
        <v>900</v>
      </c>
      <c r="G64" s="22">
        <v>900</v>
      </c>
      <c r="H64" s="22">
        <v>900</v>
      </c>
      <c r="I64" s="22">
        <v>900</v>
      </c>
      <c r="J64">
        <v>0</v>
      </c>
      <c r="K64">
        <v>0</v>
      </c>
      <c r="L64" s="22">
        <v>900</v>
      </c>
      <c r="M64" s="22">
        <v>0</v>
      </c>
      <c r="N64" s="22">
        <v>0</v>
      </c>
      <c r="O64" s="22">
        <v>900</v>
      </c>
      <c r="P64" s="22">
        <v>1000</v>
      </c>
      <c r="Q64" s="22">
        <v>-100</v>
      </c>
      <c r="R64">
        <v>1000</v>
      </c>
      <c r="T64" t="s">
        <v>2972</v>
      </c>
      <c r="U64" t="s">
        <v>3057</v>
      </c>
      <c r="V64" t="s">
        <v>3056</v>
      </c>
    </row>
    <row r="65" spans="1:22">
      <c r="A65">
        <v>64</v>
      </c>
      <c r="B65" t="s">
        <v>1696</v>
      </c>
      <c r="C65" t="s">
        <v>1697</v>
      </c>
      <c r="D65" t="s">
        <v>17</v>
      </c>
      <c r="E65" t="s">
        <v>8</v>
      </c>
      <c r="F65" s="22">
        <v>550</v>
      </c>
      <c r="G65" s="22">
        <v>0</v>
      </c>
      <c r="H65" s="22">
        <v>100</v>
      </c>
      <c r="I65" s="22">
        <v>450</v>
      </c>
      <c r="J65">
        <v>0</v>
      </c>
      <c r="K65">
        <v>0</v>
      </c>
      <c r="L65" s="22">
        <v>450</v>
      </c>
      <c r="M65" s="22">
        <v>0</v>
      </c>
      <c r="N65" s="22">
        <v>0</v>
      </c>
      <c r="O65" s="22">
        <v>450</v>
      </c>
      <c r="P65" s="22">
        <v>300</v>
      </c>
      <c r="Q65" s="22">
        <v>150</v>
      </c>
      <c r="R65">
        <v>0</v>
      </c>
      <c r="T65" t="s">
        <v>2972</v>
      </c>
      <c r="U65" t="s">
        <v>3057</v>
      </c>
      <c r="V65" t="s">
        <v>3056</v>
      </c>
    </row>
    <row r="66" spans="1:22">
      <c r="A66">
        <v>65</v>
      </c>
      <c r="B66" t="s">
        <v>1714</v>
      </c>
      <c r="C66" t="s">
        <v>1715</v>
      </c>
      <c r="D66" t="s">
        <v>17</v>
      </c>
      <c r="E66" t="s">
        <v>8</v>
      </c>
      <c r="F66" s="22">
        <v>800</v>
      </c>
      <c r="G66" s="22">
        <v>0</v>
      </c>
      <c r="H66" s="22">
        <v>200</v>
      </c>
      <c r="I66" s="22">
        <v>600</v>
      </c>
      <c r="J66">
        <v>0</v>
      </c>
      <c r="K66">
        <v>0</v>
      </c>
      <c r="L66" s="22">
        <v>600</v>
      </c>
      <c r="M66" s="22">
        <v>0</v>
      </c>
      <c r="N66" s="22">
        <v>0</v>
      </c>
      <c r="O66" s="22">
        <v>600</v>
      </c>
      <c r="P66" s="22">
        <v>400</v>
      </c>
      <c r="Q66" s="22">
        <v>200</v>
      </c>
      <c r="R66">
        <v>0</v>
      </c>
      <c r="T66" t="s">
        <v>2972</v>
      </c>
      <c r="U66" t="s">
        <v>3057</v>
      </c>
      <c r="V66" t="s">
        <v>3056</v>
      </c>
    </row>
    <row r="67" spans="1:22">
      <c r="A67">
        <v>66</v>
      </c>
      <c r="B67" t="s">
        <v>1774</v>
      </c>
      <c r="C67" t="s">
        <v>1775</v>
      </c>
      <c r="D67" t="s">
        <v>17</v>
      </c>
      <c r="E67" t="s">
        <v>8</v>
      </c>
      <c r="F67" s="22">
        <v>475</v>
      </c>
      <c r="G67" s="22">
        <v>375</v>
      </c>
      <c r="H67" s="22">
        <v>200</v>
      </c>
      <c r="I67" s="22">
        <v>650</v>
      </c>
      <c r="J67">
        <v>0</v>
      </c>
      <c r="K67">
        <v>0</v>
      </c>
      <c r="L67" s="22">
        <v>650</v>
      </c>
      <c r="M67" s="22">
        <v>0</v>
      </c>
      <c r="N67" s="22">
        <v>0</v>
      </c>
      <c r="O67" s="22">
        <v>650</v>
      </c>
      <c r="P67" s="22">
        <v>450</v>
      </c>
      <c r="Q67" s="22">
        <v>200</v>
      </c>
      <c r="R67">
        <v>400</v>
      </c>
      <c r="T67" t="s">
        <v>2991</v>
      </c>
      <c r="U67" t="s">
        <v>3057</v>
      </c>
      <c r="V67" t="s">
        <v>3058</v>
      </c>
    </row>
    <row r="68" spans="1:22">
      <c r="A68">
        <v>67</v>
      </c>
      <c r="B68" t="s">
        <v>1810</v>
      </c>
      <c r="C68" t="s">
        <v>1811</v>
      </c>
      <c r="D68" t="s">
        <v>17</v>
      </c>
      <c r="E68" t="s">
        <v>8</v>
      </c>
      <c r="F68" s="22">
        <v>5210</v>
      </c>
      <c r="G68" s="22">
        <v>1125</v>
      </c>
      <c r="H68" s="22">
        <v>400</v>
      </c>
      <c r="I68" s="22">
        <v>5935</v>
      </c>
      <c r="J68">
        <v>0</v>
      </c>
      <c r="K68">
        <v>0</v>
      </c>
      <c r="L68" s="22">
        <v>5935</v>
      </c>
      <c r="M68" s="22">
        <v>0</v>
      </c>
      <c r="N68" s="22">
        <v>0</v>
      </c>
      <c r="O68" s="22">
        <v>5935</v>
      </c>
      <c r="P68" s="22">
        <v>1000</v>
      </c>
      <c r="Q68" s="22">
        <v>4935</v>
      </c>
      <c r="R68">
        <v>0</v>
      </c>
      <c r="T68" t="s">
        <v>2974</v>
      </c>
      <c r="U68" t="s">
        <v>3057</v>
      </c>
      <c r="V68" t="s">
        <v>3056</v>
      </c>
    </row>
    <row r="69" spans="1:22">
      <c r="A69">
        <v>68</v>
      </c>
      <c r="B69" t="s">
        <v>1846</v>
      </c>
      <c r="C69" t="s">
        <v>1847</v>
      </c>
      <c r="D69" t="s">
        <v>20</v>
      </c>
      <c r="E69" t="s">
        <v>8</v>
      </c>
      <c r="F69" s="22">
        <v>316.2</v>
      </c>
      <c r="G69" s="22">
        <v>321.3</v>
      </c>
      <c r="H69" s="22">
        <v>254.5</v>
      </c>
      <c r="I69" s="22">
        <v>383</v>
      </c>
      <c r="J69">
        <v>0</v>
      </c>
      <c r="K69">
        <v>0</v>
      </c>
      <c r="L69" s="22">
        <v>383</v>
      </c>
      <c r="M69" s="22">
        <v>0</v>
      </c>
      <c r="N69" s="22">
        <v>0</v>
      </c>
      <c r="O69" s="22">
        <v>383</v>
      </c>
      <c r="P69" s="22">
        <v>350</v>
      </c>
      <c r="Q69" s="22">
        <v>33</v>
      </c>
      <c r="R69">
        <v>300</v>
      </c>
      <c r="T69" t="s">
        <v>3031</v>
      </c>
      <c r="U69" t="s">
        <v>3057</v>
      </c>
      <c r="V69" t="s">
        <v>3056</v>
      </c>
    </row>
    <row r="70" spans="1:22">
      <c r="A70">
        <v>69</v>
      </c>
      <c r="B70" t="s">
        <v>1850</v>
      </c>
      <c r="C70" t="s">
        <v>1851</v>
      </c>
      <c r="D70" t="s">
        <v>20</v>
      </c>
      <c r="E70" t="s">
        <v>8</v>
      </c>
      <c r="F70" s="22">
        <v>2108.3000000000002</v>
      </c>
      <c r="G70" s="22">
        <v>0</v>
      </c>
      <c r="H70" s="22">
        <v>608.04999999999995</v>
      </c>
      <c r="I70" s="22">
        <v>1500.25</v>
      </c>
      <c r="J70">
        <v>0</v>
      </c>
      <c r="K70">
        <v>0</v>
      </c>
      <c r="L70" s="22">
        <v>1500.25</v>
      </c>
      <c r="M70" s="22">
        <v>0</v>
      </c>
      <c r="N70" s="22">
        <v>0</v>
      </c>
      <c r="O70" s="22">
        <v>1500.25</v>
      </c>
      <c r="P70" s="22">
        <v>1800</v>
      </c>
      <c r="Q70" s="22">
        <v>-299.75</v>
      </c>
      <c r="R70">
        <v>500</v>
      </c>
      <c r="T70" t="s">
        <v>3031</v>
      </c>
      <c r="U70" t="s">
        <v>3057</v>
      </c>
      <c r="V70" t="s">
        <v>3056</v>
      </c>
    </row>
    <row r="71" spans="1:22">
      <c r="A71">
        <v>70</v>
      </c>
      <c r="B71" t="s">
        <v>1854</v>
      </c>
      <c r="C71" t="s">
        <v>1855</v>
      </c>
      <c r="D71" t="s">
        <v>20</v>
      </c>
      <c r="E71" t="s">
        <v>8</v>
      </c>
      <c r="F71" s="22">
        <v>2299</v>
      </c>
      <c r="G71" s="22">
        <v>7146</v>
      </c>
      <c r="H71" s="22">
        <v>6386.2</v>
      </c>
      <c r="I71" s="22">
        <v>3058.8</v>
      </c>
      <c r="J71">
        <v>0</v>
      </c>
      <c r="K71">
        <v>0</v>
      </c>
      <c r="L71" s="22">
        <v>3058.8</v>
      </c>
      <c r="M71" s="22">
        <v>0</v>
      </c>
      <c r="N71" s="22">
        <v>0</v>
      </c>
      <c r="O71" s="22">
        <v>3058.8</v>
      </c>
      <c r="P71" s="22">
        <v>2500</v>
      </c>
      <c r="Q71" s="22">
        <v>558.80000000000018</v>
      </c>
      <c r="R71">
        <v>8000</v>
      </c>
      <c r="T71" t="s">
        <v>3031</v>
      </c>
      <c r="U71" t="s">
        <v>3057</v>
      </c>
      <c r="V71" t="s">
        <v>3056</v>
      </c>
    </row>
    <row r="72" spans="1:22">
      <c r="A72">
        <v>71</v>
      </c>
      <c r="B72" t="s">
        <v>181</v>
      </c>
      <c r="C72" t="s">
        <v>182</v>
      </c>
      <c r="D72" t="s">
        <v>17</v>
      </c>
      <c r="E72" t="s">
        <v>8</v>
      </c>
      <c r="F72" s="22">
        <v>404</v>
      </c>
      <c r="G72" s="22">
        <v>0</v>
      </c>
      <c r="H72" s="22">
        <v>6</v>
      </c>
      <c r="I72" s="22">
        <v>398</v>
      </c>
      <c r="J72">
        <v>0</v>
      </c>
      <c r="K72">
        <v>0</v>
      </c>
      <c r="L72" s="22">
        <v>398</v>
      </c>
      <c r="M72" s="22">
        <v>0</v>
      </c>
      <c r="N72" s="22">
        <v>0</v>
      </c>
      <c r="O72" s="22">
        <v>398</v>
      </c>
      <c r="P72" s="22">
        <v>200</v>
      </c>
      <c r="Q72" s="22">
        <v>198</v>
      </c>
      <c r="R72">
        <v>0</v>
      </c>
      <c r="T72" t="s">
        <v>2982</v>
      </c>
      <c r="U72" t="s">
        <v>3060</v>
      </c>
      <c r="V72" t="s">
        <v>3058</v>
      </c>
    </row>
    <row r="73" spans="1:22">
      <c r="A73">
        <v>72</v>
      </c>
      <c r="B73" t="s">
        <v>183</v>
      </c>
      <c r="C73" t="s">
        <v>184</v>
      </c>
      <c r="D73" t="s">
        <v>17</v>
      </c>
      <c r="E73" t="s">
        <v>8</v>
      </c>
      <c r="F73" s="22">
        <v>0</v>
      </c>
      <c r="G73" s="22">
        <v>0</v>
      </c>
      <c r="H73" s="22">
        <v>0</v>
      </c>
      <c r="I73" s="22">
        <v>0</v>
      </c>
      <c r="J73">
        <v>0</v>
      </c>
      <c r="K73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>
        <v>0</v>
      </c>
      <c r="T73" t="s">
        <v>2982</v>
      </c>
      <c r="U73" t="s">
        <v>3060</v>
      </c>
      <c r="V73" t="s">
        <v>3058</v>
      </c>
    </row>
    <row r="74" spans="1:22">
      <c r="A74">
        <v>73</v>
      </c>
      <c r="B74" t="s">
        <v>2223</v>
      </c>
      <c r="C74" t="s">
        <v>2224</v>
      </c>
      <c r="D74" t="s">
        <v>17</v>
      </c>
      <c r="E74" t="s">
        <v>8</v>
      </c>
      <c r="F74" s="22">
        <v>575</v>
      </c>
      <c r="G74" s="22">
        <v>1000</v>
      </c>
      <c r="H74" s="22">
        <v>700</v>
      </c>
      <c r="I74" s="22">
        <v>875</v>
      </c>
      <c r="J74">
        <v>0</v>
      </c>
      <c r="K74">
        <v>0</v>
      </c>
      <c r="L74" s="22">
        <v>875</v>
      </c>
      <c r="M74" s="22">
        <v>0</v>
      </c>
      <c r="N74" s="22">
        <v>0</v>
      </c>
      <c r="O74" s="22">
        <v>875</v>
      </c>
      <c r="P74" s="22">
        <v>500</v>
      </c>
      <c r="Q74" s="22">
        <v>375</v>
      </c>
      <c r="R74">
        <v>750</v>
      </c>
      <c r="T74" t="s">
        <v>2991</v>
      </c>
      <c r="U74" t="s">
        <v>3057</v>
      </c>
      <c r="V74" t="s">
        <v>3056</v>
      </c>
    </row>
    <row r="75" spans="1:22">
      <c r="A75">
        <v>74</v>
      </c>
      <c r="B75" t="s">
        <v>187</v>
      </c>
      <c r="C75" t="s">
        <v>188</v>
      </c>
      <c r="D75" t="s">
        <v>7</v>
      </c>
      <c r="E75" t="s">
        <v>8</v>
      </c>
      <c r="F75" s="22">
        <v>0</v>
      </c>
      <c r="G75" s="22">
        <v>0</v>
      </c>
      <c r="H75" s="22">
        <v>0</v>
      </c>
      <c r="I75" s="22">
        <v>0</v>
      </c>
      <c r="J75">
        <v>0</v>
      </c>
      <c r="K75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>
        <v>0</v>
      </c>
      <c r="T75" t="s">
        <v>2965</v>
      </c>
      <c r="U75" t="s">
        <v>3060</v>
      </c>
      <c r="V75" t="s">
        <v>3058</v>
      </c>
    </row>
    <row r="76" spans="1:22">
      <c r="A76">
        <v>75</v>
      </c>
      <c r="B76" t="s">
        <v>189</v>
      </c>
      <c r="C76" t="s">
        <v>190</v>
      </c>
      <c r="D76" t="s">
        <v>7</v>
      </c>
      <c r="E76" t="s">
        <v>8</v>
      </c>
      <c r="F76" s="22">
        <v>0</v>
      </c>
      <c r="G76" s="22">
        <v>0</v>
      </c>
      <c r="H76" s="22">
        <v>0</v>
      </c>
      <c r="I76" s="22">
        <v>0</v>
      </c>
      <c r="J76">
        <v>0</v>
      </c>
      <c r="K76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>
        <v>0</v>
      </c>
      <c r="T76" t="s">
        <v>2965</v>
      </c>
      <c r="U76" t="s">
        <v>3060</v>
      </c>
      <c r="V76" t="s">
        <v>3058</v>
      </c>
    </row>
    <row r="77" spans="1:22">
      <c r="A77">
        <v>76</v>
      </c>
      <c r="B77" t="s">
        <v>191</v>
      </c>
      <c r="C77" t="s">
        <v>192</v>
      </c>
      <c r="D77" t="s">
        <v>20</v>
      </c>
      <c r="E77" t="s">
        <v>8</v>
      </c>
      <c r="F77" s="22">
        <v>400</v>
      </c>
      <c r="G77" s="22">
        <v>0</v>
      </c>
      <c r="H77" s="22">
        <v>88.6</v>
      </c>
      <c r="I77" s="22">
        <v>311.39999999999998</v>
      </c>
      <c r="J77">
        <v>0</v>
      </c>
      <c r="K77">
        <v>0</v>
      </c>
      <c r="L77" s="22">
        <v>311.39999999999998</v>
      </c>
      <c r="M77" s="22">
        <v>148.9</v>
      </c>
      <c r="N77" s="22">
        <v>0</v>
      </c>
      <c r="O77" s="22">
        <v>460.29999999999995</v>
      </c>
      <c r="P77" s="22">
        <v>200</v>
      </c>
      <c r="Q77" s="22">
        <v>260.29999999999995</v>
      </c>
      <c r="R77">
        <v>100</v>
      </c>
      <c r="T77" t="s">
        <v>2965</v>
      </c>
      <c r="U77" t="s">
        <v>3055</v>
      </c>
      <c r="V77" t="s">
        <v>3058</v>
      </c>
    </row>
    <row r="78" spans="1:22">
      <c r="A78">
        <v>77</v>
      </c>
      <c r="B78" t="s">
        <v>193</v>
      </c>
      <c r="C78" t="s">
        <v>194</v>
      </c>
      <c r="D78" t="s">
        <v>20</v>
      </c>
      <c r="E78" t="s">
        <v>8</v>
      </c>
      <c r="F78" s="22">
        <v>547.79999999999995</v>
      </c>
      <c r="G78" s="22">
        <v>0</v>
      </c>
      <c r="H78" s="22">
        <v>52.5</v>
      </c>
      <c r="I78" s="22">
        <v>495.3</v>
      </c>
      <c r="J78">
        <v>0</v>
      </c>
      <c r="K78">
        <v>0</v>
      </c>
      <c r="L78" s="22">
        <v>495.3</v>
      </c>
      <c r="M78" s="22">
        <v>267.89999999999998</v>
      </c>
      <c r="N78" s="22">
        <v>0</v>
      </c>
      <c r="O78" s="22">
        <v>763.2</v>
      </c>
      <c r="P78" s="22">
        <v>200</v>
      </c>
      <c r="Q78" s="22">
        <v>563.20000000000005</v>
      </c>
      <c r="R78">
        <v>100</v>
      </c>
      <c r="T78" t="s">
        <v>2965</v>
      </c>
      <c r="U78" t="s">
        <v>3055</v>
      </c>
      <c r="V78" t="s">
        <v>3058</v>
      </c>
    </row>
    <row r="79" spans="1:22">
      <c r="A79">
        <v>78</v>
      </c>
      <c r="B79" t="s">
        <v>197</v>
      </c>
      <c r="C79" t="s">
        <v>198</v>
      </c>
      <c r="D79" t="s">
        <v>20</v>
      </c>
      <c r="E79" t="s">
        <v>8</v>
      </c>
      <c r="F79" s="22">
        <v>544.1</v>
      </c>
      <c r="G79" s="22">
        <v>0</v>
      </c>
      <c r="H79" s="22">
        <v>74.099999999999994</v>
      </c>
      <c r="I79" s="22">
        <v>470</v>
      </c>
      <c r="J79">
        <v>0</v>
      </c>
      <c r="K79">
        <v>0</v>
      </c>
      <c r="L79" s="22">
        <v>470</v>
      </c>
      <c r="M79" s="22">
        <v>139.80000000000001</v>
      </c>
      <c r="N79" s="22">
        <v>0</v>
      </c>
      <c r="O79" s="22">
        <v>609.79999999999995</v>
      </c>
      <c r="P79" s="22">
        <v>200</v>
      </c>
      <c r="Q79" s="22">
        <v>409.79999999999995</v>
      </c>
      <c r="R79">
        <v>100</v>
      </c>
      <c r="T79" t="s">
        <v>2965</v>
      </c>
      <c r="U79" t="s">
        <v>3055</v>
      </c>
      <c r="V79" t="s">
        <v>3058</v>
      </c>
    </row>
    <row r="80" spans="1:22">
      <c r="A80">
        <v>79</v>
      </c>
      <c r="B80" t="s">
        <v>201</v>
      </c>
      <c r="C80" t="s">
        <v>202</v>
      </c>
      <c r="D80" t="s">
        <v>20</v>
      </c>
      <c r="E80" t="s">
        <v>8</v>
      </c>
      <c r="F80" s="22">
        <v>232</v>
      </c>
      <c r="G80" s="22">
        <v>0</v>
      </c>
      <c r="H80" s="22">
        <v>0</v>
      </c>
      <c r="I80" s="22">
        <v>232</v>
      </c>
      <c r="J80">
        <v>0</v>
      </c>
      <c r="K80">
        <v>0</v>
      </c>
      <c r="L80" s="22">
        <v>232</v>
      </c>
      <c r="M80" s="22">
        <v>0</v>
      </c>
      <c r="N80" s="22">
        <v>0</v>
      </c>
      <c r="O80" s="22">
        <v>232</v>
      </c>
      <c r="P80" s="22">
        <v>150</v>
      </c>
      <c r="Q80" s="22">
        <v>82</v>
      </c>
      <c r="R80">
        <v>0</v>
      </c>
      <c r="T80" t="s">
        <v>2965</v>
      </c>
      <c r="U80" t="s">
        <v>3055</v>
      </c>
      <c r="V80" t="s">
        <v>3058</v>
      </c>
    </row>
    <row r="81" spans="1:22">
      <c r="A81">
        <v>80</v>
      </c>
      <c r="B81" t="s">
        <v>205</v>
      </c>
      <c r="C81" t="s">
        <v>206</v>
      </c>
      <c r="D81" t="s">
        <v>7</v>
      </c>
      <c r="E81" t="s">
        <v>8</v>
      </c>
      <c r="F81" s="22">
        <v>387</v>
      </c>
      <c r="G81" s="22">
        <v>969</v>
      </c>
      <c r="H81" s="22">
        <v>388</v>
      </c>
      <c r="I81" s="22">
        <v>968</v>
      </c>
      <c r="J81">
        <v>0</v>
      </c>
      <c r="K81">
        <v>0</v>
      </c>
      <c r="L81" s="22">
        <v>968</v>
      </c>
      <c r="M81" s="22">
        <v>0</v>
      </c>
      <c r="N81" s="22">
        <v>0</v>
      </c>
      <c r="O81" s="22">
        <v>968</v>
      </c>
      <c r="P81" s="22">
        <v>300</v>
      </c>
      <c r="Q81" s="22">
        <v>668</v>
      </c>
      <c r="R81">
        <v>500</v>
      </c>
      <c r="T81" t="s">
        <v>2965</v>
      </c>
      <c r="U81" t="s">
        <v>3055</v>
      </c>
      <c r="V81" t="s">
        <v>3058</v>
      </c>
    </row>
    <row r="82" spans="1:22">
      <c r="A82">
        <v>81</v>
      </c>
      <c r="B82" t="s">
        <v>207</v>
      </c>
      <c r="C82" t="s">
        <v>208</v>
      </c>
      <c r="D82" t="s">
        <v>7</v>
      </c>
      <c r="E82" t="s">
        <v>8</v>
      </c>
      <c r="F82" s="22">
        <v>1022</v>
      </c>
      <c r="G82" s="22">
        <v>0</v>
      </c>
      <c r="H82" s="22">
        <v>158</v>
      </c>
      <c r="I82" s="22">
        <v>864</v>
      </c>
      <c r="J82">
        <v>0</v>
      </c>
      <c r="K82">
        <v>0</v>
      </c>
      <c r="L82" s="22">
        <v>864</v>
      </c>
      <c r="M82" s="22">
        <v>0</v>
      </c>
      <c r="N82" s="22">
        <v>0</v>
      </c>
      <c r="O82" s="22">
        <v>864</v>
      </c>
      <c r="P82" s="22">
        <v>300</v>
      </c>
      <c r="Q82" s="22">
        <v>564</v>
      </c>
      <c r="R82">
        <v>200</v>
      </c>
      <c r="T82" t="s">
        <v>2965</v>
      </c>
      <c r="U82" t="s">
        <v>3055</v>
      </c>
      <c r="V82" t="s">
        <v>3058</v>
      </c>
    </row>
    <row r="83" spans="1:22">
      <c r="A83">
        <v>82</v>
      </c>
      <c r="B83" t="s">
        <v>211</v>
      </c>
      <c r="C83" t="s">
        <v>212</v>
      </c>
      <c r="D83" t="s">
        <v>7</v>
      </c>
      <c r="E83" t="s">
        <v>8</v>
      </c>
      <c r="F83" s="22">
        <v>824</v>
      </c>
      <c r="G83" s="22">
        <v>0</v>
      </c>
      <c r="H83" s="22">
        <v>315</v>
      </c>
      <c r="I83" s="22">
        <v>509</v>
      </c>
      <c r="J83">
        <v>0</v>
      </c>
      <c r="K83">
        <v>0</v>
      </c>
      <c r="L83" s="22">
        <v>509</v>
      </c>
      <c r="M83" s="22">
        <v>0</v>
      </c>
      <c r="N83" s="22">
        <v>0</v>
      </c>
      <c r="O83" s="22">
        <v>509</v>
      </c>
      <c r="P83" s="22">
        <v>300</v>
      </c>
      <c r="Q83" s="22">
        <v>209</v>
      </c>
      <c r="R83">
        <v>200</v>
      </c>
      <c r="T83" t="s">
        <v>2965</v>
      </c>
      <c r="U83" t="s">
        <v>3055</v>
      </c>
      <c r="V83" t="s">
        <v>3058</v>
      </c>
    </row>
    <row r="84" spans="1:22">
      <c r="A84">
        <v>83</v>
      </c>
      <c r="B84" t="s">
        <v>215</v>
      </c>
      <c r="C84" t="s">
        <v>216</v>
      </c>
      <c r="D84" t="s">
        <v>7</v>
      </c>
      <c r="E84" t="s">
        <v>8</v>
      </c>
      <c r="F84" s="22">
        <v>0</v>
      </c>
      <c r="G84" s="22">
        <v>0</v>
      </c>
      <c r="H84" s="22">
        <v>0</v>
      </c>
      <c r="I84" s="22">
        <v>0</v>
      </c>
      <c r="J84">
        <v>0</v>
      </c>
      <c r="K84">
        <v>0</v>
      </c>
      <c r="L84" s="22">
        <v>0</v>
      </c>
      <c r="M84" s="22">
        <v>0</v>
      </c>
      <c r="N84" s="22">
        <v>0</v>
      </c>
      <c r="O84" s="22">
        <v>0</v>
      </c>
      <c r="P84" s="22">
        <v>0</v>
      </c>
      <c r="Q84" s="22">
        <v>0</v>
      </c>
      <c r="R84">
        <v>0</v>
      </c>
      <c r="T84" t="s">
        <v>2965</v>
      </c>
      <c r="U84" t="s">
        <v>3060</v>
      </c>
      <c r="V84" t="s">
        <v>3058</v>
      </c>
    </row>
    <row r="85" spans="1:22">
      <c r="A85">
        <v>84</v>
      </c>
      <c r="B85" t="s">
        <v>217</v>
      </c>
      <c r="C85" t="s">
        <v>218</v>
      </c>
      <c r="D85" t="s">
        <v>7</v>
      </c>
      <c r="E85" t="s">
        <v>8</v>
      </c>
      <c r="F85" s="22">
        <v>12143.5</v>
      </c>
      <c r="G85" s="22">
        <v>5016</v>
      </c>
      <c r="H85" s="22">
        <v>12782.2</v>
      </c>
      <c r="I85" s="22">
        <v>4377.3</v>
      </c>
      <c r="J85">
        <v>0</v>
      </c>
      <c r="K85">
        <v>0</v>
      </c>
      <c r="L85" s="22">
        <v>4377.3</v>
      </c>
      <c r="M85" s="22">
        <v>2099</v>
      </c>
      <c r="N85" s="22">
        <v>0</v>
      </c>
      <c r="O85" s="22">
        <v>6476.3</v>
      </c>
      <c r="P85" s="22">
        <v>8000</v>
      </c>
      <c r="Q85" s="22">
        <v>-1523.6999999999998</v>
      </c>
      <c r="R85">
        <v>15000</v>
      </c>
      <c r="T85" t="s">
        <v>2965</v>
      </c>
      <c r="U85" t="s">
        <v>3060</v>
      </c>
      <c r="V85" t="s">
        <v>3058</v>
      </c>
    </row>
    <row r="86" spans="1:22">
      <c r="A86">
        <v>85</v>
      </c>
      <c r="B86" t="s">
        <v>219</v>
      </c>
      <c r="C86" t="s">
        <v>220</v>
      </c>
      <c r="D86" t="s">
        <v>7</v>
      </c>
      <c r="E86" t="s">
        <v>8</v>
      </c>
      <c r="F86" s="22">
        <v>0</v>
      </c>
      <c r="G86" s="22">
        <v>0</v>
      </c>
      <c r="H86" s="22">
        <v>0</v>
      </c>
      <c r="I86" s="22">
        <v>0</v>
      </c>
      <c r="J86">
        <v>0</v>
      </c>
      <c r="K86">
        <v>0</v>
      </c>
      <c r="L86" s="22">
        <v>0</v>
      </c>
      <c r="M86" s="22">
        <v>0</v>
      </c>
      <c r="N86" s="22">
        <v>0</v>
      </c>
      <c r="O86" s="22">
        <v>0</v>
      </c>
      <c r="P86" s="22">
        <v>0</v>
      </c>
      <c r="Q86" s="22">
        <v>0</v>
      </c>
      <c r="R86">
        <v>0</v>
      </c>
      <c r="T86" t="s">
        <v>2965</v>
      </c>
      <c r="U86" t="s">
        <v>3060</v>
      </c>
      <c r="V86" t="s">
        <v>3058</v>
      </c>
    </row>
    <row r="87" spans="1:22">
      <c r="A87">
        <v>86</v>
      </c>
      <c r="B87" t="s">
        <v>221</v>
      </c>
      <c r="C87" t="s">
        <v>222</v>
      </c>
      <c r="D87" t="s">
        <v>7</v>
      </c>
      <c r="E87" t="s">
        <v>8</v>
      </c>
      <c r="F87" s="22">
        <v>100</v>
      </c>
      <c r="G87" s="22">
        <v>0</v>
      </c>
      <c r="H87" s="22">
        <v>0</v>
      </c>
      <c r="I87" s="22">
        <v>100</v>
      </c>
      <c r="J87">
        <v>0</v>
      </c>
      <c r="K87">
        <v>0</v>
      </c>
      <c r="L87" s="22">
        <v>100</v>
      </c>
      <c r="M87" s="22">
        <v>0</v>
      </c>
      <c r="N87" s="22">
        <v>0</v>
      </c>
      <c r="O87" s="22">
        <v>100</v>
      </c>
      <c r="P87" s="22">
        <v>50</v>
      </c>
      <c r="Q87" s="22">
        <v>50</v>
      </c>
      <c r="R87">
        <v>0</v>
      </c>
      <c r="T87" t="s">
        <v>2965</v>
      </c>
      <c r="U87" t="s">
        <v>3055</v>
      </c>
      <c r="V87" t="s">
        <v>3056</v>
      </c>
    </row>
    <row r="88" spans="1:22">
      <c r="A88">
        <v>87</v>
      </c>
      <c r="B88" t="s">
        <v>223</v>
      </c>
      <c r="C88" t="s">
        <v>224</v>
      </c>
      <c r="D88" t="s">
        <v>7</v>
      </c>
      <c r="E88" t="s">
        <v>8</v>
      </c>
      <c r="F88" s="22">
        <v>2622.5</v>
      </c>
      <c r="G88" s="22">
        <v>0</v>
      </c>
      <c r="H88" s="22">
        <v>1047.75</v>
      </c>
      <c r="I88" s="22">
        <v>1574.75</v>
      </c>
      <c r="J88">
        <v>0</v>
      </c>
      <c r="K88">
        <v>0</v>
      </c>
      <c r="L88" s="22">
        <v>1574.75</v>
      </c>
      <c r="M88" s="22">
        <v>0</v>
      </c>
      <c r="N88" s="22">
        <v>0</v>
      </c>
      <c r="O88" s="22">
        <v>1574.75</v>
      </c>
      <c r="P88" s="22">
        <v>3500</v>
      </c>
      <c r="Q88" s="22">
        <v>-1925.25</v>
      </c>
      <c r="R88">
        <v>0</v>
      </c>
      <c r="T88" t="s">
        <v>2965</v>
      </c>
      <c r="U88" t="s">
        <v>3060</v>
      </c>
      <c r="V88" t="s">
        <v>3058</v>
      </c>
    </row>
    <row r="89" spans="1:22">
      <c r="A89">
        <v>88</v>
      </c>
      <c r="B89" t="s">
        <v>225</v>
      </c>
      <c r="C89" t="s">
        <v>226</v>
      </c>
      <c r="D89" t="s">
        <v>7</v>
      </c>
      <c r="E89" t="s">
        <v>8</v>
      </c>
      <c r="F89" s="22">
        <v>4468.75</v>
      </c>
      <c r="G89" s="22">
        <v>0</v>
      </c>
      <c r="H89" s="22">
        <v>0</v>
      </c>
      <c r="I89" s="22">
        <v>4468.75</v>
      </c>
      <c r="J89">
        <v>0</v>
      </c>
      <c r="K89">
        <v>0</v>
      </c>
      <c r="L89" s="22">
        <v>4468.75</v>
      </c>
      <c r="M89" s="22">
        <v>0</v>
      </c>
      <c r="N89" s="22">
        <v>0</v>
      </c>
      <c r="O89" s="22">
        <v>4468.75</v>
      </c>
      <c r="P89" s="22">
        <v>3500</v>
      </c>
      <c r="Q89" s="22">
        <v>968.75</v>
      </c>
      <c r="R89">
        <v>0</v>
      </c>
      <c r="T89" t="s">
        <v>2965</v>
      </c>
      <c r="U89" t="s">
        <v>3060</v>
      </c>
      <c r="V89" t="s">
        <v>3058</v>
      </c>
    </row>
    <row r="90" spans="1:22">
      <c r="A90">
        <v>89</v>
      </c>
      <c r="B90" t="s">
        <v>227</v>
      </c>
      <c r="C90" t="s">
        <v>228</v>
      </c>
      <c r="D90" t="s">
        <v>7</v>
      </c>
      <c r="E90" t="s">
        <v>8</v>
      </c>
      <c r="F90" s="22">
        <v>251.9</v>
      </c>
      <c r="G90" s="22">
        <v>5271.55</v>
      </c>
      <c r="H90" s="22">
        <v>0</v>
      </c>
      <c r="I90" s="22">
        <v>5523.45</v>
      </c>
      <c r="J90">
        <v>0</v>
      </c>
      <c r="K90">
        <v>0</v>
      </c>
      <c r="L90" s="22">
        <v>5523.45</v>
      </c>
      <c r="M90" s="22">
        <v>0</v>
      </c>
      <c r="N90" s="22">
        <v>0</v>
      </c>
      <c r="O90" s="22">
        <v>5523.45</v>
      </c>
      <c r="P90" s="22">
        <v>1000</v>
      </c>
      <c r="Q90" s="22">
        <v>4523.45</v>
      </c>
      <c r="R90">
        <v>3000</v>
      </c>
      <c r="T90" t="s">
        <v>2965</v>
      </c>
      <c r="U90" t="s">
        <v>3060</v>
      </c>
      <c r="V90" t="s">
        <v>3058</v>
      </c>
    </row>
    <row r="91" spans="1:22">
      <c r="A91">
        <v>90</v>
      </c>
      <c r="B91" t="s">
        <v>229</v>
      </c>
      <c r="C91" t="s">
        <v>230</v>
      </c>
      <c r="D91" t="s">
        <v>7</v>
      </c>
      <c r="E91" t="s">
        <v>8</v>
      </c>
      <c r="F91" s="22">
        <v>0</v>
      </c>
      <c r="G91" s="22">
        <v>0</v>
      </c>
      <c r="H91" s="22">
        <v>0</v>
      </c>
      <c r="I91" s="22">
        <v>0</v>
      </c>
      <c r="J91">
        <v>0</v>
      </c>
      <c r="K91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>
        <v>0</v>
      </c>
      <c r="T91" t="s">
        <v>2965</v>
      </c>
      <c r="U91" t="s">
        <v>3060</v>
      </c>
      <c r="V91" t="s">
        <v>3058</v>
      </c>
    </row>
    <row r="92" spans="1:22">
      <c r="A92">
        <v>91</v>
      </c>
      <c r="B92" t="s">
        <v>231</v>
      </c>
      <c r="C92" t="s">
        <v>232</v>
      </c>
      <c r="D92" t="s">
        <v>7</v>
      </c>
      <c r="E92" t="s">
        <v>8</v>
      </c>
      <c r="F92" s="22">
        <v>624.20000000000005</v>
      </c>
      <c r="G92" s="22">
        <v>0</v>
      </c>
      <c r="H92" s="22">
        <v>624.20000000000005</v>
      </c>
      <c r="I92" s="22">
        <v>0</v>
      </c>
      <c r="J92">
        <v>0</v>
      </c>
      <c r="K92">
        <v>0</v>
      </c>
      <c r="L92" s="22">
        <v>0</v>
      </c>
      <c r="M92" s="22">
        <v>0</v>
      </c>
      <c r="N92" s="22">
        <v>0</v>
      </c>
      <c r="O92" s="22">
        <v>0</v>
      </c>
      <c r="P92" s="22">
        <v>500</v>
      </c>
      <c r="Q92" s="22">
        <v>-500</v>
      </c>
      <c r="R92">
        <v>0</v>
      </c>
      <c r="T92" t="s">
        <v>2965</v>
      </c>
      <c r="U92" t="s">
        <v>3060</v>
      </c>
      <c r="V92" t="s">
        <v>3058</v>
      </c>
    </row>
    <row r="93" spans="1:22">
      <c r="A93">
        <v>92</v>
      </c>
      <c r="B93" t="s">
        <v>2225</v>
      </c>
      <c r="C93" t="s">
        <v>2226</v>
      </c>
      <c r="D93" t="s">
        <v>17</v>
      </c>
      <c r="E93" t="s">
        <v>8</v>
      </c>
      <c r="F93" s="22">
        <v>685</v>
      </c>
      <c r="G93" s="22">
        <v>1000</v>
      </c>
      <c r="H93" s="22">
        <v>675</v>
      </c>
      <c r="I93" s="22">
        <v>1010</v>
      </c>
      <c r="J93">
        <v>0</v>
      </c>
      <c r="K93">
        <v>0</v>
      </c>
      <c r="L93" s="22">
        <v>1010</v>
      </c>
      <c r="M93" s="22">
        <v>0</v>
      </c>
      <c r="N93" s="22">
        <v>0</v>
      </c>
      <c r="O93" s="22">
        <v>1010</v>
      </c>
      <c r="P93" s="22">
        <v>500</v>
      </c>
      <c r="Q93" s="22">
        <v>510</v>
      </c>
      <c r="R93">
        <v>1000</v>
      </c>
      <c r="T93" t="s">
        <v>2991</v>
      </c>
      <c r="U93" t="s">
        <v>3057</v>
      </c>
      <c r="V93" t="s">
        <v>3056</v>
      </c>
    </row>
    <row r="94" spans="1:22">
      <c r="A94">
        <v>93</v>
      </c>
      <c r="B94" t="s">
        <v>235</v>
      </c>
      <c r="C94" t="s">
        <v>236</v>
      </c>
      <c r="D94" t="s">
        <v>17</v>
      </c>
      <c r="E94" t="s">
        <v>8</v>
      </c>
      <c r="F94" s="22">
        <v>246</v>
      </c>
      <c r="G94" s="22">
        <v>0</v>
      </c>
      <c r="H94" s="22">
        <v>0</v>
      </c>
      <c r="I94" s="22">
        <v>246</v>
      </c>
      <c r="J94">
        <v>0</v>
      </c>
      <c r="K94">
        <v>0</v>
      </c>
      <c r="L94" s="22">
        <v>246</v>
      </c>
      <c r="M94" s="22">
        <v>0</v>
      </c>
      <c r="N94" s="22">
        <v>0</v>
      </c>
      <c r="O94" s="22">
        <v>246</v>
      </c>
      <c r="P94" s="22">
        <v>100</v>
      </c>
      <c r="Q94" s="22">
        <v>146</v>
      </c>
      <c r="R94">
        <v>0</v>
      </c>
      <c r="T94" t="s">
        <v>2972</v>
      </c>
      <c r="U94" t="s">
        <v>3060</v>
      </c>
      <c r="V94" t="s">
        <v>3058</v>
      </c>
    </row>
    <row r="95" spans="1:22">
      <c r="A95">
        <v>94</v>
      </c>
      <c r="B95" t="s">
        <v>241</v>
      </c>
      <c r="C95" t="s">
        <v>242</v>
      </c>
      <c r="D95" t="s">
        <v>17</v>
      </c>
      <c r="E95" t="s">
        <v>8</v>
      </c>
      <c r="F95" s="22">
        <v>7</v>
      </c>
      <c r="G95" s="22">
        <v>0</v>
      </c>
      <c r="H95" s="22">
        <v>0</v>
      </c>
      <c r="I95" s="22">
        <v>7</v>
      </c>
      <c r="J95">
        <v>0</v>
      </c>
      <c r="K95">
        <v>0</v>
      </c>
      <c r="L95" s="22">
        <v>7</v>
      </c>
      <c r="M95" s="22">
        <v>0</v>
      </c>
      <c r="N95" s="22">
        <v>0</v>
      </c>
      <c r="O95" s="22">
        <v>7</v>
      </c>
      <c r="P95" s="22">
        <v>0</v>
      </c>
      <c r="Q95" s="22">
        <v>7</v>
      </c>
      <c r="R95">
        <v>0</v>
      </c>
      <c r="T95" t="s">
        <v>2982</v>
      </c>
      <c r="U95" t="s">
        <v>3060</v>
      </c>
      <c r="V95" t="s">
        <v>3058</v>
      </c>
    </row>
    <row r="96" spans="1:22">
      <c r="A96">
        <v>95</v>
      </c>
      <c r="B96" t="s">
        <v>2783</v>
      </c>
      <c r="C96" t="s">
        <v>2784</v>
      </c>
      <c r="D96" t="s">
        <v>7</v>
      </c>
      <c r="E96" t="s">
        <v>8</v>
      </c>
      <c r="F96" s="22">
        <v>85400</v>
      </c>
      <c r="G96" s="22">
        <v>0</v>
      </c>
      <c r="H96" s="22">
        <v>11400</v>
      </c>
      <c r="I96" s="22">
        <v>74000</v>
      </c>
      <c r="J96">
        <v>0</v>
      </c>
      <c r="K96">
        <v>0</v>
      </c>
      <c r="L96" s="22">
        <v>74000</v>
      </c>
      <c r="M96" s="22">
        <v>0</v>
      </c>
      <c r="N96" s="22">
        <v>0</v>
      </c>
      <c r="O96" s="22">
        <v>74000</v>
      </c>
      <c r="P96" s="22">
        <v>10000</v>
      </c>
      <c r="Q96" s="22">
        <v>64000</v>
      </c>
      <c r="R96">
        <v>0</v>
      </c>
      <c r="T96" t="s">
        <v>2972</v>
      </c>
      <c r="U96" t="s">
        <v>3057</v>
      </c>
      <c r="V96" t="s">
        <v>3056</v>
      </c>
    </row>
    <row r="97" spans="1:22">
      <c r="A97">
        <v>96</v>
      </c>
      <c r="B97" t="s">
        <v>2787</v>
      </c>
      <c r="C97" t="s">
        <v>2788</v>
      </c>
      <c r="D97" t="s">
        <v>7</v>
      </c>
      <c r="E97" t="s">
        <v>8</v>
      </c>
      <c r="F97" s="22">
        <v>23900</v>
      </c>
      <c r="G97" s="22">
        <v>15000</v>
      </c>
      <c r="H97" s="22">
        <v>5500</v>
      </c>
      <c r="I97" s="22">
        <v>33400</v>
      </c>
      <c r="J97">
        <v>0</v>
      </c>
      <c r="K97">
        <v>0</v>
      </c>
      <c r="L97" s="22">
        <v>33400</v>
      </c>
      <c r="M97" s="22">
        <v>0</v>
      </c>
      <c r="N97" s="22">
        <v>0</v>
      </c>
      <c r="O97" s="22">
        <v>33400</v>
      </c>
      <c r="P97" s="22">
        <v>20000</v>
      </c>
      <c r="Q97" s="22">
        <v>13400</v>
      </c>
      <c r="R97">
        <v>25000</v>
      </c>
      <c r="T97" t="s">
        <v>2972</v>
      </c>
      <c r="U97" t="s">
        <v>3057</v>
      </c>
      <c r="V97" t="s">
        <v>3056</v>
      </c>
    </row>
    <row r="98" spans="1:22">
      <c r="A98">
        <v>97</v>
      </c>
      <c r="B98" t="s">
        <v>3156</v>
      </c>
      <c r="C98" t="s">
        <v>3157</v>
      </c>
      <c r="D98" t="s">
        <v>7</v>
      </c>
      <c r="E98" t="s">
        <v>8</v>
      </c>
      <c r="F98" s="22">
        <v>1440</v>
      </c>
      <c r="G98" s="22">
        <v>900</v>
      </c>
      <c r="H98" s="22">
        <v>1440</v>
      </c>
      <c r="I98" s="22">
        <v>900</v>
      </c>
      <c r="J98">
        <v>0</v>
      </c>
      <c r="K98">
        <v>0</v>
      </c>
      <c r="L98" s="22">
        <v>900</v>
      </c>
      <c r="M98" s="22">
        <v>0</v>
      </c>
      <c r="N98" s="22">
        <v>0</v>
      </c>
      <c r="O98" s="22">
        <v>900</v>
      </c>
      <c r="P98" s="22">
        <v>540</v>
      </c>
      <c r="Q98" s="22">
        <v>360</v>
      </c>
      <c r="R98">
        <v>0</v>
      </c>
      <c r="T98" t="s">
        <v>2972</v>
      </c>
      <c r="U98" t="s">
        <v>3057</v>
      </c>
      <c r="V98" t="s">
        <v>3056</v>
      </c>
    </row>
    <row r="99" spans="1:22">
      <c r="A99">
        <v>98</v>
      </c>
      <c r="B99" t="s">
        <v>3158</v>
      </c>
      <c r="C99" t="s">
        <v>3159</v>
      </c>
      <c r="D99" t="s">
        <v>7</v>
      </c>
      <c r="E99" t="s">
        <v>8</v>
      </c>
      <c r="F99" s="22">
        <v>1620</v>
      </c>
      <c r="G99" s="22">
        <v>2160</v>
      </c>
      <c r="H99" s="22">
        <v>1440</v>
      </c>
      <c r="I99" s="22">
        <v>2340</v>
      </c>
      <c r="J99">
        <v>0</v>
      </c>
      <c r="K99">
        <v>0</v>
      </c>
      <c r="L99" s="22">
        <v>2340</v>
      </c>
      <c r="M99" s="22">
        <v>0</v>
      </c>
      <c r="N99" s="22">
        <v>0</v>
      </c>
      <c r="O99" s="22">
        <v>2340</v>
      </c>
      <c r="P99" s="22">
        <v>540</v>
      </c>
      <c r="Q99" s="22">
        <v>1800</v>
      </c>
      <c r="R99">
        <v>2160</v>
      </c>
      <c r="T99" t="s">
        <v>2972</v>
      </c>
      <c r="U99" t="s">
        <v>3057</v>
      </c>
      <c r="V99" t="s">
        <v>3056</v>
      </c>
    </row>
    <row r="100" spans="1:22">
      <c r="A100">
        <v>99</v>
      </c>
      <c r="B100" t="s">
        <v>2927</v>
      </c>
      <c r="C100" t="s">
        <v>3037</v>
      </c>
      <c r="D100" t="s">
        <v>17</v>
      </c>
      <c r="E100" t="s">
        <v>8</v>
      </c>
      <c r="F100" s="22">
        <v>595</v>
      </c>
      <c r="G100" s="22">
        <v>0</v>
      </c>
      <c r="H100" s="22">
        <v>0</v>
      </c>
      <c r="I100" s="22">
        <v>595</v>
      </c>
      <c r="J100">
        <v>0</v>
      </c>
      <c r="K100">
        <v>0</v>
      </c>
      <c r="L100" s="22">
        <v>595</v>
      </c>
      <c r="M100" s="22">
        <v>0</v>
      </c>
      <c r="N100" s="22">
        <v>0</v>
      </c>
      <c r="O100" s="22">
        <v>595</v>
      </c>
      <c r="P100" s="22">
        <v>200</v>
      </c>
      <c r="Q100" s="22">
        <v>395</v>
      </c>
      <c r="R100">
        <v>0</v>
      </c>
      <c r="T100" t="s">
        <v>2972</v>
      </c>
      <c r="U100" t="s">
        <v>3057</v>
      </c>
      <c r="V100" t="s">
        <v>3058</v>
      </c>
    </row>
    <row r="101" spans="1:22">
      <c r="A101">
        <v>100</v>
      </c>
      <c r="B101" t="s">
        <v>3160</v>
      </c>
      <c r="C101" t="s">
        <v>3161</v>
      </c>
      <c r="D101" t="s">
        <v>17</v>
      </c>
      <c r="E101" t="s">
        <v>8</v>
      </c>
      <c r="F101" s="22">
        <v>49</v>
      </c>
      <c r="G101" s="22">
        <v>0</v>
      </c>
      <c r="H101" s="22">
        <v>0</v>
      </c>
      <c r="I101" s="22">
        <v>49</v>
      </c>
      <c r="J101">
        <v>0</v>
      </c>
      <c r="K101">
        <v>0</v>
      </c>
      <c r="L101" s="22">
        <v>49</v>
      </c>
      <c r="M101" s="22">
        <v>0</v>
      </c>
      <c r="N101" s="22">
        <v>0</v>
      </c>
      <c r="O101" s="22">
        <v>49</v>
      </c>
      <c r="P101" s="22">
        <v>20</v>
      </c>
      <c r="Q101" s="22">
        <v>29</v>
      </c>
      <c r="R101">
        <v>0</v>
      </c>
      <c r="T101" t="s">
        <v>2974</v>
      </c>
      <c r="U101" t="s">
        <v>3057</v>
      </c>
      <c r="V101" t="s">
        <v>3056</v>
      </c>
    </row>
    <row r="102" spans="1:22">
      <c r="A102">
        <v>101</v>
      </c>
      <c r="B102" t="s">
        <v>261</v>
      </c>
      <c r="C102" t="s">
        <v>262</v>
      </c>
      <c r="D102" t="s">
        <v>17</v>
      </c>
      <c r="E102" t="s">
        <v>8</v>
      </c>
      <c r="F102" s="22">
        <v>228</v>
      </c>
      <c r="G102" s="22">
        <v>0</v>
      </c>
      <c r="H102" s="22">
        <v>46</v>
      </c>
      <c r="I102" s="22">
        <v>182</v>
      </c>
      <c r="J102">
        <v>0</v>
      </c>
      <c r="K102">
        <v>0</v>
      </c>
      <c r="L102" s="22">
        <v>182</v>
      </c>
      <c r="M102" s="22">
        <v>0</v>
      </c>
      <c r="N102" s="22">
        <v>0</v>
      </c>
      <c r="O102" s="22">
        <v>182</v>
      </c>
      <c r="P102" s="22">
        <v>100</v>
      </c>
      <c r="Q102" s="22">
        <v>82</v>
      </c>
      <c r="R102">
        <v>0</v>
      </c>
      <c r="T102" t="s">
        <v>2972</v>
      </c>
      <c r="U102" t="s">
        <v>3060</v>
      </c>
      <c r="V102" t="s">
        <v>3058</v>
      </c>
    </row>
    <row r="103" spans="1:22">
      <c r="A103">
        <v>102</v>
      </c>
      <c r="B103" t="s">
        <v>265</v>
      </c>
      <c r="C103" t="s">
        <v>266</v>
      </c>
      <c r="D103" t="s">
        <v>17</v>
      </c>
      <c r="E103" t="s">
        <v>8</v>
      </c>
      <c r="F103" s="22">
        <v>296</v>
      </c>
      <c r="G103" s="22">
        <v>0</v>
      </c>
      <c r="H103" s="22">
        <v>0</v>
      </c>
      <c r="I103" s="22">
        <v>296</v>
      </c>
      <c r="J103">
        <v>0</v>
      </c>
      <c r="K103">
        <v>0</v>
      </c>
      <c r="L103" s="22">
        <v>296</v>
      </c>
      <c r="M103" s="22">
        <v>0</v>
      </c>
      <c r="N103" s="22">
        <v>0</v>
      </c>
      <c r="O103" s="22">
        <v>296</v>
      </c>
      <c r="P103" s="22">
        <v>100</v>
      </c>
      <c r="Q103" s="22">
        <v>196</v>
      </c>
      <c r="R103">
        <v>0</v>
      </c>
      <c r="T103" t="s">
        <v>2982</v>
      </c>
      <c r="U103" t="s">
        <v>3060</v>
      </c>
      <c r="V103" t="s">
        <v>3058</v>
      </c>
    </row>
    <row r="104" spans="1:22">
      <c r="A104">
        <v>103</v>
      </c>
      <c r="B104" t="s">
        <v>269</v>
      </c>
      <c r="C104" t="s">
        <v>270</v>
      </c>
      <c r="D104" t="s">
        <v>17</v>
      </c>
      <c r="E104" t="s">
        <v>8</v>
      </c>
      <c r="F104" s="22">
        <v>221</v>
      </c>
      <c r="G104" s="22">
        <v>0</v>
      </c>
      <c r="H104" s="22">
        <v>0</v>
      </c>
      <c r="I104" s="22">
        <v>221</v>
      </c>
      <c r="J104">
        <v>0</v>
      </c>
      <c r="K104">
        <v>0</v>
      </c>
      <c r="L104" s="22">
        <v>221</v>
      </c>
      <c r="M104" s="22">
        <v>0</v>
      </c>
      <c r="N104" s="22">
        <v>0</v>
      </c>
      <c r="O104" s="22">
        <v>221</v>
      </c>
      <c r="P104" s="22">
        <v>100</v>
      </c>
      <c r="Q104" s="22">
        <v>121</v>
      </c>
      <c r="R104">
        <v>0</v>
      </c>
      <c r="T104" t="s">
        <v>2982</v>
      </c>
      <c r="U104" t="s">
        <v>3060</v>
      </c>
      <c r="V104" t="s">
        <v>3058</v>
      </c>
    </row>
    <row r="105" spans="1:22">
      <c r="A105">
        <v>104</v>
      </c>
      <c r="B105" t="s">
        <v>271</v>
      </c>
      <c r="C105" t="s">
        <v>272</v>
      </c>
      <c r="D105" t="s">
        <v>17</v>
      </c>
      <c r="E105" t="s">
        <v>8</v>
      </c>
      <c r="F105" s="22">
        <v>283</v>
      </c>
      <c r="G105" s="22">
        <v>0</v>
      </c>
      <c r="H105" s="22">
        <v>0</v>
      </c>
      <c r="I105" s="22">
        <v>283</v>
      </c>
      <c r="J105">
        <v>0</v>
      </c>
      <c r="K105">
        <v>0</v>
      </c>
      <c r="L105" s="22">
        <v>283</v>
      </c>
      <c r="M105" s="22">
        <v>0</v>
      </c>
      <c r="N105" s="22">
        <v>0</v>
      </c>
      <c r="O105" s="22">
        <v>283</v>
      </c>
      <c r="P105" s="22">
        <v>100</v>
      </c>
      <c r="Q105" s="22">
        <v>183</v>
      </c>
      <c r="R105">
        <v>0</v>
      </c>
      <c r="T105" t="s">
        <v>2982</v>
      </c>
      <c r="U105" t="s">
        <v>3060</v>
      </c>
      <c r="V105" t="s">
        <v>3058</v>
      </c>
    </row>
    <row r="106" spans="1:22">
      <c r="A106">
        <v>105</v>
      </c>
      <c r="B106" t="s">
        <v>273</v>
      </c>
      <c r="C106" t="s">
        <v>274</v>
      </c>
      <c r="D106" t="s">
        <v>17</v>
      </c>
      <c r="E106" t="s">
        <v>8</v>
      </c>
      <c r="F106" s="22">
        <v>282</v>
      </c>
      <c r="G106" s="22">
        <v>0</v>
      </c>
      <c r="H106" s="22">
        <v>0</v>
      </c>
      <c r="I106" s="22">
        <v>282</v>
      </c>
      <c r="J106">
        <v>0</v>
      </c>
      <c r="K106">
        <v>0</v>
      </c>
      <c r="L106" s="22">
        <v>282</v>
      </c>
      <c r="M106" s="22">
        <v>0</v>
      </c>
      <c r="N106" s="22">
        <v>0</v>
      </c>
      <c r="O106" s="22">
        <v>282</v>
      </c>
      <c r="P106" s="22">
        <v>100</v>
      </c>
      <c r="Q106" s="22">
        <v>182</v>
      </c>
      <c r="R106">
        <v>0</v>
      </c>
      <c r="T106" t="s">
        <v>2982</v>
      </c>
      <c r="U106" t="s">
        <v>3060</v>
      </c>
      <c r="V106" t="s">
        <v>3058</v>
      </c>
    </row>
    <row r="107" spans="1:22">
      <c r="A107">
        <v>106</v>
      </c>
      <c r="B107" t="s">
        <v>3162</v>
      </c>
      <c r="C107" t="s">
        <v>3163</v>
      </c>
      <c r="D107" t="s">
        <v>17</v>
      </c>
      <c r="E107" t="s">
        <v>8</v>
      </c>
      <c r="F107" s="22">
        <v>54</v>
      </c>
      <c r="G107" s="22">
        <v>34</v>
      </c>
      <c r="H107" s="22">
        <v>4</v>
      </c>
      <c r="I107" s="22">
        <v>84</v>
      </c>
      <c r="J107">
        <v>0</v>
      </c>
      <c r="K107">
        <v>0</v>
      </c>
      <c r="L107" s="22">
        <v>84</v>
      </c>
      <c r="M107" s="22">
        <v>0</v>
      </c>
      <c r="N107" s="22">
        <v>0</v>
      </c>
      <c r="O107" s="22">
        <v>84</v>
      </c>
      <c r="P107" s="22">
        <v>20</v>
      </c>
      <c r="Q107" s="22">
        <v>64</v>
      </c>
      <c r="R107">
        <v>0</v>
      </c>
      <c r="T107" t="s">
        <v>2974</v>
      </c>
      <c r="U107" t="s">
        <v>3057</v>
      </c>
      <c r="V107" t="s">
        <v>3056</v>
      </c>
    </row>
    <row r="108" spans="1:22">
      <c r="A108">
        <v>107</v>
      </c>
      <c r="B108" t="s">
        <v>31</v>
      </c>
      <c r="C108" t="s">
        <v>32</v>
      </c>
      <c r="D108" t="s">
        <v>20</v>
      </c>
      <c r="E108" t="s">
        <v>8</v>
      </c>
      <c r="F108" s="22">
        <v>1936</v>
      </c>
      <c r="G108" s="22">
        <v>1270</v>
      </c>
      <c r="H108" s="22">
        <v>1527</v>
      </c>
      <c r="I108" s="22">
        <v>1679</v>
      </c>
      <c r="J108">
        <v>0</v>
      </c>
      <c r="K108">
        <v>0</v>
      </c>
      <c r="L108" s="22">
        <v>1679</v>
      </c>
      <c r="M108" s="22">
        <v>0</v>
      </c>
      <c r="N108" s="22">
        <v>0</v>
      </c>
      <c r="O108" s="22">
        <v>1679</v>
      </c>
      <c r="P108" s="22">
        <v>1500</v>
      </c>
      <c r="Q108" s="22">
        <v>179</v>
      </c>
      <c r="R108">
        <v>1250</v>
      </c>
      <c r="T108" t="s">
        <v>2974</v>
      </c>
      <c r="U108" t="s">
        <v>3057</v>
      </c>
      <c r="V108" t="s">
        <v>3056</v>
      </c>
    </row>
    <row r="109" spans="1:22">
      <c r="A109">
        <v>108</v>
      </c>
      <c r="B109" t="s">
        <v>283</v>
      </c>
      <c r="C109" t="s">
        <v>284</v>
      </c>
      <c r="D109" t="s">
        <v>17</v>
      </c>
      <c r="E109" t="s">
        <v>8</v>
      </c>
      <c r="F109" s="22">
        <v>310</v>
      </c>
      <c r="G109" s="22">
        <v>102</v>
      </c>
      <c r="H109" s="22">
        <v>175</v>
      </c>
      <c r="I109" s="22">
        <v>237</v>
      </c>
      <c r="J109">
        <v>0</v>
      </c>
      <c r="K109">
        <v>0</v>
      </c>
      <c r="L109" s="22">
        <v>237</v>
      </c>
      <c r="M109" s="22">
        <v>0</v>
      </c>
      <c r="N109" s="22">
        <v>0</v>
      </c>
      <c r="O109" s="22">
        <v>237</v>
      </c>
      <c r="P109" s="22">
        <v>100</v>
      </c>
      <c r="Q109" s="22">
        <v>137</v>
      </c>
      <c r="R109">
        <v>0</v>
      </c>
      <c r="T109" t="s">
        <v>2972</v>
      </c>
      <c r="U109" t="s">
        <v>3060</v>
      </c>
      <c r="V109" t="s">
        <v>3058</v>
      </c>
    </row>
    <row r="110" spans="1:22">
      <c r="A110">
        <v>109</v>
      </c>
      <c r="B110" t="s">
        <v>285</v>
      </c>
      <c r="C110" t="s">
        <v>286</v>
      </c>
      <c r="D110" t="s">
        <v>17</v>
      </c>
      <c r="E110" t="s">
        <v>8</v>
      </c>
      <c r="F110" s="22">
        <v>1900</v>
      </c>
      <c r="G110" s="22">
        <v>578</v>
      </c>
      <c r="H110" s="22">
        <v>1400</v>
      </c>
      <c r="I110" s="22">
        <v>1078</v>
      </c>
      <c r="J110">
        <v>0</v>
      </c>
      <c r="K110">
        <v>0</v>
      </c>
      <c r="L110" s="22">
        <v>1078</v>
      </c>
      <c r="M110" s="22">
        <v>0</v>
      </c>
      <c r="N110" s="22">
        <v>0</v>
      </c>
      <c r="O110" s="22">
        <v>1078</v>
      </c>
      <c r="P110" s="22">
        <v>750</v>
      </c>
      <c r="Q110" s="22">
        <v>328</v>
      </c>
      <c r="R110">
        <v>500</v>
      </c>
      <c r="T110" t="s">
        <v>2998</v>
      </c>
      <c r="U110" t="s">
        <v>3060</v>
      </c>
      <c r="V110" t="s">
        <v>3058</v>
      </c>
    </row>
    <row r="111" spans="1:22">
      <c r="A111">
        <v>110</v>
      </c>
      <c r="B111" t="s">
        <v>290</v>
      </c>
      <c r="C111" t="s">
        <v>291</v>
      </c>
      <c r="D111" t="s">
        <v>17</v>
      </c>
      <c r="E111" t="s">
        <v>8</v>
      </c>
      <c r="F111" s="22">
        <v>73</v>
      </c>
      <c r="G111" s="22">
        <v>150</v>
      </c>
      <c r="H111" s="22">
        <v>40</v>
      </c>
      <c r="I111" s="22">
        <v>183</v>
      </c>
      <c r="J111">
        <v>0</v>
      </c>
      <c r="K111">
        <v>0</v>
      </c>
      <c r="L111" s="22">
        <v>183</v>
      </c>
      <c r="M111" s="22">
        <v>0</v>
      </c>
      <c r="N111" s="22">
        <v>0</v>
      </c>
      <c r="O111" s="22">
        <v>183</v>
      </c>
      <c r="P111" s="22">
        <v>30</v>
      </c>
      <c r="Q111" s="22">
        <v>153</v>
      </c>
      <c r="R111">
        <v>150</v>
      </c>
      <c r="T111" t="s">
        <v>2982</v>
      </c>
      <c r="U111" t="s">
        <v>3060</v>
      </c>
      <c r="V111" t="s">
        <v>3058</v>
      </c>
    </row>
    <row r="112" spans="1:22">
      <c r="A112">
        <v>111</v>
      </c>
      <c r="B112" t="s">
        <v>296</v>
      </c>
      <c r="C112" t="s">
        <v>297</v>
      </c>
      <c r="D112" t="s">
        <v>7</v>
      </c>
      <c r="E112" t="s">
        <v>8</v>
      </c>
      <c r="F112" s="22">
        <v>50</v>
      </c>
      <c r="G112" s="22">
        <v>0</v>
      </c>
      <c r="H112" s="22">
        <v>0</v>
      </c>
      <c r="I112" s="22">
        <v>50</v>
      </c>
      <c r="J112">
        <v>0</v>
      </c>
      <c r="K112">
        <v>0</v>
      </c>
      <c r="L112" s="22">
        <v>50</v>
      </c>
      <c r="M112" s="22">
        <v>0</v>
      </c>
      <c r="N112" s="22">
        <v>0</v>
      </c>
      <c r="O112" s="22">
        <v>50</v>
      </c>
      <c r="P112" s="22">
        <v>100</v>
      </c>
      <c r="Q112" s="22">
        <v>-50</v>
      </c>
      <c r="R112">
        <v>0</v>
      </c>
      <c r="T112" t="s">
        <v>2965</v>
      </c>
      <c r="U112" t="s">
        <v>3060</v>
      </c>
      <c r="V112" t="s">
        <v>3058</v>
      </c>
    </row>
    <row r="113" spans="1:22">
      <c r="A113">
        <v>112</v>
      </c>
      <c r="B113" t="s">
        <v>298</v>
      </c>
      <c r="C113" t="s">
        <v>299</v>
      </c>
      <c r="D113" t="s">
        <v>7</v>
      </c>
      <c r="E113" t="s">
        <v>8</v>
      </c>
      <c r="F113" s="22">
        <v>340</v>
      </c>
      <c r="G113" s="22">
        <v>0</v>
      </c>
      <c r="H113" s="22">
        <v>0</v>
      </c>
      <c r="I113" s="22">
        <v>340</v>
      </c>
      <c r="J113">
        <v>0</v>
      </c>
      <c r="K113">
        <v>0</v>
      </c>
      <c r="L113" s="22">
        <v>340</v>
      </c>
      <c r="M113" s="22">
        <v>0</v>
      </c>
      <c r="N113" s="22">
        <v>0</v>
      </c>
      <c r="O113" s="22">
        <v>340</v>
      </c>
      <c r="P113" s="22">
        <v>100</v>
      </c>
      <c r="Q113" s="22">
        <v>240</v>
      </c>
      <c r="R113">
        <v>0</v>
      </c>
      <c r="T113" t="s">
        <v>2965</v>
      </c>
      <c r="U113" t="s">
        <v>3060</v>
      </c>
      <c r="V113" t="s">
        <v>3058</v>
      </c>
    </row>
    <row r="114" spans="1:22">
      <c r="A114">
        <v>113</v>
      </c>
      <c r="B114" t="s">
        <v>300</v>
      </c>
      <c r="C114" t="s">
        <v>301</v>
      </c>
      <c r="D114" t="s">
        <v>17</v>
      </c>
      <c r="E114" t="s">
        <v>8</v>
      </c>
      <c r="F114" s="22">
        <v>40</v>
      </c>
      <c r="G114" s="22">
        <v>0</v>
      </c>
      <c r="H114" s="22">
        <v>10</v>
      </c>
      <c r="I114" s="22">
        <v>30</v>
      </c>
      <c r="J114">
        <v>0</v>
      </c>
      <c r="K114">
        <v>0</v>
      </c>
      <c r="L114" s="22">
        <v>30</v>
      </c>
      <c r="M114" s="22">
        <v>0</v>
      </c>
      <c r="N114" s="22">
        <v>0</v>
      </c>
      <c r="O114" s="22">
        <v>30</v>
      </c>
      <c r="P114" s="22">
        <v>50</v>
      </c>
      <c r="Q114" s="22">
        <v>-20</v>
      </c>
      <c r="R114">
        <v>0</v>
      </c>
      <c r="T114" t="s">
        <v>2982</v>
      </c>
      <c r="U114" t="s">
        <v>3060</v>
      </c>
      <c r="V114" t="s">
        <v>3058</v>
      </c>
    </row>
    <row r="115" spans="1:22">
      <c r="A115">
        <v>114</v>
      </c>
      <c r="B115" t="s">
        <v>45</v>
      </c>
      <c r="C115" t="s">
        <v>46</v>
      </c>
      <c r="D115" t="s">
        <v>17</v>
      </c>
      <c r="E115" t="s">
        <v>8</v>
      </c>
      <c r="F115" s="22">
        <v>100</v>
      </c>
      <c r="G115" s="22">
        <v>0</v>
      </c>
      <c r="H115" s="22">
        <v>0</v>
      </c>
      <c r="I115" s="22">
        <v>100</v>
      </c>
      <c r="J115">
        <v>0</v>
      </c>
      <c r="K115">
        <v>0</v>
      </c>
      <c r="L115" s="22">
        <v>100</v>
      </c>
      <c r="M115" s="22">
        <v>0</v>
      </c>
      <c r="N115" s="22">
        <v>0</v>
      </c>
      <c r="O115" s="22">
        <v>100</v>
      </c>
      <c r="P115" s="22">
        <v>0</v>
      </c>
      <c r="Q115" s="22">
        <v>100</v>
      </c>
      <c r="R115">
        <v>0</v>
      </c>
      <c r="T115" t="s">
        <v>2991</v>
      </c>
      <c r="U115" t="s">
        <v>3057</v>
      </c>
      <c r="V115" t="s">
        <v>3056</v>
      </c>
    </row>
    <row r="116" spans="1:22">
      <c r="A116">
        <v>115</v>
      </c>
      <c r="B116" t="s">
        <v>304</v>
      </c>
      <c r="C116" t="s">
        <v>305</v>
      </c>
      <c r="D116" t="s">
        <v>7</v>
      </c>
      <c r="E116" t="s">
        <v>8</v>
      </c>
      <c r="F116" s="22">
        <v>0</v>
      </c>
      <c r="G116" s="22">
        <v>0</v>
      </c>
      <c r="H116" s="22">
        <v>0</v>
      </c>
      <c r="I116" s="22">
        <v>0</v>
      </c>
      <c r="J116">
        <v>0</v>
      </c>
      <c r="K116">
        <v>0</v>
      </c>
      <c r="L116" s="22">
        <v>0</v>
      </c>
      <c r="M116" s="22">
        <v>0</v>
      </c>
      <c r="N116" s="22">
        <v>0</v>
      </c>
      <c r="O116" s="22">
        <v>0</v>
      </c>
      <c r="P116" s="22">
        <v>0</v>
      </c>
      <c r="Q116" s="22">
        <v>0</v>
      </c>
      <c r="R116">
        <v>0</v>
      </c>
      <c r="T116" t="s">
        <v>2972</v>
      </c>
      <c r="U116" t="s">
        <v>3055</v>
      </c>
      <c r="V116" t="s">
        <v>3056</v>
      </c>
    </row>
    <row r="117" spans="1:22">
      <c r="A117">
        <v>116</v>
      </c>
      <c r="B117" t="s">
        <v>306</v>
      </c>
      <c r="C117" t="s">
        <v>307</v>
      </c>
      <c r="D117" t="s">
        <v>17</v>
      </c>
      <c r="E117" t="s">
        <v>8</v>
      </c>
      <c r="F117" s="22">
        <v>230</v>
      </c>
      <c r="G117" s="22">
        <v>0</v>
      </c>
      <c r="H117" s="22">
        <v>0</v>
      </c>
      <c r="I117" s="22">
        <v>230</v>
      </c>
      <c r="J117">
        <v>0</v>
      </c>
      <c r="K117">
        <v>0</v>
      </c>
      <c r="L117" s="22">
        <v>230</v>
      </c>
      <c r="M117" s="22">
        <v>0</v>
      </c>
      <c r="N117" s="22">
        <v>0</v>
      </c>
      <c r="O117" s="22">
        <v>230</v>
      </c>
      <c r="P117" s="22">
        <v>100</v>
      </c>
      <c r="Q117" s="22">
        <v>130</v>
      </c>
      <c r="R117">
        <v>0</v>
      </c>
      <c r="T117" t="s">
        <v>2972</v>
      </c>
      <c r="U117" t="s">
        <v>3055</v>
      </c>
      <c r="V117" t="s">
        <v>3056</v>
      </c>
    </row>
    <row r="118" spans="1:22">
      <c r="A118">
        <v>117</v>
      </c>
      <c r="B118" t="s">
        <v>308</v>
      </c>
      <c r="C118" t="s">
        <v>309</v>
      </c>
      <c r="D118" t="s">
        <v>17</v>
      </c>
      <c r="E118" t="s">
        <v>8</v>
      </c>
      <c r="F118" s="22">
        <v>694</v>
      </c>
      <c r="G118" s="22">
        <v>0</v>
      </c>
      <c r="H118" s="22">
        <v>0</v>
      </c>
      <c r="I118" s="22">
        <v>694</v>
      </c>
      <c r="J118">
        <v>0</v>
      </c>
      <c r="K118">
        <v>0</v>
      </c>
      <c r="L118" s="22">
        <v>694</v>
      </c>
      <c r="M118" s="22">
        <v>0</v>
      </c>
      <c r="N118" s="22">
        <v>0</v>
      </c>
      <c r="O118" s="22">
        <v>694</v>
      </c>
      <c r="P118" s="22">
        <v>100</v>
      </c>
      <c r="Q118" s="22">
        <v>594</v>
      </c>
      <c r="R118">
        <v>0</v>
      </c>
      <c r="T118" t="s">
        <v>2972</v>
      </c>
      <c r="U118" t="s">
        <v>3055</v>
      </c>
      <c r="V118" t="s">
        <v>3056</v>
      </c>
    </row>
    <row r="119" spans="1:22">
      <c r="A119">
        <v>118</v>
      </c>
      <c r="B119" t="s">
        <v>310</v>
      </c>
      <c r="C119" t="s">
        <v>311</v>
      </c>
      <c r="D119" t="s">
        <v>17</v>
      </c>
      <c r="E119" t="s">
        <v>8</v>
      </c>
      <c r="F119" s="22">
        <v>0</v>
      </c>
      <c r="G119" s="22">
        <v>0</v>
      </c>
      <c r="H119" s="22">
        <v>0</v>
      </c>
      <c r="I119" s="22">
        <v>0</v>
      </c>
      <c r="J119">
        <v>0</v>
      </c>
      <c r="K119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>
        <v>0</v>
      </c>
      <c r="T119" t="s">
        <v>2972</v>
      </c>
      <c r="U119" t="s">
        <v>3055</v>
      </c>
      <c r="V119" t="s">
        <v>3056</v>
      </c>
    </row>
    <row r="120" spans="1:22">
      <c r="A120">
        <v>119</v>
      </c>
      <c r="B120" t="s">
        <v>47</v>
      </c>
      <c r="C120" t="s">
        <v>48</v>
      </c>
      <c r="D120" t="s">
        <v>20</v>
      </c>
      <c r="E120" t="s">
        <v>8</v>
      </c>
      <c r="F120" s="22">
        <v>4414.3999999999996</v>
      </c>
      <c r="G120" s="22">
        <v>0</v>
      </c>
      <c r="H120" s="22">
        <v>322.3</v>
      </c>
      <c r="I120" s="22">
        <v>4092.1</v>
      </c>
      <c r="J120">
        <v>0</v>
      </c>
      <c r="K120">
        <v>0</v>
      </c>
      <c r="L120" s="22">
        <v>4092.1</v>
      </c>
      <c r="M120" s="22">
        <v>0</v>
      </c>
      <c r="N120" s="22">
        <v>0</v>
      </c>
      <c r="O120" s="22">
        <v>4092.1</v>
      </c>
      <c r="P120" s="22">
        <v>1500</v>
      </c>
      <c r="Q120" s="22">
        <v>2592.1</v>
      </c>
      <c r="R120">
        <v>0</v>
      </c>
      <c r="T120" t="s">
        <v>2991</v>
      </c>
      <c r="U120" t="s">
        <v>3057</v>
      </c>
      <c r="V120" t="s">
        <v>3056</v>
      </c>
    </row>
    <row r="121" spans="1:22">
      <c r="A121">
        <v>120</v>
      </c>
      <c r="B121" t="s">
        <v>314</v>
      </c>
      <c r="C121" t="s">
        <v>315</v>
      </c>
      <c r="D121" t="s">
        <v>17</v>
      </c>
      <c r="E121" t="s">
        <v>8</v>
      </c>
      <c r="F121" s="22">
        <v>7089</v>
      </c>
      <c r="G121" s="22">
        <v>0</v>
      </c>
      <c r="H121" s="22">
        <v>0</v>
      </c>
      <c r="I121" s="22">
        <v>7089</v>
      </c>
      <c r="J121">
        <v>0</v>
      </c>
      <c r="K121">
        <v>0</v>
      </c>
      <c r="L121" s="22">
        <v>7089</v>
      </c>
      <c r="M121" s="22">
        <v>0</v>
      </c>
      <c r="N121" s="22">
        <v>0</v>
      </c>
      <c r="O121" s="22">
        <v>7089</v>
      </c>
      <c r="P121" s="22">
        <v>1000</v>
      </c>
      <c r="Q121" s="22">
        <v>6089</v>
      </c>
      <c r="R121">
        <v>0</v>
      </c>
      <c r="T121" t="s">
        <v>2991</v>
      </c>
      <c r="U121" t="s">
        <v>3060</v>
      </c>
      <c r="V121" t="s">
        <v>3058</v>
      </c>
    </row>
    <row r="122" spans="1:22">
      <c r="A122">
        <v>121</v>
      </c>
      <c r="B122" t="s">
        <v>49</v>
      </c>
      <c r="C122" t="s">
        <v>50</v>
      </c>
      <c r="D122" t="s">
        <v>20</v>
      </c>
      <c r="E122" t="s">
        <v>8</v>
      </c>
      <c r="F122" s="22">
        <v>1899.2</v>
      </c>
      <c r="G122" s="22">
        <v>0</v>
      </c>
      <c r="H122" s="22">
        <v>40</v>
      </c>
      <c r="I122" s="22">
        <v>1859.2</v>
      </c>
      <c r="J122">
        <v>0</v>
      </c>
      <c r="K122">
        <v>0</v>
      </c>
      <c r="L122" s="22">
        <v>1859.2</v>
      </c>
      <c r="M122" s="22">
        <v>0</v>
      </c>
      <c r="N122" s="22">
        <v>0</v>
      </c>
      <c r="O122" s="22">
        <v>1859.2</v>
      </c>
      <c r="P122" s="22">
        <v>1000</v>
      </c>
      <c r="Q122" s="22">
        <v>859.2</v>
      </c>
      <c r="R122">
        <v>0</v>
      </c>
      <c r="T122" t="s">
        <v>2991</v>
      </c>
      <c r="U122" t="s">
        <v>3057</v>
      </c>
      <c r="V122" t="s">
        <v>3056</v>
      </c>
    </row>
    <row r="123" spans="1:22">
      <c r="A123">
        <v>122</v>
      </c>
      <c r="B123" t="s">
        <v>53</v>
      </c>
      <c r="C123" t="s">
        <v>54</v>
      </c>
      <c r="D123" t="s">
        <v>20</v>
      </c>
      <c r="E123" t="s">
        <v>8</v>
      </c>
      <c r="F123" s="22">
        <v>14234.98</v>
      </c>
      <c r="G123" s="22">
        <v>17.3</v>
      </c>
      <c r="H123" s="22">
        <v>10345.156999999999</v>
      </c>
      <c r="I123" s="22">
        <v>3907.123</v>
      </c>
      <c r="J123">
        <v>0</v>
      </c>
      <c r="K123">
        <v>0</v>
      </c>
      <c r="L123" s="22">
        <v>3907.123</v>
      </c>
      <c r="M123" s="22">
        <v>0</v>
      </c>
      <c r="N123" s="22">
        <v>0</v>
      </c>
      <c r="O123" s="22">
        <v>3907.123</v>
      </c>
      <c r="P123" s="22">
        <v>15000</v>
      </c>
      <c r="Q123" s="22">
        <v>-11092.877</v>
      </c>
      <c r="R123">
        <v>4000</v>
      </c>
      <c r="T123" t="s">
        <v>2991</v>
      </c>
      <c r="U123" t="s">
        <v>3057</v>
      </c>
      <c r="V123" t="s">
        <v>3056</v>
      </c>
    </row>
    <row r="124" spans="1:22">
      <c r="A124">
        <v>123</v>
      </c>
      <c r="B124" t="s">
        <v>61</v>
      </c>
      <c r="C124" t="s">
        <v>62</v>
      </c>
      <c r="D124" t="s">
        <v>7</v>
      </c>
      <c r="E124" t="s">
        <v>8</v>
      </c>
      <c r="F124" s="22">
        <v>8400</v>
      </c>
      <c r="G124" s="22">
        <v>0</v>
      </c>
      <c r="H124" s="22">
        <v>8400</v>
      </c>
      <c r="I124" s="22">
        <v>0</v>
      </c>
      <c r="J124">
        <v>0</v>
      </c>
      <c r="K124">
        <v>0</v>
      </c>
      <c r="L124" s="22">
        <v>0</v>
      </c>
      <c r="M124" s="22">
        <v>0</v>
      </c>
      <c r="N124" s="22">
        <v>0</v>
      </c>
      <c r="O124" s="22">
        <v>0</v>
      </c>
      <c r="P124" s="22">
        <v>0</v>
      </c>
      <c r="Q124" s="22">
        <v>0</v>
      </c>
      <c r="R124">
        <v>0</v>
      </c>
      <c r="T124" t="s">
        <v>2972</v>
      </c>
      <c r="U124" t="s">
        <v>3057</v>
      </c>
      <c r="V124" t="s">
        <v>3056</v>
      </c>
    </row>
    <row r="125" spans="1:22">
      <c r="A125">
        <v>124</v>
      </c>
      <c r="B125" t="s">
        <v>323</v>
      </c>
      <c r="C125" t="s">
        <v>324</v>
      </c>
      <c r="D125" t="s">
        <v>17</v>
      </c>
      <c r="E125" t="s">
        <v>8</v>
      </c>
      <c r="F125" s="22">
        <v>0</v>
      </c>
      <c r="G125" s="22">
        <v>0</v>
      </c>
      <c r="H125" s="22">
        <v>0</v>
      </c>
      <c r="I125" s="22">
        <v>0</v>
      </c>
      <c r="J125">
        <v>0</v>
      </c>
      <c r="K125">
        <v>0</v>
      </c>
      <c r="L125" s="22">
        <v>0</v>
      </c>
      <c r="M125" s="22">
        <v>0</v>
      </c>
      <c r="N125" s="22">
        <v>0</v>
      </c>
      <c r="O125" s="22">
        <v>0</v>
      </c>
      <c r="P125" s="22">
        <v>250</v>
      </c>
      <c r="Q125" s="22">
        <v>-250</v>
      </c>
      <c r="R125">
        <v>0</v>
      </c>
      <c r="T125" t="s">
        <v>2972</v>
      </c>
      <c r="U125" t="s">
        <v>3055</v>
      </c>
      <c r="V125" t="s">
        <v>3056</v>
      </c>
    </row>
    <row r="126" spans="1:22">
      <c r="A126">
        <v>125</v>
      </c>
      <c r="B126" t="s">
        <v>327</v>
      </c>
      <c r="C126" t="s">
        <v>328</v>
      </c>
      <c r="D126" t="s">
        <v>17</v>
      </c>
      <c r="E126" t="s">
        <v>8</v>
      </c>
      <c r="F126" s="22">
        <v>95</v>
      </c>
      <c r="G126" s="22">
        <v>0</v>
      </c>
      <c r="H126" s="22">
        <v>0</v>
      </c>
      <c r="I126" s="22">
        <v>95</v>
      </c>
      <c r="J126">
        <v>0</v>
      </c>
      <c r="K126">
        <v>0</v>
      </c>
      <c r="L126" s="22">
        <v>95</v>
      </c>
      <c r="M126" s="22">
        <v>0</v>
      </c>
      <c r="N126" s="22">
        <v>0</v>
      </c>
      <c r="O126" s="22">
        <v>95</v>
      </c>
      <c r="P126" s="22">
        <v>200</v>
      </c>
      <c r="Q126" s="22">
        <v>-105</v>
      </c>
      <c r="R126">
        <v>0</v>
      </c>
      <c r="T126" t="s">
        <v>2972</v>
      </c>
      <c r="U126" t="s">
        <v>3055</v>
      </c>
      <c r="V126" t="s">
        <v>3056</v>
      </c>
    </row>
    <row r="127" spans="1:22">
      <c r="A127">
        <v>126</v>
      </c>
      <c r="B127" t="s">
        <v>63</v>
      </c>
      <c r="C127" t="s">
        <v>64</v>
      </c>
      <c r="D127" t="s">
        <v>7</v>
      </c>
      <c r="E127" t="s">
        <v>8</v>
      </c>
      <c r="F127" s="22">
        <v>0</v>
      </c>
      <c r="G127" s="22">
        <v>0</v>
      </c>
      <c r="H127" s="22">
        <v>0</v>
      </c>
      <c r="I127" s="22">
        <v>0</v>
      </c>
      <c r="J127">
        <v>0</v>
      </c>
      <c r="K127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>
        <v>0</v>
      </c>
      <c r="T127" t="s">
        <v>2972</v>
      </c>
      <c r="U127" t="s">
        <v>3057</v>
      </c>
      <c r="V127" t="s">
        <v>3056</v>
      </c>
    </row>
    <row r="128" spans="1:22">
      <c r="A128">
        <v>127</v>
      </c>
      <c r="B128" t="s">
        <v>78</v>
      </c>
      <c r="C128" t="s">
        <v>79</v>
      </c>
      <c r="D128" t="s">
        <v>17</v>
      </c>
      <c r="E128" t="s">
        <v>8</v>
      </c>
      <c r="F128" s="22">
        <v>0</v>
      </c>
      <c r="G128" s="22">
        <v>0</v>
      </c>
      <c r="H128" s="22">
        <v>0</v>
      </c>
      <c r="I128" s="22">
        <v>0</v>
      </c>
      <c r="J128">
        <v>0</v>
      </c>
      <c r="K128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>
        <v>0</v>
      </c>
      <c r="T128" t="s">
        <v>2972</v>
      </c>
      <c r="U128" t="s">
        <v>3057</v>
      </c>
      <c r="V128" t="s">
        <v>3058</v>
      </c>
    </row>
    <row r="129" spans="1:22">
      <c r="A129">
        <v>128</v>
      </c>
      <c r="B129" t="s">
        <v>333</v>
      </c>
      <c r="C129" t="s">
        <v>334</v>
      </c>
      <c r="D129" t="s">
        <v>17</v>
      </c>
      <c r="E129" t="s">
        <v>8</v>
      </c>
      <c r="F129" s="22">
        <v>233</v>
      </c>
      <c r="G129" s="22">
        <v>0</v>
      </c>
      <c r="H129" s="22">
        <v>0</v>
      </c>
      <c r="I129" s="22">
        <v>233</v>
      </c>
      <c r="J129">
        <v>0</v>
      </c>
      <c r="K129">
        <v>0</v>
      </c>
      <c r="L129" s="22">
        <v>233</v>
      </c>
      <c r="M129" s="22">
        <v>0</v>
      </c>
      <c r="N129" s="22">
        <v>0</v>
      </c>
      <c r="O129" s="22">
        <v>233</v>
      </c>
      <c r="P129" s="22">
        <v>100</v>
      </c>
      <c r="Q129" s="22">
        <v>133</v>
      </c>
      <c r="R129">
        <v>0</v>
      </c>
      <c r="T129" t="s">
        <v>2972</v>
      </c>
      <c r="U129" t="s">
        <v>3055</v>
      </c>
      <c r="V129" t="s">
        <v>3056</v>
      </c>
    </row>
    <row r="130" spans="1:22">
      <c r="A130">
        <v>129</v>
      </c>
      <c r="B130" t="s">
        <v>335</v>
      </c>
      <c r="C130" t="s">
        <v>336</v>
      </c>
      <c r="D130" t="s">
        <v>17</v>
      </c>
      <c r="E130" t="s">
        <v>8</v>
      </c>
      <c r="F130" s="22">
        <v>3800</v>
      </c>
      <c r="G130" s="22">
        <v>0</v>
      </c>
      <c r="H130" s="22">
        <v>700</v>
      </c>
      <c r="I130" s="22">
        <v>3100</v>
      </c>
      <c r="J130">
        <v>0</v>
      </c>
      <c r="K130">
        <v>0</v>
      </c>
      <c r="L130" s="22">
        <v>3100</v>
      </c>
      <c r="M130" s="22">
        <v>0</v>
      </c>
      <c r="N130" s="22">
        <v>0</v>
      </c>
      <c r="O130" s="22">
        <v>3100</v>
      </c>
      <c r="P130" s="22">
        <v>2500</v>
      </c>
      <c r="Q130" s="22">
        <v>600</v>
      </c>
      <c r="R130">
        <v>0</v>
      </c>
      <c r="T130" t="s">
        <v>2972</v>
      </c>
      <c r="U130" t="s">
        <v>3055</v>
      </c>
      <c r="V130" t="s">
        <v>3056</v>
      </c>
    </row>
    <row r="131" spans="1:22">
      <c r="A131">
        <v>130</v>
      </c>
      <c r="B131" t="s">
        <v>82</v>
      </c>
      <c r="C131" t="s">
        <v>83</v>
      </c>
      <c r="D131" t="s">
        <v>17</v>
      </c>
      <c r="E131" t="s">
        <v>8</v>
      </c>
      <c r="F131" s="22">
        <v>0</v>
      </c>
      <c r="G131" s="22">
        <v>0</v>
      </c>
      <c r="H131" s="22">
        <v>0</v>
      </c>
      <c r="I131" s="22">
        <v>0</v>
      </c>
      <c r="J131">
        <v>0</v>
      </c>
      <c r="K131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>
        <v>0</v>
      </c>
      <c r="T131" t="s">
        <v>2972</v>
      </c>
      <c r="U131" t="s">
        <v>3057</v>
      </c>
      <c r="V131" t="s">
        <v>3058</v>
      </c>
    </row>
    <row r="132" spans="1:22">
      <c r="A132">
        <v>131</v>
      </c>
      <c r="B132" t="s">
        <v>84</v>
      </c>
      <c r="C132" t="s">
        <v>85</v>
      </c>
      <c r="D132" t="s">
        <v>17</v>
      </c>
      <c r="E132" t="s">
        <v>8</v>
      </c>
      <c r="F132" s="22">
        <v>0</v>
      </c>
      <c r="G132" s="22">
        <v>0</v>
      </c>
      <c r="H132" s="22">
        <v>0</v>
      </c>
      <c r="I132" s="22">
        <v>0</v>
      </c>
      <c r="J132">
        <v>0</v>
      </c>
      <c r="K132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22">
        <v>0</v>
      </c>
      <c r="R132">
        <v>0</v>
      </c>
      <c r="T132" t="s">
        <v>2972</v>
      </c>
      <c r="U132" t="s">
        <v>3057</v>
      </c>
      <c r="V132" t="s">
        <v>3058</v>
      </c>
    </row>
    <row r="133" spans="1:22">
      <c r="A133">
        <v>132</v>
      </c>
      <c r="B133" t="s">
        <v>343</v>
      </c>
      <c r="C133" t="s">
        <v>344</v>
      </c>
      <c r="D133" t="s">
        <v>17</v>
      </c>
      <c r="E133" t="s">
        <v>8</v>
      </c>
      <c r="F133" s="22">
        <v>23600</v>
      </c>
      <c r="G133" s="22">
        <v>25000</v>
      </c>
      <c r="H133" s="22">
        <v>20100</v>
      </c>
      <c r="I133" s="22">
        <v>28500</v>
      </c>
      <c r="J133">
        <v>0</v>
      </c>
      <c r="K133">
        <v>0</v>
      </c>
      <c r="L133" s="22">
        <v>28500</v>
      </c>
      <c r="M133" s="22">
        <v>0</v>
      </c>
      <c r="N133" s="22">
        <v>0</v>
      </c>
      <c r="O133" s="22">
        <v>28500</v>
      </c>
      <c r="P133" s="22">
        <v>10000</v>
      </c>
      <c r="Q133" s="22">
        <v>18500</v>
      </c>
      <c r="R133">
        <v>25000</v>
      </c>
      <c r="T133" t="s">
        <v>2974</v>
      </c>
      <c r="U133" t="s">
        <v>3055</v>
      </c>
      <c r="V133" t="s">
        <v>3056</v>
      </c>
    </row>
    <row r="134" spans="1:22">
      <c r="A134">
        <v>133</v>
      </c>
      <c r="B134" t="s">
        <v>92</v>
      </c>
      <c r="C134" t="s">
        <v>93</v>
      </c>
      <c r="D134" t="s">
        <v>17</v>
      </c>
      <c r="E134" t="s">
        <v>8</v>
      </c>
      <c r="F134" s="22">
        <v>31250</v>
      </c>
      <c r="G134" s="22">
        <v>0</v>
      </c>
      <c r="H134" s="22">
        <v>3000</v>
      </c>
      <c r="I134" s="22">
        <v>28250</v>
      </c>
      <c r="J134">
        <v>0</v>
      </c>
      <c r="K134">
        <v>0</v>
      </c>
      <c r="L134" s="22">
        <v>28250</v>
      </c>
      <c r="M134" s="22">
        <v>0</v>
      </c>
      <c r="N134" s="22">
        <v>0</v>
      </c>
      <c r="O134" s="22">
        <v>28250</v>
      </c>
      <c r="P134" s="22">
        <v>5000</v>
      </c>
      <c r="Q134" s="22">
        <v>23250</v>
      </c>
      <c r="R134">
        <v>0</v>
      </c>
      <c r="T134" t="s">
        <v>2991</v>
      </c>
      <c r="U134" t="s">
        <v>3057</v>
      </c>
      <c r="V134" t="s">
        <v>3058</v>
      </c>
    </row>
    <row r="135" spans="1:22">
      <c r="A135">
        <v>134</v>
      </c>
      <c r="B135" t="s">
        <v>349</v>
      </c>
      <c r="C135" t="s">
        <v>350</v>
      </c>
      <c r="D135" t="s">
        <v>17</v>
      </c>
      <c r="E135" t="s">
        <v>8</v>
      </c>
      <c r="F135" s="22">
        <v>141</v>
      </c>
      <c r="G135" s="22">
        <v>0</v>
      </c>
      <c r="H135" s="22">
        <v>4</v>
      </c>
      <c r="I135" s="22">
        <v>137</v>
      </c>
      <c r="J135">
        <v>0</v>
      </c>
      <c r="K135">
        <v>0</v>
      </c>
      <c r="L135" s="22">
        <v>137</v>
      </c>
      <c r="M135" s="22">
        <v>0</v>
      </c>
      <c r="N135" s="22">
        <v>0</v>
      </c>
      <c r="O135" s="22">
        <v>137</v>
      </c>
      <c r="P135" s="22">
        <v>70</v>
      </c>
      <c r="Q135" s="22">
        <v>67</v>
      </c>
      <c r="R135">
        <v>0</v>
      </c>
      <c r="T135" t="s">
        <v>2982</v>
      </c>
      <c r="U135" t="s">
        <v>3060</v>
      </c>
      <c r="V135" t="s">
        <v>3058</v>
      </c>
    </row>
    <row r="136" spans="1:22">
      <c r="A136">
        <v>135</v>
      </c>
      <c r="B136" t="s">
        <v>351</v>
      </c>
      <c r="C136" t="s">
        <v>352</v>
      </c>
      <c r="D136" t="s">
        <v>17</v>
      </c>
      <c r="E136" t="s">
        <v>8</v>
      </c>
      <c r="F136" s="22">
        <v>222</v>
      </c>
      <c r="G136" s="22">
        <v>0</v>
      </c>
      <c r="H136" s="22">
        <v>0</v>
      </c>
      <c r="I136" s="22">
        <v>222</v>
      </c>
      <c r="J136">
        <v>0</v>
      </c>
      <c r="K136">
        <v>0</v>
      </c>
      <c r="L136" s="22">
        <v>222</v>
      </c>
      <c r="M136" s="22">
        <v>0</v>
      </c>
      <c r="N136" s="22">
        <v>0</v>
      </c>
      <c r="O136" s="22">
        <v>222</v>
      </c>
      <c r="P136" s="22">
        <v>70</v>
      </c>
      <c r="Q136" s="22">
        <v>152</v>
      </c>
      <c r="R136">
        <v>0</v>
      </c>
      <c r="T136" t="s">
        <v>2982</v>
      </c>
      <c r="U136" t="s">
        <v>3060</v>
      </c>
      <c r="V136" t="s">
        <v>3058</v>
      </c>
    </row>
    <row r="137" spans="1:22">
      <c r="A137">
        <v>136</v>
      </c>
      <c r="B137" t="s">
        <v>355</v>
      </c>
      <c r="C137" t="s">
        <v>356</v>
      </c>
      <c r="D137" t="s">
        <v>17</v>
      </c>
      <c r="E137" t="s">
        <v>8</v>
      </c>
      <c r="F137" s="22">
        <v>174</v>
      </c>
      <c r="G137" s="22">
        <v>0</v>
      </c>
      <c r="H137" s="22">
        <v>2</v>
      </c>
      <c r="I137" s="22">
        <v>172</v>
      </c>
      <c r="J137">
        <v>0</v>
      </c>
      <c r="K137">
        <v>0</v>
      </c>
      <c r="L137" s="22">
        <v>172</v>
      </c>
      <c r="M137" s="22">
        <v>0</v>
      </c>
      <c r="N137" s="22">
        <v>0</v>
      </c>
      <c r="O137" s="22">
        <v>172</v>
      </c>
      <c r="P137" s="22">
        <v>70</v>
      </c>
      <c r="Q137" s="22">
        <v>102</v>
      </c>
      <c r="R137">
        <v>0</v>
      </c>
      <c r="T137" t="s">
        <v>2982</v>
      </c>
      <c r="U137" t="s">
        <v>3060</v>
      </c>
      <c r="V137" t="s">
        <v>3058</v>
      </c>
    </row>
    <row r="138" spans="1:22">
      <c r="A138">
        <v>137</v>
      </c>
      <c r="B138" t="s">
        <v>359</v>
      </c>
      <c r="C138" t="s">
        <v>360</v>
      </c>
      <c r="D138" t="s">
        <v>17</v>
      </c>
      <c r="E138" t="s">
        <v>8</v>
      </c>
      <c r="F138" s="22">
        <v>260</v>
      </c>
      <c r="G138" s="22">
        <v>0</v>
      </c>
      <c r="H138" s="22">
        <v>10</v>
      </c>
      <c r="I138" s="22">
        <v>250</v>
      </c>
      <c r="J138">
        <v>0</v>
      </c>
      <c r="K138">
        <v>0</v>
      </c>
      <c r="L138" s="22">
        <v>250</v>
      </c>
      <c r="M138" s="22">
        <v>0</v>
      </c>
      <c r="N138" s="22">
        <v>0</v>
      </c>
      <c r="O138" s="22">
        <v>250</v>
      </c>
      <c r="P138" s="22">
        <v>70</v>
      </c>
      <c r="Q138" s="22">
        <v>180</v>
      </c>
      <c r="R138">
        <v>0</v>
      </c>
      <c r="T138" t="s">
        <v>2982</v>
      </c>
      <c r="U138" t="s">
        <v>3060</v>
      </c>
      <c r="V138" t="s">
        <v>3058</v>
      </c>
    </row>
    <row r="139" spans="1:22">
      <c r="A139">
        <v>138</v>
      </c>
      <c r="B139" t="s">
        <v>365</v>
      </c>
      <c r="C139" t="s">
        <v>366</v>
      </c>
      <c r="D139" t="s">
        <v>17</v>
      </c>
      <c r="E139" t="s">
        <v>8</v>
      </c>
      <c r="F139" s="22">
        <v>0</v>
      </c>
      <c r="G139" s="22">
        <v>0</v>
      </c>
      <c r="H139" s="22">
        <v>0</v>
      </c>
      <c r="I139" s="22">
        <v>0</v>
      </c>
      <c r="J139">
        <v>0</v>
      </c>
      <c r="K139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22">
        <v>0</v>
      </c>
      <c r="R139">
        <v>0</v>
      </c>
      <c r="T139" t="s">
        <v>2991</v>
      </c>
      <c r="U139" t="s">
        <v>3060</v>
      </c>
      <c r="V139" t="s">
        <v>3058</v>
      </c>
    </row>
    <row r="140" spans="1:22">
      <c r="A140">
        <v>139</v>
      </c>
      <c r="B140" t="s">
        <v>367</v>
      </c>
      <c r="C140" t="s">
        <v>368</v>
      </c>
      <c r="D140" t="s">
        <v>17</v>
      </c>
      <c r="E140" t="s">
        <v>8</v>
      </c>
      <c r="F140" s="22">
        <v>1833</v>
      </c>
      <c r="G140" s="22">
        <v>0</v>
      </c>
      <c r="H140" s="22">
        <v>0</v>
      </c>
      <c r="I140" s="22">
        <v>1833</v>
      </c>
      <c r="J140">
        <v>0</v>
      </c>
      <c r="K140">
        <v>0</v>
      </c>
      <c r="L140" s="22">
        <v>1833</v>
      </c>
      <c r="M140" s="22">
        <v>0</v>
      </c>
      <c r="N140" s="22">
        <v>0</v>
      </c>
      <c r="O140" s="22">
        <v>1833</v>
      </c>
      <c r="P140" s="22">
        <v>0</v>
      </c>
      <c r="Q140" s="22">
        <v>1833</v>
      </c>
      <c r="R140">
        <v>0</v>
      </c>
      <c r="T140" t="s">
        <v>2991</v>
      </c>
      <c r="U140" t="s">
        <v>3060</v>
      </c>
      <c r="V140" t="s">
        <v>3058</v>
      </c>
    </row>
    <row r="141" spans="1:22">
      <c r="A141">
        <v>140</v>
      </c>
      <c r="B141" t="s">
        <v>106</v>
      </c>
      <c r="C141" t="s">
        <v>107</v>
      </c>
      <c r="D141" t="s">
        <v>17</v>
      </c>
      <c r="E141" t="s">
        <v>8</v>
      </c>
      <c r="F141" s="22">
        <v>11100</v>
      </c>
      <c r="G141" s="22">
        <v>0</v>
      </c>
      <c r="H141" s="22">
        <v>3000</v>
      </c>
      <c r="I141" s="22">
        <v>8100</v>
      </c>
      <c r="J141">
        <v>0</v>
      </c>
      <c r="K141">
        <v>0</v>
      </c>
      <c r="L141" s="22">
        <v>8100</v>
      </c>
      <c r="M141" s="22">
        <v>0</v>
      </c>
      <c r="N141" s="22">
        <v>0</v>
      </c>
      <c r="O141" s="22">
        <v>8100</v>
      </c>
      <c r="P141" s="22">
        <v>5000</v>
      </c>
      <c r="Q141" s="22">
        <v>3100</v>
      </c>
      <c r="R141">
        <v>0</v>
      </c>
      <c r="T141" t="s">
        <v>2972</v>
      </c>
      <c r="U141" t="s">
        <v>3057</v>
      </c>
      <c r="V141" t="s">
        <v>3058</v>
      </c>
    </row>
    <row r="142" spans="1:22">
      <c r="A142">
        <v>141</v>
      </c>
      <c r="B142" t="s">
        <v>114</v>
      </c>
      <c r="C142" t="s">
        <v>115</v>
      </c>
      <c r="D142" t="s">
        <v>116</v>
      </c>
      <c r="E142" t="s">
        <v>8</v>
      </c>
      <c r="F142" s="22">
        <v>162</v>
      </c>
      <c r="G142" s="22">
        <v>0</v>
      </c>
      <c r="H142" s="22">
        <v>0</v>
      </c>
      <c r="I142" s="22">
        <v>162</v>
      </c>
      <c r="J142">
        <v>0</v>
      </c>
      <c r="K142">
        <v>0</v>
      </c>
      <c r="L142" s="22">
        <v>162</v>
      </c>
      <c r="M142" s="22">
        <v>0</v>
      </c>
      <c r="N142" s="22">
        <v>0</v>
      </c>
      <c r="O142" s="22">
        <v>162</v>
      </c>
      <c r="P142" s="22">
        <v>50</v>
      </c>
      <c r="Q142" s="22">
        <v>112</v>
      </c>
      <c r="R142">
        <v>0</v>
      </c>
      <c r="T142" t="s">
        <v>2974</v>
      </c>
      <c r="U142" t="s">
        <v>3057</v>
      </c>
      <c r="V142" t="s">
        <v>3056</v>
      </c>
    </row>
    <row r="143" spans="1:22">
      <c r="A143">
        <v>142</v>
      </c>
      <c r="B143" t="s">
        <v>123</v>
      </c>
      <c r="C143" t="s">
        <v>124</v>
      </c>
      <c r="D143" t="s">
        <v>20</v>
      </c>
      <c r="E143" t="s">
        <v>8</v>
      </c>
      <c r="F143" s="22">
        <v>0</v>
      </c>
      <c r="G143" s="22">
        <v>0</v>
      </c>
      <c r="H143" s="22">
        <v>0</v>
      </c>
      <c r="I143" s="22">
        <v>0</v>
      </c>
      <c r="J143">
        <v>0</v>
      </c>
      <c r="K143">
        <v>0</v>
      </c>
      <c r="L143" s="22">
        <v>0</v>
      </c>
      <c r="M143" s="22">
        <v>0</v>
      </c>
      <c r="N143" s="22">
        <v>0</v>
      </c>
      <c r="O143" s="22">
        <v>0</v>
      </c>
      <c r="P143" s="22">
        <v>0</v>
      </c>
      <c r="Q143" s="22">
        <v>0</v>
      </c>
      <c r="R143">
        <v>0</v>
      </c>
      <c r="T143" t="s">
        <v>2974</v>
      </c>
      <c r="U143" t="s">
        <v>3057</v>
      </c>
      <c r="V143" t="s">
        <v>3056</v>
      </c>
    </row>
    <row r="144" spans="1:22">
      <c r="A144">
        <v>143</v>
      </c>
      <c r="B144" t="s">
        <v>127</v>
      </c>
      <c r="C144" t="s">
        <v>128</v>
      </c>
      <c r="D144" t="s">
        <v>17</v>
      </c>
      <c r="E144" t="s">
        <v>8</v>
      </c>
      <c r="F144" s="22">
        <v>4745</v>
      </c>
      <c r="G144" s="22">
        <v>0</v>
      </c>
      <c r="H144" s="22">
        <v>0</v>
      </c>
      <c r="I144" s="22">
        <v>4745</v>
      </c>
      <c r="J144">
        <v>0</v>
      </c>
      <c r="K144">
        <v>0</v>
      </c>
      <c r="L144" s="22">
        <v>4745</v>
      </c>
      <c r="M144" s="22">
        <v>0</v>
      </c>
      <c r="N144" s="22">
        <v>0</v>
      </c>
      <c r="O144" s="22">
        <v>4745</v>
      </c>
      <c r="P144" s="22">
        <v>1500</v>
      </c>
      <c r="Q144" s="22">
        <v>3245</v>
      </c>
      <c r="R144">
        <v>0</v>
      </c>
      <c r="T144" t="s">
        <v>2991</v>
      </c>
      <c r="U144" t="s">
        <v>3057</v>
      </c>
      <c r="V144" t="s">
        <v>3058</v>
      </c>
    </row>
    <row r="145" spans="1:22">
      <c r="A145">
        <v>144</v>
      </c>
      <c r="B145" t="s">
        <v>129</v>
      </c>
      <c r="C145" t="s">
        <v>130</v>
      </c>
      <c r="D145" t="s">
        <v>17</v>
      </c>
      <c r="E145" t="s">
        <v>8</v>
      </c>
      <c r="F145" s="22">
        <v>175</v>
      </c>
      <c r="G145" s="22">
        <v>0</v>
      </c>
      <c r="H145" s="22">
        <v>0</v>
      </c>
      <c r="I145" s="22">
        <v>175</v>
      </c>
      <c r="J145">
        <v>0</v>
      </c>
      <c r="K145">
        <v>0</v>
      </c>
      <c r="L145" s="22">
        <v>175</v>
      </c>
      <c r="M145" s="22">
        <v>0</v>
      </c>
      <c r="N145" s="22">
        <v>0</v>
      </c>
      <c r="O145" s="22">
        <v>175</v>
      </c>
      <c r="P145" s="22">
        <v>100</v>
      </c>
      <c r="Q145" s="22">
        <v>75</v>
      </c>
      <c r="R145">
        <v>0</v>
      </c>
      <c r="T145" t="s">
        <v>2991</v>
      </c>
      <c r="U145" t="s">
        <v>3057</v>
      </c>
      <c r="V145" t="s">
        <v>3058</v>
      </c>
    </row>
    <row r="146" spans="1:22">
      <c r="A146">
        <v>145</v>
      </c>
      <c r="B146" t="s">
        <v>131</v>
      </c>
      <c r="C146" t="s">
        <v>132</v>
      </c>
      <c r="D146" t="s">
        <v>17</v>
      </c>
      <c r="E146" t="s">
        <v>8</v>
      </c>
      <c r="F146" s="22">
        <v>1600</v>
      </c>
      <c r="G146" s="22">
        <v>0</v>
      </c>
      <c r="H146" s="22">
        <v>0</v>
      </c>
      <c r="I146" s="22">
        <v>1600</v>
      </c>
      <c r="J146">
        <v>0</v>
      </c>
      <c r="K146">
        <v>0</v>
      </c>
      <c r="L146" s="22">
        <v>1600</v>
      </c>
      <c r="M146" s="22">
        <v>0</v>
      </c>
      <c r="N146" s="22">
        <v>0</v>
      </c>
      <c r="O146" s="22">
        <v>1600</v>
      </c>
      <c r="P146" s="22">
        <v>1000</v>
      </c>
      <c r="Q146" s="22">
        <v>600</v>
      </c>
      <c r="R146">
        <v>0</v>
      </c>
      <c r="T146" t="s">
        <v>2972</v>
      </c>
      <c r="U146" t="s">
        <v>3057</v>
      </c>
      <c r="V146" t="s">
        <v>3058</v>
      </c>
    </row>
    <row r="147" spans="1:22">
      <c r="A147">
        <v>146</v>
      </c>
      <c r="B147" t="s">
        <v>133</v>
      </c>
      <c r="C147" t="s">
        <v>134</v>
      </c>
      <c r="D147" t="s">
        <v>135</v>
      </c>
      <c r="E147" t="s">
        <v>8</v>
      </c>
      <c r="F147" s="22">
        <v>56</v>
      </c>
      <c r="G147" s="22">
        <v>0</v>
      </c>
      <c r="H147" s="22">
        <v>0</v>
      </c>
      <c r="I147" s="22">
        <v>56</v>
      </c>
      <c r="J147">
        <v>0</v>
      </c>
      <c r="K147">
        <v>0</v>
      </c>
      <c r="L147" s="22">
        <v>56</v>
      </c>
      <c r="M147" s="22">
        <v>0</v>
      </c>
      <c r="N147" s="22">
        <v>0</v>
      </c>
      <c r="O147" s="22">
        <v>56</v>
      </c>
      <c r="P147" s="22">
        <v>25</v>
      </c>
      <c r="Q147" s="22">
        <v>31</v>
      </c>
      <c r="R147">
        <v>0</v>
      </c>
      <c r="T147" t="s">
        <v>2998</v>
      </c>
      <c r="U147" t="s">
        <v>3057</v>
      </c>
      <c r="V147" t="s">
        <v>3056</v>
      </c>
    </row>
    <row r="148" spans="1:22">
      <c r="A148">
        <v>147</v>
      </c>
      <c r="B148" t="s">
        <v>387</v>
      </c>
      <c r="C148" t="s">
        <v>388</v>
      </c>
      <c r="D148" t="s">
        <v>17</v>
      </c>
      <c r="E148" t="s">
        <v>8</v>
      </c>
      <c r="F148" s="22">
        <v>675</v>
      </c>
      <c r="G148" s="22">
        <v>0</v>
      </c>
      <c r="H148" s="22">
        <v>75</v>
      </c>
      <c r="I148" s="22">
        <v>600</v>
      </c>
      <c r="J148">
        <v>0</v>
      </c>
      <c r="K148">
        <v>0</v>
      </c>
      <c r="L148" s="22">
        <v>600</v>
      </c>
      <c r="M148" s="22">
        <v>0</v>
      </c>
      <c r="N148" s="22">
        <v>0</v>
      </c>
      <c r="O148" s="22">
        <v>600</v>
      </c>
      <c r="P148" s="22">
        <v>0</v>
      </c>
      <c r="Q148" s="22">
        <v>600</v>
      </c>
      <c r="R148">
        <v>0</v>
      </c>
      <c r="T148" t="s">
        <v>2972</v>
      </c>
      <c r="U148" t="s">
        <v>3055</v>
      </c>
      <c r="V148" t="s">
        <v>3061</v>
      </c>
    </row>
    <row r="149" spans="1:22">
      <c r="A149">
        <v>148</v>
      </c>
      <c r="B149" t="s">
        <v>146</v>
      </c>
      <c r="C149" t="s">
        <v>147</v>
      </c>
      <c r="D149" t="s">
        <v>148</v>
      </c>
      <c r="E149" t="s">
        <v>8</v>
      </c>
      <c r="F149" s="22">
        <v>34</v>
      </c>
      <c r="G149" s="22">
        <v>24</v>
      </c>
      <c r="H149" s="22">
        <v>34</v>
      </c>
      <c r="I149" s="22">
        <v>24</v>
      </c>
      <c r="J149">
        <v>0</v>
      </c>
      <c r="K149">
        <v>0</v>
      </c>
      <c r="L149" s="22">
        <v>24</v>
      </c>
      <c r="M149" s="22">
        <v>0</v>
      </c>
      <c r="N149" s="22">
        <v>0</v>
      </c>
      <c r="O149" s="22">
        <v>24</v>
      </c>
      <c r="P149" s="22">
        <v>25</v>
      </c>
      <c r="Q149" s="22">
        <v>-1</v>
      </c>
      <c r="R149">
        <v>24</v>
      </c>
      <c r="T149" t="s">
        <v>2991</v>
      </c>
      <c r="U149" t="s">
        <v>3057</v>
      </c>
      <c r="V149" t="s">
        <v>3056</v>
      </c>
    </row>
    <row r="150" spans="1:22">
      <c r="A150">
        <v>149</v>
      </c>
      <c r="B150" t="s">
        <v>151</v>
      </c>
      <c r="C150" t="s">
        <v>152</v>
      </c>
      <c r="D150" t="s">
        <v>17</v>
      </c>
      <c r="E150" t="s">
        <v>8</v>
      </c>
      <c r="F150" s="22">
        <v>0</v>
      </c>
      <c r="G150" s="22">
        <v>0</v>
      </c>
      <c r="H150" s="22">
        <v>0</v>
      </c>
      <c r="I150" s="22">
        <v>0</v>
      </c>
      <c r="J150">
        <v>0</v>
      </c>
      <c r="K150">
        <v>0</v>
      </c>
      <c r="L150" s="22">
        <v>0</v>
      </c>
      <c r="M150" s="22">
        <v>0</v>
      </c>
      <c r="N150" s="22">
        <v>0</v>
      </c>
      <c r="O150" s="22">
        <v>0</v>
      </c>
      <c r="P150" s="22">
        <v>0</v>
      </c>
      <c r="Q150" s="22">
        <v>0</v>
      </c>
      <c r="R150">
        <v>0</v>
      </c>
      <c r="T150" t="s">
        <v>2972</v>
      </c>
      <c r="U150" t="s">
        <v>3057</v>
      </c>
      <c r="V150" t="s">
        <v>3056</v>
      </c>
    </row>
    <row r="151" spans="1:22">
      <c r="A151">
        <v>150</v>
      </c>
      <c r="B151" t="s">
        <v>393</v>
      </c>
      <c r="C151" t="s">
        <v>394</v>
      </c>
      <c r="D151" t="s">
        <v>17</v>
      </c>
      <c r="E151" t="s">
        <v>8</v>
      </c>
      <c r="F151" s="22">
        <v>0</v>
      </c>
      <c r="G151" s="22">
        <v>0</v>
      </c>
      <c r="H151" s="22">
        <v>0</v>
      </c>
      <c r="I151" s="22">
        <v>0</v>
      </c>
      <c r="J151">
        <v>0</v>
      </c>
      <c r="K151">
        <v>0</v>
      </c>
      <c r="L151" s="22">
        <v>0</v>
      </c>
      <c r="M151" s="22">
        <v>0</v>
      </c>
      <c r="N151" s="22">
        <v>0</v>
      </c>
      <c r="O151" s="22">
        <v>0</v>
      </c>
      <c r="P151" s="22">
        <v>0</v>
      </c>
      <c r="Q151" s="22">
        <v>0</v>
      </c>
      <c r="R151">
        <v>0</v>
      </c>
      <c r="T151" t="s">
        <v>2982</v>
      </c>
      <c r="U151" t="s">
        <v>3060</v>
      </c>
      <c r="V151" t="s">
        <v>3058</v>
      </c>
    </row>
    <row r="152" spans="1:22">
      <c r="A152">
        <v>151</v>
      </c>
      <c r="B152" t="s">
        <v>395</v>
      </c>
      <c r="C152" t="s">
        <v>396</v>
      </c>
      <c r="D152" t="s">
        <v>17</v>
      </c>
      <c r="E152" t="s">
        <v>8</v>
      </c>
      <c r="F152" s="22">
        <v>0</v>
      </c>
      <c r="G152" s="22">
        <v>0</v>
      </c>
      <c r="H152" s="22">
        <v>0</v>
      </c>
      <c r="I152" s="22">
        <v>0</v>
      </c>
      <c r="J152">
        <v>0</v>
      </c>
      <c r="K152">
        <v>0</v>
      </c>
      <c r="L152" s="22">
        <v>0</v>
      </c>
      <c r="M152" s="22">
        <v>0</v>
      </c>
      <c r="N152" s="22">
        <v>0</v>
      </c>
      <c r="O152" s="22">
        <v>0</v>
      </c>
      <c r="P152" s="22">
        <v>0</v>
      </c>
      <c r="Q152" s="22">
        <v>0</v>
      </c>
      <c r="R152">
        <v>0</v>
      </c>
      <c r="T152" t="s">
        <v>2982</v>
      </c>
      <c r="U152" t="s">
        <v>3060</v>
      </c>
      <c r="V152" t="s">
        <v>3058</v>
      </c>
    </row>
    <row r="153" spans="1:22">
      <c r="A153">
        <v>152</v>
      </c>
      <c r="B153" t="s">
        <v>397</v>
      </c>
      <c r="C153" t="s">
        <v>398</v>
      </c>
      <c r="D153" t="s">
        <v>17</v>
      </c>
      <c r="E153" t="s">
        <v>8</v>
      </c>
      <c r="F153" s="22">
        <v>4</v>
      </c>
      <c r="G153" s="22">
        <v>0</v>
      </c>
      <c r="H153" s="22">
        <v>0</v>
      </c>
      <c r="I153" s="22">
        <v>4</v>
      </c>
      <c r="J153">
        <v>0</v>
      </c>
      <c r="K153">
        <v>0</v>
      </c>
      <c r="L153" s="22">
        <v>4</v>
      </c>
      <c r="M153" s="22">
        <v>0</v>
      </c>
      <c r="N153" s="22">
        <v>0</v>
      </c>
      <c r="O153" s="22">
        <v>4</v>
      </c>
      <c r="P153" s="22">
        <v>0</v>
      </c>
      <c r="Q153" s="22">
        <v>4</v>
      </c>
      <c r="R153">
        <v>0</v>
      </c>
      <c r="T153" t="s">
        <v>2982</v>
      </c>
      <c r="U153" t="s">
        <v>3060</v>
      </c>
      <c r="V153" t="s">
        <v>3058</v>
      </c>
    </row>
    <row r="154" spans="1:22">
      <c r="A154">
        <v>153</v>
      </c>
      <c r="B154" t="s">
        <v>399</v>
      </c>
      <c r="C154" t="s">
        <v>400</v>
      </c>
      <c r="D154" t="s">
        <v>17</v>
      </c>
      <c r="E154" t="s">
        <v>8</v>
      </c>
      <c r="F154" s="22">
        <v>0</v>
      </c>
      <c r="G154" s="22">
        <v>0</v>
      </c>
      <c r="H154" s="22">
        <v>0</v>
      </c>
      <c r="I154" s="22">
        <v>0</v>
      </c>
      <c r="J154">
        <v>0</v>
      </c>
      <c r="K154">
        <v>0</v>
      </c>
      <c r="L154" s="22">
        <v>0</v>
      </c>
      <c r="M154" s="22">
        <v>0</v>
      </c>
      <c r="N154" s="22">
        <v>0</v>
      </c>
      <c r="O154" s="22">
        <v>0</v>
      </c>
      <c r="P154" s="22">
        <v>0</v>
      </c>
      <c r="Q154" s="22">
        <v>0</v>
      </c>
      <c r="R154">
        <v>0</v>
      </c>
      <c r="T154" t="s">
        <v>2982</v>
      </c>
      <c r="U154" t="s">
        <v>3060</v>
      </c>
      <c r="V154" t="s">
        <v>3058</v>
      </c>
    </row>
    <row r="155" spans="1:22">
      <c r="A155">
        <v>154</v>
      </c>
      <c r="B155" t="s">
        <v>401</v>
      </c>
      <c r="C155" t="s">
        <v>402</v>
      </c>
      <c r="D155" t="s">
        <v>17</v>
      </c>
      <c r="E155" t="s">
        <v>8</v>
      </c>
      <c r="F155" s="22">
        <v>0</v>
      </c>
      <c r="G155" s="22">
        <v>0</v>
      </c>
      <c r="H155" s="22">
        <v>0</v>
      </c>
      <c r="I155" s="22">
        <v>0</v>
      </c>
      <c r="J155">
        <v>0</v>
      </c>
      <c r="K155">
        <v>0</v>
      </c>
      <c r="L155" s="22">
        <v>0</v>
      </c>
      <c r="M155" s="22">
        <v>0</v>
      </c>
      <c r="N155" s="22">
        <v>0</v>
      </c>
      <c r="O155" s="22">
        <v>0</v>
      </c>
      <c r="P155" s="22">
        <v>0</v>
      </c>
      <c r="Q155" s="22">
        <v>0</v>
      </c>
      <c r="R155">
        <v>0</v>
      </c>
      <c r="T155" t="s">
        <v>2972</v>
      </c>
      <c r="U155" t="s">
        <v>3055</v>
      </c>
      <c r="V155" t="s">
        <v>3056</v>
      </c>
    </row>
    <row r="156" spans="1:22">
      <c r="A156">
        <v>155</v>
      </c>
      <c r="B156" t="s">
        <v>155</v>
      </c>
      <c r="C156" t="s">
        <v>156</v>
      </c>
      <c r="D156" t="s">
        <v>135</v>
      </c>
      <c r="E156" t="s">
        <v>8</v>
      </c>
      <c r="F156" s="22">
        <v>32</v>
      </c>
      <c r="G156" s="22">
        <v>0</v>
      </c>
      <c r="H156" s="22">
        <v>10</v>
      </c>
      <c r="I156" s="22">
        <v>22</v>
      </c>
      <c r="J156">
        <v>0</v>
      </c>
      <c r="K156">
        <v>0</v>
      </c>
      <c r="L156" s="22">
        <v>22</v>
      </c>
      <c r="M156" s="22">
        <v>0</v>
      </c>
      <c r="N156" s="22">
        <v>0</v>
      </c>
      <c r="O156" s="22">
        <v>22</v>
      </c>
      <c r="P156" s="22">
        <v>16</v>
      </c>
      <c r="Q156" s="22">
        <v>6</v>
      </c>
      <c r="R156">
        <v>0</v>
      </c>
      <c r="T156" t="s">
        <v>2998</v>
      </c>
      <c r="U156" t="s">
        <v>3057</v>
      </c>
      <c r="V156" t="s">
        <v>3056</v>
      </c>
    </row>
    <row r="157" spans="1:22">
      <c r="A157">
        <v>156</v>
      </c>
      <c r="B157" t="s">
        <v>405</v>
      </c>
      <c r="C157" t="s">
        <v>3024</v>
      </c>
      <c r="D157" t="s">
        <v>17</v>
      </c>
      <c r="E157" t="s">
        <v>8</v>
      </c>
      <c r="F157" s="22">
        <v>8000</v>
      </c>
      <c r="G157" s="22">
        <v>0</v>
      </c>
      <c r="H157" s="22">
        <v>0</v>
      </c>
      <c r="I157" s="22">
        <v>8000</v>
      </c>
      <c r="J157">
        <v>0</v>
      </c>
      <c r="K157">
        <v>0</v>
      </c>
      <c r="L157" s="22">
        <v>8000</v>
      </c>
      <c r="M157" s="22">
        <v>0</v>
      </c>
      <c r="N157" s="22">
        <v>0</v>
      </c>
      <c r="O157" s="22">
        <v>8000</v>
      </c>
      <c r="P157" s="22">
        <v>2000</v>
      </c>
      <c r="Q157" s="22">
        <v>6000</v>
      </c>
      <c r="R157">
        <v>0</v>
      </c>
      <c r="T157" t="s">
        <v>2972</v>
      </c>
      <c r="U157" t="s">
        <v>3055</v>
      </c>
      <c r="V157" t="s">
        <v>3056</v>
      </c>
    </row>
    <row r="158" spans="1:22">
      <c r="A158">
        <v>157</v>
      </c>
      <c r="B158" t="s">
        <v>406</v>
      </c>
      <c r="C158" t="s">
        <v>407</v>
      </c>
      <c r="D158" t="s">
        <v>17</v>
      </c>
      <c r="E158" t="s">
        <v>8</v>
      </c>
      <c r="F158" s="22">
        <v>137</v>
      </c>
      <c r="G158" s="22">
        <v>200</v>
      </c>
      <c r="H158" s="22">
        <v>82</v>
      </c>
      <c r="I158" s="22">
        <v>255</v>
      </c>
      <c r="J158">
        <v>0</v>
      </c>
      <c r="K158">
        <v>0</v>
      </c>
      <c r="L158" s="22">
        <v>255</v>
      </c>
      <c r="M158" s="22">
        <v>0</v>
      </c>
      <c r="N158" s="22">
        <v>0</v>
      </c>
      <c r="O158" s="22">
        <v>255</v>
      </c>
      <c r="P158" s="22">
        <v>200</v>
      </c>
      <c r="Q158" s="22">
        <v>55</v>
      </c>
      <c r="R158">
        <v>500</v>
      </c>
      <c r="T158" t="s">
        <v>2972</v>
      </c>
      <c r="U158" t="s">
        <v>3055</v>
      </c>
      <c r="V158" t="s">
        <v>3061</v>
      </c>
    </row>
    <row r="159" spans="1:22">
      <c r="A159">
        <v>158</v>
      </c>
      <c r="B159" t="s">
        <v>159</v>
      </c>
      <c r="C159" t="s">
        <v>160</v>
      </c>
      <c r="D159" t="s">
        <v>17</v>
      </c>
      <c r="E159" t="s">
        <v>8</v>
      </c>
      <c r="F159" s="22">
        <v>0</v>
      </c>
      <c r="G159" s="22">
        <v>0</v>
      </c>
      <c r="H159" s="22">
        <v>0</v>
      </c>
      <c r="I159" s="22">
        <v>0</v>
      </c>
      <c r="J159">
        <v>0</v>
      </c>
      <c r="K159">
        <v>0</v>
      </c>
      <c r="L159" s="22">
        <v>0</v>
      </c>
      <c r="M159" s="22">
        <v>0</v>
      </c>
      <c r="N159" s="22">
        <v>0</v>
      </c>
      <c r="O159" s="22">
        <v>0</v>
      </c>
      <c r="P159" s="22">
        <v>0</v>
      </c>
      <c r="Q159" s="22">
        <v>0</v>
      </c>
      <c r="R159">
        <v>0</v>
      </c>
      <c r="T159" t="s">
        <v>2972</v>
      </c>
      <c r="U159" t="s">
        <v>3057</v>
      </c>
      <c r="V159" t="s">
        <v>3056</v>
      </c>
    </row>
    <row r="160" spans="1:22">
      <c r="A160">
        <v>159</v>
      </c>
      <c r="B160" t="s">
        <v>161</v>
      </c>
      <c r="C160" t="s">
        <v>162</v>
      </c>
      <c r="D160" t="s">
        <v>7</v>
      </c>
      <c r="E160" t="s">
        <v>8</v>
      </c>
      <c r="F160" s="22">
        <v>0</v>
      </c>
      <c r="G160" s="22">
        <v>0</v>
      </c>
      <c r="H160" s="22">
        <v>0</v>
      </c>
      <c r="I160" s="22">
        <v>0</v>
      </c>
      <c r="J160">
        <v>0</v>
      </c>
      <c r="K160">
        <v>0</v>
      </c>
      <c r="L160" s="22">
        <v>0</v>
      </c>
      <c r="M160" s="22">
        <v>0</v>
      </c>
      <c r="N160" s="22">
        <v>0</v>
      </c>
      <c r="O160" s="22">
        <v>0</v>
      </c>
      <c r="P160" s="22">
        <v>0</v>
      </c>
      <c r="Q160" s="22">
        <v>0</v>
      </c>
      <c r="R160">
        <v>0</v>
      </c>
      <c r="T160" t="s">
        <v>2972</v>
      </c>
      <c r="U160" t="s">
        <v>3057</v>
      </c>
      <c r="V160" t="s">
        <v>3056</v>
      </c>
    </row>
    <row r="161" spans="1:22">
      <c r="A161">
        <v>160</v>
      </c>
      <c r="B161" t="s">
        <v>163</v>
      </c>
      <c r="C161" t="s">
        <v>164</v>
      </c>
      <c r="D161" t="s">
        <v>7</v>
      </c>
      <c r="E161" t="s">
        <v>8</v>
      </c>
      <c r="F161" s="22">
        <v>14400</v>
      </c>
      <c r="G161" s="22">
        <v>14400</v>
      </c>
      <c r="H161" s="22">
        <v>16800</v>
      </c>
      <c r="I161" s="22">
        <v>12000</v>
      </c>
      <c r="J161">
        <v>0</v>
      </c>
      <c r="K161">
        <v>0</v>
      </c>
      <c r="L161" s="22">
        <v>12000</v>
      </c>
      <c r="M161" s="22">
        <v>0</v>
      </c>
      <c r="N161" s="22">
        <v>0</v>
      </c>
      <c r="O161" s="22">
        <v>12000</v>
      </c>
      <c r="P161" s="22">
        <v>36000</v>
      </c>
      <c r="Q161" s="22">
        <v>-24000</v>
      </c>
      <c r="R161">
        <v>14400</v>
      </c>
      <c r="T161" t="s">
        <v>2972</v>
      </c>
      <c r="U161" t="s">
        <v>3057</v>
      </c>
      <c r="V161" t="s">
        <v>3056</v>
      </c>
    </row>
    <row r="162" spans="1:22">
      <c r="A162">
        <v>161</v>
      </c>
      <c r="B162" t="s">
        <v>165</v>
      </c>
      <c r="C162" t="s">
        <v>166</v>
      </c>
      <c r="D162" t="s">
        <v>7</v>
      </c>
      <c r="E162" t="s">
        <v>8</v>
      </c>
      <c r="F162" s="22">
        <v>7200</v>
      </c>
      <c r="G162" s="22">
        <v>0</v>
      </c>
      <c r="H162" s="22">
        <v>0</v>
      </c>
      <c r="I162" s="22">
        <v>7200</v>
      </c>
      <c r="J162">
        <v>0</v>
      </c>
      <c r="K162">
        <v>0</v>
      </c>
      <c r="L162" s="22">
        <v>7200</v>
      </c>
      <c r="M162" s="22">
        <v>0</v>
      </c>
      <c r="N162" s="22">
        <v>0</v>
      </c>
      <c r="O162" s="22">
        <v>7200</v>
      </c>
      <c r="P162" s="22">
        <v>0</v>
      </c>
      <c r="Q162" s="22">
        <v>7200</v>
      </c>
      <c r="R162">
        <v>0</v>
      </c>
      <c r="T162" t="s">
        <v>2972</v>
      </c>
      <c r="U162" t="s">
        <v>3057</v>
      </c>
      <c r="V162" t="s">
        <v>3056</v>
      </c>
    </row>
    <row r="163" spans="1:22">
      <c r="A163">
        <v>162</v>
      </c>
      <c r="B163" t="s">
        <v>169</v>
      </c>
      <c r="C163" t="s">
        <v>170</v>
      </c>
      <c r="D163" t="s">
        <v>7</v>
      </c>
      <c r="E163" t="s">
        <v>8</v>
      </c>
      <c r="F163" s="22">
        <v>7200</v>
      </c>
      <c r="G163" s="22">
        <v>0</v>
      </c>
      <c r="H163" s="22">
        <v>0</v>
      </c>
      <c r="I163" s="22">
        <v>7200</v>
      </c>
      <c r="J163">
        <v>0</v>
      </c>
      <c r="K163">
        <v>0</v>
      </c>
      <c r="L163" s="22">
        <v>7200</v>
      </c>
      <c r="M163" s="22">
        <v>0</v>
      </c>
      <c r="N163" s="22">
        <v>0</v>
      </c>
      <c r="O163" s="22">
        <v>7200</v>
      </c>
      <c r="P163" s="22">
        <v>0</v>
      </c>
      <c r="Q163" s="22">
        <v>7200</v>
      </c>
      <c r="R163">
        <v>0</v>
      </c>
      <c r="T163" t="s">
        <v>2972</v>
      </c>
      <c r="U163" t="s">
        <v>3057</v>
      </c>
      <c r="V163" t="s">
        <v>3056</v>
      </c>
    </row>
    <row r="164" spans="1:22">
      <c r="A164">
        <v>163</v>
      </c>
      <c r="B164" t="s">
        <v>171</v>
      </c>
      <c r="C164" t="s">
        <v>172</v>
      </c>
      <c r="D164" t="s">
        <v>7</v>
      </c>
      <c r="E164" t="s">
        <v>8</v>
      </c>
      <c r="F164" s="22">
        <v>7200</v>
      </c>
      <c r="G164" s="22">
        <v>0</v>
      </c>
      <c r="H164" s="22">
        <v>0</v>
      </c>
      <c r="I164" s="22">
        <v>7200</v>
      </c>
      <c r="J164">
        <v>0</v>
      </c>
      <c r="K164">
        <v>0</v>
      </c>
      <c r="L164" s="22">
        <v>7200</v>
      </c>
      <c r="M164" s="22">
        <v>0</v>
      </c>
      <c r="N164" s="22">
        <v>0</v>
      </c>
      <c r="O164" s="22">
        <v>7200</v>
      </c>
      <c r="P164" s="22">
        <v>0</v>
      </c>
      <c r="Q164" s="22">
        <v>7200</v>
      </c>
      <c r="R164">
        <v>0</v>
      </c>
      <c r="T164" t="s">
        <v>2972</v>
      </c>
      <c r="U164" t="s">
        <v>3057</v>
      </c>
      <c r="V164" t="s">
        <v>3056</v>
      </c>
    </row>
    <row r="165" spans="1:22">
      <c r="A165">
        <v>164</v>
      </c>
      <c r="B165" t="s">
        <v>175</v>
      </c>
      <c r="C165" t="s">
        <v>176</v>
      </c>
      <c r="D165" t="s">
        <v>7</v>
      </c>
      <c r="E165" t="s">
        <v>8</v>
      </c>
      <c r="F165" s="22">
        <v>7200</v>
      </c>
      <c r="G165" s="22">
        <v>12000</v>
      </c>
      <c r="H165" s="22">
        <v>7200</v>
      </c>
      <c r="I165" s="22">
        <v>12000</v>
      </c>
      <c r="J165">
        <v>0</v>
      </c>
      <c r="K165">
        <v>0</v>
      </c>
      <c r="L165" s="22">
        <v>12000</v>
      </c>
      <c r="M165" s="22">
        <v>0</v>
      </c>
      <c r="N165" s="22">
        <v>0</v>
      </c>
      <c r="O165" s="22">
        <v>12000</v>
      </c>
      <c r="P165" s="22">
        <v>9600</v>
      </c>
      <c r="Q165" s="22">
        <v>2400</v>
      </c>
      <c r="R165">
        <v>12000</v>
      </c>
      <c r="T165" t="s">
        <v>2972</v>
      </c>
      <c r="U165" t="s">
        <v>3057</v>
      </c>
      <c r="V165" t="s">
        <v>3056</v>
      </c>
    </row>
    <row r="166" spans="1:22">
      <c r="A166">
        <v>165</v>
      </c>
      <c r="B166" t="s">
        <v>179</v>
      </c>
      <c r="C166" t="s">
        <v>180</v>
      </c>
      <c r="D166" t="s">
        <v>7</v>
      </c>
      <c r="E166" t="s">
        <v>8</v>
      </c>
      <c r="F166" s="22">
        <v>9600</v>
      </c>
      <c r="G166" s="22">
        <v>0</v>
      </c>
      <c r="H166" s="22">
        <v>2400</v>
      </c>
      <c r="I166" s="22">
        <v>7200</v>
      </c>
      <c r="J166">
        <v>0</v>
      </c>
      <c r="K166">
        <v>0</v>
      </c>
      <c r="L166" s="22">
        <v>7200</v>
      </c>
      <c r="M166" s="22">
        <v>0</v>
      </c>
      <c r="N166" s="22">
        <v>0</v>
      </c>
      <c r="O166" s="22">
        <v>7200</v>
      </c>
      <c r="P166" s="22">
        <v>4800</v>
      </c>
      <c r="Q166" s="22">
        <v>2400</v>
      </c>
      <c r="R166">
        <v>0</v>
      </c>
      <c r="T166" t="s">
        <v>2972</v>
      </c>
      <c r="U166" t="s">
        <v>3057</v>
      </c>
      <c r="V166" t="s">
        <v>3056</v>
      </c>
    </row>
    <row r="167" spans="1:22">
      <c r="A167">
        <v>166</v>
      </c>
      <c r="B167" t="s">
        <v>185</v>
      </c>
      <c r="C167" t="s">
        <v>186</v>
      </c>
      <c r="D167" t="s">
        <v>7</v>
      </c>
      <c r="E167" t="s">
        <v>8</v>
      </c>
      <c r="F167" s="22">
        <v>0</v>
      </c>
      <c r="G167" s="22">
        <v>0</v>
      </c>
      <c r="H167" s="22">
        <v>0</v>
      </c>
      <c r="I167" s="22">
        <v>0</v>
      </c>
      <c r="J167">
        <v>0</v>
      </c>
      <c r="K167">
        <v>0</v>
      </c>
      <c r="L167" s="22">
        <v>0</v>
      </c>
      <c r="M167" s="22">
        <v>0</v>
      </c>
      <c r="N167" s="22">
        <v>0</v>
      </c>
      <c r="O167" s="22">
        <v>0</v>
      </c>
      <c r="P167" s="22">
        <v>0</v>
      </c>
      <c r="Q167" s="22">
        <v>0</v>
      </c>
      <c r="R167">
        <v>0</v>
      </c>
      <c r="T167" t="s">
        <v>2991</v>
      </c>
      <c r="U167" t="s">
        <v>3057</v>
      </c>
      <c r="V167" t="s">
        <v>3056</v>
      </c>
    </row>
    <row r="168" spans="1:22">
      <c r="A168">
        <v>167</v>
      </c>
      <c r="B168" t="s">
        <v>428</v>
      </c>
      <c r="C168" t="s">
        <v>429</v>
      </c>
      <c r="D168" t="s">
        <v>17</v>
      </c>
      <c r="E168" t="s">
        <v>8</v>
      </c>
      <c r="F168" s="22">
        <v>411</v>
      </c>
      <c r="G168" s="22">
        <v>0</v>
      </c>
      <c r="H168" s="22">
        <v>20</v>
      </c>
      <c r="I168" s="22">
        <v>391</v>
      </c>
      <c r="J168">
        <v>0</v>
      </c>
      <c r="K168">
        <v>0</v>
      </c>
      <c r="L168" s="22">
        <v>391</v>
      </c>
      <c r="M168" s="22">
        <v>0</v>
      </c>
      <c r="N168" s="22">
        <v>0</v>
      </c>
      <c r="O168" s="22">
        <v>391</v>
      </c>
      <c r="P168" s="22">
        <v>250</v>
      </c>
      <c r="Q168" s="22">
        <v>141</v>
      </c>
      <c r="R168">
        <v>0</v>
      </c>
      <c r="T168" t="s">
        <v>2982</v>
      </c>
      <c r="U168" t="s">
        <v>3060</v>
      </c>
      <c r="V168" t="s">
        <v>3058</v>
      </c>
    </row>
    <row r="169" spans="1:22">
      <c r="A169">
        <v>168</v>
      </c>
      <c r="B169" t="s">
        <v>233</v>
      </c>
      <c r="C169" t="s">
        <v>234</v>
      </c>
      <c r="D169" t="s">
        <v>20</v>
      </c>
      <c r="E169" t="s">
        <v>8</v>
      </c>
      <c r="F169" s="22">
        <v>0</v>
      </c>
      <c r="G169" s="22">
        <v>0</v>
      </c>
      <c r="H169" s="22">
        <v>0</v>
      </c>
      <c r="I169" s="22">
        <v>0</v>
      </c>
      <c r="J169">
        <v>0</v>
      </c>
      <c r="K169">
        <v>0</v>
      </c>
      <c r="L169" s="22">
        <v>0</v>
      </c>
      <c r="M169" s="22">
        <v>0</v>
      </c>
      <c r="N169" s="22">
        <v>0</v>
      </c>
      <c r="O169" s="22">
        <v>0</v>
      </c>
      <c r="P169" s="22">
        <v>0</v>
      </c>
      <c r="Q169" s="22">
        <v>0</v>
      </c>
      <c r="R169">
        <v>0</v>
      </c>
      <c r="T169" t="s">
        <v>3036</v>
      </c>
      <c r="U169" t="s">
        <v>3057</v>
      </c>
      <c r="V169" t="s">
        <v>3056</v>
      </c>
    </row>
    <row r="170" spans="1:22">
      <c r="A170">
        <v>169</v>
      </c>
      <c r="B170" t="s">
        <v>239</v>
      </c>
      <c r="C170" t="s">
        <v>240</v>
      </c>
      <c r="D170" t="s">
        <v>135</v>
      </c>
      <c r="E170" t="s">
        <v>8</v>
      </c>
      <c r="F170" s="22">
        <v>300</v>
      </c>
      <c r="G170" s="22">
        <v>0</v>
      </c>
      <c r="H170" s="22">
        <v>100</v>
      </c>
      <c r="I170" s="22">
        <v>200</v>
      </c>
      <c r="J170">
        <v>0</v>
      </c>
      <c r="K170">
        <v>0</v>
      </c>
      <c r="L170" s="22">
        <v>200</v>
      </c>
      <c r="M170" s="22">
        <v>0</v>
      </c>
      <c r="N170" s="22">
        <v>0</v>
      </c>
      <c r="O170" s="22">
        <v>200</v>
      </c>
      <c r="P170" s="22">
        <v>200</v>
      </c>
      <c r="Q170" s="22">
        <v>0</v>
      </c>
      <c r="R170">
        <v>0</v>
      </c>
      <c r="T170" t="s">
        <v>3008</v>
      </c>
      <c r="U170" t="s">
        <v>3057</v>
      </c>
      <c r="V170" t="s">
        <v>3056</v>
      </c>
    </row>
    <row r="171" spans="1:22">
      <c r="A171">
        <v>170</v>
      </c>
      <c r="B171" t="s">
        <v>249</v>
      </c>
      <c r="C171" t="s">
        <v>250</v>
      </c>
      <c r="D171" t="s">
        <v>17</v>
      </c>
      <c r="E171" t="s">
        <v>8</v>
      </c>
      <c r="F171" s="22">
        <v>2000</v>
      </c>
      <c r="G171" s="22">
        <v>0</v>
      </c>
      <c r="H171" s="22">
        <v>0</v>
      </c>
      <c r="I171" s="22">
        <v>2000</v>
      </c>
      <c r="J171">
        <v>0</v>
      </c>
      <c r="K171">
        <v>0</v>
      </c>
      <c r="L171" s="22">
        <v>2000</v>
      </c>
      <c r="M171" s="22">
        <v>0</v>
      </c>
      <c r="N171" s="22">
        <v>0</v>
      </c>
      <c r="O171" s="22">
        <v>2000</v>
      </c>
      <c r="P171" s="22">
        <v>500</v>
      </c>
      <c r="Q171" s="22">
        <v>1500</v>
      </c>
      <c r="R171">
        <v>0</v>
      </c>
      <c r="T171" t="s">
        <v>2972</v>
      </c>
      <c r="U171" t="s">
        <v>3057</v>
      </c>
      <c r="V171" t="s">
        <v>3058</v>
      </c>
    </row>
    <row r="172" spans="1:22">
      <c r="A172">
        <v>171</v>
      </c>
      <c r="B172" t="s">
        <v>251</v>
      </c>
      <c r="C172" t="s">
        <v>252</v>
      </c>
      <c r="D172" t="s">
        <v>17</v>
      </c>
      <c r="E172" t="s">
        <v>8</v>
      </c>
      <c r="F172" s="22">
        <v>1500</v>
      </c>
      <c r="G172" s="22">
        <v>0</v>
      </c>
      <c r="H172" s="22">
        <v>0</v>
      </c>
      <c r="I172" s="22">
        <v>1500</v>
      </c>
      <c r="J172">
        <v>0</v>
      </c>
      <c r="K172">
        <v>0</v>
      </c>
      <c r="L172" s="22">
        <v>1500</v>
      </c>
      <c r="M172" s="22">
        <v>0</v>
      </c>
      <c r="N172" s="22">
        <v>0</v>
      </c>
      <c r="O172" s="22">
        <v>1500</v>
      </c>
      <c r="P172" s="22">
        <v>300</v>
      </c>
      <c r="Q172" s="22">
        <v>1200</v>
      </c>
      <c r="R172">
        <v>0</v>
      </c>
      <c r="T172" t="s">
        <v>2991</v>
      </c>
      <c r="U172" t="s">
        <v>3057</v>
      </c>
      <c r="V172" t="s">
        <v>3058</v>
      </c>
    </row>
    <row r="173" spans="1:22">
      <c r="A173">
        <v>172</v>
      </c>
      <c r="B173" t="s">
        <v>253</v>
      </c>
      <c r="C173" t="s">
        <v>254</v>
      </c>
      <c r="D173" t="s">
        <v>17</v>
      </c>
      <c r="E173" t="s">
        <v>8</v>
      </c>
      <c r="F173" s="22">
        <v>172</v>
      </c>
      <c r="G173" s="22">
        <v>0</v>
      </c>
      <c r="H173" s="22">
        <v>0</v>
      </c>
      <c r="I173" s="22">
        <v>172</v>
      </c>
      <c r="J173">
        <v>0</v>
      </c>
      <c r="K173">
        <v>0</v>
      </c>
      <c r="L173" s="22">
        <v>172</v>
      </c>
      <c r="M173" s="22">
        <v>0</v>
      </c>
      <c r="N173" s="22">
        <v>0</v>
      </c>
      <c r="O173" s="22">
        <v>172</v>
      </c>
      <c r="P173" s="22">
        <v>150</v>
      </c>
      <c r="Q173" s="22">
        <v>22</v>
      </c>
      <c r="R173">
        <v>0</v>
      </c>
      <c r="T173" t="s">
        <v>2991</v>
      </c>
      <c r="U173" t="s">
        <v>3057</v>
      </c>
      <c r="V173" t="s">
        <v>3056</v>
      </c>
    </row>
    <row r="174" spans="1:22">
      <c r="A174">
        <v>173</v>
      </c>
      <c r="B174" t="s">
        <v>255</v>
      </c>
      <c r="C174" t="s">
        <v>256</v>
      </c>
      <c r="D174" t="s">
        <v>17</v>
      </c>
      <c r="E174" t="s">
        <v>8</v>
      </c>
      <c r="F174" s="22">
        <v>0</v>
      </c>
      <c r="G174" s="22">
        <v>0</v>
      </c>
      <c r="H174" s="22">
        <v>0</v>
      </c>
      <c r="I174" s="22">
        <v>0</v>
      </c>
      <c r="J174">
        <v>0</v>
      </c>
      <c r="K174">
        <v>0</v>
      </c>
      <c r="L174" s="22">
        <v>0</v>
      </c>
      <c r="M174" s="22">
        <v>0</v>
      </c>
      <c r="N174" s="22">
        <v>0</v>
      </c>
      <c r="O174" s="22">
        <v>0</v>
      </c>
      <c r="P174" s="22">
        <v>0</v>
      </c>
      <c r="Q174" s="22">
        <v>0</v>
      </c>
      <c r="R174">
        <v>0</v>
      </c>
      <c r="T174" t="s">
        <v>2972</v>
      </c>
      <c r="U174" t="s">
        <v>3057</v>
      </c>
      <c r="V174" t="s">
        <v>3056</v>
      </c>
    </row>
    <row r="175" spans="1:22">
      <c r="A175">
        <v>174</v>
      </c>
      <c r="B175" t="s">
        <v>444</v>
      </c>
      <c r="C175" t="s">
        <v>445</v>
      </c>
      <c r="D175" t="s">
        <v>17</v>
      </c>
      <c r="E175" t="s">
        <v>8</v>
      </c>
      <c r="F175" s="22">
        <v>600</v>
      </c>
      <c r="G175" s="22">
        <v>0</v>
      </c>
      <c r="H175" s="22">
        <v>0</v>
      </c>
      <c r="I175" s="22">
        <v>600</v>
      </c>
      <c r="J175">
        <v>0</v>
      </c>
      <c r="K175">
        <v>0</v>
      </c>
      <c r="L175" s="22">
        <v>600</v>
      </c>
      <c r="M175" s="22">
        <v>0</v>
      </c>
      <c r="N175" s="22">
        <v>0</v>
      </c>
      <c r="O175" s="22">
        <v>600</v>
      </c>
      <c r="P175" s="22">
        <v>500</v>
      </c>
      <c r="Q175" s="22">
        <v>100</v>
      </c>
      <c r="R175">
        <v>0</v>
      </c>
      <c r="T175" t="s">
        <v>2972</v>
      </c>
      <c r="U175" t="s">
        <v>3055</v>
      </c>
      <c r="V175" t="s">
        <v>3061</v>
      </c>
    </row>
    <row r="176" spans="1:22">
      <c r="A176">
        <v>175</v>
      </c>
      <c r="B176" t="s">
        <v>446</v>
      </c>
      <c r="C176" t="s">
        <v>447</v>
      </c>
      <c r="D176" t="s">
        <v>17</v>
      </c>
      <c r="E176" t="s">
        <v>8</v>
      </c>
      <c r="F176" s="22">
        <v>1465</v>
      </c>
      <c r="G176" s="22">
        <v>0</v>
      </c>
      <c r="H176" s="22">
        <v>0</v>
      </c>
      <c r="I176" s="22">
        <v>1465</v>
      </c>
      <c r="J176">
        <v>0</v>
      </c>
      <c r="K176">
        <v>0</v>
      </c>
      <c r="L176" s="22">
        <v>1465</v>
      </c>
      <c r="M176" s="22">
        <v>0</v>
      </c>
      <c r="N176" s="22">
        <v>0</v>
      </c>
      <c r="O176" s="22">
        <v>1465</v>
      </c>
      <c r="P176" s="22">
        <v>1000</v>
      </c>
      <c r="Q176" s="22">
        <v>465</v>
      </c>
      <c r="R176">
        <v>0</v>
      </c>
      <c r="T176" t="s">
        <v>2972</v>
      </c>
      <c r="U176" t="s">
        <v>3055</v>
      </c>
      <c r="V176" t="s">
        <v>3061</v>
      </c>
    </row>
    <row r="177" spans="1:22">
      <c r="A177">
        <v>176</v>
      </c>
      <c r="B177" t="s">
        <v>448</v>
      </c>
      <c r="C177" t="s">
        <v>449</v>
      </c>
      <c r="D177" t="s">
        <v>17</v>
      </c>
      <c r="E177" t="s">
        <v>8</v>
      </c>
      <c r="F177" s="22">
        <v>1475</v>
      </c>
      <c r="G177" s="22">
        <v>0</v>
      </c>
      <c r="H177" s="22">
        <v>0</v>
      </c>
      <c r="I177" s="22">
        <v>1475</v>
      </c>
      <c r="J177">
        <v>0</v>
      </c>
      <c r="K177">
        <v>0</v>
      </c>
      <c r="L177" s="22">
        <v>1475</v>
      </c>
      <c r="M177" s="22">
        <v>0</v>
      </c>
      <c r="N177" s="22">
        <v>0</v>
      </c>
      <c r="O177" s="22">
        <v>1475</v>
      </c>
      <c r="P177" s="22">
        <v>0</v>
      </c>
      <c r="Q177" s="22">
        <v>1475</v>
      </c>
      <c r="R177">
        <v>0</v>
      </c>
      <c r="T177" t="s">
        <v>2972</v>
      </c>
      <c r="U177" t="s">
        <v>3055</v>
      </c>
      <c r="V177" t="s">
        <v>3061</v>
      </c>
    </row>
    <row r="178" spans="1:22">
      <c r="A178">
        <v>177</v>
      </c>
      <c r="B178" t="s">
        <v>450</v>
      </c>
      <c r="C178" t="s">
        <v>451</v>
      </c>
      <c r="D178" t="s">
        <v>17</v>
      </c>
      <c r="E178" t="s">
        <v>8</v>
      </c>
      <c r="F178" s="22">
        <v>125</v>
      </c>
      <c r="G178" s="22">
        <v>0</v>
      </c>
      <c r="H178" s="22">
        <v>0</v>
      </c>
      <c r="I178" s="22">
        <v>125</v>
      </c>
      <c r="J178">
        <v>0</v>
      </c>
      <c r="K178">
        <v>0</v>
      </c>
      <c r="L178" s="22">
        <v>125</v>
      </c>
      <c r="M178" s="22">
        <v>0</v>
      </c>
      <c r="N178" s="22">
        <v>0</v>
      </c>
      <c r="O178" s="22">
        <v>125</v>
      </c>
      <c r="P178" s="22">
        <v>0</v>
      </c>
      <c r="Q178" s="22">
        <v>125</v>
      </c>
      <c r="R178">
        <v>0</v>
      </c>
      <c r="T178" t="s">
        <v>2972</v>
      </c>
      <c r="U178" t="s">
        <v>3055</v>
      </c>
      <c r="V178" t="s">
        <v>3061</v>
      </c>
    </row>
    <row r="179" spans="1:22">
      <c r="A179">
        <v>178</v>
      </c>
      <c r="B179" t="s">
        <v>452</v>
      </c>
      <c r="C179" t="s">
        <v>453</v>
      </c>
      <c r="D179" t="s">
        <v>17</v>
      </c>
      <c r="E179" t="s">
        <v>8</v>
      </c>
      <c r="F179" s="22">
        <v>6900</v>
      </c>
      <c r="G179" s="22">
        <v>0</v>
      </c>
      <c r="H179" s="22">
        <v>0</v>
      </c>
      <c r="I179" s="22">
        <v>6900</v>
      </c>
      <c r="J179">
        <v>0</v>
      </c>
      <c r="K179">
        <v>0</v>
      </c>
      <c r="L179" s="22">
        <v>6900</v>
      </c>
      <c r="M179" s="22">
        <v>0</v>
      </c>
      <c r="N179" s="22">
        <v>0</v>
      </c>
      <c r="O179" s="22">
        <v>6900</v>
      </c>
      <c r="P179" s="22">
        <v>0</v>
      </c>
      <c r="Q179" s="22">
        <v>6900</v>
      </c>
      <c r="R179">
        <v>0</v>
      </c>
      <c r="T179" t="s">
        <v>2972</v>
      </c>
      <c r="U179" t="s">
        <v>3055</v>
      </c>
      <c r="V179" t="s">
        <v>3061</v>
      </c>
    </row>
    <row r="180" spans="1:22">
      <c r="A180">
        <v>179</v>
      </c>
      <c r="B180" t="s">
        <v>454</v>
      </c>
      <c r="C180" t="s">
        <v>455</v>
      </c>
      <c r="D180" t="s">
        <v>17</v>
      </c>
      <c r="E180" t="s">
        <v>8</v>
      </c>
      <c r="F180" s="22">
        <v>2000</v>
      </c>
      <c r="G180" s="22">
        <v>0</v>
      </c>
      <c r="H180" s="22">
        <v>25</v>
      </c>
      <c r="I180" s="22">
        <v>1975</v>
      </c>
      <c r="J180">
        <v>0</v>
      </c>
      <c r="K180">
        <v>0</v>
      </c>
      <c r="L180" s="22">
        <v>1975</v>
      </c>
      <c r="M180" s="22">
        <v>0</v>
      </c>
      <c r="N180" s="22">
        <v>0</v>
      </c>
      <c r="O180" s="22">
        <v>1975</v>
      </c>
      <c r="P180" s="22">
        <v>0</v>
      </c>
      <c r="Q180" s="22">
        <v>1975</v>
      </c>
      <c r="R180">
        <v>0</v>
      </c>
      <c r="T180" t="s">
        <v>2972</v>
      </c>
      <c r="U180" t="s">
        <v>3055</v>
      </c>
      <c r="V180" t="s">
        <v>3061</v>
      </c>
    </row>
    <row r="181" spans="1:22">
      <c r="A181">
        <v>180</v>
      </c>
      <c r="B181" t="s">
        <v>456</v>
      </c>
      <c r="C181" t="s">
        <v>457</v>
      </c>
      <c r="D181" t="s">
        <v>17</v>
      </c>
      <c r="E181" t="s">
        <v>8</v>
      </c>
      <c r="F181" s="22">
        <v>450</v>
      </c>
      <c r="G181" s="22">
        <v>0</v>
      </c>
      <c r="H181" s="22">
        <v>0</v>
      </c>
      <c r="I181" s="22">
        <v>450</v>
      </c>
      <c r="J181">
        <v>0</v>
      </c>
      <c r="K181">
        <v>0</v>
      </c>
      <c r="L181" s="22">
        <v>450</v>
      </c>
      <c r="M181" s="22">
        <v>0</v>
      </c>
      <c r="N181" s="22">
        <v>0</v>
      </c>
      <c r="O181" s="22">
        <v>450</v>
      </c>
      <c r="P181" s="22">
        <v>0</v>
      </c>
      <c r="Q181" s="22">
        <v>450</v>
      </c>
      <c r="R181">
        <v>0</v>
      </c>
      <c r="T181" t="s">
        <v>2972</v>
      </c>
      <c r="U181" t="s">
        <v>3055</v>
      </c>
      <c r="V181" t="s">
        <v>3061</v>
      </c>
    </row>
    <row r="182" spans="1:22">
      <c r="A182">
        <v>181</v>
      </c>
      <c r="B182" t="s">
        <v>458</v>
      </c>
      <c r="C182" t="s">
        <v>459</v>
      </c>
      <c r="D182" t="s">
        <v>17</v>
      </c>
      <c r="E182" t="s">
        <v>8</v>
      </c>
      <c r="F182" s="22">
        <v>1800</v>
      </c>
      <c r="G182" s="22">
        <v>0</v>
      </c>
      <c r="H182" s="22">
        <v>0</v>
      </c>
      <c r="I182" s="22">
        <v>1800</v>
      </c>
      <c r="J182">
        <v>0</v>
      </c>
      <c r="K182">
        <v>0</v>
      </c>
      <c r="L182" s="22">
        <v>1800</v>
      </c>
      <c r="M182" s="22">
        <v>0</v>
      </c>
      <c r="N182" s="22">
        <v>0</v>
      </c>
      <c r="O182" s="22">
        <v>1800</v>
      </c>
      <c r="P182" s="22">
        <v>0</v>
      </c>
      <c r="Q182" s="22">
        <v>1800</v>
      </c>
      <c r="R182">
        <v>0</v>
      </c>
      <c r="T182" t="s">
        <v>2972</v>
      </c>
      <c r="U182" t="s">
        <v>3055</v>
      </c>
      <c r="V182" t="s">
        <v>3061</v>
      </c>
    </row>
    <row r="183" spans="1:22">
      <c r="A183">
        <v>182</v>
      </c>
      <c r="B183" t="s">
        <v>460</v>
      </c>
      <c r="C183" t="s">
        <v>461</v>
      </c>
      <c r="D183" t="s">
        <v>17</v>
      </c>
      <c r="E183" t="s">
        <v>8</v>
      </c>
      <c r="F183" s="22">
        <v>350</v>
      </c>
      <c r="G183" s="22">
        <v>0</v>
      </c>
      <c r="H183" s="22">
        <v>0</v>
      </c>
      <c r="I183" s="22">
        <v>350</v>
      </c>
      <c r="J183">
        <v>0</v>
      </c>
      <c r="K183">
        <v>0</v>
      </c>
      <c r="L183" s="22">
        <v>350</v>
      </c>
      <c r="M183" s="22">
        <v>0</v>
      </c>
      <c r="N183" s="22">
        <v>0</v>
      </c>
      <c r="O183" s="22">
        <v>350</v>
      </c>
      <c r="P183" s="22">
        <v>0</v>
      </c>
      <c r="Q183" s="22">
        <v>350</v>
      </c>
      <c r="R183">
        <v>0</v>
      </c>
      <c r="T183" t="s">
        <v>2972</v>
      </c>
      <c r="U183" t="s">
        <v>3055</v>
      </c>
      <c r="V183" t="s">
        <v>3061</v>
      </c>
    </row>
    <row r="184" spans="1:22">
      <c r="A184">
        <v>183</v>
      </c>
      <c r="B184" t="s">
        <v>462</v>
      </c>
      <c r="C184" t="s">
        <v>463</v>
      </c>
      <c r="D184" t="s">
        <v>17</v>
      </c>
      <c r="E184" t="s">
        <v>8</v>
      </c>
      <c r="F184" s="22">
        <v>1000</v>
      </c>
      <c r="G184" s="22">
        <v>0</v>
      </c>
      <c r="H184" s="22">
        <v>0</v>
      </c>
      <c r="I184" s="22">
        <v>1000</v>
      </c>
      <c r="J184">
        <v>0</v>
      </c>
      <c r="K184">
        <v>0</v>
      </c>
      <c r="L184" s="22">
        <v>1000</v>
      </c>
      <c r="M184" s="22">
        <v>0</v>
      </c>
      <c r="N184" s="22">
        <v>0</v>
      </c>
      <c r="O184" s="22">
        <v>1000</v>
      </c>
      <c r="P184" s="22">
        <v>0</v>
      </c>
      <c r="Q184" s="22">
        <v>1000</v>
      </c>
      <c r="R184">
        <v>0</v>
      </c>
      <c r="T184" t="s">
        <v>2972</v>
      </c>
      <c r="U184" t="s">
        <v>3055</v>
      </c>
      <c r="V184" t="s">
        <v>3061</v>
      </c>
    </row>
    <row r="185" spans="1:22">
      <c r="A185">
        <v>184</v>
      </c>
      <c r="B185" t="s">
        <v>464</v>
      </c>
      <c r="C185" t="s">
        <v>465</v>
      </c>
      <c r="D185" t="s">
        <v>17</v>
      </c>
      <c r="E185" t="s">
        <v>8</v>
      </c>
      <c r="F185" s="22">
        <v>1150</v>
      </c>
      <c r="G185" s="22">
        <v>0</v>
      </c>
      <c r="H185" s="22">
        <v>0</v>
      </c>
      <c r="I185" s="22">
        <v>1150</v>
      </c>
      <c r="J185">
        <v>0</v>
      </c>
      <c r="K185">
        <v>0</v>
      </c>
      <c r="L185" s="22">
        <v>1150</v>
      </c>
      <c r="M185" s="22">
        <v>0</v>
      </c>
      <c r="N185" s="22">
        <v>0</v>
      </c>
      <c r="O185" s="22">
        <v>1150</v>
      </c>
      <c r="P185" s="22">
        <v>0</v>
      </c>
      <c r="Q185" s="22">
        <v>1150</v>
      </c>
      <c r="R185">
        <v>0</v>
      </c>
      <c r="T185" t="s">
        <v>2972</v>
      </c>
      <c r="U185" t="s">
        <v>3055</v>
      </c>
      <c r="V185" t="s">
        <v>3061</v>
      </c>
    </row>
    <row r="186" spans="1:22">
      <c r="A186">
        <v>185</v>
      </c>
      <c r="B186" t="s">
        <v>466</v>
      </c>
      <c r="C186" t="s">
        <v>467</v>
      </c>
      <c r="D186" t="s">
        <v>17</v>
      </c>
      <c r="E186" t="s">
        <v>8</v>
      </c>
      <c r="F186" s="22">
        <v>1450</v>
      </c>
      <c r="G186" s="22">
        <v>0</v>
      </c>
      <c r="H186" s="22">
        <v>0</v>
      </c>
      <c r="I186" s="22">
        <v>1450</v>
      </c>
      <c r="J186">
        <v>0</v>
      </c>
      <c r="K186">
        <v>0</v>
      </c>
      <c r="L186" s="22">
        <v>1450</v>
      </c>
      <c r="M186" s="22">
        <v>0</v>
      </c>
      <c r="N186" s="22">
        <v>0</v>
      </c>
      <c r="O186" s="22">
        <v>1450</v>
      </c>
      <c r="P186" s="22">
        <v>0</v>
      </c>
      <c r="Q186" s="22">
        <v>1450</v>
      </c>
      <c r="R186">
        <v>0</v>
      </c>
      <c r="T186" t="s">
        <v>2972</v>
      </c>
      <c r="U186" t="s">
        <v>3055</v>
      </c>
      <c r="V186" t="s">
        <v>3061</v>
      </c>
    </row>
    <row r="187" spans="1:22">
      <c r="A187">
        <v>186</v>
      </c>
      <c r="B187" t="s">
        <v>468</v>
      </c>
      <c r="C187" t="s">
        <v>469</v>
      </c>
      <c r="D187" t="s">
        <v>17</v>
      </c>
      <c r="E187" t="s">
        <v>8</v>
      </c>
      <c r="F187" s="22">
        <v>700</v>
      </c>
      <c r="G187" s="22">
        <v>0</v>
      </c>
      <c r="H187" s="22">
        <v>0</v>
      </c>
      <c r="I187" s="22">
        <v>700</v>
      </c>
      <c r="J187">
        <v>0</v>
      </c>
      <c r="K187">
        <v>0</v>
      </c>
      <c r="L187" s="22">
        <v>700</v>
      </c>
      <c r="M187" s="22">
        <v>0</v>
      </c>
      <c r="N187" s="22">
        <v>0</v>
      </c>
      <c r="O187" s="22">
        <v>700</v>
      </c>
      <c r="P187" s="22">
        <v>0</v>
      </c>
      <c r="Q187" s="22">
        <v>700</v>
      </c>
      <c r="R187">
        <v>0</v>
      </c>
      <c r="T187" t="s">
        <v>2972</v>
      </c>
      <c r="U187" t="s">
        <v>3055</v>
      </c>
      <c r="V187" t="s">
        <v>3061</v>
      </c>
    </row>
    <row r="188" spans="1:22">
      <c r="A188">
        <v>187</v>
      </c>
      <c r="B188" t="s">
        <v>470</v>
      </c>
      <c r="C188" t="s">
        <v>471</v>
      </c>
      <c r="D188" t="s">
        <v>17</v>
      </c>
      <c r="E188" t="s">
        <v>8</v>
      </c>
      <c r="F188" s="22">
        <v>0</v>
      </c>
      <c r="G188" s="22">
        <v>0</v>
      </c>
      <c r="H188" s="22">
        <v>0</v>
      </c>
      <c r="I188" s="22">
        <v>0</v>
      </c>
      <c r="J188">
        <v>0</v>
      </c>
      <c r="K188">
        <v>0</v>
      </c>
      <c r="L188" s="22">
        <v>0</v>
      </c>
      <c r="M188" s="22">
        <v>0</v>
      </c>
      <c r="N188" s="22">
        <v>0</v>
      </c>
      <c r="O188" s="22">
        <v>0</v>
      </c>
      <c r="P188" s="22">
        <v>0</v>
      </c>
      <c r="Q188" s="22">
        <v>0</v>
      </c>
      <c r="R188">
        <v>0</v>
      </c>
      <c r="T188" t="s">
        <v>2972</v>
      </c>
      <c r="U188" t="s">
        <v>3055</v>
      </c>
      <c r="V188" t="s">
        <v>3061</v>
      </c>
    </row>
    <row r="189" spans="1:22">
      <c r="A189">
        <v>188</v>
      </c>
      <c r="B189" t="s">
        <v>257</v>
      </c>
      <c r="C189" t="s">
        <v>258</v>
      </c>
      <c r="D189" t="s">
        <v>17</v>
      </c>
      <c r="E189" t="s">
        <v>8</v>
      </c>
      <c r="F189" s="22">
        <v>106</v>
      </c>
      <c r="G189" s="22">
        <v>550</v>
      </c>
      <c r="H189" s="22">
        <v>355</v>
      </c>
      <c r="I189" s="22">
        <v>301</v>
      </c>
      <c r="J189">
        <v>0</v>
      </c>
      <c r="K189">
        <v>0</v>
      </c>
      <c r="L189" s="22">
        <v>301</v>
      </c>
      <c r="M189" s="22">
        <v>0</v>
      </c>
      <c r="N189" s="22">
        <v>0</v>
      </c>
      <c r="O189" s="22">
        <v>301</v>
      </c>
      <c r="P189" s="22">
        <v>0</v>
      </c>
      <c r="Q189" s="22">
        <v>301</v>
      </c>
      <c r="R189">
        <v>0</v>
      </c>
      <c r="T189" t="s">
        <v>2998</v>
      </c>
      <c r="U189" t="s">
        <v>3057</v>
      </c>
      <c r="V189" t="s">
        <v>3056</v>
      </c>
    </row>
    <row r="190" spans="1:22">
      <c r="A190">
        <v>189</v>
      </c>
      <c r="B190" t="s">
        <v>474</v>
      </c>
      <c r="C190" t="s">
        <v>475</v>
      </c>
      <c r="D190" t="s">
        <v>20</v>
      </c>
      <c r="E190" t="s">
        <v>8</v>
      </c>
      <c r="F190" s="22">
        <v>9887.89</v>
      </c>
      <c r="G190" s="22">
        <v>10052.700000000001</v>
      </c>
      <c r="H190" s="22">
        <v>12907.7</v>
      </c>
      <c r="I190" s="22">
        <v>7032.89</v>
      </c>
      <c r="J190">
        <v>0</v>
      </c>
      <c r="K190">
        <v>0</v>
      </c>
      <c r="L190" s="22">
        <v>7032.89</v>
      </c>
      <c r="M190" s="22">
        <v>0</v>
      </c>
      <c r="N190" s="22">
        <v>0</v>
      </c>
      <c r="O190" s="22">
        <v>7032.89</v>
      </c>
      <c r="P190" s="22">
        <v>6000</v>
      </c>
      <c r="Q190" s="22">
        <v>1032.8900000000003</v>
      </c>
      <c r="R190">
        <v>15000</v>
      </c>
      <c r="T190" t="s">
        <v>2965</v>
      </c>
      <c r="U190" t="s">
        <v>3060</v>
      </c>
      <c r="V190" t="s">
        <v>3058</v>
      </c>
    </row>
    <row r="191" spans="1:22">
      <c r="A191">
        <v>190</v>
      </c>
      <c r="B191" t="s">
        <v>478</v>
      </c>
      <c r="C191" t="s">
        <v>479</v>
      </c>
      <c r="D191" t="s">
        <v>20</v>
      </c>
      <c r="E191" t="s">
        <v>8</v>
      </c>
      <c r="F191" s="22">
        <v>0</v>
      </c>
      <c r="G191" s="22">
        <v>0</v>
      </c>
      <c r="H191" s="22">
        <v>0</v>
      </c>
      <c r="I191" s="22">
        <v>0</v>
      </c>
      <c r="J191">
        <v>0</v>
      </c>
      <c r="K191">
        <v>0</v>
      </c>
      <c r="L191" s="22">
        <v>0</v>
      </c>
      <c r="M191" s="22">
        <v>0</v>
      </c>
      <c r="N191" s="22">
        <v>0</v>
      </c>
      <c r="O191" s="22">
        <v>0</v>
      </c>
      <c r="P191" s="22">
        <v>0</v>
      </c>
      <c r="Q191" s="22">
        <v>0</v>
      </c>
      <c r="R191">
        <v>0</v>
      </c>
      <c r="T191" t="s">
        <v>3006</v>
      </c>
      <c r="U191" t="s">
        <v>3060</v>
      </c>
      <c r="V191" t="s">
        <v>3058</v>
      </c>
    </row>
    <row r="192" spans="1:22">
      <c r="A192">
        <v>191</v>
      </c>
      <c r="B192" t="s">
        <v>259</v>
      </c>
      <c r="C192" t="s">
        <v>260</v>
      </c>
      <c r="D192" t="s">
        <v>17</v>
      </c>
      <c r="E192" t="s">
        <v>8</v>
      </c>
      <c r="F192" s="22">
        <v>500</v>
      </c>
      <c r="G192" s="22">
        <v>0</v>
      </c>
      <c r="H192" s="22">
        <v>0</v>
      </c>
      <c r="I192" s="22">
        <v>500</v>
      </c>
      <c r="J192">
        <v>0</v>
      </c>
      <c r="K192">
        <v>0</v>
      </c>
      <c r="L192" s="22">
        <v>500</v>
      </c>
      <c r="M192" s="22">
        <v>0</v>
      </c>
      <c r="N192" s="22">
        <v>0</v>
      </c>
      <c r="O192" s="22">
        <v>500</v>
      </c>
      <c r="P192" s="22">
        <v>100</v>
      </c>
      <c r="Q192" s="22">
        <v>400</v>
      </c>
      <c r="R192">
        <v>0</v>
      </c>
      <c r="T192" t="s">
        <v>2972</v>
      </c>
      <c r="U192" t="s">
        <v>3057</v>
      </c>
      <c r="V192" t="s">
        <v>3058</v>
      </c>
    </row>
    <row r="193" spans="1:22">
      <c r="A193">
        <v>192</v>
      </c>
      <c r="B193" t="s">
        <v>275</v>
      </c>
      <c r="C193" t="s">
        <v>276</v>
      </c>
      <c r="D193" t="s">
        <v>17</v>
      </c>
      <c r="E193" t="s">
        <v>8</v>
      </c>
      <c r="F193" s="22">
        <v>4179</v>
      </c>
      <c r="G193" s="22">
        <v>0</v>
      </c>
      <c r="H193" s="22">
        <v>504</v>
      </c>
      <c r="I193" s="22">
        <v>3675</v>
      </c>
      <c r="J193">
        <v>0</v>
      </c>
      <c r="K193">
        <v>0</v>
      </c>
      <c r="L193" s="22">
        <v>3675</v>
      </c>
      <c r="M193" s="22">
        <v>0</v>
      </c>
      <c r="N193" s="22">
        <v>0</v>
      </c>
      <c r="O193" s="22">
        <v>3675</v>
      </c>
      <c r="P193" s="22">
        <v>1500</v>
      </c>
      <c r="Q193" s="22">
        <v>2175</v>
      </c>
      <c r="R193">
        <v>0</v>
      </c>
      <c r="T193" t="s">
        <v>2972</v>
      </c>
      <c r="U193" t="s">
        <v>3057</v>
      </c>
      <c r="V193" t="s">
        <v>3058</v>
      </c>
    </row>
    <row r="194" spans="1:22">
      <c r="A194">
        <v>193</v>
      </c>
      <c r="B194" t="s">
        <v>277</v>
      </c>
      <c r="C194" t="s">
        <v>278</v>
      </c>
      <c r="D194" t="s">
        <v>17</v>
      </c>
      <c r="E194" t="s">
        <v>8</v>
      </c>
      <c r="F194" s="22">
        <v>50</v>
      </c>
      <c r="G194" s="22">
        <v>0</v>
      </c>
      <c r="H194" s="22">
        <v>0</v>
      </c>
      <c r="I194" s="22">
        <v>50</v>
      </c>
      <c r="J194">
        <v>0</v>
      </c>
      <c r="K194">
        <v>0</v>
      </c>
      <c r="L194" s="22">
        <v>50</v>
      </c>
      <c r="M194" s="22">
        <v>0</v>
      </c>
      <c r="N194" s="22">
        <v>0</v>
      </c>
      <c r="O194" s="22">
        <v>50</v>
      </c>
      <c r="P194" s="22">
        <v>0</v>
      </c>
      <c r="Q194" s="22">
        <v>50</v>
      </c>
      <c r="R194">
        <v>0</v>
      </c>
      <c r="T194" t="s">
        <v>2991</v>
      </c>
      <c r="U194" t="s">
        <v>3057</v>
      </c>
      <c r="V194" t="s">
        <v>3056</v>
      </c>
    </row>
    <row r="195" spans="1:22">
      <c r="A195">
        <v>194</v>
      </c>
      <c r="B195" t="s">
        <v>488</v>
      </c>
      <c r="C195" t="s">
        <v>489</v>
      </c>
      <c r="D195" t="s">
        <v>17</v>
      </c>
      <c r="E195" t="s">
        <v>8</v>
      </c>
      <c r="F195" s="22">
        <v>0</v>
      </c>
      <c r="G195" s="22">
        <v>0</v>
      </c>
      <c r="H195" s="22">
        <v>0</v>
      </c>
      <c r="I195" s="22">
        <v>0</v>
      </c>
      <c r="J195">
        <v>0</v>
      </c>
      <c r="K195">
        <v>0</v>
      </c>
      <c r="L195" s="22">
        <v>0</v>
      </c>
      <c r="M195" s="22">
        <v>0</v>
      </c>
      <c r="N195" s="22">
        <v>0</v>
      </c>
      <c r="O195" s="22">
        <v>0</v>
      </c>
      <c r="P195" s="22">
        <v>0</v>
      </c>
      <c r="Q195" s="22">
        <v>0</v>
      </c>
      <c r="R195">
        <v>0</v>
      </c>
      <c r="T195" t="s">
        <v>2972</v>
      </c>
      <c r="U195" t="s">
        <v>3055</v>
      </c>
      <c r="V195" t="s">
        <v>3056</v>
      </c>
    </row>
    <row r="196" spans="1:22">
      <c r="A196">
        <v>195</v>
      </c>
      <c r="B196" t="s">
        <v>281</v>
      </c>
      <c r="C196" t="s">
        <v>282</v>
      </c>
      <c r="D196" t="s">
        <v>17</v>
      </c>
      <c r="E196" t="s">
        <v>8</v>
      </c>
      <c r="F196" s="22">
        <v>3500</v>
      </c>
      <c r="G196" s="22">
        <v>0</v>
      </c>
      <c r="H196" s="22">
        <v>0</v>
      </c>
      <c r="I196" s="22">
        <v>3500</v>
      </c>
      <c r="J196">
        <v>0</v>
      </c>
      <c r="K196">
        <v>0</v>
      </c>
      <c r="L196" s="22">
        <v>3500</v>
      </c>
      <c r="M196" s="22">
        <v>0</v>
      </c>
      <c r="N196" s="22">
        <v>0</v>
      </c>
      <c r="O196" s="22">
        <v>3500</v>
      </c>
      <c r="P196" s="22">
        <v>1000</v>
      </c>
      <c r="Q196" s="22">
        <v>2500</v>
      </c>
      <c r="R196">
        <v>0</v>
      </c>
      <c r="T196" t="s">
        <v>2991</v>
      </c>
      <c r="U196" t="s">
        <v>3057</v>
      </c>
      <c r="V196" t="s">
        <v>3058</v>
      </c>
    </row>
    <row r="197" spans="1:22">
      <c r="A197">
        <v>196</v>
      </c>
      <c r="B197" t="s">
        <v>302</v>
      </c>
      <c r="C197" t="s">
        <v>303</v>
      </c>
      <c r="D197" t="s">
        <v>17</v>
      </c>
      <c r="E197" t="s">
        <v>8</v>
      </c>
      <c r="F197" s="22">
        <v>0</v>
      </c>
      <c r="G197" s="22">
        <v>0</v>
      </c>
      <c r="H197" s="22">
        <v>0</v>
      </c>
      <c r="I197" s="22">
        <v>0</v>
      </c>
      <c r="J197">
        <v>0</v>
      </c>
      <c r="K197">
        <v>0</v>
      </c>
      <c r="L197" s="22">
        <v>0</v>
      </c>
      <c r="M197" s="22">
        <v>0</v>
      </c>
      <c r="N197" s="22">
        <v>0</v>
      </c>
      <c r="O197" s="22">
        <v>0</v>
      </c>
      <c r="P197" s="22">
        <v>0</v>
      </c>
      <c r="Q197" s="22">
        <v>0</v>
      </c>
      <c r="R197">
        <v>0</v>
      </c>
      <c r="T197" t="s">
        <v>2991</v>
      </c>
      <c r="U197" t="s">
        <v>3057</v>
      </c>
      <c r="V197" t="s">
        <v>3056</v>
      </c>
    </row>
    <row r="198" spans="1:22">
      <c r="A198">
        <v>197</v>
      </c>
      <c r="B198" t="s">
        <v>494</v>
      </c>
      <c r="C198" t="s">
        <v>495</v>
      </c>
      <c r="D198" t="s">
        <v>17</v>
      </c>
      <c r="E198" t="s">
        <v>8</v>
      </c>
      <c r="F198" s="22">
        <v>0</v>
      </c>
      <c r="G198" s="22">
        <v>0</v>
      </c>
      <c r="H198" s="22">
        <v>0</v>
      </c>
      <c r="I198" s="22">
        <v>0</v>
      </c>
      <c r="J198">
        <v>0</v>
      </c>
      <c r="K198">
        <v>0</v>
      </c>
      <c r="L198" s="22">
        <v>0</v>
      </c>
      <c r="M198" s="22">
        <v>0</v>
      </c>
      <c r="N198" s="22">
        <v>0</v>
      </c>
      <c r="O198" s="22">
        <v>0</v>
      </c>
      <c r="P198" s="22">
        <v>0</v>
      </c>
      <c r="Q198" s="22">
        <v>0</v>
      </c>
      <c r="R198">
        <v>0</v>
      </c>
      <c r="T198" t="s">
        <v>2972</v>
      </c>
      <c r="U198" t="s">
        <v>3055</v>
      </c>
      <c r="V198" t="s">
        <v>3056</v>
      </c>
    </row>
    <row r="199" spans="1:22">
      <c r="A199">
        <v>198</v>
      </c>
      <c r="B199" t="s">
        <v>317</v>
      </c>
      <c r="C199" t="s">
        <v>318</v>
      </c>
      <c r="D199" t="s">
        <v>17</v>
      </c>
      <c r="E199" t="s">
        <v>8</v>
      </c>
      <c r="F199" s="22">
        <v>28</v>
      </c>
      <c r="G199" s="22">
        <v>0</v>
      </c>
      <c r="H199" s="22">
        <v>0</v>
      </c>
      <c r="I199" s="22">
        <v>28</v>
      </c>
      <c r="J199">
        <v>0</v>
      </c>
      <c r="K199">
        <v>0</v>
      </c>
      <c r="L199" s="22">
        <v>28</v>
      </c>
      <c r="M199" s="22">
        <v>0</v>
      </c>
      <c r="N199" s="22">
        <v>0</v>
      </c>
      <c r="O199" s="22">
        <v>28</v>
      </c>
      <c r="P199" s="22">
        <v>24</v>
      </c>
      <c r="Q199" s="22">
        <v>4</v>
      </c>
      <c r="R199">
        <v>0</v>
      </c>
      <c r="T199" t="s">
        <v>2991</v>
      </c>
      <c r="U199" t="s">
        <v>3057</v>
      </c>
      <c r="V199" t="s">
        <v>3056</v>
      </c>
    </row>
    <row r="200" spans="1:22">
      <c r="A200">
        <v>199</v>
      </c>
      <c r="B200" t="s">
        <v>319</v>
      </c>
      <c r="C200" t="s">
        <v>320</v>
      </c>
      <c r="D200" t="s">
        <v>17</v>
      </c>
      <c r="E200" t="s">
        <v>8</v>
      </c>
      <c r="F200" s="22">
        <v>640</v>
      </c>
      <c r="G200" s="22">
        <v>320</v>
      </c>
      <c r="H200" s="22">
        <v>160</v>
      </c>
      <c r="I200" s="22">
        <v>800</v>
      </c>
      <c r="J200">
        <v>0</v>
      </c>
      <c r="K200">
        <v>0</v>
      </c>
      <c r="L200" s="22">
        <v>800</v>
      </c>
      <c r="M200" s="22">
        <v>0</v>
      </c>
      <c r="N200" s="22">
        <v>0</v>
      </c>
      <c r="O200" s="22">
        <v>800</v>
      </c>
      <c r="P200" s="22">
        <v>350</v>
      </c>
      <c r="Q200" s="22">
        <v>450</v>
      </c>
      <c r="R200">
        <v>320</v>
      </c>
      <c r="T200" t="s">
        <v>2991</v>
      </c>
      <c r="U200" t="s">
        <v>3057</v>
      </c>
      <c r="V200" t="s">
        <v>3056</v>
      </c>
    </row>
    <row r="201" spans="1:22">
      <c r="A201">
        <v>200</v>
      </c>
      <c r="B201" t="s">
        <v>502</v>
      </c>
      <c r="C201" t="s">
        <v>503</v>
      </c>
      <c r="D201" t="s">
        <v>17</v>
      </c>
      <c r="E201" t="s">
        <v>8</v>
      </c>
      <c r="F201" s="22">
        <v>0</v>
      </c>
      <c r="G201" s="22">
        <v>0</v>
      </c>
      <c r="H201" s="22">
        <v>0</v>
      </c>
      <c r="I201" s="22">
        <v>0</v>
      </c>
      <c r="J201">
        <v>0</v>
      </c>
      <c r="K201">
        <v>0</v>
      </c>
      <c r="L201" s="22">
        <v>0</v>
      </c>
      <c r="M201" s="22">
        <v>0</v>
      </c>
      <c r="N201" s="22">
        <v>0</v>
      </c>
      <c r="O201" s="22">
        <v>0</v>
      </c>
      <c r="P201" s="22">
        <v>0</v>
      </c>
      <c r="Q201" s="22">
        <v>0</v>
      </c>
      <c r="R201">
        <v>0</v>
      </c>
      <c r="T201" t="s">
        <v>2972</v>
      </c>
      <c r="U201" t="s">
        <v>3055</v>
      </c>
      <c r="V201" t="s">
        <v>3056</v>
      </c>
    </row>
    <row r="202" spans="1:22">
      <c r="A202">
        <v>201</v>
      </c>
      <c r="B202" t="s">
        <v>321</v>
      </c>
      <c r="C202" t="s">
        <v>322</v>
      </c>
      <c r="D202" t="s">
        <v>17</v>
      </c>
      <c r="E202" t="s">
        <v>8</v>
      </c>
      <c r="F202" s="22">
        <v>92</v>
      </c>
      <c r="G202" s="22">
        <v>80</v>
      </c>
      <c r="H202" s="22">
        <v>44</v>
      </c>
      <c r="I202" s="22">
        <v>128</v>
      </c>
      <c r="J202">
        <v>0</v>
      </c>
      <c r="K202">
        <v>0</v>
      </c>
      <c r="L202" s="22">
        <v>128</v>
      </c>
      <c r="M202" s="22">
        <v>0</v>
      </c>
      <c r="N202" s="22">
        <v>0</v>
      </c>
      <c r="O202" s="22">
        <v>128</v>
      </c>
      <c r="P202" s="22">
        <v>80</v>
      </c>
      <c r="Q202" s="22">
        <v>48</v>
      </c>
      <c r="R202">
        <v>80</v>
      </c>
      <c r="T202" t="s">
        <v>2972</v>
      </c>
      <c r="U202" t="s">
        <v>3057</v>
      </c>
      <c r="V202" t="s">
        <v>3056</v>
      </c>
    </row>
    <row r="203" spans="1:22">
      <c r="A203">
        <v>202</v>
      </c>
      <c r="B203" t="s">
        <v>329</v>
      </c>
      <c r="C203" t="s">
        <v>330</v>
      </c>
      <c r="D203" t="s">
        <v>17</v>
      </c>
      <c r="E203" t="s">
        <v>8</v>
      </c>
      <c r="F203" s="22">
        <v>0</v>
      </c>
      <c r="G203" s="22">
        <v>0</v>
      </c>
      <c r="H203" s="22">
        <v>0</v>
      </c>
      <c r="I203" s="22">
        <v>0</v>
      </c>
      <c r="J203">
        <v>0</v>
      </c>
      <c r="K203">
        <v>0</v>
      </c>
      <c r="L203" s="22">
        <v>0</v>
      </c>
      <c r="M203" s="22">
        <v>0</v>
      </c>
      <c r="N203" s="22">
        <v>0</v>
      </c>
      <c r="O203" s="22">
        <v>0</v>
      </c>
      <c r="P203" s="22">
        <v>0</v>
      </c>
      <c r="Q203" s="22">
        <v>0</v>
      </c>
      <c r="R203">
        <v>0</v>
      </c>
      <c r="T203" t="s">
        <v>2972</v>
      </c>
      <c r="U203" t="s">
        <v>3057</v>
      </c>
      <c r="V203" t="s">
        <v>3056</v>
      </c>
    </row>
    <row r="204" spans="1:22">
      <c r="A204">
        <v>203</v>
      </c>
      <c r="B204" t="s">
        <v>508</v>
      </c>
      <c r="C204" t="s">
        <v>509</v>
      </c>
      <c r="D204" t="s">
        <v>17</v>
      </c>
      <c r="E204" t="s">
        <v>8</v>
      </c>
      <c r="F204" s="22">
        <v>0</v>
      </c>
      <c r="G204" s="22">
        <v>0</v>
      </c>
      <c r="H204" s="22">
        <v>0</v>
      </c>
      <c r="I204" s="22">
        <v>0</v>
      </c>
      <c r="J204">
        <v>0</v>
      </c>
      <c r="K204">
        <v>0</v>
      </c>
      <c r="L204" s="22">
        <v>0</v>
      </c>
      <c r="M204" s="22">
        <v>0</v>
      </c>
      <c r="N204" s="22">
        <v>0</v>
      </c>
      <c r="O204" s="22">
        <v>0</v>
      </c>
      <c r="P204" s="22">
        <v>0</v>
      </c>
      <c r="Q204" s="22">
        <v>0</v>
      </c>
      <c r="R204">
        <v>0</v>
      </c>
      <c r="T204" t="s">
        <v>2972</v>
      </c>
      <c r="U204" t="s">
        <v>3055</v>
      </c>
      <c r="V204" t="s">
        <v>3056</v>
      </c>
    </row>
    <row r="205" spans="1:22">
      <c r="A205">
        <v>204</v>
      </c>
      <c r="B205" t="s">
        <v>510</v>
      </c>
      <c r="C205" t="s">
        <v>511</v>
      </c>
      <c r="D205" t="s">
        <v>17</v>
      </c>
      <c r="E205" t="s">
        <v>8</v>
      </c>
      <c r="F205" s="22">
        <v>0</v>
      </c>
      <c r="G205" s="22">
        <v>30</v>
      </c>
      <c r="H205" s="22">
        <v>30</v>
      </c>
      <c r="I205" s="22">
        <v>0</v>
      </c>
      <c r="J205">
        <v>0</v>
      </c>
      <c r="K205">
        <v>0</v>
      </c>
      <c r="L205" s="22">
        <v>0</v>
      </c>
      <c r="M205" s="22">
        <v>0</v>
      </c>
      <c r="N205" s="22">
        <v>0</v>
      </c>
      <c r="O205" s="22">
        <v>0</v>
      </c>
      <c r="P205" s="22">
        <v>0</v>
      </c>
      <c r="Q205" s="22">
        <v>0</v>
      </c>
      <c r="R205">
        <v>0</v>
      </c>
      <c r="T205" t="s">
        <v>2982</v>
      </c>
      <c r="U205" t="s">
        <v>3060</v>
      </c>
      <c r="V205" t="s">
        <v>3061</v>
      </c>
    </row>
    <row r="206" spans="1:22">
      <c r="A206">
        <v>205</v>
      </c>
      <c r="B206" t="s">
        <v>512</v>
      </c>
      <c r="C206" t="s">
        <v>513</v>
      </c>
      <c r="D206" t="s">
        <v>17</v>
      </c>
      <c r="E206" t="s">
        <v>8</v>
      </c>
      <c r="F206" s="22">
        <v>389</v>
      </c>
      <c r="G206" s="22">
        <v>1000</v>
      </c>
      <c r="H206" s="22">
        <v>25</v>
      </c>
      <c r="I206" s="22">
        <v>1364</v>
      </c>
      <c r="J206">
        <v>0</v>
      </c>
      <c r="K206">
        <v>0</v>
      </c>
      <c r="L206" s="22">
        <v>1364</v>
      </c>
      <c r="M206" s="22">
        <v>0</v>
      </c>
      <c r="N206" s="22">
        <v>0</v>
      </c>
      <c r="O206" s="22">
        <v>1364</v>
      </c>
      <c r="P206" s="22">
        <v>300</v>
      </c>
      <c r="Q206" s="22">
        <v>1064</v>
      </c>
      <c r="R206">
        <v>0</v>
      </c>
      <c r="T206" t="s">
        <v>2982</v>
      </c>
      <c r="U206" t="s">
        <v>3060</v>
      </c>
      <c r="V206" t="s">
        <v>3061</v>
      </c>
    </row>
    <row r="207" spans="1:22">
      <c r="A207">
        <v>206</v>
      </c>
      <c r="B207" t="s">
        <v>514</v>
      </c>
      <c r="C207" t="s">
        <v>515</v>
      </c>
      <c r="D207" t="s">
        <v>17</v>
      </c>
      <c r="E207" t="s">
        <v>8</v>
      </c>
      <c r="F207" s="22">
        <v>41</v>
      </c>
      <c r="G207" s="22">
        <v>820</v>
      </c>
      <c r="H207" s="22">
        <v>741</v>
      </c>
      <c r="I207" s="22">
        <v>120</v>
      </c>
      <c r="J207">
        <v>0</v>
      </c>
      <c r="K207">
        <v>0</v>
      </c>
      <c r="L207" s="22">
        <v>120</v>
      </c>
      <c r="M207" s="22">
        <v>0</v>
      </c>
      <c r="N207" s="22">
        <v>0</v>
      </c>
      <c r="O207" s="22">
        <v>120</v>
      </c>
      <c r="P207" s="22">
        <v>300</v>
      </c>
      <c r="Q207" s="22">
        <v>-180</v>
      </c>
      <c r="R207">
        <v>1000</v>
      </c>
      <c r="T207" t="s">
        <v>2982</v>
      </c>
      <c r="U207" t="s">
        <v>3060</v>
      </c>
      <c r="V207" t="s">
        <v>3061</v>
      </c>
    </row>
    <row r="208" spans="1:22">
      <c r="A208">
        <v>207</v>
      </c>
      <c r="B208" t="s">
        <v>331</v>
      </c>
      <c r="C208" t="s">
        <v>332</v>
      </c>
      <c r="D208" t="s">
        <v>17</v>
      </c>
      <c r="E208" t="s">
        <v>8</v>
      </c>
      <c r="F208" s="22">
        <v>0</v>
      </c>
      <c r="G208" s="22">
        <v>0</v>
      </c>
      <c r="H208" s="22">
        <v>0</v>
      </c>
      <c r="I208" s="22">
        <v>0</v>
      </c>
      <c r="J208">
        <v>0</v>
      </c>
      <c r="K208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</v>
      </c>
      <c r="Q208" s="22">
        <v>0</v>
      </c>
      <c r="R208">
        <v>0</v>
      </c>
      <c r="T208" t="s">
        <v>2972</v>
      </c>
      <c r="U208" t="s">
        <v>3057</v>
      </c>
      <c r="V208" t="s">
        <v>3056</v>
      </c>
    </row>
    <row r="209" spans="1:22">
      <c r="A209">
        <v>208</v>
      </c>
      <c r="B209" t="s">
        <v>341</v>
      </c>
      <c r="C209" t="s">
        <v>342</v>
      </c>
      <c r="D209" t="s">
        <v>17</v>
      </c>
      <c r="E209" t="s">
        <v>8</v>
      </c>
      <c r="F209" s="22">
        <v>80</v>
      </c>
      <c r="G209" s="22">
        <v>350</v>
      </c>
      <c r="H209" s="22">
        <v>200</v>
      </c>
      <c r="I209" s="22">
        <v>230</v>
      </c>
      <c r="J209">
        <v>0</v>
      </c>
      <c r="K209">
        <v>0</v>
      </c>
      <c r="L209" s="22">
        <v>230</v>
      </c>
      <c r="M209" s="22">
        <v>0</v>
      </c>
      <c r="N209" s="22">
        <v>0</v>
      </c>
      <c r="O209" s="22">
        <v>230</v>
      </c>
      <c r="P209" s="22">
        <v>150</v>
      </c>
      <c r="Q209" s="22">
        <v>80</v>
      </c>
      <c r="R209">
        <v>400</v>
      </c>
      <c r="T209" t="s">
        <v>2974</v>
      </c>
      <c r="U209" t="s">
        <v>3057</v>
      </c>
      <c r="V209" t="s">
        <v>3058</v>
      </c>
    </row>
    <row r="210" spans="1:22">
      <c r="A210">
        <v>209</v>
      </c>
      <c r="B210" t="s">
        <v>345</v>
      </c>
      <c r="C210" t="s">
        <v>346</v>
      </c>
      <c r="D210" t="s">
        <v>17</v>
      </c>
      <c r="E210" t="s">
        <v>8</v>
      </c>
      <c r="F210" s="22">
        <v>72</v>
      </c>
      <c r="G210" s="22">
        <v>216</v>
      </c>
      <c r="H210" s="22">
        <v>186</v>
      </c>
      <c r="I210" s="22">
        <v>102</v>
      </c>
      <c r="J210">
        <v>0</v>
      </c>
      <c r="K210">
        <v>0</v>
      </c>
      <c r="L210" s="22">
        <v>102</v>
      </c>
      <c r="M210" s="22">
        <v>0</v>
      </c>
      <c r="N210" s="22">
        <v>0</v>
      </c>
      <c r="O210" s="22">
        <v>102</v>
      </c>
      <c r="P210" s="22">
        <v>100</v>
      </c>
      <c r="Q210" s="22">
        <v>2</v>
      </c>
      <c r="R210">
        <v>400</v>
      </c>
      <c r="T210" t="s">
        <v>2963</v>
      </c>
      <c r="U210" t="s">
        <v>3057</v>
      </c>
      <c r="V210" t="s">
        <v>3056</v>
      </c>
    </row>
    <row r="211" spans="1:22">
      <c r="A211">
        <v>210</v>
      </c>
      <c r="B211" t="s">
        <v>347</v>
      </c>
      <c r="C211" t="s">
        <v>348</v>
      </c>
      <c r="D211" t="s">
        <v>20</v>
      </c>
      <c r="E211" t="s">
        <v>8</v>
      </c>
      <c r="F211" s="22">
        <v>0</v>
      </c>
      <c r="G211" s="22">
        <v>0</v>
      </c>
      <c r="H211" s="22">
        <v>0</v>
      </c>
      <c r="I211" s="22">
        <v>0</v>
      </c>
      <c r="J211">
        <v>0</v>
      </c>
      <c r="K211">
        <v>0</v>
      </c>
      <c r="L211" s="22">
        <v>0</v>
      </c>
      <c r="M211" s="22">
        <v>0</v>
      </c>
      <c r="N211" s="22">
        <v>0</v>
      </c>
      <c r="O211" s="22">
        <v>0</v>
      </c>
      <c r="P211" s="22">
        <v>0</v>
      </c>
      <c r="Q211" s="22">
        <v>0</v>
      </c>
      <c r="R211">
        <v>0</v>
      </c>
      <c r="T211" t="s">
        <v>2963</v>
      </c>
      <c r="U211" t="s">
        <v>3063</v>
      </c>
      <c r="V211" t="s">
        <v>3056</v>
      </c>
    </row>
    <row r="212" spans="1:22">
      <c r="A212">
        <v>211</v>
      </c>
      <c r="B212" t="s">
        <v>369</v>
      </c>
      <c r="C212" t="s">
        <v>370</v>
      </c>
      <c r="D212" t="s">
        <v>17</v>
      </c>
      <c r="E212" t="s">
        <v>8</v>
      </c>
      <c r="F212" s="22">
        <v>0</v>
      </c>
      <c r="G212" s="22">
        <v>0</v>
      </c>
      <c r="H212" s="22">
        <v>0</v>
      </c>
      <c r="I212" s="22">
        <v>0</v>
      </c>
      <c r="J212">
        <v>0</v>
      </c>
      <c r="K212">
        <v>0</v>
      </c>
      <c r="L212" s="22">
        <v>0</v>
      </c>
      <c r="M212" s="22">
        <v>0</v>
      </c>
      <c r="N212" s="22">
        <v>0</v>
      </c>
      <c r="O212" s="22">
        <v>0</v>
      </c>
      <c r="P212" s="22">
        <v>0</v>
      </c>
      <c r="Q212" s="22">
        <v>0</v>
      </c>
      <c r="R212">
        <v>0</v>
      </c>
      <c r="T212" t="s">
        <v>2991</v>
      </c>
      <c r="U212" t="s">
        <v>3057</v>
      </c>
      <c r="V212" t="s">
        <v>3056</v>
      </c>
    </row>
    <row r="213" spans="1:22">
      <c r="A213">
        <v>212</v>
      </c>
      <c r="B213" t="s">
        <v>371</v>
      </c>
      <c r="C213" t="s">
        <v>372</v>
      </c>
      <c r="D213" t="s">
        <v>17</v>
      </c>
      <c r="E213" t="s">
        <v>8</v>
      </c>
      <c r="F213" s="22">
        <v>0</v>
      </c>
      <c r="G213" s="22">
        <v>0</v>
      </c>
      <c r="H213" s="22">
        <v>0</v>
      </c>
      <c r="I213" s="22">
        <v>0</v>
      </c>
      <c r="J213">
        <v>0</v>
      </c>
      <c r="K213">
        <v>0</v>
      </c>
      <c r="L213" s="22">
        <v>0</v>
      </c>
      <c r="M213" s="22">
        <v>0</v>
      </c>
      <c r="N213" s="22">
        <v>0</v>
      </c>
      <c r="O213" s="22">
        <v>0</v>
      </c>
      <c r="P213" s="22">
        <v>0</v>
      </c>
      <c r="Q213" s="22">
        <v>0</v>
      </c>
      <c r="R213">
        <v>0</v>
      </c>
      <c r="T213" t="s">
        <v>2991</v>
      </c>
      <c r="U213" t="s">
        <v>3057</v>
      </c>
      <c r="V213" t="s">
        <v>3058</v>
      </c>
    </row>
    <row r="214" spans="1:22">
      <c r="A214">
        <v>213</v>
      </c>
      <c r="B214" t="s">
        <v>532</v>
      </c>
      <c r="C214" t="s">
        <v>533</v>
      </c>
      <c r="D214" t="s">
        <v>7</v>
      </c>
      <c r="E214" t="s">
        <v>8</v>
      </c>
      <c r="F214" s="22">
        <v>161.5</v>
      </c>
      <c r="G214" s="22">
        <v>303.5</v>
      </c>
      <c r="H214" s="22">
        <v>0</v>
      </c>
      <c r="I214" s="22">
        <v>465</v>
      </c>
      <c r="J214">
        <v>0</v>
      </c>
      <c r="K214">
        <v>0</v>
      </c>
      <c r="L214" s="22">
        <v>465</v>
      </c>
      <c r="M214" s="22">
        <v>0</v>
      </c>
      <c r="N214" s="22">
        <v>0</v>
      </c>
      <c r="O214" s="22">
        <v>465</v>
      </c>
      <c r="P214" s="22">
        <v>150</v>
      </c>
      <c r="Q214" s="22">
        <v>315</v>
      </c>
      <c r="R214">
        <v>300</v>
      </c>
      <c r="T214" t="s">
        <v>2965</v>
      </c>
      <c r="U214" t="s">
        <v>3055</v>
      </c>
      <c r="V214" t="s">
        <v>3056</v>
      </c>
    </row>
    <row r="215" spans="1:22">
      <c r="A215">
        <v>214</v>
      </c>
      <c r="B215" t="s">
        <v>534</v>
      </c>
      <c r="C215" t="s">
        <v>3032</v>
      </c>
      <c r="D215" t="s">
        <v>7</v>
      </c>
      <c r="E215" t="s">
        <v>8</v>
      </c>
      <c r="F215" s="22">
        <v>240</v>
      </c>
      <c r="G215" s="22">
        <v>0</v>
      </c>
      <c r="H215" s="22">
        <v>0</v>
      </c>
      <c r="I215" s="22">
        <v>240</v>
      </c>
      <c r="J215">
        <v>0</v>
      </c>
      <c r="K215">
        <v>0</v>
      </c>
      <c r="L215" s="22">
        <v>240</v>
      </c>
      <c r="M215" s="22">
        <v>0</v>
      </c>
      <c r="N215" s="22">
        <v>0</v>
      </c>
      <c r="O215" s="22">
        <v>240</v>
      </c>
      <c r="P215" s="22">
        <v>150</v>
      </c>
      <c r="Q215" s="22">
        <v>90</v>
      </c>
      <c r="R215">
        <v>0</v>
      </c>
      <c r="T215" t="s">
        <v>2965</v>
      </c>
      <c r="U215" t="s">
        <v>3055</v>
      </c>
      <c r="V215" t="s">
        <v>3056</v>
      </c>
    </row>
    <row r="216" spans="1:22">
      <c r="A216">
        <v>215</v>
      </c>
      <c r="B216" t="s">
        <v>535</v>
      </c>
      <c r="C216" t="s">
        <v>536</v>
      </c>
      <c r="D216" t="s">
        <v>7</v>
      </c>
      <c r="E216" t="s">
        <v>8</v>
      </c>
      <c r="F216" s="22">
        <v>56</v>
      </c>
      <c r="G216" s="22">
        <v>0</v>
      </c>
      <c r="H216" s="22">
        <v>0</v>
      </c>
      <c r="I216" s="22">
        <v>56</v>
      </c>
      <c r="J216">
        <v>0</v>
      </c>
      <c r="K216">
        <v>0</v>
      </c>
      <c r="L216" s="22">
        <v>56</v>
      </c>
      <c r="M216" s="22">
        <v>0</v>
      </c>
      <c r="N216" s="22">
        <v>0</v>
      </c>
      <c r="O216" s="22">
        <v>56</v>
      </c>
      <c r="P216" s="22">
        <v>0</v>
      </c>
      <c r="Q216" s="22">
        <v>56</v>
      </c>
      <c r="R216">
        <v>0</v>
      </c>
      <c r="T216" t="s">
        <v>2965</v>
      </c>
      <c r="U216" t="s">
        <v>3055</v>
      </c>
      <c r="V216" t="s">
        <v>3056</v>
      </c>
    </row>
    <row r="217" spans="1:22">
      <c r="A217">
        <v>216</v>
      </c>
      <c r="B217" t="s">
        <v>537</v>
      </c>
      <c r="C217" t="s">
        <v>538</v>
      </c>
      <c r="D217" t="s">
        <v>7</v>
      </c>
      <c r="E217" t="s">
        <v>8</v>
      </c>
      <c r="F217" s="22">
        <v>60</v>
      </c>
      <c r="G217" s="22">
        <v>120</v>
      </c>
      <c r="H217" s="22">
        <v>150</v>
      </c>
      <c r="I217" s="22">
        <v>30</v>
      </c>
      <c r="J217">
        <v>0</v>
      </c>
      <c r="K217">
        <v>0</v>
      </c>
      <c r="L217" s="22">
        <v>30</v>
      </c>
      <c r="M217" s="22">
        <v>0</v>
      </c>
      <c r="N217" s="22">
        <v>0</v>
      </c>
      <c r="O217" s="22">
        <v>30</v>
      </c>
      <c r="P217" s="22">
        <v>0</v>
      </c>
      <c r="Q217" s="22">
        <v>30</v>
      </c>
      <c r="R217">
        <v>0</v>
      </c>
      <c r="T217" t="s">
        <v>2965</v>
      </c>
      <c r="U217" t="s">
        <v>3055</v>
      </c>
      <c r="V217" t="s">
        <v>3056</v>
      </c>
    </row>
    <row r="218" spans="1:22">
      <c r="A218">
        <v>217</v>
      </c>
      <c r="B218" t="s">
        <v>539</v>
      </c>
      <c r="C218" t="s">
        <v>540</v>
      </c>
      <c r="D218" t="s">
        <v>7</v>
      </c>
      <c r="E218" t="s">
        <v>8</v>
      </c>
      <c r="F218" s="22">
        <v>332</v>
      </c>
      <c r="G218" s="22">
        <v>0</v>
      </c>
      <c r="H218" s="22">
        <v>0</v>
      </c>
      <c r="I218" s="22">
        <v>332</v>
      </c>
      <c r="J218">
        <v>0</v>
      </c>
      <c r="K218">
        <v>0</v>
      </c>
      <c r="L218" s="22">
        <v>332</v>
      </c>
      <c r="M218" s="22">
        <v>0</v>
      </c>
      <c r="N218" s="22">
        <v>0</v>
      </c>
      <c r="O218" s="22">
        <v>332</v>
      </c>
      <c r="P218" s="22">
        <v>150</v>
      </c>
      <c r="Q218" s="22">
        <v>182</v>
      </c>
      <c r="R218">
        <v>0</v>
      </c>
      <c r="T218" t="s">
        <v>2965</v>
      </c>
      <c r="U218" t="s">
        <v>3055</v>
      </c>
      <c r="V218" t="s">
        <v>3056</v>
      </c>
    </row>
    <row r="219" spans="1:22">
      <c r="A219">
        <v>218</v>
      </c>
      <c r="B219" t="s">
        <v>373</v>
      </c>
      <c r="C219" t="s">
        <v>374</v>
      </c>
      <c r="D219" t="s">
        <v>17</v>
      </c>
      <c r="E219" t="s">
        <v>8</v>
      </c>
      <c r="F219" s="22">
        <v>0</v>
      </c>
      <c r="G219" s="22">
        <v>0</v>
      </c>
      <c r="H219" s="22">
        <v>0</v>
      </c>
      <c r="I219" s="22">
        <v>0</v>
      </c>
      <c r="J219">
        <v>0</v>
      </c>
      <c r="K219">
        <v>0</v>
      </c>
      <c r="L219" s="22">
        <v>0</v>
      </c>
      <c r="M219" s="22">
        <v>0</v>
      </c>
      <c r="N219" s="22">
        <v>0</v>
      </c>
      <c r="O219" s="22">
        <v>0</v>
      </c>
      <c r="P219" s="22">
        <v>0</v>
      </c>
      <c r="Q219" s="22">
        <v>0</v>
      </c>
      <c r="R219">
        <v>0</v>
      </c>
      <c r="T219" t="s">
        <v>2972</v>
      </c>
      <c r="U219" t="s">
        <v>3057</v>
      </c>
      <c r="V219" t="s">
        <v>3058</v>
      </c>
    </row>
    <row r="220" spans="1:22">
      <c r="A220">
        <v>219</v>
      </c>
      <c r="B220" t="s">
        <v>375</v>
      </c>
      <c r="C220" t="s">
        <v>376</v>
      </c>
      <c r="D220" t="s">
        <v>17</v>
      </c>
      <c r="E220" t="s">
        <v>8</v>
      </c>
      <c r="F220" s="22">
        <v>0</v>
      </c>
      <c r="G220" s="22">
        <v>0</v>
      </c>
      <c r="H220" s="22">
        <v>0</v>
      </c>
      <c r="I220" s="22">
        <v>0</v>
      </c>
      <c r="J220">
        <v>0</v>
      </c>
      <c r="K220">
        <v>0</v>
      </c>
      <c r="L220" s="22">
        <v>0</v>
      </c>
      <c r="M220" s="22">
        <v>0</v>
      </c>
      <c r="N220" s="22">
        <v>0</v>
      </c>
      <c r="O220" s="22">
        <v>0</v>
      </c>
      <c r="P220" s="22">
        <v>0</v>
      </c>
      <c r="Q220" s="22">
        <v>0</v>
      </c>
      <c r="R220">
        <v>0</v>
      </c>
      <c r="T220" t="s">
        <v>2991</v>
      </c>
      <c r="U220" t="s">
        <v>3057</v>
      </c>
      <c r="V220" t="s">
        <v>3058</v>
      </c>
    </row>
    <row r="221" spans="1:22">
      <c r="A221">
        <v>220</v>
      </c>
      <c r="B221" t="s">
        <v>381</v>
      </c>
      <c r="C221" t="s">
        <v>382</v>
      </c>
      <c r="D221" t="s">
        <v>17</v>
      </c>
      <c r="E221" t="s">
        <v>8</v>
      </c>
      <c r="F221" s="22">
        <v>800</v>
      </c>
      <c r="G221" s="22">
        <v>0</v>
      </c>
      <c r="H221" s="22">
        <v>0</v>
      </c>
      <c r="I221" s="22">
        <v>800</v>
      </c>
      <c r="J221">
        <v>0</v>
      </c>
      <c r="K221">
        <v>0</v>
      </c>
      <c r="L221" s="22">
        <v>800</v>
      </c>
      <c r="M221" s="22">
        <v>0</v>
      </c>
      <c r="N221" s="22">
        <v>0</v>
      </c>
      <c r="O221" s="22">
        <v>800</v>
      </c>
      <c r="P221" s="22">
        <v>500</v>
      </c>
      <c r="Q221" s="22">
        <v>300</v>
      </c>
      <c r="R221">
        <v>0</v>
      </c>
      <c r="T221" t="s">
        <v>2974</v>
      </c>
      <c r="U221" t="s">
        <v>3057</v>
      </c>
      <c r="V221" t="s">
        <v>3058</v>
      </c>
    </row>
    <row r="222" spans="1:22">
      <c r="A222">
        <v>221</v>
      </c>
      <c r="B222" t="s">
        <v>383</v>
      </c>
      <c r="C222" t="s">
        <v>384</v>
      </c>
      <c r="D222" t="s">
        <v>7</v>
      </c>
      <c r="E222" t="s">
        <v>8</v>
      </c>
      <c r="F222" s="22">
        <v>660</v>
      </c>
      <c r="G222" s="22">
        <v>0</v>
      </c>
      <c r="H222" s="22">
        <v>0</v>
      </c>
      <c r="I222" s="22">
        <v>660</v>
      </c>
      <c r="J222">
        <v>0</v>
      </c>
      <c r="K222">
        <v>0</v>
      </c>
      <c r="L222" s="22">
        <v>660</v>
      </c>
      <c r="M222" s="22">
        <v>0</v>
      </c>
      <c r="N222" s="22">
        <v>0</v>
      </c>
      <c r="O222" s="22">
        <v>660</v>
      </c>
      <c r="P222" s="22">
        <v>100</v>
      </c>
      <c r="Q222" s="22">
        <v>560</v>
      </c>
      <c r="R222">
        <v>0</v>
      </c>
      <c r="T222" t="s">
        <v>2991</v>
      </c>
      <c r="U222" t="s">
        <v>3057</v>
      </c>
      <c r="V222" t="s">
        <v>3058</v>
      </c>
    </row>
    <row r="223" spans="1:22">
      <c r="A223">
        <v>222</v>
      </c>
      <c r="B223" t="s">
        <v>385</v>
      </c>
      <c r="C223" t="s">
        <v>386</v>
      </c>
      <c r="D223" t="s">
        <v>7</v>
      </c>
      <c r="E223" t="s">
        <v>8</v>
      </c>
      <c r="F223" s="22">
        <v>560</v>
      </c>
      <c r="G223" s="22">
        <v>0</v>
      </c>
      <c r="H223" s="22">
        <v>0</v>
      </c>
      <c r="I223" s="22">
        <v>560</v>
      </c>
      <c r="J223">
        <v>0</v>
      </c>
      <c r="K223">
        <v>0</v>
      </c>
      <c r="L223" s="22">
        <v>560</v>
      </c>
      <c r="M223" s="22">
        <v>0</v>
      </c>
      <c r="N223" s="22">
        <v>0</v>
      </c>
      <c r="O223" s="22">
        <v>560</v>
      </c>
      <c r="P223" s="22">
        <v>100</v>
      </c>
      <c r="Q223" s="22">
        <v>460</v>
      </c>
      <c r="R223">
        <v>0</v>
      </c>
      <c r="T223" t="s">
        <v>2991</v>
      </c>
      <c r="U223" t="s">
        <v>3057</v>
      </c>
      <c r="V223" t="s">
        <v>3058</v>
      </c>
    </row>
    <row r="224" spans="1:22">
      <c r="A224">
        <v>223</v>
      </c>
      <c r="B224" t="s">
        <v>389</v>
      </c>
      <c r="C224" t="s">
        <v>390</v>
      </c>
      <c r="D224" t="s">
        <v>17</v>
      </c>
      <c r="E224" t="s">
        <v>8</v>
      </c>
      <c r="F224" s="22">
        <v>0</v>
      </c>
      <c r="G224" s="22">
        <v>0</v>
      </c>
      <c r="H224" s="22">
        <v>0</v>
      </c>
      <c r="I224" s="22">
        <v>0</v>
      </c>
      <c r="J224">
        <v>0</v>
      </c>
      <c r="K224">
        <v>0</v>
      </c>
      <c r="L224" s="22">
        <v>0</v>
      </c>
      <c r="M224" s="22">
        <v>0</v>
      </c>
      <c r="N224" s="22">
        <v>0</v>
      </c>
      <c r="O224" s="22">
        <v>0</v>
      </c>
      <c r="P224" s="22">
        <v>0</v>
      </c>
      <c r="Q224" s="22">
        <v>0</v>
      </c>
      <c r="R224">
        <v>0</v>
      </c>
      <c r="T224" t="s">
        <v>2972</v>
      </c>
      <c r="U224" t="s">
        <v>3057</v>
      </c>
      <c r="V224" t="s">
        <v>3056</v>
      </c>
    </row>
    <row r="225" spans="1:22">
      <c r="A225">
        <v>224</v>
      </c>
      <c r="B225" t="s">
        <v>403</v>
      </c>
      <c r="C225" t="s">
        <v>404</v>
      </c>
      <c r="D225" t="s">
        <v>17</v>
      </c>
      <c r="E225" t="s">
        <v>8</v>
      </c>
      <c r="F225" s="22">
        <v>0</v>
      </c>
      <c r="G225" s="22">
        <v>0</v>
      </c>
      <c r="H225" s="22">
        <v>0</v>
      </c>
      <c r="I225" s="22">
        <v>0</v>
      </c>
      <c r="J225">
        <v>0</v>
      </c>
      <c r="K225">
        <v>0</v>
      </c>
      <c r="L225" s="22">
        <v>0</v>
      </c>
      <c r="M225" s="22">
        <v>0</v>
      </c>
      <c r="N225" s="22">
        <v>0</v>
      </c>
      <c r="O225" s="22">
        <v>0</v>
      </c>
      <c r="P225" s="22">
        <v>0</v>
      </c>
      <c r="Q225" s="22">
        <v>0</v>
      </c>
      <c r="R225">
        <v>0</v>
      </c>
      <c r="T225" t="s">
        <v>2972</v>
      </c>
      <c r="U225" t="s">
        <v>3057</v>
      </c>
      <c r="V225" t="s">
        <v>3056</v>
      </c>
    </row>
    <row r="226" spans="1:22">
      <c r="A226">
        <v>225</v>
      </c>
      <c r="B226" t="s">
        <v>557</v>
      </c>
      <c r="C226" t="s">
        <v>558</v>
      </c>
      <c r="D226" t="s">
        <v>20</v>
      </c>
      <c r="E226" t="s">
        <v>8</v>
      </c>
      <c r="F226" s="22">
        <v>0</v>
      </c>
      <c r="G226" s="22">
        <v>0</v>
      </c>
      <c r="H226" s="22">
        <v>0</v>
      </c>
      <c r="I226" s="22">
        <v>0</v>
      </c>
      <c r="J226">
        <v>0</v>
      </c>
      <c r="K226">
        <v>0</v>
      </c>
      <c r="L226" s="22">
        <v>0</v>
      </c>
      <c r="M226" s="22">
        <v>0</v>
      </c>
      <c r="N226" s="22">
        <v>0</v>
      </c>
      <c r="O226" s="22">
        <v>0</v>
      </c>
      <c r="P226" s="22">
        <v>0</v>
      </c>
      <c r="Q226" s="22">
        <v>0</v>
      </c>
      <c r="R226">
        <v>0</v>
      </c>
      <c r="T226" t="s">
        <v>3006</v>
      </c>
      <c r="U226" t="s">
        <v>3060</v>
      </c>
      <c r="V226" t="s">
        <v>3058</v>
      </c>
    </row>
    <row r="227" spans="1:22">
      <c r="A227">
        <v>226</v>
      </c>
      <c r="B227" t="s">
        <v>408</v>
      </c>
      <c r="C227" t="s">
        <v>409</v>
      </c>
      <c r="D227" t="s">
        <v>17</v>
      </c>
      <c r="E227" t="s">
        <v>8</v>
      </c>
      <c r="F227" s="22">
        <v>0</v>
      </c>
      <c r="G227" s="22">
        <v>0</v>
      </c>
      <c r="H227" s="22">
        <v>0</v>
      </c>
      <c r="I227" s="22">
        <v>0</v>
      </c>
      <c r="J227">
        <v>0</v>
      </c>
      <c r="K227">
        <v>0</v>
      </c>
      <c r="L227" s="22">
        <v>0</v>
      </c>
      <c r="M227" s="22">
        <v>0</v>
      </c>
      <c r="N227" s="22">
        <v>0</v>
      </c>
      <c r="O227" s="22">
        <v>0</v>
      </c>
      <c r="P227" s="22">
        <v>0</v>
      </c>
      <c r="Q227" s="22">
        <v>0</v>
      </c>
      <c r="R227">
        <v>0</v>
      </c>
      <c r="T227" t="s">
        <v>2972</v>
      </c>
      <c r="U227" t="s">
        <v>3057</v>
      </c>
      <c r="V227" t="s">
        <v>3056</v>
      </c>
    </row>
    <row r="228" spans="1:22">
      <c r="A228">
        <v>227</v>
      </c>
      <c r="B228" t="s">
        <v>410</v>
      </c>
      <c r="C228" t="s">
        <v>411</v>
      </c>
      <c r="D228" t="s">
        <v>17</v>
      </c>
      <c r="E228" t="s">
        <v>8</v>
      </c>
      <c r="F228" s="22">
        <v>0</v>
      </c>
      <c r="G228" s="22">
        <v>0</v>
      </c>
      <c r="H228" s="22">
        <v>0</v>
      </c>
      <c r="I228" s="22">
        <v>0</v>
      </c>
      <c r="J228">
        <v>0</v>
      </c>
      <c r="K228">
        <v>0</v>
      </c>
      <c r="L228" s="22">
        <v>0</v>
      </c>
      <c r="M228" s="22">
        <v>0</v>
      </c>
      <c r="N228" s="22">
        <v>0</v>
      </c>
      <c r="O228" s="22">
        <v>0</v>
      </c>
      <c r="P228" s="22">
        <v>0</v>
      </c>
      <c r="Q228" s="22">
        <v>0</v>
      </c>
      <c r="R228">
        <v>0</v>
      </c>
      <c r="T228" t="s">
        <v>2972</v>
      </c>
      <c r="U228" t="s">
        <v>3057</v>
      </c>
      <c r="V228" t="s">
        <v>3056</v>
      </c>
    </row>
    <row r="229" spans="1:22">
      <c r="A229">
        <v>228</v>
      </c>
      <c r="B229" t="s">
        <v>412</v>
      </c>
      <c r="C229" t="s">
        <v>413</v>
      </c>
      <c r="D229" t="s">
        <v>17</v>
      </c>
      <c r="E229" t="s">
        <v>8</v>
      </c>
      <c r="F229" s="22">
        <v>250</v>
      </c>
      <c r="G229" s="22">
        <v>0</v>
      </c>
      <c r="H229" s="22">
        <v>0</v>
      </c>
      <c r="I229" s="22">
        <v>250</v>
      </c>
      <c r="J229">
        <v>0</v>
      </c>
      <c r="K229">
        <v>0</v>
      </c>
      <c r="L229" s="22">
        <v>250</v>
      </c>
      <c r="M229" s="22">
        <v>0</v>
      </c>
      <c r="N229" s="22">
        <v>0</v>
      </c>
      <c r="O229" s="22">
        <v>250</v>
      </c>
      <c r="P229" s="22">
        <v>100</v>
      </c>
      <c r="Q229" s="22">
        <v>150</v>
      </c>
      <c r="R229">
        <v>0</v>
      </c>
      <c r="T229" t="s">
        <v>2991</v>
      </c>
      <c r="U229" t="s">
        <v>3057</v>
      </c>
      <c r="V229" t="s">
        <v>3058</v>
      </c>
    </row>
    <row r="230" spans="1:22">
      <c r="A230">
        <v>229</v>
      </c>
      <c r="B230" t="s">
        <v>414</v>
      </c>
      <c r="C230" t="s">
        <v>415</v>
      </c>
      <c r="D230" t="s">
        <v>17</v>
      </c>
      <c r="E230" t="s">
        <v>8</v>
      </c>
      <c r="F230" s="22">
        <v>400</v>
      </c>
      <c r="G230" s="22">
        <v>1050</v>
      </c>
      <c r="H230" s="22">
        <v>300</v>
      </c>
      <c r="I230" s="22">
        <v>1150</v>
      </c>
      <c r="J230">
        <v>0</v>
      </c>
      <c r="K230">
        <v>0</v>
      </c>
      <c r="L230" s="22">
        <v>1150</v>
      </c>
      <c r="M230" s="22">
        <v>0</v>
      </c>
      <c r="N230" s="22">
        <v>0</v>
      </c>
      <c r="O230" s="22">
        <v>1150</v>
      </c>
      <c r="P230" s="22">
        <v>500</v>
      </c>
      <c r="Q230" s="22">
        <v>650</v>
      </c>
      <c r="R230">
        <v>1000</v>
      </c>
      <c r="T230" t="s">
        <v>2972</v>
      </c>
      <c r="U230" t="s">
        <v>3057</v>
      </c>
      <c r="V230" t="s">
        <v>3056</v>
      </c>
    </row>
    <row r="231" spans="1:22">
      <c r="A231">
        <v>230</v>
      </c>
      <c r="B231" t="s">
        <v>416</v>
      </c>
      <c r="C231" t="s">
        <v>417</v>
      </c>
      <c r="D231" t="s">
        <v>17</v>
      </c>
      <c r="E231" t="s">
        <v>8</v>
      </c>
      <c r="F231" s="22">
        <v>1062</v>
      </c>
      <c r="G231" s="22">
        <v>1944</v>
      </c>
      <c r="H231" s="22">
        <v>1986</v>
      </c>
      <c r="I231" s="22">
        <v>1020</v>
      </c>
      <c r="J231">
        <v>0</v>
      </c>
      <c r="K231">
        <v>0</v>
      </c>
      <c r="L231" s="22">
        <v>1020</v>
      </c>
      <c r="M231" s="22">
        <v>0</v>
      </c>
      <c r="N231" s="22">
        <v>0</v>
      </c>
      <c r="O231" s="22">
        <v>1020</v>
      </c>
      <c r="P231" s="22">
        <v>1008</v>
      </c>
      <c r="Q231" s="22">
        <v>12</v>
      </c>
      <c r="R231">
        <v>1008</v>
      </c>
      <c r="T231" t="s">
        <v>2991</v>
      </c>
      <c r="U231" t="s">
        <v>3057</v>
      </c>
      <c r="V231" t="s">
        <v>3056</v>
      </c>
    </row>
    <row r="232" spans="1:22">
      <c r="A232">
        <v>231</v>
      </c>
      <c r="B232" t="s">
        <v>418</v>
      </c>
      <c r="C232" t="s">
        <v>419</v>
      </c>
      <c r="D232" t="s">
        <v>17</v>
      </c>
      <c r="E232" t="s">
        <v>8</v>
      </c>
      <c r="F232" s="22">
        <v>213</v>
      </c>
      <c r="G232" s="22">
        <v>0</v>
      </c>
      <c r="H232" s="22">
        <v>0</v>
      </c>
      <c r="I232" s="22">
        <v>213</v>
      </c>
      <c r="J232">
        <v>0</v>
      </c>
      <c r="K232">
        <v>0</v>
      </c>
      <c r="L232" s="22">
        <v>213</v>
      </c>
      <c r="M232" s="22">
        <v>0</v>
      </c>
      <c r="N232" s="22">
        <v>0</v>
      </c>
      <c r="O232" s="22">
        <v>213</v>
      </c>
      <c r="P232" s="22">
        <v>144</v>
      </c>
      <c r="Q232" s="22">
        <v>69</v>
      </c>
      <c r="R232">
        <v>0</v>
      </c>
      <c r="T232" t="s">
        <v>2991</v>
      </c>
      <c r="U232" t="s">
        <v>3057</v>
      </c>
      <c r="V232" t="s">
        <v>3056</v>
      </c>
    </row>
    <row r="233" spans="1:22">
      <c r="A233">
        <v>232</v>
      </c>
      <c r="B233" t="s">
        <v>420</v>
      </c>
      <c r="C233" t="s">
        <v>421</v>
      </c>
      <c r="D233" t="s">
        <v>17</v>
      </c>
      <c r="E233" t="s">
        <v>8</v>
      </c>
      <c r="F233" s="22">
        <v>630</v>
      </c>
      <c r="G233" s="22">
        <v>0</v>
      </c>
      <c r="H233" s="22">
        <v>48</v>
      </c>
      <c r="I233" s="22">
        <v>582</v>
      </c>
      <c r="J233">
        <v>0</v>
      </c>
      <c r="K233">
        <v>0</v>
      </c>
      <c r="L233" s="22">
        <v>582</v>
      </c>
      <c r="M233" s="22">
        <v>0</v>
      </c>
      <c r="N233" s="22">
        <v>0</v>
      </c>
      <c r="O233" s="22">
        <v>582</v>
      </c>
      <c r="P233" s="22">
        <v>144</v>
      </c>
      <c r="Q233" s="22">
        <v>438</v>
      </c>
      <c r="R233">
        <v>0</v>
      </c>
      <c r="T233" t="s">
        <v>2991</v>
      </c>
      <c r="U233" t="s">
        <v>3057</v>
      </c>
      <c r="V233" t="s">
        <v>3056</v>
      </c>
    </row>
    <row r="234" spans="1:22">
      <c r="A234">
        <v>233</v>
      </c>
      <c r="B234" t="s">
        <v>573</v>
      </c>
      <c r="C234" t="s">
        <v>574</v>
      </c>
      <c r="D234" t="s">
        <v>17</v>
      </c>
      <c r="E234" t="s">
        <v>8</v>
      </c>
      <c r="F234" s="22">
        <v>1020</v>
      </c>
      <c r="G234" s="22">
        <v>0</v>
      </c>
      <c r="H234" s="22">
        <v>300</v>
      </c>
      <c r="I234" s="22">
        <v>720</v>
      </c>
      <c r="J234">
        <v>0</v>
      </c>
      <c r="K234">
        <v>0</v>
      </c>
      <c r="L234" s="22">
        <v>720</v>
      </c>
      <c r="M234" s="22">
        <v>0</v>
      </c>
      <c r="N234" s="22">
        <v>0</v>
      </c>
      <c r="O234" s="22">
        <v>720</v>
      </c>
      <c r="P234" s="22">
        <v>250</v>
      </c>
      <c r="Q234" s="22">
        <v>470</v>
      </c>
      <c r="R234">
        <v>0</v>
      </c>
      <c r="T234" t="s">
        <v>2972</v>
      </c>
      <c r="U234" t="s">
        <v>3055</v>
      </c>
      <c r="V234" t="s">
        <v>3056</v>
      </c>
    </row>
    <row r="235" spans="1:22">
      <c r="A235">
        <v>234</v>
      </c>
      <c r="B235" t="s">
        <v>422</v>
      </c>
      <c r="C235" t="s">
        <v>423</v>
      </c>
      <c r="D235" t="s">
        <v>17</v>
      </c>
      <c r="E235" t="s">
        <v>8</v>
      </c>
      <c r="F235" s="22">
        <v>84</v>
      </c>
      <c r="G235" s="22">
        <v>0</v>
      </c>
      <c r="H235" s="22">
        <v>0</v>
      </c>
      <c r="I235" s="22">
        <v>84</v>
      </c>
      <c r="J235">
        <v>0</v>
      </c>
      <c r="K235">
        <v>0</v>
      </c>
      <c r="L235" s="22">
        <v>84</v>
      </c>
      <c r="M235" s="22">
        <v>0</v>
      </c>
      <c r="N235" s="22">
        <v>0</v>
      </c>
      <c r="O235" s="22">
        <v>84</v>
      </c>
      <c r="P235" s="22">
        <v>50</v>
      </c>
      <c r="Q235" s="22">
        <v>34</v>
      </c>
      <c r="R235">
        <v>0</v>
      </c>
      <c r="T235" t="s">
        <v>2972</v>
      </c>
      <c r="U235" t="s">
        <v>3057</v>
      </c>
      <c r="V235" t="s">
        <v>3056</v>
      </c>
    </row>
    <row r="236" spans="1:22">
      <c r="A236">
        <v>235</v>
      </c>
      <c r="B236" t="s">
        <v>577</v>
      </c>
      <c r="C236" t="s">
        <v>578</v>
      </c>
      <c r="D236" t="s">
        <v>17</v>
      </c>
      <c r="E236" t="s">
        <v>8</v>
      </c>
      <c r="F236" s="22">
        <v>100</v>
      </c>
      <c r="G236" s="22">
        <v>0</v>
      </c>
      <c r="H236" s="22">
        <v>0</v>
      </c>
      <c r="I236" s="22">
        <v>100</v>
      </c>
      <c r="J236">
        <v>0</v>
      </c>
      <c r="K236">
        <v>0</v>
      </c>
      <c r="L236" s="22">
        <v>100</v>
      </c>
      <c r="M236" s="22">
        <v>0</v>
      </c>
      <c r="N236" s="22">
        <v>0</v>
      </c>
      <c r="O236" s="22">
        <v>100</v>
      </c>
      <c r="P236" s="22">
        <v>0</v>
      </c>
      <c r="Q236" s="22">
        <v>100</v>
      </c>
      <c r="R236">
        <v>0</v>
      </c>
      <c r="T236" t="s">
        <v>2972</v>
      </c>
      <c r="U236" t="s">
        <v>3055</v>
      </c>
      <c r="V236" t="s">
        <v>3064</v>
      </c>
    </row>
    <row r="237" spans="1:22">
      <c r="A237">
        <v>236</v>
      </c>
      <c r="B237" t="s">
        <v>424</v>
      </c>
      <c r="C237" t="s">
        <v>425</v>
      </c>
      <c r="D237" t="s">
        <v>148</v>
      </c>
      <c r="E237" t="s">
        <v>8</v>
      </c>
      <c r="F237" s="22">
        <v>600</v>
      </c>
      <c r="G237" s="22">
        <v>408</v>
      </c>
      <c r="H237" s="22">
        <v>612</v>
      </c>
      <c r="I237" s="22">
        <v>396</v>
      </c>
      <c r="J237">
        <v>0</v>
      </c>
      <c r="K237">
        <v>0</v>
      </c>
      <c r="L237" s="22">
        <v>396</v>
      </c>
      <c r="M237" s="22">
        <v>0</v>
      </c>
      <c r="N237" s="22">
        <v>0</v>
      </c>
      <c r="O237" s="22">
        <v>396</v>
      </c>
      <c r="P237" s="22">
        <v>500</v>
      </c>
      <c r="Q237" s="22">
        <v>-104</v>
      </c>
      <c r="R237">
        <v>408</v>
      </c>
      <c r="T237" t="s">
        <v>2991</v>
      </c>
      <c r="U237" t="s">
        <v>3057</v>
      </c>
      <c r="V237" t="s">
        <v>3056</v>
      </c>
    </row>
    <row r="238" spans="1:22">
      <c r="A238">
        <v>237</v>
      </c>
      <c r="B238" t="s">
        <v>581</v>
      </c>
      <c r="C238" t="s">
        <v>582</v>
      </c>
      <c r="D238" t="s">
        <v>17</v>
      </c>
      <c r="E238" t="s">
        <v>8</v>
      </c>
      <c r="F238" s="22">
        <v>1205</v>
      </c>
      <c r="G238" s="22">
        <v>0</v>
      </c>
      <c r="H238" s="22">
        <v>0</v>
      </c>
      <c r="I238" s="22">
        <v>1205</v>
      </c>
      <c r="J238">
        <v>0</v>
      </c>
      <c r="K238">
        <v>0</v>
      </c>
      <c r="L238" s="22">
        <v>1205</v>
      </c>
      <c r="M238" s="22">
        <v>0</v>
      </c>
      <c r="N238" s="22">
        <v>0</v>
      </c>
      <c r="O238" s="22">
        <v>1205</v>
      </c>
      <c r="P238" s="22">
        <v>300</v>
      </c>
      <c r="Q238" s="22">
        <v>905</v>
      </c>
      <c r="R238">
        <v>0</v>
      </c>
      <c r="T238" t="s">
        <v>2972</v>
      </c>
      <c r="U238" t="s">
        <v>3055</v>
      </c>
      <c r="V238" t="s">
        <v>3056</v>
      </c>
    </row>
    <row r="239" spans="1:22">
      <c r="A239">
        <v>238</v>
      </c>
      <c r="B239" t="s">
        <v>426</v>
      </c>
      <c r="C239" t="s">
        <v>427</v>
      </c>
      <c r="D239" t="s">
        <v>148</v>
      </c>
      <c r="E239" t="s">
        <v>8</v>
      </c>
      <c r="F239" s="22">
        <v>20</v>
      </c>
      <c r="G239" s="22">
        <v>0</v>
      </c>
      <c r="H239" s="22">
        <v>0</v>
      </c>
      <c r="I239" s="22">
        <v>20</v>
      </c>
      <c r="J239">
        <v>0</v>
      </c>
      <c r="K239">
        <v>0</v>
      </c>
      <c r="L239" s="22">
        <v>20</v>
      </c>
      <c r="M239" s="22">
        <v>0</v>
      </c>
      <c r="N239" s="22">
        <v>0</v>
      </c>
      <c r="O239" s="22">
        <v>20</v>
      </c>
      <c r="P239" s="22">
        <v>10</v>
      </c>
      <c r="Q239" s="22">
        <v>10</v>
      </c>
      <c r="R239">
        <v>0</v>
      </c>
      <c r="T239" t="s">
        <v>2991</v>
      </c>
      <c r="U239" t="s">
        <v>3057</v>
      </c>
      <c r="V239" t="s">
        <v>3056</v>
      </c>
    </row>
    <row r="240" spans="1:22">
      <c r="A240">
        <v>239</v>
      </c>
      <c r="B240" t="s">
        <v>430</v>
      </c>
      <c r="C240" t="s">
        <v>431</v>
      </c>
      <c r="D240" t="s">
        <v>17</v>
      </c>
      <c r="E240" t="s">
        <v>8</v>
      </c>
      <c r="F240" s="22">
        <v>900</v>
      </c>
      <c r="G240" s="22">
        <v>0</v>
      </c>
      <c r="H240" s="22">
        <v>50</v>
      </c>
      <c r="I240" s="22">
        <v>850</v>
      </c>
      <c r="J240">
        <v>0</v>
      </c>
      <c r="K240">
        <v>0</v>
      </c>
      <c r="L240" s="22">
        <v>850</v>
      </c>
      <c r="M240" s="22">
        <v>0</v>
      </c>
      <c r="N240" s="22">
        <v>0</v>
      </c>
      <c r="O240" s="22">
        <v>850</v>
      </c>
      <c r="P240" s="22">
        <v>500</v>
      </c>
      <c r="Q240" s="22">
        <v>350</v>
      </c>
      <c r="R240">
        <v>0</v>
      </c>
      <c r="T240" t="s">
        <v>2974</v>
      </c>
      <c r="U240" t="s">
        <v>3057</v>
      </c>
      <c r="V240" t="s">
        <v>3056</v>
      </c>
    </row>
    <row r="241" spans="1:22">
      <c r="A241">
        <v>240</v>
      </c>
      <c r="B241" t="s">
        <v>589</v>
      </c>
      <c r="C241" t="s">
        <v>590</v>
      </c>
      <c r="D241" t="s">
        <v>17</v>
      </c>
      <c r="E241" t="s">
        <v>8</v>
      </c>
      <c r="F241" s="22">
        <v>3200</v>
      </c>
      <c r="G241" s="22">
        <v>0</v>
      </c>
      <c r="H241" s="22">
        <v>200</v>
      </c>
      <c r="I241" s="22">
        <v>3000</v>
      </c>
      <c r="J241">
        <v>0</v>
      </c>
      <c r="K241">
        <v>0</v>
      </c>
      <c r="L241" s="22">
        <v>3000</v>
      </c>
      <c r="M241" s="22">
        <v>0</v>
      </c>
      <c r="N241" s="22">
        <v>0</v>
      </c>
      <c r="O241" s="22">
        <v>3000</v>
      </c>
      <c r="P241" s="22">
        <v>1000</v>
      </c>
      <c r="Q241" s="22">
        <v>2000</v>
      </c>
      <c r="R241">
        <v>0</v>
      </c>
      <c r="T241" t="s">
        <v>2972</v>
      </c>
      <c r="U241" t="s">
        <v>3055</v>
      </c>
      <c r="V241" t="s">
        <v>3056</v>
      </c>
    </row>
    <row r="242" spans="1:22">
      <c r="A242">
        <v>241</v>
      </c>
      <c r="B242" t="s">
        <v>434</v>
      </c>
      <c r="C242" t="s">
        <v>435</v>
      </c>
      <c r="D242" t="s">
        <v>20</v>
      </c>
      <c r="E242" t="s">
        <v>8</v>
      </c>
      <c r="F242" s="22">
        <v>0</v>
      </c>
      <c r="G242" s="22">
        <v>107.32</v>
      </c>
      <c r="H242" s="22">
        <v>49.68</v>
      </c>
      <c r="I242" s="22">
        <v>57.64</v>
      </c>
      <c r="J242">
        <v>0</v>
      </c>
      <c r="K242">
        <v>0</v>
      </c>
      <c r="L242" s="22">
        <v>57.64</v>
      </c>
      <c r="M242" s="22">
        <v>0</v>
      </c>
      <c r="N242" s="22">
        <v>0</v>
      </c>
      <c r="O242" s="22">
        <v>57.64</v>
      </c>
      <c r="P242" s="22">
        <v>25</v>
      </c>
      <c r="Q242" s="22">
        <v>32.64</v>
      </c>
      <c r="R242">
        <v>50</v>
      </c>
      <c r="T242" t="s">
        <v>2991</v>
      </c>
      <c r="U242" t="s">
        <v>3057</v>
      </c>
      <c r="V242" t="s">
        <v>3056</v>
      </c>
    </row>
    <row r="243" spans="1:22">
      <c r="A243">
        <v>242</v>
      </c>
      <c r="B243" t="s">
        <v>436</v>
      </c>
      <c r="C243" t="s">
        <v>437</v>
      </c>
      <c r="D243" t="s">
        <v>20</v>
      </c>
      <c r="E243" t="s">
        <v>8</v>
      </c>
      <c r="F243" s="22">
        <v>94.58</v>
      </c>
      <c r="G243" s="22">
        <v>0</v>
      </c>
      <c r="H243" s="22">
        <v>0</v>
      </c>
      <c r="I243" s="22">
        <v>94.58</v>
      </c>
      <c r="J243">
        <v>0</v>
      </c>
      <c r="K243">
        <v>0</v>
      </c>
      <c r="L243" s="22">
        <v>94.58</v>
      </c>
      <c r="M243" s="22">
        <v>0</v>
      </c>
      <c r="N243" s="22">
        <v>0</v>
      </c>
      <c r="O243" s="22">
        <v>94.58</v>
      </c>
      <c r="P243" s="22">
        <v>50</v>
      </c>
      <c r="Q243" s="22">
        <v>44.58</v>
      </c>
      <c r="R243">
        <v>0</v>
      </c>
      <c r="T243" t="s">
        <v>2991</v>
      </c>
      <c r="U243" t="s">
        <v>3057</v>
      </c>
      <c r="V243" t="s">
        <v>3056</v>
      </c>
    </row>
    <row r="244" spans="1:22">
      <c r="A244">
        <v>243</v>
      </c>
      <c r="B244" t="s">
        <v>438</v>
      </c>
      <c r="C244" t="s">
        <v>439</v>
      </c>
      <c r="D244" t="s">
        <v>20</v>
      </c>
      <c r="E244" t="s">
        <v>8</v>
      </c>
      <c r="F244" s="22">
        <v>220.38</v>
      </c>
      <c r="G244" s="22">
        <v>0</v>
      </c>
      <c r="H244" s="22">
        <v>33.1</v>
      </c>
      <c r="I244" s="22">
        <v>187.28</v>
      </c>
      <c r="J244">
        <v>0</v>
      </c>
      <c r="K244">
        <v>0</v>
      </c>
      <c r="L244" s="22">
        <v>187.28</v>
      </c>
      <c r="M244" s="22">
        <v>0</v>
      </c>
      <c r="N244" s="22">
        <v>0</v>
      </c>
      <c r="O244" s="22">
        <v>187.28</v>
      </c>
      <c r="P244" s="22">
        <v>50</v>
      </c>
      <c r="Q244" s="22">
        <v>137.28</v>
      </c>
      <c r="R244">
        <v>0</v>
      </c>
      <c r="T244" t="s">
        <v>2991</v>
      </c>
      <c r="U244" t="s">
        <v>3057</v>
      </c>
      <c r="V244" t="s">
        <v>3056</v>
      </c>
    </row>
    <row r="245" spans="1:22">
      <c r="A245">
        <v>244</v>
      </c>
      <c r="B245" t="s">
        <v>440</v>
      </c>
      <c r="C245" t="s">
        <v>441</v>
      </c>
      <c r="D245" t="s">
        <v>20</v>
      </c>
      <c r="E245" t="s">
        <v>8</v>
      </c>
      <c r="F245" s="22">
        <v>83.46</v>
      </c>
      <c r="G245" s="22">
        <v>0</v>
      </c>
      <c r="H245" s="22">
        <v>0</v>
      </c>
      <c r="I245" s="22">
        <v>83.46</v>
      </c>
      <c r="J245">
        <v>0</v>
      </c>
      <c r="K245">
        <v>0</v>
      </c>
      <c r="L245" s="22">
        <v>83.46</v>
      </c>
      <c r="M245" s="22">
        <v>0</v>
      </c>
      <c r="N245" s="22">
        <v>0</v>
      </c>
      <c r="O245" s="22">
        <v>83.46</v>
      </c>
      <c r="P245" s="22">
        <v>50</v>
      </c>
      <c r="Q245" s="22">
        <v>33.459999999999994</v>
      </c>
      <c r="R245">
        <v>0</v>
      </c>
      <c r="T245" t="s">
        <v>2991</v>
      </c>
      <c r="U245" t="s">
        <v>3057</v>
      </c>
      <c r="V245" t="s">
        <v>3056</v>
      </c>
    </row>
    <row r="246" spans="1:22">
      <c r="A246">
        <v>245</v>
      </c>
      <c r="B246" t="s">
        <v>599</v>
      </c>
      <c r="C246" t="s">
        <v>600</v>
      </c>
      <c r="D246" t="s">
        <v>7</v>
      </c>
      <c r="E246" t="s">
        <v>8</v>
      </c>
      <c r="F246" s="22">
        <v>0</v>
      </c>
      <c r="G246" s="22">
        <v>0</v>
      </c>
      <c r="H246" s="22">
        <v>0</v>
      </c>
      <c r="I246" s="22">
        <v>0</v>
      </c>
      <c r="J246">
        <v>0</v>
      </c>
      <c r="K246">
        <v>0</v>
      </c>
      <c r="L246" s="22">
        <v>0</v>
      </c>
      <c r="M246" s="22">
        <v>0</v>
      </c>
      <c r="N246" s="22">
        <v>0</v>
      </c>
      <c r="O246" s="22">
        <v>0</v>
      </c>
      <c r="P246" s="22">
        <v>0</v>
      </c>
      <c r="Q246" s="22">
        <v>0</v>
      </c>
      <c r="R246">
        <v>0</v>
      </c>
      <c r="T246" t="s">
        <v>2965</v>
      </c>
      <c r="U246" t="s">
        <v>3055</v>
      </c>
      <c r="V246" t="s">
        <v>3056</v>
      </c>
    </row>
    <row r="247" spans="1:22">
      <c r="A247">
        <v>246</v>
      </c>
      <c r="B247" t="s">
        <v>442</v>
      </c>
      <c r="C247" t="s">
        <v>443</v>
      </c>
      <c r="D247" t="s">
        <v>20</v>
      </c>
      <c r="E247" t="s">
        <v>8</v>
      </c>
      <c r="F247" s="22">
        <v>110.66</v>
      </c>
      <c r="G247" s="22">
        <v>341.2</v>
      </c>
      <c r="H247" s="22">
        <v>110.66</v>
      </c>
      <c r="I247" s="22">
        <v>341.2</v>
      </c>
      <c r="J247">
        <v>0</v>
      </c>
      <c r="K247">
        <v>0</v>
      </c>
      <c r="L247" s="22">
        <v>341.2</v>
      </c>
      <c r="M247" s="22">
        <v>0</v>
      </c>
      <c r="N247" s="22">
        <v>0</v>
      </c>
      <c r="O247" s="22">
        <v>341.2</v>
      </c>
      <c r="P247" s="22">
        <v>50</v>
      </c>
      <c r="Q247" s="22">
        <v>291.2</v>
      </c>
      <c r="R247">
        <v>100</v>
      </c>
      <c r="T247" t="s">
        <v>2991</v>
      </c>
      <c r="U247" t="s">
        <v>3057</v>
      </c>
      <c r="V247" t="s">
        <v>3056</v>
      </c>
    </row>
    <row r="248" spans="1:22">
      <c r="A248">
        <v>247</v>
      </c>
      <c r="B248" t="s">
        <v>480</v>
      </c>
      <c r="C248" t="s">
        <v>481</v>
      </c>
      <c r="D248" t="s">
        <v>17</v>
      </c>
      <c r="E248" t="s">
        <v>8</v>
      </c>
      <c r="F248" s="22">
        <v>367</v>
      </c>
      <c r="G248" s="22">
        <v>0</v>
      </c>
      <c r="H248" s="22">
        <v>0</v>
      </c>
      <c r="I248" s="22">
        <v>367</v>
      </c>
      <c r="J248">
        <v>0</v>
      </c>
      <c r="K248">
        <v>0</v>
      </c>
      <c r="L248" s="22">
        <v>367</v>
      </c>
      <c r="M248" s="22">
        <v>0</v>
      </c>
      <c r="N248" s="22">
        <v>0</v>
      </c>
      <c r="O248" s="22">
        <v>367</v>
      </c>
      <c r="P248" s="22">
        <v>150</v>
      </c>
      <c r="Q248" s="22">
        <v>217</v>
      </c>
      <c r="R248">
        <v>0</v>
      </c>
      <c r="T248" t="s">
        <v>2991</v>
      </c>
      <c r="U248" t="s">
        <v>3057</v>
      </c>
      <c r="V248" t="s">
        <v>3056</v>
      </c>
    </row>
    <row r="249" spans="1:22">
      <c r="A249">
        <v>248</v>
      </c>
      <c r="B249" t="s">
        <v>482</v>
      </c>
      <c r="C249" t="s">
        <v>483</v>
      </c>
      <c r="D249" t="s">
        <v>17</v>
      </c>
      <c r="E249" t="s">
        <v>8</v>
      </c>
      <c r="F249" s="22">
        <v>345</v>
      </c>
      <c r="G249" s="22">
        <v>0</v>
      </c>
      <c r="H249" s="22">
        <v>0</v>
      </c>
      <c r="I249" s="22">
        <v>345</v>
      </c>
      <c r="J249">
        <v>0</v>
      </c>
      <c r="K249">
        <v>0</v>
      </c>
      <c r="L249" s="22">
        <v>345</v>
      </c>
      <c r="M249" s="22">
        <v>0</v>
      </c>
      <c r="N249" s="22">
        <v>0</v>
      </c>
      <c r="O249" s="22">
        <v>345</v>
      </c>
      <c r="P249" s="22">
        <v>150</v>
      </c>
      <c r="Q249" s="22">
        <v>195</v>
      </c>
      <c r="R249">
        <v>0</v>
      </c>
      <c r="T249" t="s">
        <v>2991</v>
      </c>
      <c r="U249" t="s">
        <v>3057</v>
      </c>
      <c r="V249" t="s">
        <v>3056</v>
      </c>
    </row>
    <row r="250" spans="1:22">
      <c r="A250">
        <v>249</v>
      </c>
      <c r="B250" t="s">
        <v>484</v>
      </c>
      <c r="C250" t="s">
        <v>485</v>
      </c>
      <c r="D250" t="s">
        <v>17</v>
      </c>
      <c r="E250" t="s">
        <v>8</v>
      </c>
      <c r="F250" s="22">
        <v>240</v>
      </c>
      <c r="G250" s="22">
        <v>0</v>
      </c>
      <c r="H250" s="22">
        <v>0</v>
      </c>
      <c r="I250" s="22">
        <v>240</v>
      </c>
      <c r="J250">
        <v>0</v>
      </c>
      <c r="K250">
        <v>0</v>
      </c>
      <c r="L250" s="22">
        <v>240</v>
      </c>
      <c r="M250" s="22">
        <v>0</v>
      </c>
      <c r="N250" s="22">
        <v>0</v>
      </c>
      <c r="O250" s="22">
        <v>240</v>
      </c>
      <c r="P250" s="22">
        <v>150</v>
      </c>
      <c r="Q250" s="22">
        <v>90</v>
      </c>
      <c r="R250">
        <v>0</v>
      </c>
      <c r="T250" t="s">
        <v>2991</v>
      </c>
      <c r="U250" t="s">
        <v>3057</v>
      </c>
      <c r="V250" t="s">
        <v>3056</v>
      </c>
    </row>
    <row r="251" spans="1:22">
      <c r="A251">
        <v>250</v>
      </c>
      <c r="B251" t="s">
        <v>486</v>
      </c>
      <c r="C251" t="s">
        <v>487</v>
      </c>
      <c r="D251" t="s">
        <v>17</v>
      </c>
      <c r="E251" t="s">
        <v>8</v>
      </c>
      <c r="F251" s="22">
        <v>160</v>
      </c>
      <c r="G251" s="22">
        <v>0</v>
      </c>
      <c r="H251" s="22">
        <v>0</v>
      </c>
      <c r="I251" s="22">
        <v>160</v>
      </c>
      <c r="J251">
        <v>0</v>
      </c>
      <c r="K251">
        <v>0</v>
      </c>
      <c r="L251" s="22">
        <v>160</v>
      </c>
      <c r="M251" s="22">
        <v>0</v>
      </c>
      <c r="N251" s="22">
        <v>0</v>
      </c>
      <c r="O251" s="22">
        <v>160</v>
      </c>
      <c r="P251" s="22">
        <v>150</v>
      </c>
      <c r="Q251" s="22">
        <v>10</v>
      </c>
      <c r="R251">
        <v>0</v>
      </c>
      <c r="T251" t="s">
        <v>2991</v>
      </c>
      <c r="U251" t="s">
        <v>3057</v>
      </c>
      <c r="V251" t="s">
        <v>3056</v>
      </c>
    </row>
    <row r="252" spans="1:22">
      <c r="A252">
        <v>251</v>
      </c>
      <c r="B252" t="s">
        <v>490</v>
      </c>
      <c r="C252" t="s">
        <v>491</v>
      </c>
      <c r="D252" t="s">
        <v>17</v>
      </c>
      <c r="E252" t="s">
        <v>8</v>
      </c>
      <c r="F252" s="22">
        <v>0</v>
      </c>
      <c r="G252" s="22">
        <v>0</v>
      </c>
      <c r="H252" s="22">
        <v>0</v>
      </c>
      <c r="I252" s="22">
        <v>0</v>
      </c>
      <c r="J252">
        <v>0</v>
      </c>
      <c r="K252">
        <v>0</v>
      </c>
      <c r="L252" s="22">
        <v>0</v>
      </c>
      <c r="M252" s="22">
        <v>0</v>
      </c>
      <c r="N252" s="22">
        <v>0</v>
      </c>
      <c r="O252" s="22">
        <v>0</v>
      </c>
      <c r="P252" s="22">
        <v>0</v>
      </c>
      <c r="Q252" s="22">
        <v>0</v>
      </c>
      <c r="R252">
        <v>0</v>
      </c>
      <c r="T252" t="s">
        <v>2972</v>
      </c>
      <c r="U252" t="s">
        <v>3057</v>
      </c>
      <c r="V252" t="s">
        <v>3056</v>
      </c>
    </row>
    <row r="253" spans="1:22">
      <c r="A253">
        <v>252</v>
      </c>
      <c r="B253" t="s">
        <v>492</v>
      </c>
      <c r="C253" t="s">
        <v>493</v>
      </c>
      <c r="D253" t="s">
        <v>17</v>
      </c>
      <c r="E253" t="s">
        <v>8</v>
      </c>
      <c r="F253" s="22">
        <v>0</v>
      </c>
      <c r="G253" s="22">
        <v>0</v>
      </c>
      <c r="H253" s="22">
        <v>0</v>
      </c>
      <c r="I253" s="22">
        <v>0</v>
      </c>
      <c r="J253">
        <v>0</v>
      </c>
      <c r="K253">
        <v>0</v>
      </c>
      <c r="L253" s="22">
        <v>0</v>
      </c>
      <c r="M253" s="22">
        <v>0</v>
      </c>
      <c r="N253" s="22">
        <v>0</v>
      </c>
      <c r="O253" s="22">
        <v>0</v>
      </c>
      <c r="P253" s="22">
        <v>0</v>
      </c>
      <c r="Q253" s="22">
        <v>0</v>
      </c>
      <c r="R253">
        <v>0</v>
      </c>
      <c r="T253" t="s">
        <v>2991</v>
      </c>
      <c r="U253" t="s">
        <v>3057</v>
      </c>
      <c r="V253" t="s">
        <v>3056</v>
      </c>
    </row>
    <row r="254" spans="1:22">
      <c r="A254">
        <v>253</v>
      </c>
      <c r="B254" t="s">
        <v>496</v>
      </c>
      <c r="C254" t="s">
        <v>497</v>
      </c>
      <c r="D254" t="s">
        <v>17</v>
      </c>
      <c r="E254" t="s">
        <v>8</v>
      </c>
      <c r="F254" s="22">
        <v>0</v>
      </c>
      <c r="G254" s="22">
        <v>0</v>
      </c>
      <c r="H254" s="22">
        <v>0</v>
      </c>
      <c r="I254" s="22">
        <v>0</v>
      </c>
      <c r="J254">
        <v>0</v>
      </c>
      <c r="K254">
        <v>0</v>
      </c>
      <c r="L254" s="22">
        <v>0</v>
      </c>
      <c r="M254" s="22">
        <v>0</v>
      </c>
      <c r="N254" s="22">
        <v>0</v>
      </c>
      <c r="O254" s="22">
        <v>0</v>
      </c>
      <c r="P254" s="22">
        <v>0</v>
      </c>
      <c r="Q254" s="22">
        <v>0</v>
      </c>
      <c r="R254">
        <v>0</v>
      </c>
      <c r="T254" t="s">
        <v>2972</v>
      </c>
      <c r="U254" t="s">
        <v>3057</v>
      </c>
      <c r="V254" t="s">
        <v>3056</v>
      </c>
    </row>
    <row r="255" spans="1:22">
      <c r="A255">
        <v>254</v>
      </c>
      <c r="B255" t="s">
        <v>623</v>
      </c>
      <c r="C255" t="s">
        <v>624</v>
      </c>
      <c r="D255" t="s">
        <v>17</v>
      </c>
      <c r="E255" t="s">
        <v>8</v>
      </c>
      <c r="F255" s="22">
        <v>16825</v>
      </c>
      <c r="G255" s="22">
        <v>0</v>
      </c>
      <c r="H255" s="22">
        <v>0</v>
      </c>
      <c r="I255" s="22">
        <v>16825</v>
      </c>
      <c r="J255">
        <v>0</v>
      </c>
      <c r="K255">
        <v>0</v>
      </c>
      <c r="L255" s="22">
        <v>16825</v>
      </c>
      <c r="M255" s="22">
        <v>0</v>
      </c>
      <c r="N255" s="22">
        <v>0</v>
      </c>
      <c r="O255" s="22">
        <v>16825</v>
      </c>
      <c r="P255" s="22">
        <v>2000</v>
      </c>
      <c r="Q255" s="22">
        <v>14825</v>
      </c>
      <c r="R255">
        <v>0</v>
      </c>
      <c r="T255" t="s">
        <v>2972</v>
      </c>
      <c r="U255" t="s">
        <v>3060</v>
      </c>
      <c r="V255" t="s">
        <v>3058</v>
      </c>
    </row>
    <row r="256" spans="1:22">
      <c r="A256">
        <v>255</v>
      </c>
      <c r="B256" t="s">
        <v>625</v>
      </c>
      <c r="C256" t="s">
        <v>626</v>
      </c>
      <c r="D256" t="s">
        <v>17</v>
      </c>
      <c r="E256" t="s">
        <v>8</v>
      </c>
      <c r="F256" s="22">
        <v>3000</v>
      </c>
      <c r="G256" s="22">
        <v>0</v>
      </c>
      <c r="H256" s="22">
        <v>0</v>
      </c>
      <c r="I256" s="22">
        <v>3000</v>
      </c>
      <c r="J256">
        <v>0</v>
      </c>
      <c r="K256">
        <v>0</v>
      </c>
      <c r="L256" s="22">
        <v>3000</v>
      </c>
      <c r="M256" s="22">
        <v>0</v>
      </c>
      <c r="N256" s="22">
        <v>0</v>
      </c>
      <c r="O256" s="22">
        <v>3000</v>
      </c>
      <c r="P256" s="22">
        <v>2000</v>
      </c>
      <c r="Q256" s="22">
        <v>1000</v>
      </c>
      <c r="R256">
        <v>5000</v>
      </c>
      <c r="T256" t="s">
        <v>2972</v>
      </c>
      <c r="U256" t="s">
        <v>3060</v>
      </c>
      <c r="V256" t="s">
        <v>3058</v>
      </c>
    </row>
    <row r="257" spans="1:22">
      <c r="A257">
        <v>256</v>
      </c>
      <c r="B257" t="s">
        <v>627</v>
      </c>
      <c r="C257" t="s">
        <v>628</v>
      </c>
      <c r="D257" t="s">
        <v>17</v>
      </c>
      <c r="E257" t="s">
        <v>8</v>
      </c>
      <c r="F257" s="22">
        <v>14725</v>
      </c>
      <c r="G257" s="22">
        <v>0</v>
      </c>
      <c r="H257" s="22">
        <v>2687</v>
      </c>
      <c r="I257" s="22">
        <v>12038</v>
      </c>
      <c r="J257">
        <v>0</v>
      </c>
      <c r="K257">
        <v>0</v>
      </c>
      <c r="L257" s="22">
        <v>12038</v>
      </c>
      <c r="M257" s="22">
        <v>0</v>
      </c>
      <c r="N257" s="22">
        <v>0</v>
      </c>
      <c r="O257" s="22">
        <v>12038</v>
      </c>
      <c r="P257" s="22">
        <v>3000</v>
      </c>
      <c r="Q257" s="22">
        <v>9038</v>
      </c>
      <c r="R257">
        <v>0</v>
      </c>
      <c r="T257" t="s">
        <v>2972</v>
      </c>
      <c r="U257" t="s">
        <v>3060</v>
      </c>
      <c r="V257" t="s">
        <v>3058</v>
      </c>
    </row>
    <row r="258" spans="1:22">
      <c r="A258">
        <v>257</v>
      </c>
      <c r="B258" t="s">
        <v>629</v>
      </c>
      <c r="C258" t="s">
        <v>630</v>
      </c>
      <c r="D258" t="s">
        <v>17</v>
      </c>
      <c r="E258" t="s">
        <v>8</v>
      </c>
      <c r="F258" s="22">
        <v>13400</v>
      </c>
      <c r="G258" s="22">
        <v>0</v>
      </c>
      <c r="H258" s="22">
        <v>1000</v>
      </c>
      <c r="I258" s="22">
        <v>12400</v>
      </c>
      <c r="J258">
        <v>0</v>
      </c>
      <c r="K258">
        <v>0</v>
      </c>
      <c r="L258" s="22">
        <v>12400</v>
      </c>
      <c r="M258" s="22">
        <v>0</v>
      </c>
      <c r="N258" s="22">
        <v>0</v>
      </c>
      <c r="O258" s="22">
        <v>12400</v>
      </c>
      <c r="P258" s="22">
        <v>3500</v>
      </c>
      <c r="Q258" s="22">
        <v>8900</v>
      </c>
      <c r="R258">
        <v>0</v>
      </c>
      <c r="T258" t="s">
        <v>2972</v>
      </c>
      <c r="U258" t="s">
        <v>3060</v>
      </c>
      <c r="V258" t="s">
        <v>3058</v>
      </c>
    </row>
    <row r="259" spans="1:22">
      <c r="A259">
        <v>258</v>
      </c>
      <c r="B259" t="s">
        <v>633</v>
      </c>
      <c r="C259" t="s">
        <v>634</v>
      </c>
      <c r="D259" t="s">
        <v>20</v>
      </c>
      <c r="E259" t="s">
        <v>8</v>
      </c>
      <c r="F259" s="22">
        <v>0</v>
      </c>
      <c r="G259" s="22">
        <v>0</v>
      </c>
      <c r="H259" s="22">
        <v>0</v>
      </c>
      <c r="I259" s="22">
        <v>0</v>
      </c>
      <c r="J259">
        <v>0</v>
      </c>
      <c r="K259">
        <v>0</v>
      </c>
      <c r="L259" s="22">
        <v>0</v>
      </c>
      <c r="M259" s="22">
        <v>0</v>
      </c>
      <c r="N259" s="22">
        <v>0</v>
      </c>
      <c r="O259" s="22">
        <v>0</v>
      </c>
      <c r="P259" s="22">
        <v>200</v>
      </c>
      <c r="Q259" s="22">
        <v>-200</v>
      </c>
      <c r="R259">
        <v>0</v>
      </c>
      <c r="T259" t="s">
        <v>3034</v>
      </c>
      <c r="U259" t="s">
        <v>3059</v>
      </c>
      <c r="V259" t="s">
        <v>3056</v>
      </c>
    </row>
    <row r="260" spans="1:22">
      <c r="A260">
        <v>259</v>
      </c>
      <c r="B260" t="s">
        <v>635</v>
      </c>
      <c r="C260" t="s">
        <v>636</v>
      </c>
      <c r="D260" t="s">
        <v>20</v>
      </c>
      <c r="E260" t="s">
        <v>8</v>
      </c>
      <c r="F260" s="22">
        <v>49573.1</v>
      </c>
      <c r="G260" s="22">
        <v>66476</v>
      </c>
      <c r="H260" s="22">
        <v>58511</v>
      </c>
      <c r="I260" s="22">
        <v>57538.1</v>
      </c>
      <c r="J260">
        <v>0</v>
      </c>
      <c r="K260">
        <v>0</v>
      </c>
      <c r="L260" s="22">
        <v>57538.1</v>
      </c>
      <c r="M260" s="22">
        <v>34884</v>
      </c>
      <c r="N260" s="22">
        <v>0</v>
      </c>
      <c r="O260" s="22">
        <v>92422.1</v>
      </c>
      <c r="P260" s="22">
        <v>50000</v>
      </c>
      <c r="Q260" s="22">
        <v>42422.100000000006</v>
      </c>
      <c r="R260">
        <v>110000</v>
      </c>
      <c r="T260" t="s">
        <v>3034</v>
      </c>
      <c r="U260" t="s">
        <v>3059</v>
      </c>
      <c r="V260" t="s">
        <v>3056</v>
      </c>
    </row>
    <row r="261" spans="1:22">
      <c r="A261">
        <v>260</v>
      </c>
      <c r="B261" t="s">
        <v>498</v>
      </c>
      <c r="C261" t="s">
        <v>499</v>
      </c>
      <c r="D261" t="s">
        <v>17</v>
      </c>
      <c r="E261" t="s">
        <v>8</v>
      </c>
      <c r="F261" s="22">
        <v>4000</v>
      </c>
      <c r="G261" s="22">
        <v>0</v>
      </c>
      <c r="H261" s="22">
        <v>0</v>
      </c>
      <c r="I261" s="22">
        <v>4000</v>
      </c>
      <c r="J261">
        <v>0</v>
      </c>
      <c r="K261">
        <v>0</v>
      </c>
      <c r="L261" s="22">
        <v>4000</v>
      </c>
      <c r="M261" s="22">
        <v>0</v>
      </c>
      <c r="N261" s="22">
        <v>0</v>
      </c>
      <c r="O261" s="22">
        <v>4000</v>
      </c>
      <c r="P261" s="22">
        <v>0</v>
      </c>
      <c r="Q261" s="22">
        <v>4000</v>
      </c>
      <c r="R261">
        <v>0</v>
      </c>
      <c r="T261" t="s">
        <v>2972</v>
      </c>
      <c r="U261" t="s">
        <v>3057</v>
      </c>
      <c r="V261" t="s">
        <v>3056</v>
      </c>
    </row>
    <row r="262" spans="1:22">
      <c r="A262">
        <v>261</v>
      </c>
      <c r="B262" t="s">
        <v>500</v>
      </c>
      <c r="C262" t="s">
        <v>501</v>
      </c>
      <c r="D262" t="s">
        <v>17</v>
      </c>
      <c r="E262" t="s">
        <v>8</v>
      </c>
      <c r="F262" s="22">
        <v>0</v>
      </c>
      <c r="G262" s="22">
        <v>0</v>
      </c>
      <c r="H262" s="22">
        <v>0</v>
      </c>
      <c r="I262" s="22">
        <v>0</v>
      </c>
      <c r="J262">
        <v>0</v>
      </c>
      <c r="K262">
        <v>0</v>
      </c>
      <c r="L262" s="22">
        <v>0</v>
      </c>
      <c r="M262" s="22">
        <v>0</v>
      </c>
      <c r="N262" s="22">
        <v>0</v>
      </c>
      <c r="O262" s="22">
        <v>0</v>
      </c>
      <c r="P262" s="22">
        <v>0</v>
      </c>
      <c r="Q262" s="22">
        <v>0</v>
      </c>
      <c r="R262">
        <v>0</v>
      </c>
      <c r="T262" t="s">
        <v>2972</v>
      </c>
      <c r="U262" t="s">
        <v>3057</v>
      </c>
      <c r="V262" t="s">
        <v>3056</v>
      </c>
    </row>
    <row r="263" spans="1:22">
      <c r="A263">
        <v>262</v>
      </c>
      <c r="B263" t="s">
        <v>504</v>
      </c>
      <c r="C263" t="s">
        <v>505</v>
      </c>
      <c r="D263" t="s">
        <v>17</v>
      </c>
      <c r="E263" t="s">
        <v>8</v>
      </c>
      <c r="F263" s="22">
        <v>3000</v>
      </c>
      <c r="G263" s="22">
        <v>0</v>
      </c>
      <c r="H263" s="22">
        <v>0</v>
      </c>
      <c r="I263" s="22">
        <v>3000</v>
      </c>
      <c r="J263">
        <v>0</v>
      </c>
      <c r="K263">
        <v>0</v>
      </c>
      <c r="L263" s="22">
        <v>3000</v>
      </c>
      <c r="M263" s="22">
        <v>0</v>
      </c>
      <c r="N263" s="22">
        <v>0</v>
      </c>
      <c r="O263" s="22">
        <v>3000</v>
      </c>
      <c r="P263" s="22">
        <v>150</v>
      </c>
      <c r="Q263" s="22">
        <v>2850</v>
      </c>
      <c r="R263">
        <v>0</v>
      </c>
      <c r="T263" t="s">
        <v>2972</v>
      </c>
      <c r="U263" t="s">
        <v>3057</v>
      </c>
      <c r="V263" t="s">
        <v>3056</v>
      </c>
    </row>
    <row r="264" spans="1:22">
      <c r="A264">
        <v>263</v>
      </c>
      <c r="B264" t="s">
        <v>642</v>
      </c>
      <c r="C264" t="s">
        <v>643</v>
      </c>
      <c r="D264" t="s">
        <v>17</v>
      </c>
      <c r="E264" t="s">
        <v>8</v>
      </c>
      <c r="F264" s="22">
        <v>0</v>
      </c>
      <c r="G264" s="22">
        <v>0</v>
      </c>
      <c r="H264" s="22">
        <v>0</v>
      </c>
      <c r="I264" s="22">
        <v>0</v>
      </c>
      <c r="J264">
        <v>0</v>
      </c>
      <c r="K264">
        <v>0</v>
      </c>
      <c r="L264" s="22">
        <v>0</v>
      </c>
      <c r="M264" s="22">
        <v>0</v>
      </c>
      <c r="N264" s="22">
        <v>0</v>
      </c>
      <c r="O264" s="22">
        <v>0</v>
      </c>
      <c r="P264" s="22">
        <v>0</v>
      </c>
      <c r="Q264" s="22">
        <v>0</v>
      </c>
      <c r="R264">
        <v>0</v>
      </c>
      <c r="T264" t="s">
        <v>3050</v>
      </c>
      <c r="U264" t="s">
        <v>3055</v>
      </c>
      <c r="V264" t="s">
        <v>3061</v>
      </c>
    </row>
    <row r="265" spans="1:22">
      <c r="A265">
        <v>264</v>
      </c>
      <c r="B265" t="s">
        <v>644</v>
      </c>
      <c r="C265" t="s">
        <v>645</v>
      </c>
      <c r="D265" t="s">
        <v>17</v>
      </c>
      <c r="E265" t="s">
        <v>8</v>
      </c>
      <c r="F265" s="22">
        <v>0</v>
      </c>
      <c r="G265" s="22">
        <v>0</v>
      </c>
      <c r="H265" s="22">
        <v>0</v>
      </c>
      <c r="I265" s="22">
        <v>0</v>
      </c>
      <c r="J265">
        <v>0</v>
      </c>
      <c r="K265">
        <v>0</v>
      </c>
      <c r="L265" s="22">
        <v>0</v>
      </c>
      <c r="M265" s="22">
        <v>0</v>
      </c>
      <c r="N265" s="22">
        <v>0</v>
      </c>
      <c r="O265" s="22">
        <v>0</v>
      </c>
      <c r="P265" s="22">
        <v>0</v>
      </c>
      <c r="Q265" s="22">
        <v>0</v>
      </c>
      <c r="R265">
        <v>0</v>
      </c>
      <c r="T265" t="s">
        <v>3050</v>
      </c>
      <c r="U265" t="s">
        <v>3055</v>
      </c>
      <c r="V265" t="s">
        <v>3061</v>
      </c>
    </row>
    <row r="266" spans="1:22">
      <c r="A266">
        <v>265</v>
      </c>
      <c r="B266" t="s">
        <v>646</v>
      </c>
      <c r="C266" t="s">
        <v>647</v>
      </c>
      <c r="D266" t="s">
        <v>7</v>
      </c>
      <c r="E266" t="s">
        <v>8</v>
      </c>
      <c r="F266" s="22">
        <v>19688.349999999999</v>
      </c>
      <c r="G266" s="22">
        <v>0</v>
      </c>
      <c r="H266" s="22">
        <v>3763</v>
      </c>
      <c r="I266" s="22">
        <v>15925.35</v>
      </c>
      <c r="J266">
        <v>2309.3200000000002</v>
      </c>
      <c r="K266">
        <v>0</v>
      </c>
      <c r="L266" s="22">
        <v>13616.03</v>
      </c>
      <c r="M266" s="22">
        <v>0</v>
      </c>
      <c r="N266" s="22">
        <v>0</v>
      </c>
      <c r="O266" s="22">
        <v>13616.03</v>
      </c>
      <c r="P266" s="22">
        <v>8000</v>
      </c>
      <c r="Q266" s="22">
        <v>5616.0300000000007</v>
      </c>
      <c r="R266">
        <v>0</v>
      </c>
      <c r="T266" t="s">
        <v>2965</v>
      </c>
      <c r="U266" t="s">
        <v>3055</v>
      </c>
      <c r="V266" t="s">
        <v>3056</v>
      </c>
    </row>
    <row r="267" spans="1:22">
      <c r="A267">
        <v>266</v>
      </c>
      <c r="B267" t="s">
        <v>648</v>
      </c>
      <c r="C267" t="s">
        <v>649</v>
      </c>
      <c r="D267" t="s">
        <v>7</v>
      </c>
      <c r="E267" t="s">
        <v>8</v>
      </c>
      <c r="F267" s="22">
        <v>1781.1</v>
      </c>
      <c r="G267" s="22">
        <v>0</v>
      </c>
      <c r="H267" s="22">
        <v>0</v>
      </c>
      <c r="I267" s="22">
        <v>1781.1</v>
      </c>
      <c r="J267">
        <v>0</v>
      </c>
      <c r="K267">
        <v>0</v>
      </c>
      <c r="L267" s="22">
        <v>1781.1</v>
      </c>
      <c r="M267" s="22">
        <v>0</v>
      </c>
      <c r="N267" s="22">
        <v>0</v>
      </c>
      <c r="O267" s="22">
        <v>1781.1</v>
      </c>
      <c r="P267" s="22">
        <v>500</v>
      </c>
      <c r="Q267" s="22">
        <v>1281.0999999999999</v>
      </c>
      <c r="R267">
        <v>0</v>
      </c>
      <c r="T267" t="s">
        <v>2965</v>
      </c>
      <c r="U267" t="s">
        <v>3055</v>
      </c>
      <c r="V267" t="s">
        <v>3056</v>
      </c>
    </row>
    <row r="268" spans="1:22">
      <c r="A268">
        <v>267</v>
      </c>
      <c r="B268" t="s">
        <v>650</v>
      </c>
      <c r="C268" t="s">
        <v>651</v>
      </c>
      <c r="D268" t="s">
        <v>7</v>
      </c>
      <c r="E268" t="s">
        <v>8</v>
      </c>
      <c r="F268" s="22">
        <v>2994.27</v>
      </c>
      <c r="G268" s="22">
        <v>0</v>
      </c>
      <c r="H268" s="22">
        <v>468</v>
      </c>
      <c r="I268" s="22">
        <v>2526.27</v>
      </c>
      <c r="J268">
        <v>0</v>
      </c>
      <c r="K268">
        <v>0</v>
      </c>
      <c r="L268" s="22">
        <v>2526.27</v>
      </c>
      <c r="M268" s="22">
        <v>0</v>
      </c>
      <c r="N268" s="22">
        <v>0</v>
      </c>
      <c r="O268" s="22">
        <v>2526.27</v>
      </c>
      <c r="P268" s="22">
        <v>500</v>
      </c>
      <c r="Q268" s="22">
        <v>2026.27</v>
      </c>
      <c r="R268">
        <v>0</v>
      </c>
      <c r="T268" t="s">
        <v>2965</v>
      </c>
      <c r="U268" t="s">
        <v>3055</v>
      </c>
      <c r="V268" t="s">
        <v>3056</v>
      </c>
    </row>
    <row r="269" spans="1:22">
      <c r="A269">
        <v>268</v>
      </c>
      <c r="B269" t="s">
        <v>652</v>
      </c>
      <c r="C269" t="s">
        <v>653</v>
      </c>
      <c r="D269" t="s">
        <v>7</v>
      </c>
      <c r="E269" t="s">
        <v>8</v>
      </c>
      <c r="F269" s="22">
        <v>2257.3000000000002</v>
      </c>
      <c r="G269" s="22">
        <v>0</v>
      </c>
      <c r="H269" s="22">
        <v>40.700000000000003</v>
      </c>
      <c r="I269" s="22">
        <v>2216.6</v>
      </c>
      <c r="J269">
        <v>0</v>
      </c>
      <c r="K269">
        <v>0</v>
      </c>
      <c r="L269" s="22">
        <v>2216.6</v>
      </c>
      <c r="M269" s="22">
        <v>0</v>
      </c>
      <c r="N269" s="22">
        <v>0</v>
      </c>
      <c r="O269" s="22">
        <v>2216.6</v>
      </c>
      <c r="P269" s="22">
        <v>500</v>
      </c>
      <c r="Q269" s="22">
        <v>1716.6</v>
      </c>
      <c r="R269">
        <v>0</v>
      </c>
      <c r="T269" t="s">
        <v>2965</v>
      </c>
      <c r="U269" t="s">
        <v>3055</v>
      </c>
      <c r="V269" t="s">
        <v>3056</v>
      </c>
    </row>
    <row r="270" spans="1:22">
      <c r="A270">
        <v>269</v>
      </c>
      <c r="B270" t="s">
        <v>654</v>
      </c>
      <c r="C270" t="s">
        <v>655</v>
      </c>
      <c r="D270" t="s">
        <v>7</v>
      </c>
      <c r="E270" t="s">
        <v>8</v>
      </c>
      <c r="F270" s="22">
        <v>949.6</v>
      </c>
      <c r="G270" s="22">
        <v>941</v>
      </c>
      <c r="H270" s="22">
        <v>678</v>
      </c>
      <c r="I270" s="22">
        <v>1212.5999999999999</v>
      </c>
      <c r="J270">
        <v>0</v>
      </c>
      <c r="K270">
        <v>0</v>
      </c>
      <c r="L270" s="22">
        <v>1212.5999999999999</v>
      </c>
      <c r="M270" s="22">
        <v>0</v>
      </c>
      <c r="N270" s="22">
        <v>0</v>
      </c>
      <c r="O270" s="22">
        <v>1212.5999999999999</v>
      </c>
      <c r="P270" s="22">
        <v>500</v>
      </c>
      <c r="Q270" s="22">
        <v>712.59999999999991</v>
      </c>
      <c r="R270">
        <v>1000</v>
      </c>
      <c r="T270" t="s">
        <v>2965</v>
      </c>
      <c r="U270" t="s">
        <v>3055</v>
      </c>
      <c r="V270" t="s">
        <v>3056</v>
      </c>
    </row>
    <row r="271" spans="1:22">
      <c r="A271">
        <v>270</v>
      </c>
      <c r="B271" t="s">
        <v>656</v>
      </c>
      <c r="C271" t="s">
        <v>657</v>
      </c>
      <c r="D271" t="s">
        <v>7</v>
      </c>
      <c r="E271" t="s">
        <v>8</v>
      </c>
      <c r="F271" s="22">
        <v>280</v>
      </c>
      <c r="G271" s="22">
        <v>0</v>
      </c>
      <c r="H271" s="22">
        <v>51.5</v>
      </c>
      <c r="I271" s="22">
        <v>228.5</v>
      </c>
      <c r="J271">
        <v>0</v>
      </c>
      <c r="K271">
        <v>0</v>
      </c>
      <c r="L271" s="22">
        <v>228.5</v>
      </c>
      <c r="M271" s="22">
        <v>0</v>
      </c>
      <c r="N271" s="22">
        <v>0</v>
      </c>
      <c r="O271" s="22">
        <v>228.5</v>
      </c>
      <c r="P271" s="22">
        <v>100</v>
      </c>
      <c r="Q271" s="22">
        <v>128.5</v>
      </c>
      <c r="R271">
        <v>300</v>
      </c>
      <c r="T271" t="s">
        <v>2965</v>
      </c>
      <c r="U271" t="s">
        <v>3055</v>
      </c>
      <c r="V271" t="s">
        <v>3056</v>
      </c>
    </row>
    <row r="272" spans="1:22">
      <c r="A272">
        <v>271</v>
      </c>
      <c r="B272" t="s">
        <v>660</v>
      </c>
      <c r="C272" t="s">
        <v>661</v>
      </c>
      <c r="D272" t="s">
        <v>7</v>
      </c>
      <c r="E272" t="s">
        <v>8</v>
      </c>
      <c r="F272" s="22">
        <v>230</v>
      </c>
      <c r="G272" s="22">
        <v>0</v>
      </c>
      <c r="H272" s="22">
        <v>0</v>
      </c>
      <c r="I272" s="22">
        <v>230</v>
      </c>
      <c r="J272">
        <v>0</v>
      </c>
      <c r="K272">
        <v>0</v>
      </c>
      <c r="L272" s="22">
        <v>230</v>
      </c>
      <c r="M272" s="22">
        <v>0</v>
      </c>
      <c r="N272" s="22">
        <v>0</v>
      </c>
      <c r="O272" s="22">
        <v>230</v>
      </c>
      <c r="P272" s="22">
        <v>0</v>
      </c>
      <c r="Q272" s="22">
        <v>230</v>
      </c>
      <c r="R272">
        <v>0</v>
      </c>
      <c r="T272" t="s">
        <v>2965</v>
      </c>
      <c r="U272" t="s">
        <v>3055</v>
      </c>
      <c r="V272" t="s">
        <v>3056</v>
      </c>
    </row>
    <row r="273" spans="1:22">
      <c r="A273">
        <v>272</v>
      </c>
      <c r="B273" t="s">
        <v>662</v>
      </c>
      <c r="C273" t="s">
        <v>663</v>
      </c>
      <c r="D273" t="s">
        <v>7</v>
      </c>
      <c r="E273" t="s">
        <v>8</v>
      </c>
      <c r="F273" s="22">
        <v>897.1</v>
      </c>
      <c r="G273" s="22">
        <v>0</v>
      </c>
      <c r="H273" s="22">
        <v>0</v>
      </c>
      <c r="I273" s="22">
        <v>897.1</v>
      </c>
      <c r="J273">
        <v>0</v>
      </c>
      <c r="K273">
        <v>0</v>
      </c>
      <c r="L273" s="22">
        <v>897.1</v>
      </c>
      <c r="M273" s="22">
        <v>0</v>
      </c>
      <c r="N273" s="22">
        <v>0</v>
      </c>
      <c r="O273" s="22">
        <v>897.1</v>
      </c>
      <c r="P273" s="22">
        <v>0</v>
      </c>
      <c r="Q273" s="22">
        <v>897.1</v>
      </c>
      <c r="R273">
        <v>0</v>
      </c>
      <c r="T273" t="s">
        <v>2965</v>
      </c>
      <c r="U273" t="s">
        <v>3055</v>
      </c>
      <c r="V273" t="s">
        <v>3056</v>
      </c>
    </row>
    <row r="274" spans="1:22">
      <c r="A274">
        <v>273</v>
      </c>
      <c r="B274" t="s">
        <v>664</v>
      </c>
      <c r="C274" t="s">
        <v>665</v>
      </c>
      <c r="D274" t="s">
        <v>7</v>
      </c>
      <c r="E274" t="s">
        <v>8</v>
      </c>
      <c r="F274" s="22">
        <v>402</v>
      </c>
      <c r="G274" s="22">
        <v>0</v>
      </c>
      <c r="H274" s="22">
        <v>0</v>
      </c>
      <c r="I274" s="22">
        <v>402</v>
      </c>
      <c r="J274">
        <v>0</v>
      </c>
      <c r="K274">
        <v>0</v>
      </c>
      <c r="L274" s="22">
        <v>402</v>
      </c>
      <c r="M274" s="22">
        <v>0</v>
      </c>
      <c r="N274" s="22">
        <v>0</v>
      </c>
      <c r="O274" s="22">
        <v>402</v>
      </c>
      <c r="P274" s="22">
        <v>0</v>
      </c>
      <c r="Q274" s="22">
        <v>402</v>
      </c>
      <c r="R274">
        <v>0</v>
      </c>
      <c r="T274" t="s">
        <v>2965</v>
      </c>
      <c r="U274" t="s">
        <v>3055</v>
      </c>
      <c r="V274" t="s">
        <v>3056</v>
      </c>
    </row>
    <row r="275" spans="1:22">
      <c r="A275">
        <v>274</v>
      </c>
      <c r="B275" t="s">
        <v>666</v>
      </c>
      <c r="C275" t="s">
        <v>667</v>
      </c>
      <c r="D275" t="s">
        <v>7</v>
      </c>
      <c r="E275" t="s">
        <v>8</v>
      </c>
      <c r="F275" s="22">
        <v>177.1</v>
      </c>
      <c r="G275" s="22">
        <v>0</v>
      </c>
      <c r="H275" s="22">
        <v>0</v>
      </c>
      <c r="I275" s="22">
        <v>177.1</v>
      </c>
      <c r="J275">
        <v>0</v>
      </c>
      <c r="K275">
        <v>0</v>
      </c>
      <c r="L275" s="22">
        <v>177.1</v>
      </c>
      <c r="M275" s="22">
        <v>0</v>
      </c>
      <c r="N275" s="22">
        <v>0</v>
      </c>
      <c r="O275" s="22">
        <v>177.1</v>
      </c>
      <c r="P275" s="22">
        <v>0</v>
      </c>
      <c r="Q275" s="22">
        <v>177.1</v>
      </c>
      <c r="R275">
        <v>0</v>
      </c>
      <c r="T275" t="s">
        <v>2965</v>
      </c>
      <c r="U275" t="s">
        <v>3055</v>
      </c>
      <c r="V275" t="s">
        <v>3056</v>
      </c>
    </row>
    <row r="276" spans="1:22">
      <c r="A276">
        <v>275</v>
      </c>
      <c r="B276" t="s">
        <v>668</v>
      </c>
      <c r="C276" t="s">
        <v>669</v>
      </c>
      <c r="D276" t="s">
        <v>7</v>
      </c>
      <c r="E276" t="s">
        <v>8</v>
      </c>
      <c r="F276" s="22">
        <v>70</v>
      </c>
      <c r="G276" s="22">
        <v>0</v>
      </c>
      <c r="H276" s="22">
        <v>0</v>
      </c>
      <c r="I276" s="22">
        <v>70</v>
      </c>
      <c r="J276">
        <v>0</v>
      </c>
      <c r="K276">
        <v>0</v>
      </c>
      <c r="L276" s="22">
        <v>70</v>
      </c>
      <c r="M276" s="22">
        <v>0</v>
      </c>
      <c r="N276" s="22">
        <v>0</v>
      </c>
      <c r="O276" s="22">
        <v>70</v>
      </c>
      <c r="P276" s="22">
        <v>120</v>
      </c>
      <c r="Q276" s="22">
        <v>-50</v>
      </c>
      <c r="R276">
        <v>0</v>
      </c>
      <c r="T276" t="s">
        <v>2965</v>
      </c>
      <c r="U276" t="s">
        <v>3055</v>
      </c>
      <c r="V276" t="s">
        <v>3056</v>
      </c>
    </row>
    <row r="277" spans="1:22">
      <c r="A277">
        <v>276</v>
      </c>
      <c r="B277" t="s">
        <v>670</v>
      </c>
      <c r="C277" t="s">
        <v>671</v>
      </c>
      <c r="D277" t="s">
        <v>7</v>
      </c>
      <c r="E277" t="s">
        <v>8</v>
      </c>
      <c r="F277" s="22">
        <v>285.3</v>
      </c>
      <c r="G277" s="22">
        <v>0</v>
      </c>
      <c r="H277" s="22">
        <v>0</v>
      </c>
      <c r="I277" s="22">
        <v>285.3</v>
      </c>
      <c r="J277">
        <v>0</v>
      </c>
      <c r="K277">
        <v>0</v>
      </c>
      <c r="L277" s="22">
        <v>285.3</v>
      </c>
      <c r="M277" s="22">
        <v>0</v>
      </c>
      <c r="N277" s="22">
        <v>0</v>
      </c>
      <c r="O277" s="22">
        <v>285.3</v>
      </c>
      <c r="P277" s="22">
        <v>200</v>
      </c>
      <c r="Q277" s="22">
        <v>85.300000000000011</v>
      </c>
      <c r="R277">
        <v>0</v>
      </c>
      <c r="T277" t="s">
        <v>2965</v>
      </c>
      <c r="U277" t="s">
        <v>3055</v>
      </c>
      <c r="V277" t="s">
        <v>3056</v>
      </c>
    </row>
    <row r="278" spans="1:22">
      <c r="A278">
        <v>277</v>
      </c>
      <c r="B278" t="s">
        <v>672</v>
      </c>
      <c r="C278" t="s">
        <v>673</v>
      </c>
      <c r="D278" t="s">
        <v>7</v>
      </c>
      <c r="E278" t="s">
        <v>8</v>
      </c>
      <c r="F278" s="22">
        <v>0</v>
      </c>
      <c r="G278" s="22">
        <v>0</v>
      </c>
      <c r="H278" s="22">
        <v>0</v>
      </c>
      <c r="I278" s="22">
        <v>0</v>
      </c>
      <c r="J278">
        <v>0</v>
      </c>
      <c r="K278">
        <v>0</v>
      </c>
      <c r="L278" s="22">
        <v>0</v>
      </c>
      <c r="M278" s="22">
        <v>0</v>
      </c>
      <c r="N278" s="22">
        <v>0</v>
      </c>
      <c r="O278" s="22">
        <v>0</v>
      </c>
      <c r="P278" s="22">
        <v>0</v>
      </c>
      <c r="Q278" s="22">
        <v>0</v>
      </c>
      <c r="R278">
        <v>0</v>
      </c>
      <c r="T278" t="s">
        <v>2965</v>
      </c>
      <c r="U278" t="s">
        <v>3055</v>
      </c>
      <c r="V278" t="s">
        <v>3056</v>
      </c>
    </row>
    <row r="279" spans="1:22">
      <c r="A279">
        <v>278</v>
      </c>
      <c r="B279" t="s">
        <v>674</v>
      </c>
      <c r="C279" t="s">
        <v>675</v>
      </c>
      <c r="D279" t="s">
        <v>7</v>
      </c>
      <c r="E279" t="s">
        <v>8</v>
      </c>
      <c r="F279" s="22">
        <v>158.69999999999999</v>
      </c>
      <c r="G279" s="22">
        <v>0</v>
      </c>
      <c r="H279" s="22">
        <v>45.6</v>
      </c>
      <c r="I279" s="22">
        <v>113.1</v>
      </c>
      <c r="J279">
        <v>0</v>
      </c>
      <c r="K279">
        <v>0</v>
      </c>
      <c r="L279" s="22">
        <v>113.1</v>
      </c>
      <c r="M279" s="22">
        <v>0</v>
      </c>
      <c r="N279" s="22">
        <v>0</v>
      </c>
      <c r="O279" s="22">
        <v>113.1</v>
      </c>
      <c r="P279" s="22">
        <v>0</v>
      </c>
      <c r="Q279" s="22">
        <v>113.1</v>
      </c>
      <c r="R279">
        <v>0</v>
      </c>
      <c r="T279" t="s">
        <v>2965</v>
      </c>
      <c r="U279" t="s">
        <v>3055</v>
      </c>
      <c r="V279" t="s">
        <v>3056</v>
      </c>
    </row>
    <row r="280" spans="1:22">
      <c r="A280">
        <v>279</v>
      </c>
      <c r="B280" t="s">
        <v>680</v>
      </c>
      <c r="C280" t="s">
        <v>681</v>
      </c>
      <c r="D280" t="s">
        <v>7</v>
      </c>
      <c r="E280" t="s">
        <v>8</v>
      </c>
      <c r="F280" s="22">
        <v>936.5</v>
      </c>
      <c r="G280" s="22">
        <v>0</v>
      </c>
      <c r="H280" s="22">
        <v>0</v>
      </c>
      <c r="I280" s="22">
        <v>936.5</v>
      </c>
      <c r="J280">
        <v>0</v>
      </c>
      <c r="K280">
        <v>0</v>
      </c>
      <c r="L280" s="22">
        <v>936.5</v>
      </c>
      <c r="M280" s="22">
        <v>0</v>
      </c>
      <c r="N280" s="22">
        <v>0</v>
      </c>
      <c r="O280" s="22">
        <v>936.5</v>
      </c>
      <c r="P280" s="22">
        <v>300</v>
      </c>
      <c r="Q280" s="22">
        <v>636.5</v>
      </c>
      <c r="R280">
        <v>0</v>
      </c>
      <c r="T280" t="s">
        <v>2965</v>
      </c>
      <c r="U280" t="s">
        <v>3055</v>
      </c>
      <c r="V280" t="s">
        <v>3058</v>
      </c>
    </row>
    <row r="281" spans="1:22">
      <c r="A281">
        <v>280</v>
      </c>
      <c r="B281" t="s">
        <v>682</v>
      </c>
      <c r="C281" t="s">
        <v>683</v>
      </c>
      <c r="D281" t="s">
        <v>7</v>
      </c>
      <c r="E281" t="s">
        <v>8</v>
      </c>
      <c r="F281" s="22">
        <v>597.5</v>
      </c>
      <c r="G281" s="22">
        <v>0</v>
      </c>
      <c r="H281" s="22">
        <v>0</v>
      </c>
      <c r="I281" s="22">
        <v>597.5</v>
      </c>
      <c r="J281">
        <v>0</v>
      </c>
      <c r="K281">
        <v>0</v>
      </c>
      <c r="L281" s="22">
        <v>597.5</v>
      </c>
      <c r="M281" s="22">
        <v>0</v>
      </c>
      <c r="N281" s="22">
        <v>0</v>
      </c>
      <c r="O281" s="22">
        <v>597.5</v>
      </c>
      <c r="P281" s="22">
        <v>300</v>
      </c>
      <c r="Q281" s="22">
        <v>297.5</v>
      </c>
      <c r="R281">
        <v>0</v>
      </c>
      <c r="T281" t="s">
        <v>2965</v>
      </c>
      <c r="U281" t="s">
        <v>3055</v>
      </c>
      <c r="V281" t="s">
        <v>3058</v>
      </c>
    </row>
    <row r="282" spans="1:22">
      <c r="A282">
        <v>281</v>
      </c>
      <c r="B282" t="s">
        <v>684</v>
      </c>
      <c r="C282" t="s">
        <v>685</v>
      </c>
      <c r="D282" t="s">
        <v>7</v>
      </c>
      <c r="E282" t="s">
        <v>8</v>
      </c>
      <c r="F282" s="22">
        <v>0</v>
      </c>
      <c r="G282" s="22">
        <v>0</v>
      </c>
      <c r="H282" s="22">
        <v>0</v>
      </c>
      <c r="I282" s="22">
        <v>0</v>
      </c>
      <c r="J282">
        <v>0</v>
      </c>
      <c r="K282">
        <v>0</v>
      </c>
      <c r="L282" s="22">
        <v>0</v>
      </c>
      <c r="M282" s="22">
        <v>0</v>
      </c>
      <c r="N282" s="22">
        <v>0</v>
      </c>
      <c r="O282" s="22">
        <v>0</v>
      </c>
      <c r="P282" s="22">
        <v>0</v>
      </c>
      <c r="Q282" s="22">
        <v>0</v>
      </c>
      <c r="R282">
        <v>0</v>
      </c>
      <c r="T282" t="s">
        <v>2965</v>
      </c>
      <c r="U282" t="s">
        <v>3055</v>
      </c>
      <c r="V282" t="s">
        <v>3058</v>
      </c>
    </row>
    <row r="283" spans="1:22">
      <c r="A283">
        <v>282</v>
      </c>
      <c r="B283" t="s">
        <v>688</v>
      </c>
      <c r="C283" t="s">
        <v>689</v>
      </c>
      <c r="D283" t="s">
        <v>7</v>
      </c>
      <c r="E283" t="s">
        <v>8</v>
      </c>
      <c r="F283" s="22">
        <v>0</v>
      </c>
      <c r="G283" s="22">
        <v>0</v>
      </c>
      <c r="H283" s="22">
        <v>0</v>
      </c>
      <c r="I283" s="22">
        <v>0</v>
      </c>
      <c r="J283">
        <v>0</v>
      </c>
      <c r="K283">
        <v>0</v>
      </c>
      <c r="L283" s="22">
        <v>0</v>
      </c>
      <c r="M283" s="22">
        <v>0</v>
      </c>
      <c r="N283" s="22">
        <v>0</v>
      </c>
      <c r="O283" s="22">
        <v>0</v>
      </c>
      <c r="P283" s="22">
        <v>0</v>
      </c>
      <c r="Q283" s="22">
        <v>0</v>
      </c>
      <c r="R283">
        <v>0</v>
      </c>
      <c r="T283" t="s">
        <v>2965</v>
      </c>
      <c r="U283" t="s">
        <v>3055</v>
      </c>
      <c r="V283" t="s">
        <v>3058</v>
      </c>
    </row>
    <row r="284" spans="1:22">
      <c r="A284">
        <v>283</v>
      </c>
      <c r="B284" t="s">
        <v>690</v>
      </c>
      <c r="C284" t="s">
        <v>691</v>
      </c>
      <c r="D284" t="s">
        <v>7</v>
      </c>
      <c r="E284" t="s">
        <v>8</v>
      </c>
      <c r="F284" s="22">
        <v>0</v>
      </c>
      <c r="G284" s="22">
        <v>0</v>
      </c>
      <c r="H284" s="22">
        <v>0</v>
      </c>
      <c r="I284" s="22">
        <v>0</v>
      </c>
      <c r="J284">
        <v>0</v>
      </c>
      <c r="K284">
        <v>0</v>
      </c>
      <c r="L284" s="22">
        <v>0</v>
      </c>
      <c r="M284" s="22">
        <v>0</v>
      </c>
      <c r="N284" s="22">
        <v>0</v>
      </c>
      <c r="O284" s="22">
        <v>0</v>
      </c>
      <c r="P284" s="22">
        <v>0</v>
      </c>
      <c r="Q284" s="22">
        <v>0</v>
      </c>
      <c r="R284">
        <v>0</v>
      </c>
      <c r="T284" t="s">
        <v>2965</v>
      </c>
      <c r="U284" t="s">
        <v>3055</v>
      </c>
      <c r="V284" t="s">
        <v>3056</v>
      </c>
    </row>
    <row r="285" spans="1:22">
      <c r="A285">
        <v>284</v>
      </c>
      <c r="B285" t="s">
        <v>692</v>
      </c>
      <c r="C285" t="s">
        <v>693</v>
      </c>
      <c r="D285" t="s">
        <v>7</v>
      </c>
      <c r="E285" t="s">
        <v>8</v>
      </c>
      <c r="F285" s="22">
        <v>0</v>
      </c>
      <c r="G285" s="22">
        <v>0</v>
      </c>
      <c r="H285" s="22">
        <v>0</v>
      </c>
      <c r="I285" s="22">
        <v>0</v>
      </c>
      <c r="J285">
        <v>0</v>
      </c>
      <c r="K285">
        <v>0</v>
      </c>
      <c r="L285" s="22">
        <v>0</v>
      </c>
      <c r="M285" s="22">
        <v>0</v>
      </c>
      <c r="N285" s="22">
        <v>0</v>
      </c>
      <c r="O285" s="22">
        <v>0</v>
      </c>
      <c r="P285" s="22">
        <v>0</v>
      </c>
      <c r="Q285" s="22">
        <v>0</v>
      </c>
      <c r="R285">
        <v>0</v>
      </c>
      <c r="T285" t="s">
        <v>2965</v>
      </c>
      <c r="U285" t="s">
        <v>3055</v>
      </c>
      <c r="V285" t="s">
        <v>3056</v>
      </c>
    </row>
    <row r="286" spans="1:22">
      <c r="A286">
        <v>285</v>
      </c>
      <c r="B286" t="s">
        <v>694</v>
      </c>
      <c r="C286" t="s">
        <v>695</v>
      </c>
      <c r="D286" t="s">
        <v>7</v>
      </c>
      <c r="E286" t="s">
        <v>8</v>
      </c>
      <c r="F286" s="22">
        <v>501</v>
      </c>
      <c r="G286" s="22">
        <v>0</v>
      </c>
      <c r="H286" s="22">
        <v>0</v>
      </c>
      <c r="I286" s="22">
        <v>501</v>
      </c>
      <c r="J286">
        <v>0</v>
      </c>
      <c r="K286">
        <v>0</v>
      </c>
      <c r="L286" s="22">
        <v>501</v>
      </c>
      <c r="M286" s="22">
        <v>0</v>
      </c>
      <c r="N286" s="22">
        <v>0</v>
      </c>
      <c r="O286" s="22">
        <v>501</v>
      </c>
      <c r="P286" s="22">
        <v>0</v>
      </c>
      <c r="Q286" s="22">
        <v>501</v>
      </c>
      <c r="R286">
        <v>0</v>
      </c>
      <c r="T286" t="s">
        <v>2965</v>
      </c>
      <c r="U286" t="s">
        <v>3055</v>
      </c>
      <c r="V286" t="s">
        <v>3056</v>
      </c>
    </row>
    <row r="287" spans="1:22">
      <c r="A287">
        <v>286</v>
      </c>
      <c r="B287" t="s">
        <v>696</v>
      </c>
      <c r="C287" t="s">
        <v>697</v>
      </c>
      <c r="D287" t="s">
        <v>7</v>
      </c>
      <c r="E287" t="s">
        <v>8</v>
      </c>
      <c r="F287" s="22">
        <v>0</v>
      </c>
      <c r="G287" s="22">
        <v>0</v>
      </c>
      <c r="H287" s="22">
        <v>0</v>
      </c>
      <c r="I287" s="22">
        <v>0</v>
      </c>
      <c r="J287">
        <v>0</v>
      </c>
      <c r="K287">
        <v>0</v>
      </c>
      <c r="L287" s="22">
        <v>0</v>
      </c>
      <c r="M287" s="22">
        <v>0</v>
      </c>
      <c r="N287" s="22">
        <v>0</v>
      </c>
      <c r="O287" s="22">
        <v>0</v>
      </c>
      <c r="P287" s="22">
        <v>0</v>
      </c>
      <c r="Q287" s="22">
        <v>0</v>
      </c>
      <c r="R287">
        <v>0</v>
      </c>
      <c r="T287" t="s">
        <v>2965</v>
      </c>
      <c r="U287" t="s">
        <v>3055</v>
      </c>
      <c r="V287" t="s">
        <v>3056</v>
      </c>
    </row>
    <row r="288" spans="1:22">
      <c r="A288">
        <v>287</v>
      </c>
      <c r="B288" t="s">
        <v>698</v>
      </c>
      <c r="C288" t="s">
        <v>699</v>
      </c>
      <c r="D288" t="s">
        <v>7</v>
      </c>
      <c r="E288" t="s">
        <v>8</v>
      </c>
      <c r="F288" s="22">
        <v>0</v>
      </c>
      <c r="G288" s="22">
        <v>0</v>
      </c>
      <c r="H288" s="22">
        <v>0</v>
      </c>
      <c r="I288" s="22">
        <v>0</v>
      </c>
      <c r="J288">
        <v>0</v>
      </c>
      <c r="K288">
        <v>0</v>
      </c>
      <c r="L288" s="22">
        <v>0</v>
      </c>
      <c r="M288" s="22">
        <v>0</v>
      </c>
      <c r="N288" s="22">
        <v>0</v>
      </c>
      <c r="O288" s="22">
        <v>0</v>
      </c>
      <c r="P288" s="22">
        <v>0</v>
      </c>
      <c r="Q288" s="22">
        <v>0</v>
      </c>
      <c r="R288">
        <v>0</v>
      </c>
      <c r="T288" t="s">
        <v>2965</v>
      </c>
      <c r="U288" t="s">
        <v>3055</v>
      </c>
      <c r="V288" t="s">
        <v>3056</v>
      </c>
    </row>
    <row r="289" spans="1:22">
      <c r="A289">
        <v>288</v>
      </c>
      <c r="B289" t="s">
        <v>700</v>
      </c>
      <c r="C289" t="s">
        <v>701</v>
      </c>
      <c r="D289" t="s">
        <v>7</v>
      </c>
      <c r="E289" t="s">
        <v>8</v>
      </c>
      <c r="F289" s="22">
        <v>0</v>
      </c>
      <c r="G289" s="22">
        <v>0</v>
      </c>
      <c r="H289" s="22">
        <v>0</v>
      </c>
      <c r="I289" s="22">
        <v>0</v>
      </c>
      <c r="J289">
        <v>0</v>
      </c>
      <c r="K289">
        <v>0</v>
      </c>
      <c r="L289" s="22">
        <v>0</v>
      </c>
      <c r="M289" s="22">
        <v>0</v>
      </c>
      <c r="N289" s="22">
        <v>0</v>
      </c>
      <c r="O289" s="22">
        <v>0</v>
      </c>
      <c r="P289" s="22">
        <v>0</v>
      </c>
      <c r="Q289" s="22">
        <v>0</v>
      </c>
      <c r="R289">
        <v>0</v>
      </c>
      <c r="T289" t="s">
        <v>2965</v>
      </c>
      <c r="U289" t="s">
        <v>3055</v>
      </c>
      <c r="V289" t="s">
        <v>3056</v>
      </c>
    </row>
    <row r="290" spans="1:22">
      <c r="A290">
        <v>289</v>
      </c>
      <c r="B290" t="s">
        <v>702</v>
      </c>
      <c r="C290" t="s">
        <v>703</v>
      </c>
      <c r="D290" t="s">
        <v>7</v>
      </c>
      <c r="E290" t="s">
        <v>8</v>
      </c>
      <c r="F290" s="22">
        <v>0</v>
      </c>
      <c r="G290" s="22">
        <v>0</v>
      </c>
      <c r="H290" s="22">
        <v>0</v>
      </c>
      <c r="I290" s="22">
        <v>0</v>
      </c>
      <c r="J290">
        <v>0</v>
      </c>
      <c r="K290">
        <v>0</v>
      </c>
      <c r="L290" s="22">
        <v>0</v>
      </c>
      <c r="M290" s="22">
        <v>0</v>
      </c>
      <c r="N290" s="22">
        <v>0</v>
      </c>
      <c r="O290" s="22">
        <v>0</v>
      </c>
      <c r="P290" s="22">
        <v>0</v>
      </c>
      <c r="Q290" s="22">
        <v>0</v>
      </c>
      <c r="R290">
        <v>0</v>
      </c>
      <c r="T290" t="s">
        <v>2965</v>
      </c>
      <c r="U290" t="s">
        <v>3055</v>
      </c>
      <c r="V290" t="s">
        <v>3056</v>
      </c>
    </row>
    <row r="291" spans="1:22">
      <c r="A291">
        <v>290</v>
      </c>
      <c r="B291" t="s">
        <v>704</v>
      </c>
      <c r="C291" t="s">
        <v>705</v>
      </c>
      <c r="D291" t="s">
        <v>7</v>
      </c>
      <c r="E291" t="s">
        <v>8</v>
      </c>
      <c r="F291" s="22">
        <v>0</v>
      </c>
      <c r="G291" s="22">
        <v>0</v>
      </c>
      <c r="H291" s="22">
        <v>0</v>
      </c>
      <c r="I291" s="22">
        <v>0</v>
      </c>
      <c r="J291">
        <v>0</v>
      </c>
      <c r="K291">
        <v>0</v>
      </c>
      <c r="L291" s="22">
        <v>0</v>
      </c>
      <c r="M291" s="22">
        <v>0</v>
      </c>
      <c r="N291" s="22">
        <v>0</v>
      </c>
      <c r="O291" s="22">
        <v>0</v>
      </c>
      <c r="P291" s="22">
        <v>0</v>
      </c>
      <c r="Q291" s="22">
        <v>0</v>
      </c>
      <c r="R291">
        <v>0</v>
      </c>
      <c r="T291" t="s">
        <v>2965</v>
      </c>
      <c r="U291" t="s">
        <v>3055</v>
      </c>
      <c r="V291" t="s">
        <v>3056</v>
      </c>
    </row>
    <row r="292" spans="1:22">
      <c r="A292">
        <v>291</v>
      </c>
      <c r="B292" t="s">
        <v>706</v>
      </c>
      <c r="C292" t="s">
        <v>707</v>
      </c>
      <c r="D292" t="s">
        <v>7</v>
      </c>
      <c r="E292" t="s">
        <v>8</v>
      </c>
      <c r="F292" s="22">
        <v>0</v>
      </c>
      <c r="G292" s="22">
        <v>0</v>
      </c>
      <c r="H292" s="22">
        <v>0</v>
      </c>
      <c r="I292" s="22">
        <v>0</v>
      </c>
      <c r="J292">
        <v>0</v>
      </c>
      <c r="K292">
        <v>0</v>
      </c>
      <c r="L292" s="22">
        <v>0</v>
      </c>
      <c r="M292" s="22">
        <v>0</v>
      </c>
      <c r="N292" s="22">
        <v>0</v>
      </c>
      <c r="O292" s="22">
        <v>0</v>
      </c>
      <c r="P292" s="22">
        <v>0</v>
      </c>
      <c r="Q292" s="22">
        <v>0</v>
      </c>
      <c r="R292">
        <v>0</v>
      </c>
      <c r="T292" t="s">
        <v>2965</v>
      </c>
      <c r="U292" t="s">
        <v>3055</v>
      </c>
      <c r="V292" t="s">
        <v>3056</v>
      </c>
    </row>
    <row r="293" spans="1:22">
      <c r="A293">
        <v>292</v>
      </c>
      <c r="B293" t="s">
        <v>708</v>
      </c>
      <c r="C293" t="s">
        <v>709</v>
      </c>
      <c r="D293" t="s">
        <v>7</v>
      </c>
      <c r="E293" t="s">
        <v>8</v>
      </c>
      <c r="F293" s="22">
        <v>368.9</v>
      </c>
      <c r="G293" s="22">
        <v>0</v>
      </c>
      <c r="H293" s="22">
        <v>0</v>
      </c>
      <c r="I293" s="22">
        <v>368.9</v>
      </c>
      <c r="J293">
        <v>0</v>
      </c>
      <c r="K293">
        <v>0</v>
      </c>
      <c r="L293" s="22">
        <v>368.9</v>
      </c>
      <c r="M293" s="22">
        <v>0</v>
      </c>
      <c r="N293" s="22">
        <v>0</v>
      </c>
      <c r="O293" s="22">
        <v>368.9</v>
      </c>
      <c r="P293" s="22">
        <v>100</v>
      </c>
      <c r="Q293" s="22">
        <v>268.89999999999998</v>
      </c>
      <c r="R293">
        <v>0</v>
      </c>
      <c r="T293" t="s">
        <v>2965</v>
      </c>
      <c r="U293" t="s">
        <v>3055</v>
      </c>
      <c r="V293" t="s">
        <v>3056</v>
      </c>
    </row>
    <row r="294" spans="1:22">
      <c r="A294">
        <v>293</v>
      </c>
      <c r="B294" t="s">
        <v>710</v>
      </c>
      <c r="C294" t="s">
        <v>711</v>
      </c>
      <c r="D294" t="s">
        <v>7</v>
      </c>
      <c r="E294" t="s">
        <v>8</v>
      </c>
      <c r="F294" s="22">
        <v>333.1</v>
      </c>
      <c r="G294" s="22">
        <v>0</v>
      </c>
      <c r="H294" s="22">
        <v>0</v>
      </c>
      <c r="I294" s="22">
        <v>333.1</v>
      </c>
      <c r="J294">
        <v>0</v>
      </c>
      <c r="K294">
        <v>0</v>
      </c>
      <c r="L294" s="22">
        <v>333.1</v>
      </c>
      <c r="M294" s="22">
        <v>0</v>
      </c>
      <c r="N294" s="22">
        <v>0</v>
      </c>
      <c r="O294" s="22">
        <v>333.1</v>
      </c>
      <c r="P294" s="22">
        <v>100</v>
      </c>
      <c r="Q294" s="22">
        <v>233.10000000000002</v>
      </c>
      <c r="R294">
        <v>0</v>
      </c>
      <c r="T294" t="s">
        <v>2965</v>
      </c>
      <c r="U294" t="s">
        <v>3055</v>
      </c>
      <c r="V294" t="s">
        <v>3056</v>
      </c>
    </row>
    <row r="295" spans="1:22">
      <c r="A295">
        <v>294</v>
      </c>
      <c r="B295" t="s">
        <v>712</v>
      </c>
      <c r="C295" t="s">
        <v>713</v>
      </c>
      <c r="D295" t="s">
        <v>7</v>
      </c>
      <c r="E295" t="s">
        <v>8</v>
      </c>
      <c r="F295" s="22">
        <v>42.7</v>
      </c>
      <c r="G295" s="22">
        <v>0</v>
      </c>
      <c r="H295" s="22">
        <v>0</v>
      </c>
      <c r="I295" s="22">
        <v>42.7</v>
      </c>
      <c r="J295">
        <v>0</v>
      </c>
      <c r="K295">
        <v>0</v>
      </c>
      <c r="L295" s="22">
        <v>42.7</v>
      </c>
      <c r="M295" s="22">
        <v>0</v>
      </c>
      <c r="N295" s="22">
        <v>0</v>
      </c>
      <c r="O295" s="22">
        <v>42.7</v>
      </c>
      <c r="P295" s="22">
        <v>0</v>
      </c>
      <c r="Q295" s="22">
        <v>42.7</v>
      </c>
      <c r="R295">
        <v>0</v>
      </c>
      <c r="T295" t="s">
        <v>2965</v>
      </c>
      <c r="U295" t="s">
        <v>3055</v>
      </c>
      <c r="V295" t="s">
        <v>3058</v>
      </c>
    </row>
    <row r="296" spans="1:22">
      <c r="A296">
        <v>295</v>
      </c>
      <c r="B296" t="s">
        <v>714</v>
      </c>
      <c r="C296" t="s">
        <v>715</v>
      </c>
      <c r="D296" t="s">
        <v>7</v>
      </c>
      <c r="E296" t="s">
        <v>8</v>
      </c>
      <c r="F296" s="22">
        <v>313.89999999999998</v>
      </c>
      <c r="G296" s="22">
        <v>0</v>
      </c>
      <c r="H296" s="22">
        <v>0</v>
      </c>
      <c r="I296" s="22">
        <v>313.89999999999998</v>
      </c>
      <c r="J296">
        <v>0</v>
      </c>
      <c r="K296">
        <v>0</v>
      </c>
      <c r="L296" s="22">
        <v>313.89999999999998</v>
      </c>
      <c r="M296" s="22">
        <v>0</v>
      </c>
      <c r="N296" s="22">
        <v>0</v>
      </c>
      <c r="O296" s="22">
        <v>313.89999999999998</v>
      </c>
      <c r="P296" s="22">
        <v>100</v>
      </c>
      <c r="Q296" s="22">
        <v>213.89999999999998</v>
      </c>
      <c r="R296">
        <v>0</v>
      </c>
      <c r="T296" t="s">
        <v>2965</v>
      </c>
      <c r="U296" t="s">
        <v>3055</v>
      </c>
      <c r="V296" t="s">
        <v>3056</v>
      </c>
    </row>
    <row r="297" spans="1:22">
      <c r="A297">
        <v>296</v>
      </c>
      <c r="B297" t="s">
        <v>716</v>
      </c>
      <c r="C297" t="s">
        <v>717</v>
      </c>
      <c r="D297" t="s">
        <v>7</v>
      </c>
      <c r="E297" t="s">
        <v>8</v>
      </c>
      <c r="F297" s="22">
        <v>367.1</v>
      </c>
      <c r="G297" s="22">
        <v>0</v>
      </c>
      <c r="H297" s="22">
        <v>41.8</v>
      </c>
      <c r="I297" s="22">
        <v>325.3</v>
      </c>
      <c r="J297">
        <v>0</v>
      </c>
      <c r="K297">
        <v>0</v>
      </c>
      <c r="L297" s="22">
        <v>325.3</v>
      </c>
      <c r="M297" s="22">
        <v>0</v>
      </c>
      <c r="N297" s="22">
        <v>0</v>
      </c>
      <c r="O297" s="22">
        <v>325.3</v>
      </c>
      <c r="P297" s="22">
        <v>300</v>
      </c>
      <c r="Q297" s="22">
        <v>25.300000000000011</v>
      </c>
      <c r="R297">
        <v>0</v>
      </c>
      <c r="T297" t="s">
        <v>2965</v>
      </c>
      <c r="U297" t="s">
        <v>3055</v>
      </c>
      <c r="V297" t="s">
        <v>3056</v>
      </c>
    </row>
    <row r="298" spans="1:22">
      <c r="A298">
        <v>297</v>
      </c>
      <c r="B298" t="s">
        <v>718</v>
      </c>
      <c r="C298" t="s">
        <v>719</v>
      </c>
      <c r="D298" t="s">
        <v>7</v>
      </c>
      <c r="E298" t="s">
        <v>8</v>
      </c>
      <c r="F298" s="22">
        <v>465.3</v>
      </c>
      <c r="G298" s="22">
        <v>0</v>
      </c>
      <c r="H298" s="22">
        <v>0</v>
      </c>
      <c r="I298" s="22">
        <v>465.3</v>
      </c>
      <c r="J298">
        <v>0</v>
      </c>
      <c r="K298">
        <v>0</v>
      </c>
      <c r="L298" s="22">
        <v>465.3</v>
      </c>
      <c r="M298" s="22">
        <v>0</v>
      </c>
      <c r="N298" s="22">
        <v>0</v>
      </c>
      <c r="O298" s="22">
        <v>465.3</v>
      </c>
      <c r="P298" s="22">
        <v>250</v>
      </c>
      <c r="Q298" s="22">
        <v>215.3</v>
      </c>
      <c r="R298">
        <v>0</v>
      </c>
      <c r="T298" t="s">
        <v>2965</v>
      </c>
      <c r="U298" t="s">
        <v>3055</v>
      </c>
      <c r="V298" t="s">
        <v>3056</v>
      </c>
    </row>
    <row r="299" spans="1:22">
      <c r="A299">
        <v>298</v>
      </c>
      <c r="B299" t="s">
        <v>720</v>
      </c>
      <c r="C299" t="s">
        <v>721</v>
      </c>
      <c r="D299" t="s">
        <v>7</v>
      </c>
      <c r="E299" t="s">
        <v>8</v>
      </c>
      <c r="F299" s="22">
        <v>764.8</v>
      </c>
      <c r="G299" s="22">
        <v>0</v>
      </c>
      <c r="H299" s="22">
        <v>0</v>
      </c>
      <c r="I299" s="22">
        <v>764.8</v>
      </c>
      <c r="J299">
        <v>0</v>
      </c>
      <c r="K299">
        <v>0</v>
      </c>
      <c r="L299" s="22">
        <v>764.8</v>
      </c>
      <c r="M299" s="22">
        <v>0</v>
      </c>
      <c r="N299" s="22">
        <v>0</v>
      </c>
      <c r="O299" s="22">
        <v>764.8</v>
      </c>
      <c r="P299" s="22">
        <v>500</v>
      </c>
      <c r="Q299" s="22">
        <v>264.79999999999995</v>
      </c>
      <c r="R299">
        <v>0</v>
      </c>
      <c r="T299" t="s">
        <v>2965</v>
      </c>
      <c r="U299" t="s">
        <v>3055</v>
      </c>
      <c r="V299" t="s">
        <v>3056</v>
      </c>
    </row>
    <row r="300" spans="1:22">
      <c r="A300">
        <v>299</v>
      </c>
      <c r="B300" t="s">
        <v>722</v>
      </c>
      <c r="C300" t="s">
        <v>723</v>
      </c>
      <c r="D300" t="s">
        <v>7</v>
      </c>
      <c r="E300" t="s">
        <v>8</v>
      </c>
      <c r="F300" s="22">
        <v>1620</v>
      </c>
      <c r="G300" s="22">
        <v>0</v>
      </c>
      <c r="H300" s="22">
        <v>1454</v>
      </c>
      <c r="I300" s="22">
        <v>166</v>
      </c>
      <c r="J300">
        <v>0</v>
      </c>
      <c r="K300">
        <v>0</v>
      </c>
      <c r="L300" s="22">
        <v>166</v>
      </c>
      <c r="M300" s="22">
        <v>0</v>
      </c>
      <c r="N300" s="22">
        <v>0</v>
      </c>
      <c r="O300" s="22">
        <v>166</v>
      </c>
      <c r="P300" s="22">
        <v>2000</v>
      </c>
      <c r="Q300" s="22">
        <v>-1834</v>
      </c>
      <c r="R300">
        <v>2000</v>
      </c>
      <c r="T300" t="s">
        <v>2965</v>
      </c>
      <c r="U300" t="s">
        <v>3055</v>
      </c>
      <c r="V300" t="s">
        <v>3056</v>
      </c>
    </row>
    <row r="301" spans="1:22">
      <c r="A301">
        <v>300</v>
      </c>
      <c r="B301" t="s">
        <v>724</v>
      </c>
      <c r="C301" t="s">
        <v>725</v>
      </c>
      <c r="D301" t="s">
        <v>7</v>
      </c>
      <c r="E301" t="s">
        <v>8</v>
      </c>
      <c r="F301" s="22">
        <v>1619.5</v>
      </c>
      <c r="G301" s="22">
        <v>2101.1999999999998</v>
      </c>
      <c r="H301" s="22">
        <v>959.7</v>
      </c>
      <c r="I301" s="22">
        <v>2761</v>
      </c>
      <c r="J301">
        <v>0</v>
      </c>
      <c r="K301">
        <v>0</v>
      </c>
      <c r="L301" s="22">
        <v>2761</v>
      </c>
      <c r="M301" s="22">
        <v>0</v>
      </c>
      <c r="N301" s="22">
        <v>0</v>
      </c>
      <c r="O301" s="22">
        <v>2761</v>
      </c>
      <c r="P301" s="22">
        <v>2000</v>
      </c>
      <c r="Q301" s="22">
        <v>761</v>
      </c>
      <c r="R301">
        <v>2000</v>
      </c>
      <c r="T301" t="s">
        <v>2965</v>
      </c>
      <c r="U301" t="s">
        <v>3055</v>
      </c>
      <c r="V301" t="s">
        <v>3056</v>
      </c>
    </row>
    <row r="302" spans="1:22">
      <c r="A302">
        <v>301</v>
      </c>
      <c r="B302" t="s">
        <v>726</v>
      </c>
      <c r="C302" t="s">
        <v>727</v>
      </c>
      <c r="D302" t="s">
        <v>7</v>
      </c>
      <c r="E302" t="s">
        <v>8</v>
      </c>
      <c r="F302" s="22">
        <v>3160</v>
      </c>
      <c r="G302" s="22">
        <v>518.9</v>
      </c>
      <c r="H302" s="22">
        <v>1176</v>
      </c>
      <c r="I302" s="22">
        <v>2502.9</v>
      </c>
      <c r="J302">
        <v>0</v>
      </c>
      <c r="K302">
        <v>0</v>
      </c>
      <c r="L302" s="22">
        <v>2502.9</v>
      </c>
      <c r="M302" s="22">
        <v>0</v>
      </c>
      <c r="N302" s="22">
        <v>0</v>
      </c>
      <c r="O302" s="22">
        <v>2502.9</v>
      </c>
      <c r="P302" s="22">
        <v>2000</v>
      </c>
      <c r="Q302" s="22">
        <v>502.90000000000009</v>
      </c>
      <c r="R302">
        <v>2500</v>
      </c>
      <c r="T302" t="s">
        <v>2965</v>
      </c>
      <c r="U302" t="s">
        <v>3055</v>
      </c>
      <c r="V302" t="s">
        <v>3056</v>
      </c>
    </row>
    <row r="303" spans="1:22">
      <c r="A303">
        <v>302</v>
      </c>
      <c r="B303" t="s">
        <v>728</v>
      </c>
      <c r="C303" t="s">
        <v>729</v>
      </c>
      <c r="D303" t="s">
        <v>7</v>
      </c>
      <c r="E303" t="s">
        <v>8</v>
      </c>
      <c r="F303" s="22">
        <v>1753.7</v>
      </c>
      <c r="G303" s="22">
        <v>439.1</v>
      </c>
      <c r="H303" s="22">
        <v>2013</v>
      </c>
      <c r="I303" s="22">
        <v>179.8</v>
      </c>
      <c r="J303">
        <v>0</v>
      </c>
      <c r="K303">
        <v>0</v>
      </c>
      <c r="L303" s="22">
        <v>179.8</v>
      </c>
      <c r="M303" s="22">
        <v>0</v>
      </c>
      <c r="N303" s="22">
        <v>0</v>
      </c>
      <c r="O303" s="22">
        <v>179.8</v>
      </c>
      <c r="P303" s="22">
        <v>2000</v>
      </c>
      <c r="Q303" s="22">
        <v>-1820.2</v>
      </c>
      <c r="R303">
        <v>2500</v>
      </c>
      <c r="T303" t="s">
        <v>2965</v>
      </c>
      <c r="U303" t="s">
        <v>3055</v>
      </c>
      <c r="V303" t="s">
        <v>3056</v>
      </c>
    </row>
    <row r="304" spans="1:22">
      <c r="A304">
        <v>303</v>
      </c>
      <c r="B304" t="s">
        <v>730</v>
      </c>
      <c r="C304" t="s">
        <v>731</v>
      </c>
      <c r="D304" t="s">
        <v>7</v>
      </c>
      <c r="E304" t="s">
        <v>8</v>
      </c>
      <c r="F304" s="22">
        <v>2183.4</v>
      </c>
      <c r="G304" s="22">
        <v>0</v>
      </c>
      <c r="H304" s="22">
        <v>453</v>
      </c>
      <c r="I304" s="22">
        <v>1730.4</v>
      </c>
      <c r="J304">
        <v>0</v>
      </c>
      <c r="K304">
        <v>0</v>
      </c>
      <c r="L304" s="22">
        <v>1730.4</v>
      </c>
      <c r="M304" s="22">
        <v>0</v>
      </c>
      <c r="N304" s="22">
        <v>0</v>
      </c>
      <c r="O304" s="22">
        <v>1730.4</v>
      </c>
      <c r="P304" s="22">
        <v>500</v>
      </c>
      <c r="Q304" s="22">
        <v>1230.4000000000001</v>
      </c>
      <c r="R304">
        <v>0</v>
      </c>
      <c r="T304" t="s">
        <v>2965</v>
      </c>
      <c r="U304" t="s">
        <v>3055</v>
      </c>
      <c r="V304" t="s">
        <v>3056</v>
      </c>
    </row>
    <row r="305" spans="1:22">
      <c r="A305">
        <v>304</v>
      </c>
      <c r="B305" t="s">
        <v>732</v>
      </c>
      <c r="C305" t="s">
        <v>733</v>
      </c>
      <c r="D305" t="s">
        <v>7</v>
      </c>
      <c r="E305" t="s">
        <v>8</v>
      </c>
      <c r="F305" s="22">
        <v>325.3</v>
      </c>
      <c r="G305" s="22">
        <v>0</v>
      </c>
      <c r="H305" s="22">
        <v>0</v>
      </c>
      <c r="I305" s="22">
        <v>325.3</v>
      </c>
      <c r="J305">
        <v>0</v>
      </c>
      <c r="K305">
        <v>0</v>
      </c>
      <c r="L305" s="22">
        <v>325.3</v>
      </c>
      <c r="M305" s="22">
        <v>0</v>
      </c>
      <c r="N305" s="22">
        <v>0</v>
      </c>
      <c r="O305" s="22">
        <v>325.3</v>
      </c>
      <c r="P305" s="22">
        <v>200</v>
      </c>
      <c r="Q305" s="22">
        <v>125.30000000000001</v>
      </c>
      <c r="R305">
        <v>200</v>
      </c>
      <c r="T305" t="s">
        <v>2965</v>
      </c>
      <c r="U305" t="s">
        <v>3055</v>
      </c>
      <c r="V305" t="s">
        <v>3056</v>
      </c>
    </row>
    <row r="306" spans="1:22">
      <c r="A306">
        <v>305</v>
      </c>
      <c r="B306" t="s">
        <v>740</v>
      </c>
      <c r="C306" t="s">
        <v>741</v>
      </c>
      <c r="D306" t="s">
        <v>7</v>
      </c>
      <c r="E306" t="s">
        <v>8</v>
      </c>
      <c r="F306" s="22">
        <v>1019.23</v>
      </c>
      <c r="G306" s="22">
        <v>0</v>
      </c>
      <c r="H306" s="22">
        <v>121.6</v>
      </c>
      <c r="I306" s="22">
        <v>897.63</v>
      </c>
      <c r="J306">
        <v>0</v>
      </c>
      <c r="K306">
        <v>0</v>
      </c>
      <c r="L306" s="22">
        <v>897.63</v>
      </c>
      <c r="M306" s="22">
        <v>0</v>
      </c>
      <c r="N306" s="22">
        <v>0</v>
      </c>
      <c r="O306" s="22">
        <v>897.63</v>
      </c>
      <c r="P306" s="22">
        <v>500</v>
      </c>
      <c r="Q306" s="22">
        <v>397.63</v>
      </c>
      <c r="R306">
        <v>0</v>
      </c>
      <c r="T306" t="s">
        <v>2965</v>
      </c>
      <c r="U306" t="s">
        <v>3055</v>
      </c>
      <c r="V306" t="s">
        <v>3056</v>
      </c>
    </row>
    <row r="307" spans="1:22">
      <c r="A307">
        <v>306</v>
      </c>
      <c r="B307" t="s">
        <v>742</v>
      </c>
      <c r="C307" t="s">
        <v>743</v>
      </c>
      <c r="D307" t="s">
        <v>7</v>
      </c>
      <c r="E307" t="s">
        <v>8</v>
      </c>
      <c r="F307" s="22">
        <v>0</v>
      </c>
      <c r="G307" s="22">
        <v>0</v>
      </c>
      <c r="H307" s="22">
        <v>0</v>
      </c>
      <c r="I307" s="22">
        <v>0</v>
      </c>
      <c r="J307">
        <v>0</v>
      </c>
      <c r="K307">
        <v>0</v>
      </c>
      <c r="L307" s="22">
        <v>0</v>
      </c>
      <c r="M307" s="22">
        <v>0</v>
      </c>
      <c r="N307" s="22">
        <v>0</v>
      </c>
      <c r="O307" s="22">
        <v>0</v>
      </c>
      <c r="P307" s="22">
        <v>0</v>
      </c>
      <c r="Q307" s="22">
        <v>0</v>
      </c>
      <c r="R307">
        <v>0</v>
      </c>
      <c r="T307" t="s">
        <v>2965</v>
      </c>
      <c r="U307" t="s">
        <v>3055</v>
      </c>
      <c r="V307" t="s">
        <v>3056</v>
      </c>
    </row>
    <row r="308" spans="1:22">
      <c r="A308">
        <v>307</v>
      </c>
      <c r="B308" t="s">
        <v>744</v>
      </c>
      <c r="C308" t="s">
        <v>745</v>
      </c>
      <c r="D308" t="s">
        <v>7</v>
      </c>
      <c r="E308" t="s">
        <v>8</v>
      </c>
      <c r="F308" s="22">
        <v>224.6</v>
      </c>
      <c r="G308" s="22">
        <v>0</v>
      </c>
      <c r="H308" s="22">
        <v>0</v>
      </c>
      <c r="I308" s="22">
        <v>224.6</v>
      </c>
      <c r="J308">
        <v>0</v>
      </c>
      <c r="K308">
        <v>0</v>
      </c>
      <c r="L308" s="22">
        <v>224.6</v>
      </c>
      <c r="M308" s="22">
        <v>0</v>
      </c>
      <c r="N308" s="22">
        <v>0</v>
      </c>
      <c r="O308" s="22">
        <v>224.6</v>
      </c>
      <c r="P308" s="22">
        <v>200</v>
      </c>
      <c r="Q308" s="22">
        <v>24.599999999999994</v>
      </c>
      <c r="R308">
        <v>150</v>
      </c>
      <c r="T308" t="s">
        <v>2965</v>
      </c>
      <c r="U308" t="s">
        <v>3055</v>
      </c>
      <c r="V308" t="s">
        <v>3056</v>
      </c>
    </row>
    <row r="309" spans="1:22">
      <c r="A309">
        <v>308</v>
      </c>
      <c r="B309" t="s">
        <v>746</v>
      </c>
      <c r="C309" t="s">
        <v>747</v>
      </c>
      <c r="D309" t="s">
        <v>7</v>
      </c>
      <c r="E309" t="s">
        <v>8</v>
      </c>
      <c r="F309" s="22">
        <v>1085.76</v>
      </c>
      <c r="G309" s="22">
        <v>0</v>
      </c>
      <c r="H309" s="22">
        <v>0</v>
      </c>
      <c r="I309" s="22">
        <v>1085.76</v>
      </c>
      <c r="J309">
        <v>0</v>
      </c>
      <c r="K309">
        <v>526.75</v>
      </c>
      <c r="L309" s="22">
        <v>559.01</v>
      </c>
      <c r="M309" s="22">
        <v>0</v>
      </c>
      <c r="N309" s="22">
        <v>0</v>
      </c>
      <c r="O309" s="22">
        <v>559.01</v>
      </c>
      <c r="P309" s="22">
        <v>250</v>
      </c>
      <c r="Q309" s="22">
        <v>309.01</v>
      </c>
      <c r="R309">
        <v>0</v>
      </c>
      <c r="T309" t="s">
        <v>2965</v>
      </c>
      <c r="U309" t="s">
        <v>3055</v>
      </c>
      <c r="V309" t="s">
        <v>3056</v>
      </c>
    </row>
    <row r="310" spans="1:22">
      <c r="A310">
        <v>309</v>
      </c>
      <c r="B310" t="s">
        <v>748</v>
      </c>
      <c r="C310" t="s">
        <v>749</v>
      </c>
      <c r="D310" t="s">
        <v>7</v>
      </c>
      <c r="E310" t="s">
        <v>8</v>
      </c>
      <c r="F310" s="22">
        <v>48</v>
      </c>
      <c r="G310" s="22">
        <v>0</v>
      </c>
      <c r="H310" s="22">
        <v>0</v>
      </c>
      <c r="I310" s="22">
        <v>48</v>
      </c>
      <c r="J310">
        <v>0</v>
      </c>
      <c r="K310">
        <v>0</v>
      </c>
      <c r="L310" s="22">
        <v>48</v>
      </c>
      <c r="M310" s="22">
        <v>0</v>
      </c>
      <c r="N310" s="22">
        <v>0</v>
      </c>
      <c r="O310" s="22">
        <v>48</v>
      </c>
      <c r="P310" s="22">
        <v>0</v>
      </c>
      <c r="Q310" s="22">
        <v>48</v>
      </c>
      <c r="R310">
        <v>0</v>
      </c>
      <c r="T310" t="s">
        <v>2965</v>
      </c>
      <c r="U310" t="s">
        <v>3055</v>
      </c>
      <c r="V310" t="s">
        <v>3056</v>
      </c>
    </row>
    <row r="311" spans="1:22">
      <c r="A311">
        <v>310</v>
      </c>
      <c r="B311" t="s">
        <v>750</v>
      </c>
      <c r="C311" t="s">
        <v>751</v>
      </c>
      <c r="D311" t="s">
        <v>7</v>
      </c>
      <c r="E311" t="s">
        <v>8</v>
      </c>
      <c r="F311" s="22">
        <v>45</v>
      </c>
      <c r="G311" s="22">
        <v>0</v>
      </c>
      <c r="H311" s="22">
        <v>0</v>
      </c>
      <c r="I311" s="22">
        <v>45</v>
      </c>
      <c r="J311">
        <v>0</v>
      </c>
      <c r="K311">
        <v>0</v>
      </c>
      <c r="L311" s="22">
        <v>45</v>
      </c>
      <c r="M311" s="22">
        <v>0</v>
      </c>
      <c r="N311" s="22">
        <v>0</v>
      </c>
      <c r="O311" s="22">
        <v>45</v>
      </c>
      <c r="P311" s="22">
        <v>0</v>
      </c>
      <c r="Q311" s="22">
        <v>45</v>
      </c>
      <c r="R311">
        <v>0</v>
      </c>
      <c r="T311" t="s">
        <v>2965</v>
      </c>
      <c r="U311" t="s">
        <v>3055</v>
      </c>
      <c r="V311" t="s">
        <v>3056</v>
      </c>
    </row>
    <row r="312" spans="1:22">
      <c r="A312">
        <v>311</v>
      </c>
      <c r="B312" t="s">
        <v>752</v>
      </c>
      <c r="C312" t="s">
        <v>753</v>
      </c>
      <c r="D312" t="s">
        <v>7</v>
      </c>
      <c r="E312" t="s">
        <v>8</v>
      </c>
      <c r="F312" s="22">
        <v>965</v>
      </c>
      <c r="G312" s="22">
        <v>0</v>
      </c>
      <c r="H312" s="22">
        <v>390</v>
      </c>
      <c r="I312" s="22">
        <v>575</v>
      </c>
      <c r="J312">
        <v>0</v>
      </c>
      <c r="K312">
        <v>0</v>
      </c>
      <c r="L312" s="22">
        <v>575</v>
      </c>
      <c r="M312" s="22">
        <v>0</v>
      </c>
      <c r="N312" s="22">
        <v>0</v>
      </c>
      <c r="O312" s="22">
        <v>575</v>
      </c>
      <c r="P312" s="22">
        <v>1000</v>
      </c>
      <c r="Q312" s="22">
        <v>-425</v>
      </c>
      <c r="R312">
        <v>500</v>
      </c>
      <c r="T312" t="s">
        <v>2965</v>
      </c>
      <c r="U312" t="s">
        <v>3055</v>
      </c>
      <c r="V312" t="s">
        <v>3056</v>
      </c>
    </row>
    <row r="313" spans="1:22">
      <c r="A313">
        <v>312</v>
      </c>
      <c r="B313" t="s">
        <v>754</v>
      </c>
      <c r="C313" t="s">
        <v>755</v>
      </c>
      <c r="D313" t="s">
        <v>7</v>
      </c>
      <c r="E313" t="s">
        <v>8</v>
      </c>
      <c r="F313" s="22">
        <v>3544</v>
      </c>
      <c r="G313" s="22">
        <v>0</v>
      </c>
      <c r="H313" s="22">
        <v>305</v>
      </c>
      <c r="I313" s="22">
        <v>3239</v>
      </c>
      <c r="J313">
        <v>0</v>
      </c>
      <c r="K313">
        <v>0</v>
      </c>
      <c r="L313" s="22">
        <v>3239</v>
      </c>
      <c r="M313" s="22">
        <v>0</v>
      </c>
      <c r="N313" s="22">
        <v>0</v>
      </c>
      <c r="O313" s="22">
        <v>3239</v>
      </c>
      <c r="P313" s="22">
        <v>1000</v>
      </c>
      <c r="Q313" s="22">
        <v>2239</v>
      </c>
      <c r="R313">
        <v>0</v>
      </c>
      <c r="T313" t="s">
        <v>2965</v>
      </c>
      <c r="U313" t="s">
        <v>3055</v>
      </c>
      <c r="V313" t="s">
        <v>3056</v>
      </c>
    </row>
    <row r="314" spans="1:22">
      <c r="A314">
        <v>313</v>
      </c>
      <c r="B314" t="s">
        <v>756</v>
      </c>
      <c r="C314" t="s">
        <v>757</v>
      </c>
      <c r="D314" t="s">
        <v>7</v>
      </c>
      <c r="E314" t="s">
        <v>8</v>
      </c>
      <c r="F314" s="22">
        <v>4889</v>
      </c>
      <c r="G314" s="22">
        <v>0</v>
      </c>
      <c r="H314" s="22">
        <v>125</v>
      </c>
      <c r="I314" s="22">
        <v>4764</v>
      </c>
      <c r="J314">
        <v>0</v>
      </c>
      <c r="K314">
        <v>0</v>
      </c>
      <c r="L314" s="22">
        <v>4764</v>
      </c>
      <c r="M314" s="22">
        <v>0</v>
      </c>
      <c r="N314" s="22">
        <v>0</v>
      </c>
      <c r="O314" s="22">
        <v>4764</v>
      </c>
      <c r="P314" s="22">
        <v>1000</v>
      </c>
      <c r="Q314" s="22">
        <v>3764</v>
      </c>
      <c r="R314">
        <v>0</v>
      </c>
      <c r="T314" t="s">
        <v>2965</v>
      </c>
      <c r="U314" t="s">
        <v>3055</v>
      </c>
      <c r="V314" t="s">
        <v>3056</v>
      </c>
    </row>
    <row r="315" spans="1:22">
      <c r="A315">
        <v>314</v>
      </c>
      <c r="B315" t="s">
        <v>758</v>
      </c>
      <c r="C315" t="s">
        <v>759</v>
      </c>
      <c r="D315" t="s">
        <v>7</v>
      </c>
      <c r="E315" t="s">
        <v>8</v>
      </c>
      <c r="F315" s="22">
        <v>0</v>
      </c>
      <c r="G315" s="22">
        <v>0</v>
      </c>
      <c r="H315" s="22">
        <v>0</v>
      </c>
      <c r="I315" s="22">
        <v>0</v>
      </c>
      <c r="J315">
        <v>0</v>
      </c>
      <c r="K315">
        <v>0</v>
      </c>
      <c r="L315" s="22">
        <v>0</v>
      </c>
      <c r="M315" s="22">
        <v>0</v>
      </c>
      <c r="N315" s="22">
        <v>0</v>
      </c>
      <c r="O315" s="22">
        <v>0</v>
      </c>
      <c r="P315" s="22">
        <v>0</v>
      </c>
      <c r="Q315" s="22">
        <v>0</v>
      </c>
      <c r="R315">
        <v>0</v>
      </c>
      <c r="T315" t="s">
        <v>2965</v>
      </c>
      <c r="U315" t="s">
        <v>3055</v>
      </c>
      <c r="V315" t="s">
        <v>3058</v>
      </c>
    </row>
    <row r="316" spans="1:22">
      <c r="A316">
        <v>315</v>
      </c>
      <c r="B316" t="s">
        <v>760</v>
      </c>
      <c r="C316" t="s">
        <v>761</v>
      </c>
      <c r="D316" t="s">
        <v>7</v>
      </c>
      <c r="E316" t="s">
        <v>8</v>
      </c>
      <c r="F316" s="22">
        <v>0</v>
      </c>
      <c r="G316" s="22">
        <v>0</v>
      </c>
      <c r="H316" s="22">
        <v>0</v>
      </c>
      <c r="I316" s="22">
        <v>0</v>
      </c>
      <c r="J316">
        <v>0</v>
      </c>
      <c r="K316">
        <v>0</v>
      </c>
      <c r="L316" s="22">
        <v>0</v>
      </c>
      <c r="M316" s="22">
        <v>0</v>
      </c>
      <c r="N316" s="22">
        <v>0</v>
      </c>
      <c r="O316" s="22">
        <v>0</v>
      </c>
      <c r="P316" s="22">
        <v>0</v>
      </c>
      <c r="Q316" s="22">
        <v>0</v>
      </c>
      <c r="R316">
        <v>0</v>
      </c>
      <c r="T316" t="s">
        <v>2965</v>
      </c>
      <c r="U316" t="s">
        <v>3055</v>
      </c>
      <c r="V316" t="s">
        <v>3058</v>
      </c>
    </row>
    <row r="317" spans="1:22">
      <c r="A317">
        <v>316</v>
      </c>
      <c r="B317" t="s">
        <v>762</v>
      </c>
      <c r="C317" t="s">
        <v>763</v>
      </c>
      <c r="D317" t="s">
        <v>7</v>
      </c>
      <c r="E317" t="s">
        <v>8</v>
      </c>
      <c r="F317" s="22">
        <v>0</v>
      </c>
      <c r="G317" s="22">
        <v>0</v>
      </c>
      <c r="H317" s="22">
        <v>0</v>
      </c>
      <c r="I317" s="22">
        <v>0</v>
      </c>
      <c r="J317">
        <v>0</v>
      </c>
      <c r="K317">
        <v>0</v>
      </c>
      <c r="L317" s="22">
        <v>0</v>
      </c>
      <c r="M317" s="22">
        <v>0</v>
      </c>
      <c r="N317" s="22">
        <v>0</v>
      </c>
      <c r="O317" s="22">
        <v>0</v>
      </c>
      <c r="P317" s="22">
        <v>0</v>
      </c>
      <c r="Q317" s="22">
        <v>0</v>
      </c>
      <c r="R317">
        <v>0</v>
      </c>
      <c r="T317" t="s">
        <v>2965</v>
      </c>
      <c r="U317" t="s">
        <v>3055</v>
      </c>
      <c r="V317" t="s">
        <v>3058</v>
      </c>
    </row>
    <row r="318" spans="1:22">
      <c r="A318">
        <v>317</v>
      </c>
      <c r="B318" t="s">
        <v>764</v>
      </c>
      <c r="C318" t="s">
        <v>765</v>
      </c>
      <c r="D318" t="s">
        <v>7</v>
      </c>
      <c r="E318" t="s">
        <v>8</v>
      </c>
      <c r="F318" s="22">
        <v>0</v>
      </c>
      <c r="G318" s="22">
        <v>0</v>
      </c>
      <c r="H318" s="22">
        <v>0</v>
      </c>
      <c r="I318" s="22">
        <v>0</v>
      </c>
      <c r="J318">
        <v>0</v>
      </c>
      <c r="K318">
        <v>0</v>
      </c>
      <c r="L318" s="22">
        <v>0</v>
      </c>
      <c r="M318" s="22">
        <v>0</v>
      </c>
      <c r="N318" s="22">
        <v>0</v>
      </c>
      <c r="O318" s="22">
        <v>0</v>
      </c>
      <c r="P318" s="22">
        <v>0</v>
      </c>
      <c r="Q318" s="22">
        <v>0</v>
      </c>
      <c r="R318">
        <v>0</v>
      </c>
      <c r="T318" t="s">
        <v>2965</v>
      </c>
      <c r="U318" t="s">
        <v>3055</v>
      </c>
      <c r="V318" t="s">
        <v>3058</v>
      </c>
    </row>
    <row r="319" spans="1:22">
      <c r="A319">
        <v>318</v>
      </c>
      <c r="B319" t="s">
        <v>766</v>
      </c>
      <c r="C319" t="s">
        <v>767</v>
      </c>
      <c r="D319" t="s">
        <v>7</v>
      </c>
      <c r="E319" t="s">
        <v>8</v>
      </c>
      <c r="F319" s="22">
        <v>0</v>
      </c>
      <c r="G319" s="22">
        <v>0</v>
      </c>
      <c r="H319" s="22">
        <v>0</v>
      </c>
      <c r="I319" s="22">
        <v>0</v>
      </c>
      <c r="J319">
        <v>0</v>
      </c>
      <c r="K319">
        <v>0</v>
      </c>
      <c r="L319" s="22">
        <v>0</v>
      </c>
      <c r="M319" s="22">
        <v>0</v>
      </c>
      <c r="N319" s="22">
        <v>0</v>
      </c>
      <c r="O319" s="22">
        <v>0</v>
      </c>
      <c r="P319" s="22">
        <v>0</v>
      </c>
      <c r="Q319" s="22">
        <v>0</v>
      </c>
      <c r="R319">
        <v>0</v>
      </c>
      <c r="T319" t="s">
        <v>2965</v>
      </c>
      <c r="U319" t="s">
        <v>3055</v>
      </c>
      <c r="V319" t="s">
        <v>3058</v>
      </c>
    </row>
    <row r="320" spans="1:22">
      <c r="A320">
        <v>319</v>
      </c>
      <c r="B320" t="s">
        <v>768</v>
      </c>
      <c r="C320" t="s">
        <v>769</v>
      </c>
      <c r="D320" t="s">
        <v>7</v>
      </c>
      <c r="E320" t="s">
        <v>8</v>
      </c>
      <c r="F320" s="22">
        <v>0</v>
      </c>
      <c r="G320" s="22">
        <v>0</v>
      </c>
      <c r="H320" s="22">
        <v>0</v>
      </c>
      <c r="I320" s="22">
        <v>0</v>
      </c>
      <c r="J320">
        <v>0</v>
      </c>
      <c r="K320">
        <v>0</v>
      </c>
      <c r="L320" s="22">
        <v>0</v>
      </c>
      <c r="M320" s="22">
        <v>0</v>
      </c>
      <c r="N320" s="22">
        <v>0</v>
      </c>
      <c r="O320" s="22">
        <v>0</v>
      </c>
      <c r="P320" s="22">
        <v>0</v>
      </c>
      <c r="Q320" s="22">
        <v>0</v>
      </c>
      <c r="R320">
        <v>0</v>
      </c>
      <c r="T320" t="s">
        <v>2965</v>
      </c>
      <c r="U320" t="s">
        <v>3055</v>
      </c>
      <c r="V320" t="s">
        <v>3058</v>
      </c>
    </row>
    <row r="321" spans="1:22">
      <c r="A321">
        <v>320</v>
      </c>
      <c r="B321" t="s">
        <v>770</v>
      </c>
      <c r="C321" t="s">
        <v>771</v>
      </c>
      <c r="D321" t="s">
        <v>7</v>
      </c>
      <c r="E321" t="s">
        <v>8</v>
      </c>
      <c r="F321" s="22">
        <v>0</v>
      </c>
      <c r="G321" s="22">
        <v>0</v>
      </c>
      <c r="H321" s="22">
        <v>0</v>
      </c>
      <c r="I321" s="22">
        <v>0</v>
      </c>
      <c r="J321">
        <v>0</v>
      </c>
      <c r="K321">
        <v>0</v>
      </c>
      <c r="L321" s="22">
        <v>0</v>
      </c>
      <c r="M321" s="22">
        <v>0</v>
      </c>
      <c r="N321" s="22">
        <v>0</v>
      </c>
      <c r="O321" s="22">
        <v>0</v>
      </c>
      <c r="P321" s="22">
        <v>0</v>
      </c>
      <c r="Q321" s="22">
        <v>0</v>
      </c>
      <c r="R321">
        <v>0</v>
      </c>
      <c r="T321" t="s">
        <v>2965</v>
      </c>
      <c r="U321" t="s">
        <v>3055</v>
      </c>
      <c r="V321" t="s">
        <v>3058</v>
      </c>
    </row>
    <row r="322" spans="1:22">
      <c r="A322">
        <v>321</v>
      </c>
      <c r="B322" t="s">
        <v>772</v>
      </c>
      <c r="C322" t="s">
        <v>773</v>
      </c>
      <c r="D322" t="s">
        <v>7</v>
      </c>
      <c r="E322" t="s">
        <v>8</v>
      </c>
      <c r="F322" s="22">
        <v>104</v>
      </c>
      <c r="G322" s="22">
        <v>0</v>
      </c>
      <c r="H322" s="22">
        <v>0</v>
      </c>
      <c r="I322" s="22">
        <v>104</v>
      </c>
      <c r="J322">
        <v>0</v>
      </c>
      <c r="K322">
        <v>0</v>
      </c>
      <c r="L322" s="22">
        <v>104</v>
      </c>
      <c r="M322" s="22">
        <v>0</v>
      </c>
      <c r="N322" s="22">
        <v>0</v>
      </c>
      <c r="O322" s="22">
        <v>104</v>
      </c>
      <c r="P322" s="22">
        <v>0</v>
      </c>
      <c r="Q322" s="22">
        <v>104</v>
      </c>
      <c r="R322">
        <v>0</v>
      </c>
      <c r="T322" t="s">
        <v>2965</v>
      </c>
      <c r="U322" t="s">
        <v>3055</v>
      </c>
      <c r="V322" t="s">
        <v>3058</v>
      </c>
    </row>
    <row r="323" spans="1:22">
      <c r="A323">
        <v>322</v>
      </c>
      <c r="B323" t="s">
        <v>774</v>
      </c>
      <c r="C323" t="s">
        <v>775</v>
      </c>
      <c r="D323" t="s">
        <v>7</v>
      </c>
      <c r="E323" t="s">
        <v>8</v>
      </c>
      <c r="F323" s="22">
        <v>532</v>
      </c>
      <c r="G323" s="22">
        <v>0</v>
      </c>
      <c r="H323" s="22">
        <v>51</v>
      </c>
      <c r="I323" s="22">
        <v>481</v>
      </c>
      <c r="J323">
        <v>0</v>
      </c>
      <c r="K323">
        <v>0</v>
      </c>
      <c r="L323" s="22">
        <v>481</v>
      </c>
      <c r="M323" s="22">
        <v>0</v>
      </c>
      <c r="N323" s="22">
        <v>0</v>
      </c>
      <c r="O323" s="22">
        <v>481</v>
      </c>
      <c r="P323" s="22">
        <v>400</v>
      </c>
      <c r="Q323" s="22">
        <v>81</v>
      </c>
      <c r="R323">
        <v>0</v>
      </c>
      <c r="T323" t="s">
        <v>2965</v>
      </c>
      <c r="U323" t="s">
        <v>3055</v>
      </c>
      <c r="V323" t="s">
        <v>3056</v>
      </c>
    </row>
    <row r="324" spans="1:22">
      <c r="A324">
        <v>323</v>
      </c>
      <c r="B324" t="s">
        <v>776</v>
      </c>
      <c r="C324" t="s">
        <v>777</v>
      </c>
      <c r="D324" t="s">
        <v>7</v>
      </c>
      <c r="E324" t="s">
        <v>8</v>
      </c>
      <c r="F324" s="22">
        <v>714</v>
      </c>
      <c r="G324" s="22">
        <v>218</v>
      </c>
      <c r="H324" s="22">
        <v>44</v>
      </c>
      <c r="I324" s="22">
        <v>888</v>
      </c>
      <c r="J324">
        <v>0</v>
      </c>
      <c r="K324">
        <v>0</v>
      </c>
      <c r="L324" s="22">
        <v>888</v>
      </c>
      <c r="M324" s="22">
        <v>0</v>
      </c>
      <c r="N324" s="22">
        <v>0</v>
      </c>
      <c r="O324" s="22">
        <v>888</v>
      </c>
      <c r="P324" s="22">
        <v>400</v>
      </c>
      <c r="Q324" s="22">
        <v>488</v>
      </c>
      <c r="R324">
        <v>0</v>
      </c>
      <c r="T324" t="s">
        <v>2965</v>
      </c>
      <c r="U324" t="s">
        <v>3055</v>
      </c>
      <c r="V324" t="s">
        <v>3056</v>
      </c>
    </row>
    <row r="325" spans="1:22">
      <c r="A325">
        <v>324</v>
      </c>
      <c r="B325" t="s">
        <v>778</v>
      </c>
      <c r="C325" t="s">
        <v>779</v>
      </c>
      <c r="D325" t="s">
        <v>7</v>
      </c>
      <c r="E325" t="s">
        <v>8</v>
      </c>
      <c r="F325" s="22">
        <v>342</v>
      </c>
      <c r="G325" s="22">
        <v>0</v>
      </c>
      <c r="H325" s="22">
        <v>65</v>
      </c>
      <c r="I325" s="22">
        <v>277</v>
      </c>
      <c r="J325">
        <v>0</v>
      </c>
      <c r="K325">
        <v>0</v>
      </c>
      <c r="L325" s="22">
        <v>277</v>
      </c>
      <c r="M325" s="22">
        <v>0</v>
      </c>
      <c r="N325" s="22">
        <v>0</v>
      </c>
      <c r="O325" s="22">
        <v>277</v>
      </c>
      <c r="P325" s="22">
        <v>400</v>
      </c>
      <c r="Q325" s="22">
        <v>-123</v>
      </c>
      <c r="R325">
        <v>0</v>
      </c>
      <c r="T325" t="s">
        <v>2965</v>
      </c>
      <c r="U325" t="s">
        <v>3055</v>
      </c>
      <c r="V325" t="s">
        <v>3056</v>
      </c>
    </row>
    <row r="326" spans="1:22">
      <c r="A326">
        <v>325</v>
      </c>
      <c r="B326" t="s">
        <v>780</v>
      </c>
      <c r="C326" t="s">
        <v>781</v>
      </c>
      <c r="D326" t="s">
        <v>7</v>
      </c>
      <c r="E326" t="s">
        <v>8</v>
      </c>
      <c r="F326" s="22">
        <v>0</v>
      </c>
      <c r="G326" s="22">
        <v>0</v>
      </c>
      <c r="H326" s="22">
        <v>0</v>
      </c>
      <c r="I326" s="22">
        <v>0</v>
      </c>
      <c r="J326">
        <v>0</v>
      </c>
      <c r="K326">
        <v>0</v>
      </c>
      <c r="L326" s="22">
        <v>0</v>
      </c>
      <c r="M326" s="22">
        <v>0</v>
      </c>
      <c r="N326" s="22">
        <v>0</v>
      </c>
      <c r="O326" s="22">
        <v>0</v>
      </c>
      <c r="P326" s="22">
        <v>0</v>
      </c>
      <c r="Q326" s="22">
        <v>0</v>
      </c>
      <c r="R326">
        <v>0</v>
      </c>
      <c r="T326" t="s">
        <v>2965</v>
      </c>
      <c r="U326" t="s">
        <v>3055</v>
      </c>
      <c r="V326" t="s">
        <v>3056</v>
      </c>
    </row>
    <row r="327" spans="1:22">
      <c r="A327">
        <v>326</v>
      </c>
      <c r="B327" t="s">
        <v>782</v>
      </c>
      <c r="C327" t="s">
        <v>783</v>
      </c>
      <c r="D327" t="s">
        <v>7</v>
      </c>
      <c r="E327" t="s">
        <v>8</v>
      </c>
      <c r="F327" s="22">
        <v>125.1</v>
      </c>
      <c r="G327" s="22">
        <v>0</v>
      </c>
      <c r="H327" s="22">
        <v>0</v>
      </c>
      <c r="I327" s="22">
        <v>125.1</v>
      </c>
      <c r="J327">
        <v>0</v>
      </c>
      <c r="K327">
        <v>0</v>
      </c>
      <c r="L327" s="22">
        <v>125.1</v>
      </c>
      <c r="M327" s="22">
        <v>0</v>
      </c>
      <c r="N327" s="22">
        <v>0</v>
      </c>
      <c r="O327" s="22">
        <v>125.1</v>
      </c>
      <c r="P327" s="22">
        <v>0</v>
      </c>
      <c r="Q327" s="22">
        <v>125.1</v>
      </c>
      <c r="R327">
        <v>0</v>
      </c>
      <c r="T327" t="s">
        <v>2965</v>
      </c>
      <c r="U327" t="s">
        <v>3055</v>
      </c>
      <c r="V327" t="s">
        <v>3056</v>
      </c>
    </row>
    <row r="328" spans="1:22">
      <c r="A328">
        <v>327</v>
      </c>
      <c r="B328" t="s">
        <v>784</v>
      </c>
      <c r="C328" t="s">
        <v>785</v>
      </c>
      <c r="D328" t="s">
        <v>7</v>
      </c>
      <c r="E328" t="s">
        <v>8</v>
      </c>
      <c r="F328" s="22">
        <v>200</v>
      </c>
      <c r="G328" s="22">
        <v>0</v>
      </c>
      <c r="H328" s="22">
        <v>0</v>
      </c>
      <c r="I328" s="22">
        <v>200</v>
      </c>
      <c r="J328">
        <v>0</v>
      </c>
      <c r="K328">
        <v>0</v>
      </c>
      <c r="L328" s="22">
        <v>200</v>
      </c>
      <c r="M328" s="22">
        <v>0</v>
      </c>
      <c r="N328" s="22">
        <v>0</v>
      </c>
      <c r="O328" s="22">
        <v>200</v>
      </c>
      <c r="P328" s="22">
        <v>0</v>
      </c>
      <c r="Q328" s="22">
        <v>200</v>
      </c>
      <c r="R328">
        <v>0</v>
      </c>
      <c r="T328" t="s">
        <v>2965</v>
      </c>
      <c r="U328" t="s">
        <v>3055</v>
      </c>
      <c r="V328" t="s">
        <v>3056</v>
      </c>
    </row>
    <row r="329" spans="1:22">
      <c r="A329">
        <v>328</v>
      </c>
      <c r="B329" t="s">
        <v>786</v>
      </c>
      <c r="C329" t="s">
        <v>787</v>
      </c>
      <c r="D329" t="s">
        <v>7</v>
      </c>
      <c r="E329" t="s">
        <v>8</v>
      </c>
      <c r="F329" s="22">
        <v>129.69999999999999</v>
      </c>
      <c r="G329" s="22">
        <v>0</v>
      </c>
      <c r="H329" s="22">
        <v>0</v>
      </c>
      <c r="I329" s="22">
        <v>129.69999999999999</v>
      </c>
      <c r="J329">
        <v>0</v>
      </c>
      <c r="K329">
        <v>0</v>
      </c>
      <c r="L329" s="22">
        <v>129.69999999999999</v>
      </c>
      <c r="M329" s="22">
        <v>0</v>
      </c>
      <c r="N329" s="22">
        <v>0</v>
      </c>
      <c r="O329" s="22">
        <v>129.69999999999999</v>
      </c>
      <c r="P329" s="22">
        <v>0</v>
      </c>
      <c r="Q329" s="22">
        <v>129.69999999999999</v>
      </c>
      <c r="R329">
        <v>0</v>
      </c>
      <c r="T329" t="s">
        <v>2965</v>
      </c>
      <c r="U329" t="s">
        <v>3055</v>
      </c>
      <c r="V329" t="s">
        <v>3056</v>
      </c>
    </row>
    <row r="330" spans="1:22">
      <c r="A330">
        <v>329</v>
      </c>
      <c r="B330" t="s">
        <v>788</v>
      </c>
      <c r="C330" t="s">
        <v>789</v>
      </c>
      <c r="D330" t="s">
        <v>7</v>
      </c>
      <c r="E330" t="s">
        <v>8</v>
      </c>
      <c r="F330" s="22">
        <v>0</v>
      </c>
      <c r="G330" s="22">
        <v>0</v>
      </c>
      <c r="H330" s="22">
        <v>0</v>
      </c>
      <c r="I330" s="22">
        <v>0</v>
      </c>
      <c r="J330">
        <v>0</v>
      </c>
      <c r="K330">
        <v>0</v>
      </c>
      <c r="L330" s="22">
        <v>0</v>
      </c>
      <c r="M330" s="22">
        <v>0</v>
      </c>
      <c r="N330" s="22">
        <v>0</v>
      </c>
      <c r="O330" s="22">
        <v>0</v>
      </c>
      <c r="P330" s="22">
        <v>0</v>
      </c>
      <c r="Q330" s="22">
        <v>0</v>
      </c>
      <c r="R330">
        <v>0</v>
      </c>
      <c r="T330" t="s">
        <v>2965</v>
      </c>
      <c r="U330" t="s">
        <v>3055</v>
      </c>
      <c r="V330" t="s">
        <v>3056</v>
      </c>
    </row>
    <row r="331" spans="1:22">
      <c r="A331">
        <v>330</v>
      </c>
      <c r="B331" t="s">
        <v>790</v>
      </c>
      <c r="C331" t="s">
        <v>791</v>
      </c>
      <c r="D331" t="s">
        <v>7</v>
      </c>
      <c r="E331" t="s">
        <v>8</v>
      </c>
      <c r="F331" s="22">
        <v>7937.2</v>
      </c>
      <c r="G331" s="22">
        <v>1007.2</v>
      </c>
      <c r="H331" s="22">
        <v>1828.3</v>
      </c>
      <c r="I331" s="22">
        <v>7116.1</v>
      </c>
      <c r="J331">
        <v>0</v>
      </c>
      <c r="K331">
        <v>0</v>
      </c>
      <c r="L331" s="22">
        <v>7116.1</v>
      </c>
      <c r="M331" s="22">
        <v>0</v>
      </c>
      <c r="N331" s="22">
        <v>0</v>
      </c>
      <c r="O331" s="22">
        <v>7116.1</v>
      </c>
      <c r="P331" s="22">
        <v>3000</v>
      </c>
      <c r="Q331" s="22">
        <v>4116.1000000000004</v>
      </c>
      <c r="R331">
        <v>1000</v>
      </c>
      <c r="T331" t="s">
        <v>2965</v>
      </c>
      <c r="U331" t="s">
        <v>3055</v>
      </c>
      <c r="V331" t="s">
        <v>3056</v>
      </c>
    </row>
    <row r="332" spans="1:22">
      <c r="A332">
        <v>331</v>
      </c>
      <c r="B332" t="s">
        <v>792</v>
      </c>
      <c r="C332" t="s">
        <v>793</v>
      </c>
      <c r="D332" t="s">
        <v>7</v>
      </c>
      <c r="E332" t="s">
        <v>8</v>
      </c>
      <c r="F332" s="22">
        <v>11210.9</v>
      </c>
      <c r="G332" s="22">
        <v>0</v>
      </c>
      <c r="H332" s="22">
        <v>925.2</v>
      </c>
      <c r="I332" s="22">
        <v>10285.700000000001</v>
      </c>
      <c r="J332">
        <v>0</v>
      </c>
      <c r="K332">
        <v>0</v>
      </c>
      <c r="L332" s="22">
        <v>10285.700000000001</v>
      </c>
      <c r="M332" s="22">
        <v>0</v>
      </c>
      <c r="N332" s="22">
        <v>0</v>
      </c>
      <c r="O332" s="22">
        <v>10285.700000000001</v>
      </c>
      <c r="P332" s="22">
        <v>1500</v>
      </c>
      <c r="Q332" s="22">
        <v>8785.7000000000007</v>
      </c>
      <c r="R332">
        <v>0</v>
      </c>
      <c r="T332" t="s">
        <v>2965</v>
      </c>
      <c r="U332" t="s">
        <v>3055</v>
      </c>
      <c r="V332" t="s">
        <v>3056</v>
      </c>
    </row>
    <row r="333" spans="1:22">
      <c r="A333">
        <v>332</v>
      </c>
      <c r="B333" t="s">
        <v>796</v>
      </c>
      <c r="C333" t="s">
        <v>797</v>
      </c>
      <c r="D333" t="s">
        <v>7</v>
      </c>
      <c r="E333" t="s">
        <v>8</v>
      </c>
      <c r="F333" s="22">
        <v>0</v>
      </c>
      <c r="G333" s="22">
        <v>0</v>
      </c>
      <c r="H333" s="22">
        <v>0</v>
      </c>
      <c r="I333" s="22">
        <v>0</v>
      </c>
      <c r="J333">
        <v>0</v>
      </c>
      <c r="K333">
        <v>0</v>
      </c>
      <c r="L333" s="22">
        <v>0</v>
      </c>
      <c r="M333" s="22">
        <v>0</v>
      </c>
      <c r="N333" s="22">
        <v>0</v>
      </c>
      <c r="O333" s="22">
        <v>0</v>
      </c>
      <c r="P333" s="22">
        <v>0</v>
      </c>
      <c r="Q333" s="22">
        <v>0</v>
      </c>
      <c r="R333">
        <v>0</v>
      </c>
      <c r="T333" t="s">
        <v>2965</v>
      </c>
      <c r="U333" t="s">
        <v>3055</v>
      </c>
      <c r="V333" t="s">
        <v>3056</v>
      </c>
    </row>
    <row r="334" spans="1:22">
      <c r="A334">
        <v>333</v>
      </c>
      <c r="B334" t="s">
        <v>798</v>
      </c>
      <c r="C334" t="s">
        <v>799</v>
      </c>
      <c r="D334" t="s">
        <v>7</v>
      </c>
      <c r="E334" t="s">
        <v>8</v>
      </c>
      <c r="F334" s="22">
        <v>1493.5</v>
      </c>
      <c r="G334" s="22">
        <v>0</v>
      </c>
      <c r="H334" s="22">
        <v>243.8</v>
      </c>
      <c r="I334" s="22">
        <v>1249.7</v>
      </c>
      <c r="J334">
        <v>0</v>
      </c>
      <c r="K334">
        <v>0</v>
      </c>
      <c r="L334" s="22">
        <v>1249.7</v>
      </c>
      <c r="M334" s="22">
        <v>0</v>
      </c>
      <c r="N334" s="22">
        <v>0</v>
      </c>
      <c r="O334" s="22">
        <v>1249.7</v>
      </c>
      <c r="P334" s="22">
        <v>600</v>
      </c>
      <c r="Q334" s="22">
        <v>649.70000000000005</v>
      </c>
      <c r="R334">
        <v>0</v>
      </c>
      <c r="T334" t="s">
        <v>2965</v>
      </c>
      <c r="U334" t="s">
        <v>3055</v>
      </c>
      <c r="V334" t="s">
        <v>3056</v>
      </c>
    </row>
    <row r="335" spans="1:22">
      <c r="A335">
        <v>334</v>
      </c>
      <c r="B335" t="s">
        <v>800</v>
      </c>
      <c r="C335" t="s">
        <v>801</v>
      </c>
      <c r="D335" t="s">
        <v>7</v>
      </c>
      <c r="E335" t="s">
        <v>8</v>
      </c>
      <c r="F335" s="22">
        <v>711.3</v>
      </c>
      <c r="G335" s="22">
        <v>0</v>
      </c>
      <c r="H335" s="22">
        <v>84</v>
      </c>
      <c r="I335" s="22">
        <v>627.29999999999995</v>
      </c>
      <c r="J335">
        <v>0</v>
      </c>
      <c r="K335">
        <v>0</v>
      </c>
      <c r="L335" s="22">
        <v>627.29999999999995</v>
      </c>
      <c r="M335" s="22">
        <v>0</v>
      </c>
      <c r="N335" s="22">
        <v>0</v>
      </c>
      <c r="O335" s="22">
        <v>627.29999999999995</v>
      </c>
      <c r="P335" s="22">
        <v>1000</v>
      </c>
      <c r="Q335" s="22">
        <v>-372.70000000000005</v>
      </c>
      <c r="R335">
        <v>0</v>
      </c>
      <c r="T335" t="s">
        <v>2965</v>
      </c>
      <c r="U335" t="s">
        <v>3055</v>
      </c>
      <c r="V335" t="s">
        <v>3056</v>
      </c>
    </row>
    <row r="336" spans="1:22">
      <c r="A336">
        <v>335</v>
      </c>
      <c r="B336" t="s">
        <v>802</v>
      </c>
      <c r="C336" t="s">
        <v>803</v>
      </c>
      <c r="D336" t="s">
        <v>7</v>
      </c>
      <c r="E336" t="s">
        <v>8</v>
      </c>
      <c r="F336" s="22">
        <v>2371.5</v>
      </c>
      <c r="G336" s="22">
        <v>0</v>
      </c>
      <c r="H336" s="22">
        <v>0</v>
      </c>
      <c r="I336" s="22">
        <v>2371.5</v>
      </c>
      <c r="J336">
        <v>0</v>
      </c>
      <c r="K336">
        <v>0</v>
      </c>
      <c r="L336" s="22">
        <v>2371.5</v>
      </c>
      <c r="M336" s="22">
        <v>0</v>
      </c>
      <c r="N336" s="22">
        <v>0</v>
      </c>
      <c r="O336" s="22">
        <v>2371.5</v>
      </c>
      <c r="P336" s="22">
        <v>1000</v>
      </c>
      <c r="Q336" s="22">
        <v>1371.5</v>
      </c>
      <c r="R336">
        <v>0</v>
      </c>
      <c r="T336" t="s">
        <v>2965</v>
      </c>
      <c r="U336" t="s">
        <v>3055</v>
      </c>
      <c r="V336" t="s">
        <v>3056</v>
      </c>
    </row>
    <row r="337" spans="1:22">
      <c r="A337">
        <v>336</v>
      </c>
      <c r="B337" t="s">
        <v>804</v>
      </c>
      <c r="C337" t="s">
        <v>805</v>
      </c>
      <c r="D337" t="s">
        <v>7</v>
      </c>
      <c r="E337" t="s">
        <v>8</v>
      </c>
      <c r="F337" s="22">
        <v>843</v>
      </c>
      <c r="G337" s="22">
        <v>0</v>
      </c>
      <c r="H337" s="22">
        <v>0</v>
      </c>
      <c r="I337" s="22">
        <v>843</v>
      </c>
      <c r="J337">
        <v>0</v>
      </c>
      <c r="K337">
        <v>0</v>
      </c>
      <c r="L337" s="22">
        <v>843</v>
      </c>
      <c r="M337" s="22">
        <v>0</v>
      </c>
      <c r="N337" s="22">
        <v>0</v>
      </c>
      <c r="O337" s="22">
        <v>843</v>
      </c>
      <c r="P337" s="22">
        <v>0</v>
      </c>
      <c r="Q337" s="22">
        <v>843</v>
      </c>
      <c r="R337">
        <v>0</v>
      </c>
      <c r="T337" t="s">
        <v>2965</v>
      </c>
      <c r="U337" t="s">
        <v>3055</v>
      </c>
      <c r="V337" t="s">
        <v>3056</v>
      </c>
    </row>
    <row r="338" spans="1:22">
      <c r="A338">
        <v>337</v>
      </c>
      <c r="B338" t="s">
        <v>806</v>
      </c>
      <c r="C338" t="s">
        <v>807</v>
      </c>
      <c r="D338" t="s">
        <v>7</v>
      </c>
      <c r="E338" t="s">
        <v>8</v>
      </c>
      <c r="F338" s="22">
        <v>465.9</v>
      </c>
      <c r="G338" s="22">
        <v>0</v>
      </c>
      <c r="H338" s="22">
        <v>0</v>
      </c>
      <c r="I338" s="22">
        <v>465.9</v>
      </c>
      <c r="J338">
        <v>0</v>
      </c>
      <c r="K338">
        <v>0</v>
      </c>
      <c r="L338" s="22">
        <v>465.9</v>
      </c>
      <c r="M338" s="22">
        <v>0</v>
      </c>
      <c r="N338" s="22">
        <v>0</v>
      </c>
      <c r="O338" s="22">
        <v>465.9</v>
      </c>
      <c r="P338" s="22">
        <v>0</v>
      </c>
      <c r="Q338" s="22">
        <v>465.9</v>
      </c>
      <c r="R338">
        <v>0</v>
      </c>
      <c r="T338" t="s">
        <v>2965</v>
      </c>
      <c r="U338" t="s">
        <v>3055</v>
      </c>
      <c r="V338" t="s">
        <v>3056</v>
      </c>
    </row>
    <row r="339" spans="1:22">
      <c r="A339">
        <v>338</v>
      </c>
      <c r="B339" t="s">
        <v>808</v>
      </c>
      <c r="C339" t="s">
        <v>809</v>
      </c>
      <c r="D339" t="s">
        <v>7</v>
      </c>
      <c r="E339" t="s">
        <v>8</v>
      </c>
      <c r="F339" s="22">
        <v>581</v>
      </c>
      <c r="G339" s="22">
        <v>0</v>
      </c>
      <c r="H339" s="22">
        <v>0</v>
      </c>
      <c r="I339" s="22">
        <v>581</v>
      </c>
      <c r="J339">
        <v>0</v>
      </c>
      <c r="K339">
        <v>0</v>
      </c>
      <c r="L339" s="22">
        <v>581</v>
      </c>
      <c r="M339" s="22">
        <v>0</v>
      </c>
      <c r="N339" s="22">
        <v>0</v>
      </c>
      <c r="O339" s="22">
        <v>581</v>
      </c>
      <c r="P339" s="22">
        <v>0</v>
      </c>
      <c r="Q339" s="22">
        <v>581</v>
      </c>
      <c r="R339">
        <v>0</v>
      </c>
      <c r="T339" t="s">
        <v>2965</v>
      </c>
      <c r="U339" t="s">
        <v>3055</v>
      </c>
      <c r="V339" t="s">
        <v>3056</v>
      </c>
    </row>
    <row r="340" spans="1:22">
      <c r="A340">
        <v>339</v>
      </c>
      <c r="B340" t="s">
        <v>810</v>
      </c>
      <c r="C340" t="s">
        <v>811</v>
      </c>
      <c r="D340" t="s">
        <v>7</v>
      </c>
      <c r="E340" t="s">
        <v>8</v>
      </c>
      <c r="F340" s="22">
        <v>843.6</v>
      </c>
      <c r="G340" s="22">
        <v>0</v>
      </c>
      <c r="H340" s="22">
        <v>0</v>
      </c>
      <c r="I340" s="22">
        <v>843.6</v>
      </c>
      <c r="J340">
        <v>0</v>
      </c>
      <c r="K340">
        <v>0</v>
      </c>
      <c r="L340" s="22">
        <v>843.6</v>
      </c>
      <c r="M340" s="22">
        <v>0</v>
      </c>
      <c r="N340" s="22">
        <v>0</v>
      </c>
      <c r="O340" s="22">
        <v>843.6</v>
      </c>
      <c r="P340" s="22">
        <v>0</v>
      </c>
      <c r="Q340" s="22">
        <v>843.6</v>
      </c>
      <c r="R340">
        <v>0</v>
      </c>
      <c r="T340" t="s">
        <v>2965</v>
      </c>
      <c r="U340" t="s">
        <v>3055</v>
      </c>
      <c r="V340" t="s">
        <v>3056</v>
      </c>
    </row>
    <row r="341" spans="1:22">
      <c r="A341">
        <v>340</v>
      </c>
      <c r="B341" t="s">
        <v>814</v>
      </c>
      <c r="C341" t="s">
        <v>815</v>
      </c>
      <c r="D341" t="s">
        <v>7</v>
      </c>
      <c r="E341" t="s">
        <v>8</v>
      </c>
      <c r="F341" s="22">
        <v>357.3</v>
      </c>
      <c r="G341" s="22">
        <v>0</v>
      </c>
      <c r="H341" s="22">
        <v>58.9</v>
      </c>
      <c r="I341" s="22">
        <v>298.39999999999998</v>
      </c>
      <c r="J341">
        <v>0</v>
      </c>
      <c r="K341">
        <v>0</v>
      </c>
      <c r="L341" s="22">
        <v>298.39999999999998</v>
      </c>
      <c r="M341" s="22">
        <v>0</v>
      </c>
      <c r="N341" s="22">
        <v>0</v>
      </c>
      <c r="O341" s="22">
        <v>298.39999999999998</v>
      </c>
      <c r="P341" s="22">
        <v>500</v>
      </c>
      <c r="Q341" s="22">
        <v>-201.60000000000002</v>
      </c>
      <c r="R341">
        <v>500</v>
      </c>
      <c r="T341" t="s">
        <v>2965</v>
      </c>
      <c r="U341" t="s">
        <v>3055</v>
      </c>
      <c r="V341" t="s">
        <v>3056</v>
      </c>
    </row>
    <row r="342" spans="1:22">
      <c r="A342">
        <v>341</v>
      </c>
      <c r="B342" t="s">
        <v>816</v>
      </c>
      <c r="C342" t="s">
        <v>817</v>
      </c>
      <c r="D342" t="s">
        <v>7</v>
      </c>
      <c r="E342" t="s">
        <v>8</v>
      </c>
      <c r="F342" s="22">
        <v>0</v>
      </c>
      <c r="G342" s="22">
        <v>0</v>
      </c>
      <c r="H342" s="22">
        <v>0</v>
      </c>
      <c r="I342" s="22">
        <v>0</v>
      </c>
      <c r="J342">
        <v>0</v>
      </c>
      <c r="K342">
        <v>0</v>
      </c>
      <c r="L342" s="22">
        <v>0</v>
      </c>
      <c r="M342" s="22">
        <v>0</v>
      </c>
      <c r="N342" s="22">
        <v>0</v>
      </c>
      <c r="O342" s="22">
        <v>0</v>
      </c>
      <c r="P342" s="22">
        <v>0</v>
      </c>
      <c r="Q342" s="22">
        <v>0</v>
      </c>
      <c r="R342">
        <v>0</v>
      </c>
      <c r="T342" t="s">
        <v>2965</v>
      </c>
      <c r="U342" t="s">
        <v>3055</v>
      </c>
      <c r="V342" t="s">
        <v>3056</v>
      </c>
    </row>
    <row r="343" spans="1:22">
      <c r="A343">
        <v>342</v>
      </c>
      <c r="B343" t="s">
        <v>818</v>
      </c>
      <c r="C343" t="s">
        <v>819</v>
      </c>
      <c r="D343" t="s">
        <v>7</v>
      </c>
      <c r="E343" t="s">
        <v>8</v>
      </c>
      <c r="F343" s="22">
        <v>215.82</v>
      </c>
      <c r="G343" s="22">
        <v>0</v>
      </c>
      <c r="H343" s="22">
        <v>0</v>
      </c>
      <c r="I343" s="22">
        <v>215.82</v>
      </c>
      <c r="J343">
        <v>0</v>
      </c>
      <c r="K343">
        <v>0</v>
      </c>
      <c r="L343" s="22">
        <v>215.82</v>
      </c>
      <c r="M343" s="22">
        <v>0</v>
      </c>
      <c r="N343" s="22">
        <v>0</v>
      </c>
      <c r="O343" s="22">
        <v>215.82</v>
      </c>
      <c r="P343" s="22">
        <v>200</v>
      </c>
      <c r="Q343" s="22">
        <v>15.819999999999993</v>
      </c>
      <c r="R343">
        <v>0</v>
      </c>
      <c r="T343" t="s">
        <v>2965</v>
      </c>
      <c r="U343" t="s">
        <v>3055</v>
      </c>
      <c r="V343" t="s">
        <v>3056</v>
      </c>
    </row>
    <row r="344" spans="1:22">
      <c r="A344">
        <v>343</v>
      </c>
      <c r="B344" t="s">
        <v>820</v>
      </c>
      <c r="C344" t="s">
        <v>821</v>
      </c>
      <c r="D344" t="s">
        <v>7</v>
      </c>
      <c r="E344" t="s">
        <v>8</v>
      </c>
      <c r="F344" s="22">
        <v>432.8</v>
      </c>
      <c r="G344" s="22">
        <v>0</v>
      </c>
      <c r="H344" s="22">
        <v>0</v>
      </c>
      <c r="I344" s="22">
        <v>432.8</v>
      </c>
      <c r="J344">
        <v>0</v>
      </c>
      <c r="K344">
        <v>0</v>
      </c>
      <c r="L344" s="22">
        <v>432.8</v>
      </c>
      <c r="M344" s="22">
        <v>0</v>
      </c>
      <c r="N344" s="22">
        <v>0</v>
      </c>
      <c r="O344" s="22">
        <v>432.8</v>
      </c>
      <c r="P344" s="22">
        <v>200</v>
      </c>
      <c r="Q344" s="22">
        <v>232.8</v>
      </c>
      <c r="R344">
        <v>0</v>
      </c>
      <c r="T344" t="s">
        <v>2965</v>
      </c>
      <c r="U344" t="s">
        <v>3055</v>
      </c>
      <c r="V344" t="s">
        <v>3056</v>
      </c>
    </row>
    <row r="345" spans="1:22">
      <c r="A345">
        <v>344</v>
      </c>
      <c r="B345" t="s">
        <v>822</v>
      </c>
      <c r="C345" t="s">
        <v>823</v>
      </c>
      <c r="D345" t="s">
        <v>7</v>
      </c>
      <c r="E345" t="s">
        <v>8</v>
      </c>
      <c r="F345" s="22">
        <v>207</v>
      </c>
      <c r="G345" s="22">
        <v>0</v>
      </c>
      <c r="H345" s="22">
        <v>115</v>
      </c>
      <c r="I345" s="22">
        <v>92</v>
      </c>
      <c r="J345">
        <v>0</v>
      </c>
      <c r="K345">
        <v>0</v>
      </c>
      <c r="L345" s="22">
        <v>92</v>
      </c>
      <c r="M345" s="22">
        <v>0</v>
      </c>
      <c r="N345" s="22">
        <v>0</v>
      </c>
      <c r="O345" s="22">
        <v>92</v>
      </c>
      <c r="P345" s="22">
        <v>200</v>
      </c>
      <c r="Q345" s="22">
        <v>-108</v>
      </c>
      <c r="R345">
        <v>200</v>
      </c>
      <c r="T345" t="s">
        <v>2965</v>
      </c>
      <c r="U345" t="s">
        <v>3055</v>
      </c>
      <c r="V345" t="s">
        <v>3056</v>
      </c>
    </row>
    <row r="346" spans="1:22">
      <c r="A346">
        <v>345</v>
      </c>
      <c r="B346" t="s">
        <v>824</v>
      </c>
      <c r="C346" t="s">
        <v>825</v>
      </c>
      <c r="D346" t="s">
        <v>7</v>
      </c>
      <c r="E346" t="s">
        <v>8</v>
      </c>
      <c r="F346" s="22">
        <v>505</v>
      </c>
      <c r="G346" s="22">
        <v>0</v>
      </c>
      <c r="H346" s="22">
        <v>0</v>
      </c>
      <c r="I346" s="22">
        <v>505</v>
      </c>
      <c r="J346">
        <v>0</v>
      </c>
      <c r="K346">
        <v>0</v>
      </c>
      <c r="L346" s="22">
        <v>505</v>
      </c>
      <c r="M346" s="22">
        <v>0</v>
      </c>
      <c r="N346" s="22">
        <v>0</v>
      </c>
      <c r="O346" s="22">
        <v>505</v>
      </c>
      <c r="P346" s="22">
        <v>200</v>
      </c>
      <c r="Q346" s="22">
        <v>305</v>
      </c>
      <c r="R346">
        <v>0</v>
      </c>
      <c r="T346" t="s">
        <v>2965</v>
      </c>
      <c r="U346" t="s">
        <v>3055</v>
      </c>
      <c r="V346" t="s">
        <v>3056</v>
      </c>
    </row>
    <row r="347" spans="1:22">
      <c r="A347">
        <v>346</v>
      </c>
      <c r="B347" t="s">
        <v>826</v>
      </c>
      <c r="C347" t="s">
        <v>827</v>
      </c>
      <c r="D347" t="s">
        <v>20</v>
      </c>
      <c r="E347" t="s">
        <v>8</v>
      </c>
      <c r="F347" s="22">
        <v>0</v>
      </c>
      <c r="G347" s="22">
        <v>0</v>
      </c>
      <c r="H347" s="22">
        <v>0</v>
      </c>
      <c r="I347" s="22">
        <v>0</v>
      </c>
      <c r="J347">
        <v>0</v>
      </c>
      <c r="K347">
        <v>0</v>
      </c>
      <c r="L347" s="22">
        <v>0</v>
      </c>
      <c r="M347" s="22">
        <v>0</v>
      </c>
      <c r="N347" s="22">
        <v>0</v>
      </c>
      <c r="O347" s="22">
        <v>0</v>
      </c>
      <c r="P347" s="22">
        <v>40</v>
      </c>
      <c r="Q347" s="22">
        <v>-40</v>
      </c>
      <c r="R347">
        <v>0</v>
      </c>
      <c r="T347" t="s">
        <v>2965</v>
      </c>
      <c r="U347" t="s">
        <v>3055</v>
      </c>
      <c r="V347" t="s">
        <v>3058</v>
      </c>
    </row>
    <row r="348" spans="1:22">
      <c r="A348">
        <v>347</v>
      </c>
      <c r="B348" t="s">
        <v>828</v>
      </c>
      <c r="C348" t="s">
        <v>829</v>
      </c>
      <c r="D348" t="s">
        <v>17</v>
      </c>
      <c r="E348" t="s">
        <v>8</v>
      </c>
      <c r="F348" s="22">
        <v>127</v>
      </c>
      <c r="G348" s="22">
        <v>0</v>
      </c>
      <c r="H348" s="22">
        <v>0</v>
      </c>
      <c r="I348" s="22">
        <v>127</v>
      </c>
      <c r="J348">
        <v>0</v>
      </c>
      <c r="K348">
        <v>0</v>
      </c>
      <c r="L348" s="22">
        <v>127</v>
      </c>
      <c r="M348" s="22">
        <v>0</v>
      </c>
      <c r="N348" s="22">
        <v>0</v>
      </c>
      <c r="O348" s="22">
        <v>127</v>
      </c>
      <c r="P348" s="22">
        <v>0</v>
      </c>
      <c r="Q348" s="22">
        <v>127</v>
      </c>
      <c r="R348">
        <v>0</v>
      </c>
      <c r="T348" t="s">
        <v>2965</v>
      </c>
      <c r="U348" t="s">
        <v>3055</v>
      </c>
      <c r="V348" t="s">
        <v>3058</v>
      </c>
    </row>
    <row r="349" spans="1:22">
      <c r="A349">
        <v>348</v>
      </c>
      <c r="B349" t="s">
        <v>830</v>
      </c>
      <c r="C349" t="s">
        <v>831</v>
      </c>
      <c r="D349" t="s">
        <v>20</v>
      </c>
      <c r="E349" t="s">
        <v>8</v>
      </c>
      <c r="F349" s="22">
        <v>494.4</v>
      </c>
      <c r="G349" s="22">
        <v>0</v>
      </c>
      <c r="H349" s="22">
        <v>0</v>
      </c>
      <c r="I349" s="22">
        <v>494.4</v>
      </c>
      <c r="J349">
        <v>0</v>
      </c>
      <c r="K349">
        <v>0</v>
      </c>
      <c r="L349" s="22">
        <v>494.4</v>
      </c>
      <c r="M349" s="22">
        <v>0</v>
      </c>
      <c r="N349" s="22">
        <v>0</v>
      </c>
      <c r="O349" s="22">
        <v>494.4</v>
      </c>
      <c r="P349" s="22">
        <v>100</v>
      </c>
      <c r="Q349" s="22">
        <v>394.4</v>
      </c>
      <c r="R349">
        <v>0</v>
      </c>
      <c r="T349" t="s">
        <v>2965</v>
      </c>
      <c r="U349" t="s">
        <v>3055</v>
      </c>
      <c r="V349" t="s">
        <v>3058</v>
      </c>
    </row>
    <row r="350" spans="1:22">
      <c r="A350">
        <v>349</v>
      </c>
      <c r="B350" t="s">
        <v>834</v>
      </c>
      <c r="C350" t="s">
        <v>835</v>
      </c>
      <c r="D350" t="s">
        <v>7</v>
      </c>
      <c r="E350" t="s">
        <v>8</v>
      </c>
      <c r="F350" s="22">
        <v>190</v>
      </c>
      <c r="G350" s="22">
        <v>0</v>
      </c>
      <c r="H350" s="22">
        <v>0</v>
      </c>
      <c r="I350" s="22">
        <v>190</v>
      </c>
      <c r="J350">
        <v>0</v>
      </c>
      <c r="K350">
        <v>0</v>
      </c>
      <c r="L350" s="22">
        <v>190</v>
      </c>
      <c r="M350" s="22">
        <v>0</v>
      </c>
      <c r="N350" s="22">
        <v>0</v>
      </c>
      <c r="O350" s="22">
        <v>190</v>
      </c>
      <c r="P350" s="22">
        <v>50</v>
      </c>
      <c r="Q350" s="22">
        <v>140</v>
      </c>
      <c r="R350">
        <v>0</v>
      </c>
      <c r="T350" t="s">
        <v>2965</v>
      </c>
      <c r="U350" t="s">
        <v>3055</v>
      </c>
      <c r="V350" t="s">
        <v>3056</v>
      </c>
    </row>
    <row r="351" spans="1:22">
      <c r="A351">
        <v>350</v>
      </c>
      <c r="B351" t="s">
        <v>836</v>
      </c>
      <c r="C351" t="s">
        <v>837</v>
      </c>
      <c r="D351" t="s">
        <v>7</v>
      </c>
      <c r="E351" t="s">
        <v>8</v>
      </c>
      <c r="F351" s="22">
        <v>565</v>
      </c>
      <c r="G351" s="22">
        <v>141</v>
      </c>
      <c r="H351" s="22">
        <v>346</v>
      </c>
      <c r="I351" s="22">
        <v>360</v>
      </c>
      <c r="J351">
        <v>0</v>
      </c>
      <c r="K351">
        <v>0</v>
      </c>
      <c r="L351" s="22">
        <v>360</v>
      </c>
      <c r="M351" s="22">
        <v>0</v>
      </c>
      <c r="N351" s="22">
        <v>0</v>
      </c>
      <c r="O351" s="22">
        <v>360</v>
      </c>
      <c r="P351" s="22">
        <v>350</v>
      </c>
      <c r="Q351" s="22">
        <v>10</v>
      </c>
      <c r="R351">
        <v>1000</v>
      </c>
      <c r="T351" t="s">
        <v>2965</v>
      </c>
      <c r="U351" t="s">
        <v>3055</v>
      </c>
      <c r="V351" t="s">
        <v>3056</v>
      </c>
    </row>
    <row r="352" spans="1:22">
      <c r="A352">
        <v>351</v>
      </c>
      <c r="B352" t="s">
        <v>516</v>
      </c>
      <c r="C352" t="s">
        <v>517</v>
      </c>
      <c r="D352" t="s">
        <v>17</v>
      </c>
      <c r="E352" t="s">
        <v>8</v>
      </c>
      <c r="F352" s="22">
        <v>0</v>
      </c>
      <c r="G352" s="22">
        <v>0</v>
      </c>
      <c r="H352" s="22">
        <v>0</v>
      </c>
      <c r="I352" s="22">
        <v>0</v>
      </c>
      <c r="J352">
        <v>0</v>
      </c>
      <c r="K352">
        <v>0</v>
      </c>
      <c r="L352" s="22">
        <v>0</v>
      </c>
      <c r="M352" s="22">
        <v>0</v>
      </c>
      <c r="N352" s="22">
        <v>0</v>
      </c>
      <c r="O352" s="22">
        <v>0</v>
      </c>
      <c r="P352" s="22">
        <v>0</v>
      </c>
      <c r="Q352" s="22">
        <v>0</v>
      </c>
      <c r="R352">
        <v>0</v>
      </c>
      <c r="T352" t="s">
        <v>2972</v>
      </c>
      <c r="U352" t="s">
        <v>3057</v>
      </c>
      <c r="V352" t="s">
        <v>3056</v>
      </c>
    </row>
    <row r="353" spans="1:22">
      <c r="A353">
        <v>352</v>
      </c>
      <c r="B353" t="s">
        <v>840</v>
      </c>
      <c r="C353" t="s">
        <v>841</v>
      </c>
      <c r="D353" t="s">
        <v>17</v>
      </c>
      <c r="E353" t="s">
        <v>8</v>
      </c>
      <c r="F353" s="22">
        <v>1000</v>
      </c>
      <c r="G353" s="22">
        <v>3000</v>
      </c>
      <c r="H353" s="22">
        <v>2000</v>
      </c>
      <c r="I353" s="22">
        <v>2000</v>
      </c>
      <c r="J353">
        <v>0</v>
      </c>
      <c r="K353">
        <v>0</v>
      </c>
      <c r="L353" s="22">
        <v>2000</v>
      </c>
      <c r="M353" s="22">
        <v>0</v>
      </c>
      <c r="N353" s="22">
        <v>0</v>
      </c>
      <c r="O353" s="22">
        <v>2000</v>
      </c>
      <c r="P353" s="22">
        <v>1100</v>
      </c>
      <c r="Q353" s="22">
        <v>900</v>
      </c>
      <c r="R353">
        <v>3000</v>
      </c>
      <c r="T353" t="s">
        <v>2972</v>
      </c>
      <c r="U353" t="s">
        <v>3055</v>
      </c>
      <c r="V353" t="s">
        <v>3056</v>
      </c>
    </row>
    <row r="354" spans="1:22">
      <c r="A354">
        <v>353</v>
      </c>
      <c r="B354" t="s">
        <v>844</v>
      </c>
      <c r="C354" t="s">
        <v>845</v>
      </c>
      <c r="D354" t="s">
        <v>17</v>
      </c>
      <c r="E354" t="s">
        <v>8</v>
      </c>
      <c r="F354" s="22">
        <v>0</v>
      </c>
      <c r="G354" s="22">
        <v>0</v>
      </c>
      <c r="H354" s="22">
        <v>0</v>
      </c>
      <c r="I354" s="22">
        <v>0</v>
      </c>
      <c r="J354">
        <v>0</v>
      </c>
      <c r="K354">
        <v>0</v>
      </c>
      <c r="L354" s="22">
        <v>0</v>
      </c>
      <c r="M354" s="22">
        <v>0</v>
      </c>
      <c r="N354" s="22">
        <v>0</v>
      </c>
      <c r="O354" s="22">
        <v>0</v>
      </c>
      <c r="P354" s="22">
        <v>0</v>
      </c>
      <c r="Q354" s="22">
        <v>0</v>
      </c>
      <c r="R354">
        <v>0</v>
      </c>
      <c r="T354" t="s">
        <v>2972</v>
      </c>
      <c r="U354" t="s">
        <v>3055</v>
      </c>
      <c r="V354" t="s">
        <v>3056</v>
      </c>
    </row>
    <row r="355" spans="1:22">
      <c r="A355">
        <v>354</v>
      </c>
      <c r="B355" t="s">
        <v>518</v>
      </c>
      <c r="C355" t="s">
        <v>519</v>
      </c>
      <c r="D355" t="s">
        <v>7</v>
      </c>
      <c r="E355" t="s">
        <v>8</v>
      </c>
      <c r="F355" s="22">
        <v>900</v>
      </c>
      <c r="G355" s="22">
        <v>0</v>
      </c>
      <c r="H355" s="22">
        <v>0</v>
      </c>
      <c r="I355" s="22">
        <v>900</v>
      </c>
      <c r="J355">
        <v>0</v>
      </c>
      <c r="K355">
        <v>0</v>
      </c>
      <c r="L355" s="22">
        <v>900</v>
      </c>
      <c r="M355" s="22">
        <v>0</v>
      </c>
      <c r="N355" s="22">
        <v>0</v>
      </c>
      <c r="O355" s="22">
        <v>900</v>
      </c>
      <c r="P355" s="22">
        <v>740</v>
      </c>
      <c r="Q355" s="22">
        <v>160</v>
      </c>
      <c r="R355">
        <v>0</v>
      </c>
      <c r="T355" t="s">
        <v>2972</v>
      </c>
      <c r="U355" t="s">
        <v>3057</v>
      </c>
      <c r="V355" t="s">
        <v>3058</v>
      </c>
    </row>
    <row r="356" spans="1:22">
      <c r="A356">
        <v>355</v>
      </c>
      <c r="B356" t="s">
        <v>848</v>
      </c>
      <c r="C356" t="s">
        <v>849</v>
      </c>
      <c r="D356" t="s">
        <v>17</v>
      </c>
      <c r="E356" t="s">
        <v>8</v>
      </c>
      <c r="F356" s="22">
        <v>267</v>
      </c>
      <c r="G356" s="22">
        <v>0</v>
      </c>
      <c r="H356" s="22">
        <v>100</v>
      </c>
      <c r="I356" s="22">
        <v>167</v>
      </c>
      <c r="J356">
        <v>0</v>
      </c>
      <c r="K356">
        <v>0</v>
      </c>
      <c r="L356" s="22">
        <v>167</v>
      </c>
      <c r="M356" s="22">
        <v>0</v>
      </c>
      <c r="N356" s="22">
        <v>0</v>
      </c>
      <c r="O356" s="22">
        <v>167</v>
      </c>
      <c r="P356" s="22">
        <v>200</v>
      </c>
      <c r="Q356" s="22">
        <v>-33</v>
      </c>
      <c r="R356">
        <v>0</v>
      </c>
      <c r="T356" t="s">
        <v>2972</v>
      </c>
      <c r="U356" t="s">
        <v>3055</v>
      </c>
      <c r="V356" t="s">
        <v>3056</v>
      </c>
    </row>
    <row r="357" spans="1:22">
      <c r="A357">
        <v>356</v>
      </c>
      <c r="B357" t="s">
        <v>854</v>
      </c>
      <c r="C357" t="s">
        <v>855</v>
      </c>
      <c r="D357" t="s">
        <v>17</v>
      </c>
      <c r="E357" t="s">
        <v>8</v>
      </c>
      <c r="F357" s="22">
        <v>0</v>
      </c>
      <c r="G357" s="22">
        <v>0</v>
      </c>
      <c r="H357" s="22">
        <v>0</v>
      </c>
      <c r="I357" s="22">
        <v>0</v>
      </c>
      <c r="J357">
        <v>0</v>
      </c>
      <c r="K357">
        <v>0</v>
      </c>
      <c r="L357" s="22">
        <v>0</v>
      </c>
      <c r="M357" s="22">
        <v>0</v>
      </c>
      <c r="N357" s="22">
        <v>0</v>
      </c>
      <c r="O357" s="22">
        <v>0</v>
      </c>
      <c r="P357" s="22">
        <v>0</v>
      </c>
      <c r="Q357" s="22">
        <v>0</v>
      </c>
      <c r="R357">
        <v>0</v>
      </c>
      <c r="T357" t="s">
        <v>2982</v>
      </c>
      <c r="U357" t="s">
        <v>3060</v>
      </c>
      <c r="V357" t="s">
        <v>3058</v>
      </c>
    </row>
    <row r="358" spans="1:22">
      <c r="A358">
        <v>357</v>
      </c>
      <c r="B358" t="s">
        <v>856</v>
      </c>
      <c r="C358" t="s">
        <v>857</v>
      </c>
      <c r="D358" t="s">
        <v>17</v>
      </c>
      <c r="E358" t="s">
        <v>8</v>
      </c>
      <c r="F358" s="22">
        <v>348</v>
      </c>
      <c r="G358" s="22">
        <v>500</v>
      </c>
      <c r="H358" s="22">
        <v>0</v>
      </c>
      <c r="I358" s="22">
        <v>848</v>
      </c>
      <c r="J358">
        <v>0</v>
      </c>
      <c r="K358">
        <v>263</v>
      </c>
      <c r="L358" s="22">
        <v>585</v>
      </c>
      <c r="M358" s="22">
        <v>0</v>
      </c>
      <c r="N358" s="22">
        <v>0</v>
      </c>
      <c r="O358" s="22">
        <v>585</v>
      </c>
      <c r="P358" s="22">
        <v>200</v>
      </c>
      <c r="Q358" s="22">
        <v>385</v>
      </c>
      <c r="R358">
        <v>500</v>
      </c>
      <c r="T358" t="s">
        <v>2965</v>
      </c>
      <c r="U358" t="s">
        <v>3055</v>
      </c>
      <c r="V358" t="s">
        <v>3056</v>
      </c>
    </row>
    <row r="359" spans="1:22">
      <c r="A359">
        <v>358</v>
      </c>
      <c r="B359" t="s">
        <v>858</v>
      </c>
      <c r="C359" t="s">
        <v>859</v>
      </c>
      <c r="D359" t="s">
        <v>135</v>
      </c>
      <c r="E359" t="s">
        <v>8</v>
      </c>
      <c r="F359" s="22">
        <v>0</v>
      </c>
      <c r="G359" s="22">
        <v>0</v>
      </c>
      <c r="H359" s="22">
        <v>0</v>
      </c>
      <c r="I359" s="22">
        <v>0</v>
      </c>
      <c r="J359">
        <v>0</v>
      </c>
      <c r="K359">
        <v>0</v>
      </c>
      <c r="L359" s="22">
        <v>0</v>
      </c>
      <c r="M359" s="22">
        <v>0</v>
      </c>
      <c r="N359" s="22">
        <v>0</v>
      </c>
      <c r="O359" s="22">
        <v>0</v>
      </c>
      <c r="P359" s="22">
        <v>0</v>
      </c>
      <c r="Q359" s="22">
        <v>0</v>
      </c>
      <c r="R359">
        <v>0</v>
      </c>
      <c r="T359" t="s">
        <v>2974</v>
      </c>
      <c r="U359" t="s">
        <v>3055</v>
      </c>
      <c r="V359" t="s">
        <v>3056</v>
      </c>
    </row>
    <row r="360" spans="1:22">
      <c r="A360">
        <v>359</v>
      </c>
      <c r="B360" t="s">
        <v>860</v>
      </c>
      <c r="C360" t="s">
        <v>861</v>
      </c>
      <c r="D360" t="s">
        <v>135</v>
      </c>
      <c r="E360" t="s">
        <v>8</v>
      </c>
      <c r="F360" s="22">
        <v>0</v>
      </c>
      <c r="G360" s="22">
        <v>0</v>
      </c>
      <c r="H360" s="22">
        <v>0</v>
      </c>
      <c r="I360" s="22">
        <v>0</v>
      </c>
      <c r="J360">
        <v>0</v>
      </c>
      <c r="K360">
        <v>0</v>
      </c>
      <c r="L360" s="22">
        <v>0</v>
      </c>
      <c r="M360" s="22">
        <v>0</v>
      </c>
      <c r="N360" s="22">
        <v>0</v>
      </c>
      <c r="O360" s="22">
        <v>0</v>
      </c>
      <c r="P360" s="22">
        <v>0</v>
      </c>
      <c r="Q360" s="22">
        <v>0</v>
      </c>
      <c r="R360">
        <v>0</v>
      </c>
      <c r="T360" t="s">
        <v>2974</v>
      </c>
      <c r="U360" t="s">
        <v>3055</v>
      </c>
      <c r="V360" t="s">
        <v>3056</v>
      </c>
    </row>
    <row r="361" spans="1:22">
      <c r="A361">
        <v>360</v>
      </c>
      <c r="B361" t="s">
        <v>862</v>
      </c>
      <c r="C361" t="s">
        <v>863</v>
      </c>
      <c r="D361" t="s">
        <v>17</v>
      </c>
      <c r="E361" t="s">
        <v>8</v>
      </c>
      <c r="F361" s="22">
        <v>86</v>
      </c>
      <c r="G361" s="22">
        <v>0</v>
      </c>
      <c r="H361" s="22">
        <v>0</v>
      </c>
      <c r="I361" s="22">
        <v>86</v>
      </c>
      <c r="J361">
        <v>0</v>
      </c>
      <c r="K361">
        <v>0</v>
      </c>
      <c r="L361" s="22">
        <v>86</v>
      </c>
      <c r="M361" s="22">
        <v>0</v>
      </c>
      <c r="N361" s="22">
        <v>0</v>
      </c>
      <c r="O361" s="22">
        <v>86</v>
      </c>
      <c r="P361" s="22">
        <v>100</v>
      </c>
      <c r="Q361" s="22">
        <v>-14</v>
      </c>
      <c r="R361">
        <v>0</v>
      </c>
      <c r="T361" t="s">
        <v>2972</v>
      </c>
      <c r="U361" t="s">
        <v>3055</v>
      </c>
      <c r="V361" t="s">
        <v>3056</v>
      </c>
    </row>
    <row r="362" spans="1:22">
      <c r="A362">
        <v>361</v>
      </c>
      <c r="B362" t="s">
        <v>520</v>
      </c>
      <c r="C362" t="s">
        <v>521</v>
      </c>
      <c r="D362" t="s">
        <v>7</v>
      </c>
      <c r="E362" t="s">
        <v>8</v>
      </c>
      <c r="F362" s="22">
        <v>920</v>
      </c>
      <c r="G362" s="22">
        <v>0</v>
      </c>
      <c r="H362" s="22">
        <v>0</v>
      </c>
      <c r="I362" s="22">
        <v>920</v>
      </c>
      <c r="J362">
        <v>0</v>
      </c>
      <c r="K362">
        <v>180</v>
      </c>
      <c r="L362" s="22">
        <v>740</v>
      </c>
      <c r="M362" s="22">
        <v>0</v>
      </c>
      <c r="N362" s="22">
        <v>0</v>
      </c>
      <c r="O362" s="22">
        <v>740</v>
      </c>
      <c r="P362" s="22">
        <v>0</v>
      </c>
      <c r="Q362" s="22">
        <v>740</v>
      </c>
      <c r="R362">
        <v>0</v>
      </c>
      <c r="T362" t="s">
        <v>2972</v>
      </c>
      <c r="U362" t="s">
        <v>3057</v>
      </c>
      <c r="V362" t="s">
        <v>3058</v>
      </c>
    </row>
    <row r="363" spans="1:22">
      <c r="A363">
        <v>362</v>
      </c>
      <c r="B363" t="s">
        <v>522</v>
      </c>
      <c r="C363" t="s">
        <v>523</v>
      </c>
      <c r="D363" t="s">
        <v>7</v>
      </c>
      <c r="E363" t="s">
        <v>8</v>
      </c>
      <c r="F363" s="22">
        <v>981</v>
      </c>
      <c r="G363" s="22">
        <v>0</v>
      </c>
      <c r="H363" s="22">
        <v>0</v>
      </c>
      <c r="I363" s="22">
        <v>981</v>
      </c>
      <c r="J363">
        <v>0</v>
      </c>
      <c r="K363">
        <v>0</v>
      </c>
      <c r="L363" s="22">
        <v>981</v>
      </c>
      <c r="M363" s="22">
        <v>0</v>
      </c>
      <c r="N363" s="22">
        <v>0</v>
      </c>
      <c r="O363" s="22">
        <v>981</v>
      </c>
      <c r="P363" s="22">
        <v>360</v>
      </c>
      <c r="Q363" s="22">
        <v>621</v>
      </c>
      <c r="R363">
        <v>0</v>
      </c>
      <c r="T363" t="s">
        <v>2972</v>
      </c>
      <c r="U363" t="s">
        <v>3057</v>
      </c>
      <c r="V363" t="s">
        <v>3058</v>
      </c>
    </row>
    <row r="364" spans="1:22">
      <c r="A364">
        <v>363</v>
      </c>
      <c r="B364" t="s">
        <v>524</v>
      </c>
      <c r="C364" t="s">
        <v>525</v>
      </c>
      <c r="D364" t="s">
        <v>7</v>
      </c>
      <c r="E364" t="s">
        <v>8</v>
      </c>
      <c r="F364" s="22">
        <v>816</v>
      </c>
      <c r="G364" s="22">
        <v>0</v>
      </c>
      <c r="H364" s="22">
        <v>0</v>
      </c>
      <c r="I364" s="22">
        <v>816</v>
      </c>
      <c r="J364">
        <v>0</v>
      </c>
      <c r="K364">
        <v>0</v>
      </c>
      <c r="L364" s="22">
        <v>816</v>
      </c>
      <c r="M364" s="22">
        <v>0</v>
      </c>
      <c r="N364" s="22">
        <v>0</v>
      </c>
      <c r="O364" s="22">
        <v>816</v>
      </c>
      <c r="P364" s="22">
        <v>360</v>
      </c>
      <c r="Q364" s="22">
        <v>456</v>
      </c>
      <c r="R364">
        <v>0</v>
      </c>
      <c r="T364" t="s">
        <v>2972</v>
      </c>
      <c r="U364" t="s">
        <v>3057</v>
      </c>
      <c r="V364" t="s">
        <v>3058</v>
      </c>
    </row>
    <row r="365" spans="1:22">
      <c r="A365">
        <v>364</v>
      </c>
      <c r="B365" t="s">
        <v>526</v>
      </c>
      <c r="C365" t="s">
        <v>527</v>
      </c>
      <c r="D365" t="s">
        <v>17</v>
      </c>
      <c r="E365" t="s">
        <v>8</v>
      </c>
      <c r="F365" s="22">
        <v>1040</v>
      </c>
      <c r="G365" s="22">
        <v>0</v>
      </c>
      <c r="H365" s="22">
        <v>360</v>
      </c>
      <c r="I365" s="22">
        <v>680</v>
      </c>
      <c r="J365">
        <v>0</v>
      </c>
      <c r="K365">
        <v>0</v>
      </c>
      <c r="L365" s="22">
        <v>680</v>
      </c>
      <c r="M365" s="22">
        <v>0</v>
      </c>
      <c r="N365" s="22">
        <v>0</v>
      </c>
      <c r="O365" s="22">
        <v>680</v>
      </c>
      <c r="P365" s="22">
        <v>400</v>
      </c>
      <c r="Q365" s="22">
        <v>280</v>
      </c>
      <c r="R365">
        <v>0</v>
      </c>
      <c r="T365" t="s">
        <v>2972</v>
      </c>
      <c r="U365" t="s">
        <v>3057</v>
      </c>
      <c r="V365" t="s">
        <v>3058</v>
      </c>
    </row>
    <row r="366" spans="1:22">
      <c r="A366">
        <v>365</v>
      </c>
      <c r="B366" t="s">
        <v>530</v>
      </c>
      <c r="C366" t="s">
        <v>531</v>
      </c>
      <c r="D366" t="s">
        <v>17</v>
      </c>
      <c r="E366" t="s">
        <v>8</v>
      </c>
      <c r="F366" s="22">
        <v>0</v>
      </c>
      <c r="G366" s="22">
        <v>0</v>
      </c>
      <c r="H366" s="22">
        <v>0</v>
      </c>
      <c r="I366" s="22">
        <v>0</v>
      </c>
      <c r="J366">
        <v>0</v>
      </c>
      <c r="K366">
        <v>0</v>
      </c>
      <c r="L366" s="22">
        <v>0</v>
      </c>
      <c r="M366" s="22">
        <v>0</v>
      </c>
      <c r="N366" s="22">
        <v>0</v>
      </c>
      <c r="O366" s="22">
        <v>0</v>
      </c>
      <c r="P366" s="22">
        <v>0</v>
      </c>
      <c r="Q366" s="22">
        <v>0</v>
      </c>
      <c r="R366">
        <v>0</v>
      </c>
      <c r="T366" t="s">
        <v>2972</v>
      </c>
      <c r="U366" t="s">
        <v>3057</v>
      </c>
      <c r="V366" t="s">
        <v>3056</v>
      </c>
    </row>
    <row r="367" spans="1:22">
      <c r="A367">
        <v>366</v>
      </c>
      <c r="B367" t="s">
        <v>541</v>
      </c>
      <c r="C367" t="s">
        <v>542</v>
      </c>
      <c r="D367" t="s">
        <v>7</v>
      </c>
      <c r="E367" t="s">
        <v>8</v>
      </c>
      <c r="F367" s="22">
        <v>800</v>
      </c>
      <c r="G367" s="22">
        <v>0</v>
      </c>
      <c r="H367" s="22">
        <v>300</v>
      </c>
      <c r="I367" s="22">
        <v>500</v>
      </c>
      <c r="J367">
        <v>0</v>
      </c>
      <c r="K367">
        <v>0</v>
      </c>
      <c r="L367" s="22">
        <v>500</v>
      </c>
      <c r="M367" s="22">
        <v>0</v>
      </c>
      <c r="N367" s="22">
        <v>0</v>
      </c>
      <c r="O367" s="22">
        <v>500</v>
      </c>
      <c r="P367" s="22">
        <v>500</v>
      </c>
      <c r="Q367" s="22">
        <v>0</v>
      </c>
      <c r="R367">
        <v>0</v>
      </c>
      <c r="T367" t="s">
        <v>2972</v>
      </c>
      <c r="U367" t="s">
        <v>3057</v>
      </c>
      <c r="V367" t="s">
        <v>3056</v>
      </c>
    </row>
    <row r="368" spans="1:22">
      <c r="A368">
        <v>367</v>
      </c>
      <c r="B368" t="s">
        <v>543</v>
      </c>
      <c r="C368" t="s">
        <v>544</v>
      </c>
      <c r="D368" t="s">
        <v>17</v>
      </c>
      <c r="E368" t="s">
        <v>8</v>
      </c>
      <c r="F368" s="22">
        <v>164935</v>
      </c>
      <c r="G368" s="22">
        <v>0</v>
      </c>
      <c r="H368" s="22">
        <v>11360</v>
      </c>
      <c r="I368" s="22">
        <v>153575</v>
      </c>
      <c r="J368">
        <v>0</v>
      </c>
      <c r="K368">
        <v>0</v>
      </c>
      <c r="L368" s="22">
        <v>153575</v>
      </c>
      <c r="M368" s="22">
        <v>0</v>
      </c>
      <c r="N368" s="22">
        <v>0</v>
      </c>
      <c r="O368" s="22">
        <v>153575</v>
      </c>
      <c r="P368" s="22">
        <v>10000</v>
      </c>
      <c r="Q368" s="22">
        <v>143575</v>
      </c>
      <c r="R368">
        <v>0</v>
      </c>
      <c r="T368" t="s">
        <v>2972</v>
      </c>
      <c r="U368" t="s">
        <v>3057</v>
      </c>
      <c r="V368" t="s">
        <v>3056</v>
      </c>
    </row>
    <row r="369" spans="1:22">
      <c r="A369">
        <v>368</v>
      </c>
      <c r="B369" t="s">
        <v>878</v>
      </c>
      <c r="C369" t="s">
        <v>879</v>
      </c>
      <c r="D369" t="s">
        <v>17</v>
      </c>
      <c r="E369" t="s">
        <v>8</v>
      </c>
      <c r="F369" s="22">
        <v>34</v>
      </c>
      <c r="G369" s="22">
        <v>0</v>
      </c>
      <c r="H369" s="22">
        <v>0</v>
      </c>
      <c r="I369" s="22">
        <v>34</v>
      </c>
      <c r="J369">
        <v>0</v>
      </c>
      <c r="K369">
        <v>0</v>
      </c>
      <c r="L369" s="22">
        <v>34</v>
      </c>
      <c r="M369" s="22">
        <v>0</v>
      </c>
      <c r="N369" s="22">
        <v>0</v>
      </c>
      <c r="O369" s="22">
        <v>34</v>
      </c>
      <c r="P369" s="22">
        <v>0</v>
      </c>
      <c r="Q369" s="22">
        <v>34</v>
      </c>
      <c r="R369">
        <v>0</v>
      </c>
      <c r="T369" t="s">
        <v>3006</v>
      </c>
      <c r="U369" t="s">
        <v>3060</v>
      </c>
      <c r="V369" t="s">
        <v>3058</v>
      </c>
    </row>
    <row r="370" spans="1:22">
      <c r="A370">
        <v>369</v>
      </c>
      <c r="B370" t="s">
        <v>880</v>
      </c>
      <c r="C370" t="s">
        <v>881</v>
      </c>
      <c r="D370" t="s">
        <v>7</v>
      </c>
      <c r="E370" t="s">
        <v>8</v>
      </c>
      <c r="F370" s="22">
        <v>0</v>
      </c>
      <c r="G370" s="22">
        <v>0</v>
      </c>
      <c r="H370" s="22">
        <v>0</v>
      </c>
      <c r="I370" s="22">
        <v>0</v>
      </c>
      <c r="J370">
        <v>0</v>
      </c>
      <c r="K370">
        <v>0</v>
      </c>
      <c r="L370" s="22">
        <v>0</v>
      </c>
      <c r="M370" s="22">
        <v>0</v>
      </c>
      <c r="N370" s="22">
        <v>0</v>
      </c>
      <c r="O370" s="22">
        <v>0</v>
      </c>
      <c r="P370" s="22">
        <v>0</v>
      </c>
      <c r="Q370" s="22">
        <v>0</v>
      </c>
      <c r="R370">
        <v>0</v>
      </c>
      <c r="T370" t="s">
        <v>2972</v>
      </c>
      <c r="U370" t="s">
        <v>3060</v>
      </c>
      <c r="V370" t="s">
        <v>3058</v>
      </c>
    </row>
    <row r="371" spans="1:22">
      <c r="A371">
        <v>370</v>
      </c>
      <c r="B371" t="s">
        <v>882</v>
      </c>
      <c r="C371" t="s">
        <v>883</v>
      </c>
      <c r="D371" t="s">
        <v>17</v>
      </c>
      <c r="E371" t="s">
        <v>8</v>
      </c>
      <c r="F371" s="22">
        <v>0</v>
      </c>
      <c r="G371" s="22">
        <v>0</v>
      </c>
      <c r="H371" s="22">
        <v>0</v>
      </c>
      <c r="I371" s="22">
        <v>0</v>
      </c>
      <c r="J371">
        <v>0</v>
      </c>
      <c r="K371">
        <v>0</v>
      </c>
      <c r="L371" s="22">
        <v>0</v>
      </c>
      <c r="M371" s="22">
        <v>0</v>
      </c>
      <c r="N371" s="22">
        <v>0</v>
      </c>
      <c r="O371" s="22">
        <v>0</v>
      </c>
      <c r="P371" s="22">
        <v>0</v>
      </c>
      <c r="Q371" s="22">
        <v>0</v>
      </c>
      <c r="R371">
        <v>0</v>
      </c>
      <c r="T371" t="s">
        <v>2982</v>
      </c>
      <c r="U371" t="s">
        <v>3060</v>
      </c>
      <c r="V371" t="s">
        <v>3058</v>
      </c>
    </row>
    <row r="372" spans="1:22">
      <c r="A372">
        <v>371</v>
      </c>
      <c r="B372" t="s">
        <v>545</v>
      </c>
      <c r="C372" t="s">
        <v>546</v>
      </c>
      <c r="D372" t="s">
        <v>7</v>
      </c>
      <c r="E372" t="s">
        <v>8</v>
      </c>
      <c r="F372" s="22">
        <v>9000</v>
      </c>
      <c r="G372" s="22">
        <v>0</v>
      </c>
      <c r="H372" s="22">
        <v>0</v>
      </c>
      <c r="I372" s="22">
        <v>9000</v>
      </c>
      <c r="J372">
        <v>0</v>
      </c>
      <c r="K372">
        <v>0</v>
      </c>
      <c r="L372" s="22">
        <v>9000</v>
      </c>
      <c r="M372" s="22">
        <v>0</v>
      </c>
      <c r="N372" s="22">
        <v>0</v>
      </c>
      <c r="O372" s="22">
        <v>9000</v>
      </c>
      <c r="P372" s="22">
        <v>4800</v>
      </c>
      <c r="Q372" s="22">
        <v>4200</v>
      </c>
      <c r="R372">
        <v>0</v>
      </c>
      <c r="T372" t="s">
        <v>2972</v>
      </c>
      <c r="U372" t="s">
        <v>3057</v>
      </c>
      <c r="V372" t="s">
        <v>3056</v>
      </c>
    </row>
    <row r="373" spans="1:22">
      <c r="A373">
        <v>372</v>
      </c>
      <c r="B373" t="s">
        <v>547</v>
      </c>
      <c r="C373" t="s">
        <v>548</v>
      </c>
      <c r="D373" t="s">
        <v>17</v>
      </c>
      <c r="E373" t="s">
        <v>8</v>
      </c>
      <c r="F373" s="22">
        <v>0</v>
      </c>
      <c r="G373" s="22">
        <v>0</v>
      </c>
      <c r="H373" s="22">
        <v>0</v>
      </c>
      <c r="I373" s="22">
        <v>0</v>
      </c>
      <c r="J373">
        <v>0</v>
      </c>
      <c r="K373">
        <v>0</v>
      </c>
      <c r="L373" s="22">
        <v>0</v>
      </c>
      <c r="M373" s="22">
        <v>0</v>
      </c>
      <c r="N373" s="22">
        <v>0</v>
      </c>
      <c r="O373" s="22">
        <v>0</v>
      </c>
      <c r="P373" s="22">
        <v>0</v>
      </c>
      <c r="Q373" s="22">
        <v>0</v>
      </c>
      <c r="R373">
        <v>0</v>
      </c>
      <c r="T373" t="s">
        <v>2972</v>
      </c>
      <c r="U373" t="s">
        <v>3057</v>
      </c>
      <c r="V373" t="s">
        <v>3056</v>
      </c>
    </row>
    <row r="374" spans="1:22">
      <c r="A374">
        <v>373</v>
      </c>
      <c r="B374" t="s">
        <v>549</v>
      </c>
      <c r="C374" t="s">
        <v>550</v>
      </c>
      <c r="D374" t="s">
        <v>17</v>
      </c>
      <c r="E374" t="s">
        <v>8</v>
      </c>
      <c r="F374" s="22">
        <v>0</v>
      </c>
      <c r="G374" s="22">
        <v>0</v>
      </c>
      <c r="H374" s="22">
        <v>0</v>
      </c>
      <c r="I374" s="22">
        <v>0</v>
      </c>
      <c r="J374">
        <v>0</v>
      </c>
      <c r="K374">
        <v>0</v>
      </c>
      <c r="L374" s="22">
        <v>0</v>
      </c>
      <c r="M374" s="22">
        <v>0</v>
      </c>
      <c r="N374" s="22">
        <v>0</v>
      </c>
      <c r="O374" s="22">
        <v>0</v>
      </c>
      <c r="P374" s="22">
        <v>0</v>
      </c>
      <c r="Q374" s="22">
        <v>0</v>
      </c>
      <c r="R374">
        <v>0</v>
      </c>
      <c r="T374" t="s">
        <v>2972</v>
      </c>
      <c r="U374" t="s">
        <v>3057</v>
      </c>
      <c r="V374" t="s">
        <v>3056</v>
      </c>
    </row>
    <row r="375" spans="1:22">
      <c r="A375">
        <v>374</v>
      </c>
      <c r="B375" t="s">
        <v>551</v>
      </c>
      <c r="C375" t="s">
        <v>552</v>
      </c>
      <c r="D375" t="s">
        <v>17</v>
      </c>
      <c r="E375" t="s">
        <v>8</v>
      </c>
      <c r="F375" s="22">
        <v>0</v>
      </c>
      <c r="G375" s="22">
        <v>0</v>
      </c>
      <c r="H375" s="22">
        <v>0</v>
      </c>
      <c r="I375" s="22">
        <v>0</v>
      </c>
      <c r="J375">
        <v>0</v>
      </c>
      <c r="K375">
        <v>0</v>
      </c>
      <c r="L375" s="22">
        <v>0</v>
      </c>
      <c r="M375" s="22">
        <v>0</v>
      </c>
      <c r="N375" s="22">
        <v>0</v>
      </c>
      <c r="O375" s="22">
        <v>0</v>
      </c>
      <c r="P375" s="22">
        <v>0</v>
      </c>
      <c r="Q375" s="22">
        <v>0</v>
      </c>
      <c r="R375">
        <v>0</v>
      </c>
      <c r="T375" t="s">
        <v>2972</v>
      </c>
      <c r="U375" t="s">
        <v>3057</v>
      </c>
      <c r="V375" t="s">
        <v>3056</v>
      </c>
    </row>
    <row r="376" spans="1:22">
      <c r="A376">
        <v>375</v>
      </c>
      <c r="B376" t="s">
        <v>896</v>
      </c>
      <c r="C376" t="s">
        <v>897</v>
      </c>
      <c r="D376" t="s">
        <v>17</v>
      </c>
      <c r="E376" t="s">
        <v>8</v>
      </c>
      <c r="F376" s="22">
        <v>0</v>
      </c>
      <c r="G376" s="22">
        <v>0</v>
      </c>
      <c r="H376" s="22">
        <v>0</v>
      </c>
      <c r="I376" s="22">
        <v>0</v>
      </c>
      <c r="J376">
        <v>0</v>
      </c>
      <c r="K376">
        <v>0</v>
      </c>
      <c r="L376" s="22">
        <v>0</v>
      </c>
      <c r="M376" s="22">
        <v>0</v>
      </c>
      <c r="N376" s="22">
        <v>0</v>
      </c>
      <c r="O376" s="22">
        <v>0</v>
      </c>
      <c r="P376" s="22">
        <v>0</v>
      </c>
      <c r="Q376" s="22">
        <v>0</v>
      </c>
      <c r="R376">
        <v>0</v>
      </c>
      <c r="T376" t="s">
        <v>2972</v>
      </c>
      <c r="U376" t="s">
        <v>3060</v>
      </c>
      <c r="V376" t="s">
        <v>3058</v>
      </c>
    </row>
    <row r="377" spans="1:22">
      <c r="A377">
        <v>376</v>
      </c>
      <c r="B377" t="s">
        <v>553</v>
      </c>
      <c r="C377" t="s">
        <v>554</v>
      </c>
      <c r="D377" t="s">
        <v>17</v>
      </c>
      <c r="E377" t="s">
        <v>8</v>
      </c>
      <c r="F377" s="22">
        <v>2680</v>
      </c>
      <c r="G377" s="22">
        <v>3500</v>
      </c>
      <c r="H377" s="22">
        <v>6180</v>
      </c>
      <c r="I377" s="22">
        <v>0</v>
      </c>
      <c r="J377">
        <v>0</v>
      </c>
      <c r="K377">
        <v>0</v>
      </c>
      <c r="L377" s="22">
        <v>0</v>
      </c>
      <c r="M377" s="22">
        <v>2000</v>
      </c>
      <c r="N377" s="22">
        <v>0</v>
      </c>
      <c r="O377" s="22">
        <v>2000</v>
      </c>
      <c r="P377" s="22">
        <v>2000</v>
      </c>
      <c r="Q377" s="22">
        <v>0</v>
      </c>
      <c r="R377">
        <v>1000</v>
      </c>
      <c r="T377" t="s">
        <v>2972</v>
      </c>
      <c r="U377" t="s">
        <v>3057</v>
      </c>
      <c r="V377" t="s">
        <v>3058</v>
      </c>
    </row>
    <row r="378" spans="1:22">
      <c r="A378">
        <v>377</v>
      </c>
      <c r="B378" t="s">
        <v>555</v>
      </c>
      <c r="C378" t="s">
        <v>556</v>
      </c>
      <c r="D378" t="s">
        <v>17</v>
      </c>
      <c r="E378" t="s">
        <v>8</v>
      </c>
      <c r="F378" s="22">
        <v>796</v>
      </c>
      <c r="G378" s="22">
        <v>0</v>
      </c>
      <c r="H378" s="22">
        <v>0</v>
      </c>
      <c r="I378" s="22">
        <v>796</v>
      </c>
      <c r="J378">
        <v>0</v>
      </c>
      <c r="K378">
        <v>0</v>
      </c>
      <c r="L378" s="22">
        <v>796</v>
      </c>
      <c r="M378" s="22">
        <v>0</v>
      </c>
      <c r="N378" s="22">
        <v>0</v>
      </c>
      <c r="O378" s="22">
        <v>796</v>
      </c>
      <c r="P378" s="22">
        <v>500</v>
      </c>
      <c r="Q378" s="22">
        <v>296</v>
      </c>
      <c r="R378">
        <v>0</v>
      </c>
      <c r="T378" t="s">
        <v>2972</v>
      </c>
      <c r="U378" t="s">
        <v>3057</v>
      </c>
      <c r="V378" t="s">
        <v>3058</v>
      </c>
    </row>
    <row r="379" spans="1:22">
      <c r="A379">
        <v>378</v>
      </c>
      <c r="B379" t="s">
        <v>902</v>
      </c>
      <c r="C379" t="s">
        <v>903</v>
      </c>
      <c r="D379" t="s">
        <v>17</v>
      </c>
      <c r="E379" t="s">
        <v>8</v>
      </c>
      <c r="F379" s="22">
        <v>500</v>
      </c>
      <c r="G379" s="22">
        <v>0</v>
      </c>
      <c r="H379" s="22">
        <v>0</v>
      </c>
      <c r="I379" s="22">
        <v>500</v>
      </c>
      <c r="J379">
        <v>0</v>
      </c>
      <c r="K379">
        <v>0</v>
      </c>
      <c r="L379" s="22">
        <v>500</v>
      </c>
      <c r="M379" s="22">
        <v>0</v>
      </c>
      <c r="N379" s="22">
        <v>0</v>
      </c>
      <c r="O379" s="22">
        <v>500</v>
      </c>
      <c r="P379" s="22">
        <v>250</v>
      </c>
      <c r="Q379" s="22">
        <v>250</v>
      </c>
      <c r="R379">
        <v>0</v>
      </c>
      <c r="T379" t="s">
        <v>2991</v>
      </c>
      <c r="U379" t="s">
        <v>3060</v>
      </c>
      <c r="V379" t="s">
        <v>3058</v>
      </c>
    </row>
    <row r="380" spans="1:22">
      <c r="A380">
        <v>379</v>
      </c>
      <c r="B380" t="s">
        <v>559</v>
      </c>
      <c r="C380" t="s">
        <v>560</v>
      </c>
      <c r="D380" t="s">
        <v>17</v>
      </c>
      <c r="E380" t="s">
        <v>8</v>
      </c>
      <c r="F380" s="22">
        <v>2052</v>
      </c>
      <c r="G380" s="22">
        <v>5897</v>
      </c>
      <c r="H380" s="22">
        <v>5263</v>
      </c>
      <c r="I380" s="22">
        <v>2686</v>
      </c>
      <c r="J380">
        <v>0</v>
      </c>
      <c r="K380">
        <v>0</v>
      </c>
      <c r="L380" s="22">
        <v>2686</v>
      </c>
      <c r="M380" s="22">
        <v>0</v>
      </c>
      <c r="N380" s="22">
        <v>0</v>
      </c>
      <c r="O380" s="22">
        <v>2686</v>
      </c>
      <c r="P380" s="22">
        <v>0</v>
      </c>
      <c r="Q380" s="22">
        <v>2686</v>
      </c>
      <c r="R380">
        <v>0</v>
      </c>
      <c r="T380" t="s">
        <v>2972</v>
      </c>
      <c r="U380" t="s">
        <v>3057</v>
      </c>
      <c r="V380" t="s">
        <v>3056</v>
      </c>
    </row>
    <row r="381" spans="1:22">
      <c r="A381">
        <v>380</v>
      </c>
      <c r="B381" t="s">
        <v>561</v>
      </c>
      <c r="C381" t="s">
        <v>562</v>
      </c>
      <c r="D381" t="s">
        <v>17</v>
      </c>
      <c r="E381" t="s">
        <v>8</v>
      </c>
      <c r="F381" s="22">
        <v>3000</v>
      </c>
      <c r="G381" s="22">
        <v>0</v>
      </c>
      <c r="H381" s="22">
        <v>0</v>
      </c>
      <c r="I381" s="22">
        <v>3000</v>
      </c>
      <c r="J381">
        <v>0</v>
      </c>
      <c r="K381">
        <v>0</v>
      </c>
      <c r="L381" s="22">
        <v>3000</v>
      </c>
      <c r="M381" s="22">
        <v>0</v>
      </c>
      <c r="N381" s="22">
        <v>0</v>
      </c>
      <c r="O381" s="22">
        <v>3000</v>
      </c>
      <c r="P381" s="22">
        <v>2100</v>
      </c>
      <c r="Q381" s="22">
        <v>900</v>
      </c>
      <c r="R381">
        <v>0</v>
      </c>
      <c r="T381" t="s">
        <v>2998</v>
      </c>
      <c r="U381" t="s">
        <v>3057</v>
      </c>
      <c r="V381" t="s">
        <v>3056</v>
      </c>
    </row>
    <row r="382" spans="1:22">
      <c r="A382">
        <v>381</v>
      </c>
      <c r="B382" t="s">
        <v>908</v>
      </c>
      <c r="C382" t="s">
        <v>909</v>
      </c>
      <c r="D382" t="s">
        <v>17</v>
      </c>
      <c r="E382" t="s">
        <v>8</v>
      </c>
      <c r="F382" s="22">
        <v>127</v>
      </c>
      <c r="G382" s="22">
        <v>0</v>
      </c>
      <c r="H382" s="22">
        <v>0</v>
      </c>
      <c r="I382" s="22">
        <v>127</v>
      </c>
      <c r="J382">
        <v>0</v>
      </c>
      <c r="K382">
        <v>0</v>
      </c>
      <c r="L382" s="22">
        <v>127</v>
      </c>
      <c r="M382" s="22">
        <v>0</v>
      </c>
      <c r="N382" s="22">
        <v>0</v>
      </c>
      <c r="O382" s="22">
        <v>127</v>
      </c>
      <c r="P382" s="22">
        <v>70</v>
      </c>
      <c r="Q382" s="22">
        <v>57</v>
      </c>
      <c r="R382">
        <v>0</v>
      </c>
      <c r="T382" t="s">
        <v>2972</v>
      </c>
      <c r="U382" t="s">
        <v>3060</v>
      </c>
      <c r="V382" t="s">
        <v>3058</v>
      </c>
    </row>
    <row r="383" spans="1:22">
      <c r="A383">
        <v>382</v>
      </c>
      <c r="B383" t="s">
        <v>563</v>
      </c>
      <c r="C383" t="s">
        <v>564</v>
      </c>
      <c r="D383" t="s">
        <v>17</v>
      </c>
      <c r="E383" t="s">
        <v>8</v>
      </c>
      <c r="F383" s="22">
        <v>3000</v>
      </c>
      <c r="G383" s="22">
        <v>0</v>
      </c>
      <c r="H383" s="22">
        <v>0</v>
      </c>
      <c r="I383" s="22">
        <v>3000</v>
      </c>
      <c r="J383">
        <v>0</v>
      </c>
      <c r="K383">
        <v>0</v>
      </c>
      <c r="L383" s="22">
        <v>3000</v>
      </c>
      <c r="M383" s="22">
        <v>0</v>
      </c>
      <c r="N383" s="22">
        <v>0</v>
      </c>
      <c r="O383" s="22">
        <v>3000</v>
      </c>
      <c r="P383" s="22">
        <v>2100</v>
      </c>
      <c r="Q383" s="22">
        <v>900</v>
      </c>
      <c r="R383">
        <v>0</v>
      </c>
      <c r="T383" t="s">
        <v>2998</v>
      </c>
      <c r="U383" t="s">
        <v>3057</v>
      </c>
      <c r="V383" t="s">
        <v>3056</v>
      </c>
    </row>
    <row r="384" spans="1:22">
      <c r="A384">
        <v>383</v>
      </c>
      <c r="B384" t="s">
        <v>565</v>
      </c>
      <c r="C384" t="s">
        <v>566</v>
      </c>
      <c r="D384" t="s">
        <v>17</v>
      </c>
      <c r="E384" t="s">
        <v>8</v>
      </c>
      <c r="F384" s="22">
        <v>24500</v>
      </c>
      <c r="G384" s="22">
        <v>0</v>
      </c>
      <c r="H384" s="22">
        <v>1000</v>
      </c>
      <c r="I384" s="22">
        <v>23500</v>
      </c>
      <c r="J384">
        <v>0</v>
      </c>
      <c r="K384">
        <v>0</v>
      </c>
      <c r="L384" s="22">
        <v>23500</v>
      </c>
      <c r="M384" s="22">
        <v>0</v>
      </c>
      <c r="N384" s="22">
        <v>0</v>
      </c>
      <c r="O384" s="22">
        <v>23500</v>
      </c>
      <c r="P384" s="22">
        <v>2100</v>
      </c>
      <c r="Q384" s="22">
        <v>21400</v>
      </c>
      <c r="R384">
        <v>0</v>
      </c>
      <c r="T384" t="s">
        <v>2998</v>
      </c>
      <c r="U384" t="s">
        <v>3057</v>
      </c>
      <c r="V384" t="s">
        <v>3056</v>
      </c>
    </row>
    <row r="385" spans="1:22">
      <c r="A385">
        <v>384</v>
      </c>
      <c r="B385" t="s">
        <v>567</v>
      </c>
      <c r="C385" t="s">
        <v>568</v>
      </c>
      <c r="D385" t="s">
        <v>17</v>
      </c>
      <c r="E385" t="s">
        <v>8</v>
      </c>
      <c r="F385" s="22">
        <v>7000</v>
      </c>
      <c r="G385" s="22">
        <v>5000</v>
      </c>
      <c r="H385" s="22">
        <v>6000</v>
      </c>
      <c r="I385" s="22">
        <v>6000</v>
      </c>
      <c r="J385">
        <v>0</v>
      </c>
      <c r="K385">
        <v>0</v>
      </c>
      <c r="L385" s="22">
        <v>6000</v>
      </c>
      <c r="M385" s="22">
        <v>0</v>
      </c>
      <c r="N385" s="22">
        <v>0</v>
      </c>
      <c r="O385" s="22">
        <v>6000</v>
      </c>
      <c r="P385" s="22">
        <v>4000</v>
      </c>
      <c r="Q385" s="22">
        <v>2000</v>
      </c>
      <c r="R385">
        <v>5000</v>
      </c>
      <c r="T385" t="s">
        <v>2998</v>
      </c>
      <c r="U385" t="s">
        <v>3057</v>
      </c>
      <c r="V385" t="s">
        <v>3056</v>
      </c>
    </row>
    <row r="386" spans="1:22">
      <c r="A386">
        <v>385</v>
      </c>
      <c r="B386" t="s">
        <v>571</v>
      </c>
      <c r="C386" t="s">
        <v>572</v>
      </c>
      <c r="D386" t="s">
        <v>17</v>
      </c>
      <c r="E386" t="s">
        <v>8</v>
      </c>
      <c r="F386" s="22">
        <v>216</v>
      </c>
      <c r="G386" s="22">
        <v>0</v>
      </c>
      <c r="H386" s="22">
        <v>30</v>
      </c>
      <c r="I386" s="22">
        <v>186</v>
      </c>
      <c r="J386">
        <v>0</v>
      </c>
      <c r="K386">
        <v>0</v>
      </c>
      <c r="L386" s="22">
        <v>186</v>
      </c>
      <c r="M386" s="22">
        <v>0</v>
      </c>
      <c r="N386" s="22">
        <v>0</v>
      </c>
      <c r="O386" s="22">
        <v>186</v>
      </c>
      <c r="P386" s="22">
        <v>150</v>
      </c>
      <c r="Q386" s="22">
        <v>36</v>
      </c>
      <c r="R386">
        <v>0</v>
      </c>
      <c r="T386" t="s">
        <v>2972</v>
      </c>
      <c r="U386" t="s">
        <v>3057</v>
      </c>
      <c r="V386" t="s">
        <v>3056</v>
      </c>
    </row>
    <row r="387" spans="1:22">
      <c r="A387">
        <v>386</v>
      </c>
      <c r="B387" t="s">
        <v>575</v>
      </c>
      <c r="C387" t="s">
        <v>576</v>
      </c>
      <c r="D387" t="s">
        <v>17</v>
      </c>
      <c r="E387" t="s">
        <v>8</v>
      </c>
      <c r="F387" s="22">
        <v>0</v>
      </c>
      <c r="G387" s="22">
        <v>0</v>
      </c>
      <c r="H387" s="22">
        <v>0</v>
      </c>
      <c r="I387" s="22">
        <v>0</v>
      </c>
      <c r="J387">
        <v>0</v>
      </c>
      <c r="K387">
        <v>0</v>
      </c>
      <c r="L387" s="22">
        <v>0</v>
      </c>
      <c r="M387" s="22">
        <v>0</v>
      </c>
      <c r="N387" s="22">
        <v>0</v>
      </c>
      <c r="O387" s="22">
        <v>0</v>
      </c>
      <c r="P387" s="22">
        <v>0</v>
      </c>
      <c r="Q387" s="22">
        <v>0</v>
      </c>
      <c r="R387">
        <v>0</v>
      </c>
      <c r="T387" t="s">
        <v>2972</v>
      </c>
      <c r="U387" t="s">
        <v>3057</v>
      </c>
      <c r="V387" t="s">
        <v>3056</v>
      </c>
    </row>
    <row r="388" spans="1:22">
      <c r="A388">
        <v>387</v>
      </c>
      <c r="B388" t="s">
        <v>579</v>
      </c>
      <c r="C388" t="s">
        <v>580</v>
      </c>
      <c r="D388" t="s">
        <v>17</v>
      </c>
      <c r="E388" t="s">
        <v>8</v>
      </c>
      <c r="F388" s="22">
        <v>0</v>
      </c>
      <c r="G388" s="22">
        <v>0</v>
      </c>
      <c r="H388" s="22">
        <v>0</v>
      </c>
      <c r="I388" s="22">
        <v>0</v>
      </c>
      <c r="J388">
        <v>0</v>
      </c>
      <c r="K388">
        <v>0</v>
      </c>
      <c r="L388" s="22">
        <v>0</v>
      </c>
      <c r="M388" s="22">
        <v>0</v>
      </c>
      <c r="N388" s="22">
        <v>0</v>
      </c>
      <c r="O388" s="22">
        <v>0</v>
      </c>
      <c r="P388" s="22">
        <v>0</v>
      </c>
      <c r="Q388" s="22">
        <v>0</v>
      </c>
      <c r="R388">
        <v>0</v>
      </c>
      <c r="T388" t="s">
        <v>2972</v>
      </c>
      <c r="U388" t="s">
        <v>3057</v>
      </c>
      <c r="V388" t="s">
        <v>3056</v>
      </c>
    </row>
    <row r="389" spans="1:22">
      <c r="A389">
        <v>388</v>
      </c>
      <c r="B389" t="s">
        <v>583</v>
      </c>
      <c r="C389" t="s">
        <v>584</v>
      </c>
      <c r="D389" t="s">
        <v>17</v>
      </c>
      <c r="E389" t="s">
        <v>8</v>
      </c>
      <c r="F389" s="22">
        <v>0</v>
      </c>
      <c r="G389" s="22">
        <v>0</v>
      </c>
      <c r="H389" s="22">
        <v>0</v>
      </c>
      <c r="I389" s="22">
        <v>0</v>
      </c>
      <c r="J389">
        <v>0</v>
      </c>
      <c r="K389">
        <v>0</v>
      </c>
      <c r="L389" s="22">
        <v>0</v>
      </c>
      <c r="M389" s="22">
        <v>0</v>
      </c>
      <c r="N389" s="22">
        <v>0</v>
      </c>
      <c r="O389" s="22">
        <v>0</v>
      </c>
      <c r="P389" s="22">
        <v>0</v>
      </c>
      <c r="Q389" s="22">
        <v>0</v>
      </c>
      <c r="R389">
        <v>0</v>
      </c>
      <c r="T389" t="s">
        <v>2972</v>
      </c>
      <c r="U389" t="s">
        <v>3057</v>
      </c>
      <c r="V389" t="s">
        <v>3056</v>
      </c>
    </row>
    <row r="390" spans="1:22">
      <c r="A390">
        <v>389</v>
      </c>
      <c r="B390" t="s">
        <v>585</v>
      </c>
      <c r="C390" t="s">
        <v>586</v>
      </c>
      <c r="D390" t="s">
        <v>17</v>
      </c>
      <c r="E390" t="s">
        <v>8</v>
      </c>
      <c r="F390" s="22">
        <v>0</v>
      </c>
      <c r="G390" s="22">
        <v>0</v>
      </c>
      <c r="H390" s="22">
        <v>0</v>
      </c>
      <c r="I390" s="22">
        <v>0</v>
      </c>
      <c r="J390">
        <v>0</v>
      </c>
      <c r="K390">
        <v>0</v>
      </c>
      <c r="L390" s="22">
        <v>0</v>
      </c>
      <c r="M390" s="22">
        <v>0</v>
      </c>
      <c r="N390" s="22">
        <v>0</v>
      </c>
      <c r="O390" s="22">
        <v>0</v>
      </c>
      <c r="P390" s="22">
        <v>0</v>
      </c>
      <c r="Q390" s="22">
        <v>0</v>
      </c>
      <c r="R390">
        <v>0</v>
      </c>
      <c r="T390" t="s">
        <v>2972</v>
      </c>
      <c r="U390" t="s">
        <v>3057</v>
      </c>
      <c r="V390" t="s">
        <v>3056</v>
      </c>
    </row>
    <row r="391" spans="1:22">
      <c r="A391">
        <v>390</v>
      </c>
      <c r="B391" t="s">
        <v>587</v>
      </c>
      <c r="C391" t="s">
        <v>588</v>
      </c>
      <c r="D391" t="s">
        <v>17</v>
      </c>
      <c r="E391" t="s">
        <v>8</v>
      </c>
      <c r="F391" s="22">
        <v>507</v>
      </c>
      <c r="G391" s="22">
        <v>0</v>
      </c>
      <c r="H391" s="22">
        <v>0</v>
      </c>
      <c r="I391" s="22">
        <v>507</v>
      </c>
      <c r="J391">
        <v>0</v>
      </c>
      <c r="K391">
        <v>0</v>
      </c>
      <c r="L391" s="22">
        <v>507</v>
      </c>
      <c r="M391" s="22">
        <v>0</v>
      </c>
      <c r="N391" s="22">
        <v>0</v>
      </c>
      <c r="O391" s="22">
        <v>507</v>
      </c>
      <c r="P391" s="22">
        <v>250</v>
      </c>
      <c r="Q391" s="22">
        <v>257</v>
      </c>
      <c r="R391">
        <v>0</v>
      </c>
      <c r="T391" t="s">
        <v>2972</v>
      </c>
      <c r="U391" t="s">
        <v>3057</v>
      </c>
      <c r="V391" t="s">
        <v>3056</v>
      </c>
    </row>
    <row r="392" spans="1:22">
      <c r="A392">
        <v>391</v>
      </c>
      <c r="B392" t="s">
        <v>591</v>
      </c>
      <c r="C392" t="s">
        <v>592</v>
      </c>
      <c r="D392" t="s">
        <v>17</v>
      </c>
      <c r="E392" t="s">
        <v>8</v>
      </c>
      <c r="F392" s="22">
        <v>0</v>
      </c>
      <c r="G392" s="22">
        <v>0</v>
      </c>
      <c r="H392" s="22">
        <v>0</v>
      </c>
      <c r="I392" s="22">
        <v>0</v>
      </c>
      <c r="J392">
        <v>0</v>
      </c>
      <c r="K392">
        <v>0</v>
      </c>
      <c r="L392" s="22">
        <v>0</v>
      </c>
      <c r="M392" s="22">
        <v>0</v>
      </c>
      <c r="N392" s="22">
        <v>0</v>
      </c>
      <c r="O392" s="22">
        <v>0</v>
      </c>
      <c r="P392" s="22">
        <v>0</v>
      </c>
      <c r="Q392" s="22">
        <v>0</v>
      </c>
      <c r="R392">
        <v>0</v>
      </c>
      <c r="T392" t="s">
        <v>2972</v>
      </c>
      <c r="U392" t="s">
        <v>3057</v>
      </c>
      <c r="V392" t="s">
        <v>3056</v>
      </c>
    </row>
    <row r="393" spans="1:22">
      <c r="A393">
        <v>392</v>
      </c>
      <c r="B393" t="s">
        <v>593</v>
      </c>
      <c r="C393" t="s">
        <v>594</v>
      </c>
      <c r="D393" t="s">
        <v>7</v>
      </c>
      <c r="E393" t="s">
        <v>8</v>
      </c>
      <c r="F393" s="22">
        <v>0</v>
      </c>
      <c r="G393" s="22">
        <v>0</v>
      </c>
      <c r="H393" s="22">
        <v>0</v>
      </c>
      <c r="I393" s="22">
        <v>0</v>
      </c>
      <c r="J393">
        <v>0</v>
      </c>
      <c r="K393">
        <v>0</v>
      </c>
      <c r="L393" s="22">
        <v>0</v>
      </c>
      <c r="M393" s="22">
        <v>0</v>
      </c>
      <c r="N393" s="22">
        <v>0</v>
      </c>
      <c r="O393" s="22">
        <v>0</v>
      </c>
      <c r="P393" s="22">
        <v>0</v>
      </c>
      <c r="Q393" s="22">
        <v>0</v>
      </c>
      <c r="R393">
        <v>0</v>
      </c>
      <c r="T393" t="s">
        <v>2972</v>
      </c>
      <c r="U393" t="s">
        <v>3057</v>
      </c>
      <c r="V393" t="s">
        <v>3056</v>
      </c>
    </row>
    <row r="394" spans="1:22">
      <c r="A394">
        <v>393</v>
      </c>
      <c r="B394" t="s">
        <v>595</v>
      </c>
      <c r="C394" t="s">
        <v>596</v>
      </c>
      <c r="D394" t="s">
        <v>17</v>
      </c>
      <c r="E394" t="s">
        <v>8</v>
      </c>
      <c r="F394" s="22">
        <v>0</v>
      </c>
      <c r="G394" s="22">
        <v>0</v>
      </c>
      <c r="H394" s="22">
        <v>0</v>
      </c>
      <c r="I394" s="22">
        <v>0</v>
      </c>
      <c r="J394">
        <v>0</v>
      </c>
      <c r="K394">
        <v>0</v>
      </c>
      <c r="L394" s="22">
        <v>0</v>
      </c>
      <c r="M394" s="22">
        <v>0</v>
      </c>
      <c r="N394" s="22">
        <v>0</v>
      </c>
      <c r="O394" s="22">
        <v>0</v>
      </c>
      <c r="P394" s="22">
        <v>0</v>
      </c>
      <c r="Q394" s="22">
        <v>0</v>
      </c>
      <c r="R394">
        <v>0</v>
      </c>
      <c r="T394" t="s">
        <v>2972</v>
      </c>
      <c r="U394" t="s">
        <v>3057</v>
      </c>
      <c r="V394" t="s">
        <v>3056</v>
      </c>
    </row>
    <row r="395" spans="1:22">
      <c r="A395">
        <v>394</v>
      </c>
      <c r="B395" t="s">
        <v>597</v>
      </c>
      <c r="C395" t="s">
        <v>598</v>
      </c>
      <c r="D395" t="s">
        <v>17</v>
      </c>
      <c r="E395" t="s">
        <v>8</v>
      </c>
      <c r="F395" s="22">
        <v>471</v>
      </c>
      <c r="G395" s="22">
        <v>0</v>
      </c>
      <c r="H395" s="22">
        <v>0</v>
      </c>
      <c r="I395" s="22">
        <v>471</v>
      </c>
      <c r="J395">
        <v>0</v>
      </c>
      <c r="K395">
        <v>0</v>
      </c>
      <c r="L395" s="22">
        <v>471</v>
      </c>
      <c r="M395" s="22">
        <v>0</v>
      </c>
      <c r="N395" s="22">
        <v>0</v>
      </c>
      <c r="O395" s="22">
        <v>471</v>
      </c>
      <c r="P395" s="22">
        <v>250</v>
      </c>
      <c r="Q395" s="22">
        <v>221</v>
      </c>
      <c r="R395">
        <v>0</v>
      </c>
      <c r="T395" t="s">
        <v>2972</v>
      </c>
      <c r="U395" t="s">
        <v>3057</v>
      </c>
      <c r="V395" t="s">
        <v>3056</v>
      </c>
    </row>
    <row r="396" spans="1:22">
      <c r="A396">
        <v>395</v>
      </c>
      <c r="B396" t="s">
        <v>601</v>
      </c>
      <c r="C396" t="s">
        <v>602</v>
      </c>
      <c r="D396" t="s">
        <v>7</v>
      </c>
      <c r="E396" t="s">
        <v>8</v>
      </c>
      <c r="F396" s="22">
        <v>15000</v>
      </c>
      <c r="G396" s="22">
        <v>0</v>
      </c>
      <c r="H396" s="22">
        <v>0</v>
      </c>
      <c r="I396" s="22">
        <v>15000</v>
      </c>
      <c r="J396">
        <v>0</v>
      </c>
      <c r="K396">
        <v>0</v>
      </c>
      <c r="L396" s="22">
        <v>15000</v>
      </c>
      <c r="M396" s="22">
        <v>0</v>
      </c>
      <c r="N396" s="22">
        <v>0</v>
      </c>
      <c r="O396" s="22">
        <v>15000</v>
      </c>
      <c r="P396" s="22">
        <v>10000</v>
      </c>
      <c r="Q396" s="22">
        <v>5000</v>
      </c>
      <c r="R396">
        <v>0</v>
      </c>
      <c r="T396" t="s">
        <v>2972</v>
      </c>
      <c r="U396" t="s">
        <v>3057</v>
      </c>
      <c r="V396" t="s">
        <v>3056</v>
      </c>
    </row>
    <row r="397" spans="1:22">
      <c r="A397">
        <v>396</v>
      </c>
      <c r="B397" t="s">
        <v>938</v>
      </c>
      <c r="C397" t="s">
        <v>939</v>
      </c>
      <c r="D397" t="s">
        <v>17</v>
      </c>
      <c r="E397" t="s">
        <v>8</v>
      </c>
      <c r="F397" s="22">
        <v>94</v>
      </c>
      <c r="G397" s="22">
        <v>0</v>
      </c>
      <c r="H397" s="22">
        <v>0</v>
      </c>
      <c r="I397" s="22">
        <v>94</v>
      </c>
      <c r="J397">
        <v>0</v>
      </c>
      <c r="K397">
        <v>0</v>
      </c>
      <c r="L397" s="22">
        <v>94</v>
      </c>
      <c r="M397" s="22">
        <v>0</v>
      </c>
      <c r="N397" s="22">
        <v>0</v>
      </c>
      <c r="O397" s="22">
        <v>94</v>
      </c>
      <c r="P397" s="22">
        <v>70</v>
      </c>
      <c r="Q397" s="22">
        <v>24</v>
      </c>
      <c r="R397">
        <v>0</v>
      </c>
      <c r="T397" t="s">
        <v>2982</v>
      </c>
      <c r="U397" t="s">
        <v>3060</v>
      </c>
      <c r="V397" t="s">
        <v>3058</v>
      </c>
    </row>
    <row r="398" spans="1:22">
      <c r="A398">
        <v>397</v>
      </c>
      <c r="B398" t="s">
        <v>942</v>
      </c>
      <c r="C398" t="s">
        <v>943</v>
      </c>
      <c r="D398" t="s">
        <v>17</v>
      </c>
      <c r="E398" t="s">
        <v>8</v>
      </c>
      <c r="F398" s="22">
        <v>0</v>
      </c>
      <c r="G398" s="22">
        <v>100</v>
      </c>
      <c r="H398" s="22">
        <v>56</v>
      </c>
      <c r="I398" s="22">
        <v>44</v>
      </c>
      <c r="J398">
        <v>0</v>
      </c>
      <c r="K398">
        <v>0</v>
      </c>
      <c r="L398" s="22">
        <v>44</v>
      </c>
      <c r="M398" s="22">
        <v>0</v>
      </c>
      <c r="N398" s="22">
        <v>0</v>
      </c>
      <c r="O398" s="22">
        <v>44</v>
      </c>
      <c r="P398" s="22">
        <v>100</v>
      </c>
      <c r="Q398" s="22">
        <v>-56</v>
      </c>
      <c r="R398">
        <v>150</v>
      </c>
      <c r="T398" t="s">
        <v>2982</v>
      </c>
      <c r="U398" t="s">
        <v>3060</v>
      </c>
      <c r="V398" t="s">
        <v>3058</v>
      </c>
    </row>
    <row r="399" spans="1:22">
      <c r="A399">
        <v>398</v>
      </c>
      <c r="B399" t="s">
        <v>944</v>
      </c>
      <c r="C399" t="s">
        <v>945</v>
      </c>
      <c r="D399" t="s">
        <v>17</v>
      </c>
      <c r="E399" t="s">
        <v>8</v>
      </c>
      <c r="F399" s="22">
        <v>491</v>
      </c>
      <c r="G399" s="22">
        <v>0</v>
      </c>
      <c r="H399" s="22">
        <v>100</v>
      </c>
      <c r="I399" s="22">
        <v>391</v>
      </c>
      <c r="J399">
        <v>0</v>
      </c>
      <c r="K399">
        <v>0</v>
      </c>
      <c r="L399" s="22">
        <v>391</v>
      </c>
      <c r="M399" s="22">
        <v>0</v>
      </c>
      <c r="N399" s="22">
        <v>0</v>
      </c>
      <c r="O399" s="22">
        <v>391</v>
      </c>
      <c r="P399" s="22">
        <v>100</v>
      </c>
      <c r="Q399" s="22">
        <v>291</v>
      </c>
      <c r="R399">
        <v>0</v>
      </c>
      <c r="T399" t="s">
        <v>2982</v>
      </c>
      <c r="U399" t="s">
        <v>3060</v>
      </c>
      <c r="V399" t="s">
        <v>3058</v>
      </c>
    </row>
    <row r="400" spans="1:22">
      <c r="A400">
        <v>399</v>
      </c>
      <c r="B400" t="s">
        <v>946</v>
      </c>
      <c r="C400" t="s">
        <v>947</v>
      </c>
      <c r="D400" t="s">
        <v>17</v>
      </c>
      <c r="E400" t="s">
        <v>8</v>
      </c>
      <c r="F400" s="22">
        <v>0</v>
      </c>
      <c r="G400" s="22">
        <v>0</v>
      </c>
      <c r="H400" s="22">
        <v>0</v>
      </c>
      <c r="I400" s="22">
        <v>0</v>
      </c>
      <c r="J400">
        <v>0</v>
      </c>
      <c r="K400">
        <v>0</v>
      </c>
      <c r="L400" s="22">
        <v>0</v>
      </c>
      <c r="M400" s="22">
        <v>0</v>
      </c>
      <c r="N400" s="22">
        <v>0</v>
      </c>
      <c r="O400" s="22">
        <v>0</v>
      </c>
      <c r="P400" s="22">
        <v>0</v>
      </c>
      <c r="Q400" s="22">
        <v>0</v>
      </c>
      <c r="R400">
        <v>0</v>
      </c>
      <c r="T400" t="s">
        <v>2982</v>
      </c>
      <c r="U400" t="s">
        <v>3060</v>
      </c>
      <c r="V400" t="s">
        <v>3058</v>
      </c>
    </row>
    <row r="401" spans="1:22">
      <c r="A401">
        <v>400</v>
      </c>
      <c r="B401" t="s">
        <v>603</v>
      </c>
      <c r="C401" t="s">
        <v>604</v>
      </c>
      <c r="D401" t="s">
        <v>17</v>
      </c>
      <c r="E401" t="s">
        <v>8</v>
      </c>
      <c r="F401" s="22">
        <v>0</v>
      </c>
      <c r="G401" s="22">
        <v>0</v>
      </c>
      <c r="H401" s="22">
        <v>0</v>
      </c>
      <c r="I401" s="22">
        <v>0</v>
      </c>
      <c r="J401">
        <v>0</v>
      </c>
      <c r="K401">
        <v>0</v>
      </c>
      <c r="L401" s="22">
        <v>0</v>
      </c>
      <c r="M401" s="22">
        <v>0</v>
      </c>
      <c r="N401" s="22">
        <v>0</v>
      </c>
      <c r="O401" s="22">
        <v>0</v>
      </c>
      <c r="P401" s="22">
        <v>0</v>
      </c>
      <c r="Q401" s="22">
        <v>0</v>
      </c>
      <c r="R401">
        <v>0</v>
      </c>
      <c r="T401" t="s">
        <v>2972</v>
      </c>
      <c r="U401" t="s">
        <v>3057</v>
      </c>
      <c r="V401" t="s">
        <v>3056</v>
      </c>
    </row>
    <row r="402" spans="1:22">
      <c r="A402">
        <v>401</v>
      </c>
      <c r="B402" t="s">
        <v>605</v>
      </c>
      <c r="C402" t="s">
        <v>606</v>
      </c>
      <c r="D402" t="s">
        <v>116</v>
      </c>
      <c r="E402" t="s">
        <v>8</v>
      </c>
      <c r="F402" s="22">
        <v>3</v>
      </c>
      <c r="G402" s="22">
        <v>0</v>
      </c>
      <c r="H402" s="22">
        <v>1</v>
      </c>
      <c r="I402" s="22">
        <v>2</v>
      </c>
      <c r="J402">
        <v>0</v>
      </c>
      <c r="K402">
        <v>0</v>
      </c>
      <c r="L402" s="22">
        <v>2</v>
      </c>
      <c r="M402" s="22">
        <v>0</v>
      </c>
      <c r="N402" s="22">
        <v>0</v>
      </c>
      <c r="O402" s="22">
        <v>2</v>
      </c>
      <c r="P402" s="22">
        <v>2</v>
      </c>
      <c r="Q402" s="22">
        <v>0</v>
      </c>
      <c r="R402">
        <v>0</v>
      </c>
      <c r="T402" t="s">
        <v>2974</v>
      </c>
      <c r="U402" t="s">
        <v>3057</v>
      </c>
      <c r="V402" t="s">
        <v>3056</v>
      </c>
    </row>
    <row r="403" spans="1:22">
      <c r="A403">
        <v>402</v>
      </c>
      <c r="B403" t="s">
        <v>607</v>
      </c>
      <c r="C403" t="s">
        <v>608</v>
      </c>
      <c r="D403" t="s">
        <v>116</v>
      </c>
      <c r="E403" t="s">
        <v>8</v>
      </c>
      <c r="F403" s="22">
        <v>3</v>
      </c>
      <c r="G403" s="22">
        <v>0</v>
      </c>
      <c r="H403" s="22">
        <v>0</v>
      </c>
      <c r="I403" s="22">
        <v>3</v>
      </c>
      <c r="J403">
        <v>0</v>
      </c>
      <c r="K403">
        <v>0</v>
      </c>
      <c r="L403" s="22">
        <v>3</v>
      </c>
      <c r="M403" s="22">
        <v>0</v>
      </c>
      <c r="N403" s="22">
        <v>0</v>
      </c>
      <c r="O403" s="22">
        <v>3</v>
      </c>
      <c r="P403" s="22">
        <v>2</v>
      </c>
      <c r="Q403" s="22">
        <v>1</v>
      </c>
      <c r="R403">
        <v>0</v>
      </c>
      <c r="T403" t="s">
        <v>2974</v>
      </c>
      <c r="U403" t="s">
        <v>3057</v>
      </c>
      <c r="V403" t="s">
        <v>3056</v>
      </c>
    </row>
    <row r="404" spans="1:22">
      <c r="A404">
        <v>403</v>
      </c>
      <c r="B404" t="s">
        <v>609</v>
      </c>
      <c r="C404" t="s">
        <v>610</v>
      </c>
      <c r="D404" t="s">
        <v>116</v>
      </c>
      <c r="E404" t="s">
        <v>8</v>
      </c>
      <c r="F404" s="22">
        <v>2</v>
      </c>
      <c r="G404" s="22">
        <v>0</v>
      </c>
      <c r="H404" s="22">
        <v>1</v>
      </c>
      <c r="I404" s="22">
        <v>1</v>
      </c>
      <c r="J404">
        <v>0</v>
      </c>
      <c r="K404">
        <v>0</v>
      </c>
      <c r="L404" s="22">
        <v>1</v>
      </c>
      <c r="M404" s="22">
        <v>0</v>
      </c>
      <c r="N404" s="22">
        <v>0</v>
      </c>
      <c r="O404" s="22">
        <v>1</v>
      </c>
      <c r="P404" s="22">
        <v>2</v>
      </c>
      <c r="Q404" s="22">
        <v>-1</v>
      </c>
      <c r="R404">
        <v>0</v>
      </c>
      <c r="T404" t="s">
        <v>2974</v>
      </c>
      <c r="U404" t="s">
        <v>3057</v>
      </c>
      <c r="V404" t="s">
        <v>3056</v>
      </c>
    </row>
    <row r="405" spans="1:22">
      <c r="A405">
        <v>404</v>
      </c>
      <c r="B405" t="s">
        <v>611</v>
      </c>
      <c r="C405" t="s">
        <v>612</v>
      </c>
      <c r="D405" t="s">
        <v>116</v>
      </c>
      <c r="E405" t="s">
        <v>8</v>
      </c>
      <c r="F405" s="22">
        <v>3</v>
      </c>
      <c r="G405" s="22">
        <v>2</v>
      </c>
      <c r="H405" s="22">
        <v>1</v>
      </c>
      <c r="I405" s="22">
        <v>4</v>
      </c>
      <c r="J405">
        <v>0</v>
      </c>
      <c r="K405">
        <v>0</v>
      </c>
      <c r="L405" s="22">
        <v>4</v>
      </c>
      <c r="M405" s="22">
        <v>0</v>
      </c>
      <c r="N405" s="22">
        <v>0</v>
      </c>
      <c r="O405" s="22">
        <v>4</v>
      </c>
      <c r="P405" s="22">
        <v>3</v>
      </c>
      <c r="Q405" s="22">
        <v>1</v>
      </c>
      <c r="R405">
        <v>2</v>
      </c>
      <c r="T405" t="s">
        <v>2974</v>
      </c>
      <c r="U405" t="s">
        <v>3057</v>
      </c>
      <c r="V405" t="s">
        <v>3056</v>
      </c>
    </row>
    <row r="406" spans="1:22">
      <c r="A406">
        <v>405</v>
      </c>
      <c r="B406" t="s">
        <v>613</v>
      </c>
      <c r="C406" t="s">
        <v>614</v>
      </c>
      <c r="D406" t="s">
        <v>17</v>
      </c>
      <c r="E406" t="s">
        <v>8</v>
      </c>
      <c r="F406" s="22">
        <v>64</v>
      </c>
      <c r="G406" s="22">
        <v>0</v>
      </c>
      <c r="H406" s="22">
        <v>18</v>
      </c>
      <c r="I406" s="22">
        <v>46</v>
      </c>
      <c r="J406">
        <v>0</v>
      </c>
      <c r="K406">
        <v>0</v>
      </c>
      <c r="L406" s="22">
        <v>46</v>
      </c>
      <c r="M406" s="22">
        <v>0</v>
      </c>
      <c r="N406" s="22">
        <v>0</v>
      </c>
      <c r="O406" s="22">
        <v>46</v>
      </c>
      <c r="P406" s="22">
        <v>15</v>
      </c>
      <c r="Q406" s="22">
        <v>31</v>
      </c>
      <c r="R406">
        <v>0</v>
      </c>
      <c r="T406" t="s">
        <v>2991</v>
      </c>
      <c r="U406" t="s">
        <v>3057</v>
      </c>
      <c r="V406" t="s">
        <v>3056</v>
      </c>
    </row>
    <row r="407" spans="1:22">
      <c r="A407">
        <v>406</v>
      </c>
      <c r="B407" t="s">
        <v>615</v>
      </c>
      <c r="C407" t="s">
        <v>616</v>
      </c>
      <c r="D407" t="s">
        <v>20</v>
      </c>
      <c r="E407" t="s">
        <v>8</v>
      </c>
      <c r="F407" s="22">
        <v>1211.44</v>
      </c>
      <c r="G407" s="22">
        <v>0</v>
      </c>
      <c r="H407" s="22">
        <v>72.3</v>
      </c>
      <c r="I407" s="22">
        <v>1139.1400000000001</v>
      </c>
      <c r="J407">
        <v>0</v>
      </c>
      <c r="K407">
        <v>0</v>
      </c>
      <c r="L407" s="22">
        <v>1139.1400000000001</v>
      </c>
      <c r="M407" s="22">
        <v>0</v>
      </c>
      <c r="N407" s="22">
        <v>0</v>
      </c>
      <c r="O407" s="22">
        <v>1139.1400000000001</v>
      </c>
      <c r="P407" s="22">
        <v>150</v>
      </c>
      <c r="Q407" s="22">
        <v>989.1400000000001</v>
      </c>
      <c r="R407">
        <v>0</v>
      </c>
      <c r="T407" t="s">
        <v>2991</v>
      </c>
      <c r="U407" t="s">
        <v>3057</v>
      </c>
      <c r="V407" t="s">
        <v>3056</v>
      </c>
    </row>
    <row r="408" spans="1:22">
      <c r="A408">
        <v>407</v>
      </c>
      <c r="B408" t="s">
        <v>964</v>
      </c>
      <c r="C408" t="s">
        <v>965</v>
      </c>
      <c r="D408" t="s">
        <v>17</v>
      </c>
      <c r="E408" t="s">
        <v>8</v>
      </c>
      <c r="F408" s="22">
        <v>1000</v>
      </c>
      <c r="G408" s="22">
        <v>0</v>
      </c>
      <c r="H408" s="22">
        <v>0</v>
      </c>
      <c r="I408" s="22">
        <v>1000</v>
      </c>
      <c r="J408">
        <v>0</v>
      </c>
      <c r="K408">
        <v>0</v>
      </c>
      <c r="L408" s="22">
        <v>1000</v>
      </c>
      <c r="M408" s="22">
        <v>0</v>
      </c>
      <c r="N408" s="22">
        <v>0</v>
      </c>
      <c r="O408" s="22">
        <v>1000</v>
      </c>
      <c r="P408" s="22">
        <v>250</v>
      </c>
      <c r="Q408" s="22">
        <v>750</v>
      </c>
      <c r="R408">
        <v>0</v>
      </c>
      <c r="T408" t="s">
        <v>2991</v>
      </c>
      <c r="U408" t="s">
        <v>3060</v>
      </c>
      <c r="V408" t="s">
        <v>3058</v>
      </c>
    </row>
    <row r="409" spans="1:22">
      <c r="A409">
        <v>408</v>
      </c>
      <c r="B409" t="s">
        <v>966</v>
      </c>
      <c r="C409" t="s">
        <v>967</v>
      </c>
      <c r="D409" t="s">
        <v>17</v>
      </c>
      <c r="E409" t="s">
        <v>8</v>
      </c>
      <c r="F409" s="22">
        <v>490</v>
      </c>
      <c r="G409" s="22">
        <v>0</v>
      </c>
      <c r="H409" s="22">
        <v>60</v>
      </c>
      <c r="I409" s="22">
        <v>430</v>
      </c>
      <c r="J409">
        <v>0</v>
      </c>
      <c r="K409">
        <v>0</v>
      </c>
      <c r="L409" s="22">
        <v>430</v>
      </c>
      <c r="M409" s="22">
        <v>0</v>
      </c>
      <c r="N409" s="22">
        <v>0</v>
      </c>
      <c r="O409" s="22">
        <v>430</v>
      </c>
      <c r="P409" s="22">
        <v>150</v>
      </c>
      <c r="Q409" s="22">
        <v>280</v>
      </c>
      <c r="R409">
        <v>0</v>
      </c>
      <c r="T409" t="s">
        <v>3006</v>
      </c>
      <c r="U409" t="s">
        <v>3060</v>
      </c>
      <c r="V409" t="s">
        <v>3058</v>
      </c>
    </row>
    <row r="410" spans="1:22">
      <c r="A410">
        <v>409</v>
      </c>
      <c r="B410" t="s">
        <v>968</v>
      </c>
      <c r="C410" t="s">
        <v>969</v>
      </c>
      <c r="D410" t="s">
        <v>17</v>
      </c>
      <c r="E410" t="s">
        <v>8</v>
      </c>
      <c r="F410" s="22">
        <v>1756</v>
      </c>
      <c r="G410" s="22">
        <v>199</v>
      </c>
      <c r="H410" s="22">
        <v>468</v>
      </c>
      <c r="I410" s="22">
        <v>1487</v>
      </c>
      <c r="J410">
        <v>0</v>
      </c>
      <c r="K410">
        <v>0</v>
      </c>
      <c r="L410" s="22">
        <v>1487</v>
      </c>
      <c r="M410" s="22">
        <v>0</v>
      </c>
      <c r="N410" s="22">
        <v>0</v>
      </c>
      <c r="O410" s="22">
        <v>1487</v>
      </c>
      <c r="P410" s="22">
        <v>750</v>
      </c>
      <c r="Q410" s="22">
        <v>737</v>
      </c>
      <c r="R410">
        <v>0</v>
      </c>
      <c r="T410" t="s">
        <v>3006</v>
      </c>
      <c r="U410" t="s">
        <v>3060</v>
      </c>
      <c r="V410" t="s">
        <v>3058</v>
      </c>
    </row>
    <row r="411" spans="1:22">
      <c r="A411">
        <v>410</v>
      </c>
      <c r="B411" t="s">
        <v>970</v>
      </c>
      <c r="C411" t="s">
        <v>971</v>
      </c>
      <c r="D411" t="s">
        <v>17</v>
      </c>
      <c r="E411" t="s">
        <v>8</v>
      </c>
      <c r="F411" s="22">
        <v>172</v>
      </c>
      <c r="G411" s="22">
        <v>0</v>
      </c>
      <c r="H411" s="22">
        <v>0</v>
      </c>
      <c r="I411" s="22">
        <v>172</v>
      </c>
      <c r="J411">
        <v>0</v>
      </c>
      <c r="K411">
        <v>0</v>
      </c>
      <c r="L411" s="22">
        <v>172</v>
      </c>
      <c r="M411" s="22">
        <v>0</v>
      </c>
      <c r="N411" s="22">
        <v>0</v>
      </c>
      <c r="O411" s="22">
        <v>172</v>
      </c>
      <c r="P411" s="22">
        <v>0</v>
      </c>
      <c r="Q411" s="22">
        <v>172</v>
      </c>
      <c r="R411">
        <v>0</v>
      </c>
      <c r="T411" t="s">
        <v>2972</v>
      </c>
      <c r="U411" t="s">
        <v>3060</v>
      </c>
      <c r="V411" t="s">
        <v>3058</v>
      </c>
    </row>
    <row r="412" spans="1:22">
      <c r="A412">
        <v>411</v>
      </c>
      <c r="B412" t="s">
        <v>972</v>
      </c>
      <c r="C412" t="s">
        <v>973</v>
      </c>
      <c r="D412" t="s">
        <v>17</v>
      </c>
      <c r="E412" t="s">
        <v>8</v>
      </c>
      <c r="F412" s="22">
        <v>16613</v>
      </c>
      <c r="G412" s="22">
        <v>0</v>
      </c>
      <c r="H412" s="22">
        <v>0</v>
      </c>
      <c r="I412" s="22">
        <v>16613</v>
      </c>
      <c r="J412">
        <v>0</v>
      </c>
      <c r="K412">
        <v>0</v>
      </c>
      <c r="L412" s="22">
        <v>16613</v>
      </c>
      <c r="M412" s="22">
        <v>0</v>
      </c>
      <c r="N412" s="22">
        <v>0</v>
      </c>
      <c r="O412" s="22">
        <v>16613</v>
      </c>
      <c r="P412" s="22">
        <v>5000</v>
      </c>
      <c r="Q412" s="22">
        <v>11613</v>
      </c>
      <c r="R412">
        <v>0</v>
      </c>
      <c r="T412" t="s">
        <v>2991</v>
      </c>
      <c r="U412" t="s">
        <v>3060</v>
      </c>
      <c r="V412" t="s">
        <v>3058</v>
      </c>
    </row>
    <row r="413" spans="1:22">
      <c r="A413">
        <v>412</v>
      </c>
      <c r="B413" t="s">
        <v>617</v>
      </c>
      <c r="C413" t="s">
        <v>618</v>
      </c>
      <c r="D413" t="s">
        <v>20</v>
      </c>
      <c r="E413" t="s">
        <v>8</v>
      </c>
      <c r="F413" s="22">
        <v>214.79</v>
      </c>
      <c r="G413" s="22">
        <v>0</v>
      </c>
      <c r="H413" s="22">
        <v>59.79</v>
      </c>
      <c r="I413" s="22">
        <v>155</v>
      </c>
      <c r="J413">
        <v>0</v>
      </c>
      <c r="K413">
        <v>0</v>
      </c>
      <c r="L413" s="22">
        <v>155</v>
      </c>
      <c r="M413" s="22">
        <v>484.33</v>
      </c>
      <c r="N413" s="22">
        <v>0</v>
      </c>
      <c r="O413" s="22">
        <v>639.32999999999993</v>
      </c>
      <c r="P413" s="22">
        <v>250</v>
      </c>
      <c r="Q413" s="22">
        <v>389.32999999999993</v>
      </c>
      <c r="R413">
        <v>250</v>
      </c>
      <c r="T413" t="s">
        <v>2991</v>
      </c>
      <c r="U413" t="s">
        <v>3057</v>
      </c>
      <c r="V413" t="s">
        <v>3056</v>
      </c>
    </row>
    <row r="414" spans="1:22">
      <c r="A414">
        <v>413</v>
      </c>
      <c r="B414" t="s">
        <v>637</v>
      </c>
      <c r="C414" t="s">
        <v>638</v>
      </c>
      <c r="D414" t="s">
        <v>17</v>
      </c>
      <c r="E414" t="s">
        <v>8</v>
      </c>
      <c r="F414" s="22">
        <v>0</v>
      </c>
      <c r="G414" s="22">
        <v>0</v>
      </c>
      <c r="H414" s="22">
        <v>0</v>
      </c>
      <c r="I414" s="22">
        <v>0</v>
      </c>
      <c r="J414">
        <v>0</v>
      </c>
      <c r="K414">
        <v>0</v>
      </c>
      <c r="L414" s="22">
        <v>0</v>
      </c>
      <c r="M414" s="22">
        <v>0</v>
      </c>
      <c r="N414" s="22">
        <v>0</v>
      </c>
      <c r="O414" s="22">
        <v>0</v>
      </c>
      <c r="P414" s="22">
        <v>0</v>
      </c>
      <c r="Q414" s="22">
        <v>0</v>
      </c>
      <c r="R414">
        <v>0</v>
      </c>
      <c r="T414" t="s">
        <v>2972</v>
      </c>
      <c r="U414" t="s">
        <v>3057</v>
      </c>
      <c r="V414" t="s">
        <v>3056</v>
      </c>
    </row>
    <row r="415" spans="1:22">
      <c r="A415">
        <v>414</v>
      </c>
      <c r="B415" t="s">
        <v>639</v>
      </c>
      <c r="C415" t="s">
        <v>640</v>
      </c>
      <c r="D415" t="s">
        <v>17</v>
      </c>
      <c r="E415" t="s">
        <v>8</v>
      </c>
      <c r="F415" s="22">
        <v>89</v>
      </c>
      <c r="G415" s="22">
        <v>2</v>
      </c>
      <c r="H415" s="22">
        <v>15</v>
      </c>
      <c r="I415" s="22">
        <v>76</v>
      </c>
      <c r="J415">
        <v>0</v>
      </c>
      <c r="K415">
        <v>11</v>
      </c>
      <c r="L415" s="22">
        <v>65</v>
      </c>
      <c r="M415" s="22">
        <v>0</v>
      </c>
      <c r="N415" s="22">
        <v>0</v>
      </c>
      <c r="O415" s="22">
        <v>65</v>
      </c>
      <c r="P415" s="22">
        <v>20</v>
      </c>
      <c r="Q415" s="22">
        <v>45</v>
      </c>
      <c r="R415">
        <v>0</v>
      </c>
      <c r="T415" t="s">
        <v>2972</v>
      </c>
      <c r="U415" t="s">
        <v>3057</v>
      </c>
      <c r="V415" t="s">
        <v>3056</v>
      </c>
    </row>
    <row r="416" spans="1:22">
      <c r="A416">
        <v>415</v>
      </c>
      <c r="B416" t="s">
        <v>980</v>
      </c>
      <c r="C416" t="s">
        <v>981</v>
      </c>
      <c r="D416" t="s">
        <v>17</v>
      </c>
      <c r="E416" t="s">
        <v>8</v>
      </c>
      <c r="F416" s="22">
        <v>2285</v>
      </c>
      <c r="G416" s="22">
        <v>0</v>
      </c>
      <c r="H416" s="22">
        <v>0</v>
      </c>
      <c r="I416" s="22">
        <v>2285</v>
      </c>
      <c r="J416">
        <v>0</v>
      </c>
      <c r="K416">
        <v>0</v>
      </c>
      <c r="L416" s="22">
        <v>2285</v>
      </c>
      <c r="M416" s="22">
        <v>0</v>
      </c>
      <c r="N416" s="22">
        <v>0</v>
      </c>
      <c r="O416" s="22">
        <v>2285</v>
      </c>
      <c r="P416" s="22">
        <v>1500</v>
      </c>
      <c r="Q416" s="22">
        <v>785</v>
      </c>
      <c r="R416">
        <v>0</v>
      </c>
      <c r="T416" t="s">
        <v>3006</v>
      </c>
      <c r="U416" t="s">
        <v>3060</v>
      </c>
      <c r="V416" t="s">
        <v>3061</v>
      </c>
    </row>
    <row r="417" spans="1:22">
      <c r="A417">
        <v>416</v>
      </c>
      <c r="B417" t="s">
        <v>838</v>
      </c>
      <c r="C417" t="s">
        <v>839</v>
      </c>
      <c r="D417" t="s">
        <v>17</v>
      </c>
      <c r="E417" t="s">
        <v>8</v>
      </c>
      <c r="F417" s="22">
        <v>2160</v>
      </c>
      <c r="G417" s="22">
        <v>0</v>
      </c>
      <c r="H417" s="22">
        <v>0</v>
      </c>
      <c r="I417" s="22">
        <v>2160</v>
      </c>
      <c r="J417">
        <v>0</v>
      </c>
      <c r="K417">
        <v>0</v>
      </c>
      <c r="L417" s="22">
        <v>2160</v>
      </c>
      <c r="M417" s="22">
        <v>0</v>
      </c>
      <c r="N417" s="22">
        <v>0</v>
      </c>
      <c r="O417" s="22">
        <v>2160</v>
      </c>
      <c r="P417" s="22">
        <v>0</v>
      </c>
      <c r="Q417" s="22">
        <v>2160</v>
      </c>
      <c r="R417">
        <v>0</v>
      </c>
      <c r="T417" t="s">
        <v>2974</v>
      </c>
      <c r="U417" t="s">
        <v>3057</v>
      </c>
      <c r="V417" t="s">
        <v>3058</v>
      </c>
    </row>
    <row r="418" spans="1:22">
      <c r="A418">
        <v>417</v>
      </c>
      <c r="B418" t="s">
        <v>984</v>
      </c>
      <c r="C418" t="s">
        <v>985</v>
      </c>
      <c r="D418" t="s">
        <v>17</v>
      </c>
      <c r="E418" t="s">
        <v>8</v>
      </c>
      <c r="F418" s="22">
        <v>820</v>
      </c>
      <c r="G418" s="22">
        <v>0</v>
      </c>
      <c r="H418" s="22">
        <v>4</v>
      </c>
      <c r="I418" s="22">
        <v>816</v>
      </c>
      <c r="J418">
        <v>0</v>
      </c>
      <c r="K418">
        <v>0</v>
      </c>
      <c r="L418" s="22">
        <v>816</v>
      </c>
      <c r="M418" s="22">
        <v>0</v>
      </c>
      <c r="N418" s="22">
        <v>0</v>
      </c>
      <c r="O418" s="22">
        <v>816</v>
      </c>
      <c r="P418" s="22">
        <v>500</v>
      </c>
      <c r="Q418" s="22">
        <v>316</v>
      </c>
      <c r="R418">
        <v>0</v>
      </c>
      <c r="T418" t="s">
        <v>3006</v>
      </c>
      <c r="U418" t="s">
        <v>3060</v>
      </c>
      <c r="V418" t="s">
        <v>3061</v>
      </c>
    </row>
    <row r="419" spans="1:22">
      <c r="A419">
        <v>418</v>
      </c>
      <c r="B419" t="s">
        <v>986</v>
      </c>
      <c r="C419" t="s">
        <v>987</v>
      </c>
      <c r="D419" t="s">
        <v>17</v>
      </c>
      <c r="E419" t="s">
        <v>8</v>
      </c>
      <c r="F419" s="22">
        <v>0</v>
      </c>
      <c r="G419" s="22">
        <v>0</v>
      </c>
      <c r="H419" s="22">
        <v>0</v>
      </c>
      <c r="I419" s="22">
        <v>0</v>
      </c>
      <c r="J419">
        <v>0</v>
      </c>
      <c r="K419">
        <v>0</v>
      </c>
      <c r="L419" s="22">
        <v>0</v>
      </c>
      <c r="M419" s="22">
        <v>0</v>
      </c>
      <c r="N419" s="22">
        <v>0</v>
      </c>
      <c r="O419" s="22">
        <v>0</v>
      </c>
      <c r="P419" s="22">
        <v>0</v>
      </c>
      <c r="Q419" s="22">
        <v>0</v>
      </c>
      <c r="R419">
        <v>0</v>
      </c>
      <c r="T419" t="s">
        <v>3006</v>
      </c>
      <c r="U419" t="s">
        <v>3060</v>
      </c>
      <c r="V419" t="s">
        <v>3058</v>
      </c>
    </row>
    <row r="420" spans="1:22">
      <c r="A420">
        <v>419</v>
      </c>
      <c r="B420" t="s">
        <v>988</v>
      </c>
      <c r="C420" t="s">
        <v>989</v>
      </c>
      <c r="D420" t="s">
        <v>17</v>
      </c>
      <c r="E420" t="s">
        <v>8</v>
      </c>
      <c r="F420" s="22">
        <v>7</v>
      </c>
      <c r="G420" s="22">
        <v>0</v>
      </c>
      <c r="H420" s="22">
        <v>1</v>
      </c>
      <c r="I420" s="22">
        <v>6</v>
      </c>
      <c r="J420">
        <v>0</v>
      </c>
      <c r="K420">
        <v>0</v>
      </c>
      <c r="L420" s="22">
        <v>6</v>
      </c>
      <c r="M420" s="22">
        <v>0</v>
      </c>
      <c r="N420" s="22">
        <v>0</v>
      </c>
      <c r="O420" s="22">
        <v>6</v>
      </c>
      <c r="P420" s="22">
        <v>0</v>
      </c>
      <c r="Q420" s="22">
        <v>6</v>
      </c>
      <c r="R420">
        <v>0</v>
      </c>
      <c r="T420" t="s">
        <v>3006</v>
      </c>
      <c r="U420" t="s">
        <v>3060</v>
      </c>
      <c r="V420" t="s">
        <v>3058</v>
      </c>
    </row>
    <row r="421" spans="1:22">
      <c r="A421">
        <v>420</v>
      </c>
      <c r="B421" t="s">
        <v>990</v>
      </c>
      <c r="C421" t="s">
        <v>991</v>
      </c>
      <c r="D421" t="s">
        <v>17</v>
      </c>
      <c r="E421" t="s">
        <v>8</v>
      </c>
      <c r="F421" s="22">
        <v>390</v>
      </c>
      <c r="G421" s="22">
        <v>0</v>
      </c>
      <c r="H421" s="22">
        <v>0</v>
      </c>
      <c r="I421" s="22">
        <v>390</v>
      </c>
      <c r="J421">
        <v>0</v>
      </c>
      <c r="K421">
        <v>0</v>
      </c>
      <c r="L421" s="22">
        <v>390</v>
      </c>
      <c r="M421" s="22">
        <v>0</v>
      </c>
      <c r="N421" s="22">
        <v>0</v>
      </c>
      <c r="O421" s="22">
        <v>390</v>
      </c>
      <c r="P421" s="22">
        <v>0</v>
      </c>
      <c r="Q421" s="22">
        <v>390</v>
      </c>
      <c r="R421">
        <v>0</v>
      </c>
      <c r="T421" t="s">
        <v>3006</v>
      </c>
      <c r="U421" t="s">
        <v>3060</v>
      </c>
      <c r="V421" t="s">
        <v>3058</v>
      </c>
    </row>
    <row r="422" spans="1:22">
      <c r="A422">
        <v>421</v>
      </c>
      <c r="B422" t="s">
        <v>992</v>
      </c>
      <c r="C422" t="s">
        <v>993</v>
      </c>
      <c r="D422" t="s">
        <v>17</v>
      </c>
      <c r="E422" t="s">
        <v>8</v>
      </c>
      <c r="F422" s="22">
        <v>40</v>
      </c>
      <c r="G422" s="22">
        <v>0</v>
      </c>
      <c r="H422" s="22">
        <v>16</v>
      </c>
      <c r="I422" s="22">
        <v>24</v>
      </c>
      <c r="J422">
        <v>0</v>
      </c>
      <c r="K422">
        <v>0</v>
      </c>
      <c r="L422" s="22">
        <v>24</v>
      </c>
      <c r="M422" s="22">
        <v>0</v>
      </c>
      <c r="N422" s="22">
        <v>0</v>
      </c>
      <c r="O422" s="22">
        <v>24</v>
      </c>
      <c r="P422" s="22">
        <v>0</v>
      </c>
      <c r="Q422" s="22">
        <v>24</v>
      </c>
      <c r="R422">
        <v>0</v>
      </c>
      <c r="T422" t="s">
        <v>3006</v>
      </c>
      <c r="U422" t="s">
        <v>3060</v>
      </c>
      <c r="V422" t="s">
        <v>3058</v>
      </c>
    </row>
    <row r="423" spans="1:22">
      <c r="A423">
        <v>422</v>
      </c>
      <c r="B423" t="s">
        <v>994</v>
      </c>
      <c r="C423" t="s">
        <v>995</v>
      </c>
      <c r="D423" t="s">
        <v>17</v>
      </c>
      <c r="E423" t="s">
        <v>8</v>
      </c>
      <c r="F423" s="22">
        <v>14</v>
      </c>
      <c r="G423" s="22">
        <v>0</v>
      </c>
      <c r="H423" s="22">
        <v>0</v>
      </c>
      <c r="I423" s="22">
        <v>14</v>
      </c>
      <c r="J423">
        <v>0</v>
      </c>
      <c r="K423">
        <v>0</v>
      </c>
      <c r="L423" s="22">
        <v>14</v>
      </c>
      <c r="M423" s="22">
        <v>0</v>
      </c>
      <c r="N423" s="22">
        <v>0</v>
      </c>
      <c r="O423" s="22">
        <v>14</v>
      </c>
      <c r="P423" s="22">
        <v>0</v>
      </c>
      <c r="Q423" s="22">
        <v>14</v>
      </c>
      <c r="R423">
        <v>0</v>
      </c>
      <c r="T423" t="s">
        <v>3006</v>
      </c>
      <c r="U423" t="s">
        <v>3060</v>
      </c>
      <c r="V423" t="s">
        <v>3058</v>
      </c>
    </row>
    <row r="424" spans="1:22">
      <c r="A424">
        <v>423</v>
      </c>
      <c r="B424" t="s">
        <v>996</v>
      </c>
      <c r="C424" t="s">
        <v>997</v>
      </c>
      <c r="D424" t="s">
        <v>17</v>
      </c>
      <c r="E424" t="s">
        <v>8</v>
      </c>
      <c r="F424" s="22">
        <v>58</v>
      </c>
      <c r="G424" s="22">
        <v>0</v>
      </c>
      <c r="H424" s="22">
        <v>0</v>
      </c>
      <c r="I424" s="22">
        <v>58</v>
      </c>
      <c r="J424">
        <v>0</v>
      </c>
      <c r="K424">
        <v>0</v>
      </c>
      <c r="L424" s="22">
        <v>58</v>
      </c>
      <c r="M424" s="22">
        <v>0</v>
      </c>
      <c r="N424" s="22">
        <v>0</v>
      </c>
      <c r="O424" s="22">
        <v>58</v>
      </c>
      <c r="P424" s="22">
        <v>0</v>
      </c>
      <c r="Q424" s="22">
        <v>58</v>
      </c>
      <c r="R424">
        <v>0</v>
      </c>
      <c r="T424" t="s">
        <v>3006</v>
      </c>
      <c r="U424" t="s">
        <v>3060</v>
      </c>
      <c r="V424" t="s">
        <v>3058</v>
      </c>
    </row>
    <row r="425" spans="1:22">
      <c r="A425">
        <v>424</v>
      </c>
      <c r="B425" t="s">
        <v>998</v>
      </c>
      <c r="C425" t="s">
        <v>999</v>
      </c>
      <c r="D425" t="s">
        <v>17</v>
      </c>
      <c r="E425" t="s">
        <v>8</v>
      </c>
      <c r="F425" s="22">
        <v>1</v>
      </c>
      <c r="G425" s="22">
        <v>0</v>
      </c>
      <c r="H425" s="22">
        <v>1</v>
      </c>
      <c r="I425" s="22">
        <v>0</v>
      </c>
      <c r="J425">
        <v>0</v>
      </c>
      <c r="K425">
        <v>0</v>
      </c>
      <c r="L425" s="22">
        <v>0</v>
      </c>
      <c r="M425" s="22">
        <v>0</v>
      </c>
      <c r="N425" s="22">
        <v>0</v>
      </c>
      <c r="O425" s="22">
        <v>0</v>
      </c>
      <c r="P425" s="22">
        <v>0</v>
      </c>
      <c r="Q425" s="22">
        <v>0</v>
      </c>
      <c r="R425">
        <v>0</v>
      </c>
      <c r="T425" t="s">
        <v>3006</v>
      </c>
      <c r="U425" t="s">
        <v>3060</v>
      </c>
      <c r="V425" t="s">
        <v>3058</v>
      </c>
    </row>
    <row r="426" spans="1:22">
      <c r="A426">
        <v>425</v>
      </c>
      <c r="B426" t="s">
        <v>1000</v>
      </c>
      <c r="C426" t="s">
        <v>1001</v>
      </c>
      <c r="D426" t="s">
        <v>17</v>
      </c>
      <c r="E426" t="s">
        <v>8</v>
      </c>
      <c r="F426" s="22">
        <v>211</v>
      </c>
      <c r="G426" s="22">
        <v>0</v>
      </c>
      <c r="H426" s="22">
        <v>10</v>
      </c>
      <c r="I426" s="22">
        <v>201</v>
      </c>
      <c r="J426">
        <v>0</v>
      </c>
      <c r="K426">
        <v>0</v>
      </c>
      <c r="L426" s="22">
        <v>201</v>
      </c>
      <c r="M426" s="22">
        <v>0</v>
      </c>
      <c r="N426" s="22">
        <v>0</v>
      </c>
      <c r="O426" s="22">
        <v>201</v>
      </c>
      <c r="P426" s="22">
        <v>0</v>
      </c>
      <c r="Q426" s="22">
        <v>201</v>
      </c>
      <c r="R426">
        <v>0</v>
      </c>
      <c r="T426" t="s">
        <v>3006</v>
      </c>
      <c r="U426" t="s">
        <v>3060</v>
      </c>
      <c r="V426" t="s">
        <v>3058</v>
      </c>
    </row>
    <row r="427" spans="1:22">
      <c r="A427">
        <v>426</v>
      </c>
      <c r="B427" t="s">
        <v>1002</v>
      </c>
      <c r="C427" t="s">
        <v>1003</v>
      </c>
      <c r="D427" t="s">
        <v>17</v>
      </c>
      <c r="E427" t="s">
        <v>8</v>
      </c>
      <c r="F427" s="22">
        <v>1293</v>
      </c>
      <c r="G427" s="22">
        <v>0</v>
      </c>
      <c r="H427" s="22">
        <v>14</v>
      </c>
      <c r="I427" s="22">
        <v>1279</v>
      </c>
      <c r="J427">
        <v>0</v>
      </c>
      <c r="K427">
        <v>0</v>
      </c>
      <c r="L427" s="22">
        <v>1279</v>
      </c>
      <c r="M427" s="22">
        <v>0</v>
      </c>
      <c r="N427" s="22">
        <v>0</v>
      </c>
      <c r="O427" s="22">
        <v>1279</v>
      </c>
      <c r="P427" s="22">
        <v>0</v>
      </c>
      <c r="Q427" s="22">
        <v>1279</v>
      </c>
      <c r="R427">
        <v>0</v>
      </c>
      <c r="T427" t="s">
        <v>3006</v>
      </c>
      <c r="U427" t="s">
        <v>3060</v>
      </c>
      <c r="V427" t="s">
        <v>3058</v>
      </c>
    </row>
    <row r="428" spans="1:22">
      <c r="A428">
        <v>427</v>
      </c>
      <c r="B428" t="s">
        <v>1004</v>
      </c>
      <c r="C428" t="s">
        <v>1005</v>
      </c>
      <c r="D428" t="s">
        <v>17</v>
      </c>
      <c r="E428" t="s">
        <v>8</v>
      </c>
      <c r="F428" s="22">
        <v>385</v>
      </c>
      <c r="G428" s="22">
        <v>0</v>
      </c>
      <c r="H428" s="22">
        <v>20</v>
      </c>
      <c r="I428" s="22">
        <v>365</v>
      </c>
      <c r="J428">
        <v>0</v>
      </c>
      <c r="K428">
        <v>0</v>
      </c>
      <c r="L428" s="22">
        <v>365</v>
      </c>
      <c r="M428" s="22">
        <v>0</v>
      </c>
      <c r="N428" s="22">
        <v>0</v>
      </c>
      <c r="O428" s="22">
        <v>365</v>
      </c>
      <c r="P428" s="22">
        <v>0</v>
      </c>
      <c r="Q428" s="22">
        <v>365</v>
      </c>
      <c r="R428">
        <v>0</v>
      </c>
      <c r="T428" t="s">
        <v>3006</v>
      </c>
      <c r="U428" t="s">
        <v>3060</v>
      </c>
      <c r="V428" t="s">
        <v>3058</v>
      </c>
    </row>
    <row r="429" spans="1:22">
      <c r="A429">
        <v>428</v>
      </c>
      <c r="B429" t="s">
        <v>1006</v>
      </c>
      <c r="C429" t="s">
        <v>1007</v>
      </c>
      <c r="D429" t="s">
        <v>17</v>
      </c>
      <c r="E429" t="s">
        <v>8</v>
      </c>
      <c r="F429" s="22">
        <v>8</v>
      </c>
      <c r="G429" s="22">
        <v>0</v>
      </c>
      <c r="H429" s="22">
        <v>0</v>
      </c>
      <c r="I429" s="22">
        <v>8</v>
      </c>
      <c r="J429">
        <v>0</v>
      </c>
      <c r="K429">
        <v>0</v>
      </c>
      <c r="L429" s="22">
        <v>8</v>
      </c>
      <c r="M429" s="22">
        <v>0</v>
      </c>
      <c r="N429" s="22">
        <v>0</v>
      </c>
      <c r="O429" s="22">
        <v>8</v>
      </c>
      <c r="P429" s="22">
        <v>0</v>
      </c>
      <c r="Q429" s="22">
        <v>8</v>
      </c>
      <c r="R429">
        <v>0</v>
      </c>
      <c r="T429" t="s">
        <v>3006</v>
      </c>
      <c r="U429" t="s">
        <v>3060</v>
      </c>
      <c r="V429" t="s">
        <v>3058</v>
      </c>
    </row>
    <row r="430" spans="1:22">
      <c r="A430">
        <v>429</v>
      </c>
      <c r="B430" t="s">
        <v>1008</v>
      </c>
      <c r="C430" t="s">
        <v>1009</v>
      </c>
      <c r="D430" t="s">
        <v>17</v>
      </c>
      <c r="E430" t="s">
        <v>8</v>
      </c>
      <c r="F430" s="22">
        <v>157</v>
      </c>
      <c r="G430" s="22">
        <v>0</v>
      </c>
      <c r="H430" s="22">
        <v>0</v>
      </c>
      <c r="I430" s="22">
        <v>157</v>
      </c>
      <c r="J430">
        <v>0</v>
      </c>
      <c r="K430">
        <v>0</v>
      </c>
      <c r="L430" s="22">
        <v>157</v>
      </c>
      <c r="M430" s="22">
        <v>0</v>
      </c>
      <c r="N430" s="22">
        <v>0</v>
      </c>
      <c r="O430" s="22">
        <v>157</v>
      </c>
      <c r="P430" s="22">
        <v>0</v>
      </c>
      <c r="Q430" s="22">
        <v>157</v>
      </c>
      <c r="R430">
        <v>0</v>
      </c>
      <c r="T430" t="s">
        <v>3006</v>
      </c>
      <c r="U430" t="s">
        <v>3060</v>
      </c>
      <c r="V430" t="s">
        <v>3058</v>
      </c>
    </row>
    <row r="431" spans="1:22">
      <c r="A431">
        <v>430</v>
      </c>
      <c r="B431" t="s">
        <v>1010</v>
      </c>
      <c r="C431" t="s">
        <v>1011</v>
      </c>
      <c r="D431" t="s">
        <v>17</v>
      </c>
      <c r="E431" t="s">
        <v>8</v>
      </c>
      <c r="F431" s="22">
        <v>345</v>
      </c>
      <c r="G431" s="22">
        <v>0</v>
      </c>
      <c r="H431" s="22">
        <v>0</v>
      </c>
      <c r="I431" s="22">
        <v>345</v>
      </c>
      <c r="J431">
        <v>0</v>
      </c>
      <c r="K431">
        <v>0</v>
      </c>
      <c r="L431" s="22">
        <v>345</v>
      </c>
      <c r="M431" s="22">
        <v>0</v>
      </c>
      <c r="N431" s="22">
        <v>0</v>
      </c>
      <c r="O431" s="22">
        <v>345</v>
      </c>
      <c r="P431" s="22">
        <v>0</v>
      </c>
      <c r="Q431" s="22">
        <v>345</v>
      </c>
      <c r="R431">
        <v>0</v>
      </c>
      <c r="T431" t="s">
        <v>3006</v>
      </c>
      <c r="U431" t="s">
        <v>3060</v>
      </c>
      <c r="V431" t="s">
        <v>3058</v>
      </c>
    </row>
    <row r="432" spans="1:22">
      <c r="A432">
        <v>431</v>
      </c>
      <c r="B432" t="s">
        <v>1012</v>
      </c>
      <c r="C432" t="s">
        <v>1013</v>
      </c>
      <c r="D432" t="s">
        <v>17</v>
      </c>
      <c r="E432" t="s">
        <v>8</v>
      </c>
      <c r="F432" s="22">
        <v>538</v>
      </c>
      <c r="G432" s="22">
        <v>0</v>
      </c>
      <c r="H432" s="22">
        <v>33</v>
      </c>
      <c r="I432" s="22">
        <v>505</v>
      </c>
      <c r="J432">
        <v>0</v>
      </c>
      <c r="K432">
        <v>0</v>
      </c>
      <c r="L432" s="22">
        <v>505</v>
      </c>
      <c r="M432" s="22">
        <v>0</v>
      </c>
      <c r="N432" s="22">
        <v>0</v>
      </c>
      <c r="O432" s="22">
        <v>505</v>
      </c>
      <c r="P432" s="22">
        <v>0</v>
      </c>
      <c r="Q432" s="22">
        <v>505</v>
      </c>
      <c r="R432">
        <v>0</v>
      </c>
      <c r="T432" t="s">
        <v>3006</v>
      </c>
      <c r="U432" t="s">
        <v>3060</v>
      </c>
      <c r="V432" t="s">
        <v>3058</v>
      </c>
    </row>
    <row r="433" spans="1:22">
      <c r="A433">
        <v>432</v>
      </c>
      <c r="B433" t="s">
        <v>1014</v>
      </c>
      <c r="C433" t="s">
        <v>1015</v>
      </c>
      <c r="D433" t="s">
        <v>17</v>
      </c>
      <c r="E433" t="s">
        <v>8</v>
      </c>
      <c r="F433" s="22">
        <v>559</v>
      </c>
      <c r="G433" s="22">
        <v>0</v>
      </c>
      <c r="H433" s="22">
        <v>54</v>
      </c>
      <c r="I433" s="22">
        <v>505</v>
      </c>
      <c r="J433">
        <v>0</v>
      </c>
      <c r="K433">
        <v>0</v>
      </c>
      <c r="L433" s="22">
        <v>505</v>
      </c>
      <c r="M433" s="22">
        <v>0</v>
      </c>
      <c r="N433" s="22">
        <v>0</v>
      </c>
      <c r="O433" s="22">
        <v>505</v>
      </c>
      <c r="P433" s="22">
        <v>0</v>
      </c>
      <c r="Q433" s="22">
        <v>505</v>
      </c>
      <c r="R433">
        <v>0</v>
      </c>
      <c r="T433" t="s">
        <v>3006</v>
      </c>
      <c r="U433" t="s">
        <v>3060</v>
      </c>
      <c r="V433" t="s">
        <v>3058</v>
      </c>
    </row>
    <row r="434" spans="1:22">
      <c r="A434">
        <v>433</v>
      </c>
      <c r="B434" t="s">
        <v>1016</v>
      </c>
      <c r="C434" t="s">
        <v>1017</v>
      </c>
      <c r="D434" t="s">
        <v>17</v>
      </c>
      <c r="E434" t="s">
        <v>8</v>
      </c>
      <c r="F434" s="22">
        <v>24</v>
      </c>
      <c r="G434" s="22">
        <v>0</v>
      </c>
      <c r="H434" s="22">
        <v>0</v>
      </c>
      <c r="I434" s="22">
        <v>24</v>
      </c>
      <c r="J434">
        <v>0</v>
      </c>
      <c r="K434">
        <v>0</v>
      </c>
      <c r="L434" s="22">
        <v>24</v>
      </c>
      <c r="M434" s="22">
        <v>0</v>
      </c>
      <c r="N434" s="22">
        <v>0</v>
      </c>
      <c r="O434" s="22">
        <v>24</v>
      </c>
      <c r="P434" s="22">
        <v>0</v>
      </c>
      <c r="Q434" s="22">
        <v>24</v>
      </c>
      <c r="R434">
        <v>0</v>
      </c>
      <c r="T434" t="s">
        <v>3006</v>
      </c>
      <c r="U434" t="s">
        <v>3060</v>
      </c>
      <c r="V434" t="s">
        <v>3058</v>
      </c>
    </row>
    <row r="435" spans="1:22">
      <c r="A435">
        <v>434</v>
      </c>
      <c r="B435" t="s">
        <v>1018</v>
      </c>
      <c r="C435" t="s">
        <v>1019</v>
      </c>
      <c r="D435" t="s">
        <v>17</v>
      </c>
      <c r="E435" t="s">
        <v>8</v>
      </c>
      <c r="F435" s="22">
        <v>4</v>
      </c>
      <c r="G435" s="22">
        <v>0</v>
      </c>
      <c r="H435" s="22">
        <v>0</v>
      </c>
      <c r="I435" s="22">
        <v>4</v>
      </c>
      <c r="J435">
        <v>0</v>
      </c>
      <c r="K435">
        <v>0</v>
      </c>
      <c r="L435" s="22">
        <v>4</v>
      </c>
      <c r="M435" s="22">
        <v>0</v>
      </c>
      <c r="N435" s="22">
        <v>0</v>
      </c>
      <c r="O435" s="22">
        <v>4</v>
      </c>
      <c r="P435" s="22">
        <v>0</v>
      </c>
      <c r="Q435" s="22">
        <v>4</v>
      </c>
      <c r="R435">
        <v>0</v>
      </c>
      <c r="T435" t="s">
        <v>3006</v>
      </c>
      <c r="U435" t="s">
        <v>3060</v>
      </c>
      <c r="V435" t="s">
        <v>3058</v>
      </c>
    </row>
    <row r="436" spans="1:22">
      <c r="A436">
        <v>435</v>
      </c>
      <c r="B436" t="s">
        <v>1020</v>
      </c>
      <c r="C436" t="s">
        <v>1021</v>
      </c>
      <c r="D436" t="s">
        <v>17</v>
      </c>
      <c r="E436" t="s">
        <v>8</v>
      </c>
      <c r="F436" s="22">
        <v>0</v>
      </c>
      <c r="G436" s="22">
        <v>0</v>
      </c>
      <c r="H436" s="22">
        <v>0</v>
      </c>
      <c r="I436" s="22">
        <v>0</v>
      </c>
      <c r="J436">
        <v>0</v>
      </c>
      <c r="K436">
        <v>0</v>
      </c>
      <c r="L436" s="22">
        <v>0</v>
      </c>
      <c r="M436" s="22">
        <v>0</v>
      </c>
      <c r="N436" s="22">
        <v>0</v>
      </c>
      <c r="O436" s="22">
        <v>0</v>
      </c>
      <c r="P436" s="22">
        <v>0</v>
      </c>
      <c r="Q436" s="22">
        <v>0</v>
      </c>
      <c r="R436">
        <v>0</v>
      </c>
      <c r="T436" t="s">
        <v>3006</v>
      </c>
      <c r="U436" t="s">
        <v>3060</v>
      </c>
      <c r="V436" t="s">
        <v>3058</v>
      </c>
    </row>
    <row r="437" spans="1:22">
      <c r="A437">
        <v>436</v>
      </c>
      <c r="B437" t="s">
        <v>1022</v>
      </c>
      <c r="C437" t="s">
        <v>1023</v>
      </c>
      <c r="D437" t="s">
        <v>17</v>
      </c>
      <c r="E437" t="s">
        <v>8</v>
      </c>
      <c r="F437" s="22">
        <v>3810</v>
      </c>
      <c r="G437" s="22">
        <v>0</v>
      </c>
      <c r="H437" s="22">
        <v>0</v>
      </c>
      <c r="I437" s="22">
        <v>3810</v>
      </c>
      <c r="J437">
        <v>0</v>
      </c>
      <c r="K437">
        <v>0</v>
      </c>
      <c r="L437" s="22">
        <v>3810</v>
      </c>
      <c r="M437" s="22">
        <v>0</v>
      </c>
      <c r="N437" s="22">
        <v>0</v>
      </c>
      <c r="O437" s="22">
        <v>3810</v>
      </c>
      <c r="P437" s="22">
        <v>500</v>
      </c>
      <c r="Q437" s="22">
        <v>3310</v>
      </c>
      <c r="R437">
        <v>0</v>
      </c>
      <c r="T437" t="s">
        <v>2972</v>
      </c>
      <c r="U437" t="s">
        <v>3060</v>
      </c>
      <c r="V437" t="s">
        <v>3058</v>
      </c>
    </row>
    <row r="438" spans="1:22">
      <c r="A438">
        <v>437</v>
      </c>
      <c r="B438" t="s">
        <v>1024</v>
      </c>
      <c r="C438" t="s">
        <v>1025</v>
      </c>
      <c r="D438" t="s">
        <v>20</v>
      </c>
      <c r="E438" t="s">
        <v>8</v>
      </c>
      <c r="F438" s="22">
        <v>0</v>
      </c>
      <c r="G438" s="22">
        <v>0</v>
      </c>
      <c r="H438" s="22">
        <v>0</v>
      </c>
      <c r="I438" s="22">
        <v>0</v>
      </c>
      <c r="J438">
        <v>0</v>
      </c>
      <c r="K438">
        <v>0</v>
      </c>
      <c r="L438" s="22">
        <v>0</v>
      </c>
      <c r="M438" s="22">
        <v>0</v>
      </c>
      <c r="N438" s="22">
        <v>0</v>
      </c>
      <c r="O438" s="22">
        <v>0</v>
      </c>
      <c r="P438" s="22">
        <v>0</v>
      </c>
      <c r="Q438" s="22">
        <v>0</v>
      </c>
      <c r="R438">
        <v>0</v>
      </c>
      <c r="T438" t="s">
        <v>3034</v>
      </c>
      <c r="U438" t="s">
        <v>3059</v>
      </c>
      <c r="V438" t="s">
        <v>3056</v>
      </c>
    </row>
    <row r="439" spans="1:22">
      <c r="A439">
        <v>438</v>
      </c>
      <c r="B439" t="s">
        <v>1026</v>
      </c>
      <c r="C439" t="s">
        <v>1027</v>
      </c>
      <c r="D439" t="s">
        <v>20</v>
      </c>
      <c r="E439" t="s">
        <v>8</v>
      </c>
      <c r="F439" s="22">
        <v>68523</v>
      </c>
      <c r="G439" s="22">
        <v>65380</v>
      </c>
      <c r="H439" s="22">
        <v>39382</v>
      </c>
      <c r="I439" s="22">
        <v>94521</v>
      </c>
      <c r="J439">
        <v>0</v>
      </c>
      <c r="K439">
        <v>0</v>
      </c>
      <c r="L439" s="22">
        <v>94521</v>
      </c>
      <c r="M439" s="22">
        <v>0</v>
      </c>
      <c r="N439" s="22">
        <v>0</v>
      </c>
      <c r="O439" s="22">
        <v>94521</v>
      </c>
      <c r="P439" s="22">
        <v>60000</v>
      </c>
      <c r="Q439" s="22">
        <v>34521</v>
      </c>
      <c r="R439">
        <v>60000</v>
      </c>
      <c r="T439" t="s">
        <v>3034</v>
      </c>
      <c r="U439" t="s">
        <v>3059</v>
      </c>
      <c r="V439" t="s">
        <v>3056</v>
      </c>
    </row>
    <row r="440" spans="1:22">
      <c r="A440">
        <v>439</v>
      </c>
      <c r="B440" t="s">
        <v>1028</v>
      </c>
      <c r="C440" t="s">
        <v>1029</v>
      </c>
      <c r="D440" t="s">
        <v>20</v>
      </c>
      <c r="E440" t="s">
        <v>8</v>
      </c>
      <c r="F440" s="22">
        <v>495</v>
      </c>
      <c r="G440" s="22">
        <v>1432</v>
      </c>
      <c r="H440" s="22">
        <v>1160</v>
      </c>
      <c r="I440" s="22">
        <v>767</v>
      </c>
      <c r="J440">
        <v>0</v>
      </c>
      <c r="K440">
        <v>0</v>
      </c>
      <c r="L440" s="22">
        <v>767</v>
      </c>
      <c r="M440" s="22">
        <v>0</v>
      </c>
      <c r="N440" s="22">
        <v>0</v>
      </c>
      <c r="O440" s="22">
        <v>767</v>
      </c>
      <c r="P440" s="22">
        <v>10000</v>
      </c>
      <c r="Q440" s="22">
        <v>-9233</v>
      </c>
      <c r="R440">
        <v>10000</v>
      </c>
      <c r="T440" t="s">
        <v>3034</v>
      </c>
      <c r="U440" t="s">
        <v>3059</v>
      </c>
      <c r="V440" t="s">
        <v>3056</v>
      </c>
    </row>
    <row r="441" spans="1:22">
      <c r="A441">
        <v>440</v>
      </c>
      <c r="B441" t="s">
        <v>1030</v>
      </c>
      <c r="C441" t="s">
        <v>1031</v>
      </c>
      <c r="D441" t="s">
        <v>20</v>
      </c>
      <c r="E441" t="s">
        <v>8</v>
      </c>
      <c r="F441" s="22">
        <v>13973.46</v>
      </c>
      <c r="G441" s="22">
        <v>757</v>
      </c>
      <c r="H441" s="22">
        <v>2125.7399999999998</v>
      </c>
      <c r="I441" s="22">
        <v>12604.72</v>
      </c>
      <c r="J441">
        <v>0</v>
      </c>
      <c r="K441">
        <v>0</v>
      </c>
      <c r="L441" s="22">
        <v>12604.72</v>
      </c>
      <c r="M441" s="22">
        <v>0</v>
      </c>
      <c r="N441" s="22">
        <v>0</v>
      </c>
      <c r="O441" s="22">
        <v>12604.72</v>
      </c>
      <c r="P441" s="22">
        <v>5000</v>
      </c>
      <c r="Q441" s="22">
        <v>7604.7199999999993</v>
      </c>
      <c r="R441">
        <v>0</v>
      </c>
      <c r="T441" t="s">
        <v>3034</v>
      </c>
      <c r="U441" t="s">
        <v>3059</v>
      </c>
      <c r="V441" t="s">
        <v>3056</v>
      </c>
    </row>
    <row r="442" spans="1:22">
      <c r="A442">
        <v>441</v>
      </c>
      <c r="B442" t="s">
        <v>846</v>
      </c>
      <c r="C442" t="s">
        <v>847</v>
      </c>
      <c r="D442" t="s">
        <v>17</v>
      </c>
      <c r="E442" t="s">
        <v>8</v>
      </c>
      <c r="F442" s="22">
        <v>0</v>
      </c>
      <c r="G442" s="22">
        <v>0</v>
      </c>
      <c r="H442" s="22">
        <v>0</v>
      </c>
      <c r="I442" s="22">
        <v>0</v>
      </c>
      <c r="J442">
        <v>0</v>
      </c>
      <c r="K442">
        <v>0</v>
      </c>
      <c r="L442" s="22">
        <v>0</v>
      </c>
      <c r="M442" s="22">
        <v>0</v>
      </c>
      <c r="N442" s="22">
        <v>0</v>
      </c>
      <c r="O442" s="22">
        <v>0</v>
      </c>
      <c r="P442" s="22">
        <v>0</v>
      </c>
      <c r="Q442" s="22">
        <v>0</v>
      </c>
      <c r="R442">
        <v>0</v>
      </c>
      <c r="T442" t="s">
        <v>2972</v>
      </c>
      <c r="U442" t="s">
        <v>3057</v>
      </c>
      <c r="V442" t="s">
        <v>3056</v>
      </c>
    </row>
    <row r="443" spans="1:22">
      <c r="A443">
        <v>442</v>
      </c>
      <c r="B443" t="s">
        <v>864</v>
      </c>
      <c r="C443" t="s">
        <v>865</v>
      </c>
      <c r="D443" t="s">
        <v>20</v>
      </c>
      <c r="E443" t="s">
        <v>8</v>
      </c>
      <c r="F443" s="22">
        <v>0</v>
      </c>
      <c r="G443" s="22">
        <v>10</v>
      </c>
      <c r="H443" s="22">
        <v>0</v>
      </c>
      <c r="I443" s="22">
        <v>10</v>
      </c>
      <c r="J443">
        <v>0</v>
      </c>
      <c r="K443">
        <v>0</v>
      </c>
      <c r="L443" s="22">
        <v>10</v>
      </c>
      <c r="M443" s="22">
        <v>0</v>
      </c>
      <c r="N443" s="22">
        <v>0</v>
      </c>
      <c r="O443" s="22">
        <v>10</v>
      </c>
      <c r="P443" s="22">
        <v>10</v>
      </c>
      <c r="Q443" s="22">
        <v>0</v>
      </c>
      <c r="R443">
        <v>10</v>
      </c>
      <c r="T443" t="s">
        <v>2991</v>
      </c>
      <c r="U443" t="s">
        <v>3057</v>
      </c>
      <c r="V443" t="s">
        <v>3056</v>
      </c>
    </row>
    <row r="444" spans="1:22">
      <c r="A444">
        <v>443</v>
      </c>
      <c r="B444" t="s">
        <v>866</v>
      </c>
      <c r="C444" t="s">
        <v>867</v>
      </c>
      <c r="D444" t="s">
        <v>17</v>
      </c>
      <c r="E444" t="s">
        <v>8</v>
      </c>
      <c r="F444" s="22">
        <v>1700</v>
      </c>
      <c r="G444" s="22">
        <v>0</v>
      </c>
      <c r="H444" s="22">
        <v>0</v>
      </c>
      <c r="I444" s="22">
        <v>1700</v>
      </c>
      <c r="J444">
        <v>0</v>
      </c>
      <c r="K444">
        <v>0</v>
      </c>
      <c r="L444" s="22">
        <v>1700</v>
      </c>
      <c r="M444" s="22">
        <v>0</v>
      </c>
      <c r="N444" s="22">
        <v>0</v>
      </c>
      <c r="O444" s="22">
        <v>1700</v>
      </c>
      <c r="P444" s="22">
        <v>1500</v>
      </c>
      <c r="Q444" s="22">
        <v>200</v>
      </c>
      <c r="R444">
        <v>0</v>
      </c>
      <c r="T444" t="s">
        <v>2972</v>
      </c>
      <c r="U444" t="s">
        <v>3057</v>
      </c>
      <c r="V444" t="s">
        <v>3056</v>
      </c>
    </row>
    <row r="445" spans="1:22">
      <c r="A445">
        <v>444</v>
      </c>
      <c r="B445" t="s">
        <v>870</v>
      </c>
      <c r="C445" t="s">
        <v>871</v>
      </c>
      <c r="D445" t="s">
        <v>17</v>
      </c>
      <c r="E445" t="s">
        <v>8</v>
      </c>
      <c r="F445" s="22">
        <v>150</v>
      </c>
      <c r="G445" s="22">
        <v>450</v>
      </c>
      <c r="H445" s="22">
        <v>0</v>
      </c>
      <c r="I445" s="22">
        <v>600</v>
      </c>
      <c r="J445">
        <v>0</v>
      </c>
      <c r="K445">
        <v>0</v>
      </c>
      <c r="L445" s="22">
        <v>600</v>
      </c>
      <c r="M445" s="22">
        <v>0</v>
      </c>
      <c r="N445" s="22">
        <v>0</v>
      </c>
      <c r="O445" s="22">
        <v>600</v>
      </c>
      <c r="P445" s="22">
        <v>250</v>
      </c>
      <c r="Q445" s="22">
        <v>350</v>
      </c>
      <c r="R445">
        <v>450</v>
      </c>
      <c r="T445" t="s">
        <v>2974</v>
      </c>
      <c r="U445" t="s">
        <v>3057</v>
      </c>
      <c r="V445" t="s">
        <v>3056</v>
      </c>
    </row>
    <row r="446" spans="1:22">
      <c r="A446">
        <v>445</v>
      </c>
      <c r="B446" t="s">
        <v>872</v>
      </c>
      <c r="C446" t="s">
        <v>873</v>
      </c>
      <c r="D446" t="s">
        <v>17</v>
      </c>
      <c r="E446" t="s">
        <v>8</v>
      </c>
      <c r="F446" s="22">
        <v>950</v>
      </c>
      <c r="G446" s="22">
        <v>534</v>
      </c>
      <c r="H446" s="22">
        <v>300</v>
      </c>
      <c r="I446" s="22">
        <v>1184</v>
      </c>
      <c r="J446">
        <v>0</v>
      </c>
      <c r="K446">
        <v>0</v>
      </c>
      <c r="L446" s="22">
        <v>1184</v>
      </c>
      <c r="M446" s="22">
        <v>0</v>
      </c>
      <c r="N446" s="22">
        <v>0</v>
      </c>
      <c r="O446" s="22">
        <v>1184</v>
      </c>
      <c r="P446" s="22">
        <v>500</v>
      </c>
      <c r="Q446" s="22">
        <v>684</v>
      </c>
      <c r="R446">
        <v>0</v>
      </c>
      <c r="T446" t="s">
        <v>3008</v>
      </c>
      <c r="U446" t="s">
        <v>3057</v>
      </c>
      <c r="V446" t="s">
        <v>3056</v>
      </c>
    </row>
    <row r="447" spans="1:22">
      <c r="A447">
        <v>446</v>
      </c>
      <c r="B447" t="s">
        <v>1044</v>
      </c>
      <c r="C447" t="s">
        <v>1045</v>
      </c>
      <c r="D447" t="s">
        <v>17</v>
      </c>
      <c r="E447" t="s">
        <v>8</v>
      </c>
      <c r="F447" s="22">
        <v>0</v>
      </c>
      <c r="G447" s="22">
        <v>0</v>
      </c>
      <c r="H447" s="22">
        <v>0</v>
      </c>
      <c r="I447" s="22">
        <v>0</v>
      </c>
      <c r="J447">
        <v>0</v>
      </c>
      <c r="K447">
        <v>0</v>
      </c>
      <c r="L447" s="22">
        <v>0</v>
      </c>
      <c r="M447" s="22">
        <v>0</v>
      </c>
      <c r="N447" s="22">
        <v>0</v>
      </c>
      <c r="O447" s="22">
        <v>0</v>
      </c>
      <c r="P447" s="22">
        <v>0</v>
      </c>
      <c r="Q447" s="22">
        <v>0</v>
      </c>
      <c r="R447">
        <v>0</v>
      </c>
      <c r="T447" t="s">
        <v>2982</v>
      </c>
      <c r="U447" t="s">
        <v>3060</v>
      </c>
      <c r="V447" t="s">
        <v>3061</v>
      </c>
    </row>
    <row r="448" spans="1:22">
      <c r="A448">
        <v>447</v>
      </c>
      <c r="B448" t="s">
        <v>1046</v>
      </c>
      <c r="C448" t="s">
        <v>1047</v>
      </c>
      <c r="D448" t="s">
        <v>17</v>
      </c>
      <c r="E448" t="s">
        <v>8</v>
      </c>
      <c r="F448" s="22">
        <v>228</v>
      </c>
      <c r="G448" s="22">
        <v>0</v>
      </c>
      <c r="H448" s="22">
        <v>108</v>
      </c>
      <c r="I448" s="22">
        <v>120</v>
      </c>
      <c r="J448">
        <v>0</v>
      </c>
      <c r="K448">
        <v>0</v>
      </c>
      <c r="L448" s="22">
        <v>120</v>
      </c>
      <c r="M448" s="22">
        <v>0</v>
      </c>
      <c r="N448" s="22">
        <v>0</v>
      </c>
      <c r="O448" s="22">
        <v>120</v>
      </c>
      <c r="P448" s="22">
        <v>200</v>
      </c>
      <c r="Q448" s="22">
        <v>-80</v>
      </c>
      <c r="R448">
        <v>100</v>
      </c>
      <c r="T448" t="s">
        <v>2982</v>
      </c>
      <c r="U448" t="s">
        <v>3060</v>
      </c>
      <c r="V448" t="s">
        <v>3061</v>
      </c>
    </row>
    <row r="449" spans="1:22">
      <c r="A449">
        <v>448</v>
      </c>
      <c r="B449" t="s">
        <v>1048</v>
      </c>
      <c r="C449" t="s">
        <v>1049</v>
      </c>
      <c r="D449" t="s">
        <v>17</v>
      </c>
      <c r="E449" t="s">
        <v>8</v>
      </c>
      <c r="F449" s="22">
        <v>1800</v>
      </c>
      <c r="G449" s="22">
        <v>0</v>
      </c>
      <c r="H449" s="22">
        <v>500</v>
      </c>
      <c r="I449" s="22">
        <v>1300</v>
      </c>
      <c r="J449">
        <v>0</v>
      </c>
      <c r="K449">
        <v>0</v>
      </c>
      <c r="L449" s="22">
        <v>1300</v>
      </c>
      <c r="M449" s="22">
        <v>0</v>
      </c>
      <c r="N449" s="22">
        <v>0</v>
      </c>
      <c r="O449" s="22">
        <v>1300</v>
      </c>
      <c r="P449" s="22">
        <v>500</v>
      </c>
      <c r="Q449" s="22">
        <v>800</v>
      </c>
      <c r="R449">
        <v>0</v>
      </c>
      <c r="T449" t="s">
        <v>2972</v>
      </c>
      <c r="U449" t="s">
        <v>3060</v>
      </c>
      <c r="V449" t="s">
        <v>3058</v>
      </c>
    </row>
    <row r="450" spans="1:22">
      <c r="A450">
        <v>449</v>
      </c>
      <c r="B450" t="s">
        <v>874</v>
      </c>
      <c r="C450" t="s">
        <v>875</v>
      </c>
      <c r="D450" t="s">
        <v>17</v>
      </c>
      <c r="E450" t="s">
        <v>8</v>
      </c>
      <c r="F450" s="22">
        <v>23000</v>
      </c>
      <c r="G450" s="22">
        <v>12000</v>
      </c>
      <c r="H450" s="22">
        <v>3000</v>
      </c>
      <c r="I450" s="22">
        <v>32000</v>
      </c>
      <c r="J450">
        <v>0</v>
      </c>
      <c r="K450">
        <v>0</v>
      </c>
      <c r="L450" s="22">
        <v>32000</v>
      </c>
      <c r="M450" s="22">
        <v>0</v>
      </c>
      <c r="N450" s="22">
        <v>0</v>
      </c>
      <c r="O450" s="22">
        <v>32000</v>
      </c>
      <c r="P450" s="22">
        <v>15000</v>
      </c>
      <c r="Q450" s="22">
        <v>17000</v>
      </c>
      <c r="R450">
        <v>12000</v>
      </c>
      <c r="T450" t="s">
        <v>2972</v>
      </c>
      <c r="U450" t="s">
        <v>3057</v>
      </c>
      <c r="V450" t="s">
        <v>3056</v>
      </c>
    </row>
    <row r="451" spans="1:22">
      <c r="A451">
        <v>450</v>
      </c>
      <c r="B451" t="s">
        <v>1052</v>
      </c>
      <c r="C451" t="s">
        <v>1053</v>
      </c>
      <c r="D451" t="s">
        <v>17</v>
      </c>
      <c r="E451" t="s">
        <v>8</v>
      </c>
      <c r="F451" s="22">
        <v>107</v>
      </c>
      <c r="G451" s="22">
        <v>0</v>
      </c>
      <c r="H451" s="22">
        <v>20</v>
      </c>
      <c r="I451" s="22">
        <v>87</v>
      </c>
      <c r="J451">
        <v>0</v>
      </c>
      <c r="K451">
        <v>0</v>
      </c>
      <c r="L451" s="22">
        <v>87</v>
      </c>
      <c r="M451" s="22">
        <v>0</v>
      </c>
      <c r="N451" s="22">
        <v>0</v>
      </c>
      <c r="O451" s="22">
        <v>87</v>
      </c>
      <c r="P451" s="22">
        <v>25</v>
      </c>
      <c r="Q451" s="22">
        <v>62</v>
      </c>
      <c r="R451">
        <v>0</v>
      </c>
      <c r="T451" t="s">
        <v>2974</v>
      </c>
      <c r="U451" t="s">
        <v>3060</v>
      </c>
      <c r="V451" t="s">
        <v>3058</v>
      </c>
    </row>
    <row r="452" spans="1:22">
      <c r="A452">
        <v>451</v>
      </c>
      <c r="B452" t="s">
        <v>1056</v>
      </c>
      <c r="C452" t="s">
        <v>1057</v>
      </c>
      <c r="D452" t="s">
        <v>17</v>
      </c>
      <c r="E452" t="s">
        <v>8</v>
      </c>
      <c r="F452" s="22">
        <v>0</v>
      </c>
      <c r="G452" s="22">
        <v>0</v>
      </c>
      <c r="H452" s="22">
        <v>0</v>
      </c>
      <c r="I452" s="22">
        <v>0</v>
      </c>
      <c r="J452">
        <v>0</v>
      </c>
      <c r="K452">
        <v>0</v>
      </c>
      <c r="L452" s="22">
        <v>0</v>
      </c>
      <c r="M452" s="22">
        <v>0</v>
      </c>
      <c r="N452" s="22">
        <v>0</v>
      </c>
      <c r="O452" s="22">
        <v>0</v>
      </c>
      <c r="P452" s="22">
        <v>0</v>
      </c>
      <c r="Q452" s="22">
        <v>0</v>
      </c>
      <c r="R452">
        <v>0</v>
      </c>
      <c r="T452" t="s">
        <v>2974</v>
      </c>
      <c r="U452" t="s">
        <v>3060</v>
      </c>
      <c r="V452" t="s">
        <v>3058</v>
      </c>
    </row>
    <row r="453" spans="1:22">
      <c r="A453">
        <v>452</v>
      </c>
      <c r="B453" t="s">
        <v>1058</v>
      </c>
      <c r="C453" t="s">
        <v>1059</v>
      </c>
      <c r="D453" t="s">
        <v>17</v>
      </c>
      <c r="E453" t="s">
        <v>8</v>
      </c>
      <c r="F453" s="22">
        <v>49</v>
      </c>
      <c r="G453" s="22">
        <v>0</v>
      </c>
      <c r="H453" s="22">
        <v>20</v>
      </c>
      <c r="I453" s="22">
        <v>29</v>
      </c>
      <c r="J453">
        <v>0</v>
      </c>
      <c r="K453">
        <v>0</v>
      </c>
      <c r="L453" s="22">
        <v>29</v>
      </c>
      <c r="M453" s="22">
        <v>0</v>
      </c>
      <c r="N453" s="22">
        <v>0</v>
      </c>
      <c r="O453" s="22">
        <v>29</v>
      </c>
      <c r="P453" s="22">
        <v>25</v>
      </c>
      <c r="Q453" s="22">
        <v>4</v>
      </c>
      <c r="R453">
        <v>0</v>
      </c>
      <c r="T453" t="s">
        <v>2974</v>
      </c>
      <c r="U453" t="s">
        <v>3060</v>
      </c>
      <c r="V453" t="s">
        <v>3058</v>
      </c>
    </row>
    <row r="454" spans="1:22">
      <c r="A454">
        <v>453</v>
      </c>
      <c r="B454" t="s">
        <v>1060</v>
      </c>
      <c r="C454" t="s">
        <v>1061</v>
      </c>
      <c r="D454" t="s">
        <v>17</v>
      </c>
      <c r="E454" t="s">
        <v>8</v>
      </c>
      <c r="F454" s="22">
        <v>256</v>
      </c>
      <c r="G454" s="22">
        <v>0</v>
      </c>
      <c r="H454" s="22">
        <v>10</v>
      </c>
      <c r="I454" s="22">
        <v>246</v>
      </c>
      <c r="J454">
        <v>0</v>
      </c>
      <c r="K454">
        <v>0</v>
      </c>
      <c r="L454" s="22">
        <v>246</v>
      </c>
      <c r="M454" s="22">
        <v>0</v>
      </c>
      <c r="N454" s="22">
        <v>0</v>
      </c>
      <c r="O454" s="22">
        <v>246</v>
      </c>
      <c r="P454" s="22">
        <v>25</v>
      </c>
      <c r="Q454" s="22">
        <v>221</v>
      </c>
      <c r="R454">
        <v>0</v>
      </c>
      <c r="T454" t="s">
        <v>2974</v>
      </c>
      <c r="U454" t="s">
        <v>3060</v>
      </c>
      <c r="V454" t="s">
        <v>3058</v>
      </c>
    </row>
    <row r="455" spans="1:22">
      <c r="A455">
        <v>454</v>
      </c>
      <c r="B455" t="s">
        <v>876</v>
      </c>
      <c r="C455" t="s">
        <v>877</v>
      </c>
      <c r="D455" t="s">
        <v>17</v>
      </c>
      <c r="E455" t="s">
        <v>8</v>
      </c>
      <c r="F455" s="22">
        <v>50</v>
      </c>
      <c r="G455" s="22">
        <v>10</v>
      </c>
      <c r="H455" s="22">
        <v>20</v>
      </c>
      <c r="I455" s="22">
        <v>40</v>
      </c>
      <c r="J455">
        <v>0</v>
      </c>
      <c r="K455">
        <v>0</v>
      </c>
      <c r="L455" s="22">
        <v>40</v>
      </c>
      <c r="M455" s="22">
        <v>0</v>
      </c>
      <c r="N455" s="22">
        <v>0</v>
      </c>
      <c r="O455" s="22">
        <v>40</v>
      </c>
      <c r="P455" s="22">
        <v>20</v>
      </c>
      <c r="Q455" s="22">
        <v>20</v>
      </c>
      <c r="R455">
        <v>10</v>
      </c>
      <c r="T455" t="s">
        <v>2972</v>
      </c>
      <c r="U455" t="s">
        <v>3057</v>
      </c>
      <c r="V455" t="s">
        <v>3056</v>
      </c>
    </row>
    <row r="456" spans="1:22">
      <c r="A456">
        <v>455</v>
      </c>
      <c r="B456" t="s">
        <v>884</v>
      </c>
      <c r="C456" t="s">
        <v>885</v>
      </c>
      <c r="D456" t="s">
        <v>17</v>
      </c>
      <c r="E456" t="s">
        <v>8</v>
      </c>
      <c r="F456" s="22">
        <v>4650</v>
      </c>
      <c r="G456" s="22">
        <v>0</v>
      </c>
      <c r="H456" s="22">
        <v>0</v>
      </c>
      <c r="I456" s="22">
        <v>4650</v>
      </c>
      <c r="J456">
        <v>0</v>
      </c>
      <c r="K456">
        <v>0</v>
      </c>
      <c r="L456" s="22">
        <v>4650</v>
      </c>
      <c r="M456" s="22">
        <v>0</v>
      </c>
      <c r="N456" s="22">
        <v>0</v>
      </c>
      <c r="O456" s="22">
        <v>4650</v>
      </c>
      <c r="P456" s="22">
        <v>2000</v>
      </c>
      <c r="Q456" s="22">
        <v>2650</v>
      </c>
      <c r="R456">
        <v>0</v>
      </c>
      <c r="T456" t="s">
        <v>2963</v>
      </c>
      <c r="U456" t="s">
        <v>3057</v>
      </c>
      <c r="V456" t="s">
        <v>3058</v>
      </c>
    </row>
    <row r="457" spans="1:22">
      <c r="A457">
        <v>456</v>
      </c>
      <c r="B457" t="s">
        <v>886</v>
      </c>
      <c r="C457" t="s">
        <v>887</v>
      </c>
      <c r="D457" t="s">
        <v>7</v>
      </c>
      <c r="E457" t="s">
        <v>8</v>
      </c>
      <c r="F457" s="22">
        <v>0</v>
      </c>
      <c r="G457" s="22">
        <v>0</v>
      </c>
      <c r="H457" s="22">
        <v>0</v>
      </c>
      <c r="I457" s="22">
        <v>0</v>
      </c>
      <c r="J457">
        <v>0</v>
      </c>
      <c r="K457">
        <v>0</v>
      </c>
      <c r="L457" s="22">
        <v>0</v>
      </c>
      <c r="M457" s="22">
        <v>0</v>
      </c>
      <c r="N457" s="22">
        <v>0</v>
      </c>
      <c r="O457" s="22">
        <v>0</v>
      </c>
      <c r="P457" s="22">
        <v>0</v>
      </c>
      <c r="Q457" s="22">
        <v>0</v>
      </c>
      <c r="R457">
        <v>0</v>
      </c>
      <c r="T457" t="s">
        <v>2972</v>
      </c>
      <c r="U457" t="s">
        <v>3057</v>
      </c>
      <c r="V457" t="s">
        <v>3058</v>
      </c>
    </row>
    <row r="458" spans="1:22">
      <c r="A458">
        <v>457</v>
      </c>
      <c r="B458" t="s">
        <v>888</v>
      </c>
      <c r="C458" t="s">
        <v>889</v>
      </c>
      <c r="D458" t="s">
        <v>7</v>
      </c>
      <c r="E458" t="s">
        <v>8</v>
      </c>
      <c r="F458" s="22">
        <v>3780</v>
      </c>
      <c r="G458" s="22">
        <v>360</v>
      </c>
      <c r="H458" s="22">
        <v>3980</v>
      </c>
      <c r="I458" s="22">
        <v>160</v>
      </c>
      <c r="J458">
        <v>0</v>
      </c>
      <c r="K458">
        <v>0</v>
      </c>
      <c r="L458" s="22">
        <v>160</v>
      </c>
      <c r="M458" s="22">
        <v>5040</v>
      </c>
      <c r="N458" s="22">
        <v>0</v>
      </c>
      <c r="O458" s="22">
        <v>5200</v>
      </c>
      <c r="P458" s="22">
        <v>1280</v>
      </c>
      <c r="Q458" s="22">
        <v>3920</v>
      </c>
      <c r="R458">
        <v>0</v>
      </c>
      <c r="T458" t="s">
        <v>2972</v>
      </c>
      <c r="U458" t="s">
        <v>3057</v>
      </c>
      <c r="V458" t="s">
        <v>3058</v>
      </c>
    </row>
    <row r="459" spans="1:22">
      <c r="A459">
        <v>458</v>
      </c>
      <c r="B459" t="s">
        <v>894</v>
      </c>
      <c r="C459" t="s">
        <v>895</v>
      </c>
      <c r="D459" t="s">
        <v>17</v>
      </c>
      <c r="E459" t="s">
        <v>8</v>
      </c>
      <c r="F459" s="22">
        <v>500</v>
      </c>
      <c r="G459" s="22">
        <v>0</v>
      </c>
      <c r="H459" s="22">
        <v>0</v>
      </c>
      <c r="I459" s="22">
        <v>500</v>
      </c>
      <c r="J459">
        <v>0</v>
      </c>
      <c r="K459">
        <v>0</v>
      </c>
      <c r="L459" s="22">
        <v>500</v>
      </c>
      <c r="M459" s="22">
        <v>0</v>
      </c>
      <c r="N459" s="22">
        <v>0</v>
      </c>
      <c r="O459" s="22">
        <v>500</v>
      </c>
      <c r="P459" s="22">
        <v>1000</v>
      </c>
      <c r="Q459" s="22">
        <v>-500</v>
      </c>
      <c r="R459">
        <v>0</v>
      </c>
      <c r="T459" t="s">
        <v>2972</v>
      </c>
      <c r="U459" t="s">
        <v>3057</v>
      </c>
      <c r="V459" t="s">
        <v>3058</v>
      </c>
    </row>
    <row r="460" spans="1:22">
      <c r="A460">
        <v>459</v>
      </c>
      <c r="B460" t="s">
        <v>900</v>
      </c>
      <c r="C460" t="s">
        <v>901</v>
      </c>
      <c r="D460" t="s">
        <v>20</v>
      </c>
      <c r="E460" t="s">
        <v>8</v>
      </c>
      <c r="F460" s="22">
        <v>7.95</v>
      </c>
      <c r="G460" s="22">
        <v>9</v>
      </c>
      <c r="H460" s="22">
        <v>0</v>
      </c>
      <c r="I460" s="22">
        <v>16.95</v>
      </c>
      <c r="J460">
        <v>0</v>
      </c>
      <c r="K460">
        <v>0</v>
      </c>
      <c r="L460" s="22">
        <v>16.95</v>
      </c>
      <c r="M460" s="22">
        <v>0</v>
      </c>
      <c r="N460" s="22">
        <v>0</v>
      </c>
      <c r="O460" s="22">
        <v>16.95</v>
      </c>
      <c r="P460" s="22">
        <v>5</v>
      </c>
      <c r="Q460" s="22">
        <v>11.95</v>
      </c>
      <c r="R460">
        <v>0</v>
      </c>
      <c r="T460" t="s">
        <v>2972</v>
      </c>
      <c r="U460" t="s">
        <v>3057</v>
      </c>
      <c r="V460" t="s">
        <v>3058</v>
      </c>
    </row>
    <row r="461" spans="1:22">
      <c r="A461">
        <v>460</v>
      </c>
      <c r="B461" t="s">
        <v>904</v>
      </c>
      <c r="C461" t="s">
        <v>905</v>
      </c>
      <c r="D461" t="s">
        <v>17</v>
      </c>
      <c r="E461" t="s">
        <v>8</v>
      </c>
      <c r="F461" s="22">
        <v>4000</v>
      </c>
      <c r="G461" s="22">
        <v>3000</v>
      </c>
      <c r="H461" s="22">
        <v>2500</v>
      </c>
      <c r="I461" s="22">
        <v>4500</v>
      </c>
      <c r="J461">
        <v>0</v>
      </c>
      <c r="K461">
        <v>0</v>
      </c>
      <c r="L461" s="22">
        <v>4500</v>
      </c>
      <c r="M461" s="22">
        <v>0</v>
      </c>
      <c r="N461" s="22">
        <v>0</v>
      </c>
      <c r="O461" s="22">
        <v>4500</v>
      </c>
      <c r="P461" s="22">
        <v>4000</v>
      </c>
      <c r="Q461" s="22">
        <v>500</v>
      </c>
      <c r="R461">
        <v>3000</v>
      </c>
      <c r="T461" t="s">
        <v>2974</v>
      </c>
      <c r="U461" t="s">
        <v>3057</v>
      </c>
      <c r="V461" t="s">
        <v>3056</v>
      </c>
    </row>
    <row r="462" spans="1:22">
      <c r="A462">
        <v>461</v>
      </c>
      <c r="B462" t="s">
        <v>906</v>
      </c>
      <c r="C462" t="s">
        <v>907</v>
      </c>
      <c r="D462" t="s">
        <v>17</v>
      </c>
      <c r="E462" t="s">
        <v>8</v>
      </c>
      <c r="F462" s="22">
        <v>70</v>
      </c>
      <c r="G462" s="22">
        <v>0</v>
      </c>
      <c r="H462" s="22">
        <v>0</v>
      </c>
      <c r="I462" s="22">
        <v>70</v>
      </c>
      <c r="J462">
        <v>0</v>
      </c>
      <c r="K462">
        <v>0</v>
      </c>
      <c r="L462" s="22">
        <v>70</v>
      </c>
      <c r="M462" s="22">
        <v>0</v>
      </c>
      <c r="N462" s="22">
        <v>0</v>
      </c>
      <c r="O462" s="22">
        <v>70</v>
      </c>
      <c r="P462" s="22">
        <v>60</v>
      </c>
      <c r="Q462" s="22">
        <v>10</v>
      </c>
      <c r="R462">
        <v>0</v>
      </c>
      <c r="T462" t="s">
        <v>2972</v>
      </c>
      <c r="U462" t="s">
        <v>3057</v>
      </c>
      <c r="V462" t="s">
        <v>3056</v>
      </c>
    </row>
    <row r="463" spans="1:22">
      <c r="A463">
        <v>462</v>
      </c>
      <c r="B463" t="s">
        <v>910</v>
      </c>
      <c r="C463" t="s">
        <v>911</v>
      </c>
      <c r="D463" t="s">
        <v>17</v>
      </c>
      <c r="E463" t="s">
        <v>8</v>
      </c>
      <c r="F463" s="22">
        <v>100</v>
      </c>
      <c r="G463" s="22">
        <v>0</v>
      </c>
      <c r="H463" s="22">
        <v>0</v>
      </c>
      <c r="I463" s="22">
        <v>100</v>
      </c>
      <c r="J463">
        <v>0</v>
      </c>
      <c r="K463">
        <v>0</v>
      </c>
      <c r="L463" s="22">
        <v>100</v>
      </c>
      <c r="M463" s="22">
        <v>0</v>
      </c>
      <c r="N463" s="22">
        <v>0</v>
      </c>
      <c r="O463" s="22">
        <v>100</v>
      </c>
      <c r="P463" s="22">
        <v>100</v>
      </c>
      <c r="Q463" s="22">
        <v>0</v>
      </c>
      <c r="R463">
        <v>0</v>
      </c>
      <c r="T463" t="s">
        <v>2991</v>
      </c>
      <c r="U463" t="s">
        <v>3057</v>
      </c>
      <c r="V463" t="s">
        <v>3058</v>
      </c>
    </row>
    <row r="464" spans="1:22">
      <c r="A464">
        <v>463</v>
      </c>
      <c r="B464" t="s">
        <v>912</v>
      </c>
      <c r="C464" t="s">
        <v>913</v>
      </c>
      <c r="D464" t="s">
        <v>20</v>
      </c>
      <c r="E464" t="s">
        <v>8</v>
      </c>
      <c r="F464" s="22">
        <v>52</v>
      </c>
      <c r="G464" s="22">
        <v>0</v>
      </c>
      <c r="H464" s="22">
        <v>0</v>
      </c>
      <c r="I464" s="22">
        <v>52</v>
      </c>
      <c r="J464">
        <v>0</v>
      </c>
      <c r="K464">
        <v>0</v>
      </c>
      <c r="L464" s="22">
        <v>52</v>
      </c>
      <c r="M464" s="22">
        <v>0</v>
      </c>
      <c r="N464" s="22">
        <v>0</v>
      </c>
      <c r="O464" s="22">
        <v>52</v>
      </c>
      <c r="P464" s="22">
        <v>0</v>
      </c>
      <c r="Q464" s="22">
        <v>52</v>
      </c>
      <c r="R464">
        <v>0</v>
      </c>
      <c r="T464" t="s">
        <v>2972</v>
      </c>
      <c r="U464" t="s">
        <v>3057</v>
      </c>
      <c r="V464" t="s">
        <v>3056</v>
      </c>
    </row>
    <row r="465" spans="1:22">
      <c r="A465">
        <v>464</v>
      </c>
      <c r="B465" t="s">
        <v>914</v>
      </c>
      <c r="C465" t="s">
        <v>915</v>
      </c>
      <c r="D465" t="s">
        <v>20</v>
      </c>
      <c r="E465" t="s">
        <v>8</v>
      </c>
      <c r="F465" s="22">
        <v>328.3</v>
      </c>
      <c r="G465" s="22">
        <v>0</v>
      </c>
      <c r="H465" s="22">
        <v>47</v>
      </c>
      <c r="I465" s="22">
        <v>281.3</v>
      </c>
      <c r="J465">
        <v>0</v>
      </c>
      <c r="K465">
        <v>0</v>
      </c>
      <c r="L465" s="22">
        <v>281.3</v>
      </c>
      <c r="M465" s="22">
        <v>0</v>
      </c>
      <c r="N465" s="22">
        <v>0</v>
      </c>
      <c r="O465" s="22">
        <v>281.3</v>
      </c>
      <c r="P465" s="22">
        <v>120</v>
      </c>
      <c r="Q465" s="22">
        <v>161.30000000000001</v>
      </c>
      <c r="R465">
        <v>0</v>
      </c>
      <c r="T465" t="s">
        <v>2972</v>
      </c>
      <c r="U465" t="s">
        <v>3057</v>
      </c>
      <c r="V465" t="s">
        <v>3056</v>
      </c>
    </row>
    <row r="466" spans="1:22">
      <c r="A466">
        <v>465</v>
      </c>
      <c r="B466" t="s">
        <v>916</v>
      </c>
      <c r="C466" t="s">
        <v>917</v>
      </c>
      <c r="D466" t="s">
        <v>20</v>
      </c>
      <c r="E466" t="s">
        <v>8</v>
      </c>
      <c r="F466" s="22">
        <v>0</v>
      </c>
      <c r="G466" s="22">
        <v>0</v>
      </c>
      <c r="H466" s="22">
        <v>0</v>
      </c>
      <c r="I466" s="22">
        <v>0</v>
      </c>
      <c r="J466">
        <v>0</v>
      </c>
      <c r="K466">
        <v>0</v>
      </c>
      <c r="L466" s="22">
        <v>0</v>
      </c>
      <c r="M466" s="22">
        <v>0</v>
      </c>
      <c r="N466" s="22">
        <v>0</v>
      </c>
      <c r="O466" s="22">
        <v>0</v>
      </c>
      <c r="P466" s="22">
        <v>0</v>
      </c>
      <c r="Q466" s="22">
        <v>0</v>
      </c>
      <c r="R466">
        <v>0</v>
      </c>
      <c r="T466" t="s">
        <v>2972</v>
      </c>
      <c r="U466" t="s">
        <v>3057</v>
      </c>
      <c r="V466" t="s">
        <v>3056</v>
      </c>
    </row>
    <row r="467" spans="1:22">
      <c r="A467">
        <v>466</v>
      </c>
      <c r="B467" t="s">
        <v>918</v>
      </c>
      <c r="C467" t="s">
        <v>919</v>
      </c>
      <c r="D467" t="s">
        <v>20</v>
      </c>
      <c r="E467" t="s">
        <v>8</v>
      </c>
      <c r="F467" s="22">
        <v>610.85</v>
      </c>
      <c r="G467" s="22">
        <v>1319.5</v>
      </c>
      <c r="H467" s="22">
        <v>822.65</v>
      </c>
      <c r="I467" s="22">
        <v>1107.7</v>
      </c>
      <c r="J467">
        <v>0</v>
      </c>
      <c r="K467">
        <v>22.6</v>
      </c>
      <c r="L467" s="22">
        <v>1085.1000000000001</v>
      </c>
      <c r="M467" s="22">
        <v>0</v>
      </c>
      <c r="N467" s="22">
        <v>0</v>
      </c>
      <c r="O467" s="22">
        <v>1085.1000000000001</v>
      </c>
      <c r="P467" s="22">
        <v>1000</v>
      </c>
      <c r="Q467" s="22">
        <v>85.100000000000136</v>
      </c>
      <c r="R467">
        <v>1250</v>
      </c>
      <c r="T467" t="s">
        <v>2972</v>
      </c>
      <c r="U467" t="s">
        <v>3057</v>
      </c>
      <c r="V467" t="s">
        <v>3056</v>
      </c>
    </row>
    <row r="468" spans="1:22">
      <c r="A468">
        <v>467</v>
      </c>
      <c r="B468" t="s">
        <v>922</v>
      </c>
      <c r="C468" t="s">
        <v>923</v>
      </c>
      <c r="D468" t="s">
        <v>20</v>
      </c>
      <c r="E468" t="s">
        <v>8</v>
      </c>
      <c r="F468" s="22">
        <v>265.60000000000002</v>
      </c>
      <c r="G468" s="22">
        <v>0</v>
      </c>
      <c r="H468" s="22">
        <v>0</v>
      </c>
      <c r="I468" s="22">
        <v>265.60000000000002</v>
      </c>
      <c r="J468">
        <v>0</v>
      </c>
      <c r="K468">
        <v>0</v>
      </c>
      <c r="L468" s="22">
        <v>265.60000000000002</v>
      </c>
      <c r="M468" s="22">
        <v>0</v>
      </c>
      <c r="N468" s="22">
        <v>0</v>
      </c>
      <c r="O468" s="22">
        <v>265.60000000000002</v>
      </c>
      <c r="P468" s="22">
        <v>100</v>
      </c>
      <c r="Q468" s="22">
        <v>165.60000000000002</v>
      </c>
      <c r="R468">
        <v>0</v>
      </c>
      <c r="T468" t="s">
        <v>2972</v>
      </c>
      <c r="U468" t="s">
        <v>3057</v>
      </c>
      <c r="V468" t="s">
        <v>3056</v>
      </c>
    </row>
    <row r="469" spans="1:22">
      <c r="A469">
        <v>468</v>
      </c>
      <c r="B469" t="s">
        <v>924</v>
      </c>
      <c r="C469" t="s">
        <v>925</v>
      </c>
      <c r="D469" t="s">
        <v>20</v>
      </c>
      <c r="E469" t="s">
        <v>8</v>
      </c>
      <c r="F469" s="22">
        <v>308.3</v>
      </c>
      <c r="G469" s="22">
        <v>0</v>
      </c>
      <c r="H469" s="22">
        <v>0</v>
      </c>
      <c r="I469" s="22">
        <v>308.3</v>
      </c>
      <c r="J469">
        <v>0</v>
      </c>
      <c r="K469">
        <v>0</v>
      </c>
      <c r="L469" s="22">
        <v>308.3</v>
      </c>
      <c r="M469" s="22">
        <v>0</v>
      </c>
      <c r="N469" s="22">
        <v>0</v>
      </c>
      <c r="O469" s="22">
        <v>308.3</v>
      </c>
      <c r="P469" s="22">
        <v>120</v>
      </c>
      <c r="Q469" s="22">
        <v>188.3</v>
      </c>
      <c r="R469">
        <v>0</v>
      </c>
      <c r="T469" t="s">
        <v>2972</v>
      </c>
      <c r="U469" t="s">
        <v>3057</v>
      </c>
      <c r="V469" t="s">
        <v>3056</v>
      </c>
    </row>
    <row r="470" spans="1:22">
      <c r="A470">
        <v>469</v>
      </c>
      <c r="B470" t="s">
        <v>928</v>
      </c>
      <c r="C470" t="s">
        <v>929</v>
      </c>
      <c r="D470" t="s">
        <v>20</v>
      </c>
      <c r="E470" t="s">
        <v>8</v>
      </c>
      <c r="F470" s="22">
        <v>437.2</v>
      </c>
      <c r="G470" s="22">
        <v>0</v>
      </c>
      <c r="H470" s="22">
        <v>0</v>
      </c>
      <c r="I470" s="22">
        <v>437.2</v>
      </c>
      <c r="J470">
        <v>0</v>
      </c>
      <c r="K470">
        <v>0</v>
      </c>
      <c r="L470" s="22">
        <v>437.2</v>
      </c>
      <c r="M470" s="22">
        <v>0</v>
      </c>
      <c r="N470" s="22">
        <v>0</v>
      </c>
      <c r="O470" s="22">
        <v>437.2</v>
      </c>
      <c r="P470" s="22">
        <v>250</v>
      </c>
      <c r="Q470" s="22">
        <v>187.2</v>
      </c>
      <c r="R470">
        <v>0</v>
      </c>
      <c r="T470" t="s">
        <v>2972</v>
      </c>
      <c r="U470" t="s">
        <v>3057</v>
      </c>
      <c r="V470" t="s">
        <v>3056</v>
      </c>
    </row>
    <row r="471" spans="1:22">
      <c r="A471">
        <v>470</v>
      </c>
      <c r="B471" t="s">
        <v>930</v>
      </c>
      <c r="C471" t="s">
        <v>931</v>
      </c>
      <c r="D471" t="s">
        <v>20</v>
      </c>
      <c r="E471" t="s">
        <v>8</v>
      </c>
      <c r="F471" s="22">
        <v>166.7</v>
      </c>
      <c r="G471" s="22">
        <v>0</v>
      </c>
      <c r="H471" s="22">
        <v>0</v>
      </c>
      <c r="I471" s="22">
        <v>166.7</v>
      </c>
      <c r="J471">
        <v>0</v>
      </c>
      <c r="K471">
        <v>0</v>
      </c>
      <c r="L471" s="22">
        <v>166.7</v>
      </c>
      <c r="M471" s="22">
        <v>0</v>
      </c>
      <c r="N471" s="22">
        <v>0</v>
      </c>
      <c r="O471" s="22">
        <v>166.7</v>
      </c>
      <c r="P471" s="22">
        <v>0</v>
      </c>
      <c r="Q471" s="22">
        <v>166.7</v>
      </c>
      <c r="R471">
        <v>0</v>
      </c>
      <c r="T471" t="s">
        <v>2972</v>
      </c>
      <c r="U471" t="s">
        <v>3057</v>
      </c>
      <c r="V471" t="s">
        <v>3056</v>
      </c>
    </row>
    <row r="472" spans="1:22">
      <c r="A472">
        <v>471</v>
      </c>
      <c r="B472" t="s">
        <v>932</v>
      </c>
      <c r="C472" t="s">
        <v>933</v>
      </c>
      <c r="D472" t="s">
        <v>20</v>
      </c>
      <c r="E472" t="s">
        <v>8</v>
      </c>
      <c r="F472" s="22">
        <v>1503.16</v>
      </c>
      <c r="G472" s="22">
        <v>0</v>
      </c>
      <c r="H472" s="22">
        <v>0</v>
      </c>
      <c r="I472" s="22">
        <v>1503.16</v>
      </c>
      <c r="J472">
        <v>0</v>
      </c>
      <c r="K472">
        <v>0</v>
      </c>
      <c r="L472" s="22">
        <v>1503.16</v>
      </c>
      <c r="M472" s="22">
        <v>0</v>
      </c>
      <c r="N472" s="22">
        <v>0</v>
      </c>
      <c r="O472" s="22">
        <v>1503.16</v>
      </c>
      <c r="P472" s="22">
        <v>150</v>
      </c>
      <c r="Q472" s="22">
        <v>1353.16</v>
      </c>
      <c r="R472">
        <v>0</v>
      </c>
      <c r="T472" t="s">
        <v>2972</v>
      </c>
      <c r="U472" t="s">
        <v>3057</v>
      </c>
      <c r="V472" t="s">
        <v>3056</v>
      </c>
    </row>
    <row r="473" spans="1:22">
      <c r="A473">
        <v>472</v>
      </c>
      <c r="B473" t="s">
        <v>934</v>
      </c>
      <c r="C473" t="s">
        <v>935</v>
      </c>
      <c r="D473" t="s">
        <v>20</v>
      </c>
      <c r="E473" t="s">
        <v>8</v>
      </c>
      <c r="F473" s="22">
        <v>109.8</v>
      </c>
      <c r="G473" s="22">
        <v>0</v>
      </c>
      <c r="H473" s="22">
        <v>0</v>
      </c>
      <c r="I473" s="22">
        <v>109.8</v>
      </c>
      <c r="J473">
        <v>0</v>
      </c>
      <c r="K473">
        <v>0</v>
      </c>
      <c r="L473" s="22">
        <v>109.8</v>
      </c>
      <c r="M473" s="22">
        <v>0</v>
      </c>
      <c r="N473" s="22">
        <v>0</v>
      </c>
      <c r="O473" s="22">
        <v>109.8</v>
      </c>
      <c r="P473" s="22">
        <v>100</v>
      </c>
      <c r="Q473" s="22">
        <v>9.7999999999999972</v>
      </c>
      <c r="R473">
        <v>0</v>
      </c>
      <c r="T473" t="s">
        <v>2991</v>
      </c>
      <c r="U473" t="s">
        <v>3057</v>
      </c>
      <c r="V473" t="s">
        <v>3056</v>
      </c>
    </row>
    <row r="474" spans="1:22">
      <c r="A474">
        <v>473</v>
      </c>
      <c r="B474" t="s">
        <v>1106</v>
      </c>
      <c r="C474" t="s">
        <v>1107</v>
      </c>
      <c r="D474" t="s">
        <v>20</v>
      </c>
      <c r="E474" t="s">
        <v>8</v>
      </c>
      <c r="F474" s="22">
        <v>50.6</v>
      </c>
      <c r="G474" s="22">
        <v>0</v>
      </c>
      <c r="H474" s="22">
        <v>0</v>
      </c>
      <c r="I474" s="22">
        <v>50.6</v>
      </c>
      <c r="J474">
        <v>0</v>
      </c>
      <c r="K474">
        <v>0</v>
      </c>
      <c r="L474" s="22">
        <v>50.6</v>
      </c>
      <c r="M474" s="22">
        <v>0</v>
      </c>
      <c r="N474" s="22">
        <v>0</v>
      </c>
      <c r="O474" s="22">
        <v>50.6</v>
      </c>
      <c r="P474" s="22">
        <v>0</v>
      </c>
      <c r="Q474" s="22">
        <v>50.6</v>
      </c>
      <c r="R474">
        <v>0</v>
      </c>
      <c r="T474" t="s">
        <v>2965</v>
      </c>
      <c r="U474" t="s">
        <v>3055</v>
      </c>
      <c r="V474" t="s">
        <v>3056</v>
      </c>
    </row>
    <row r="475" spans="1:22">
      <c r="A475">
        <v>474</v>
      </c>
      <c r="B475" t="s">
        <v>1108</v>
      </c>
      <c r="C475" t="s">
        <v>1109</v>
      </c>
      <c r="D475" t="s">
        <v>17</v>
      </c>
      <c r="E475" t="s">
        <v>8</v>
      </c>
      <c r="F475" s="22">
        <v>170</v>
      </c>
      <c r="G475" s="22">
        <v>0</v>
      </c>
      <c r="H475" s="22">
        <v>18</v>
      </c>
      <c r="I475" s="22">
        <v>152</v>
      </c>
      <c r="J475">
        <v>0</v>
      </c>
      <c r="K475">
        <v>0</v>
      </c>
      <c r="L475" s="22">
        <v>152</v>
      </c>
      <c r="M475" s="22">
        <v>0</v>
      </c>
      <c r="N475" s="22">
        <v>0</v>
      </c>
      <c r="O475" s="22">
        <v>152</v>
      </c>
      <c r="P475" s="22">
        <v>250</v>
      </c>
      <c r="Q475" s="22">
        <v>-98</v>
      </c>
      <c r="R475">
        <v>500</v>
      </c>
      <c r="T475" t="s">
        <v>2972</v>
      </c>
      <c r="U475" t="s">
        <v>3055</v>
      </c>
      <c r="V475" t="s">
        <v>3056</v>
      </c>
    </row>
    <row r="476" spans="1:22">
      <c r="A476">
        <v>475</v>
      </c>
      <c r="B476" t="s">
        <v>936</v>
      </c>
      <c r="C476" t="s">
        <v>937</v>
      </c>
      <c r="D476" t="s">
        <v>20</v>
      </c>
      <c r="E476" t="s">
        <v>8</v>
      </c>
      <c r="F476" s="22">
        <v>233.85</v>
      </c>
      <c r="G476" s="22">
        <v>0</v>
      </c>
      <c r="H476" s="22">
        <v>0</v>
      </c>
      <c r="I476" s="22">
        <v>233.85</v>
      </c>
      <c r="J476">
        <v>0</v>
      </c>
      <c r="K476">
        <v>0</v>
      </c>
      <c r="L476" s="22">
        <v>233.85</v>
      </c>
      <c r="M476" s="22">
        <v>0</v>
      </c>
      <c r="N476" s="22">
        <v>0</v>
      </c>
      <c r="O476" s="22">
        <v>233.85</v>
      </c>
      <c r="P476" s="22">
        <v>120</v>
      </c>
      <c r="Q476" s="22">
        <v>113.85</v>
      </c>
      <c r="R476">
        <v>0</v>
      </c>
      <c r="T476" t="s">
        <v>2972</v>
      </c>
      <c r="U476" t="s">
        <v>3057</v>
      </c>
      <c r="V476" t="s">
        <v>3056</v>
      </c>
    </row>
    <row r="477" spans="1:22">
      <c r="A477">
        <v>476</v>
      </c>
      <c r="B477" t="s">
        <v>948</v>
      </c>
      <c r="C477" t="s">
        <v>949</v>
      </c>
      <c r="D477" t="s">
        <v>148</v>
      </c>
      <c r="E477" t="s">
        <v>8</v>
      </c>
      <c r="F477" s="22">
        <v>0</v>
      </c>
      <c r="G477" s="22">
        <v>0</v>
      </c>
      <c r="H477" s="22">
        <v>0</v>
      </c>
      <c r="I477" s="22">
        <v>0</v>
      </c>
      <c r="J477">
        <v>0</v>
      </c>
      <c r="K477">
        <v>0</v>
      </c>
      <c r="L477" s="22">
        <v>0</v>
      </c>
      <c r="M477" s="22">
        <v>0</v>
      </c>
      <c r="N477" s="22">
        <v>0</v>
      </c>
      <c r="O477" s="22">
        <v>0</v>
      </c>
      <c r="P477" s="22">
        <v>0</v>
      </c>
      <c r="Q477" s="22">
        <v>0</v>
      </c>
      <c r="R477">
        <v>0</v>
      </c>
      <c r="T477" t="s">
        <v>2991</v>
      </c>
      <c r="U477" t="s">
        <v>3057</v>
      </c>
      <c r="V477" t="s">
        <v>3056</v>
      </c>
    </row>
    <row r="478" spans="1:22">
      <c r="A478">
        <v>477</v>
      </c>
      <c r="B478" t="s">
        <v>952</v>
      </c>
      <c r="C478" t="s">
        <v>953</v>
      </c>
      <c r="D478" t="s">
        <v>17</v>
      </c>
      <c r="E478" t="s">
        <v>8</v>
      </c>
      <c r="F478" s="22">
        <v>1157</v>
      </c>
      <c r="G478" s="22">
        <v>0</v>
      </c>
      <c r="H478" s="22">
        <v>0</v>
      </c>
      <c r="I478" s="22">
        <v>1157</v>
      </c>
      <c r="J478">
        <v>0</v>
      </c>
      <c r="K478">
        <v>0</v>
      </c>
      <c r="L478" s="22">
        <v>1157</v>
      </c>
      <c r="M478" s="22">
        <v>0</v>
      </c>
      <c r="N478" s="22">
        <v>0</v>
      </c>
      <c r="O478" s="22">
        <v>1157</v>
      </c>
      <c r="P478" s="22">
        <v>0</v>
      </c>
      <c r="Q478" s="22">
        <v>1157</v>
      </c>
      <c r="R478">
        <v>0</v>
      </c>
      <c r="T478" t="s">
        <v>2972</v>
      </c>
      <c r="U478" t="s">
        <v>3057</v>
      </c>
      <c r="V478" t="s">
        <v>3058</v>
      </c>
    </row>
    <row r="479" spans="1:22">
      <c r="A479">
        <v>478</v>
      </c>
      <c r="B479" t="s">
        <v>954</v>
      </c>
      <c r="C479" t="s">
        <v>955</v>
      </c>
      <c r="D479" t="s">
        <v>17</v>
      </c>
      <c r="E479" t="s">
        <v>8</v>
      </c>
      <c r="F479" s="22">
        <v>1020</v>
      </c>
      <c r="G479" s="22">
        <v>0</v>
      </c>
      <c r="H479" s="22">
        <v>0</v>
      </c>
      <c r="I479" s="22">
        <v>1020</v>
      </c>
      <c r="J479">
        <v>0</v>
      </c>
      <c r="K479">
        <v>0</v>
      </c>
      <c r="L479" s="22">
        <v>1020</v>
      </c>
      <c r="M479" s="22">
        <v>0</v>
      </c>
      <c r="N479" s="22">
        <v>0</v>
      </c>
      <c r="O479" s="22">
        <v>1020</v>
      </c>
      <c r="P479" s="22">
        <v>500</v>
      </c>
      <c r="Q479" s="22">
        <v>520</v>
      </c>
      <c r="R479">
        <v>0</v>
      </c>
      <c r="T479" t="s">
        <v>2972</v>
      </c>
      <c r="U479" t="s">
        <v>3057</v>
      </c>
      <c r="V479" t="s">
        <v>3058</v>
      </c>
    </row>
    <row r="480" spans="1:22">
      <c r="A480">
        <v>479</v>
      </c>
      <c r="B480" t="s">
        <v>956</v>
      </c>
      <c r="C480" t="s">
        <v>957</v>
      </c>
      <c r="D480" t="s">
        <v>17</v>
      </c>
      <c r="E480" t="s">
        <v>8</v>
      </c>
      <c r="F480" s="22">
        <v>1165</v>
      </c>
      <c r="G480" s="22">
        <v>0</v>
      </c>
      <c r="H480" s="22">
        <v>0</v>
      </c>
      <c r="I480" s="22">
        <v>1165</v>
      </c>
      <c r="J480">
        <v>0</v>
      </c>
      <c r="K480">
        <v>0</v>
      </c>
      <c r="L480" s="22">
        <v>1165</v>
      </c>
      <c r="M480" s="22">
        <v>0</v>
      </c>
      <c r="N480" s="22">
        <v>0</v>
      </c>
      <c r="O480" s="22">
        <v>1165</v>
      </c>
      <c r="P480" s="22">
        <v>500</v>
      </c>
      <c r="Q480" s="22">
        <v>665</v>
      </c>
      <c r="R480">
        <v>0</v>
      </c>
      <c r="T480" t="s">
        <v>2972</v>
      </c>
      <c r="U480" t="s">
        <v>3057</v>
      </c>
      <c r="V480" t="s">
        <v>3058</v>
      </c>
    </row>
    <row r="481" spans="1:22">
      <c r="A481">
        <v>480</v>
      </c>
      <c r="B481" t="s">
        <v>958</v>
      </c>
      <c r="C481" t="s">
        <v>959</v>
      </c>
      <c r="D481" t="s">
        <v>17</v>
      </c>
      <c r="E481" t="s">
        <v>8</v>
      </c>
      <c r="F481" s="22">
        <v>970</v>
      </c>
      <c r="G481" s="22">
        <v>0</v>
      </c>
      <c r="H481" s="22">
        <v>400</v>
      </c>
      <c r="I481" s="22">
        <v>570</v>
      </c>
      <c r="J481">
        <v>0</v>
      </c>
      <c r="K481">
        <v>0</v>
      </c>
      <c r="L481" s="22">
        <v>570</v>
      </c>
      <c r="M481" s="22">
        <v>1000</v>
      </c>
      <c r="N481" s="22">
        <v>0</v>
      </c>
      <c r="O481" s="22">
        <v>1570</v>
      </c>
      <c r="P481" s="22">
        <v>750</v>
      </c>
      <c r="Q481" s="22">
        <v>820</v>
      </c>
      <c r="R481">
        <v>0</v>
      </c>
      <c r="T481" t="s">
        <v>2972</v>
      </c>
      <c r="U481" t="s">
        <v>3057</v>
      </c>
      <c r="V481" t="s">
        <v>3058</v>
      </c>
    </row>
    <row r="482" spans="1:22">
      <c r="A482">
        <v>481</v>
      </c>
      <c r="B482" t="s">
        <v>960</v>
      </c>
      <c r="C482" t="s">
        <v>961</v>
      </c>
      <c r="D482" t="s">
        <v>7</v>
      </c>
      <c r="E482" t="s">
        <v>8</v>
      </c>
      <c r="F482" s="22">
        <v>360</v>
      </c>
      <c r="G482" s="22">
        <v>900</v>
      </c>
      <c r="H482" s="22">
        <v>540</v>
      </c>
      <c r="I482" s="22">
        <v>720</v>
      </c>
      <c r="J482">
        <v>0</v>
      </c>
      <c r="K482">
        <v>0</v>
      </c>
      <c r="L482" s="22">
        <v>720</v>
      </c>
      <c r="M482" s="22">
        <v>0</v>
      </c>
      <c r="N482" s="22">
        <v>0</v>
      </c>
      <c r="O482" s="22">
        <v>720</v>
      </c>
      <c r="P482" s="22">
        <v>720</v>
      </c>
      <c r="Q482" s="22">
        <v>0</v>
      </c>
      <c r="R482">
        <v>900</v>
      </c>
      <c r="T482" t="s">
        <v>2972</v>
      </c>
      <c r="U482" t="s">
        <v>3057</v>
      </c>
      <c r="V482" t="s">
        <v>3058</v>
      </c>
    </row>
    <row r="483" spans="1:22">
      <c r="A483">
        <v>482</v>
      </c>
      <c r="B483" t="s">
        <v>962</v>
      </c>
      <c r="C483" t="s">
        <v>963</v>
      </c>
      <c r="D483" t="s">
        <v>17</v>
      </c>
      <c r="E483" t="s">
        <v>8</v>
      </c>
      <c r="F483" s="22">
        <v>2544</v>
      </c>
      <c r="G483" s="22">
        <v>0</v>
      </c>
      <c r="H483" s="22">
        <v>900</v>
      </c>
      <c r="I483" s="22">
        <v>1644</v>
      </c>
      <c r="J483">
        <v>0</v>
      </c>
      <c r="K483">
        <v>0</v>
      </c>
      <c r="L483" s="22">
        <v>1644</v>
      </c>
      <c r="M483" s="22">
        <v>0</v>
      </c>
      <c r="N483" s="22">
        <v>0</v>
      </c>
      <c r="O483" s="22">
        <v>1644</v>
      </c>
      <c r="P483" s="22">
        <v>1000</v>
      </c>
      <c r="Q483" s="22">
        <v>644</v>
      </c>
      <c r="R483">
        <v>0</v>
      </c>
      <c r="T483" t="s">
        <v>2972</v>
      </c>
      <c r="U483" t="s">
        <v>3057</v>
      </c>
      <c r="V483" t="s">
        <v>3058</v>
      </c>
    </row>
    <row r="484" spans="1:22">
      <c r="A484">
        <v>483</v>
      </c>
      <c r="B484" t="s">
        <v>974</v>
      </c>
      <c r="C484" t="s">
        <v>975</v>
      </c>
      <c r="D484" t="s">
        <v>17</v>
      </c>
      <c r="E484" t="s">
        <v>8</v>
      </c>
      <c r="F484" s="22">
        <v>250</v>
      </c>
      <c r="G484" s="22">
        <v>0</v>
      </c>
      <c r="H484" s="22">
        <v>0</v>
      </c>
      <c r="I484" s="22">
        <v>250</v>
      </c>
      <c r="J484">
        <v>0</v>
      </c>
      <c r="K484">
        <v>0</v>
      </c>
      <c r="L484" s="22">
        <v>250</v>
      </c>
      <c r="M484" s="22">
        <v>0</v>
      </c>
      <c r="N484" s="22">
        <v>0</v>
      </c>
      <c r="O484" s="22">
        <v>250</v>
      </c>
      <c r="P484" s="22">
        <v>150</v>
      </c>
      <c r="Q484" s="22">
        <v>100</v>
      </c>
      <c r="R484">
        <v>0</v>
      </c>
      <c r="T484" t="s">
        <v>2972</v>
      </c>
      <c r="U484" t="s">
        <v>3057</v>
      </c>
      <c r="V484" t="s">
        <v>3058</v>
      </c>
    </row>
    <row r="485" spans="1:22">
      <c r="A485">
        <v>484</v>
      </c>
      <c r="B485" t="s">
        <v>976</v>
      </c>
      <c r="C485" t="s">
        <v>977</v>
      </c>
      <c r="D485" t="s">
        <v>17</v>
      </c>
      <c r="E485" t="s">
        <v>8</v>
      </c>
      <c r="F485" s="22">
        <v>451</v>
      </c>
      <c r="G485" s="22">
        <v>0</v>
      </c>
      <c r="H485" s="22">
        <v>0</v>
      </c>
      <c r="I485" s="22">
        <v>451</v>
      </c>
      <c r="J485">
        <v>0</v>
      </c>
      <c r="K485">
        <v>0</v>
      </c>
      <c r="L485" s="22">
        <v>451</v>
      </c>
      <c r="M485" s="22">
        <v>0</v>
      </c>
      <c r="N485" s="22">
        <v>0</v>
      </c>
      <c r="O485" s="22">
        <v>451</v>
      </c>
      <c r="P485" s="22">
        <v>150</v>
      </c>
      <c r="Q485" s="22">
        <v>301</v>
      </c>
      <c r="R485">
        <v>0</v>
      </c>
      <c r="T485" t="s">
        <v>2972</v>
      </c>
      <c r="U485" t="s">
        <v>3057</v>
      </c>
      <c r="V485" t="s">
        <v>3058</v>
      </c>
    </row>
    <row r="486" spans="1:22">
      <c r="A486">
        <v>485</v>
      </c>
      <c r="B486" t="s">
        <v>978</v>
      </c>
      <c r="C486" t="s">
        <v>979</v>
      </c>
      <c r="D486" t="s">
        <v>17</v>
      </c>
      <c r="E486" t="s">
        <v>8</v>
      </c>
      <c r="F486" s="22">
        <v>400</v>
      </c>
      <c r="G486" s="22">
        <v>0</v>
      </c>
      <c r="H486" s="22">
        <v>0</v>
      </c>
      <c r="I486" s="22">
        <v>400</v>
      </c>
      <c r="J486">
        <v>0</v>
      </c>
      <c r="K486">
        <v>0</v>
      </c>
      <c r="L486" s="22">
        <v>400</v>
      </c>
      <c r="M486" s="22">
        <v>0</v>
      </c>
      <c r="N486" s="22">
        <v>0</v>
      </c>
      <c r="O486" s="22">
        <v>400</v>
      </c>
      <c r="P486" s="22">
        <v>250</v>
      </c>
      <c r="Q486" s="22">
        <v>150</v>
      </c>
      <c r="R486">
        <v>0</v>
      </c>
      <c r="T486" t="s">
        <v>2972</v>
      </c>
      <c r="U486" t="s">
        <v>3057</v>
      </c>
      <c r="V486" t="s">
        <v>3058</v>
      </c>
    </row>
    <row r="487" spans="1:22">
      <c r="A487">
        <v>486</v>
      </c>
      <c r="B487" t="s">
        <v>982</v>
      </c>
      <c r="C487" t="s">
        <v>983</v>
      </c>
      <c r="D487" t="s">
        <v>17</v>
      </c>
      <c r="E487" t="s">
        <v>8</v>
      </c>
      <c r="F487" s="22">
        <v>15750</v>
      </c>
      <c r="G487" s="22">
        <v>0</v>
      </c>
      <c r="H487" s="22">
        <v>0</v>
      </c>
      <c r="I487" s="22">
        <v>15750</v>
      </c>
      <c r="J487">
        <v>0</v>
      </c>
      <c r="K487">
        <v>0</v>
      </c>
      <c r="L487" s="22">
        <v>15750</v>
      </c>
      <c r="M487" s="22">
        <v>0</v>
      </c>
      <c r="N487" s="22">
        <v>0</v>
      </c>
      <c r="O487" s="22">
        <v>15750</v>
      </c>
      <c r="P487" s="22">
        <v>3000</v>
      </c>
      <c r="Q487" s="22">
        <v>12750</v>
      </c>
      <c r="R487">
        <v>0</v>
      </c>
      <c r="T487" t="s">
        <v>2991</v>
      </c>
      <c r="U487" t="s">
        <v>3057</v>
      </c>
      <c r="V487" t="s">
        <v>3058</v>
      </c>
    </row>
    <row r="488" spans="1:22">
      <c r="A488">
        <v>487</v>
      </c>
      <c r="B488" t="s">
        <v>1135</v>
      </c>
      <c r="C488" t="s">
        <v>1136</v>
      </c>
      <c r="D488" t="s">
        <v>17</v>
      </c>
      <c r="E488" t="s">
        <v>8</v>
      </c>
      <c r="F488" s="22">
        <v>0</v>
      </c>
      <c r="G488" s="22">
        <v>0</v>
      </c>
      <c r="H488" s="22">
        <v>0</v>
      </c>
      <c r="I488" s="22">
        <v>0</v>
      </c>
      <c r="J488">
        <v>0</v>
      </c>
      <c r="K488">
        <v>0</v>
      </c>
      <c r="L488" s="22">
        <v>0</v>
      </c>
      <c r="M488" s="22">
        <v>0</v>
      </c>
      <c r="N488" s="22">
        <v>0</v>
      </c>
      <c r="O488" s="22">
        <v>0</v>
      </c>
      <c r="P488" s="22">
        <v>0</v>
      </c>
      <c r="Q488" s="22">
        <v>0</v>
      </c>
      <c r="R488">
        <v>0</v>
      </c>
      <c r="T488" t="s">
        <v>2972</v>
      </c>
      <c r="U488" t="s">
        <v>3055</v>
      </c>
      <c r="V488" t="s">
        <v>3056</v>
      </c>
    </row>
    <row r="489" spans="1:22">
      <c r="A489">
        <v>488</v>
      </c>
      <c r="B489" t="s">
        <v>1032</v>
      </c>
      <c r="C489" t="s">
        <v>1033</v>
      </c>
      <c r="D489" t="s">
        <v>17</v>
      </c>
      <c r="E489" t="s">
        <v>8</v>
      </c>
      <c r="F489" s="22">
        <v>11</v>
      </c>
      <c r="G489" s="22">
        <v>10</v>
      </c>
      <c r="H489" s="22">
        <v>5</v>
      </c>
      <c r="I489" s="22">
        <v>16</v>
      </c>
      <c r="J489">
        <v>0</v>
      </c>
      <c r="K489">
        <v>0</v>
      </c>
      <c r="L489" s="22">
        <v>16</v>
      </c>
      <c r="M489" s="22">
        <v>0</v>
      </c>
      <c r="N489" s="22">
        <v>0</v>
      </c>
      <c r="O489" s="22">
        <v>16</v>
      </c>
      <c r="P489" s="22">
        <v>10</v>
      </c>
      <c r="Q489" s="22">
        <v>6</v>
      </c>
      <c r="R489">
        <v>10</v>
      </c>
      <c r="T489" t="s">
        <v>2974</v>
      </c>
      <c r="U489" t="s">
        <v>3057</v>
      </c>
      <c r="V489" t="s">
        <v>3056</v>
      </c>
    </row>
    <row r="490" spans="1:22">
      <c r="A490">
        <v>489</v>
      </c>
      <c r="B490" t="s">
        <v>1034</v>
      </c>
      <c r="C490" t="s">
        <v>1035</v>
      </c>
      <c r="D490" t="s">
        <v>17</v>
      </c>
      <c r="E490" t="s">
        <v>8</v>
      </c>
      <c r="F490" s="22">
        <v>1800</v>
      </c>
      <c r="G490" s="22">
        <v>0</v>
      </c>
      <c r="H490" s="22">
        <v>1300</v>
      </c>
      <c r="I490" s="22">
        <v>500</v>
      </c>
      <c r="J490">
        <v>0</v>
      </c>
      <c r="K490">
        <v>0</v>
      </c>
      <c r="L490" s="22">
        <v>500</v>
      </c>
      <c r="M490" s="22">
        <v>0</v>
      </c>
      <c r="N490" s="22">
        <v>0</v>
      </c>
      <c r="O490" s="22">
        <v>500</v>
      </c>
      <c r="P490" s="22">
        <v>500</v>
      </c>
      <c r="Q490" s="22">
        <v>0</v>
      </c>
      <c r="R490">
        <v>0</v>
      </c>
      <c r="T490" t="s">
        <v>2991</v>
      </c>
      <c r="U490" t="s">
        <v>3057</v>
      </c>
      <c r="V490" t="s">
        <v>3056</v>
      </c>
    </row>
    <row r="491" spans="1:22">
      <c r="A491">
        <v>490</v>
      </c>
      <c r="B491" t="s">
        <v>1036</v>
      </c>
      <c r="C491" t="s">
        <v>1037</v>
      </c>
      <c r="D491" t="s">
        <v>17</v>
      </c>
      <c r="E491" t="s">
        <v>8</v>
      </c>
      <c r="F491" s="22">
        <v>10250</v>
      </c>
      <c r="G491" s="22">
        <v>0</v>
      </c>
      <c r="H491" s="22">
        <v>0</v>
      </c>
      <c r="I491" s="22">
        <v>10250</v>
      </c>
      <c r="J491">
        <v>0</v>
      </c>
      <c r="K491">
        <v>0</v>
      </c>
      <c r="L491" s="22">
        <v>10250</v>
      </c>
      <c r="M491" s="22">
        <v>0</v>
      </c>
      <c r="N491" s="22">
        <v>0</v>
      </c>
      <c r="O491" s="22">
        <v>10250</v>
      </c>
      <c r="P491" s="22">
        <v>5000</v>
      </c>
      <c r="Q491" s="22">
        <v>5250</v>
      </c>
      <c r="R491">
        <v>0</v>
      </c>
      <c r="T491" t="s">
        <v>2972</v>
      </c>
      <c r="U491" t="s">
        <v>3057</v>
      </c>
      <c r="V491" t="s">
        <v>3056</v>
      </c>
    </row>
    <row r="492" spans="1:22">
      <c r="A492">
        <v>491</v>
      </c>
      <c r="B492" t="s">
        <v>1143</v>
      </c>
      <c r="C492" t="s">
        <v>1144</v>
      </c>
      <c r="D492" t="s">
        <v>17</v>
      </c>
      <c r="E492" t="s">
        <v>8</v>
      </c>
      <c r="F492" s="22">
        <v>0</v>
      </c>
      <c r="G492" s="22">
        <v>0</v>
      </c>
      <c r="H492" s="22">
        <v>0</v>
      </c>
      <c r="I492" s="22">
        <v>0</v>
      </c>
      <c r="J492">
        <v>0</v>
      </c>
      <c r="K492">
        <v>0</v>
      </c>
      <c r="L492" s="22">
        <v>0</v>
      </c>
      <c r="M492" s="22">
        <v>0</v>
      </c>
      <c r="N492" s="22">
        <v>0</v>
      </c>
      <c r="O492" s="22">
        <v>0</v>
      </c>
      <c r="P492" s="22">
        <v>0</v>
      </c>
      <c r="Q492" s="22">
        <v>0</v>
      </c>
      <c r="R492">
        <v>0</v>
      </c>
      <c r="T492" t="s">
        <v>2972</v>
      </c>
      <c r="U492" t="s">
        <v>3055</v>
      </c>
      <c r="V492" t="s">
        <v>3056</v>
      </c>
    </row>
    <row r="493" spans="1:22">
      <c r="A493">
        <v>492</v>
      </c>
      <c r="B493" t="s">
        <v>1145</v>
      </c>
      <c r="C493" t="s">
        <v>1146</v>
      </c>
      <c r="D493" t="s">
        <v>17</v>
      </c>
      <c r="E493" t="s">
        <v>8</v>
      </c>
      <c r="F493" s="22">
        <v>6</v>
      </c>
      <c r="G493" s="22">
        <v>0</v>
      </c>
      <c r="H493" s="22">
        <v>0</v>
      </c>
      <c r="I493" s="22">
        <v>6</v>
      </c>
      <c r="J493">
        <v>0</v>
      </c>
      <c r="K493">
        <v>0</v>
      </c>
      <c r="L493" s="22">
        <v>6</v>
      </c>
      <c r="M493" s="22">
        <v>0</v>
      </c>
      <c r="N493" s="22">
        <v>0</v>
      </c>
      <c r="O493" s="22">
        <v>6</v>
      </c>
      <c r="P493" s="22">
        <v>0</v>
      </c>
      <c r="Q493" s="22">
        <v>6</v>
      </c>
      <c r="R493">
        <v>0</v>
      </c>
      <c r="T493" t="s">
        <v>2972</v>
      </c>
      <c r="U493" t="s">
        <v>3060</v>
      </c>
      <c r="V493" t="s">
        <v>3058</v>
      </c>
    </row>
    <row r="494" spans="1:22">
      <c r="A494">
        <v>493</v>
      </c>
      <c r="B494" t="s">
        <v>1147</v>
      </c>
      <c r="C494" t="s">
        <v>1148</v>
      </c>
      <c r="D494" t="s">
        <v>17</v>
      </c>
      <c r="E494" t="s">
        <v>8</v>
      </c>
      <c r="F494" s="22">
        <v>250</v>
      </c>
      <c r="G494" s="22">
        <v>0</v>
      </c>
      <c r="H494" s="22">
        <v>0</v>
      </c>
      <c r="I494" s="22">
        <v>250</v>
      </c>
      <c r="J494">
        <v>0</v>
      </c>
      <c r="K494">
        <v>0</v>
      </c>
      <c r="L494" s="22">
        <v>250</v>
      </c>
      <c r="M494" s="22">
        <v>0</v>
      </c>
      <c r="N494" s="22">
        <v>0</v>
      </c>
      <c r="O494" s="22">
        <v>250</v>
      </c>
      <c r="P494" s="22">
        <v>150</v>
      </c>
      <c r="Q494" s="22">
        <v>100</v>
      </c>
      <c r="R494">
        <v>0</v>
      </c>
      <c r="T494" t="s">
        <v>2991</v>
      </c>
      <c r="U494" t="s">
        <v>3060</v>
      </c>
      <c r="V494" t="s">
        <v>3058</v>
      </c>
    </row>
    <row r="495" spans="1:22">
      <c r="A495">
        <v>494</v>
      </c>
      <c r="B495" t="s">
        <v>1038</v>
      </c>
      <c r="C495" t="s">
        <v>1039</v>
      </c>
      <c r="D495" t="s">
        <v>17</v>
      </c>
      <c r="E495" t="s">
        <v>8</v>
      </c>
      <c r="F495" s="22">
        <v>3750</v>
      </c>
      <c r="G495" s="22">
        <v>0</v>
      </c>
      <c r="H495" s="22">
        <v>0</v>
      </c>
      <c r="I495" s="22">
        <v>3750</v>
      </c>
      <c r="J495">
        <v>0</v>
      </c>
      <c r="K495">
        <v>0</v>
      </c>
      <c r="L495" s="22">
        <v>3750</v>
      </c>
      <c r="M495" s="22">
        <v>0</v>
      </c>
      <c r="N495" s="22">
        <v>0</v>
      </c>
      <c r="O495" s="22">
        <v>3750</v>
      </c>
      <c r="P495" s="22">
        <v>3000</v>
      </c>
      <c r="Q495" s="22">
        <v>750</v>
      </c>
      <c r="R495">
        <v>0</v>
      </c>
      <c r="T495" t="s">
        <v>2972</v>
      </c>
      <c r="U495" t="s">
        <v>3057</v>
      </c>
      <c r="V495" t="s">
        <v>3056</v>
      </c>
    </row>
    <row r="496" spans="1:22">
      <c r="A496">
        <v>495</v>
      </c>
      <c r="B496" t="s">
        <v>1040</v>
      </c>
      <c r="C496" t="s">
        <v>1041</v>
      </c>
      <c r="D496" t="s">
        <v>17</v>
      </c>
      <c r="E496" t="s">
        <v>8</v>
      </c>
      <c r="F496" s="22">
        <v>139250</v>
      </c>
      <c r="G496" s="22">
        <v>0</v>
      </c>
      <c r="H496" s="22">
        <v>1000</v>
      </c>
      <c r="I496" s="22">
        <v>138250</v>
      </c>
      <c r="J496">
        <v>0</v>
      </c>
      <c r="K496">
        <v>0</v>
      </c>
      <c r="L496" s="22">
        <v>138250</v>
      </c>
      <c r="M496" s="22">
        <v>0</v>
      </c>
      <c r="N496" s="22">
        <v>0</v>
      </c>
      <c r="O496" s="22">
        <v>138250</v>
      </c>
      <c r="P496" s="22">
        <v>0</v>
      </c>
      <c r="Q496" s="22">
        <v>138250</v>
      </c>
      <c r="R496">
        <v>0</v>
      </c>
      <c r="T496" t="s">
        <v>2972</v>
      </c>
      <c r="U496" t="s">
        <v>3057</v>
      </c>
      <c r="V496" t="s">
        <v>3056</v>
      </c>
    </row>
    <row r="497" spans="1:22">
      <c r="A497">
        <v>496</v>
      </c>
      <c r="B497" t="s">
        <v>1042</v>
      </c>
      <c r="C497" t="s">
        <v>1043</v>
      </c>
      <c r="D497" t="s">
        <v>17</v>
      </c>
      <c r="E497" t="s">
        <v>8</v>
      </c>
      <c r="F497" s="22">
        <v>6250</v>
      </c>
      <c r="G497" s="22">
        <v>0</v>
      </c>
      <c r="H497" s="22">
        <v>0</v>
      </c>
      <c r="I497" s="22">
        <v>6250</v>
      </c>
      <c r="J497">
        <v>0</v>
      </c>
      <c r="K497">
        <v>0</v>
      </c>
      <c r="L497" s="22">
        <v>6250</v>
      </c>
      <c r="M497" s="22">
        <v>0</v>
      </c>
      <c r="N497" s="22">
        <v>0</v>
      </c>
      <c r="O497" s="22">
        <v>6250</v>
      </c>
      <c r="P497" s="22">
        <v>4000</v>
      </c>
      <c r="Q497" s="22">
        <v>2250</v>
      </c>
      <c r="R497">
        <v>0</v>
      </c>
      <c r="T497" t="s">
        <v>2972</v>
      </c>
      <c r="U497" t="s">
        <v>3057</v>
      </c>
      <c r="V497" t="s">
        <v>3056</v>
      </c>
    </row>
    <row r="498" spans="1:22">
      <c r="A498">
        <v>497</v>
      </c>
      <c r="B498" t="s">
        <v>1050</v>
      </c>
      <c r="C498" t="s">
        <v>1051</v>
      </c>
      <c r="D498" t="s">
        <v>289</v>
      </c>
      <c r="E498" t="s">
        <v>8</v>
      </c>
      <c r="F498" s="22">
        <v>114</v>
      </c>
      <c r="G498" s="22">
        <v>152</v>
      </c>
      <c r="H498" s="22">
        <v>190</v>
      </c>
      <c r="I498" s="22">
        <v>76</v>
      </c>
      <c r="J498">
        <v>0</v>
      </c>
      <c r="K498">
        <v>0</v>
      </c>
      <c r="L498" s="22">
        <v>76</v>
      </c>
      <c r="M498" s="22">
        <v>0</v>
      </c>
      <c r="N498" s="22">
        <v>0</v>
      </c>
      <c r="O498" s="22">
        <v>76</v>
      </c>
      <c r="P498" s="22">
        <v>76</v>
      </c>
      <c r="Q498" s="22">
        <v>0</v>
      </c>
      <c r="R498">
        <v>76</v>
      </c>
      <c r="T498" t="s">
        <v>3036</v>
      </c>
      <c r="U498" t="s">
        <v>3057</v>
      </c>
      <c r="V498" t="s">
        <v>3056</v>
      </c>
    </row>
    <row r="499" spans="1:22">
      <c r="A499">
        <v>498</v>
      </c>
      <c r="B499" t="s">
        <v>1157</v>
      </c>
      <c r="C499" t="s">
        <v>1158</v>
      </c>
      <c r="D499" t="s">
        <v>1159</v>
      </c>
      <c r="E499" t="s">
        <v>8</v>
      </c>
      <c r="F499" s="22">
        <v>4</v>
      </c>
      <c r="G499" s="22">
        <v>0</v>
      </c>
      <c r="H499" s="22">
        <v>1</v>
      </c>
      <c r="I499" s="22">
        <v>3</v>
      </c>
      <c r="J499">
        <v>0</v>
      </c>
      <c r="K499">
        <v>0</v>
      </c>
      <c r="L499" s="22">
        <v>3</v>
      </c>
      <c r="M499" s="22">
        <v>0</v>
      </c>
      <c r="N499" s="22">
        <v>0</v>
      </c>
      <c r="O499" s="22">
        <v>3</v>
      </c>
      <c r="P499" s="22">
        <v>2</v>
      </c>
      <c r="Q499" s="22">
        <v>1</v>
      </c>
      <c r="R499">
        <v>0</v>
      </c>
      <c r="T499" t="s">
        <v>3052</v>
      </c>
      <c r="U499" t="s">
        <v>3062</v>
      </c>
      <c r="V499" t="s">
        <v>3056</v>
      </c>
    </row>
    <row r="500" spans="1:22">
      <c r="A500">
        <v>499</v>
      </c>
      <c r="B500" t="s">
        <v>1160</v>
      </c>
      <c r="C500" t="s">
        <v>1161</v>
      </c>
      <c r="D500" t="s">
        <v>17</v>
      </c>
      <c r="E500" t="s">
        <v>8</v>
      </c>
      <c r="F500" s="22">
        <v>34</v>
      </c>
      <c r="G500" s="22">
        <v>80</v>
      </c>
      <c r="H500" s="22">
        <v>60</v>
      </c>
      <c r="I500" s="22">
        <v>54</v>
      </c>
      <c r="J500">
        <v>0</v>
      </c>
      <c r="K500">
        <v>0</v>
      </c>
      <c r="L500" s="22">
        <v>54</v>
      </c>
      <c r="M500" s="22">
        <v>0</v>
      </c>
      <c r="N500" s="22">
        <v>0</v>
      </c>
      <c r="O500" s="22">
        <v>54</v>
      </c>
      <c r="P500" s="22">
        <v>30</v>
      </c>
      <c r="Q500" s="22">
        <v>24</v>
      </c>
      <c r="R500">
        <v>70</v>
      </c>
      <c r="T500" t="s">
        <v>3052</v>
      </c>
      <c r="U500" t="s">
        <v>3062</v>
      </c>
      <c r="V500" t="s">
        <v>3056</v>
      </c>
    </row>
    <row r="501" spans="1:22">
      <c r="A501">
        <v>500</v>
      </c>
      <c r="B501" t="s">
        <v>1162</v>
      </c>
      <c r="C501" t="s">
        <v>1163</v>
      </c>
      <c r="D501" t="s">
        <v>17</v>
      </c>
      <c r="E501" t="s">
        <v>8</v>
      </c>
      <c r="F501" s="22">
        <v>88</v>
      </c>
      <c r="G501" s="22">
        <v>0</v>
      </c>
      <c r="H501" s="22">
        <v>38</v>
      </c>
      <c r="I501" s="22">
        <v>50</v>
      </c>
      <c r="J501">
        <v>0</v>
      </c>
      <c r="K501">
        <v>0</v>
      </c>
      <c r="L501" s="22">
        <v>50</v>
      </c>
      <c r="M501" s="22">
        <v>0</v>
      </c>
      <c r="N501" s="22">
        <v>0</v>
      </c>
      <c r="O501" s="22">
        <v>50</v>
      </c>
      <c r="P501" s="22">
        <v>20</v>
      </c>
      <c r="Q501" s="22">
        <v>30</v>
      </c>
      <c r="R501">
        <v>0</v>
      </c>
      <c r="T501" t="s">
        <v>3052</v>
      </c>
      <c r="U501" t="s">
        <v>3062</v>
      </c>
      <c r="V501" t="s">
        <v>3056</v>
      </c>
    </row>
    <row r="502" spans="1:22">
      <c r="A502">
        <v>501</v>
      </c>
      <c r="B502" t="s">
        <v>1164</v>
      </c>
      <c r="C502" t="s">
        <v>1165</v>
      </c>
      <c r="D502" t="s">
        <v>1159</v>
      </c>
      <c r="E502" t="s">
        <v>8</v>
      </c>
      <c r="F502" s="22">
        <v>44</v>
      </c>
      <c r="G502" s="22">
        <v>100</v>
      </c>
      <c r="H502" s="22">
        <v>79</v>
      </c>
      <c r="I502" s="22">
        <v>65</v>
      </c>
      <c r="J502">
        <v>0</v>
      </c>
      <c r="K502">
        <v>0</v>
      </c>
      <c r="L502" s="22">
        <v>65</v>
      </c>
      <c r="M502" s="22">
        <v>0</v>
      </c>
      <c r="N502" s="22">
        <v>0</v>
      </c>
      <c r="O502" s="22">
        <v>65</v>
      </c>
      <c r="P502" s="22">
        <v>50</v>
      </c>
      <c r="Q502" s="22">
        <v>15</v>
      </c>
      <c r="R502">
        <v>100</v>
      </c>
      <c r="T502" t="s">
        <v>3052</v>
      </c>
      <c r="U502" t="s">
        <v>3062</v>
      </c>
      <c r="V502" t="s">
        <v>3056</v>
      </c>
    </row>
    <row r="503" spans="1:22">
      <c r="A503">
        <v>502</v>
      </c>
      <c r="B503" t="s">
        <v>1166</v>
      </c>
      <c r="C503" t="s">
        <v>1167</v>
      </c>
      <c r="D503" t="s">
        <v>17</v>
      </c>
      <c r="E503" t="s">
        <v>8</v>
      </c>
      <c r="F503" s="22">
        <v>7</v>
      </c>
      <c r="G503" s="22">
        <v>0</v>
      </c>
      <c r="H503" s="22">
        <v>4</v>
      </c>
      <c r="I503" s="22">
        <v>3</v>
      </c>
      <c r="J503">
        <v>0</v>
      </c>
      <c r="K503">
        <v>0</v>
      </c>
      <c r="L503" s="22">
        <v>3</v>
      </c>
      <c r="M503" s="22">
        <v>0</v>
      </c>
      <c r="N503" s="22">
        <v>0</v>
      </c>
      <c r="O503" s="22">
        <v>3</v>
      </c>
      <c r="P503" s="22">
        <v>2</v>
      </c>
      <c r="Q503" s="22">
        <v>1</v>
      </c>
      <c r="R503">
        <v>0</v>
      </c>
      <c r="T503" t="s">
        <v>3052</v>
      </c>
      <c r="U503" t="s">
        <v>3062</v>
      </c>
      <c r="V503" t="s">
        <v>3056</v>
      </c>
    </row>
    <row r="504" spans="1:22">
      <c r="A504">
        <v>503</v>
      </c>
      <c r="B504" t="s">
        <v>1168</v>
      </c>
      <c r="C504" t="s">
        <v>1169</v>
      </c>
      <c r="D504" t="s">
        <v>1170</v>
      </c>
      <c r="E504" t="s">
        <v>8</v>
      </c>
      <c r="F504" s="22">
        <v>4</v>
      </c>
      <c r="G504" s="22">
        <v>0</v>
      </c>
      <c r="H504" s="22">
        <v>0</v>
      </c>
      <c r="I504" s="22">
        <v>4</v>
      </c>
      <c r="J504">
        <v>0</v>
      </c>
      <c r="K504">
        <v>0</v>
      </c>
      <c r="L504" s="22">
        <v>4</v>
      </c>
      <c r="M504" s="22">
        <v>0</v>
      </c>
      <c r="N504" s="22">
        <v>0</v>
      </c>
      <c r="O504" s="22">
        <v>4</v>
      </c>
      <c r="P504" s="22">
        <v>0</v>
      </c>
      <c r="Q504" s="22">
        <v>4</v>
      </c>
      <c r="R504">
        <v>0</v>
      </c>
      <c r="T504" t="s">
        <v>3052</v>
      </c>
      <c r="U504" t="s">
        <v>3062</v>
      </c>
      <c r="V504" t="s">
        <v>3056</v>
      </c>
    </row>
    <row r="505" spans="1:22">
      <c r="A505">
        <v>504</v>
      </c>
      <c r="B505" t="s">
        <v>1171</v>
      </c>
      <c r="C505" t="s">
        <v>1172</v>
      </c>
      <c r="D505" t="s">
        <v>1170</v>
      </c>
      <c r="E505" t="s">
        <v>8</v>
      </c>
      <c r="F505" s="22">
        <v>2</v>
      </c>
      <c r="G505" s="22">
        <v>0</v>
      </c>
      <c r="H505" s="22">
        <v>0</v>
      </c>
      <c r="I505" s="22">
        <v>2</v>
      </c>
      <c r="J505">
        <v>0</v>
      </c>
      <c r="K505">
        <v>0</v>
      </c>
      <c r="L505" s="22">
        <v>2</v>
      </c>
      <c r="M505" s="22">
        <v>0</v>
      </c>
      <c r="N505" s="22">
        <v>0</v>
      </c>
      <c r="O505" s="22">
        <v>2</v>
      </c>
      <c r="P505" s="22">
        <v>0</v>
      </c>
      <c r="Q505" s="22">
        <v>2</v>
      </c>
      <c r="R505">
        <v>0</v>
      </c>
      <c r="T505" t="s">
        <v>3052</v>
      </c>
      <c r="U505" t="s">
        <v>3062</v>
      </c>
      <c r="V505" t="s">
        <v>3056</v>
      </c>
    </row>
    <row r="506" spans="1:22">
      <c r="A506">
        <v>505</v>
      </c>
      <c r="B506" t="s">
        <v>1173</v>
      </c>
      <c r="C506" t="s">
        <v>1174</v>
      </c>
      <c r="D506" t="s">
        <v>17</v>
      </c>
      <c r="E506" t="s">
        <v>8</v>
      </c>
      <c r="F506" s="22">
        <v>90</v>
      </c>
      <c r="G506" s="22">
        <v>60</v>
      </c>
      <c r="H506" s="22">
        <v>60</v>
      </c>
      <c r="I506" s="22">
        <v>90</v>
      </c>
      <c r="J506">
        <v>0</v>
      </c>
      <c r="K506">
        <v>0</v>
      </c>
      <c r="L506" s="22">
        <v>90</v>
      </c>
      <c r="M506" s="22">
        <v>0</v>
      </c>
      <c r="N506" s="22">
        <v>0</v>
      </c>
      <c r="O506" s="22">
        <v>90</v>
      </c>
      <c r="P506" s="22">
        <v>20</v>
      </c>
      <c r="Q506" s="22">
        <v>70</v>
      </c>
      <c r="R506">
        <v>60</v>
      </c>
      <c r="T506" t="s">
        <v>3052</v>
      </c>
      <c r="U506" t="s">
        <v>3062</v>
      </c>
      <c r="V506" t="s">
        <v>3056</v>
      </c>
    </row>
    <row r="507" spans="1:22">
      <c r="A507">
        <v>506</v>
      </c>
      <c r="B507" t="s">
        <v>1175</v>
      </c>
      <c r="C507" t="s">
        <v>1176</v>
      </c>
      <c r="D507" t="s">
        <v>17</v>
      </c>
      <c r="E507" t="s">
        <v>8</v>
      </c>
      <c r="F507" s="22">
        <v>66</v>
      </c>
      <c r="G507" s="22">
        <v>0</v>
      </c>
      <c r="H507" s="22">
        <v>43</v>
      </c>
      <c r="I507" s="22">
        <v>23</v>
      </c>
      <c r="J507">
        <v>0</v>
      </c>
      <c r="K507">
        <v>0</v>
      </c>
      <c r="L507" s="22">
        <v>23</v>
      </c>
      <c r="M507" s="22">
        <v>0</v>
      </c>
      <c r="N507" s="22">
        <v>0</v>
      </c>
      <c r="O507" s="22">
        <v>23</v>
      </c>
      <c r="P507" s="22">
        <v>15</v>
      </c>
      <c r="Q507" s="22">
        <v>8</v>
      </c>
      <c r="R507">
        <v>0</v>
      </c>
      <c r="T507" t="s">
        <v>3052</v>
      </c>
      <c r="U507" t="s">
        <v>3062</v>
      </c>
      <c r="V507" t="s">
        <v>3056</v>
      </c>
    </row>
    <row r="508" spans="1:22">
      <c r="A508">
        <v>507</v>
      </c>
      <c r="B508" t="s">
        <v>1177</v>
      </c>
      <c r="C508" t="s">
        <v>1178</v>
      </c>
      <c r="D508" t="s">
        <v>17</v>
      </c>
      <c r="E508" t="s">
        <v>8</v>
      </c>
      <c r="F508" s="22">
        <v>240</v>
      </c>
      <c r="G508" s="22">
        <v>200</v>
      </c>
      <c r="H508" s="22">
        <v>259</v>
      </c>
      <c r="I508" s="22">
        <v>181</v>
      </c>
      <c r="J508">
        <v>0</v>
      </c>
      <c r="K508">
        <v>0</v>
      </c>
      <c r="L508" s="22">
        <v>181</v>
      </c>
      <c r="M508" s="22">
        <v>0</v>
      </c>
      <c r="N508" s="22">
        <v>0</v>
      </c>
      <c r="O508" s="22">
        <v>181</v>
      </c>
      <c r="P508" s="22">
        <v>40</v>
      </c>
      <c r="Q508" s="22">
        <v>141</v>
      </c>
      <c r="R508">
        <v>200</v>
      </c>
      <c r="T508" t="s">
        <v>3052</v>
      </c>
      <c r="U508" t="s">
        <v>3062</v>
      </c>
      <c r="V508" t="s">
        <v>3056</v>
      </c>
    </row>
    <row r="509" spans="1:22">
      <c r="A509">
        <v>508</v>
      </c>
      <c r="B509" t="s">
        <v>1179</v>
      </c>
      <c r="C509" t="s">
        <v>1180</v>
      </c>
      <c r="D509" t="s">
        <v>17</v>
      </c>
      <c r="E509" t="s">
        <v>8</v>
      </c>
      <c r="F509" s="22">
        <v>128</v>
      </c>
      <c r="G509" s="22">
        <v>0</v>
      </c>
      <c r="H509" s="22">
        <v>95</v>
      </c>
      <c r="I509" s="22">
        <v>33</v>
      </c>
      <c r="J509">
        <v>0</v>
      </c>
      <c r="K509">
        <v>0</v>
      </c>
      <c r="L509" s="22">
        <v>33</v>
      </c>
      <c r="M509" s="22">
        <v>0</v>
      </c>
      <c r="N509" s="22">
        <v>0</v>
      </c>
      <c r="O509" s="22">
        <v>33</v>
      </c>
      <c r="P509" s="22">
        <v>20</v>
      </c>
      <c r="Q509" s="22">
        <v>13</v>
      </c>
      <c r="R509">
        <v>0</v>
      </c>
      <c r="T509" t="s">
        <v>3052</v>
      </c>
      <c r="U509" t="s">
        <v>3062</v>
      </c>
      <c r="V509" t="s">
        <v>3056</v>
      </c>
    </row>
    <row r="510" spans="1:22">
      <c r="A510">
        <v>509</v>
      </c>
      <c r="B510" t="s">
        <v>1181</v>
      </c>
      <c r="C510" t="s">
        <v>1182</v>
      </c>
      <c r="D510" t="s">
        <v>116</v>
      </c>
      <c r="E510" t="s">
        <v>8</v>
      </c>
      <c r="F510" s="22">
        <v>10</v>
      </c>
      <c r="G510" s="22">
        <v>0</v>
      </c>
      <c r="H510" s="22">
        <v>0</v>
      </c>
      <c r="I510" s="22">
        <v>10</v>
      </c>
      <c r="J510">
        <v>0</v>
      </c>
      <c r="K510">
        <v>0</v>
      </c>
      <c r="L510" s="22">
        <v>10</v>
      </c>
      <c r="M510" s="22">
        <v>0</v>
      </c>
      <c r="N510" s="22">
        <v>0</v>
      </c>
      <c r="O510" s="22">
        <v>10</v>
      </c>
      <c r="P510" s="22">
        <v>0</v>
      </c>
      <c r="Q510" s="22">
        <v>10</v>
      </c>
      <c r="R510">
        <v>0</v>
      </c>
      <c r="T510" t="s">
        <v>3052</v>
      </c>
      <c r="U510" t="s">
        <v>3062</v>
      </c>
      <c r="V510" t="s">
        <v>3056</v>
      </c>
    </row>
    <row r="511" spans="1:22">
      <c r="A511">
        <v>510</v>
      </c>
      <c r="B511" t="s">
        <v>1183</v>
      </c>
      <c r="C511" t="s">
        <v>1184</v>
      </c>
      <c r="D511" t="s">
        <v>17</v>
      </c>
      <c r="E511" t="s">
        <v>8</v>
      </c>
      <c r="F511" s="22">
        <v>3</v>
      </c>
      <c r="G511" s="22">
        <v>0</v>
      </c>
      <c r="H511" s="22">
        <v>0</v>
      </c>
      <c r="I511" s="22">
        <v>3</v>
      </c>
      <c r="J511">
        <v>0</v>
      </c>
      <c r="K511">
        <v>0</v>
      </c>
      <c r="L511" s="22">
        <v>3</v>
      </c>
      <c r="M511" s="22">
        <v>0</v>
      </c>
      <c r="N511" s="22">
        <v>0</v>
      </c>
      <c r="O511" s="22">
        <v>3</v>
      </c>
      <c r="P511" s="22">
        <v>1</v>
      </c>
      <c r="Q511" s="22">
        <v>2</v>
      </c>
      <c r="R511">
        <v>0</v>
      </c>
      <c r="T511" t="s">
        <v>3052</v>
      </c>
      <c r="U511" t="s">
        <v>3062</v>
      </c>
      <c r="V511" t="s">
        <v>3056</v>
      </c>
    </row>
    <row r="512" spans="1:22">
      <c r="A512">
        <v>511</v>
      </c>
      <c r="B512" t="s">
        <v>1185</v>
      </c>
      <c r="C512" t="s">
        <v>1186</v>
      </c>
      <c r="D512" t="s">
        <v>17</v>
      </c>
      <c r="E512" t="s">
        <v>8</v>
      </c>
      <c r="F512" s="22">
        <v>13</v>
      </c>
      <c r="G512" s="22">
        <v>0</v>
      </c>
      <c r="H512" s="22">
        <v>4</v>
      </c>
      <c r="I512" s="22">
        <v>9</v>
      </c>
      <c r="J512">
        <v>0</v>
      </c>
      <c r="K512">
        <v>0</v>
      </c>
      <c r="L512" s="22">
        <v>9</v>
      </c>
      <c r="M512" s="22">
        <v>0</v>
      </c>
      <c r="N512" s="22">
        <v>0</v>
      </c>
      <c r="O512" s="22">
        <v>9</v>
      </c>
      <c r="P512" s="22">
        <v>0</v>
      </c>
      <c r="Q512" s="22">
        <v>9</v>
      </c>
      <c r="R512">
        <v>0</v>
      </c>
      <c r="T512" t="s">
        <v>3052</v>
      </c>
      <c r="U512" t="s">
        <v>3062</v>
      </c>
      <c r="V512" t="s">
        <v>3056</v>
      </c>
    </row>
    <row r="513" spans="1:22">
      <c r="A513">
        <v>512</v>
      </c>
      <c r="B513" t="s">
        <v>1187</v>
      </c>
      <c r="C513" t="s">
        <v>1188</v>
      </c>
      <c r="D513" t="s">
        <v>17</v>
      </c>
      <c r="E513" t="s">
        <v>8</v>
      </c>
      <c r="F513" s="22">
        <v>12</v>
      </c>
      <c r="G513" s="22">
        <v>0</v>
      </c>
      <c r="H513" s="22">
        <v>2</v>
      </c>
      <c r="I513" s="22">
        <v>10</v>
      </c>
      <c r="J513">
        <v>0</v>
      </c>
      <c r="K513">
        <v>0</v>
      </c>
      <c r="L513" s="22">
        <v>10</v>
      </c>
      <c r="M513" s="22">
        <v>0</v>
      </c>
      <c r="N513" s="22">
        <v>0</v>
      </c>
      <c r="O513" s="22">
        <v>10</v>
      </c>
      <c r="P513" s="22">
        <v>0</v>
      </c>
      <c r="Q513" s="22">
        <v>10</v>
      </c>
      <c r="R513">
        <v>0</v>
      </c>
      <c r="T513" t="s">
        <v>3052</v>
      </c>
      <c r="U513" t="s">
        <v>3062</v>
      </c>
      <c r="V513" t="s">
        <v>3056</v>
      </c>
    </row>
    <row r="514" spans="1:22">
      <c r="A514">
        <v>513</v>
      </c>
      <c r="B514" t="s">
        <v>1189</v>
      </c>
      <c r="C514" t="s">
        <v>1190</v>
      </c>
      <c r="D514" t="s">
        <v>17</v>
      </c>
      <c r="E514" t="s">
        <v>8</v>
      </c>
      <c r="F514" s="22">
        <v>12</v>
      </c>
      <c r="G514" s="22">
        <v>0</v>
      </c>
      <c r="H514" s="22">
        <v>3</v>
      </c>
      <c r="I514" s="22">
        <v>9</v>
      </c>
      <c r="J514">
        <v>0</v>
      </c>
      <c r="K514">
        <v>0</v>
      </c>
      <c r="L514" s="22">
        <v>9</v>
      </c>
      <c r="M514" s="22">
        <v>0</v>
      </c>
      <c r="N514" s="22">
        <v>0</v>
      </c>
      <c r="O514" s="22">
        <v>9</v>
      </c>
      <c r="P514" s="22">
        <v>0</v>
      </c>
      <c r="Q514" s="22">
        <v>9</v>
      </c>
      <c r="R514">
        <v>0</v>
      </c>
      <c r="T514" t="s">
        <v>3052</v>
      </c>
      <c r="U514" t="s">
        <v>3062</v>
      </c>
      <c r="V514" t="s">
        <v>3056</v>
      </c>
    </row>
    <row r="515" spans="1:22">
      <c r="A515">
        <v>514</v>
      </c>
      <c r="B515" t="s">
        <v>1191</v>
      </c>
      <c r="C515" t="s">
        <v>1192</v>
      </c>
      <c r="D515" t="s">
        <v>17</v>
      </c>
      <c r="E515" t="s">
        <v>8</v>
      </c>
      <c r="F515" s="22">
        <v>6</v>
      </c>
      <c r="G515" s="22">
        <v>0</v>
      </c>
      <c r="H515" s="22">
        <v>1</v>
      </c>
      <c r="I515" s="22">
        <v>5</v>
      </c>
      <c r="J515">
        <v>0</v>
      </c>
      <c r="K515">
        <v>0</v>
      </c>
      <c r="L515" s="22">
        <v>5</v>
      </c>
      <c r="M515" s="22">
        <v>0</v>
      </c>
      <c r="N515" s="22">
        <v>0</v>
      </c>
      <c r="O515" s="22">
        <v>5</v>
      </c>
      <c r="P515" s="22">
        <v>0</v>
      </c>
      <c r="Q515" s="22">
        <v>5</v>
      </c>
      <c r="R515">
        <v>0</v>
      </c>
      <c r="T515" t="s">
        <v>3052</v>
      </c>
      <c r="U515" t="s">
        <v>3062</v>
      </c>
      <c r="V515" t="s">
        <v>3056</v>
      </c>
    </row>
    <row r="516" spans="1:22">
      <c r="A516">
        <v>515</v>
      </c>
      <c r="B516" t="s">
        <v>1193</v>
      </c>
      <c r="C516" t="s">
        <v>1194</v>
      </c>
      <c r="D516" t="s">
        <v>17</v>
      </c>
      <c r="E516" t="s">
        <v>8</v>
      </c>
      <c r="F516" s="22">
        <v>325</v>
      </c>
      <c r="G516" s="22">
        <v>0</v>
      </c>
      <c r="H516" s="22">
        <v>0</v>
      </c>
      <c r="I516" s="22">
        <v>325</v>
      </c>
      <c r="J516">
        <v>0</v>
      </c>
      <c r="K516">
        <v>0</v>
      </c>
      <c r="L516" s="22">
        <v>325</v>
      </c>
      <c r="M516" s="22">
        <v>0</v>
      </c>
      <c r="N516" s="22">
        <v>0</v>
      </c>
      <c r="O516" s="22">
        <v>325</v>
      </c>
      <c r="P516" s="22">
        <v>100</v>
      </c>
      <c r="Q516" s="22">
        <v>225</v>
      </c>
      <c r="R516">
        <v>0</v>
      </c>
      <c r="T516" t="s">
        <v>3052</v>
      </c>
      <c r="U516" t="s">
        <v>3062</v>
      </c>
      <c r="V516" t="s">
        <v>3056</v>
      </c>
    </row>
    <row r="517" spans="1:22">
      <c r="A517">
        <v>516</v>
      </c>
      <c r="B517" t="s">
        <v>1195</v>
      </c>
      <c r="C517" t="s">
        <v>1196</v>
      </c>
      <c r="D517" t="s">
        <v>17</v>
      </c>
      <c r="E517" t="s">
        <v>8</v>
      </c>
      <c r="F517" s="22">
        <v>795</v>
      </c>
      <c r="G517" s="22">
        <v>0</v>
      </c>
      <c r="H517" s="22">
        <v>100</v>
      </c>
      <c r="I517" s="22">
        <v>695</v>
      </c>
      <c r="J517">
        <v>0</v>
      </c>
      <c r="K517">
        <v>0</v>
      </c>
      <c r="L517" s="22">
        <v>695</v>
      </c>
      <c r="M517" s="22">
        <v>0</v>
      </c>
      <c r="N517" s="22">
        <v>0</v>
      </c>
      <c r="O517" s="22">
        <v>695</v>
      </c>
      <c r="P517" s="22">
        <v>200</v>
      </c>
      <c r="Q517" s="22">
        <v>495</v>
      </c>
      <c r="R517">
        <v>0</v>
      </c>
      <c r="T517" t="s">
        <v>3052</v>
      </c>
      <c r="U517" t="s">
        <v>3062</v>
      </c>
      <c r="V517" t="s">
        <v>3056</v>
      </c>
    </row>
    <row r="518" spans="1:22">
      <c r="A518">
        <v>517</v>
      </c>
      <c r="B518" t="s">
        <v>1197</v>
      </c>
      <c r="C518" t="s">
        <v>1198</v>
      </c>
      <c r="D518" t="s">
        <v>1199</v>
      </c>
      <c r="E518" t="s">
        <v>8</v>
      </c>
      <c r="F518" s="22">
        <v>6</v>
      </c>
      <c r="G518" s="22">
        <v>0</v>
      </c>
      <c r="H518" s="22">
        <v>0</v>
      </c>
      <c r="I518" s="22">
        <v>6</v>
      </c>
      <c r="J518">
        <v>0</v>
      </c>
      <c r="K518">
        <v>0</v>
      </c>
      <c r="L518" s="22">
        <v>6</v>
      </c>
      <c r="M518" s="22">
        <v>0</v>
      </c>
      <c r="N518" s="22">
        <v>0</v>
      </c>
      <c r="O518" s="22">
        <v>6</v>
      </c>
      <c r="P518" s="22">
        <v>1</v>
      </c>
      <c r="Q518" s="22">
        <v>5</v>
      </c>
      <c r="R518">
        <v>0</v>
      </c>
      <c r="T518" t="s">
        <v>3052</v>
      </c>
      <c r="U518" t="s">
        <v>3062</v>
      </c>
      <c r="V518" t="s">
        <v>3056</v>
      </c>
    </row>
    <row r="519" spans="1:22">
      <c r="A519">
        <v>518</v>
      </c>
      <c r="B519" t="s">
        <v>1200</v>
      </c>
      <c r="C519" t="s">
        <v>1201</v>
      </c>
      <c r="D519" t="s">
        <v>1202</v>
      </c>
      <c r="E519" t="s">
        <v>8</v>
      </c>
      <c r="F519" s="22">
        <v>7</v>
      </c>
      <c r="G519" s="22">
        <v>0</v>
      </c>
      <c r="H519" s="22">
        <v>1</v>
      </c>
      <c r="I519" s="22">
        <v>6</v>
      </c>
      <c r="J519">
        <v>0</v>
      </c>
      <c r="K519">
        <v>0</v>
      </c>
      <c r="L519" s="22">
        <v>6</v>
      </c>
      <c r="M519" s="22">
        <v>0</v>
      </c>
      <c r="N519" s="22">
        <v>0</v>
      </c>
      <c r="O519" s="22">
        <v>6</v>
      </c>
      <c r="P519" s="22">
        <v>2</v>
      </c>
      <c r="Q519" s="22">
        <v>4</v>
      </c>
      <c r="R519">
        <v>0</v>
      </c>
      <c r="T519" t="s">
        <v>3052</v>
      </c>
      <c r="U519" t="s">
        <v>3062</v>
      </c>
      <c r="V519" t="s">
        <v>3056</v>
      </c>
    </row>
    <row r="520" spans="1:22">
      <c r="A520">
        <v>519</v>
      </c>
      <c r="B520" t="s">
        <v>1062</v>
      </c>
      <c r="C520" t="s">
        <v>1063</v>
      </c>
      <c r="D520" t="s">
        <v>17</v>
      </c>
      <c r="E520" t="s">
        <v>8</v>
      </c>
      <c r="F520" s="22">
        <v>172</v>
      </c>
      <c r="G520" s="22">
        <v>0</v>
      </c>
      <c r="H520" s="22">
        <v>8</v>
      </c>
      <c r="I520" s="22">
        <v>164</v>
      </c>
      <c r="J520">
        <v>0</v>
      </c>
      <c r="K520">
        <v>0</v>
      </c>
      <c r="L520" s="22">
        <v>164</v>
      </c>
      <c r="M520" s="22">
        <v>0</v>
      </c>
      <c r="N520" s="22">
        <v>0</v>
      </c>
      <c r="O520" s="22">
        <v>164</v>
      </c>
      <c r="P520" s="22">
        <v>80</v>
      </c>
      <c r="Q520" s="22">
        <v>84</v>
      </c>
      <c r="R520">
        <v>0</v>
      </c>
      <c r="T520" t="s">
        <v>2974</v>
      </c>
      <c r="U520" t="s">
        <v>3057</v>
      </c>
      <c r="V520" t="s">
        <v>3056</v>
      </c>
    </row>
    <row r="521" spans="1:22">
      <c r="A521">
        <v>520</v>
      </c>
      <c r="B521" t="s">
        <v>1064</v>
      </c>
      <c r="C521" t="s">
        <v>1065</v>
      </c>
      <c r="D521" t="s">
        <v>17</v>
      </c>
      <c r="E521" t="s">
        <v>8</v>
      </c>
      <c r="F521" s="22">
        <v>68</v>
      </c>
      <c r="G521" s="22">
        <v>40</v>
      </c>
      <c r="H521" s="22">
        <v>64</v>
      </c>
      <c r="I521" s="22">
        <v>44</v>
      </c>
      <c r="J521">
        <v>0</v>
      </c>
      <c r="K521">
        <v>0</v>
      </c>
      <c r="L521" s="22">
        <v>44</v>
      </c>
      <c r="M521" s="22">
        <v>0</v>
      </c>
      <c r="N521" s="22">
        <v>0</v>
      </c>
      <c r="O521" s="22">
        <v>44</v>
      </c>
      <c r="P521" s="22">
        <v>80</v>
      </c>
      <c r="Q521" s="22">
        <v>-36</v>
      </c>
      <c r="R521">
        <v>40</v>
      </c>
      <c r="T521" t="s">
        <v>2974</v>
      </c>
      <c r="U521" t="s">
        <v>3057</v>
      </c>
      <c r="V521" t="s">
        <v>3056</v>
      </c>
    </row>
    <row r="522" spans="1:22">
      <c r="A522">
        <v>521</v>
      </c>
      <c r="B522" t="s">
        <v>1207</v>
      </c>
      <c r="C522" t="s">
        <v>1208</v>
      </c>
      <c r="D522" t="s">
        <v>17</v>
      </c>
      <c r="E522" t="s">
        <v>8</v>
      </c>
      <c r="F522" s="22">
        <v>140</v>
      </c>
      <c r="G522" s="22">
        <v>0</v>
      </c>
      <c r="H522" s="22">
        <v>6</v>
      </c>
      <c r="I522" s="22">
        <v>134</v>
      </c>
      <c r="J522">
        <v>0</v>
      </c>
      <c r="K522">
        <v>0</v>
      </c>
      <c r="L522" s="22">
        <v>134</v>
      </c>
      <c r="M522" s="22">
        <v>0</v>
      </c>
      <c r="N522" s="22">
        <v>0</v>
      </c>
      <c r="O522" s="22">
        <v>134</v>
      </c>
      <c r="P522" s="22">
        <v>0</v>
      </c>
      <c r="Q522" s="22">
        <v>134</v>
      </c>
      <c r="R522">
        <v>0</v>
      </c>
      <c r="T522" t="s">
        <v>3052</v>
      </c>
      <c r="U522" t="s">
        <v>3062</v>
      </c>
      <c r="V522" t="s">
        <v>3056</v>
      </c>
    </row>
    <row r="523" spans="1:22">
      <c r="A523">
        <v>522</v>
      </c>
      <c r="B523" t="s">
        <v>1209</v>
      </c>
      <c r="C523" t="s">
        <v>1210</v>
      </c>
      <c r="D523" t="s">
        <v>17</v>
      </c>
      <c r="E523" t="s">
        <v>8</v>
      </c>
      <c r="F523" s="22">
        <v>1</v>
      </c>
      <c r="G523" s="22">
        <v>2</v>
      </c>
      <c r="H523" s="22">
        <v>0</v>
      </c>
      <c r="I523" s="22">
        <v>3</v>
      </c>
      <c r="J523">
        <v>0</v>
      </c>
      <c r="K523">
        <v>0</v>
      </c>
      <c r="L523" s="22">
        <v>3</v>
      </c>
      <c r="M523" s="22">
        <v>0</v>
      </c>
      <c r="N523" s="22">
        <v>0</v>
      </c>
      <c r="O523" s="22">
        <v>3</v>
      </c>
      <c r="P523" s="22">
        <v>0</v>
      </c>
      <c r="Q523" s="22">
        <v>3</v>
      </c>
      <c r="R523">
        <v>2</v>
      </c>
      <c r="T523" t="s">
        <v>3052</v>
      </c>
      <c r="U523" t="s">
        <v>3062</v>
      </c>
      <c r="V523" t="s">
        <v>3056</v>
      </c>
    </row>
    <row r="524" spans="1:22">
      <c r="A524">
        <v>523</v>
      </c>
      <c r="B524" t="s">
        <v>1211</v>
      </c>
      <c r="C524" t="s">
        <v>1212</v>
      </c>
      <c r="D524" t="s">
        <v>17</v>
      </c>
      <c r="E524" t="s">
        <v>8</v>
      </c>
      <c r="F524" s="22">
        <v>153</v>
      </c>
      <c r="G524" s="22">
        <v>0</v>
      </c>
      <c r="H524" s="22">
        <v>0</v>
      </c>
      <c r="I524" s="22">
        <v>153</v>
      </c>
      <c r="J524">
        <v>0</v>
      </c>
      <c r="K524">
        <v>0</v>
      </c>
      <c r="L524" s="22">
        <v>153</v>
      </c>
      <c r="M524" s="22">
        <v>0</v>
      </c>
      <c r="N524" s="22">
        <v>0</v>
      </c>
      <c r="O524" s="22">
        <v>153</v>
      </c>
      <c r="P524" s="22">
        <v>50</v>
      </c>
      <c r="Q524" s="22">
        <v>103</v>
      </c>
      <c r="R524">
        <v>0</v>
      </c>
      <c r="T524" t="s">
        <v>3052</v>
      </c>
      <c r="U524" t="s">
        <v>3062</v>
      </c>
      <c r="V524" t="s">
        <v>3056</v>
      </c>
    </row>
    <row r="525" spans="1:22">
      <c r="A525">
        <v>524</v>
      </c>
      <c r="B525" t="s">
        <v>1066</v>
      </c>
      <c r="C525" t="s">
        <v>1067</v>
      </c>
      <c r="D525" t="s">
        <v>17</v>
      </c>
      <c r="E525" t="s">
        <v>8</v>
      </c>
      <c r="F525" s="22">
        <v>84</v>
      </c>
      <c r="G525" s="22">
        <v>40</v>
      </c>
      <c r="H525" s="22">
        <v>24</v>
      </c>
      <c r="I525" s="22">
        <v>100</v>
      </c>
      <c r="J525">
        <v>0</v>
      </c>
      <c r="K525">
        <v>0</v>
      </c>
      <c r="L525" s="22">
        <v>100</v>
      </c>
      <c r="M525" s="22">
        <v>0</v>
      </c>
      <c r="N525" s="22">
        <v>0</v>
      </c>
      <c r="O525" s="22">
        <v>100</v>
      </c>
      <c r="P525" s="22">
        <v>80</v>
      </c>
      <c r="Q525" s="22">
        <v>20</v>
      </c>
      <c r="R525">
        <v>40</v>
      </c>
      <c r="T525" t="s">
        <v>2974</v>
      </c>
      <c r="U525" t="s">
        <v>3057</v>
      </c>
      <c r="V525" t="s">
        <v>3056</v>
      </c>
    </row>
    <row r="526" spans="1:22">
      <c r="A526">
        <v>525</v>
      </c>
      <c r="B526" t="s">
        <v>1215</v>
      </c>
      <c r="C526" t="s">
        <v>1216</v>
      </c>
      <c r="D526" t="s">
        <v>17</v>
      </c>
      <c r="E526" t="s">
        <v>8</v>
      </c>
      <c r="F526" s="22">
        <v>40</v>
      </c>
      <c r="G526" s="22">
        <v>0</v>
      </c>
      <c r="H526" s="22">
        <v>0</v>
      </c>
      <c r="I526" s="22">
        <v>40</v>
      </c>
      <c r="J526">
        <v>0</v>
      </c>
      <c r="K526">
        <v>0</v>
      </c>
      <c r="L526" s="22">
        <v>40</v>
      </c>
      <c r="M526" s="22">
        <v>0</v>
      </c>
      <c r="N526" s="22">
        <v>0</v>
      </c>
      <c r="O526" s="22">
        <v>40</v>
      </c>
      <c r="P526" s="22">
        <v>0</v>
      </c>
      <c r="Q526" s="22">
        <v>40</v>
      </c>
      <c r="R526">
        <v>0</v>
      </c>
      <c r="T526" t="s">
        <v>3052</v>
      </c>
      <c r="U526" t="s">
        <v>3062</v>
      </c>
      <c r="V526" t="s">
        <v>3056</v>
      </c>
    </row>
    <row r="527" spans="1:22">
      <c r="A527">
        <v>526</v>
      </c>
      <c r="B527" t="s">
        <v>1217</v>
      </c>
      <c r="C527" t="s">
        <v>1218</v>
      </c>
      <c r="D527" t="s">
        <v>17</v>
      </c>
      <c r="E527" t="s">
        <v>8</v>
      </c>
      <c r="F527" s="22">
        <v>215</v>
      </c>
      <c r="G527" s="22">
        <v>0</v>
      </c>
      <c r="H527" s="22">
        <v>0</v>
      </c>
      <c r="I527" s="22">
        <v>215</v>
      </c>
      <c r="J527">
        <v>0</v>
      </c>
      <c r="K527">
        <v>0</v>
      </c>
      <c r="L527" s="22">
        <v>215</v>
      </c>
      <c r="M527" s="22">
        <v>0</v>
      </c>
      <c r="N527" s="22">
        <v>0</v>
      </c>
      <c r="O527" s="22">
        <v>215</v>
      </c>
      <c r="P527" s="22">
        <v>50</v>
      </c>
      <c r="Q527" s="22">
        <v>165</v>
      </c>
      <c r="R527">
        <v>0</v>
      </c>
      <c r="T527" t="s">
        <v>3052</v>
      </c>
      <c r="U527" t="s">
        <v>3062</v>
      </c>
      <c r="V527" t="s">
        <v>3056</v>
      </c>
    </row>
    <row r="528" spans="1:22">
      <c r="A528">
        <v>527</v>
      </c>
      <c r="B528" t="s">
        <v>1219</v>
      </c>
      <c r="C528" t="s">
        <v>1220</v>
      </c>
      <c r="D528" t="s">
        <v>17</v>
      </c>
      <c r="E528" t="s">
        <v>8</v>
      </c>
      <c r="F528" s="22">
        <v>51</v>
      </c>
      <c r="G528" s="22">
        <v>0</v>
      </c>
      <c r="H528" s="22">
        <v>25</v>
      </c>
      <c r="I528" s="22">
        <v>26</v>
      </c>
      <c r="J528">
        <v>0</v>
      </c>
      <c r="K528">
        <v>0</v>
      </c>
      <c r="L528" s="22">
        <v>26</v>
      </c>
      <c r="M528" s="22">
        <v>0</v>
      </c>
      <c r="N528" s="22">
        <v>0</v>
      </c>
      <c r="O528" s="22">
        <v>26</v>
      </c>
      <c r="P528" s="22">
        <v>5</v>
      </c>
      <c r="Q528" s="22">
        <v>21</v>
      </c>
      <c r="R528">
        <v>0</v>
      </c>
      <c r="T528" t="s">
        <v>3052</v>
      </c>
      <c r="U528" t="s">
        <v>3062</v>
      </c>
      <c r="V528" t="s">
        <v>3056</v>
      </c>
    </row>
    <row r="529" spans="1:22">
      <c r="A529">
        <v>528</v>
      </c>
      <c r="B529" t="s">
        <v>1221</v>
      </c>
      <c r="C529" t="s">
        <v>1222</v>
      </c>
      <c r="D529" t="s">
        <v>17</v>
      </c>
      <c r="E529" t="s">
        <v>8</v>
      </c>
      <c r="F529" s="22">
        <v>6</v>
      </c>
      <c r="G529" s="22">
        <v>0</v>
      </c>
      <c r="H529" s="22">
        <v>3</v>
      </c>
      <c r="I529" s="22">
        <v>3</v>
      </c>
      <c r="J529">
        <v>0</v>
      </c>
      <c r="K529">
        <v>0</v>
      </c>
      <c r="L529" s="22">
        <v>3</v>
      </c>
      <c r="M529" s="22">
        <v>0</v>
      </c>
      <c r="N529" s="22">
        <v>0</v>
      </c>
      <c r="O529" s="22">
        <v>3</v>
      </c>
      <c r="P529" s="22">
        <v>1</v>
      </c>
      <c r="Q529" s="22">
        <v>2</v>
      </c>
      <c r="R529">
        <v>0</v>
      </c>
      <c r="T529" t="s">
        <v>3052</v>
      </c>
      <c r="U529" t="s">
        <v>3062</v>
      </c>
      <c r="V529" t="s">
        <v>3056</v>
      </c>
    </row>
    <row r="530" spans="1:22">
      <c r="A530">
        <v>529</v>
      </c>
      <c r="B530" t="s">
        <v>1223</v>
      </c>
      <c r="C530" t="s">
        <v>1224</v>
      </c>
      <c r="D530" t="s">
        <v>17</v>
      </c>
      <c r="E530" t="s">
        <v>8</v>
      </c>
      <c r="F530" s="22">
        <v>4</v>
      </c>
      <c r="G530" s="22">
        <v>2</v>
      </c>
      <c r="H530" s="22">
        <v>4</v>
      </c>
      <c r="I530" s="22">
        <v>2</v>
      </c>
      <c r="J530">
        <v>0</v>
      </c>
      <c r="K530">
        <v>0</v>
      </c>
      <c r="L530" s="22">
        <v>2</v>
      </c>
      <c r="M530" s="22">
        <v>0</v>
      </c>
      <c r="N530" s="22">
        <v>0</v>
      </c>
      <c r="O530" s="22">
        <v>2</v>
      </c>
      <c r="P530" s="22">
        <v>1</v>
      </c>
      <c r="Q530" s="22">
        <v>1</v>
      </c>
      <c r="R530">
        <v>2</v>
      </c>
      <c r="T530" t="s">
        <v>3052</v>
      </c>
      <c r="U530" t="s">
        <v>3062</v>
      </c>
      <c r="V530" t="s">
        <v>3056</v>
      </c>
    </row>
    <row r="531" spans="1:22">
      <c r="A531">
        <v>530</v>
      </c>
      <c r="B531" t="s">
        <v>1225</v>
      </c>
      <c r="C531" t="s">
        <v>1226</v>
      </c>
      <c r="D531" t="s">
        <v>17</v>
      </c>
      <c r="E531" t="s">
        <v>8</v>
      </c>
      <c r="F531" s="22">
        <v>2</v>
      </c>
      <c r="G531" s="22">
        <v>0</v>
      </c>
      <c r="H531" s="22">
        <v>0</v>
      </c>
      <c r="I531" s="22">
        <v>2</v>
      </c>
      <c r="J531">
        <v>0</v>
      </c>
      <c r="K531">
        <v>0</v>
      </c>
      <c r="L531" s="22">
        <v>2</v>
      </c>
      <c r="M531" s="22">
        <v>0</v>
      </c>
      <c r="N531" s="22">
        <v>0</v>
      </c>
      <c r="O531" s="22">
        <v>2</v>
      </c>
      <c r="P531" s="22">
        <v>0</v>
      </c>
      <c r="Q531" s="22">
        <v>2</v>
      </c>
      <c r="R531">
        <v>0</v>
      </c>
      <c r="T531" t="s">
        <v>3052</v>
      </c>
      <c r="U531" t="s">
        <v>3062</v>
      </c>
      <c r="V531" t="s">
        <v>3056</v>
      </c>
    </row>
    <row r="532" spans="1:22">
      <c r="A532">
        <v>531</v>
      </c>
      <c r="B532" t="s">
        <v>1227</v>
      </c>
      <c r="C532" t="s">
        <v>1228</v>
      </c>
      <c r="D532" t="s">
        <v>17</v>
      </c>
      <c r="E532" t="s">
        <v>8</v>
      </c>
      <c r="F532" s="22">
        <v>0</v>
      </c>
      <c r="G532" s="22">
        <v>0</v>
      </c>
      <c r="H532" s="22">
        <v>0</v>
      </c>
      <c r="I532" s="22">
        <v>0</v>
      </c>
      <c r="J532">
        <v>0</v>
      </c>
      <c r="K532">
        <v>0</v>
      </c>
      <c r="L532" s="22">
        <v>0</v>
      </c>
      <c r="M532" s="22">
        <v>0</v>
      </c>
      <c r="N532" s="22">
        <v>0</v>
      </c>
      <c r="O532" s="22">
        <v>0</v>
      </c>
      <c r="P532" s="22">
        <v>0</v>
      </c>
      <c r="Q532" s="22">
        <v>0</v>
      </c>
      <c r="R532">
        <v>0</v>
      </c>
      <c r="T532" t="s">
        <v>3052</v>
      </c>
      <c r="U532" t="s">
        <v>3062</v>
      </c>
      <c r="V532" t="s">
        <v>3056</v>
      </c>
    </row>
    <row r="533" spans="1:22">
      <c r="A533">
        <v>532</v>
      </c>
      <c r="B533" t="s">
        <v>1229</v>
      </c>
      <c r="C533" t="s">
        <v>1230</v>
      </c>
      <c r="D533" t="s">
        <v>17</v>
      </c>
      <c r="E533" t="s">
        <v>8</v>
      </c>
      <c r="F533" s="22">
        <v>8</v>
      </c>
      <c r="G533" s="22">
        <v>0</v>
      </c>
      <c r="H533" s="22">
        <v>1</v>
      </c>
      <c r="I533" s="22">
        <v>7</v>
      </c>
      <c r="J533">
        <v>0</v>
      </c>
      <c r="K533">
        <v>0</v>
      </c>
      <c r="L533" s="22">
        <v>7</v>
      </c>
      <c r="M533" s="22">
        <v>0</v>
      </c>
      <c r="N533" s="22">
        <v>0</v>
      </c>
      <c r="O533" s="22">
        <v>7</v>
      </c>
      <c r="P533" s="22">
        <v>0</v>
      </c>
      <c r="Q533" s="22">
        <v>7</v>
      </c>
      <c r="R533">
        <v>0</v>
      </c>
      <c r="T533" t="s">
        <v>3052</v>
      </c>
      <c r="U533" t="s">
        <v>3062</v>
      </c>
      <c r="V533" t="s">
        <v>3056</v>
      </c>
    </row>
    <row r="534" spans="1:22">
      <c r="A534">
        <v>533</v>
      </c>
      <c r="B534" t="s">
        <v>1233</v>
      </c>
      <c r="C534" t="s">
        <v>1234</v>
      </c>
      <c r="D534" t="s">
        <v>17</v>
      </c>
      <c r="E534" t="s">
        <v>8</v>
      </c>
      <c r="F534" s="22">
        <v>6</v>
      </c>
      <c r="G534" s="22">
        <v>0</v>
      </c>
      <c r="H534" s="22">
        <v>0</v>
      </c>
      <c r="I534" s="22">
        <v>6</v>
      </c>
      <c r="J534">
        <v>0</v>
      </c>
      <c r="K534">
        <v>0</v>
      </c>
      <c r="L534" s="22">
        <v>6</v>
      </c>
      <c r="M534" s="22">
        <v>0</v>
      </c>
      <c r="N534" s="22">
        <v>0</v>
      </c>
      <c r="O534" s="22">
        <v>6</v>
      </c>
      <c r="P534" s="22">
        <v>1</v>
      </c>
      <c r="Q534" s="22">
        <v>5</v>
      </c>
      <c r="R534">
        <v>0</v>
      </c>
      <c r="T534" t="s">
        <v>3052</v>
      </c>
      <c r="U534" t="s">
        <v>3062</v>
      </c>
      <c r="V534" t="s">
        <v>3056</v>
      </c>
    </row>
    <row r="535" spans="1:22">
      <c r="A535">
        <v>534</v>
      </c>
      <c r="B535" t="s">
        <v>1235</v>
      </c>
      <c r="C535" t="s">
        <v>1236</v>
      </c>
      <c r="D535" t="s">
        <v>17</v>
      </c>
      <c r="E535" t="s">
        <v>8</v>
      </c>
      <c r="F535" s="22">
        <v>8</v>
      </c>
      <c r="G535" s="22">
        <v>0</v>
      </c>
      <c r="H535" s="22">
        <v>2</v>
      </c>
      <c r="I535" s="22">
        <v>6</v>
      </c>
      <c r="J535">
        <v>0</v>
      </c>
      <c r="K535">
        <v>0</v>
      </c>
      <c r="L535" s="22">
        <v>6</v>
      </c>
      <c r="M535" s="22">
        <v>0</v>
      </c>
      <c r="N535" s="22">
        <v>0</v>
      </c>
      <c r="O535" s="22">
        <v>6</v>
      </c>
      <c r="P535" s="22">
        <v>1</v>
      </c>
      <c r="Q535" s="22">
        <v>5</v>
      </c>
      <c r="R535">
        <v>0</v>
      </c>
      <c r="T535" t="s">
        <v>3052</v>
      </c>
      <c r="U535" t="s">
        <v>3062</v>
      </c>
      <c r="V535" t="s">
        <v>3056</v>
      </c>
    </row>
    <row r="536" spans="1:22">
      <c r="A536">
        <v>535</v>
      </c>
      <c r="B536" t="s">
        <v>1237</v>
      </c>
      <c r="C536" t="s">
        <v>1238</v>
      </c>
      <c r="D536" t="s">
        <v>17</v>
      </c>
      <c r="E536" t="s">
        <v>8</v>
      </c>
      <c r="F536" s="22">
        <v>37</v>
      </c>
      <c r="G536" s="22">
        <v>0</v>
      </c>
      <c r="H536" s="22">
        <v>5</v>
      </c>
      <c r="I536" s="22">
        <v>32</v>
      </c>
      <c r="J536">
        <v>0</v>
      </c>
      <c r="K536">
        <v>0</v>
      </c>
      <c r="L536" s="22">
        <v>32</v>
      </c>
      <c r="M536" s="22">
        <v>0</v>
      </c>
      <c r="N536" s="22">
        <v>0</v>
      </c>
      <c r="O536" s="22">
        <v>32</v>
      </c>
      <c r="P536" s="22">
        <v>10</v>
      </c>
      <c r="Q536" s="22">
        <v>22</v>
      </c>
      <c r="R536">
        <v>0</v>
      </c>
      <c r="T536" t="s">
        <v>3052</v>
      </c>
      <c r="U536" t="s">
        <v>3062</v>
      </c>
      <c r="V536" t="s">
        <v>3056</v>
      </c>
    </row>
    <row r="537" spans="1:22">
      <c r="A537">
        <v>536</v>
      </c>
      <c r="B537" t="s">
        <v>1239</v>
      </c>
      <c r="C537" t="s">
        <v>1240</v>
      </c>
      <c r="D537" t="s">
        <v>17</v>
      </c>
      <c r="E537" t="s">
        <v>8</v>
      </c>
      <c r="F537" s="22">
        <v>0</v>
      </c>
      <c r="G537" s="22">
        <v>0</v>
      </c>
      <c r="H537" s="22">
        <v>0</v>
      </c>
      <c r="I537" s="22">
        <v>0</v>
      </c>
      <c r="J537">
        <v>0</v>
      </c>
      <c r="K537">
        <v>0</v>
      </c>
      <c r="L537" s="22">
        <v>0</v>
      </c>
      <c r="M537" s="22">
        <v>0</v>
      </c>
      <c r="N537" s="22">
        <v>0</v>
      </c>
      <c r="O537" s="22">
        <v>0</v>
      </c>
      <c r="P537" s="22">
        <v>0</v>
      </c>
      <c r="Q537" s="22">
        <v>0</v>
      </c>
      <c r="R537">
        <v>0</v>
      </c>
      <c r="T537" t="s">
        <v>3052</v>
      </c>
      <c r="U537" t="s">
        <v>3062</v>
      </c>
      <c r="V537" t="s">
        <v>3056</v>
      </c>
    </row>
    <row r="538" spans="1:22">
      <c r="A538">
        <v>537</v>
      </c>
      <c r="B538" t="s">
        <v>1241</v>
      </c>
      <c r="C538" t="s">
        <v>1242</v>
      </c>
      <c r="D538" t="s">
        <v>17</v>
      </c>
      <c r="E538" t="s">
        <v>8</v>
      </c>
      <c r="F538" s="22">
        <v>2695</v>
      </c>
      <c r="G538" s="22">
        <v>0</v>
      </c>
      <c r="H538" s="22">
        <v>30</v>
      </c>
      <c r="I538" s="22">
        <v>2665</v>
      </c>
      <c r="J538">
        <v>0</v>
      </c>
      <c r="K538">
        <v>0</v>
      </c>
      <c r="L538" s="22">
        <v>2665</v>
      </c>
      <c r="M538" s="22">
        <v>0</v>
      </c>
      <c r="N538" s="22">
        <v>0</v>
      </c>
      <c r="O538" s="22">
        <v>2665</v>
      </c>
      <c r="P538" s="22">
        <v>200</v>
      </c>
      <c r="Q538" s="22">
        <v>2465</v>
      </c>
      <c r="R538">
        <v>0</v>
      </c>
      <c r="T538" t="s">
        <v>3052</v>
      </c>
      <c r="U538" t="s">
        <v>3062</v>
      </c>
      <c r="V538" t="s">
        <v>3056</v>
      </c>
    </row>
    <row r="539" spans="1:22">
      <c r="A539">
        <v>538</v>
      </c>
      <c r="B539" t="s">
        <v>1243</v>
      </c>
      <c r="C539" t="s">
        <v>1244</v>
      </c>
      <c r="D539" t="s">
        <v>116</v>
      </c>
      <c r="E539" t="s">
        <v>8</v>
      </c>
      <c r="F539" s="22">
        <v>14</v>
      </c>
      <c r="G539" s="22">
        <v>0</v>
      </c>
      <c r="H539" s="22">
        <v>0</v>
      </c>
      <c r="I539" s="22">
        <v>14</v>
      </c>
      <c r="J539">
        <v>0</v>
      </c>
      <c r="K539">
        <v>0</v>
      </c>
      <c r="L539" s="22">
        <v>14</v>
      </c>
      <c r="M539" s="22">
        <v>0</v>
      </c>
      <c r="N539" s="22">
        <v>0</v>
      </c>
      <c r="O539" s="22">
        <v>14</v>
      </c>
      <c r="P539" s="22">
        <v>0</v>
      </c>
      <c r="Q539" s="22">
        <v>14</v>
      </c>
      <c r="R539">
        <v>0</v>
      </c>
      <c r="T539" t="s">
        <v>3052</v>
      </c>
      <c r="U539" t="s">
        <v>3062</v>
      </c>
      <c r="V539" t="s">
        <v>3056</v>
      </c>
    </row>
    <row r="540" spans="1:22">
      <c r="A540">
        <v>539</v>
      </c>
      <c r="B540" t="s">
        <v>1245</v>
      </c>
      <c r="C540" t="s">
        <v>1246</v>
      </c>
      <c r="D540" t="s">
        <v>116</v>
      </c>
      <c r="E540" t="s">
        <v>8</v>
      </c>
      <c r="F540" s="22">
        <v>4</v>
      </c>
      <c r="G540" s="22">
        <v>0</v>
      </c>
      <c r="H540" s="22">
        <v>0</v>
      </c>
      <c r="I540" s="22">
        <v>4</v>
      </c>
      <c r="J540">
        <v>0</v>
      </c>
      <c r="K540">
        <v>0</v>
      </c>
      <c r="L540" s="22">
        <v>4</v>
      </c>
      <c r="M540" s="22">
        <v>0</v>
      </c>
      <c r="N540" s="22">
        <v>0</v>
      </c>
      <c r="O540" s="22">
        <v>4</v>
      </c>
      <c r="P540" s="22">
        <v>0</v>
      </c>
      <c r="Q540" s="22">
        <v>4</v>
      </c>
      <c r="R540">
        <v>0</v>
      </c>
      <c r="T540" t="s">
        <v>3052</v>
      </c>
      <c r="U540" t="s">
        <v>3062</v>
      </c>
      <c r="V540" t="s">
        <v>3056</v>
      </c>
    </row>
    <row r="541" spans="1:22">
      <c r="A541">
        <v>540</v>
      </c>
      <c r="B541" t="s">
        <v>1247</v>
      </c>
      <c r="C541" t="s">
        <v>1248</v>
      </c>
      <c r="D541" t="s">
        <v>17</v>
      </c>
      <c r="E541" t="s">
        <v>8</v>
      </c>
      <c r="F541" s="22">
        <v>60</v>
      </c>
      <c r="G541" s="22">
        <v>0</v>
      </c>
      <c r="H541" s="22">
        <v>20</v>
      </c>
      <c r="I541" s="22">
        <v>40</v>
      </c>
      <c r="J541">
        <v>0</v>
      </c>
      <c r="K541">
        <v>0</v>
      </c>
      <c r="L541" s="22">
        <v>40</v>
      </c>
      <c r="M541" s="22">
        <v>0</v>
      </c>
      <c r="N541" s="22">
        <v>0</v>
      </c>
      <c r="O541" s="22">
        <v>40</v>
      </c>
      <c r="P541" s="22">
        <v>5</v>
      </c>
      <c r="Q541" s="22">
        <v>35</v>
      </c>
      <c r="R541">
        <v>0</v>
      </c>
      <c r="T541" t="s">
        <v>3052</v>
      </c>
      <c r="U541" t="s">
        <v>3062</v>
      </c>
      <c r="V541" t="s">
        <v>3056</v>
      </c>
    </row>
    <row r="542" spans="1:22">
      <c r="A542">
        <v>541</v>
      </c>
      <c r="B542" t="s">
        <v>1249</v>
      </c>
      <c r="C542" t="s">
        <v>1250</v>
      </c>
      <c r="D542" t="s">
        <v>17</v>
      </c>
      <c r="E542" t="s">
        <v>8</v>
      </c>
      <c r="F542" s="22">
        <v>104</v>
      </c>
      <c r="G542" s="22">
        <v>50</v>
      </c>
      <c r="H542" s="22">
        <v>64</v>
      </c>
      <c r="I542" s="22">
        <v>90</v>
      </c>
      <c r="J542">
        <v>0</v>
      </c>
      <c r="K542">
        <v>0</v>
      </c>
      <c r="L542" s="22">
        <v>90</v>
      </c>
      <c r="M542" s="22">
        <v>0</v>
      </c>
      <c r="N542" s="22">
        <v>0</v>
      </c>
      <c r="O542" s="22">
        <v>90</v>
      </c>
      <c r="P542" s="22">
        <v>10</v>
      </c>
      <c r="Q542" s="22">
        <v>80</v>
      </c>
      <c r="R542">
        <v>50</v>
      </c>
      <c r="T542" t="s">
        <v>3052</v>
      </c>
      <c r="U542" t="s">
        <v>3062</v>
      </c>
      <c r="V542" t="s">
        <v>3056</v>
      </c>
    </row>
    <row r="543" spans="1:22">
      <c r="A543">
        <v>542</v>
      </c>
      <c r="B543" t="s">
        <v>1251</v>
      </c>
      <c r="C543" t="s">
        <v>1252</v>
      </c>
      <c r="D543" t="s">
        <v>17</v>
      </c>
      <c r="E543" t="s">
        <v>8</v>
      </c>
      <c r="F543" s="22">
        <v>133</v>
      </c>
      <c r="G543" s="22">
        <v>50</v>
      </c>
      <c r="H543" s="22">
        <v>73</v>
      </c>
      <c r="I543" s="22">
        <v>110</v>
      </c>
      <c r="J543">
        <v>0</v>
      </c>
      <c r="K543">
        <v>0</v>
      </c>
      <c r="L543" s="22">
        <v>110</v>
      </c>
      <c r="M543" s="22">
        <v>0</v>
      </c>
      <c r="N543" s="22">
        <v>0</v>
      </c>
      <c r="O543" s="22">
        <v>110</v>
      </c>
      <c r="P543" s="22">
        <v>10</v>
      </c>
      <c r="Q543" s="22">
        <v>100</v>
      </c>
      <c r="R543">
        <v>50</v>
      </c>
      <c r="T543" t="s">
        <v>3052</v>
      </c>
      <c r="U543" t="s">
        <v>3062</v>
      </c>
      <c r="V543" t="s">
        <v>3056</v>
      </c>
    </row>
    <row r="544" spans="1:22">
      <c r="A544">
        <v>543</v>
      </c>
      <c r="B544" t="s">
        <v>1253</v>
      </c>
      <c r="C544" t="s">
        <v>1254</v>
      </c>
      <c r="D544" t="s">
        <v>17</v>
      </c>
      <c r="E544" t="s">
        <v>8</v>
      </c>
      <c r="F544" s="22">
        <v>19</v>
      </c>
      <c r="G544" s="22">
        <v>0</v>
      </c>
      <c r="H544" s="22">
        <v>3</v>
      </c>
      <c r="I544" s="22">
        <v>16</v>
      </c>
      <c r="J544">
        <v>0</v>
      </c>
      <c r="K544">
        <v>0</v>
      </c>
      <c r="L544" s="22">
        <v>16</v>
      </c>
      <c r="M544" s="22">
        <v>0</v>
      </c>
      <c r="N544" s="22">
        <v>0</v>
      </c>
      <c r="O544" s="22">
        <v>16</v>
      </c>
      <c r="P544" s="22">
        <v>10</v>
      </c>
      <c r="Q544" s="22">
        <v>6</v>
      </c>
      <c r="R544">
        <v>0</v>
      </c>
      <c r="T544" t="s">
        <v>3052</v>
      </c>
      <c r="U544" t="s">
        <v>3062</v>
      </c>
      <c r="V544" t="s">
        <v>3056</v>
      </c>
    </row>
    <row r="545" spans="1:22">
      <c r="A545">
        <v>544</v>
      </c>
      <c r="B545" t="s">
        <v>1255</v>
      </c>
      <c r="C545" t="s">
        <v>1256</v>
      </c>
      <c r="D545" t="s">
        <v>17</v>
      </c>
      <c r="E545" t="s">
        <v>8</v>
      </c>
      <c r="F545" s="22">
        <v>1</v>
      </c>
      <c r="G545" s="22">
        <v>0</v>
      </c>
      <c r="H545" s="22">
        <v>0</v>
      </c>
      <c r="I545" s="22">
        <v>1</v>
      </c>
      <c r="J545">
        <v>0</v>
      </c>
      <c r="K545">
        <v>0</v>
      </c>
      <c r="L545" s="22">
        <v>1</v>
      </c>
      <c r="M545" s="22">
        <v>0</v>
      </c>
      <c r="N545" s="22">
        <v>0</v>
      </c>
      <c r="O545" s="22">
        <v>1</v>
      </c>
      <c r="P545" s="22">
        <v>0</v>
      </c>
      <c r="Q545" s="22">
        <v>1</v>
      </c>
      <c r="R545">
        <v>0</v>
      </c>
      <c r="T545" t="s">
        <v>3052</v>
      </c>
      <c r="U545" t="s">
        <v>3062</v>
      </c>
      <c r="V545" t="s">
        <v>3056</v>
      </c>
    </row>
    <row r="546" spans="1:22">
      <c r="A546">
        <v>545</v>
      </c>
      <c r="B546" t="s">
        <v>1257</v>
      </c>
      <c r="C546" t="s">
        <v>1258</v>
      </c>
      <c r="D546" t="s">
        <v>17</v>
      </c>
      <c r="E546" t="s">
        <v>8</v>
      </c>
      <c r="F546" s="22">
        <v>1</v>
      </c>
      <c r="G546" s="22">
        <v>0</v>
      </c>
      <c r="H546" s="22">
        <v>0</v>
      </c>
      <c r="I546" s="22">
        <v>1</v>
      </c>
      <c r="J546">
        <v>0</v>
      </c>
      <c r="K546">
        <v>0</v>
      </c>
      <c r="L546" s="22">
        <v>1</v>
      </c>
      <c r="M546" s="22">
        <v>0</v>
      </c>
      <c r="N546" s="22">
        <v>0</v>
      </c>
      <c r="O546" s="22">
        <v>1</v>
      </c>
      <c r="P546" s="22">
        <v>0</v>
      </c>
      <c r="Q546" s="22">
        <v>1</v>
      </c>
      <c r="R546">
        <v>0</v>
      </c>
      <c r="T546" t="s">
        <v>3052</v>
      </c>
      <c r="U546" t="s">
        <v>3062</v>
      </c>
      <c r="V546" t="s">
        <v>3056</v>
      </c>
    </row>
    <row r="547" spans="1:22">
      <c r="A547">
        <v>546</v>
      </c>
      <c r="B547" t="s">
        <v>1259</v>
      </c>
      <c r="C547" t="s">
        <v>1260</v>
      </c>
      <c r="D547" t="s">
        <v>17</v>
      </c>
      <c r="E547" t="s">
        <v>8</v>
      </c>
      <c r="F547" s="22">
        <v>48</v>
      </c>
      <c r="G547" s="22">
        <v>0</v>
      </c>
      <c r="H547" s="22">
        <v>15</v>
      </c>
      <c r="I547" s="22">
        <v>33</v>
      </c>
      <c r="J547">
        <v>0</v>
      </c>
      <c r="K547">
        <v>0</v>
      </c>
      <c r="L547" s="22">
        <v>33</v>
      </c>
      <c r="M547" s="22">
        <v>0</v>
      </c>
      <c r="N547" s="22">
        <v>0</v>
      </c>
      <c r="O547" s="22">
        <v>33</v>
      </c>
      <c r="P547" s="22">
        <v>0</v>
      </c>
      <c r="Q547" s="22">
        <v>33</v>
      </c>
      <c r="R547">
        <v>0</v>
      </c>
      <c r="T547" t="s">
        <v>3052</v>
      </c>
      <c r="U547" t="s">
        <v>3062</v>
      </c>
      <c r="V547" t="s">
        <v>3056</v>
      </c>
    </row>
    <row r="548" spans="1:22">
      <c r="A548">
        <v>547</v>
      </c>
      <c r="B548" t="s">
        <v>1068</v>
      </c>
      <c r="C548" t="s">
        <v>1069</v>
      </c>
      <c r="D548" t="s">
        <v>17</v>
      </c>
      <c r="E548" t="s">
        <v>8</v>
      </c>
      <c r="F548" s="22">
        <v>900</v>
      </c>
      <c r="G548" s="22">
        <v>5000</v>
      </c>
      <c r="H548" s="22">
        <v>0</v>
      </c>
      <c r="I548" s="22">
        <v>5900</v>
      </c>
      <c r="J548">
        <v>0</v>
      </c>
      <c r="K548">
        <v>0</v>
      </c>
      <c r="L548" s="22">
        <v>5900</v>
      </c>
      <c r="M548" s="22">
        <v>0</v>
      </c>
      <c r="N548" s="22">
        <v>0</v>
      </c>
      <c r="O548" s="22">
        <v>5900</v>
      </c>
      <c r="P548" s="22">
        <v>1000</v>
      </c>
      <c r="Q548" s="22">
        <v>4900</v>
      </c>
      <c r="R548">
        <v>0</v>
      </c>
      <c r="T548" t="s">
        <v>2972</v>
      </c>
      <c r="U548" t="s">
        <v>3057</v>
      </c>
      <c r="V548" t="s">
        <v>3058</v>
      </c>
    </row>
    <row r="549" spans="1:22">
      <c r="A549">
        <v>548</v>
      </c>
      <c r="B549" t="s">
        <v>1263</v>
      </c>
      <c r="C549" t="s">
        <v>1264</v>
      </c>
      <c r="D549" t="s">
        <v>17</v>
      </c>
      <c r="E549" t="s">
        <v>8</v>
      </c>
      <c r="F549" s="22">
        <v>22</v>
      </c>
      <c r="G549" s="22">
        <v>0</v>
      </c>
      <c r="H549" s="22">
        <v>9</v>
      </c>
      <c r="I549" s="22">
        <v>13</v>
      </c>
      <c r="J549">
        <v>0</v>
      </c>
      <c r="K549">
        <v>0</v>
      </c>
      <c r="L549" s="22">
        <v>13</v>
      </c>
      <c r="M549" s="22">
        <v>0</v>
      </c>
      <c r="N549" s="22">
        <v>0</v>
      </c>
      <c r="O549" s="22">
        <v>13</v>
      </c>
      <c r="P549" s="22">
        <v>5</v>
      </c>
      <c r="Q549" s="22">
        <v>8</v>
      </c>
      <c r="R549">
        <v>0</v>
      </c>
      <c r="T549" t="s">
        <v>3052</v>
      </c>
      <c r="U549" t="s">
        <v>3062</v>
      </c>
      <c r="V549" t="s">
        <v>3056</v>
      </c>
    </row>
    <row r="550" spans="1:22">
      <c r="A550">
        <v>549</v>
      </c>
      <c r="B550" t="s">
        <v>1265</v>
      </c>
      <c r="C550" t="s">
        <v>1266</v>
      </c>
      <c r="D550" t="s">
        <v>116</v>
      </c>
      <c r="E550" t="s">
        <v>8</v>
      </c>
      <c r="F550" s="22">
        <v>4</v>
      </c>
      <c r="G550" s="22">
        <v>0</v>
      </c>
      <c r="H550" s="22">
        <v>0</v>
      </c>
      <c r="I550" s="22">
        <v>4</v>
      </c>
      <c r="J550">
        <v>0</v>
      </c>
      <c r="K550">
        <v>0</v>
      </c>
      <c r="L550" s="22">
        <v>4</v>
      </c>
      <c r="M550" s="22">
        <v>0</v>
      </c>
      <c r="N550" s="22">
        <v>0</v>
      </c>
      <c r="O550" s="22">
        <v>4</v>
      </c>
      <c r="P550" s="22">
        <v>1</v>
      </c>
      <c r="Q550" s="22">
        <v>3</v>
      </c>
      <c r="R550">
        <v>0</v>
      </c>
      <c r="T550" t="s">
        <v>3052</v>
      </c>
      <c r="U550" t="s">
        <v>3062</v>
      </c>
      <c r="V550" t="s">
        <v>3056</v>
      </c>
    </row>
    <row r="551" spans="1:22">
      <c r="A551">
        <v>550</v>
      </c>
      <c r="B551" t="s">
        <v>1267</v>
      </c>
      <c r="C551" t="s">
        <v>1268</v>
      </c>
      <c r="D551" t="s">
        <v>116</v>
      </c>
      <c r="E551" t="s">
        <v>8</v>
      </c>
      <c r="F551" s="22">
        <v>16</v>
      </c>
      <c r="G551" s="22">
        <v>10</v>
      </c>
      <c r="H551" s="22">
        <v>12</v>
      </c>
      <c r="I551" s="22">
        <v>14</v>
      </c>
      <c r="J551">
        <v>0</v>
      </c>
      <c r="K551">
        <v>0</v>
      </c>
      <c r="L551" s="22">
        <v>14</v>
      </c>
      <c r="M551" s="22">
        <v>0</v>
      </c>
      <c r="N551" s="22">
        <v>0</v>
      </c>
      <c r="O551" s="22">
        <v>14</v>
      </c>
      <c r="P551" s="22">
        <v>5</v>
      </c>
      <c r="Q551" s="22">
        <v>9</v>
      </c>
      <c r="R551">
        <v>5</v>
      </c>
      <c r="T551" t="s">
        <v>3052</v>
      </c>
      <c r="U551" t="s">
        <v>3062</v>
      </c>
      <c r="V551" t="s">
        <v>3056</v>
      </c>
    </row>
    <row r="552" spans="1:22">
      <c r="A552">
        <v>551</v>
      </c>
      <c r="B552" t="s">
        <v>1269</v>
      </c>
      <c r="C552" t="s">
        <v>1270</v>
      </c>
      <c r="D552" t="s">
        <v>116</v>
      </c>
      <c r="E552" t="s">
        <v>8</v>
      </c>
      <c r="F552" s="22">
        <v>2</v>
      </c>
      <c r="G552" s="22">
        <v>0</v>
      </c>
      <c r="H552" s="22">
        <v>0</v>
      </c>
      <c r="I552" s="22">
        <v>2</v>
      </c>
      <c r="J552">
        <v>0</v>
      </c>
      <c r="K552">
        <v>0</v>
      </c>
      <c r="L552" s="22">
        <v>2</v>
      </c>
      <c r="M552" s="22">
        <v>0</v>
      </c>
      <c r="N552" s="22">
        <v>0</v>
      </c>
      <c r="O552" s="22">
        <v>2</v>
      </c>
      <c r="P552" s="22">
        <v>1</v>
      </c>
      <c r="Q552" s="22">
        <v>1</v>
      </c>
      <c r="R552">
        <v>0</v>
      </c>
      <c r="T552" t="s">
        <v>3052</v>
      </c>
      <c r="U552" t="s">
        <v>3062</v>
      </c>
      <c r="V552" t="s">
        <v>3056</v>
      </c>
    </row>
    <row r="553" spans="1:22">
      <c r="A553">
        <v>552</v>
      </c>
      <c r="B553" t="s">
        <v>1070</v>
      </c>
      <c r="C553" t="s">
        <v>1071</v>
      </c>
      <c r="D553" t="s">
        <v>17</v>
      </c>
      <c r="E553" t="s">
        <v>8</v>
      </c>
      <c r="F553" s="22">
        <v>0</v>
      </c>
      <c r="G553" s="22">
        <v>0</v>
      </c>
      <c r="H553" s="22">
        <v>0</v>
      </c>
      <c r="I553" s="22">
        <v>0</v>
      </c>
      <c r="J553">
        <v>0</v>
      </c>
      <c r="K553">
        <v>0</v>
      </c>
      <c r="L553" s="22">
        <v>0</v>
      </c>
      <c r="M553" s="22">
        <v>0</v>
      </c>
      <c r="N553" s="22">
        <v>0</v>
      </c>
      <c r="O553" s="22">
        <v>0</v>
      </c>
      <c r="P553" s="22">
        <v>0</v>
      </c>
      <c r="Q553" s="22">
        <v>0</v>
      </c>
      <c r="R553">
        <v>0</v>
      </c>
      <c r="T553" t="s">
        <v>2972</v>
      </c>
      <c r="U553" t="s">
        <v>3057</v>
      </c>
      <c r="V553" t="s">
        <v>3056</v>
      </c>
    </row>
    <row r="554" spans="1:22">
      <c r="A554">
        <v>553</v>
      </c>
      <c r="B554" t="s">
        <v>1072</v>
      </c>
      <c r="C554" t="s">
        <v>1073</v>
      </c>
      <c r="D554" t="s">
        <v>17</v>
      </c>
      <c r="E554" t="s">
        <v>8</v>
      </c>
      <c r="F554" s="22">
        <v>0</v>
      </c>
      <c r="G554" s="22">
        <v>0</v>
      </c>
      <c r="H554" s="22">
        <v>0</v>
      </c>
      <c r="I554" s="22">
        <v>0</v>
      </c>
      <c r="J554">
        <v>0</v>
      </c>
      <c r="K554">
        <v>0</v>
      </c>
      <c r="L554" s="22">
        <v>0</v>
      </c>
      <c r="M554" s="22">
        <v>0</v>
      </c>
      <c r="N554" s="22">
        <v>0</v>
      </c>
      <c r="O554" s="22">
        <v>0</v>
      </c>
      <c r="P554" s="22">
        <v>0</v>
      </c>
      <c r="Q554" s="22">
        <v>0</v>
      </c>
      <c r="R554">
        <v>0</v>
      </c>
      <c r="T554" t="s">
        <v>2972</v>
      </c>
      <c r="U554" t="s">
        <v>3057</v>
      </c>
      <c r="V554" t="s">
        <v>3058</v>
      </c>
    </row>
    <row r="555" spans="1:22">
      <c r="A555">
        <v>554</v>
      </c>
      <c r="B555" t="s">
        <v>1277</v>
      </c>
      <c r="C555" t="s">
        <v>1278</v>
      </c>
      <c r="D555" t="s">
        <v>17</v>
      </c>
      <c r="E555" t="s">
        <v>8</v>
      </c>
      <c r="F555" s="22">
        <v>22</v>
      </c>
      <c r="G555" s="22">
        <v>0</v>
      </c>
      <c r="H555" s="22">
        <v>14</v>
      </c>
      <c r="I555" s="22">
        <v>8</v>
      </c>
      <c r="J555">
        <v>0</v>
      </c>
      <c r="K555">
        <v>0</v>
      </c>
      <c r="L555" s="22">
        <v>8</v>
      </c>
      <c r="M555" s="22">
        <v>0</v>
      </c>
      <c r="N555" s="22">
        <v>0</v>
      </c>
      <c r="O555" s="22">
        <v>8</v>
      </c>
      <c r="P555" s="22">
        <v>10</v>
      </c>
      <c r="Q555" s="22">
        <v>-2</v>
      </c>
      <c r="R555">
        <v>0</v>
      </c>
      <c r="T555" t="s">
        <v>3052</v>
      </c>
      <c r="U555" t="s">
        <v>3062</v>
      </c>
      <c r="V555" t="s">
        <v>3056</v>
      </c>
    </row>
    <row r="556" spans="1:22">
      <c r="A556">
        <v>555</v>
      </c>
      <c r="B556" t="s">
        <v>1279</v>
      </c>
      <c r="C556" t="s">
        <v>1280</v>
      </c>
      <c r="D556" t="s">
        <v>17</v>
      </c>
      <c r="E556" t="s">
        <v>8</v>
      </c>
      <c r="F556" s="22">
        <v>12</v>
      </c>
      <c r="G556" s="22">
        <v>0</v>
      </c>
      <c r="H556" s="22">
        <v>4</v>
      </c>
      <c r="I556" s="22">
        <v>8</v>
      </c>
      <c r="J556">
        <v>0</v>
      </c>
      <c r="K556">
        <v>0</v>
      </c>
      <c r="L556" s="22">
        <v>8</v>
      </c>
      <c r="M556" s="22">
        <v>0</v>
      </c>
      <c r="N556" s="22">
        <v>0</v>
      </c>
      <c r="O556" s="22">
        <v>8</v>
      </c>
      <c r="P556" s="22">
        <v>0</v>
      </c>
      <c r="Q556" s="22">
        <v>8</v>
      </c>
      <c r="R556">
        <v>0</v>
      </c>
      <c r="T556" t="s">
        <v>3052</v>
      </c>
      <c r="U556" t="s">
        <v>3062</v>
      </c>
      <c r="V556" t="s">
        <v>3056</v>
      </c>
    </row>
    <row r="557" spans="1:22">
      <c r="A557">
        <v>556</v>
      </c>
      <c r="B557" t="s">
        <v>1283</v>
      </c>
      <c r="C557" t="s">
        <v>1284</v>
      </c>
      <c r="D557" t="s">
        <v>17</v>
      </c>
      <c r="E557" t="s">
        <v>8</v>
      </c>
      <c r="F557" s="22">
        <v>18</v>
      </c>
      <c r="G557" s="22">
        <v>0</v>
      </c>
      <c r="H557" s="22">
        <v>0</v>
      </c>
      <c r="I557" s="22">
        <v>18</v>
      </c>
      <c r="J557">
        <v>0</v>
      </c>
      <c r="K557">
        <v>0</v>
      </c>
      <c r="L557" s="22">
        <v>18</v>
      </c>
      <c r="M557" s="22">
        <v>0</v>
      </c>
      <c r="N557" s="22">
        <v>0</v>
      </c>
      <c r="O557" s="22">
        <v>18</v>
      </c>
      <c r="P557" s="22">
        <v>5</v>
      </c>
      <c r="Q557" s="22">
        <v>13</v>
      </c>
      <c r="R557">
        <v>0</v>
      </c>
      <c r="T557" t="s">
        <v>3052</v>
      </c>
      <c r="U557" t="s">
        <v>3062</v>
      </c>
      <c r="V557" t="s">
        <v>3056</v>
      </c>
    </row>
    <row r="558" spans="1:22">
      <c r="A558">
        <v>557</v>
      </c>
      <c r="B558" t="s">
        <v>1285</v>
      </c>
      <c r="C558" t="s">
        <v>1286</v>
      </c>
      <c r="D558" t="s">
        <v>7</v>
      </c>
      <c r="E558" t="s">
        <v>8</v>
      </c>
      <c r="F558" s="22">
        <v>0</v>
      </c>
      <c r="G558" s="22">
        <v>0</v>
      </c>
      <c r="H558" s="22">
        <v>0</v>
      </c>
      <c r="I558" s="22">
        <v>0</v>
      </c>
      <c r="J558">
        <v>0</v>
      </c>
      <c r="K558">
        <v>0</v>
      </c>
      <c r="L558" s="22">
        <v>0</v>
      </c>
      <c r="M558" s="22">
        <v>0</v>
      </c>
      <c r="N558" s="22">
        <v>0</v>
      </c>
      <c r="O558" s="22">
        <v>0</v>
      </c>
      <c r="P558" s="22">
        <v>0</v>
      </c>
      <c r="Q558" s="22">
        <v>0</v>
      </c>
      <c r="R558">
        <v>0</v>
      </c>
      <c r="T558" t="s">
        <v>2965</v>
      </c>
      <c r="U558" t="s">
        <v>3055</v>
      </c>
      <c r="V558" t="s">
        <v>3056</v>
      </c>
    </row>
    <row r="559" spans="1:22">
      <c r="A559">
        <v>558</v>
      </c>
      <c r="B559" t="s">
        <v>1287</v>
      </c>
      <c r="C559" t="s">
        <v>1288</v>
      </c>
      <c r="D559" t="s">
        <v>7</v>
      </c>
      <c r="E559" t="s">
        <v>8</v>
      </c>
      <c r="F559" s="22">
        <v>0</v>
      </c>
      <c r="G559" s="22">
        <v>0</v>
      </c>
      <c r="H559" s="22">
        <v>0</v>
      </c>
      <c r="I559" s="22">
        <v>0</v>
      </c>
      <c r="J559">
        <v>0</v>
      </c>
      <c r="K559">
        <v>0</v>
      </c>
      <c r="L559" s="22">
        <v>0</v>
      </c>
      <c r="M559" s="22">
        <v>0</v>
      </c>
      <c r="N559" s="22">
        <v>0</v>
      </c>
      <c r="O559" s="22">
        <v>0</v>
      </c>
      <c r="P559" s="22">
        <v>0</v>
      </c>
      <c r="Q559" s="22">
        <v>0</v>
      </c>
      <c r="R559">
        <v>0</v>
      </c>
      <c r="T559" t="s">
        <v>2965</v>
      </c>
      <c r="U559" t="s">
        <v>3055</v>
      </c>
      <c r="V559" t="s">
        <v>3056</v>
      </c>
    </row>
    <row r="560" spans="1:22">
      <c r="A560">
        <v>559</v>
      </c>
      <c r="B560" t="s">
        <v>1290</v>
      </c>
      <c r="C560" t="s">
        <v>1291</v>
      </c>
      <c r="D560" t="s">
        <v>7</v>
      </c>
      <c r="E560" t="s">
        <v>8</v>
      </c>
      <c r="F560" s="22">
        <v>0</v>
      </c>
      <c r="G560" s="22">
        <v>0</v>
      </c>
      <c r="H560" s="22">
        <v>0</v>
      </c>
      <c r="I560" s="22">
        <v>0</v>
      </c>
      <c r="J560">
        <v>0</v>
      </c>
      <c r="K560">
        <v>0</v>
      </c>
      <c r="L560" s="22">
        <v>0</v>
      </c>
      <c r="M560" s="22">
        <v>0</v>
      </c>
      <c r="N560" s="22">
        <v>0</v>
      </c>
      <c r="O560" s="22">
        <v>0</v>
      </c>
      <c r="P560" s="22">
        <v>0</v>
      </c>
      <c r="Q560" s="22">
        <v>0</v>
      </c>
      <c r="R560">
        <v>0</v>
      </c>
      <c r="T560" t="s">
        <v>2965</v>
      </c>
      <c r="U560" t="s">
        <v>3055</v>
      </c>
      <c r="V560" t="s">
        <v>3056</v>
      </c>
    </row>
    <row r="561" spans="1:22">
      <c r="A561">
        <v>560</v>
      </c>
      <c r="B561" t="s">
        <v>1292</v>
      </c>
      <c r="C561" t="s">
        <v>1293</v>
      </c>
      <c r="D561" t="s">
        <v>7</v>
      </c>
      <c r="E561" t="s">
        <v>8</v>
      </c>
      <c r="F561" s="22">
        <v>120</v>
      </c>
      <c r="G561" s="22">
        <v>0</v>
      </c>
      <c r="H561" s="22">
        <v>0</v>
      </c>
      <c r="I561" s="22">
        <v>120</v>
      </c>
      <c r="J561">
        <v>0</v>
      </c>
      <c r="K561">
        <v>0</v>
      </c>
      <c r="L561" s="22">
        <v>120</v>
      </c>
      <c r="M561" s="22">
        <v>0</v>
      </c>
      <c r="N561" s="22">
        <v>0</v>
      </c>
      <c r="O561" s="22">
        <v>120</v>
      </c>
      <c r="P561" s="22">
        <v>100</v>
      </c>
      <c r="Q561" s="22">
        <v>20</v>
      </c>
      <c r="R561">
        <v>0</v>
      </c>
      <c r="T561" t="s">
        <v>2965</v>
      </c>
      <c r="U561" t="s">
        <v>3055</v>
      </c>
      <c r="V561" t="s">
        <v>3056</v>
      </c>
    </row>
    <row r="562" spans="1:22">
      <c r="A562">
        <v>561</v>
      </c>
      <c r="B562" t="s">
        <v>1294</v>
      </c>
      <c r="C562" t="s">
        <v>1295</v>
      </c>
      <c r="D562" t="s">
        <v>7</v>
      </c>
      <c r="E562" t="s">
        <v>8</v>
      </c>
      <c r="F562" s="22">
        <v>140</v>
      </c>
      <c r="G562" s="22">
        <v>0</v>
      </c>
      <c r="H562" s="22">
        <v>0</v>
      </c>
      <c r="I562" s="22">
        <v>140</v>
      </c>
      <c r="J562">
        <v>0</v>
      </c>
      <c r="K562">
        <v>0</v>
      </c>
      <c r="L562" s="22">
        <v>140</v>
      </c>
      <c r="M562" s="22">
        <v>0</v>
      </c>
      <c r="N562" s="22">
        <v>0</v>
      </c>
      <c r="O562" s="22">
        <v>140</v>
      </c>
      <c r="P562" s="22">
        <v>100</v>
      </c>
      <c r="Q562" s="22">
        <v>40</v>
      </c>
      <c r="R562">
        <v>0</v>
      </c>
      <c r="T562" t="s">
        <v>2965</v>
      </c>
      <c r="U562" t="s">
        <v>3055</v>
      </c>
      <c r="V562" t="s">
        <v>3056</v>
      </c>
    </row>
    <row r="563" spans="1:22">
      <c r="A563">
        <v>562</v>
      </c>
      <c r="B563" t="s">
        <v>1296</v>
      </c>
      <c r="C563" t="s">
        <v>2967</v>
      </c>
      <c r="D563" t="s">
        <v>7</v>
      </c>
      <c r="E563" t="s">
        <v>8</v>
      </c>
      <c r="F563" s="22">
        <v>284.5</v>
      </c>
      <c r="G563" s="22">
        <v>0</v>
      </c>
      <c r="H563" s="22">
        <v>136</v>
      </c>
      <c r="I563" s="22">
        <v>148.5</v>
      </c>
      <c r="J563">
        <v>0</v>
      </c>
      <c r="K563">
        <v>0</v>
      </c>
      <c r="L563" s="22">
        <v>148.5</v>
      </c>
      <c r="M563" s="22">
        <v>0</v>
      </c>
      <c r="N563" s="22">
        <v>0</v>
      </c>
      <c r="O563" s="22">
        <v>148.5</v>
      </c>
      <c r="P563" s="22">
        <v>100</v>
      </c>
      <c r="Q563" s="22">
        <v>48.5</v>
      </c>
      <c r="R563">
        <v>0</v>
      </c>
      <c r="T563" t="s">
        <v>2965</v>
      </c>
      <c r="U563" t="s">
        <v>3055</v>
      </c>
      <c r="V563" t="s">
        <v>3056</v>
      </c>
    </row>
    <row r="564" spans="1:22">
      <c r="A564">
        <v>563</v>
      </c>
      <c r="B564" t="s">
        <v>1297</v>
      </c>
      <c r="C564" t="s">
        <v>2968</v>
      </c>
      <c r="D564" t="s">
        <v>7</v>
      </c>
      <c r="E564" t="s">
        <v>8</v>
      </c>
      <c r="F564" s="22">
        <v>193</v>
      </c>
      <c r="G564" s="22">
        <v>0</v>
      </c>
      <c r="H564" s="22">
        <v>68</v>
      </c>
      <c r="I564" s="22">
        <v>125</v>
      </c>
      <c r="J564">
        <v>0</v>
      </c>
      <c r="K564">
        <v>0</v>
      </c>
      <c r="L564" s="22">
        <v>125</v>
      </c>
      <c r="M564" s="22">
        <v>0</v>
      </c>
      <c r="N564" s="22">
        <v>0</v>
      </c>
      <c r="O564" s="22">
        <v>125</v>
      </c>
      <c r="P564" s="22">
        <v>250</v>
      </c>
      <c r="Q564" s="22">
        <v>-125</v>
      </c>
      <c r="R564">
        <v>200</v>
      </c>
      <c r="T564" t="s">
        <v>2965</v>
      </c>
      <c r="U564" t="s">
        <v>3055</v>
      </c>
      <c r="V564" t="s">
        <v>3056</v>
      </c>
    </row>
    <row r="565" spans="1:22">
      <c r="A565">
        <v>564</v>
      </c>
      <c r="B565" t="s">
        <v>1298</v>
      </c>
      <c r="C565" t="s">
        <v>1299</v>
      </c>
      <c r="D565" t="s">
        <v>7</v>
      </c>
      <c r="E565" t="s">
        <v>8</v>
      </c>
      <c r="F565" s="22">
        <v>450</v>
      </c>
      <c r="G565" s="22">
        <v>0</v>
      </c>
      <c r="H565" s="22">
        <v>0</v>
      </c>
      <c r="I565" s="22">
        <v>450</v>
      </c>
      <c r="J565">
        <v>0</v>
      </c>
      <c r="K565">
        <v>0</v>
      </c>
      <c r="L565" s="22">
        <v>450</v>
      </c>
      <c r="M565" s="22">
        <v>0</v>
      </c>
      <c r="N565" s="22">
        <v>0</v>
      </c>
      <c r="O565" s="22">
        <v>450</v>
      </c>
      <c r="P565" s="22">
        <v>200</v>
      </c>
      <c r="Q565" s="22">
        <v>250</v>
      </c>
      <c r="R565">
        <v>0</v>
      </c>
      <c r="T565" t="s">
        <v>2965</v>
      </c>
      <c r="U565" t="s">
        <v>3055</v>
      </c>
      <c r="V565" t="s">
        <v>3056</v>
      </c>
    </row>
    <row r="566" spans="1:22">
      <c r="A566">
        <v>565</v>
      </c>
      <c r="B566" t="s">
        <v>2349</v>
      </c>
      <c r="C566" t="s">
        <v>3164</v>
      </c>
      <c r="D566" t="s">
        <v>7</v>
      </c>
      <c r="E566" t="s">
        <v>8</v>
      </c>
      <c r="F566" s="22">
        <v>1425.2</v>
      </c>
      <c r="G566" s="22">
        <v>0</v>
      </c>
      <c r="H566" s="22">
        <v>0</v>
      </c>
      <c r="I566" s="22">
        <v>1425.2</v>
      </c>
      <c r="J566">
        <v>0</v>
      </c>
      <c r="K566">
        <v>0</v>
      </c>
      <c r="L566" s="22">
        <v>1425.2</v>
      </c>
      <c r="M566" s="22">
        <v>0</v>
      </c>
      <c r="N566" s="22">
        <v>0</v>
      </c>
      <c r="O566" s="22">
        <v>1425.2</v>
      </c>
      <c r="P566" s="22">
        <v>300</v>
      </c>
      <c r="Q566" s="22">
        <v>1125.2</v>
      </c>
      <c r="R566">
        <v>0</v>
      </c>
      <c r="T566" t="s">
        <v>2965</v>
      </c>
      <c r="U566" t="s">
        <v>3055</v>
      </c>
      <c r="V566" t="s">
        <v>3056</v>
      </c>
    </row>
    <row r="567" spans="1:22">
      <c r="A567">
        <v>566</v>
      </c>
      <c r="B567" t="s">
        <v>1986</v>
      </c>
      <c r="C567" t="s">
        <v>3165</v>
      </c>
      <c r="D567" t="s">
        <v>7</v>
      </c>
      <c r="E567" t="s">
        <v>8</v>
      </c>
      <c r="F567" s="22">
        <v>1389.2</v>
      </c>
      <c r="G567" s="22">
        <v>0</v>
      </c>
      <c r="H567" s="22">
        <v>0</v>
      </c>
      <c r="I567" s="22">
        <v>1389.2</v>
      </c>
      <c r="J567">
        <v>0</v>
      </c>
      <c r="K567">
        <v>0</v>
      </c>
      <c r="L567" s="22">
        <v>1389.2</v>
      </c>
      <c r="M567" s="22">
        <v>0</v>
      </c>
      <c r="N567" s="22">
        <v>0</v>
      </c>
      <c r="O567" s="22">
        <v>1389.2</v>
      </c>
      <c r="P567" s="22">
        <v>500</v>
      </c>
      <c r="Q567" s="22">
        <v>889.2</v>
      </c>
      <c r="R567">
        <v>0</v>
      </c>
      <c r="T567" t="s">
        <v>2965</v>
      </c>
      <c r="U567" t="s">
        <v>3055</v>
      </c>
      <c r="V567" t="s">
        <v>3058</v>
      </c>
    </row>
    <row r="568" spans="1:22">
      <c r="A568">
        <v>567</v>
      </c>
      <c r="B568" t="s">
        <v>1302</v>
      </c>
      <c r="C568" t="s">
        <v>1303</v>
      </c>
      <c r="D568" t="s">
        <v>20</v>
      </c>
      <c r="E568" t="s">
        <v>8</v>
      </c>
      <c r="F568" s="22">
        <v>56.4</v>
      </c>
      <c r="G568" s="22">
        <v>0</v>
      </c>
      <c r="H568" s="22">
        <v>0</v>
      </c>
      <c r="I568" s="22">
        <v>56.4</v>
      </c>
      <c r="J568">
        <v>0</v>
      </c>
      <c r="K568">
        <v>0</v>
      </c>
      <c r="L568" s="22">
        <v>56.4</v>
      </c>
      <c r="M568" s="22">
        <v>0</v>
      </c>
      <c r="N568" s="22">
        <v>0</v>
      </c>
      <c r="O568" s="22">
        <v>56.4</v>
      </c>
      <c r="P568" s="22">
        <v>25</v>
      </c>
      <c r="Q568" s="22">
        <v>31.4</v>
      </c>
      <c r="R568">
        <v>0</v>
      </c>
      <c r="T568" t="s">
        <v>2965</v>
      </c>
      <c r="U568" t="s">
        <v>3060</v>
      </c>
      <c r="V568" t="s">
        <v>3058</v>
      </c>
    </row>
    <row r="569" spans="1:22">
      <c r="A569">
        <v>568</v>
      </c>
      <c r="B569" t="s">
        <v>1304</v>
      </c>
      <c r="C569" t="s">
        <v>1305</v>
      </c>
      <c r="D569" t="s">
        <v>7</v>
      </c>
      <c r="E569" t="s">
        <v>8</v>
      </c>
      <c r="F569" s="22">
        <v>512.1</v>
      </c>
      <c r="G569" s="22">
        <v>1228</v>
      </c>
      <c r="H569" s="22">
        <v>44.7</v>
      </c>
      <c r="I569" s="22">
        <v>1695.4</v>
      </c>
      <c r="J569">
        <v>0</v>
      </c>
      <c r="K569">
        <v>0</v>
      </c>
      <c r="L569" s="22">
        <v>1695.4</v>
      </c>
      <c r="M569" s="22">
        <v>0</v>
      </c>
      <c r="N569" s="22">
        <v>0</v>
      </c>
      <c r="O569" s="22">
        <v>1695.4</v>
      </c>
      <c r="P569" s="22">
        <v>800</v>
      </c>
      <c r="Q569" s="22">
        <v>895.40000000000009</v>
      </c>
      <c r="R569">
        <v>1000</v>
      </c>
      <c r="T569" t="s">
        <v>2965</v>
      </c>
      <c r="U569" t="s">
        <v>3055</v>
      </c>
      <c r="V569" t="s">
        <v>3056</v>
      </c>
    </row>
    <row r="570" spans="1:22">
      <c r="A570">
        <v>569</v>
      </c>
      <c r="B570" t="s">
        <v>1306</v>
      </c>
      <c r="C570" t="s">
        <v>1307</v>
      </c>
      <c r="D570" t="s">
        <v>7</v>
      </c>
      <c r="E570" t="s">
        <v>8</v>
      </c>
      <c r="F570" s="22">
        <v>0</v>
      </c>
      <c r="G570" s="22">
        <v>0</v>
      </c>
      <c r="H570" s="22">
        <v>0</v>
      </c>
      <c r="I570" s="22">
        <v>0</v>
      </c>
      <c r="J570">
        <v>0</v>
      </c>
      <c r="K570">
        <v>0</v>
      </c>
      <c r="L570" s="22">
        <v>0</v>
      </c>
      <c r="M570" s="22">
        <v>0</v>
      </c>
      <c r="N570" s="22">
        <v>0</v>
      </c>
      <c r="O570" s="22">
        <v>0</v>
      </c>
      <c r="P570" s="22">
        <v>0</v>
      </c>
      <c r="Q570" s="22">
        <v>0</v>
      </c>
      <c r="R570">
        <v>0</v>
      </c>
      <c r="T570" t="s">
        <v>2965</v>
      </c>
      <c r="U570" t="s">
        <v>3055</v>
      </c>
      <c r="V570" t="s">
        <v>3056</v>
      </c>
    </row>
    <row r="571" spans="1:22">
      <c r="A571">
        <v>570</v>
      </c>
      <c r="B571" t="s">
        <v>1308</v>
      </c>
      <c r="C571" t="s">
        <v>1309</v>
      </c>
      <c r="D571" t="s">
        <v>7</v>
      </c>
      <c r="E571" t="s">
        <v>8</v>
      </c>
      <c r="F571" s="22">
        <v>785.1</v>
      </c>
      <c r="G571" s="22">
        <v>0</v>
      </c>
      <c r="H571" s="22">
        <v>270.39999999999998</v>
      </c>
      <c r="I571" s="22">
        <v>514.70000000000005</v>
      </c>
      <c r="J571">
        <v>0</v>
      </c>
      <c r="K571">
        <v>0</v>
      </c>
      <c r="L571" s="22">
        <v>514.70000000000005</v>
      </c>
      <c r="M571" s="22">
        <v>0</v>
      </c>
      <c r="N571" s="22">
        <v>0</v>
      </c>
      <c r="O571" s="22">
        <v>514.70000000000005</v>
      </c>
      <c r="P571" s="22">
        <v>500</v>
      </c>
      <c r="Q571" s="22">
        <v>14.700000000000045</v>
      </c>
      <c r="R571">
        <v>0</v>
      </c>
      <c r="T571" t="s">
        <v>2965</v>
      </c>
      <c r="U571" t="s">
        <v>3055</v>
      </c>
      <c r="V571" t="s">
        <v>3058</v>
      </c>
    </row>
    <row r="572" spans="1:22">
      <c r="A572">
        <v>571</v>
      </c>
      <c r="B572" t="s">
        <v>1310</v>
      </c>
      <c r="C572" t="s">
        <v>1311</v>
      </c>
      <c r="D572" t="s">
        <v>7</v>
      </c>
      <c r="E572" t="s">
        <v>8</v>
      </c>
      <c r="F572" s="22">
        <v>178.3</v>
      </c>
      <c r="G572" s="22">
        <v>0</v>
      </c>
      <c r="H572" s="22">
        <v>49.4</v>
      </c>
      <c r="I572" s="22">
        <v>128.9</v>
      </c>
      <c r="J572">
        <v>0</v>
      </c>
      <c r="K572">
        <v>0</v>
      </c>
      <c r="L572" s="22">
        <v>128.9</v>
      </c>
      <c r="M572" s="22">
        <v>0</v>
      </c>
      <c r="N572" s="22">
        <v>0</v>
      </c>
      <c r="O572" s="22">
        <v>128.9</v>
      </c>
      <c r="P572" s="22">
        <v>120</v>
      </c>
      <c r="Q572" s="22">
        <v>8.9000000000000057</v>
      </c>
      <c r="R572">
        <v>0</v>
      </c>
      <c r="T572" t="s">
        <v>2965</v>
      </c>
      <c r="U572" t="s">
        <v>3055</v>
      </c>
      <c r="V572" t="s">
        <v>3056</v>
      </c>
    </row>
    <row r="573" spans="1:22">
      <c r="A573">
        <v>572</v>
      </c>
      <c r="B573" t="s">
        <v>1312</v>
      </c>
      <c r="C573" t="s">
        <v>1313</v>
      </c>
      <c r="D573" t="s">
        <v>7</v>
      </c>
      <c r="E573" t="s">
        <v>8</v>
      </c>
      <c r="F573" s="22">
        <v>128.1</v>
      </c>
      <c r="G573" s="22">
        <v>204.9</v>
      </c>
      <c r="H573" s="22">
        <v>121.5</v>
      </c>
      <c r="I573" s="22">
        <v>211.5</v>
      </c>
      <c r="J573">
        <v>0</v>
      </c>
      <c r="K573">
        <v>0</v>
      </c>
      <c r="L573" s="22">
        <v>211.5</v>
      </c>
      <c r="M573" s="22">
        <v>0</v>
      </c>
      <c r="N573" s="22">
        <v>0</v>
      </c>
      <c r="O573" s="22">
        <v>211.5</v>
      </c>
      <c r="P573" s="22">
        <v>250</v>
      </c>
      <c r="Q573" s="22">
        <v>-38.5</v>
      </c>
      <c r="R573">
        <v>205</v>
      </c>
      <c r="T573" t="s">
        <v>2965</v>
      </c>
      <c r="U573" t="s">
        <v>3055</v>
      </c>
      <c r="V573" t="s">
        <v>3056</v>
      </c>
    </row>
    <row r="574" spans="1:22">
      <c r="A574">
        <v>573</v>
      </c>
      <c r="B574" t="s">
        <v>1314</v>
      </c>
      <c r="C574" t="s">
        <v>1315</v>
      </c>
      <c r="D574" t="s">
        <v>7</v>
      </c>
      <c r="E574" t="s">
        <v>8</v>
      </c>
      <c r="F574" s="22">
        <v>175</v>
      </c>
      <c r="G574" s="22">
        <v>0</v>
      </c>
      <c r="H574" s="22">
        <v>51</v>
      </c>
      <c r="I574" s="22">
        <v>124</v>
      </c>
      <c r="J574">
        <v>0</v>
      </c>
      <c r="K574">
        <v>0</v>
      </c>
      <c r="L574" s="22">
        <v>124</v>
      </c>
      <c r="M574" s="22">
        <v>0</v>
      </c>
      <c r="N574" s="22">
        <v>0</v>
      </c>
      <c r="O574" s="22">
        <v>124</v>
      </c>
      <c r="P574" s="22">
        <v>150</v>
      </c>
      <c r="Q574" s="22">
        <v>-26</v>
      </c>
      <c r="R574">
        <v>0</v>
      </c>
      <c r="T574" t="s">
        <v>2965</v>
      </c>
      <c r="U574" t="s">
        <v>3055</v>
      </c>
      <c r="V574" t="s">
        <v>3056</v>
      </c>
    </row>
    <row r="575" spans="1:22">
      <c r="A575">
        <v>574</v>
      </c>
      <c r="B575" t="s">
        <v>1316</v>
      </c>
      <c r="C575" t="s">
        <v>1317</v>
      </c>
      <c r="D575" t="s">
        <v>7</v>
      </c>
      <c r="E575" t="s">
        <v>8</v>
      </c>
      <c r="F575" s="22">
        <v>261.5</v>
      </c>
      <c r="G575" s="22">
        <v>0</v>
      </c>
      <c r="H575" s="22">
        <v>0</v>
      </c>
      <c r="I575" s="22">
        <v>261.5</v>
      </c>
      <c r="J575">
        <v>0</v>
      </c>
      <c r="K575">
        <v>0</v>
      </c>
      <c r="L575" s="22">
        <v>261.5</v>
      </c>
      <c r="M575" s="22">
        <v>0</v>
      </c>
      <c r="N575" s="22">
        <v>0</v>
      </c>
      <c r="O575" s="22">
        <v>261.5</v>
      </c>
      <c r="P575" s="22">
        <v>150</v>
      </c>
      <c r="Q575" s="22">
        <v>111.5</v>
      </c>
      <c r="R575">
        <v>0</v>
      </c>
      <c r="T575" t="s">
        <v>2965</v>
      </c>
      <c r="U575" t="s">
        <v>3055</v>
      </c>
      <c r="V575" t="s">
        <v>3056</v>
      </c>
    </row>
    <row r="576" spans="1:22">
      <c r="A576">
        <v>575</v>
      </c>
      <c r="B576" t="s">
        <v>1318</v>
      </c>
      <c r="C576" t="s">
        <v>1319</v>
      </c>
      <c r="D576" t="s">
        <v>7</v>
      </c>
      <c r="E576" t="s">
        <v>8</v>
      </c>
      <c r="F576" s="22">
        <v>2513</v>
      </c>
      <c r="G576" s="22">
        <v>0</v>
      </c>
      <c r="H576" s="22">
        <v>200</v>
      </c>
      <c r="I576" s="22">
        <v>2313</v>
      </c>
      <c r="J576">
        <v>0</v>
      </c>
      <c r="K576">
        <v>0</v>
      </c>
      <c r="L576" s="22">
        <v>2313</v>
      </c>
      <c r="M576" s="22">
        <v>0</v>
      </c>
      <c r="N576" s="22">
        <v>0</v>
      </c>
      <c r="O576" s="22">
        <v>2313</v>
      </c>
      <c r="P576" s="22">
        <v>1500</v>
      </c>
      <c r="Q576" s="22">
        <v>813</v>
      </c>
      <c r="R576">
        <v>0</v>
      </c>
      <c r="T576" t="s">
        <v>2965</v>
      </c>
      <c r="U576" t="s">
        <v>3055</v>
      </c>
      <c r="V576" t="s">
        <v>3056</v>
      </c>
    </row>
    <row r="577" spans="1:22">
      <c r="A577">
        <v>576</v>
      </c>
      <c r="B577" t="s">
        <v>1320</v>
      </c>
      <c r="C577" t="s">
        <v>1321</v>
      </c>
      <c r="D577" t="s">
        <v>7</v>
      </c>
      <c r="E577" t="s">
        <v>8</v>
      </c>
      <c r="F577" s="22">
        <v>0</v>
      </c>
      <c r="G577" s="22">
        <v>0</v>
      </c>
      <c r="H577" s="22">
        <v>0</v>
      </c>
      <c r="I577" s="22">
        <v>0</v>
      </c>
      <c r="J577">
        <v>0</v>
      </c>
      <c r="K577">
        <v>0</v>
      </c>
      <c r="L577" s="22">
        <v>0</v>
      </c>
      <c r="M577" s="22">
        <v>0</v>
      </c>
      <c r="N577" s="22">
        <v>0</v>
      </c>
      <c r="O577" s="22">
        <v>0</v>
      </c>
      <c r="P577" s="22">
        <v>0</v>
      </c>
      <c r="Q577" s="22">
        <v>0</v>
      </c>
      <c r="R577">
        <v>0</v>
      </c>
      <c r="T577" t="s">
        <v>2965</v>
      </c>
      <c r="U577" t="s">
        <v>3055</v>
      </c>
      <c r="V577" t="s">
        <v>3056</v>
      </c>
    </row>
    <row r="578" spans="1:22">
      <c r="A578">
        <v>577</v>
      </c>
      <c r="B578" t="s">
        <v>1322</v>
      </c>
      <c r="C578" t="s">
        <v>1323</v>
      </c>
      <c r="D578" t="s">
        <v>7</v>
      </c>
      <c r="E578" t="s">
        <v>8</v>
      </c>
      <c r="F578" s="22">
        <v>736.4</v>
      </c>
      <c r="G578" s="22">
        <v>625</v>
      </c>
      <c r="H578" s="22">
        <v>850.9</v>
      </c>
      <c r="I578" s="22">
        <v>510.5</v>
      </c>
      <c r="J578">
        <v>0</v>
      </c>
      <c r="K578">
        <v>0</v>
      </c>
      <c r="L578" s="22">
        <v>510.5</v>
      </c>
      <c r="M578" s="22">
        <v>0</v>
      </c>
      <c r="N578" s="22">
        <v>0</v>
      </c>
      <c r="O578" s="22">
        <v>510.5</v>
      </c>
      <c r="P578" s="22">
        <v>1500</v>
      </c>
      <c r="Q578" s="22">
        <v>-989.5</v>
      </c>
      <c r="R578">
        <v>1000</v>
      </c>
      <c r="T578" t="s">
        <v>2965</v>
      </c>
      <c r="U578" t="s">
        <v>3055</v>
      </c>
      <c r="V578" t="s">
        <v>3056</v>
      </c>
    </row>
    <row r="579" spans="1:22">
      <c r="A579">
        <v>578</v>
      </c>
      <c r="B579" t="s">
        <v>1324</v>
      </c>
      <c r="C579" t="s">
        <v>1325</v>
      </c>
      <c r="D579" t="s">
        <v>7</v>
      </c>
      <c r="E579" t="s">
        <v>8</v>
      </c>
      <c r="F579" s="22">
        <v>0</v>
      </c>
      <c r="G579" s="22">
        <v>0</v>
      </c>
      <c r="H579" s="22">
        <v>0</v>
      </c>
      <c r="I579" s="22">
        <v>0</v>
      </c>
      <c r="J579">
        <v>0</v>
      </c>
      <c r="K579">
        <v>0</v>
      </c>
      <c r="L579" s="22">
        <v>0</v>
      </c>
      <c r="M579" s="22">
        <v>0</v>
      </c>
      <c r="N579" s="22">
        <v>0</v>
      </c>
      <c r="O579" s="22">
        <v>0</v>
      </c>
      <c r="P579" s="22">
        <v>0</v>
      </c>
      <c r="Q579" s="22">
        <v>0</v>
      </c>
      <c r="R579">
        <v>0</v>
      </c>
      <c r="T579" t="s">
        <v>2965</v>
      </c>
      <c r="U579" t="s">
        <v>3055</v>
      </c>
      <c r="V579" t="s">
        <v>3056</v>
      </c>
    </row>
    <row r="580" spans="1:22">
      <c r="A580">
        <v>579</v>
      </c>
      <c r="B580" t="s">
        <v>1328</v>
      </c>
      <c r="C580" t="s">
        <v>1329</v>
      </c>
      <c r="D580" t="s">
        <v>7</v>
      </c>
      <c r="E580" t="s">
        <v>8</v>
      </c>
      <c r="F580" s="22">
        <v>109</v>
      </c>
      <c r="G580" s="22">
        <v>0</v>
      </c>
      <c r="H580" s="22">
        <v>29</v>
      </c>
      <c r="I580" s="22">
        <v>80</v>
      </c>
      <c r="J580">
        <v>0</v>
      </c>
      <c r="K580">
        <v>0</v>
      </c>
      <c r="L580" s="22">
        <v>80</v>
      </c>
      <c r="M580" s="22">
        <v>0</v>
      </c>
      <c r="N580" s="22">
        <v>0</v>
      </c>
      <c r="O580" s="22">
        <v>80</v>
      </c>
      <c r="P580" s="22">
        <v>500</v>
      </c>
      <c r="Q580" s="22">
        <v>-420</v>
      </c>
      <c r="R580">
        <v>0</v>
      </c>
      <c r="T580" t="s">
        <v>2965</v>
      </c>
      <c r="U580" t="s">
        <v>3055</v>
      </c>
      <c r="V580" t="s">
        <v>3056</v>
      </c>
    </row>
    <row r="581" spans="1:22">
      <c r="A581">
        <v>580</v>
      </c>
      <c r="B581" t="s">
        <v>1332</v>
      </c>
      <c r="C581" t="s">
        <v>1333</v>
      </c>
      <c r="D581" t="s">
        <v>7</v>
      </c>
      <c r="E581" t="s">
        <v>8</v>
      </c>
      <c r="F581" s="22">
        <v>168.5</v>
      </c>
      <c r="G581" s="22">
        <v>0</v>
      </c>
      <c r="H581" s="22">
        <v>59.5</v>
      </c>
      <c r="I581" s="22">
        <v>109</v>
      </c>
      <c r="J581">
        <v>0</v>
      </c>
      <c r="K581">
        <v>0</v>
      </c>
      <c r="L581" s="22">
        <v>109</v>
      </c>
      <c r="M581" s="22">
        <v>0</v>
      </c>
      <c r="N581" s="22">
        <v>0</v>
      </c>
      <c r="O581" s="22">
        <v>109</v>
      </c>
      <c r="P581" s="22">
        <v>0</v>
      </c>
      <c r="Q581" s="22">
        <v>109</v>
      </c>
      <c r="R581">
        <v>0</v>
      </c>
      <c r="T581" t="s">
        <v>2965</v>
      </c>
      <c r="U581" t="s">
        <v>3055</v>
      </c>
      <c r="V581" t="s">
        <v>3056</v>
      </c>
    </row>
    <row r="582" spans="1:22">
      <c r="A582">
        <v>581</v>
      </c>
      <c r="B582" t="s">
        <v>1334</v>
      </c>
      <c r="C582" t="s">
        <v>1335</v>
      </c>
      <c r="D582" t="s">
        <v>7</v>
      </c>
      <c r="E582" t="s">
        <v>8</v>
      </c>
      <c r="F582" s="22">
        <v>368.8</v>
      </c>
      <c r="G582" s="22">
        <v>0</v>
      </c>
      <c r="H582" s="22">
        <v>0</v>
      </c>
      <c r="I582" s="22">
        <v>368.8</v>
      </c>
      <c r="J582">
        <v>0</v>
      </c>
      <c r="K582">
        <v>0</v>
      </c>
      <c r="L582" s="22">
        <v>368.8</v>
      </c>
      <c r="M582" s="22">
        <v>0</v>
      </c>
      <c r="N582" s="22">
        <v>0</v>
      </c>
      <c r="O582" s="22">
        <v>368.8</v>
      </c>
      <c r="P582" s="22">
        <v>0</v>
      </c>
      <c r="Q582" s="22">
        <v>368.8</v>
      </c>
      <c r="R582">
        <v>0</v>
      </c>
      <c r="T582" t="s">
        <v>2965</v>
      </c>
      <c r="U582" t="s">
        <v>3055</v>
      </c>
      <c r="V582" t="s">
        <v>3056</v>
      </c>
    </row>
    <row r="583" spans="1:22">
      <c r="A583">
        <v>582</v>
      </c>
      <c r="B583" t="s">
        <v>1338</v>
      </c>
      <c r="C583" t="s">
        <v>1339</v>
      </c>
      <c r="D583" t="s">
        <v>7</v>
      </c>
      <c r="E583" t="s">
        <v>8</v>
      </c>
      <c r="F583" s="22">
        <v>318</v>
      </c>
      <c r="G583" s="22">
        <v>0</v>
      </c>
      <c r="H583" s="22">
        <v>161.6</v>
      </c>
      <c r="I583" s="22">
        <v>156.4</v>
      </c>
      <c r="J583">
        <v>0</v>
      </c>
      <c r="K583">
        <v>0</v>
      </c>
      <c r="L583" s="22">
        <v>156.4</v>
      </c>
      <c r="M583" s="22">
        <v>0</v>
      </c>
      <c r="N583" s="22">
        <v>0</v>
      </c>
      <c r="O583" s="22">
        <v>156.4</v>
      </c>
      <c r="P583" s="22">
        <v>250</v>
      </c>
      <c r="Q583" s="22">
        <v>-93.6</v>
      </c>
      <c r="R583">
        <v>500</v>
      </c>
      <c r="T583" t="s">
        <v>2965</v>
      </c>
      <c r="U583" t="s">
        <v>3055</v>
      </c>
      <c r="V583" t="s">
        <v>3056</v>
      </c>
    </row>
    <row r="584" spans="1:22">
      <c r="A584">
        <v>583</v>
      </c>
      <c r="B584" t="s">
        <v>1342</v>
      </c>
      <c r="C584" t="s">
        <v>1343</v>
      </c>
      <c r="D584" t="s">
        <v>7</v>
      </c>
      <c r="E584" t="s">
        <v>8</v>
      </c>
      <c r="F584" s="22">
        <v>1111.9000000000001</v>
      </c>
      <c r="G584" s="22">
        <v>257</v>
      </c>
      <c r="H584" s="22">
        <v>153</v>
      </c>
      <c r="I584" s="22">
        <v>1215.9000000000001</v>
      </c>
      <c r="J584">
        <v>0</v>
      </c>
      <c r="K584">
        <v>0</v>
      </c>
      <c r="L584" s="22">
        <v>1215.9000000000001</v>
      </c>
      <c r="M584" s="22">
        <v>0</v>
      </c>
      <c r="N584" s="22">
        <v>0</v>
      </c>
      <c r="O584" s="22">
        <v>1215.9000000000001</v>
      </c>
      <c r="P584" s="22">
        <v>500</v>
      </c>
      <c r="Q584" s="22">
        <v>715.90000000000009</v>
      </c>
      <c r="R584">
        <v>250</v>
      </c>
      <c r="T584" t="s">
        <v>2965</v>
      </c>
      <c r="U584" t="s">
        <v>3055</v>
      </c>
      <c r="V584" t="s">
        <v>3056</v>
      </c>
    </row>
    <row r="585" spans="1:22">
      <c r="A585">
        <v>584</v>
      </c>
      <c r="B585" t="s">
        <v>1344</v>
      </c>
      <c r="C585" t="s">
        <v>1345</v>
      </c>
      <c r="D585" t="s">
        <v>7</v>
      </c>
      <c r="E585" t="s">
        <v>8</v>
      </c>
      <c r="F585" s="22">
        <v>440.35</v>
      </c>
      <c r="G585" s="22">
        <v>0</v>
      </c>
      <c r="H585" s="22">
        <v>302</v>
      </c>
      <c r="I585" s="22">
        <v>138.35</v>
      </c>
      <c r="J585">
        <v>0</v>
      </c>
      <c r="K585">
        <v>0</v>
      </c>
      <c r="L585" s="22">
        <v>138.35</v>
      </c>
      <c r="M585" s="22">
        <v>0</v>
      </c>
      <c r="N585" s="22">
        <v>0</v>
      </c>
      <c r="O585" s="22">
        <v>138.35</v>
      </c>
      <c r="P585" s="22">
        <v>200</v>
      </c>
      <c r="Q585" s="22">
        <v>-61.650000000000006</v>
      </c>
      <c r="R585">
        <v>0</v>
      </c>
      <c r="T585" t="s">
        <v>2965</v>
      </c>
      <c r="U585" t="s">
        <v>3055</v>
      </c>
      <c r="V585" t="s">
        <v>3056</v>
      </c>
    </row>
    <row r="586" spans="1:22">
      <c r="A586">
        <v>585</v>
      </c>
      <c r="B586" t="s">
        <v>1346</v>
      </c>
      <c r="C586" t="s">
        <v>1347</v>
      </c>
      <c r="D586" t="s">
        <v>7</v>
      </c>
      <c r="E586" t="s">
        <v>8</v>
      </c>
      <c r="F586" s="22">
        <v>1003.5</v>
      </c>
      <c r="G586" s="22">
        <v>0</v>
      </c>
      <c r="H586" s="22">
        <v>309.7</v>
      </c>
      <c r="I586" s="22">
        <v>693.8</v>
      </c>
      <c r="J586">
        <v>0</v>
      </c>
      <c r="K586">
        <v>0</v>
      </c>
      <c r="L586" s="22">
        <v>693.8</v>
      </c>
      <c r="M586" s="22">
        <v>0</v>
      </c>
      <c r="N586" s="22">
        <v>0</v>
      </c>
      <c r="O586" s="22">
        <v>693.8</v>
      </c>
      <c r="P586" s="22">
        <v>350</v>
      </c>
      <c r="Q586" s="22">
        <v>343.79999999999995</v>
      </c>
      <c r="R586">
        <v>0</v>
      </c>
      <c r="T586" t="s">
        <v>2965</v>
      </c>
      <c r="U586" t="s">
        <v>3055</v>
      </c>
      <c r="V586" t="s">
        <v>3056</v>
      </c>
    </row>
    <row r="587" spans="1:22">
      <c r="A587">
        <v>586</v>
      </c>
      <c r="B587" t="s">
        <v>1348</v>
      </c>
      <c r="C587" t="s">
        <v>1349</v>
      </c>
      <c r="D587" t="s">
        <v>7</v>
      </c>
      <c r="E587" t="s">
        <v>8</v>
      </c>
      <c r="F587" s="22">
        <v>0</v>
      </c>
      <c r="G587" s="22">
        <v>0</v>
      </c>
      <c r="H587" s="22">
        <v>0</v>
      </c>
      <c r="I587" s="22">
        <v>0</v>
      </c>
      <c r="J587">
        <v>0</v>
      </c>
      <c r="K587">
        <v>0</v>
      </c>
      <c r="L587" s="22">
        <v>0</v>
      </c>
      <c r="M587" s="22">
        <v>0</v>
      </c>
      <c r="N587" s="22">
        <v>0</v>
      </c>
      <c r="O587" s="22">
        <v>0</v>
      </c>
      <c r="P587" s="22">
        <v>0</v>
      </c>
      <c r="Q587" s="22">
        <v>0</v>
      </c>
      <c r="R587">
        <v>0</v>
      </c>
      <c r="T587" t="s">
        <v>2965</v>
      </c>
      <c r="U587" t="s">
        <v>3055</v>
      </c>
      <c r="V587" t="s">
        <v>3056</v>
      </c>
    </row>
    <row r="588" spans="1:22">
      <c r="A588">
        <v>587</v>
      </c>
      <c r="B588" t="s">
        <v>1350</v>
      </c>
      <c r="C588" t="s">
        <v>1351</v>
      </c>
      <c r="D588" t="s">
        <v>20</v>
      </c>
      <c r="E588" t="s">
        <v>8</v>
      </c>
      <c r="F588" s="22">
        <v>133.28</v>
      </c>
      <c r="G588" s="22">
        <v>0</v>
      </c>
      <c r="H588" s="22">
        <v>0</v>
      </c>
      <c r="I588" s="22">
        <v>133.28</v>
      </c>
      <c r="J588">
        <v>0</v>
      </c>
      <c r="K588">
        <v>0</v>
      </c>
      <c r="L588" s="22">
        <v>133.28</v>
      </c>
      <c r="M588" s="22">
        <v>0</v>
      </c>
      <c r="N588" s="22">
        <v>0</v>
      </c>
      <c r="O588" s="22">
        <v>133.28</v>
      </c>
      <c r="P588" s="22">
        <v>0</v>
      </c>
      <c r="Q588" s="22">
        <v>133.28</v>
      </c>
      <c r="R588">
        <v>0</v>
      </c>
      <c r="T588" t="s">
        <v>2965</v>
      </c>
      <c r="U588" t="s">
        <v>3055</v>
      </c>
      <c r="V588" t="s">
        <v>3058</v>
      </c>
    </row>
    <row r="589" spans="1:22">
      <c r="A589">
        <v>588</v>
      </c>
      <c r="B589" t="s">
        <v>1356</v>
      </c>
      <c r="C589" t="s">
        <v>1357</v>
      </c>
      <c r="D589" t="s">
        <v>7</v>
      </c>
      <c r="E589" t="s">
        <v>8</v>
      </c>
      <c r="F589" s="22">
        <v>136</v>
      </c>
      <c r="G589" s="22">
        <v>0</v>
      </c>
      <c r="H589" s="22">
        <v>0</v>
      </c>
      <c r="I589" s="22">
        <v>136</v>
      </c>
      <c r="J589">
        <v>0</v>
      </c>
      <c r="K589">
        <v>0</v>
      </c>
      <c r="L589" s="22">
        <v>136</v>
      </c>
      <c r="M589" s="22">
        <v>0</v>
      </c>
      <c r="N589" s="22">
        <v>0</v>
      </c>
      <c r="O589" s="22">
        <v>136</v>
      </c>
      <c r="P589" s="22">
        <v>100</v>
      </c>
      <c r="Q589" s="22">
        <v>36</v>
      </c>
      <c r="R589">
        <v>0</v>
      </c>
      <c r="T589" t="s">
        <v>2965</v>
      </c>
      <c r="U589" t="s">
        <v>3055</v>
      </c>
      <c r="V589" t="s">
        <v>3056</v>
      </c>
    </row>
    <row r="590" spans="1:22">
      <c r="A590">
        <v>589</v>
      </c>
      <c r="B590" t="s">
        <v>1358</v>
      </c>
      <c r="C590" t="s">
        <v>1359</v>
      </c>
      <c r="D590" t="s">
        <v>7</v>
      </c>
      <c r="E590" t="s">
        <v>8</v>
      </c>
      <c r="F590" s="22">
        <v>1821</v>
      </c>
      <c r="G590" s="22">
        <v>0</v>
      </c>
      <c r="H590" s="22">
        <v>0</v>
      </c>
      <c r="I590" s="22">
        <v>1821</v>
      </c>
      <c r="J590">
        <v>0</v>
      </c>
      <c r="K590">
        <v>0</v>
      </c>
      <c r="L590" s="22">
        <v>1821</v>
      </c>
      <c r="M590" s="22">
        <v>0</v>
      </c>
      <c r="N590" s="22">
        <v>0</v>
      </c>
      <c r="O590" s="22">
        <v>1821</v>
      </c>
      <c r="P590" s="22">
        <v>0</v>
      </c>
      <c r="Q590" s="22">
        <v>1821</v>
      </c>
      <c r="R590">
        <v>0</v>
      </c>
      <c r="T590" t="s">
        <v>2965</v>
      </c>
      <c r="U590" t="s">
        <v>3055</v>
      </c>
      <c r="V590" t="s">
        <v>3056</v>
      </c>
    </row>
    <row r="591" spans="1:22">
      <c r="A591">
        <v>590</v>
      </c>
      <c r="B591" t="s">
        <v>1360</v>
      </c>
      <c r="C591" t="s">
        <v>1361</v>
      </c>
      <c r="D591" t="s">
        <v>7</v>
      </c>
      <c r="E591" t="s">
        <v>8</v>
      </c>
      <c r="F591" s="22">
        <v>816</v>
      </c>
      <c r="G591" s="22">
        <v>0</v>
      </c>
      <c r="H591" s="22">
        <v>0</v>
      </c>
      <c r="I591" s="22">
        <v>816</v>
      </c>
      <c r="J591">
        <v>0</v>
      </c>
      <c r="K591">
        <v>0</v>
      </c>
      <c r="L591" s="22">
        <v>816</v>
      </c>
      <c r="M591" s="22">
        <v>0</v>
      </c>
      <c r="N591" s="22">
        <v>0</v>
      </c>
      <c r="O591" s="22">
        <v>816</v>
      </c>
      <c r="P591" s="22">
        <v>0</v>
      </c>
      <c r="Q591" s="22">
        <v>816</v>
      </c>
      <c r="R591">
        <v>0</v>
      </c>
      <c r="T591" t="s">
        <v>2965</v>
      </c>
      <c r="U591" t="s">
        <v>3055</v>
      </c>
      <c r="V591" t="s">
        <v>3056</v>
      </c>
    </row>
    <row r="592" spans="1:22">
      <c r="A592">
        <v>591</v>
      </c>
      <c r="B592" t="s">
        <v>1362</v>
      </c>
      <c r="C592" t="s">
        <v>1363</v>
      </c>
      <c r="D592" t="s">
        <v>7</v>
      </c>
      <c r="E592" t="s">
        <v>8</v>
      </c>
      <c r="F592" s="22">
        <v>648</v>
      </c>
      <c r="G592" s="22">
        <v>0</v>
      </c>
      <c r="H592" s="22">
        <v>0</v>
      </c>
      <c r="I592" s="22">
        <v>648</v>
      </c>
      <c r="J592">
        <v>0</v>
      </c>
      <c r="K592">
        <v>0</v>
      </c>
      <c r="L592" s="22">
        <v>648</v>
      </c>
      <c r="M592" s="22">
        <v>0</v>
      </c>
      <c r="N592" s="22">
        <v>0</v>
      </c>
      <c r="O592" s="22">
        <v>648</v>
      </c>
      <c r="P592" s="22">
        <v>500</v>
      </c>
      <c r="Q592" s="22">
        <v>148</v>
      </c>
      <c r="R592">
        <v>0</v>
      </c>
      <c r="T592" t="s">
        <v>2965</v>
      </c>
      <c r="U592" t="s">
        <v>3055</v>
      </c>
      <c r="V592" t="s">
        <v>3056</v>
      </c>
    </row>
    <row r="593" spans="1:22">
      <c r="A593">
        <v>592</v>
      </c>
      <c r="B593" t="s">
        <v>1364</v>
      </c>
      <c r="C593" t="s">
        <v>1365</v>
      </c>
      <c r="D593" t="s">
        <v>7</v>
      </c>
      <c r="E593" t="s">
        <v>8</v>
      </c>
      <c r="F593" s="22">
        <v>102</v>
      </c>
      <c r="G593" s="22">
        <v>0</v>
      </c>
      <c r="H593" s="22">
        <v>0</v>
      </c>
      <c r="I593" s="22">
        <v>102</v>
      </c>
      <c r="J593">
        <v>0</v>
      </c>
      <c r="K593">
        <v>0</v>
      </c>
      <c r="L593" s="22">
        <v>102</v>
      </c>
      <c r="M593" s="22">
        <v>0</v>
      </c>
      <c r="N593" s="22">
        <v>0</v>
      </c>
      <c r="O593" s="22">
        <v>102</v>
      </c>
      <c r="P593" s="22">
        <v>0</v>
      </c>
      <c r="Q593" s="22">
        <v>102</v>
      </c>
      <c r="R593">
        <v>0</v>
      </c>
      <c r="T593" t="s">
        <v>2965</v>
      </c>
      <c r="U593" t="s">
        <v>3055</v>
      </c>
      <c r="V593" t="s">
        <v>3056</v>
      </c>
    </row>
    <row r="594" spans="1:22">
      <c r="A594">
        <v>593</v>
      </c>
      <c r="B594" t="s">
        <v>1366</v>
      </c>
      <c r="C594" t="s">
        <v>1367</v>
      </c>
      <c r="D594" t="s">
        <v>7</v>
      </c>
      <c r="E594" t="s">
        <v>8</v>
      </c>
      <c r="F594" s="22">
        <v>578.79999999999995</v>
      </c>
      <c r="G594" s="22">
        <v>0</v>
      </c>
      <c r="H594" s="22">
        <v>0</v>
      </c>
      <c r="I594" s="22">
        <v>578.79999999999995</v>
      </c>
      <c r="J594">
        <v>0</v>
      </c>
      <c r="K594">
        <v>0</v>
      </c>
      <c r="L594" s="22">
        <v>578.79999999999995</v>
      </c>
      <c r="M594" s="22">
        <v>0</v>
      </c>
      <c r="N594" s="22">
        <v>0</v>
      </c>
      <c r="O594" s="22">
        <v>578.79999999999995</v>
      </c>
      <c r="P594" s="22">
        <v>0</v>
      </c>
      <c r="Q594" s="22">
        <v>578.79999999999995</v>
      </c>
      <c r="R594">
        <v>0</v>
      </c>
      <c r="T594" t="s">
        <v>2965</v>
      </c>
      <c r="U594" t="s">
        <v>3055</v>
      </c>
      <c r="V594" t="s">
        <v>3056</v>
      </c>
    </row>
    <row r="595" spans="1:22">
      <c r="A595">
        <v>594</v>
      </c>
      <c r="B595" t="s">
        <v>1368</v>
      </c>
      <c r="C595" t="s">
        <v>1369</v>
      </c>
      <c r="D595" t="s">
        <v>7</v>
      </c>
      <c r="E595" t="s">
        <v>8</v>
      </c>
      <c r="F595" s="22">
        <v>445.1</v>
      </c>
      <c r="G595" s="22">
        <v>0</v>
      </c>
      <c r="H595" s="22">
        <v>0</v>
      </c>
      <c r="I595" s="22">
        <v>445.1</v>
      </c>
      <c r="J595">
        <v>0</v>
      </c>
      <c r="K595">
        <v>0</v>
      </c>
      <c r="L595" s="22">
        <v>445.1</v>
      </c>
      <c r="M595" s="22">
        <v>0</v>
      </c>
      <c r="N595" s="22">
        <v>0</v>
      </c>
      <c r="O595" s="22">
        <v>445.1</v>
      </c>
      <c r="P595" s="22">
        <v>750</v>
      </c>
      <c r="Q595" s="22">
        <v>-304.89999999999998</v>
      </c>
      <c r="R595">
        <v>0</v>
      </c>
      <c r="T595" t="s">
        <v>2965</v>
      </c>
      <c r="U595" t="s">
        <v>3055</v>
      </c>
      <c r="V595" t="s">
        <v>3056</v>
      </c>
    </row>
    <row r="596" spans="1:22">
      <c r="A596">
        <v>595</v>
      </c>
      <c r="B596" t="s">
        <v>1370</v>
      </c>
      <c r="C596" t="s">
        <v>1371</v>
      </c>
      <c r="D596" t="s">
        <v>7</v>
      </c>
      <c r="E596" t="s">
        <v>8</v>
      </c>
      <c r="F596" s="22">
        <v>1539</v>
      </c>
      <c r="G596" s="22">
        <v>0</v>
      </c>
      <c r="H596" s="22">
        <v>0</v>
      </c>
      <c r="I596" s="22">
        <v>1539</v>
      </c>
      <c r="J596">
        <v>0</v>
      </c>
      <c r="K596">
        <v>0</v>
      </c>
      <c r="L596" s="22">
        <v>1539</v>
      </c>
      <c r="M596" s="22">
        <v>0</v>
      </c>
      <c r="N596" s="22">
        <v>0</v>
      </c>
      <c r="O596" s="22">
        <v>1539</v>
      </c>
      <c r="P596" s="22">
        <v>250</v>
      </c>
      <c r="Q596" s="22">
        <v>1289</v>
      </c>
      <c r="R596">
        <v>0</v>
      </c>
      <c r="T596" t="s">
        <v>2965</v>
      </c>
      <c r="U596" t="s">
        <v>3055</v>
      </c>
      <c r="V596" t="s">
        <v>3056</v>
      </c>
    </row>
    <row r="597" spans="1:22">
      <c r="A597">
        <v>596</v>
      </c>
      <c r="B597" t="s">
        <v>1374</v>
      </c>
      <c r="C597" t="s">
        <v>1375</v>
      </c>
      <c r="D597" t="s">
        <v>7</v>
      </c>
      <c r="E597" t="s">
        <v>8</v>
      </c>
      <c r="F597" s="22">
        <v>0</v>
      </c>
      <c r="G597" s="22">
        <v>0</v>
      </c>
      <c r="H597" s="22">
        <v>0</v>
      </c>
      <c r="I597" s="22">
        <v>0</v>
      </c>
      <c r="J597">
        <v>0</v>
      </c>
      <c r="K597">
        <v>0</v>
      </c>
      <c r="L597" s="22">
        <v>0</v>
      </c>
      <c r="M597" s="22">
        <v>0</v>
      </c>
      <c r="N597" s="22">
        <v>0</v>
      </c>
      <c r="O597" s="22">
        <v>0</v>
      </c>
      <c r="P597" s="22">
        <v>0</v>
      </c>
      <c r="Q597" s="22">
        <v>0</v>
      </c>
      <c r="R597">
        <v>0</v>
      </c>
      <c r="T597" t="s">
        <v>2965</v>
      </c>
      <c r="U597" t="s">
        <v>3055</v>
      </c>
      <c r="V597" t="s">
        <v>3056</v>
      </c>
    </row>
    <row r="598" spans="1:22">
      <c r="A598">
        <v>597</v>
      </c>
      <c r="B598" t="s">
        <v>1376</v>
      </c>
      <c r="C598" t="s">
        <v>1377</v>
      </c>
      <c r="D598" t="s">
        <v>7</v>
      </c>
      <c r="E598" t="s">
        <v>8</v>
      </c>
      <c r="F598" s="22">
        <v>2645</v>
      </c>
      <c r="G598" s="22">
        <v>0</v>
      </c>
      <c r="H598" s="22">
        <v>730</v>
      </c>
      <c r="I598" s="22">
        <v>1915</v>
      </c>
      <c r="J598">
        <v>180</v>
      </c>
      <c r="K598">
        <v>0</v>
      </c>
      <c r="L598" s="22">
        <v>1735</v>
      </c>
      <c r="M598" s="22">
        <v>0</v>
      </c>
      <c r="N598" s="22">
        <v>0</v>
      </c>
      <c r="O598" s="22">
        <v>1735</v>
      </c>
      <c r="P598" s="22">
        <v>650</v>
      </c>
      <c r="Q598" s="22">
        <v>1085</v>
      </c>
      <c r="R598">
        <v>0</v>
      </c>
      <c r="T598" t="s">
        <v>2965</v>
      </c>
      <c r="U598" t="s">
        <v>3055</v>
      </c>
      <c r="V598" t="s">
        <v>3056</v>
      </c>
    </row>
    <row r="599" spans="1:22">
      <c r="A599">
        <v>598</v>
      </c>
      <c r="B599" t="s">
        <v>1382</v>
      </c>
      <c r="C599" t="s">
        <v>1383</v>
      </c>
      <c r="D599" t="s">
        <v>7</v>
      </c>
      <c r="E599" t="s">
        <v>8</v>
      </c>
      <c r="F599" s="22">
        <v>857</v>
      </c>
      <c r="G599" s="22">
        <v>0</v>
      </c>
      <c r="H599" s="22">
        <v>40</v>
      </c>
      <c r="I599" s="22">
        <v>817</v>
      </c>
      <c r="J599">
        <v>0</v>
      </c>
      <c r="K599">
        <v>0</v>
      </c>
      <c r="L599" s="22">
        <v>817</v>
      </c>
      <c r="M599" s="22">
        <v>0</v>
      </c>
      <c r="N599" s="22">
        <v>0</v>
      </c>
      <c r="O599" s="22">
        <v>817</v>
      </c>
      <c r="P599" s="22">
        <v>200</v>
      </c>
      <c r="Q599" s="22">
        <v>617</v>
      </c>
      <c r="R599">
        <v>0</v>
      </c>
      <c r="T599" t="s">
        <v>2965</v>
      </c>
      <c r="U599" t="s">
        <v>3055</v>
      </c>
      <c r="V599" t="s">
        <v>3056</v>
      </c>
    </row>
    <row r="600" spans="1:22">
      <c r="A600">
        <v>599</v>
      </c>
      <c r="B600" t="s">
        <v>1384</v>
      </c>
      <c r="C600" t="s">
        <v>1385</v>
      </c>
      <c r="D600" t="s">
        <v>20</v>
      </c>
      <c r="E600" t="s">
        <v>8</v>
      </c>
      <c r="F600" s="22">
        <v>1375.4</v>
      </c>
      <c r="G600" s="22">
        <v>0</v>
      </c>
      <c r="H600" s="22">
        <v>463.1</v>
      </c>
      <c r="I600" s="22">
        <v>912.3</v>
      </c>
      <c r="J600">
        <v>0</v>
      </c>
      <c r="K600">
        <v>0</v>
      </c>
      <c r="L600" s="22">
        <v>912.3</v>
      </c>
      <c r="M600" s="22">
        <v>495.2</v>
      </c>
      <c r="N600" s="22">
        <v>0</v>
      </c>
      <c r="O600" s="22">
        <v>1407.5</v>
      </c>
      <c r="P600" s="22">
        <v>500</v>
      </c>
      <c r="Q600" s="22">
        <v>907.5</v>
      </c>
      <c r="R600">
        <v>1500</v>
      </c>
      <c r="T600" t="s">
        <v>2965</v>
      </c>
      <c r="U600" t="s">
        <v>3055</v>
      </c>
      <c r="V600" t="s">
        <v>3056</v>
      </c>
    </row>
    <row r="601" spans="1:22">
      <c r="A601">
        <v>600</v>
      </c>
      <c r="B601" t="s">
        <v>1386</v>
      </c>
      <c r="C601" t="s">
        <v>1387</v>
      </c>
      <c r="D601" t="s">
        <v>7</v>
      </c>
      <c r="E601" t="s">
        <v>8</v>
      </c>
      <c r="F601" s="22">
        <v>0</v>
      </c>
      <c r="G601" s="22">
        <v>0</v>
      </c>
      <c r="H601" s="22">
        <v>0</v>
      </c>
      <c r="I601" s="22">
        <v>0</v>
      </c>
      <c r="J601">
        <v>0</v>
      </c>
      <c r="K601">
        <v>0</v>
      </c>
      <c r="L601" s="22">
        <v>0</v>
      </c>
      <c r="M601" s="22">
        <v>0</v>
      </c>
      <c r="N601" s="22">
        <v>0</v>
      </c>
      <c r="O601" s="22">
        <v>0</v>
      </c>
      <c r="P601" s="22">
        <v>0</v>
      </c>
      <c r="Q601" s="22">
        <v>0</v>
      </c>
      <c r="R601">
        <v>0</v>
      </c>
      <c r="T601" t="s">
        <v>2965</v>
      </c>
      <c r="U601" t="s">
        <v>3055</v>
      </c>
      <c r="V601" t="s">
        <v>3056</v>
      </c>
    </row>
    <row r="602" spans="1:22">
      <c r="A602">
        <v>601</v>
      </c>
      <c r="B602" t="s">
        <v>1388</v>
      </c>
      <c r="C602" t="s">
        <v>1389</v>
      </c>
      <c r="D602" t="s">
        <v>7</v>
      </c>
      <c r="E602" t="s">
        <v>8</v>
      </c>
      <c r="F602" s="22">
        <v>0</v>
      </c>
      <c r="G602" s="22">
        <v>0</v>
      </c>
      <c r="H602" s="22">
        <v>0</v>
      </c>
      <c r="I602" s="22">
        <v>0</v>
      </c>
      <c r="J602">
        <v>0</v>
      </c>
      <c r="K602">
        <v>0</v>
      </c>
      <c r="L602" s="22">
        <v>0</v>
      </c>
      <c r="M602" s="22">
        <v>0</v>
      </c>
      <c r="N602" s="22">
        <v>0</v>
      </c>
      <c r="O602" s="22">
        <v>0</v>
      </c>
      <c r="P602" s="22">
        <v>0</v>
      </c>
      <c r="Q602" s="22">
        <v>0</v>
      </c>
      <c r="R602">
        <v>0</v>
      </c>
      <c r="T602" t="s">
        <v>2965</v>
      </c>
      <c r="U602" t="s">
        <v>3055</v>
      </c>
      <c r="V602" t="s">
        <v>3056</v>
      </c>
    </row>
    <row r="603" spans="1:22">
      <c r="A603">
        <v>602</v>
      </c>
      <c r="B603" t="s">
        <v>1390</v>
      </c>
      <c r="C603" t="s">
        <v>1391</v>
      </c>
      <c r="D603" t="s">
        <v>7</v>
      </c>
      <c r="E603" t="s">
        <v>8</v>
      </c>
      <c r="F603" s="22">
        <v>1014.5</v>
      </c>
      <c r="G603" s="22">
        <v>0</v>
      </c>
      <c r="H603" s="22">
        <v>0</v>
      </c>
      <c r="I603" s="22">
        <v>1014.5</v>
      </c>
      <c r="J603">
        <v>0</v>
      </c>
      <c r="K603">
        <v>0</v>
      </c>
      <c r="L603" s="22">
        <v>1014.5</v>
      </c>
      <c r="M603" s="22">
        <v>0</v>
      </c>
      <c r="N603" s="22">
        <v>0</v>
      </c>
      <c r="O603" s="22">
        <v>1014.5</v>
      </c>
      <c r="P603" s="22">
        <v>0</v>
      </c>
      <c r="Q603" s="22">
        <v>1014.5</v>
      </c>
      <c r="R603">
        <v>0</v>
      </c>
      <c r="T603" t="s">
        <v>2965</v>
      </c>
      <c r="U603" t="s">
        <v>3055</v>
      </c>
      <c r="V603" t="s">
        <v>3056</v>
      </c>
    </row>
    <row r="604" spans="1:22">
      <c r="A604">
        <v>603</v>
      </c>
      <c r="B604" t="s">
        <v>1392</v>
      </c>
      <c r="C604" t="s">
        <v>1393</v>
      </c>
      <c r="D604" t="s">
        <v>7</v>
      </c>
      <c r="E604" t="s">
        <v>8</v>
      </c>
      <c r="F604" s="22">
        <v>0</v>
      </c>
      <c r="G604" s="22">
        <v>0</v>
      </c>
      <c r="H604" s="22">
        <v>0</v>
      </c>
      <c r="I604" s="22">
        <v>0</v>
      </c>
      <c r="J604">
        <v>0</v>
      </c>
      <c r="K604">
        <v>0</v>
      </c>
      <c r="L604" s="22">
        <v>0</v>
      </c>
      <c r="M604" s="22">
        <v>0</v>
      </c>
      <c r="N604" s="22">
        <v>0</v>
      </c>
      <c r="O604" s="22">
        <v>0</v>
      </c>
      <c r="P604" s="22">
        <v>0</v>
      </c>
      <c r="Q604" s="22">
        <v>0</v>
      </c>
      <c r="R604">
        <v>0</v>
      </c>
      <c r="T604" t="s">
        <v>2965</v>
      </c>
      <c r="U604" t="s">
        <v>3055</v>
      </c>
      <c r="V604" t="s">
        <v>3056</v>
      </c>
    </row>
    <row r="605" spans="1:22">
      <c r="A605">
        <v>604</v>
      </c>
      <c r="B605" t="s">
        <v>1396</v>
      </c>
      <c r="C605" t="s">
        <v>1397</v>
      </c>
      <c r="D605" t="s">
        <v>7</v>
      </c>
      <c r="E605" t="s">
        <v>8</v>
      </c>
      <c r="F605" s="22">
        <v>0</v>
      </c>
      <c r="G605" s="22">
        <v>0</v>
      </c>
      <c r="H605" s="22">
        <v>0</v>
      </c>
      <c r="I605" s="22">
        <v>0</v>
      </c>
      <c r="J605">
        <v>0</v>
      </c>
      <c r="K605">
        <v>0</v>
      </c>
      <c r="L605" s="22">
        <v>0</v>
      </c>
      <c r="M605" s="22">
        <v>0</v>
      </c>
      <c r="N605" s="22">
        <v>0</v>
      </c>
      <c r="O605" s="22">
        <v>0</v>
      </c>
      <c r="P605" s="22">
        <v>0</v>
      </c>
      <c r="Q605" s="22">
        <v>0</v>
      </c>
      <c r="R605">
        <v>0</v>
      </c>
      <c r="T605" t="s">
        <v>2965</v>
      </c>
      <c r="U605" t="s">
        <v>3055</v>
      </c>
      <c r="V605" t="s">
        <v>3056</v>
      </c>
    </row>
    <row r="606" spans="1:22">
      <c r="A606">
        <v>605</v>
      </c>
      <c r="B606" t="s">
        <v>1398</v>
      </c>
      <c r="C606" t="s">
        <v>1399</v>
      </c>
      <c r="D606" t="s">
        <v>7</v>
      </c>
      <c r="E606" t="s">
        <v>8</v>
      </c>
      <c r="F606" s="22">
        <v>0</v>
      </c>
      <c r="G606" s="22">
        <v>0</v>
      </c>
      <c r="H606" s="22">
        <v>0</v>
      </c>
      <c r="I606" s="22">
        <v>0</v>
      </c>
      <c r="J606">
        <v>0</v>
      </c>
      <c r="K606">
        <v>0</v>
      </c>
      <c r="L606" s="22">
        <v>0</v>
      </c>
      <c r="M606" s="22">
        <v>0</v>
      </c>
      <c r="N606" s="22">
        <v>0</v>
      </c>
      <c r="O606" s="22">
        <v>0</v>
      </c>
      <c r="P606" s="22">
        <v>0</v>
      </c>
      <c r="Q606" s="22">
        <v>0</v>
      </c>
      <c r="R606">
        <v>0</v>
      </c>
      <c r="T606" t="s">
        <v>2965</v>
      </c>
      <c r="U606" t="s">
        <v>3055</v>
      </c>
      <c r="V606" t="s">
        <v>3056</v>
      </c>
    </row>
    <row r="607" spans="1:22">
      <c r="A607">
        <v>606</v>
      </c>
      <c r="B607" t="s">
        <v>1400</v>
      </c>
      <c r="C607" t="s">
        <v>1401</v>
      </c>
      <c r="D607" t="s">
        <v>7</v>
      </c>
      <c r="E607" t="s">
        <v>8</v>
      </c>
      <c r="F607" s="22">
        <v>2732</v>
      </c>
      <c r="G607" s="22">
        <v>0</v>
      </c>
      <c r="H607" s="22">
        <v>275.5</v>
      </c>
      <c r="I607" s="22">
        <v>2456.5</v>
      </c>
      <c r="J607">
        <v>0</v>
      </c>
      <c r="K607">
        <v>0</v>
      </c>
      <c r="L607" s="22">
        <v>2456.5</v>
      </c>
      <c r="M607" s="22">
        <v>0</v>
      </c>
      <c r="N607" s="22">
        <v>0</v>
      </c>
      <c r="O607" s="22">
        <v>2456.5</v>
      </c>
      <c r="P607" s="22">
        <v>500</v>
      </c>
      <c r="Q607" s="22">
        <v>1956.5</v>
      </c>
      <c r="R607">
        <v>0</v>
      </c>
      <c r="T607" t="s">
        <v>2965</v>
      </c>
      <c r="U607" t="s">
        <v>3055</v>
      </c>
      <c r="V607" t="s">
        <v>3056</v>
      </c>
    </row>
    <row r="608" spans="1:22">
      <c r="A608">
        <v>607</v>
      </c>
      <c r="B608" t="s">
        <v>1402</v>
      </c>
      <c r="C608" t="s">
        <v>1403</v>
      </c>
      <c r="D608" t="s">
        <v>7</v>
      </c>
      <c r="E608" t="s">
        <v>8</v>
      </c>
      <c r="F608" s="22">
        <v>2184</v>
      </c>
      <c r="G608" s="22">
        <v>0</v>
      </c>
      <c r="H608" s="22">
        <v>0</v>
      </c>
      <c r="I608" s="22">
        <v>2184</v>
      </c>
      <c r="J608">
        <v>0</v>
      </c>
      <c r="K608">
        <v>0</v>
      </c>
      <c r="L608" s="22">
        <v>2184</v>
      </c>
      <c r="M608" s="22">
        <v>0</v>
      </c>
      <c r="N608" s="22">
        <v>0</v>
      </c>
      <c r="O608" s="22">
        <v>2184</v>
      </c>
      <c r="P608" s="22">
        <v>500</v>
      </c>
      <c r="Q608" s="22">
        <v>1684</v>
      </c>
      <c r="R608">
        <v>0</v>
      </c>
      <c r="T608" t="s">
        <v>2965</v>
      </c>
      <c r="U608" t="s">
        <v>3055</v>
      </c>
      <c r="V608" t="s">
        <v>3056</v>
      </c>
    </row>
    <row r="609" spans="1:22">
      <c r="A609">
        <v>608</v>
      </c>
      <c r="B609" t="s">
        <v>1404</v>
      </c>
      <c r="C609" t="s">
        <v>1405</v>
      </c>
      <c r="D609" t="s">
        <v>7</v>
      </c>
      <c r="E609" t="s">
        <v>8</v>
      </c>
      <c r="F609" s="22">
        <v>1448.7</v>
      </c>
      <c r="G609" s="22">
        <v>0</v>
      </c>
      <c r="H609" s="22">
        <v>156.4</v>
      </c>
      <c r="I609" s="22">
        <v>1292.3</v>
      </c>
      <c r="J609">
        <v>0</v>
      </c>
      <c r="K609">
        <v>0</v>
      </c>
      <c r="L609" s="22">
        <v>1292.3</v>
      </c>
      <c r="M609" s="22">
        <v>0</v>
      </c>
      <c r="N609" s="22">
        <v>0</v>
      </c>
      <c r="O609" s="22">
        <v>1292.3</v>
      </c>
      <c r="P609" s="22">
        <v>2000</v>
      </c>
      <c r="Q609" s="22">
        <v>-707.7</v>
      </c>
      <c r="R609">
        <v>1000</v>
      </c>
      <c r="T609" t="s">
        <v>2965</v>
      </c>
      <c r="U609" t="s">
        <v>3055</v>
      </c>
      <c r="V609" t="s">
        <v>3056</v>
      </c>
    </row>
    <row r="610" spans="1:22">
      <c r="A610">
        <v>609</v>
      </c>
      <c r="B610" t="s">
        <v>1406</v>
      </c>
      <c r="C610" t="s">
        <v>1407</v>
      </c>
      <c r="D610" t="s">
        <v>7</v>
      </c>
      <c r="E610" t="s">
        <v>8</v>
      </c>
      <c r="F610" s="22">
        <v>0</v>
      </c>
      <c r="G610" s="22">
        <v>0</v>
      </c>
      <c r="H610" s="22">
        <v>0</v>
      </c>
      <c r="I610" s="22">
        <v>0</v>
      </c>
      <c r="J610">
        <v>0</v>
      </c>
      <c r="K610">
        <v>0</v>
      </c>
      <c r="L610" s="22">
        <v>0</v>
      </c>
      <c r="M610" s="22">
        <v>0</v>
      </c>
      <c r="N610" s="22">
        <v>0</v>
      </c>
      <c r="O610" s="22">
        <v>0</v>
      </c>
      <c r="P610" s="22">
        <v>0</v>
      </c>
      <c r="Q610" s="22">
        <v>0</v>
      </c>
      <c r="R610">
        <v>0</v>
      </c>
      <c r="T610" t="s">
        <v>2965</v>
      </c>
      <c r="U610" t="s">
        <v>3055</v>
      </c>
      <c r="V610" t="s">
        <v>3056</v>
      </c>
    </row>
    <row r="611" spans="1:22">
      <c r="A611">
        <v>610</v>
      </c>
      <c r="B611" t="s">
        <v>1408</v>
      </c>
      <c r="C611" t="s">
        <v>1409</v>
      </c>
      <c r="D611" t="s">
        <v>7</v>
      </c>
      <c r="E611" t="s">
        <v>8</v>
      </c>
      <c r="F611" s="22">
        <v>17852</v>
      </c>
      <c r="G611" s="22">
        <v>0</v>
      </c>
      <c r="H611" s="22">
        <v>3343</v>
      </c>
      <c r="I611" s="22">
        <v>14509</v>
      </c>
      <c r="J611">
        <v>0</v>
      </c>
      <c r="K611">
        <v>0</v>
      </c>
      <c r="L611" s="22">
        <v>14509</v>
      </c>
      <c r="M611" s="22">
        <v>0</v>
      </c>
      <c r="N611" s="22">
        <v>0</v>
      </c>
      <c r="O611" s="22">
        <v>14509</v>
      </c>
      <c r="P611" s="22">
        <v>5000</v>
      </c>
      <c r="Q611" s="22">
        <v>9509</v>
      </c>
      <c r="R611">
        <v>0</v>
      </c>
      <c r="T611" t="s">
        <v>2965</v>
      </c>
      <c r="U611" t="s">
        <v>3055</v>
      </c>
      <c r="V611" t="s">
        <v>3056</v>
      </c>
    </row>
    <row r="612" spans="1:22">
      <c r="A612">
        <v>611</v>
      </c>
      <c r="B612" t="s">
        <v>1410</v>
      </c>
      <c r="C612" t="s">
        <v>1411</v>
      </c>
      <c r="D612" t="s">
        <v>7</v>
      </c>
      <c r="E612" t="s">
        <v>8</v>
      </c>
      <c r="F612" s="22">
        <v>3604</v>
      </c>
      <c r="G612" s="22">
        <v>0</v>
      </c>
      <c r="H612" s="22">
        <v>305</v>
      </c>
      <c r="I612" s="22">
        <v>3299</v>
      </c>
      <c r="J612">
        <v>0</v>
      </c>
      <c r="K612">
        <v>0</v>
      </c>
      <c r="L612" s="22">
        <v>3299</v>
      </c>
      <c r="M612" s="22">
        <v>0</v>
      </c>
      <c r="N612" s="22">
        <v>0</v>
      </c>
      <c r="O612" s="22">
        <v>3299</v>
      </c>
      <c r="P612" s="22">
        <v>0</v>
      </c>
      <c r="Q612" s="22">
        <v>3299</v>
      </c>
      <c r="R612">
        <v>0</v>
      </c>
      <c r="T612" t="s">
        <v>2965</v>
      </c>
      <c r="U612" t="s">
        <v>3055</v>
      </c>
      <c r="V612" t="s">
        <v>3056</v>
      </c>
    </row>
    <row r="613" spans="1:22">
      <c r="A613">
        <v>612</v>
      </c>
      <c r="B613" t="s">
        <v>1412</v>
      </c>
      <c r="C613" t="s">
        <v>1413</v>
      </c>
      <c r="D613" t="s">
        <v>7</v>
      </c>
      <c r="E613" t="s">
        <v>8</v>
      </c>
      <c r="F613" s="22">
        <v>1771</v>
      </c>
      <c r="G613" s="22">
        <v>0</v>
      </c>
      <c r="H613" s="22">
        <v>0</v>
      </c>
      <c r="I613" s="22">
        <v>1771</v>
      </c>
      <c r="J613">
        <v>0</v>
      </c>
      <c r="K613">
        <v>0</v>
      </c>
      <c r="L613" s="22">
        <v>1771</v>
      </c>
      <c r="M613" s="22">
        <v>0</v>
      </c>
      <c r="N613" s="22">
        <v>0</v>
      </c>
      <c r="O613" s="22">
        <v>1771</v>
      </c>
      <c r="P613" s="22">
        <v>0</v>
      </c>
      <c r="Q613" s="22">
        <v>1771</v>
      </c>
      <c r="R613">
        <v>0</v>
      </c>
      <c r="T613" t="s">
        <v>2965</v>
      </c>
      <c r="U613" t="s">
        <v>3055</v>
      </c>
      <c r="V613" t="s">
        <v>3056</v>
      </c>
    </row>
    <row r="614" spans="1:22">
      <c r="A614">
        <v>613</v>
      </c>
      <c r="B614" t="s">
        <v>1414</v>
      </c>
      <c r="C614" t="s">
        <v>1415</v>
      </c>
      <c r="D614" t="s">
        <v>7</v>
      </c>
      <c r="E614" t="s">
        <v>8</v>
      </c>
      <c r="F614" s="22">
        <v>1991.2</v>
      </c>
      <c r="G614" s="22">
        <v>0</v>
      </c>
      <c r="H614" s="22">
        <v>321</v>
      </c>
      <c r="I614" s="22">
        <v>1670.2</v>
      </c>
      <c r="J614">
        <v>0</v>
      </c>
      <c r="K614">
        <v>0</v>
      </c>
      <c r="L614" s="22">
        <v>1670.2</v>
      </c>
      <c r="M614" s="22">
        <v>0</v>
      </c>
      <c r="N614" s="22">
        <v>0</v>
      </c>
      <c r="O614" s="22">
        <v>1670.2</v>
      </c>
      <c r="P614" s="22">
        <v>0</v>
      </c>
      <c r="Q614" s="22">
        <v>1670.2</v>
      </c>
      <c r="R614">
        <v>0</v>
      </c>
      <c r="T614" t="s">
        <v>2965</v>
      </c>
      <c r="U614" t="s">
        <v>3055</v>
      </c>
      <c r="V614" t="s">
        <v>3056</v>
      </c>
    </row>
    <row r="615" spans="1:22">
      <c r="A615">
        <v>614</v>
      </c>
      <c r="B615" t="s">
        <v>1416</v>
      </c>
      <c r="C615" t="s">
        <v>1417</v>
      </c>
      <c r="D615" t="s">
        <v>7</v>
      </c>
      <c r="E615" t="s">
        <v>8</v>
      </c>
      <c r="F615" s="22">
        <v>540</v>
      </c>
      <c r="G615" s="22">
        <v>0</v>
      </c>
      <c r="H615" s="22">
        <v>0</v>
      </c>
      <c r="I615" s="22">
        <v>540</v>
      </c>
      <c r="J615">
        <v>0</v>
      </c>
      <c r="K615">
        <v>0</v>
      </c>
      <c r="L615" s="22">
        <v>540</v>
      </c>
      <c r="M615" s="22">
        <v>0</v>
      </c>
      <c r="N615" s="22">
        <v>0</v>
      </c>
      <c r="O615" s="22">
        <v>540</v>
      </c>
      <c r="P615" s="22">
        <v>0</v>
      </c>
      <c r="Q615" s="22">
        <v>540</v>
      </c>
      <c r="R615">
        <v>0</v>
      </c>
      <c r="T615" t="s">
        <v>2965</v>
      </c>
      <c r="U615" t="s">
        <v>3055</v>
      </c>
      <c r="V615" t="s">
        <v>3056</v>
      </c>
    </row>
    <row r="616" spans="1:22">
      <c r="A616">
        <v>615</v>
      </c>
      <c r="B616" t="s">
        <v>1418</v>
      </c>
      <c r="C616" t="s">
        <v>1419</v>
      </c>
      <c r="D616" t="s">
        <v>7</v>
      </c>
      <c r="E616" t="s">
        <v>8</v>
      </c>
      <c r="F616" s="22">
        <v>9685</v>
      </c>
      <c r="G616" s="22">
        <v>0</v>
      </c>
      <c r="H616" s="22">
        <v>0</v>
      </c>
      <c r="I616" s="22">
        <v>9685</v>
      </c>
      <c r="J616">
        <v>0</v>
      </c>
      <c r="K616">
        <v>0</v>
      </c>
      <c r="L616" s="22">
        <v>9685</v>
      </c>
      <c r="M616" s="22">
        <v>0</v>
      </c>
      <c r="N616" s="22">
        <v>0</v>
      </c>
      <c r="O616" s="22">
        <v>9685</v>
      </c>
      <c r="P616" s="22">
        <v>0</v>
      </c>
      <c r="Q616" s="22">
        <v>9685</v>
      </c>
      <c r="R616">
        <v>0</v>
      </c>
      <c r="T616" t="s">
        <v>2965</v>
      </c>
      <c r="U616" t="s">
        <v>3055</v>
      </c>
      <c r="V616" t="s">
        <v>3056</v>
      </c>
    </row>
    <row r="617" spans="1:22">
      <c r="A617">
        <v>616</v>
      </c>
      <c r="B617" t="s">
        <v>1420</v>
      </c>
      <c r="C617" t="s">
        <v>1421</v>
      </c>
      <c r="D617" t="s">
        <v>7</v>
      </c>
      <c r="E617" t="s">
        <v>8</v>
      </c>
      <c r="F617" s="22">
        <v>5774.6</v>
      </c>
      <c r="G617" s="22">
        <v>0</v>
      </c>
      <c r="H617" s="22">
        <v>290.5</v>
      </c>
      <c r="I617" s="22">
        <v>5484.1</v>
      </c>
      <c r="J617">
        <v>0</v>
      </c>
      <c r="K617">
        <v>0</v>
      </c>
      <c r="L617" s="22">
        <v>5484.1</v>
      </c>
      <c r="M617" s="22">
        <v>0</v>
      </c>
      <c r="N617" s="22">
        <v>0</v>
      </c>
      <c r="O617" s="22">
        <v>5484.1</v>
      </c>
      <c r="P617" s="22">
        <v>1000</v>
      </c>
      <c r="Q617" s="22">
        <v>4484.1000000000004</v>
      </c>
      <c r="R617">
        <v>0</v>
      </c>
      <c r="T617" t="s">
        <v>2965</v>
      </c>
      <c r="U617" t="s">
        <v>3055</v>
      </c>
      <c r="V617" t="s">
        <v>3056</v>
      </c>
    </row>
    <row r="618" spans="1:22">
      <c r="A618">
        <v>617</v>
      </c>
      <c r="B618" t="s">
        <v>1422</v>
      </c>
      <c r="C618" t="s">
        <v>1423</v>
      </c>
      <c r="D618" t="s">
        <v>7</v>
      </c>
      <c r="E618" t="s">
        <v>8</v>
      </c>
      <c r="F618" s="22">
        <v>1564</v>
      </c>
      <c r="G618" s="22">
        <v>16767</v>
      </c>
      <c r="H618" s="22">
        <v>3334</v>
      </c>
      <c r="I618" s="22">
        <v>14997</v>
      </c>
      <c r="J618">
        <v>0</v>
      </c>
      <c r="K618">
        <v>0</v>
      </c>
      <c r="L618" s="22">
        <v>14997</v>
      </c>
      <c r="M618" s="22">
        <v>0</v>
      </c>
      <c r="N618" s="22">
        <v>0</v>
      </c>
      <c r="O618" s="22">
        <v>14997</v>
      </c>
      <c r="P618" s="22">
        <v>2500</v>
      </c>
      <c r="Q618" s="22">
        <v>12497</v>
      </c>
      <c r="R618">
        <v>8000</v>
      </c>
      <c r="T618" t="s">
        <v>2965</v>
      </c>
      <c r="U618" t="s">
        <v>3055</v>
      </c>
      <c r="V618" t="s">
        <v>3056</v>
      </c>
    </row>
    <row r="619" spans="1:22">
      <c r="A619">
        <v>618</v>
      </c>
      <c r="B619" t="s">
        <v>1424</v>
      </c>
      <c r="C619" t="s">
        <v>1425</v>
      </c>
      <c r="D619" t="s">
        <v>7</v>
      </c>
      <c r="E619" t="s">
        <v>8</v>
      </c>
      <c r="F619" s="22">
        <v>2007.07</v>
      </c>
      <c r="G619" s="22">
        <v>0</v>
      </c>
      <c r="H619" s="22">
        <v>0</v>
      </c>
      <c r="I619" s="22">
        <v>2007.07</v>
      </c>
      <c r="J619">
        <v>479</v>
      </c>
      <c r="K619">
        <v>0</v>
      </c>
      <c r="L619" s="22">
        <v>1528.07</v>
      </c>
      <c r="M619" s="22">
        <v>0</v>
      </c>
      <c r="N619" s="22">
        <v>0</v>
      </c>
      <c r="O619" s="22">
        <v>1528.07</v>
      </c>
      <c r="P619" s="22">
        <v>1000</v>
      </c>
      <c r="Q619" s="22">
        <v>528.06999999999994</v>
      </c>
      <c r="R619">
        <v>0</v>
      </c>
      <c r="T619" t="s">
        <v>2965</v>
      </c>
      <c r="U619" t="s">
        <v>3055</v>
      </c>
      <c r="V619" t="s">
        <v>3056</v>
      </c>
    </row>
    <row r="620" spans="1:22">
      <c r="A620">
        <v>619</v>
      </c>
      <c r="B620" t="s">
        <v>1426</v>
      </c>
      <c r="C620" t="s">
        <v>1427</v>
      </c>
      <c r="D620" t="s">
        <v>7</v>
      </c>
      <c r="E620" t="s">
        <v>8</v>
      </c>
      <c r="F620" s="22">
        <v>359.5</v>
      </c>
      <c r="G620" s="22">
        <v>0</v>
      </c>
      <c r="H620" s="22">
        <v>0</v>
      </c>
      <c r="I620" s="22">
        <v>359.5</v>
      </c>
      <c r="J620">
        <v>0</v>
      </c>
      <c r="K620">
        <v>0</v>
      </c>
      <c r="L620" s="22">
        <v>359.5</v>
      </c>
      <c r="M620" s="22">
        <v>0</v>
      </c>
      <c r="N620" s="22">
        <v>0</v>
      </c>
      <c r="O620" s="22">
        <v>359.5</v>
      </c>
      <c r="P620" s="22">
        <v>250</v>
      </c>
      <c r="Q620" s="22">
        <v>109.5</v>
      </c>
      <c r="R620">
        <v>0</v>
      </c>
      <c r="T620" t="s">
        <v>2965</v>
      </c>
      <c r="U620" t="s">
        <v>3055</v>
      </c>
      <c r="V620" t="s">
        <v>3056</v>
      </c>
    </row>
    <row r="621" spans="1:22">
      <c r="A621">
        <v>620</v>
      </c>
      <c r="B621" t="s">
        <v>1428</v>
      </c>
      <c r="C621" t="s">
        <v>1429</v>
      </c>
      <c r="D621" t="s">
        <v>7</v>
      </c>
      <c r="E621" t="s">
        <v>8</v>
      </c>
      <c r="F621" s="22">
        <v>1310.5999999999999</v>
      </c>
      <c r="G621" s="22">
        <v>0</v>
      </c>
      <c r="H621" s="22">
        <v>0</v>
      </c>
      <c r="I621" s="22">
        <v>1310.5999999999999</v>
      </c>
      <c r="J621">
        <v>0</v>
      </c>
      <c r="K621">
        <v>0</v>
      </c>
      <c r="L621" s="22">
        <v>1310.5999999999999</v>
      </c>
      <c r="M621" s="22">
        <v>0</v>
      </c>
      <c r="N621" s="22">
        <v>0</v>
      </c>
      <c r="O621" s="22">
        <v>1310.5999999999999</v>
      </c>
      <c r="P621" s="22">
        <v>250</v>
      </c>
      <c r="Q621" s="22">
        <v>1060.5999999999999</v>
      </c>
      <c r="R621">
        <v>0</v>
      </c>
      <c r="T621" t="s">
        <v>2965</v>
      </c>
      <c r="U621" t="s">
        <v>3055</v>
      </c>
      <c r="V621" t="s">
        <v>3056</v>
      </c>
    </row>
    <row r="622" spans="1:22">
      <c r="A622">
        <v>621</v>
      </c>
      <c r="B622" t="s">
        <v>1430</v>
      </c>
      <c r="C622" t="s">
        <v>1431</v>
      </c>
      <c r="D622" t="s">
        <v>7</v>
      </c>
      <c r="E622" t="s">
        <v>8</v>
      </c>
      <c r="F622" s="22">
        <v>1055</v>
      </c>
      <c r="G622" s="22">
        <v>0</v>
      </c>
      <c r="H622" s="22">
        <v>0</v>
      </c>
      <c r="I622" s="22">
        <v>1055</v>
      </c>
      <c r="J622">
        <v>0</v>
      </c>
      <c r="K622">
        <v>0</v>
      </c>
      <c r="L622" s="22">
        <v>1055</v>
      </c>
      <c r="M622" s="22">
        <v>0</v>
      </c>
      <c r="N622" s="22">
        <v>0</v>
      </c>
      <c r="O622" s="22">
        <v>1055</v>
      </c>
      <c r="P622" s="22">
        <v>250</v>
      </c>
      <c r="Q622" s="22">
        <v>805</v>
      </c>
      <c r="R622">
        <v>0</v>
      </c>
      <c r="T622" t="s">
        <v>2965</v>
      </c>
      <c r="U622" t="s">
        <v>3055</v>
      </c>
      <c r="V622" t="s">
        <v>3056</v>
      </c>
    </row>
    <row r="623" spans="1:22">
      <c r="A623">
        <v>622</v>
      </c>
      <c r="B623" t="s">
        <v>1432</v>
      </c>
      <c r="C623" t="s">
        <v>1433</v>
      </c>
      <c r="D623" t="s">
        <v>7</v>
      </c>
      <c r="E623" t="s">
        <v>8</v>
      </c>
      <c r="F623" s="22">
        <v>470.58</v>
      </c>
      <c r="G623" s="22">
        <v>0</v>
      </c>
      <c r="H623" s="22">
        <v>0</v>
      </c>
      <c r="I623" s="22">
        <v>470.58</v>
      </c>
      <c r="J623">
        <v>0</v>
      </c>
      <c r="K623">
        <v>0</v>
      </c>
      <c r="L623" s="22">
        <v>470.58</v>
      </c>
      <c r="M623" s="22">
        <v>0</v>
      </c>
      <c r="N623" s="22">
        <v>0</v>
      </c>
      <c r="O623" s="22">
        <v>470.58</v>
      </c>
      <c r="P623" s="22">
        <v>250</v>
      </c>
      <c r="Q623" s="22">
        <v>220.57999999999998</v>
      </c>
      <c r="R623">
        <v>0</v>
      </c>
      <c r="T623" t="s">
        <v>2965</v>
      </c>
      <c r="U623" t="s">
        <v>3055</v>
      </c>
      <c r="V623" t="s">
        <v>3056</v>
      </c>
    </row>
    <row r="624" spans="1:22">
      <c r="A624">
        <v>623</v>
      </c>
      <c r="B624" t="s">
        <v>1434</v>
      </c>
      <c r="C624" t="s">
        <v>1435</v>
      </c>
      <c r="D624" t="s">
        <v>7</v>
      </c>
      <c r="E624" t="s">
        <v>8</v>
      </c>
      <c r="F624" s="22">
        <v>161.30000000000001</v>
      </c>
      <c r="G624" s="22">
        <v>0</v>
      </c>
      <c r="H624" s="22">
        <v>0</v>
      </c>
      <c r="I624" s="22">
        <v>161.30000000000001</v>
      </c>
      <c r="J624">
        <v>0</v>
      </c>
      <c r="K624">
        <v>0</v>
      </c>
      <c r="L624" s="22">
        <v>161.30000000000001</v>
      </c>
      <c r="M624" s="22">
        <v>0</v>
      </c>
      <c r="N624" s="22">
        <v>0</v>
      </c>
      <c r="O624" s="22">
        <v>161.30000000000001</v>
      </c>
      <c r="P624" s="22">
        <v>250</v>
      </c>
      <c r="Q624" s="22">
        <v>-88.699999999999989</v>
      </c>
      <c r="R624">
        <v>0</v>
      </c>
      <c r="T624" t="s">
        <v>2965</v>
      </c>
      <c r="U624" t="s">
        <v>3055</v>
      </c>
      <c r="V624" t="s">
        <v>3056</v>
      </c>
    </row>
    <row r="625" spans="1:22">
      <c r="A625">
        <v>624</v>
      </c>
      <c r="B625" t="s">
        <v>1436</v>
      </c>
      <c r="C625" t="s">
        <v>1437</v>
      </c>
      <c r="D625" t="s">
        <v>7</v>
      </c>
      <c r="E625" t="s">
        <v>8</v>
      </c>
      <c r="F625" s="22">
        <v>2494.1999999999998</v>
      </c>
      <c r="G625" s="22">
        <v>0</v>
      </c>
      <c r="H625" s="22">
        <v>0</v>
      </c>
      <c r="I625" s="22">
        <v>2494.1999999999998</v>
      </c>
      <c r="J625">
        <v>0</v>
      </c>
      <c r="K625">
        <v>0</v>
      </c>
      <c r="L625" s="22">
        <v>2494.1999999999998</v>
      </c>
      <c r="M625" s="22">
        <v>0</v>
      </c>
      <c r="N625" s="22">
        <v>0</v>
      </c>
      <c r="O625" s="22">
        <v>2494.1999999999998</v>
      </c>
      <c r="P625" s="22">
        <v>250</v>
      </c>
      <c r="Q625" s="22">
        <v>2244.1999999999998</v>
      </c>
      <c r="R625">
        <v>0</v>
      </c>
      <c r="T625" t="s">
        <v>2965</v>
      </c>
      <c r="U625" t="s">
        <v>3055</v>
      </c>
      <c r="V625" t="s">
        <v>3056</v>
      </c>
    </row>
    <row r="626" spans="1:22">
      <c r="A626">
        <v>625</v>
      </c>
      <c r="B626" t="s">
        <v>1438</v>
      </c>
      <c r="C626" t="s">
        <v>1439</v>
      </c>
      <c r="D626" t="s">
        <v>20</v>
      </c>
      <c r="E626" t="s">
        <v>8</v>
      </c>
      <c r="F626" s="22">
        <v>195.6</v>
      </c>
      <c r="G626" s="22">
        <v>0</v>
      </c>
      <c r="H626" s="22">
        <v>0</v>
      </c>
      <c r="I626" s="22">
        <v>195.6</v>
      </c>
      <c r="J626">
        <v>0</v>
      </c>
      <c r="K626">
        <v>0</v>
      </c>
      <c r="L626" s="22">
        <v>195.6</v>
      </c>
      <c r="M626" s="22">
        <v>0</v>
      </c>
      <c r="N626" s="22">
        <v>0</v>
      </c>
      <c r="O626" s="22">
        <v>195.6</v>
      </c>
      <c r="P626" s="22">
        <v>200</v>
      </c>
      <c r="Q626" s="22">
        <v>-4.4000000000000057</v>
      </c>
      <c r="R626">
        <v>0</v>
      </c>
      <c r="T626" t="s">
        <v>2965</v>
      </c>
      <c r="U626" t="s">
        <v>3055</v>
      </c>
      <c r="V626" t="s">
        <v>3056</v>
      </c>
    </row>
    <row r="627" spans="1:22">
      <c r="A627">
        <v>626</v>
      </c>
      <c r="B627" t="s">
        <v>1442</v>
      </c>
      <c r="C627" t="s">
        <v>1443</v>
      </c>
      <c r="D627" t="s">
        <v>7</v>
      </c>
      <c r="E627" t="s">
        <v>8</v>
      </c>
      <c r="F627" s="22">
        <v>0</v>
      </c>
      <c r="G627" s="22">
        <v>0</v>
      </c>
      <c r="H627" s="22">
        <v>0</v>
      </c>
      <c r="I627" s="22">
        <v>0</v>
      </c>
      <c r="J627">
        <v>0</v>
      </c>
      <c r="K627">
        <v>0</v>
      </c>
      <c r="L627" s="22">
        <v>0</v>
      </c>
      <c r="M627" s="22">
        <v>0</v>
      </c>
      <c r="N627" s="22">
        <v>0</v>
      </c>
      <c r="O627" s="22">
        <v>0</v>
      </c>
      <c r="P627" s="22">
        <v>0</v>
      </c>
      <c r="Q627" s="22">
        <v>0</v>
      </c>
      <c r="R627">
        <v>0</v>
      </c>
      <c r="T627" t="s">
        <v>2965</v>
      </c>
      <c r="U627" t="s">
        <v>3055</v>
      </c>
      <c r="V627" t="s">
        <v>3056</v>
      </c>
    </row>
    <row r="628" spans="1:22">
      <c r="A628">
        <v>627</v>
      </c>
      <c r="B628" t="s">
        <v>1444</v>
      </c>
      <c r="C628" t="s">
        <v>1445</v>
      </c>
      <c r="D628" t="s">
        <v>7</v>
      </c>
      <c r="E628" t="s">
        <v>8</v>
      </c>
      <c r="F628" s="22">
        <v>1416</v>
      </c>
      <c r="G628" s="22">
        <v>0</v>
      </c>
      <c r="H628" s="22">
        <v>45.25</v>
      </c>
      <c r="I628" s="22">
        <v>1370.75</v>
      </c>
      <c r="J628">
        <v>0</v>
      </c>
      <c r="K628">
        <v>0</v>
      </c>
      <c r="L628" s="22">
        <v>1370.75</v>
      </c>
      <c r="M628" s="22">
        <v>0</v>
      </c>
      <c r="N628" s="22">
        <v>0</v>
      </c>
      <c r="O628" s="22">
        <v>1370.75</v>
      </c>
      <c r="P628" s="22">
        <v>400</v>
      </c>
      <c r="Q628" s="22">
        <v>970.75</v>
      </c>
      <c r="R628">
        <v>0</v>
      </c>
      <c r="T628" t="s">
        <v>2965</v>
      </c>
      <c r="U628" t="s">
        <v>3055</v>
      </c>
      <c r="V628" t="s">
        <v>3056</v>
      </c>
    </row>
    <row r="629" spans="1:22">
      <c r="A629">
        <v>628</v>
      </c>
      <c r="B629" t="s">
        <v>1446</v>
      </c>
      <c r="C629" t="s">
        <v>1447</v>
      </c>
      <c r="D629" t="s">
        <v>7</v>
      </c>
      <c r="E629" t="s">
        <v>8</v>
      </c>
      <c r="F629" s="22">
        <v>671</v>
      </c>
      <c r="G629" s="22">
        <v>0</v>
      </c>
      <c r="H629" s="22">
        <v>55</v>
      </c>
      <c r="I629" s="22">
        <v>616</v>
      </c>
      <c r="J629">
        <v>0</v>
      </c>
      <c r="K629">
        <v>0</v>
      </c>
      <c r="L629" s="22">
        <v>616</v>
      </c>
      <c r="M629" s="22">
        <v>0</v>
      </c>
      <c r="N629" s="22">
        <v>0</v>
      </c>
      <c r="O629" s="22">
        <v>616</v>
      </c>
      <c r="P629" s="22">
        <v>200</v>
      </c>
      <c r="Q629" s="22">
        <v>416</v>
      </c>
      <c r="R629">
        <v>0</v>
      </c>
      <c r="T629" t="s">
        <v>2965</v>
      </c>
      <c r="U629" t="s">
        <v>3055</v>
      </c>
      <c r="V629" t="s">
        <v>3056</v>
      </c>
    </row>
    <row r="630" spans="1:22">
      <c r="A630">
        <v>629</v>
      </c>
      <c r="B630" t="s">
        <v>1448</v>
      </c>
      <c r="C630" t="s">
        <v>1449</v>
      </c>
      <c r="D630" t="s">
        <v>7</v>
      </c>
      <c r="E630" t="s">
        <v>8</v>
      </c>
      <c r="F630" s="22">
        <v>390.05</v>
      </c>
      <c r="G630" s="22">
        <v>0</v>
      </c>
      <c r="H630" s="22">
        <v>84</v>
      </c>
      <c r="I630" s="22">
        <v>306.05</v>
      </c>
      <c r="J630">
        <v>0</v>
      </c>
      <c r="K630">
        <v>0</v>
      </c>
      <c r="L630" s="22">
        <v>306.05</v>
      </c>
      <c r="M630" s="22">
        <v>0</v>
      </c>
      <c r="N630" s="22">
        <v>0</v>
      </c>
      <c r="O630" s="22">
        <v>306.05</v>
      </c>
      <c r="P630" s="22">
        <v>300</v>
      </c>
      <c r="Q630" s="22">
        <v>6.0500000000000114</v>
      </c>
      <c r="R630">
        <v>100</v>
      </c>
      <c r="T630" t="s">
        <v>2965</v>
      </c>
      <c r="U630" t="s">
        <v>3055</v>
      </c>
      <c r="V630" t="s">
        <v>3056</v>
      </c>
    </row>
    <row r="631" spans="1:22">
      <c r="A631">
        <v>630</v>
      </c>
      <c r="B631" t="s">
        <v>1450</v>
      </c>
      <c r="C631" t="s">
        <v>1451</v>
      </c>
      <c r="D631" t="s">
        <v>17</v>
      </c>
      <c r="E631" t="s">
        <v>8</v>
      </c>
      <c r="F631" s="22">
        <v>1036</v>
      </c>
      <c r="G631" s="22">
        <v>0</v>
      </c>
      <c r="H631" s="22">
        <v>0</v>
      </c>
      <c r="I631" s="22">
        <v>1036</v>
      </c>
      <c r="J631">
        <v>0</v>
      </c>
      <c r="K631">
        <v>0</v>
      </c>
      <c r="L631" s="22">
        <v>1036</v>
      </c>
      <c r="M631" s="22">
        <v>0</v>
      </c>
      <c r="N631" s="22">
        <v>0</v>
      </c>
      <c r="O631" s="22">
        <v>1036</v>
      </c>
      <c r="P631" s="22">
        <v>200</v>
      </c>
      <c r="Q631" s="22">
        <v>836</v>
      </c>
      <c r="R631">
        <v>0</v>
      </c>
      <c r="T631" t="s">
        <v>2972</v>
      </c>
      <c r="U631" t="s">
        <v>3055</v>
      </c>
      <c r="V631" t="s">
        <v>3056</v>
      </c>
    </row>
    <row r="632" spans="1:22">
      <c r="A632">
        <v>631</v>
      </c>
      <c r="B632" t="s">
        <v>1074</v>
      </c>
      <c r="C632" t="s">
        <v>1075</v>
      </c>
      <c r="D632" t="s">
        <v>17</v>
      </c>
      <c r="E632" t="s">
        <v>8</v>
      </c>
      <c r="F632" s="22">
        <v>0</v>
      </c>
      <c r="G632" s="22">
        <v>0</v>
      </c>
      <c r="H632" s="22">
        <v>0</v>
      </c>
      <c r="I632" s="22">
        <v>0</v>
      </c>
      <c r="J632">
        <v>0</v>
      </c>
      <c r="K632">
        <v>0</v>
      </c>
      <c r="L632" s="22">
        <v>0</v>
      </c>
      <c r="M632" s="22">
        <v>0</v>
      </c>
      <c r="N632" s="22">
        <v>0</v>
      </c>
      <c r="O632" s="22">
        <v>0</v>
      </c>
      <c r="P632" s="22">
        <v>0</v>
      </c>
      <c r="Q632" s="22">
        <v>0</v>
      </c>
      <c r="R632">
        <v>0</v>
      </c>
      <c r="T632" t="s">
        <v>2972</v>
      </c>
      <c r="U632" t="s">
        <v>3057</v>
      </c>
      <c r="V632" t="s">
        <v>3058</v>
      </c>
    </row>
    <row r="633" spans="1:22">
      <c r="A633">
        <v>632</v>
      </c>
      <c r="B633" t="s">
        <v>1076</v>
      </c>
      <c r="C633" t="s">
        <v>1077</v>
      </c>
      <c r="D633" t="s">
        <v>17</v>
      </c>
      <c r="E633" t="s">
        <v>8</v>
      </c>
      <c r="F633" s="22">
        <v>300</v>
      </c>
      <c r="G633" s="22">
        <v>0</v>
      </c>
      <c r="H633" s="22">
        <v>0</v>
      </c>
      <c r="I633" s="22">
        <v>300</v>
      </c>
      <c r="J633">
        <v>0</v>
      </c>
      <c r="K633">
        <v>0</v>
      </c>
      <c r="L633" s="22">
        <v>300</v>
      </c>
      <c r="M633" s="22">
        <v>0</v>
      </c>
      <c r="N633" s="22">
        <v>0</v>
      </c>
      <c r="O633" s="22">
        <v>300</v>
      </c>
      <c r="P633" s="22">
        <v>0</v>
      </c>
      <c r="Q633" s="22">
        <v>300</v>
      </c>
      <c r="R633">
        <v>0</v>
      </c>
      <c r="T633" t="s">
        <v>2972</v>
      </c>
      <c r="U633" t="s">
        <v>3057</v>
      </c>
      <c r="V633" t="s">
        <v>3058</v>
      </c>
    </row>
    <row r="634" spans="1:22">
      <c r="A634">
        <v>633</v>
      </c>
      <c r="B634" t="s">
        <v>1456</v>
      </c>
      <c r="C634" t="s">
        <v>1457</v>
      </c>
      <c r="D634" t="s">
        <v>17</v>
      </c>
      <c r="E634" t="s">
        <v>8</v>
      </c>
      <c r="F634" s="22">
        <v>475</v>
      </c>
      <c r="G634" s="22">
        <v>0</v>
      </c>
      <c r="H634" s="22">
        <v>0</v>
      </c>
      <c r="I634" s="22">
        <v>475</v>
      </c>
      <c r="J634">
        <v>0</v>
      </c>
      <c r="K634">
        <v>0</v>
      </c>
      <c r="L634" s="22">
        <v>475</v>
      </c>
      <c r="M634" s="22">
        <v>0</v>
      </c>
      <c r="N634" s="22">
        <v>0</v>
      </c>
      <c r="O634" s="22">
        <v>475</v>
      </c>
      <c r="P634" s="22">
        <v>200</v>
      </c>
      <c r="Q634" s="22">
        <v>275</v>
      </c>
      <c r="R634">
        <v>0</v>
      </c>
      <c r="T634" t="s">
        <v>2972</v>
      </c>
      <c r="U634" t="s">
        <v>3055</v>
      </c>
      <c r="V634" t="s">
        <v>3056</v>
      </c>
    </row>
    <row r="635" spans="1:22">
      <c r="A635">
        <v>634</v>
      </c>
      <c r="B635" t="s">
        <v>1458</v>
      </c>
      <c r="C635" t="s">
        <v>1459</v>
      </c>
      <c r="D635" t="s">
        <v>17</v>
      </c>
      <c r="E635" t="s">
        <v>8</v>
      </c>
      <c r="F635" s="22">
        <v>0</v>
      </c>
      <c r="G635" s="22">
        <v>0</v>
      </c>
      <c r="H635" s="22">
        <v>0</v>
      </c>
      <c r="I635" s="22">
        <v>0</v>
      </c>
      <c r="J635">
        <v>0</v>
      </c>
      <c r="K635">
        <v>0</v>
      </c>
      <c r="L635" s="22">
        <v>0</v>
      </c>
      <c r="M635" s="22">
        <v>0</v>
      </c>
      <c r="N635" s="22">
        <v>0</v>
      </c>
      <c r="O635" s="22">
        <v>0</v>
      </c>
      <c r="P635" s="22">
        <v>100</v>
      </c>
      <c r="Q635" s="22">
        <v>-100</v>
      </c>
      <c r="R635">
        <v>0</v>
      </c>
      <c r="T635" t="s">
        <v>2972</v>
      </c>
      <c r="U635" t="s">
        <v>3055</v>
      </c>
      <c r="V635" t="s">
        <v>3056</v>
      </c>
    </row>
    <row r="636" spans="1:22">
      <c r="A636">
        <v>635</v>
      </c>
      <c r="B636" t="s">
        <v>1078</v>
      </c>
      <c r="C636" t="s">
        <v>1079</v>
      </c>
      <c r="D636" t="s">
        <v>17</v>
      </c>
      <c r="E636" t="s">
        <v>8</v>
      </c>
      <c r="F636" s="22">
        <v>0</v>
      </c>
      <c r="G636" s="22">
        <v>52</v>
      </c>
      <c r="H636" s="22">
        <v>0</v>
      </c>
      <c r="I636" s="22">
        <v>52</v>
      </c>
      <c r="J636">
        <v>0</v>
      </c>
      <c r="K636">
        <v>0</v>
      </c>
      <c r="L636" s="22">
        <v>52</v>
      </c>
      <c r="M636" s="22">
        <v>0</v>
      </c>
      <c r="N636" s="22">
        <v>0</v>
      </c>
      <c r="O636" s="22">
        <v>52</v>
      </c>
      <c r="P636" s="22">
        <v>0</v>
      </c>
      <c r="Q636" s="22">
        <v>52</v>
      </c>
      <c r="R636">
        <v>0</v>
      </c>
      <c r="T636" t="s">
        <v>2972</v>
      </c>
      <c r="U636" t="s">
        <v>3057</v>
      </c>
      <c r="V636" t="s">
        <v>3058</v>
      </c>
    </row>
    <row r="637" spans="1:22">
      <c r="A637">
        <v>636</v>
      </c>
      <c r="B637" t="s">
        <v>1080</v>
      </c>
      <c r="C637" t="s">
        <v>1081</v>
      </c>
      <c r="D637" t="s">
        <v>17</v>
      </c>
      <c r="E637" t="s">
        <v>8</v>
      </c>
      <c r="F637" s="22">
        <v>0</v>
      </c>
      <c r="G637" s="22">
        <v>0</v>
      </c>
      <c r="H637" s="22">
        <v>0</v>
      </c>
      <c r="I637" s="22">
        <v>0</v>
      </c>
      <c r="J637">
        <v>0</v>
      </c>
      <c r="K637">
        <v>0</v>
      </c>
      <c r="L637" s="22">
        <v>0</v>
      </c>
      <c r="M637" s="22">
        <v>0</v>
      </c>
      <c r="N637" s="22">
        <v>0</v>
      </c>
      <c r="O637" s="22">
        <v>0</v>
      </c>
      <c r="P637" s="22">
        <v>0</v>
      </c>
      <c r="Q637" s="22">
        <v>0</v>
      </c>
      <c r="R637">
        <v>0</v>
      </c>
      <c r="T637" t="s">
        <v>3002</v>
      </c>
      <c r="U637" t="s">
        <v>3057</v>
      </c>
      <c r="V637" t="s">
        <v>3056</v>
      </c>
    </row>
    <row r="638" spans="1:22">
      <c r="A638">
        <v>637</v>
      </c>
      <c r="B638" t="s">
        <v>1082</v>
      </c>
      <c r="C638" t="s">
        <v>1083</v>
      </c>
      <c r="D638" t="s">
        <v>17</v>
      </c>
      <c r="E638" t="s">
        <v>8</v>
      </c>
      <c r="F638" s="22">
        <v>0</v>
      </c>
      <c r="G638" s="22">
        <v>0</v>
      </c>
      <c r="H638" s="22">
        <v>0</v>
      </c>
      <c r="I638" s="22">
        <v>0</v>
      </c>
      <c r="J638">
        <v>0</v>
      </c>
      <c r="K638">
        <v>0</v>
      </c>
      <c r="L638" s="22">
        <v>0</v>
      </c>
      <c r="M638" s="22">
        <v>0</v>
      </c>
      <c r="N638" s="22">
        <v>0</v>
      </c>
      <c r="O638" s="22">
        <v>0</v>
      </c>
      <c r="P638" s="22">
        <v>0</v>
      </c>
      <c r="Q638" s="22">
        <v>0</v>
      </c>
      <c r="R638">
        <v>0</v>
      </c>
      <c r="T638" t="s">
        <v>3002</v>
      </c>
      <c r="U638" t="s">
        <v>3057</v>
      </c>
      <c r="V638" t="s">
        <v>3056</v>
      </c>
    </row>
    <row r="639" spans="1:22">
      <c r="A639">
        <v>638</v>
      </c>
      <c r="B639" t="s">
        <v>1466</v>
      </c>
      <c r="C639" t="s">
        <v>1467</v>
      </c>
      <c r="D639" t="s">
        <v>17</v>
      </c>
      <c r="E639" t="s">
        <v>8</v>
      </c>
      <c r="F639" s="22">
        <v>129</v>
      </c>
      <c r="G639" s="22">
        <v>0</v>
      </c>
      <c r="H639" s="22">
        <v>13</v>
      </c>
      <c r="I639" s="22">
        <v>116</v>
      </c>
      <c r="J639">
        <v>0</v>
      </c>
      <c r="K639">
        <v>0</v>
      </c>
      <c r="L639" s="22">
        <v>116</v>
      </c>
      <c r="M639" s="22">
        <v>0</v>
      </c>
      <c r="N639" s="22">
        <v>0</v>
      </c>
      <c r="O639" s="22">
        <v>116</v>
      </c>
      <c r="P639" s="22">
        <v>100</v>
      </c>
      <c r="Q639" s="22">
        <v>16</v>
      </c>
      <c r="R639">
        <v>0</v>
      </c>
      <c r="T639" t="s">
        <v>2972</v>
      </c>
      <c r="U639" t="s">
        <v>3055</v>
      </c>
      <c r="V639" t="s">
        <v>3056</v>
      </c>
    </row>
    <row r="640" spans="1:22">
      <c r="A640">
        <v>639</v>
      </c>
      <c r="B640" t="s">
        <v>1468</v>
      </c>
      <c r="C640" t="s">
        <v>1469</v>
      </c>
      <c r="D640" t="s">
        <v>17</v>
      </c>
      <c r="E640" t="s">
        <v>8</v>
      </c>
      <c r="F640" s="22">
        <v>103</v>
      </c>
      <c r="G640" s="22">
        <v>0</v>
      </c>
      <c r="H640" s="22">
        <v>80</v>
      </c>
      <c r="I640" s="22">
        <v>23</v>
      </c>
      <c r="J640">
        <v>0</v>
      </c>
      <c r="K640">
        <v>0</v>
      </c>
      <c r="L640" s="22">
        <v>23</v>
      </c>
      <c r="M640" s="22">
        <v>0</v>
      </c>
      <c r="N640" s="22">
        <v>0</v>
      </c>
      <c r="O640" s="22">
        <v>23</v>
      </c>
      <c r="P640" s="22">
        <v>50</v>
      </c>
      <c r="Q640" s="22">
        <v>-27</v>
      </c>
      <c r="R640">
        <v>0</v>
      </c>
      <c r="T640" t="s">
        <v>2982</v>
      </c>
      <c r="U640" t="s">
        <v>3060</v>
      </c>
      <c r="V640" t="s">
        <v>3064</v>
      </c>
    </row>
    <row r="641" spans="1:22">
      <c r="A641">
        <v>640</v>
      </c>
      <c r="B641" t="s">
        <v>1470</v>
      </c>
      <c r="C641" t="s">
        <v>1471</v>
      </c>
      <c r="D641" t="s">
        <v>17</v>
      </c>
      <c r="E641" t="s">
        <v>8</v>
      </c>
      <c r="F641" s="22">
        <v>182</v>
      </c>
      <c r="G641" s="22">
        <v>0</v>
      </c>
      <c r="H641" s="22">
        <v>85</v>
      </c>
      <c r="I641" s="22">
        <v>97</v>
      </c>
      <c r="J641">
        <v>0</v>
      </c>
      <c r="K641">
        <v>0</v>
      </c>
      <c r="L641" s="22">
        <v>97</v>
      </c>
      <c r="M641" s="22">
        <v>0</v>
      </c>
      <c r="N641" s="22">
        <v>0</v>
      </c>
      <c r="O641" s="22">
        <v>97</v>
      </c>
      <c r="P641" s="22">
        <v>50</v>
      </c>
      <c r="Q641" s="22">
        <v>47</v>
      </c>
      <c r="R641">
        <v>0</v>
      </c>
      <c r="T641" t="s">
        <v>2982</v>
      </c>
      <c r="U641" t="s">
        <v>3060</v>
      </c>
      <c r="V641" t="s">
        <v>3064</v>
      </c>
    </row>
    <row r="642" spans="1:22">
      <c r="A642">
        <v>641</v>
      </c>
      <c r="B642" t="s">
        <v>1472</v>
      </c>
      <c r="C642" t="s">
        <v>1473</v>
      </c>
      <c r="D642" t="s">
        <v>17</v>
      </c>
      <c r="E642" t="s">
        <v>8</v>
      </c>
      <c r="F642" s="22">
        <v>181</v>
      </c>
      <c r="G642" s="22">
        <v>0</v>
      </c>
      <c r="H642" s="22">
        <v>110</v>
      </c>
      <c r="I642" s="22">
        <v>71</v>
      </c>
      <c r="J642">
        <v>0</v>
      </c>
      <c r="K642">
        <v>0</v>
      </c>
      <c r="L642" s="22">
        <v>71</v>
      </c>
      <c r="M642" s="22">
        <v>0</v>
      </c>
      <c r="N642" s="22">
        <v>0</v>
      </c>
      <c r="O642" s="22">
        <v>71</v>
      </c>
      <c r="P642" s="22">
        <v>50</v>
      </c>
      <c r="Q642" s="22">
        <v>21</v>
      </c>
      <c r="R642">
        <v>0</v>
      </c>
      <c r="T642" t="s">
        <v>2982</v>
      </c>
      <c r="U642" t="s">
        <v>3060</v>
      </c>
      <c r="V642" t="s">
        <v>3064</v>
      </c>
    </row>
    <row r="643" spans="1:22">
      <c r="A643">
        <v>642</v>
      </c>
      <c r="B643" t="s">
        <v>1474</v>
      </c>
      <c r="C643" t="s">
        <v>1475</v>
      </c>
      <c r="D643" t="s">
        <v>17</v>
      </c>
      <c r="E643" t="s">
        <v>8</v>
      </c>
      <c r="F643" s="22">
        <v>124</v>
      </c>
      <c r="G643" s="22">
        <v>0</v>
      </c>
      <c r="H643" s="22">
        <v>85</v>
      </c>
      <c r="I643" s="22">
        <v>39</v>
      </c>
      <c r="J643">
        <v>0</v>
      </c>
      <c r="K643">
        <v>0</v>
      </c>
      <c r="L643" s="22">
        <v>39</v>
      </c>
      <c r="M643" s="22">
        <v>0</v>
      </c>
      <c r="N643" s="22">
        <v>0</v>
      </c>
      <c r="O643" s="22">
        <v>39</v>
      </c>
      <c r="P643" s="22">
        <v>50</v>
      </c>
      <c r="Q643" s="22">
        <v>-11</v>
      </c>
      <c r="R643">
        <v>0</v>
      </c>
      <c r="T643" t="s">
        <v>2982</v>
      </c>
      <c r="U643" t="s">
        <v>3060</v>
      </c>
      <c r="V643" t="s">
        <v>3064</v>
      </c>
    </row>
    <row r="644" spans="1:22">
      <c r="A644">
        <v>643</v>
      </c>
      <c r="B644" t="s">
        <v>1476</v>
      </c>
      <c r="C644" t="s">
        <v>1477</v>
      </c>
      <c r="D644" t="s">
        <v>17</v>
      </c>
      <c r="E644" t="s">
        <v>8</v>
      </c>
      <c r="F644" s="22">
        <v>25</v>
      </c>
      <c r="G644" s="22">
        <v>0</v>
      </c>
      <c r="H644" s="22">
        <v>3</v>
      </c>
      <c r="I644" s="22">
        <v>22</v>
      </c>
      <c r="J644">
        <v>0</v>
      </c>
      <c r="K644">
        <v>0</v>
      </c>
      <c r="L644" s="22">
        <v>22</v>
      </c>
      <c r="M644" s="22">
        <v>0</v>
      </c>
      <c r="N644" s="22">
        <v>0</v>
      </c>
      <c r="O644" s="22">
        <v>22</v>
      </c>
      <c r="P644" s="22">
        <v>20</v>
      </c>
      <c r="Q644" s="22">
        <v>2</v>
      </c>
      <c r="R644">
        <v>0</v>
      </c>
      <c r="T644" t="s">
        <v>2982</v>
      </c>
      <c r="U644" t="s">
        <v>3060</v>
      </c>
      <c r="V644" t="s">
        <v>3061</v>
      </c>
    </row>
    <row r="645" spans="1:22">
      <c r="A645">
        <v>644</v>
      </c>
      <c r="B645" t="s">
        <v>1478</v>
      </c>
      <c r="C645" t="s">
        <v>1479</v>
      </c>
      <c r="D645" t="s">
        <v>17</v>
      </c>
      <c r="E645" t="s">
        <v>8</v>
      </c>
      <c r="F645" s="22">
        <v>11</v>
      </c>
      <c r="G645" s="22">
        <v>0</v>
      </c>
      <c r="H645" s="22">
        <v>0</v>
      </c>
      <c r="I645" s="22">
        <v>11</v>
      </c>
      <c r="J645">
        <v>0</v>
      </c>
      <c r="K645">
        <v>0</v>
      </c>
      <c r="L645" s="22">
        <v>11</v>
      </c>
      <c r="M645" s="22">
        <v>0</v>
      </c>
      <c r="N645" s="22">
        <v>0</v>
      </c>
      <c r="O645" s="22">
        <v>11</v>
      </c>
      <c r="P645" s="22">
        <v>10</v>
      </c>
      <c r="Q645" s="22">
        <v>1</v>
      </c>
      <c r="R645">
        <v>0</v>
      </c>
      <c r="T645" t="s">
        <v>2982</v>
      </c>
      <c r="U645" t="s">
        <v>3060</v>
      </c>
      <c r="V645" t="s">
        <v>3061</v>
      </c>
    </row>
    <row r="646" spans="1:22">
      <c r="A646">
        <v>645</v>
      </c>
      <c r="B646" t="s">
        <v>1480</v>
      </c>
      <c r="C646" t="s">
        <v>1481</v>
      </c>
      <c r="D646" t="s">
        <v>17</v>
      </c>
      <c r="E646" t="s">
        <v>8</v>
      </c>
      <c r="F646" s="22">
        <v>15</v>
      </c>
      <c r="G646" s="22">
        <v>0</v>
      </c>
      <c r="H646" s="22">
        <v>0</v>
      </c>
      <c r="I646" s="22">
        <v>15</v>
      </c>
      <c r="J646">
        <v>0</v>
      </c>
      <c r="K646">
        <v>0</v>
      </c>
      <c r="L646" s="22">
        <v>15</v>
      </c>
      <c r="M646" s="22">
        <v>0</v>
      </c>
      <c r="N646" s="22">
        <v>0</v>
      </c>
      <c r="O646" s="22">
        <v>15</v>
      </c>
      <c r="P646" s="22">
        <v>5</v>
      </c>
      <c r="Q646" s="22">
        <v>10</v>
      </c>
      <c r="R646">
        <v>0</v>
      </c>
      <c r="T646" t="s">
        <v>2982</v>
      </c>
      <c r="U646" t="s">
        <v>3060</v>
      </c>
      <c r="V646" t="s">
        <v>3061</v>
      </c>
    </row>
    <row r="647" spans="1:22">
      <c r="A647">
        <v>646</v>
      </c>
      <c r="B647" t="s">
        <v>1482</v>
      </c>
      <c r="C647" t="s">
        <v>1483</v>
      </c>
      <c r="D647" t="s">
        <v>17</v>
      </c>
      <c r="E647" t="s">
        <v>8</v>
      </c>
      <c r="F647" s="22">
        <v>9</v>
      </c>
      <c r="G647" s="22">
        <v>0</v>
      </c>
      <c r="H647" s="22">
        <v>7</v>
      </c>
      <c r="I647" s="22">
        <v>2</v>
      </c>
      <c r="J647">
        <v>0</v>
      </c>
      <c r="K647">
        <v>0</v>
      </c>
      <c r="L647" s="22">
        <v>2</v>
      </c>
      <c r="M647" s="22">
        <v>0</v>
      </c>
      <c r="N647" s="22">
        <v>0</v>
      </c>
      <c r="O647" s="22">
        <v>2</v>
      </c>
      <c r="P647" s="22">
        <v>10</v>
      </c>
      <c r="Q647" s="22">
        <v>-8</v>
      </c>
      <c r="R647">
        <v>0</v>
      </c>
      <c r="T647" t="s">
        <v>2982</v>
      </c>
      <c r="U647" t="s">
        <v>3060</v>
      </c>
      <c r="V647" t="s">
        <v>3061</v>
      </c>
    </row>
    <row r="648" spans="1:22">
      <c r="A648">
        <v>647</v>
      </c>
      <c r="B648" t="s">
        <v>1484</v>
      </c>
      <c r="C648" t="s">
        <v>1485</v>
      </c>
      <c r="D648" t="s">
        <v>17</v>
      </c>
      <c r="E648" t="s">
        <v>8</v>
      </c>
      <c r="F648" s="22">
        <v>224</v>
      </c>
      <c r="G648" s="22">
        <v>0</v>
      </c>
      <c r="H648" s="22">
        <v>0</v>
      </c>
      <c r="I648" s="22">
        <v>224</v>
      </c>
      <c r="J648">
        <v>0</v>
      </c>
      <c r="K648">
        <v>0</v>
      </c>
      <c r="L648" s="22">
        <v>224</v>
      </c>
      <c r="M648" s="22">
        <v>0</v>
      </c>
      <c r="N648" s="22">
        <v>0</v>
      </c>
      <c r="O648" s="22">
        <v>224</v>
      </c>
      <c r="P648" s="22">
        <v>50</v>
      </c>
      <c r="Q648" s="22">
        <v>174</v>
      </c>
      <c r="R648">
        <v>0</v>
      </c>
      <c r="T648" t="s">
        <v>2972</v>
      </c>
      <c r="U648" t="s">
        <v>3055</v>
      </c>
      <c r="V648" t="s">
        <v>3056</v>
      </c>
    </row>
    <row r="649" spans="1:22">
      <c r="A649">
        <v>648</v>
      </c>
      <c r="B649" t="s">
        <v>1084</v>
      </c>
      <c r="C649" t="s">
        <v>1085</v>
      </c>
      <c r="D649" t="s">
        <v>17</v>
      </c>
      <c r="E649" t="s">
        <v>8</v>
      </c>
      <c r="F649" s="22">
        <v>542</v>
      </c>
      <c r="G649" s="22">
        <v>0</v>
      </c>
      <c r="H649" s="22">
        <v>0</v>
      </c>
      <c r="I649" s="22">
        <v>542</v>
      </c>
      <c r="J649">
        <v>0</v>
      </c>
      <c r="K649">
        <v>0</v>
      </c>
      <c r="L649" s="22">
        <v>542</v>
      </c>
      <c r="M649" s="22">
        <v>0</v>
      </c>
      <c r="N649" s="22">
        <v>0</v>
      </c>
      <c r="O649" s="22">
        <v>542</v>
      </c>
      <c r="P649" s="22">
        <v>350</v>
      </c>
      <c r="Q649" s="22">
        <v>192</v>
      </c>
      <c r="R649">
        <v>0</v>
      </c>
      <c r="T649" t="s">
        <v>2991</v>
      </c>
      <c r="U649" t="s">
        <v>3057</v>
      </c>
      <c r="V649" t="s">
        <v>3058</v>
      </c>
    </row>
    <row r="650" spans="1:22">
      <c r="A650">
        <v>649</v>
      </c>
      <c r="B650" t="s">
        <v>1488</v>
      </c>
      <c r="C650" t="s">
        <v>1489</v>
      </c>
      <c r="D650" t="s">
        <v>17</v>
      </c>
      <c r="E650" t="s">
        <v>8</v>
      </c>
      <c r="F650" s="22">
        <v>227</v>
      </c>
      <c r="G650" s="22">
        <v>0</v>
      </c>
      <c r="H650" s="22">
        <v>0</v>
      </c>
      <c r="I650" s="22">
        <v>227</v>
      </c>
      <c r="J650">
        <v>0</v>
      </c>
      <c r="K650">
        <v>0</v>
      </c>
      <c r="L650" s="22">
        <v>227</v>
      </c>
      <c r="M650" s="22">
        <v>0</v>
      </c>
      <c r="N650" s="22">
        <v>0</v>
      </c>
      <c r="O650" s="22">
        <v>227</v>
      </c>
      <c r="P650" s="22">
        <v>200</v>
      </c>
      <c r="Q650" s="22">
        <v>27</v>
      </c>
      <c r="R650">
        <v>0</v>
      </c>
      <c r="T650" t="s">
        <v>2982</v>
      </c>
      <c r="U650" t="s">
        <v>3060</v>
      </c>
      <c r="V650" t="s">
        <v>3058</v>
      </c>
    </row>
    <row r="651" spans="1:22">
      <c r="A651">
        <v>650</v>
      </c>
      <c r="B651" t="s">
        <v>1490</v>
      </c>
      <c r="C651" t="s">
        <v>1491</v>
      </c>
      <c r="D651" t="s">
        <v>7</v>
      </c>
      <c r="E651" t="s">
        <v>8</v>
      </c>
      <c r="F651" s="22">
        <v>528.29999999999995</v>
      </c>
      <c r="G651" s="22">
        <v>0</v>
      </c>
      <c r="H651" s="22">
        <v>0</v>
      </c>
      <c r="I651" s="22">
        <v>528.29999999999995</v>
      </c>
      <c r="J651">
        <v>0</v>
      </c>
      <c r="K651">
        <v>0</v>
      </c>
      <c r="L651" s="22">
        <v>528.29999999999995</v>
      </c>
      <c r="M651" s="22">
        <v>0</v>
      </c>
      <c r="N651" s="22">
        <v>0</v>
      </c>
      <c r="O651" s="22">
        <v>528.29999999999995</v>
      </c>
      <c r="P651" s="22">
        <v>250</v>
      </c>
      <c r="Q651" s="22">
        <v>278.29999999999995</v>
      </c>
      <c r="R651">
        <v>0</v>
      </c>
      <c r="T651" t="s">
        <v>2965</v>
      </c>
      <c r="U651" t="s">
        <v>3060</v>
      </c>
      <c r="V651" t="s">
        <v>3058</v>
      </c>
    </row>
    <row r="652" spans="1:22">
      <c r="A652">
        <v>651</v>
      </c>
      <c r="B652" t="s">
        <v>1492</v>
      </c>
      <c r="C652" t="s">
        <v>1493</v>
      </c>
      <c r="D652" t="s">
        <v>7</v>
      </c>
      <c r="E652" t="s">
        <v>8</v>
      </c>
      <c r="F652" s="22">
        <v>428.4</v>
      </c>
      <c r="G652" s="22">
        <v>0</v>
      </c>
      <c r="H652" s="22">
        <v>0</v>
      </c>
      <c r="I652" s="22">
        <v>428.4</v>
      </c>
      <c r="J652">
        <v>0</v>
      </c>
      <c r="K652">
        <v>0</v>
      </c>
      <c r="L652" s="22">
        <v>428.4</v>
      </c>
      <c r="M652" s="22">
        <v>0</v>
      </c>
      <c r="N652" s="22">
        <v>0</v>
      </c>
      <c r="O652" s="22">
        <v>428.4</v>
      </c>
      <c r="P652" s="22">
        <v>250</v>
      </c>
      <c r="Q652" s="22">
        <v>178.39999999999998</v>
      </c>
      <c r="R652">
        <v>0</v>
      </c>
      <c r="T652" t="s">
        <v>2965</v>
      </c>
      <c r="U652" t="s">
        <v>3060</v>
      </c>
      <c r="V652" t="s">
        <v>3058</v>
      </c>
    </row>
    <row r="653" spans="1:22">
      <c r="A653">
        <v>652</v>
      </c>
      <c r="B653" t="s">
        <v>1494</v>
      </c>
      <c r="C653" t="s">
        <v>1495</v>
      </c>
      <c r="D653" t="s">
        <v>7</v>
      </c>
      <c r="E653" t="s">
        <v>8</v>
      </c>
      <c r="F653" s="22">
        <v>180.3</v>
      </c>
      <c r="G653" s="22">
        <v>0</v>
      </c>
      <c r="H653" s="22">
        <v>0</v>
      </c>
      <c r="I653" s="22">
        <v>180.3</v>
      </c>
      <c r="J653">
        <v>0</v>
      </c>
      <c r="K653">
        <v>0</v>
      </c>
      <c r="L653" s="22">
        <v>180.3</v>
      </c>
      <c r="M653" s="22">
        <v>0</v>
      </c>
      <c r="N653" s="22">
        <v>0</v>
      </c>
      <c r="O653" s="22">
        <v>180.3</v>
      </c>
      <c r="P653" s="22">
        <v>250</v>
      </c>
      <c r="Q653" s="22">
        <v>-69.699999999999989</v>
      </c>
      <c r="R653">
        <v>250</v>
      </c>
      <c r="T653" t="s">
        <v>2965</v>
      </c>
      <c r="U653" t="s">
        <v>3060</v>
      </c>
      <c r="V653" t="s">
        <v>3058</v>
      </c>
    </row>
    <row r="654" spans="1:22">
      <c r="A654">
        <v>653</v>
      </c>
      <c r="B654" t="s">
        <v>1496</v>
      </c>
      <c r="C654" t="s">
        <v>1497</v>
      </c>
      <c r="D654" t="s">
        <v>7</v>
      </c>
      <c r="E654" t="s">
        <v>8</v>
      </c>
      <c r="F654" s="22">
        <v>2355.9</v>
      </c>
      <c r="G654" s="22">
        <v>1579.95</v>
      </c>
      <c r="H654" s="22">
        <v>1264.25</v>
      </c>
      <c r="I654" s="22">
        <v>2671.6</v>
      </c>
      <c r="J654">
        <v>0</v>
      </c>
      <c r="K654">
        <v>0</v>
      </c>
      <c r="L654" s="22">
        <v>2671.6</v>
      </c>
      <c r="M654" s="22">
        <v>0</v>
      </c>
      <c r="N654" s="22">
        <v>0</v>
      </c>
      <c r="O654" s="22">
        <v>2671.6</v>
      </c>
      <c r="P654" s="22">
        <v>0</v>
      </c>
      <c r="Q654" s="22">
        <v>2671.6</v>
      </c>
      <c r="R654">
        <v>0</v>
      </c>
      <c r="T654" t="s">
        <v>2965</v>
      </c>
      <c r="U654" t="s">
        <v>3055</v>
      </c>
      <c r="V654" t="s">
        <v>3056</v>
      </c>
    </row>
    <row r="655" spans="1:22">
      <c r="A655">
        <v>654</v>
      </c>
      <c r="B655" t="s">
        <v>1498</v>
      </c>
      <c r="C655" t="s">
        <v>1499</v>
      </c>
      <c r="D655" t="s">
        <v>20</v>
      </c>
      <c r="E655" t="s">
        <v>8</v>
      </c>
      <c r="F655" s="22">
        <v>0</v>
      </c>
      <c r="G655" s="22">
        <v>0</v>
      </c>
      <c r="H655" s="22">
        <v>0</v>
      </c>
      <c r="I655" s="22">
        <v>0</v>
      </c>
      <c r="J655">
        <v>0</v>
      </c>
      <c r="K655">
        <v>0</v>
      </c>
      <c r="L655" s="22">
        <v>0</v>
      </c>
      <c r="M655" s="22">
        <v>0</v>
      </c>
      <c r="N655" s="22">
        <v>0</v>
      </c>
      <c r="O655" s="22">
        <v>0</v>
      </c>
      <c r="P655" s="22">
        <v>0</v>
      </c>
      <c r="Q655" s="22">
        <v>0</v>
      </c>
      <c r="R655">
        <v>0</v>
      </c>
      <c r="T655" t="s">
        <v>3000</v>
      </c>
      <c r="U655" t="s">
        <v>3059</v>
      </c>
      <c r="V655" t="s">
        <v>3056</v>
      </c>
    </row>
    <row r="656" spans="1:22">
      <c r="A656">
        <v>655</v>
      </c>
      <c r="B656" t="s">
        <v>1500</v>
      </c>
      <c r="C656" t="s">
        <v>1501</v>
      </c>
      <c r="D656" t="s">
        <v>17</v>
      </c>
      <c r="E656" t="s">
        <v>8</v>
      </c>
      <c r="F656" s="22">
        <v>67</v>
      </c>
      <c r="G656" s="22">
        <v>0</v>
      </c>
      <c r="H656" s="22">
        <v>0</v>
      </c>
      <c r="I656" s="22">
        <v>67</v>
      </c>
      <c r="J656">
        <v>0</v>
      </c>
      <c r="K656">
        <v>0</v>
      </c>
      <c r="L656" s="22">
        <v>67</v>
      </c>
      <c r="M656" s="22">
        <v>0</v>
      </c>
      <c r="N656" s="22">
        <v>0</v>
      </c>
      <c r="O656" s="22">
        <v>67</v>
      </c>
      <c r="P656" s="22">
        <v>0</v>
      </c>
      <c r="Q656" s="22">
        <v>67</v>
      </c>
      <c r="R656">
        <v>0</v>
      </c>
      <c r="T656" t="s">
        <v>2972</v>
      </c>
      <c r="U656" t="s">
        <v>3055</v>
      </c>
      <c r="V656" t="s">
        <v>3056</v>
      </c>
    </row>
    <row r="657" spans="1:22">
      <c r="A657">
        <v>656</v>
      </c>
      <c r="B657" t="s">
        <v>1502</v>
      </c>
      <c r="C657" t="s">
        <v>1503</v>
      </c>
      <c r="D657" t="s">
        <v>17</v>
      </c>
      <c r="E657" t="s">
        <v>8</v>
      </c>
      <c r="F657" s="22">
        <v>57</v>
      </c>
      <c r="G657" s="22">
        <v>0</v>
      </c>
      <c r="H657" s="22">
        <v>0</v>
      </c>
      <c r="I657" s="22">
        <v>57</v>
      </c>
      <c r="J657">
        <v>0</v>
      </c>
      <c r="K657">
        <v>0</v>
      </c>
      <c r="L657" s="22">
        <v>57</v>
      </c>
      <c r="M657" s="22">
        <v>0</v>
      </c>
      <c r="N657" s="22">
        <v>0</v>
      </c>
      <c r="O657" s="22">
        <v>57</v>
      </c>
      <c r="P657" s="22">
        <v>0</v>
      </c>
      <c r="Q657" s="22">
        <v>57</v>
      </c>
      <c r="R657">
        <v>0</v>
      </c>
      <c r="T657" t="s">
        <v>2972</v>
      </c>
      <c r="U657" t="s">
        <v>3055</v>
      </c>
      <c r="V657" t="s">
        <v>3056</v>
      </c>
    </row>
    <row r="658" spans="1:22">
      <c r="A658">
        <v>657</v>
      </c>
      <c r="B658" t="s">
        <v>1086</v>
      </c>
      <c r="C658" t="s">
        <v>1087</v>
      </c>
      <c r="D658" t="s">
        <v>7</v>
      </c>
      <c r="E658" t="s">
        <v>8</v>
      </c>
      <c r="F658" s="22">
        <v>0</v>
      </c>
      <c r="G658" s="22">
        <v>0</v>
      </c>
      <c r="H658" s="22">
        <v>0</v>
      </c>
      <c r="I658" s="22">
        <v>0</v>
      </c>
      <c r="J658">
        <v>0</v>
      </c>
      <c r="K658">
        <v>0</v>
      </c>
      <c r="L658" s="22">
        <v>0</v>
      </c>
      <c r="M658" s="22">
        <v>0</v>
      </c>
      <c r="N658" s="22">
        <v>0</v>
      </c>
      <c r="O658" s="22">
        <v>0</v>
      </c>
      <c r="P658" s="22">
        <v>0</v>
      </c>
      <c r="Q658" s="22">
        <v>0</v>
      </c>
      <c r="R658">
        <v>0</v>
      </c>
      <c r="T658" t="s">
        <v>2972</v>
      </c>
      <c r="U658" t="s">
        <v>3057</v>
      </c>
      <c r="V658" t="s">
        <v>3056</v>
      </c>
    </row>
    <row r="659" spans="1:22">
      <c r="A659">
        <v>658</v>
      </c>
      <c r="B659" t="s">
        <v>1088</v>
      </c>
      <c r="C659" t="s">
        <v>1089</v>
      </c>
      <c r="D659" t="s">
        <v>7</v>
      </c>
      <c r="E659" t="s">
        <v>8</v>
      </c>
      <c r="F659" s="22">
        <v>175</v>
      </c>
      <c r="G659" s="22">
        <v>0</v>
      </c>
      <c r="H659" s="22">
        <v>25</v>
      </c>
      <c r="I659" s="22">
        <v>150</v>
      </c>
      <c r="J659">
        <v>0</v>
      </c>
      <c r="K659">
        <v>0</v>
      </c>
      <c r="L659" s="22">
        <v>150</v>
      </c>
      <c r="M659" s="22">
        <v>0</v>
      </c>
      <c r="N659" s="22">
        <v>0</v>
      </c>
      <c r="O659" s="22">
        <v>150</v>
      </c>
      <c r="P659" s="22">
        <v>100</v>
      </c>
      <c r="Q659" s="22">
        <v>50</v>
      </c>
      <c r="R659">
        <v>0</v>
      </c>
      <c r="T659" t="s">
        <v>2972</v>
      </c>
      <c r="U659" t="s">
        <v>3057</v>
      </c>
      <c r="V659" t="s">
        <v>3056</v>
      </c>
    </row>
    <row r="660" spans="1:22">
      <c r="A660">
        <v>659</v>
      </c>
      <c r="B660" t="s">
        <v>1090</v>
      </c>
      <c r="C660" t="s">
        <v>1091</v>
      </c>
      <c r="D660" t="s">
        <v>17</v>
      </c>
      <c r="E660" t="s">
        <v>8</v>
      </c>
      <c r="F660" s="22">
        <v>0</v>
      </c>
      <c r="G660" s="22">
        <v>0</v>
      </c>
      <c r="H660" s="22">
        <v>0</v>
      </c>
      <c r="I660" s="22">
        <v>0</v>
      </c>
      <c r="J660">
        <v>0</v>
      </c>
      <c r="K660">
        <v>0</v>
      </c>
      <c r="L660" s="22">
        <v>0</v>
      </c>
      <c r="M660" s="22">
        <v>0</v>
      </c>
      <c r="N660" s="22">
        <v>0</v>
      </c>
      <c r="O660" s="22">
        <v>0</v>
      </c>
      <c r="P660" s="22">
        <v>0</v>
      </c>
      <c r="Q660" s="22">
        <v>0</v>
      </c>
      <c r="R660">
        <v>0</v>
      </c>
      <c r="T660" t="s">
        <v>2972</v>
      </c>
      <c r="U660" t="s">
        <v>3057</v>
      </c>
      <c r="V660" t="s">
        <v>3056</v>
      </c>
    </row>
    <row r="661" spans="1:22">
      <c r="A661">
        <v>660</v>
      </c>
      <c r="B661" t="s">
        <v>1094</v>
      </c>
      <c r="C661" t="s">
        <v>1095</v>
      </c>
      <c r="D661" t="s">
        <v>20</v>
      </c>
      <c r="E661" t="s">
        <v>8</v>
      </c>
      <c r="F661" s="22">
        <v>613.6</v>
      </c>
      <c r="G661" s="22">
        <v>0</v>
      </c>
      <c r="H661" s="22">
        <v>0</v>
      </c>
      <c r="I661" s="22">
        <v>613.6</v>
      </c>
      <c r="J661">
        <v>0</v>
      </c>
      <c r="K661">
        <v>0</v>
      </c>
      <c r="L661" s="22">
        <v>613.6</v>
      </c>
      <c r="M661" s="22">
        <v>0</v>
      </c>
      <c r="N661" s="22">
        <v>0</v>
      </c>
      <c r="O661" s="22">
        <v>613.6</v>
      </c>
      <c r="P661" s="22">
        <v>0</v>
      </c>
      <c r="Q661" s="22">
        <v>613.6</v>
      </c>
      <c r="R661">
        <v>0</v>
      </c>
      <c r="T661" t="s">
        <v>2991</v>
      </c>
      <c r="U661" t="s">
        <v>3057</v>
      </c>
      <c r="V661" t="s">
        <v>3056</v>
      </c>
    </row>
    <row r="662" spans="1:22">
      <c r="A662">
        <v>661</v>
      </c>
      <c r="B662" t="s">
        <v>1096</v>
      </c>
      <c r="C662" t="s">
        <v>1097</v>
      </c>
      <c r="D662" t="s">
        <v>20</v>
      </c>
      <c r="E662" t="s">
        <v>8</v>
      </c>
      <c r="F662" s="22">
        <v>811.88</v>
      </c>
      <c r="G662" s="22">
        <v>0</v>
      </c>
      <c r="H662" s="22">
        <v>0</v>
      </c>
      <c r="I662" s="22">
        <v>811.88</v>
      </c>
      <c r="J662">
        <v>0</v>
      </c>
      <c r="K662">
        <v>0</v>
      </c>
      <c r="L662" s="22">
        <v>811.88</v>
      </c>
      <c r="M662" s="22">
        <v>0</v>
      </c>
      <c r="N662" s="22">
        <v>0</v>
      </c>
      <c r="O662" s="22">
        <v>811.88</v>
      </c>
      <c r="P662" s="22">
        <v>0</v>
      </c>
      <c r="Q662" s="22">
        <v>811.88</v>
      </c>
      <c r="R662">
        <v>0</v>
      </c>
      <c r="T662" t="s">
        <v>2991</v>
      </c>
      <c r="U662" t="s">
        <v>3057</v>
      </c>
      <c r="V662" t="s">
        <v>3056</v>
      </c>
    </row>
    <row r="663" spans="1:22">
      <c r="A663">
        <v>662</v>
      </c>
      <c r="B663" t="s">
        <v>1098</v>
      </c>
      <c r="C663" t="s">
        <v>1099</v>
      </c>
      <c r="D663" t="s">
        <v>20</v>
      </c>
      <c r="E663" t="s">
        <v>8</v>
      </c>
      <c r="F663" s="22">
        <v>332.14</v>
      </c>
      <c r="G663" s="22">
        <v>443.84</v>
      </c>
      <c r="H663" s="22">
        <v>371.03</v>
      </c>
      <c r="I663" s="22">
        <v>404.95</v>
      </c>
      <c r="J663">
        <v>0</v>
      </c>
      <c r="K663">
        <v>0</v>
      </c>
      <c r="L663" s="22">
        <v>404.95</v>
      </c>
      <c r="M663" s="22">
        <v>0</v>
      </c>
      <c r="N663" s="22">
        <v>0</v>
      </c>
      <c r="O663" s="22">
        <v>404.95</v>
      </c>
      <c r="P663" s="22">
        <v>500</v>
      </c>
      <c r="Q663" s="22">
        <v>-95.050000000000011</v>
      </c>
      <c r="R663">
        <v>750</v>
      </c>
      <c r="T663" t="s">
        <v>2991</v>
      </c>
      <c r="U663" t="s">
        <v>3057</v>
      </c>
      <c r="V663" t="s">
        <v>3056</v>
      </c>
    </row>
    <row r="664" spans="1:22">
      <c r="A664">
        <v>663</v>
      </c>
      <c r="B664" t="s">
        <v>1100</v>
      </c>
      <c r="C664" t="s">
        <v>1101</v>
      </c>
      <c r="D664" t="s">
        <v>20</v>
      </c>
      <c r="E664" t="s">
        <v>8</v>
      </c>
      <c r="F664" s="22">
        <v>493.38</v>
      </c>
      <c r="G664" s="22">
        <v>562.72</v>
      </c>
      <c r="H664" s="22">
        <v>618.32000000000005</v>
      </c>
      <c r="I664" s="22">
        <v>437.78</v>
      </c>
      <c r="J664">
        <v>0</v>
      </c>
      <c r="K664">
        <v>0</v>
      </c>
      <c r="L664" s="22">
        <v>437.78</v>
      </c>
      <c r="M664" s="22">
        <v>0</v>
      </c>
      <c r="N664" s="22">
        <v>0</v>
      </c>
      <c r="O664" s="22">
        <v>437.78</v>
      </c>
      <c r="P664" s="22">
        <v>500</v>
      </c>
      <c r="Q664" s="22">
        <v>-62.220000000000027</v>
      </c>
      <c r="R664">
        <v>1100</v>
      </c>
      <c r="T664" t="s">
        <v>2991</v>
      </c>
      <c r="U664" t="s">
        <v>3057</v>
      </c>
      <c r="V664" t="s">
        <v>3056</v>
      </c>
    </row>
    <row r="665" spans="1:22">
      <c r="A665">
        <v>664</v>
      </c>
      <c r="B665" t="s">
        <v>1102</v>
      </c>
      <c r="C665" t="s">
        <v>1103</v>
      </c>
      <c r="D665" t="s">
        <v>20</v>
      </c>
      <c r="E665" t="s">
        <v>8</v>
      </c>
      <c r="F665" s="22">
        <v>1336.15</v>
      </c>
      <c r="G665" s="22">
        <v>0</v>
      </c>
      <c r="H665" s="22">
        <v>896.88</v>
      </c>
      <c r="I665" s="22">
        <v>439.27</v>
      </c>
      <c r="J665">
        <v>0</v>
      </c>
      <c r="K665">
        <v>0</v>
      </c>
      <c r="L665" s="22">
        <v>439.27</v>
      </c>
      <c r="M665" s="22">
        <v>0</v>
      </c>
      <c r="N665" s="22">
        <v>0</v>
      </c>
      <c r="O665" s="22">
        <v>439.27</v>
      </c>
      <c r="P665" s="22">
        <v>600</v>
      </c>
      <c r="Q665" s="22">
        <v>-160.73000000000002</v>
      </c>
      <c r="R665">
        <v>500</v>
      </c>
      <c r="T665" t="s">
        <v>2991</v>
      </c>
      <c r="U665" t="s">
        <v>3057</v>
      </c>
      <c r="V665" t="s">
        <v>3056</v>
      </c>
    </row>
    <row r="666" spans="1:22">
      <c r="A666">
        <v>665</v>
      </c>
      <c r="B666" t="s">
        <v>1522</v>
      </c>
      <c r="C666" t="s">
        <v>1523</v>
      </c>
      <c r="D666" t="s">
        <v>135</v>
      </c>
      <c r="E666" t="s">
        <v>8</v>
      </c>
      <c r="F666" s="22">
        <v>5000</v>
      </c>
      <c r="G666" s="22">
        <v>0</v>
      </c>
      <c r="H666" s="22">
        <v>500</v>
      </c>
      <c r="I666" s="22">
        <v>4500</v>
      </c>
      <c r="J666">
        <v>0</v>
      </c>
      <c r="K666">
        <v>0</v>
      </c>
      <c r="L666" s="22">
        <v>4500</v>
      </c>
      <c r="M666" s="22">
        <v>0</v>
      </c>
      <c r="N666" s="22">
        <v>0</v>
      </c>
      <c r="O666" s="22">
        <v>4500</v>
      </c>
      <c r="P666" s="22">
        <v>5500</v>
      </c>
      <c r="Q666" s="22">
        <v>-1000</v>
      </c>
      <c r="R666">
        <v>0</v>
      </c>
      <c r="T666" t="s">
        <v>2972</v>
      </c>
      <c r="U666" t="s">
        <v>3055</v>
      </c>
      <c r="V666" t="s">
        <v>3056</v>
      </c>
    </row>
    <row r="667" spans="1:22">
      <c r="A667">
        <v>666</v>
      </c>
      <c r="B667" t="s">
        <v>1110</v>
      </c>
      <c r="C667" t="s">
        <v>1111</v>
      </c>
      <c r="D667" t="s">
        <v>17</v>
      </c>
      <c r="E667" t="s">
        <v>8</v>
      </c>
      <c r="F667" s="22">
        <v>1200</v>
      </c>
      <c r="G667" s="22">
        <v>8500</v>
      </c>
      <c r="H667" s="22">
        <v>2200</v>
      </c>
      <c r="I667" s="22">
        <v>7500</v>
      </c>
      <c r="J667">
        <v>0</v>
      </c>
      <c r="K667">
        <v>0</v>
      </c>
      <c r="L667" s="22">
        <v>7500</v>
      </c>
      <c r="M667" s="22">
        <v>0</v>
      </c>
      <c r="N667" s="22">
        <v>0</v>
      </c>
      <c r="O667" s="22">
        <v>7500</v>
      </c>
      <c r="P667" s="22">
        <v>1500</v>
      </c>
      <c r="Q667" s="22">
        <v>6000</v>
      </c>
      <c r="R667">
        <v>8000</v>
      </c>
      <c r="T667" t="s">
        <v>2972</v>
      </c>
      <c r="U667" t="s">
        <v>3057</v>
      </c>
      <c r="V667" t="s">
        <v>3056</v>
      </c>
    </row>
    <row r="668" spans="1:22">
      <c r="A668">
        <v>667</v>
      </c>
      <c r="B668" t="s">
        <v>1112</v>
      </c>
      <c r="C668" t="s">
        <v>1113</v>
      </c>
      <c r="D668" t="s">
        <v>17</v>
      </c>
      <c r="E668" t="s">
        <v>8</v>
      </c>
      <c r="F668" s="22">
        <v>500</v>
      </c>
      <c r="G668" s="22">
        <v>500</v>
      </c>
      <c r="H668" s="22">
        <v>0</v>
      </c>
      <c r="I668" s="22">
        <v>1000</v>
      </c>
      <c r="J668">
        <v>0</v>
      </c>
      <c r="K668">
        <v>0</v>
      </c>
      <c r="L668" s="22">
        <v>1000</v>
      </c>
      <c r="M668" s="22">
        <v>0</v>
      </c>
      <c r="N668" s="22">
        <v>0</v>
      </c>
      <c r="O668" s="22">
        <v>1000</v>
      </c>
      <c r="P668" s="22">
        <v>250</v>
      </c>
      <c r="Q668" s="22">
        <v>750</v>
      </c>
      <c r="R668">
        <v>500</v>
      </c>
      <c r="T668" t="s">
        <v>2998</v>
      </c>
      <c r="U668" t="s">
        <v>3057</v>
      </c>
      <c r="V668" t="s">
        <v>3056</v>
      </c>
    </row>
    <row r="669" spans="1:22">
      <c r="A669">
        <v>668</v>
      </c>
      <c r="B669" t="s">
        <v>2427</v>
      </c>
      <c r="C669" t="s">
        <v>3166</v>
      </c>
      <c r="D669" t="s">
        <v>17</v>
      </c>
      <c r="E669" t="s">
        <v>8</v>
      </c>
      <c r="F669" s="22">
        <v>4000</v>
      </c>
      <c r="G669" s="22">
        <v>0</v>
      </c>
      <c r="H669" s="22">
        <v>1500</v>
      </c>
      <c r="I669" s="22">
        <v>2500</v>
      </c>
      <c r="J669">
        <v>0</v>
      </c>
      <c r="K669">
        <v>0</v>
      </c>
      <c r="L669" s="22">
        <v>2500</v>
      </c>
      <c r="M669" s="22">
        <v>0</v>
      </c>
      <c r="N669" s="22">
        <v>0</v>
      </c>
      <c r="O669" s="22">
        <v>2500</v>
      </c>
      <c r="P669" s="22">
        <v>2000</v>
      </c>
      <c r="Q669" s="22">
        <v>500</v>
      </c>
      <c r="R669">
        <v>0</v>
      </c>
      <c r="T669" t="s">
        <v>2972</v>
      </c>
      <c r="U669" t="s">
        <v>3055</v>
      </c>
      <c r="V669" t="s">
        <v>3056</v>
      </c>
    </row>
    <row r="670" spans="1:22">
      <c r="A670">
        <v>669</v>
      </c>
      <c r="B670" t="s">
        <v>1528</v>
      </c>
      <c r="C670" t="s">
        <v>1529</v>
      </c>
      <c r="D670" t="s">
        <v>17</v>
      </c>
      <c r="E670" t="s">
        <v>8</v>
      </c>
      <c r="F670" s="22">
        <v>300</v>
      </c>
      <c r="G670" s="22">
        <v>0</v>
      </c>
      <c r="H670" s="22">
        <v>0</v>
      </c>
      <c r="I670" s="22">
        <v>300</v>
      </c>
      <c r="J670">
        <v>0</v>
      </c>
      <c r="K670">
        <v>0</v>
      </c>
      <c r="L670" s="22">
        <v>300</v>
      </c>
      <c r="M670" s="22">
        <v>0</v>
      </c>
      <c r="N670" s="22">
        <v>0</v>
      </c>
      <c r="O670" s="22">
        <v>300</v>
      </c>
      <c r="P670" s="22">
        <v>200</v>
      </c>
      <c r="Q670" s="22">
        <v>100</v>
      </c>
      <c r="R670">
        <v>0</v>
      </c>
      <c r="T670" t="s">
        <v>2972</v>
      </c>
      <c r="U670" t="s">
        <v>3055</v>
      </c>
      <c r="V670" t="s">
        <v>3056</v>
      </c>
    </row>
    <row r="671" spans="1:22">
      <c r="A671">
        <v>670</v>
      </c>
      <c r="B671" t="s">
        <v>1530</v>
      </c>
      <c r="C671" t="s">
        <v>1531</v>
      </c>
      <c r="D671" t="s">
        <v>135</v>
      </c>
      <c r="E671" t="s">
        <v>8</v>
      </c>
      <c r="F671" s="22">
        <v>64800</v>
      </c>
      <c r="G671" s="22">
        <v>0</v>
      </c>
      <c r="H671" s="22">
        <v>18000</v>
      </c>
      <c r="I671" s="22">
        <v>46800</v>
      </c>
      <c r="J671">
        <v>0</v>
      </c>
      <c r="K671">
        <v>0</v>
      </c>
      <c r="L671" s="22">
        <v>46800</v>
      </c>
      <c r="M671" s="22">
        <v>0</v>
      </c>
      <c r="N671" s="22">
        <v>0</v>
      </c>
      <c r="O671" s="22">
        <v>46800</v>
      </c>
      <c r="P671" s="22">
        <v>70000</v>
      </c>
      <c r="Q671" s="22">
        <v>-23200</v>
      </c>
      <c r="R671">
        <v>0</v>
      </c>
      <c r="T671" t="s">
        <v>2974</v>
      </c>
      <c r="U671" t="s">
        <v>3055</v>
      </c>
      <c r="V671" t="s">
        <v>3056</v>
      </c>
    </row>
    <row r="672" spans="1:22">
      <c r="A672">
        <v>671</v>
      </c>
      <c r="B672" t="s">
        <v>1532</v>
      </c>
      <c r="C672" t="s">
        <v>1533</v>
      </c>
      <c r="D672" t="s">
        <v>135</v>
      </c>
      <c r="E672" t="s">
        <v>8</v>
      </c>
      <c r="F672" s="22">
        <v>5300</v>
      </c>
      <c r="G672" s="22">
        <v>0</v>
      </c>
      <c r="H672" s="22">
        <v>600</v>
      </c>
      <c r="I672" s="22">
        <v>4700</v>
      </c>
      <c r="J672">
        <v>0</v>
      </c>
      <c r="K672">
        <v>0</v>
      </c>
      <c r="L672" s="22">
        <v>4700</v>
      </c>
      <c r="M672" s="22">
        <v>0</v>
      </c>
      <c r="N672" s="22">
        <v>0</v>
      </c>
      <c r="O672" s="22">
        <v>4700</v>
      </c>
      <c r="P672" s="22">
        <v>5000</v>
      </c>
      <c r="Q672" s="22">
        <v>-300</v>
      </c>
      <c r="R672">
        <v>10000</v>
      </c>
      <c r="T672" t="s">
        <v>2974</v>
      </c>
      <c r="U672" t="s">
        <v>3055</v>
      </c>
      <c r="V672" t="s">
        <v>3058</v>
      </c>
    </row>
    <row r="673" spans="1:22">
      <c r="A673">
        <v>672</v>
      </c>
      <c r="B673" t="s">
        <v>1534</v>
      </c>
      <c r="C673" t="s">
        <v>1535</v>
      </c>
      <c r="D673" t="s">
        <v>135</v>
      </c>
      <c r="E673" t="s">
        <v>8</v>
      </c>
      <c r="F673" s="22">
        <v>8300</v>
      </c>
      <c r="G673" s="22">
        <v>0</v>
      </c>
      <c r="H673" s="22">
        <v>200</v>
      </c>
      <c r="I673" s="22">
        <v>8100</v>
      </c>
      <c r="J673">
        <v>0</v>
      </c>
      <c r="K673">
        <v>0</v>
      </c>
      <c r="L673" s="22">
        <v>8100</v>
      </c>
      <c r="M673" s="22">
        <v>0</v>
      </c>
      <c r="N673" s="22">
        <v>0</v>
      </c>
      <c r="O673" s="22">
        <v>8100</v>
      </c>
      <c r="P673" s="22">
        <v>3000</v>
      </c>
      <c r="Q673" s="22">
        <v>5100</v>
      </c>
      <c r="R673">
        <v>0</v>
      </c>
      <c r="T673" t="s">
        <v>2974</v>
      </c>
      <c r="U673" t="s">
        <v>3055</v>
      </c>
      <c r="V673" t="s">
        <v>3058</v>
      </c>
    </row>
    <row r="674" spans="1:22">
      <c r="A674">
        <v>673</v>
      </c>
      <c r="B674" t="s">
        <v>1536</v>
      </c>
      <c r="C674" t="s">
        <v>1537</v>
      </c>
      <c r="D674" t="s">
        <v>135</v>
      </c>
      <c r="E674" t="s">
        <v>8</v>
      </c>
      <c r="F674" s="22">
        <v>6300</v>
      </c>
      <c r="G674" s="22">
        <v>0</v>
      </c>
      <c r="H674" s="22">
        <v>800</v>
      </c>
      <c r="I674" s="22">
        <v>5500</v>
      </c>
      <c r="J674">
        <v>0</v>
      </c>
      <c r="K674">
        <v>0</v>
      </c>
      <c r="L674" s="22">
        <v>5500</v>
      </c>
      <c r="M674" s="22">
        <v>0</v>
      </c>
      <c r="N674" s="22">
        <v>0</v>
      </c>
      <c r="O674" s="22">
        <v>5500</v>
      </c>
      <c r="P674" s="22">
        <v>5000</v>
      </c>
      <c r="Q674" s="22">
        <v>500</v>
      </c>
      <c r="R674">
        <v>10000</v>
      </c>
      <c r="T674" t="s">
        <v>2974</v>
      </c>
      <c r="U674" t="s">
        <v>3055</v>
      </c>
      <c r="V674" t="s">
        <v>3058</v>
      </c>
    </row>
    <row r="675" spans="1:22">
      <c r="A675">
        <v>674</v>
      </c>
      <c r="B675" t="s">
        <v>1114</v>
      </c>
      <c r="C675" t="s">
        <v>1115</v>
      </c>
      <c r="D675" t="s">
        <v>1116</v>
      </c>
      <c r="E675" t="s">
        <v>8</v>
      </c>
      <c r="F675" s="22">
        <v>1830</v>
      </c>
      <c r="G675" s="22">
        <v>0</v>
      </c>
      <c r="H675" s="22">
        <v>0</v>
      </c>
      <c r="I675" s="22">
        <v>1830</v>
      </c>
      <c r="J675">
        <v>0</v>
      </c>
      <c r="K675">
        <v>0</v>
      </c>
      <c r="L675" s="22">
        <v>1830</v>
      </c>
      <c r="M675" s="22">
        <v>0</v>
      </c>
      <c r="N675" s="22">
        <v>0</v>
      </c>
      <c r="O675" s="22">
        <v>1830</v>
      </c>
      <c r="P675" s="22">
        <v>800</v>
      </c>
      <c r="Q675" s="22">
        <v>1030</v>
      </c>
      <c r="R675">
        <v>0</v>
      </c>
      <c r="T675" t="s">
        <v>3029</v>
      </c>
      <c r="U675" t="s">
        <v>3057</v>
      </c>
      <c r="V675" t="s">
        <v>3056</v>
      </c>
    </row>
    <row r="676" spans="1:22">
      <c r="A676">
        <v>675</v>
      </c>
      <c r="B676" t="s">
        <v>1540</v>
      </c>
      <c r="C676" t="s">
        <v>1541</v>
      </c>
      <c r="D676" t="s">
        <v>17</v>
      </c>
      <c r="E676" t="s">
        <v>8</v>
      </c>
      <c r="F676" s="22">
        <v>500</v>
      </c>
      <c r="G676" s="22">
        <v>0</v>
      </c>
      <c r="H676" s="22">
        <v>0</v>
      </c>
      <c r="I676" s="22">
        <v>500</v>
      </c>
      <c r="J676">
        <v>0</v>
      </c>
      <c r="K676">
        <v>0</v>
      </c>
      <c r="L676" s="22">
        <v>500</v>
      </c>
      <c r="M676" s="22">
        <v>0</v>
      </c>
      <c r="N676" s="22">
        <v>0</v>
      </c>
      <c r="O676" s="22">
        <v>500</v>
      </c>
      <c r="P676" s="22">
        <v>500</v>
      </c>
      <c r="Q676" s="22">
        <v>0</v>
      </c>
      <c r="R676">
        <v>0</v>
      </c>
      <c r="T676" t="s">
        <v>2972</v>
      </c>
      <c r="U676" t="s">
        <v>3055</v>
      </c>
      <c r="V676" t="s">
        <v>3056</v>
      </c>
    </row>
    <row r="677" spans="1:22">
      <c r="A677">
        <v>676</v>
      </c>
      <c r="B677" t="s">
        <v>1542</v>
      </c>
      <c r="C677" t="s">
        <v>1543</v>
      </c>
      <c r="D677" t="s">
        <v>20</v>
      </c>
      <c r="E677" t="s">
        <v>8</v>
      </c>
      <c r="F677" s="22">
        <v>215.16</v>
      </c>
      <c r="G677" s="22">
        <v>0</v>
      </c>
      <c r="H677" s="22">
        <v>55.44</v>
      </c>
      <c r="I677" s="22">
        <v>159.72</v>
      </c>
      <c r="J677">
        <v>0</v>
      </c>
      <c r="K677">
        <v>0</v>
      </c>
      <c r="L677" s="22">
        <v>159.72</v>
      </c>
      <c r="M677" s="22">
        <v>0</v>
      </c>
      <c r="N677" s="22">
        <v>0</v>
      </c>
      <c r="O677" s="22">
        <v>159.72</v>
      </c>
      <c r="P677" s="22">
        <v>0</v>
      </c>
      <c r="Q677" s="22">
        <v>159.72</v>
      </c>
      <c r="R677">
        <v>0</v>
      </c>
      <c r="T677" t="s">
        <v>3000</v>
      </c>
      <c r="U677" t="s">
        <v>3059</v>
      </c>
      <c r="V677" t="s">
        <v>3056</v>
      </c>
    </row>
    <row r="678" spans="1:22">
      <c r="A678">
        <v>677</v>
      </c>
      <c r="B678" t="s">
        <v>1544</v>
      </c>
      <c r="C678" t="s">
        <v>1545</v>
      </c>
      <c r="D678" t="s">
        <v>20</v>
      </c>
      <c r="E678" t="s">
        <v>8</v>
      </c>
      <c r="F678" s="22">
        <v>1980</v>
      </c>
      <c r="G678" s="22">
        <v>0</v>
      </c>
      <c r="H678" s="22">
        <v>352</v>
      </c>
      <c r="I678" s="22">
        <v>1628</v>
      </c>
      <c r="J678">
        <v>0</v>
      </c>
      <c r="K678">
        <v>0</v>
      </c>
      <c r="L678" s="22">
        <v>1628</v>
      </c>
      <c r="M678" s="22">
        <v>0</v>
      </c>
      <c r="N678" s="22">
        <v>0</v>
      </c>
      <c r="O678" s="22">
        <v>1628</v>
      </c>
      <c r="P678" s="22">
        <v>0</v>
      </c>
      <c r="Q678" s="22">
        <v>1628</v>
      </c>
      <c r="R678">
        <v>0</v>
      </c>
      <c r="T678" t="s">
        <v>3000</v>
      </c>
      <c r="U678" t="s">
        <v>3059</v>
      </c>
      <c r="V678" t="s">
        <v>3056</v>
      </c>
    </row>
    <row r="679" spans="1:22">
      <c r="A679">
        <v>678</v>
      </c>
      <c r="B679" t="s">
        <v>1548</v>
      </c>
      <c r="C679" t="s">
        <v>1549</v>
      </c>
      <c r="D679" t="s">
        <v>17</v>
      </c>
      <c r="E679" t="s">
        <v>8</v>
      </c>
      <c r="F679" s="22">
        <v>30</v>
      </c>
      <c r="G679" s="22">
        <v>0</v>
      </c>
      <c r="H679" s="22">
        <v>11</v>
      </c>
      <c r="I679" s="22">
        <v>19</v>
      </c>
      <c r="J679">
        <v>0</v>
      </c>
      <c r="K679">
        <v>0</v>
      </c>
      <c r="L679" s="22">
        <v>19</v>
      </c>
      <c r="M679" s="22">
        <v>0</v>
      </c>
      <c r="N679" s="22">
        <v>0</v>
      </c>
      <c r="O679" s="22">
        <v>19</v>
      </c>
      <c r="P679" s="22">
        <v>25</v>
      </c>
      <c r="Q679" s="22">
        <v>-6</v>
      </c>
      <c r="R679">
        <v>0</v>
      </c>
      <c r="T679" t="s">
        <v>2972</v>
      </c>
      <c r="U679" t="s">
        <v>3055</v>
      </c>
      <c r="V679" t="s">
        <v>3056</v>
      </c>
    </row>
    <row r="680" spans="1:22">
      <c r="A680">
        <v>679</v>
      </c>
      <c r="B680" t="s">
        <v>1117</v>
      </c>
      <c r="C680" t="s">
        <v>1118</v>
      </c>
      <c r="D680" t="s">
        <v>17</v>
      </c>
      <c r="E680" t="s">
        <v>8</v>
      </c>
      <c r="F680" s="22">
        <v>8500</v>
      </c>
      <c r="G680" s="22">
        <v>0</v>
      </c>
      <c r="H680" s="22">
        <v>0</v>
      </c>
      <c r="I680" s="22">
        <v>8500</v>
      </c>
      <c r="J680">
        <v>0</v>
      </c>
      <c r="K680">
        <v>0</v>
      </c>
      <c r="L680" s="22">
        <v>8500</v>
      </c>
      <c r="M680" s="22">
        <v>0</v>
      </c>
      <c r="N680" s="22">
        <v>0</v>
      </c>
      <c r="O680" s="22">
        <v>8500</v>
      </c>
      <c r="P680" s="22">
        <v>1000</v>
      </c>
      <c r="Q680" s="22">
        <v>7500</v>
      </c>
      <c r="R680">
        <v>0</v>
      </c>
      <c r="T680" t="s">
        <v>2972</v>
      </c>
      <c r="U680" t="s">
        <v>3057</v>
      </c>
      <c r="V680" t="s">
        <v>3058</v>
      </c>
    </row>
    <row r="681" spans="1:22">
      <c r="A681">
        <v>680</v>
      </c>
      <c r="B681" t="s">
        <v>1552</v>
      </c>
      <c r="C681" t="s">
        <v>1553</v>
      </c>
      <c r="D681" t="s">
        <v>17</v>
      </c>
      <c r="E681" t="s">
        <v>8</v>
      </c>
      <c r="F681" s="22">
        <v>7589</v>
      </c>
      <c r="G681" s="22">
        <v>0</v>
      </c>
      <c r="H681" s="22">
        <v>0</v>
      </c>
      <c r="I681" s="22">
        <v>7589</v>
      </c>
      <c r="J681">
        <v>0</v>
      </c>
      <c r="K681">
        <v>0</v>
      </c>
      <c r="L681" s="22">
        <v>7589</v>
      </c>
      <c r="M681" s="22">
        <v>0</v>
      </c>
      <c r="N681" s="22">
        <v>0</v>
      </c>
      <c r="O681" s="22">
        <v>7589</v>
      </c>
      <c r="P681" s="22">
        <v>250</v>
      </c>
      <c r="Q681" s="22">
        <v>7339</v>
      </c>
      <c r="R681">
        <v>0</v>
      </c>
      <c r="T681" t="s">
        <v>2972</v>
      </c>
      <c r="U681" t="s">
        <v>3055</v>
      </c>
      <c r="V681" t="s">
        <v>3056</v>
      </c>
    </row>
    <row r="682" spans="1:22">
      <c r="A682">
        <v>681</v>
      </c>
      <c r="B682" t="s">
        <v>1554</v>
      </c>
      <c r="C682" t="s">
        <v>1555</v>
      </c>
      <c r="D682" t="s">
        <v>17</v>
      </c>
      <c r="E682" t="s">
        <v>8</v>
      </c>
      <c r="F682" s="22">
        <v>900</v>
      </c>
      <c r="G682" s="22">
        <v>0</v>
      </c>
      <c r="H682" s="22">
        <v>0</v>
      </c>
      <c r="I682" s="22">
        <v>900</v>
      </c>
      <c r="J682">
        <v>0</v>
      </c>
      <c r="K682">
        <v>0</v>
      </c>
      <c r="L682" s="22">
        <v>900</v>
      </c>
      <c r="M682" s="22">
        <v>0</v>
      </c>
      <c r="N682" s="22">
        <v>0</v>
      </c>
      <c r="O682" s="22">
        <v>900</v>
      </c>
      <c r="P682" s="22">
        <v>250</v>
      </c>
      <c r="Q682" s="22">
        <v>650</v>
      </c>
      <c r="R682">
        <v>0</v>
      </c>
      <c r="T682" t="s">
        <v>2972</v>
      </c>
      <c r="U682" t="s">
        <v>3055</v>
      </c>
      <c r="V682" t="s">
        <v>3056</v>
      </c>
    </row>
    <row r="683" spans="1:22">
      <c r="A683">
        <v>682</v>
      </c>
      <c r="B683" t="s">
        <v>1556</v>
      </c>
      <c r="C683" t="s">
        <v>1557</v>
      </c>
      <c r="D683" t="s">
        <v>17</v>
      </c>
      <c r="E683" t="s">
        <v>8</v>
      </c>
      <c r="F683" s="22">
        <v>957</v>
      </c>
      <c r="G683" s="22">
        <v>0</v>
      </c>
      <c r="H683" s="22">
        <v>49</v>
      </c>
      <c r="I683" s="22">
        <v>908</v>
      </c>
      <c r="J683">
        <v>0</v>
      </c>
      <c r="K683">
        <v>0</v>
      </c>
      <c r="L683" s="22">
        <v>908</v>
      </c>
      <c r="M683" s="22">
        <v>0</v>
      </c>
      <c r="N683" s="22">
        <v>0</v>
      </c>
      <c r="O683" s="22">
        <v>908</v>
      </c>
      <c r="P683" s="22">
        <v>500</v>
      </c>
      <c r="Q683" s="22">
        <v>408</v>
      </c>
      <c r="R683">
        <v>0</v>
      </c>
      <c r="T683" t="s">
        <v>2972</v>
      </c>
      <c r="U683" t="s">
        <v>3055</v>
      </c>
      <c r="V683" t="s">
        <v>3058</v>
      </c>
    </row>
    <row r="684" spans="1:22">
      <c r="A684">
        <v>683</v>
      </c>
      <c r="B684" t="s">
        <v>1558</v>
      </c>
      <c r="C684" t="s">
        <v>1559</v>
      </c>
      <c r="D684" t="s">
        <v>17</v>
      </c>
      <c r="E684" t="s">
        <v>8</v>
      </c>
      <c r="F684" s="22">
        <v>31</v>
      </c>
      <c r="G684" s="22">
        <v>52</v>
      </c>
      <c r="H684" s="22">
        <v>12</v>
      </c>
      <c r="I684" s="22">
        <v>71</v>
      </c>
      <c r="J684">
        <v>0</v>
      </c>
      <c r="K684">
        <v>0</v>
      </c>
      <c r="L684" s="22">
        <v>71</v>
      </c>
      <c r="M684" s="22">
        <v>0</v>
      </c>
      <c r="N684" s="22">
        <v>0</v>
      </c>
      <c r="O684" s="22">
        <v>71</v>
      </c>
      <c r="P684" s="22">
        <v>25</v>
      </c>
      <c r="Q684" s="22">
        <v>46</v>
      </c>
      <c r="R684">
        <v>50</v>
      </c>
      <c r="T684" t="s">
        <v>2972</v>
      </c>
      <c r="U684" t="s">
        <v>3055</v>
      </c>
      <c r="V684" t="s">
        <v>3056</v>
      </c>
    </row>
    <row r="685" spans="1:22">
      <c r="A685">
        <v>684</v>
      </c>
      <c r="B685" t="s">
        <v>1123</v>
      </c>
      <c r="C685" t="s">
        <v>1124</v>
      </c>
      <c r="D685" t="s">
        <v>17</v>
      </c>
      <c r="E685" t="s">
        <v>8</v>
      </c>
      <c r="F685" s="22">
        <v>3100</v>
      </c>
      <c r="G685" s="22">
        <v>0</v>
      </c>
      <c r="H685" s="22">
        <v>0</v>
      </c>
      <c r="I685" s="22">
        <v>3100</v>
      </c>
      <c r="J685">
        <v>0</v>
      </c>
      <c r="K685">
        <v>0</v>
      </c>
      <c r="L685" s="22">
        <v>3100</v>
      </c>
      <c r="M685" s="22">
        <v>0</v>
      </c>
      <c r="N685" s="22">
        <v>0</v>
      </c>
      <c r="O685" s="22">
        <v>3100</v>
      </c>
      <c r="P685" s="22">
        <v>800</v>
      </c>
      <c r="Q685" s="22">
        <v>2300</v>
      </c>
      <c r="R685">
        <v>0</v>
      </c>
      <c r="T685" t="s">
        <v>2972</v>
      </c>
      <c r="U685" t="s">
        <v>3057</v>
      </c>
      <c r="V685" t="s">
        <v>3056</v>
      </c>
    </row>
    <row r="686" spans="1:22">
      <c r="A686">
        <v>685</v>
      </c>
      <c r="B686" t="s">
        <v>1564</v>
      </c>
      <c r="C686" t="s">
        <v>1565</v>
      </c>
      <c r="D686" t="s">
        <v>17</v>
      </c>
      <c r="E686" t="s">
        <v>8</v>
      </c>
      <c r="F686" s="22">
        <v>6000</v>
      </c>
      <c r="G686" s="22">
        <v>0</v>
      </c>
      <c r="H686" s="22">
        <v>0</v>
      </c>
      <c r="I686" s="22">
        <v>6000</v>
      </c>
      <c r="J686">
        <v>0</v>
      </c>
      <c r="K686">
        <v>0</v>
      </c>
      <c r="L686" s="22">
        <v>6000</v>
      </c>
      <c r="M686" s="22">
        <v>0</v>
      </c>
      <c r="N686" s="22">
        <v>0</v>
      </c>
      <c r="O686" s="22">
        <v>6000</v>
      </c>
      <c r="P686" s="22">
        <v>2000</v>
      </c>
      <c r="Q686" s="22">
        <v>4000</v>
      </c>
      <c r="R686">
        <v>0</v>
      </c>
      <c r="T686" t="s">
        <v>2972</v>
      </c>
      <c r="U686" t="s">
        <v>3055</v>
      </c>
      <c r="V686" t="s">
        <v>3056</v>
      </c>
    </row>
    <row r="687" spans="1:22">
      <c r="A687">
        <v>686</v>
      </c>
      <c r="B687" t="s">
        <v>1566</v>
      </c>
      <c r="C687" t="s">
        <v>1567</v>
      </c>
      <c r="D687" t="s">
        <v>20</v>
      </c>
      <c r="E687" t="s">
        <v>8</v>
      </c>
      <c r="F687" s="22">
        <v>4340.34</v>
      </c>
      <c r="G687" s="22">
        <v>0</v>
      </c>
      <c r="H687" s="22">
        <v>616.29999999999995</v>
      </c>
      <c r="I687" s="22">
        <v>3724.04</v>
      </c>
      <c r="J687">
        <v>0</v>
      </c>
      <c r="K687">
        <v>0</v>
      </c>
      <c r="L687" s="22">
        <v>3724.04</v>
      </c>
      <c r="M687" s="22">
        <v>0</v>
      </c>
      <c r="N687" s="22">
        <v>0</v>
      </c>
      <c r="O687" s="22">
        <v>3724.04</v>
      </c>
      <c r="P687" s="22">
        <v>0</v>
      </c>
      <c r="Q687" s="22">
        <v>3724.04</v>
      </c>
      <c r="R687">
        <v>0</v>
      </c>
      <c r="T687" t="s">
        <v>3000</v>
      </c>
      <c r="U687" t="s">
        <v>3059</v>
      </c>
      <c r="V687" t="s">
        <v>3056</v>
      </c>
    </row>
    <row r="688" spans="1:22">
      <c r="A688">
        <v>687</v>
      </c>
      <c r="B688" t="s">
        <v>1127</v>
      </c>
      <c r="C688" t="s">
        <v>1128</v>
      </c>
      <c r="D688" t="s">
        <v>17</v>
      </c>
      <c r="E688" t="s">
        <v>8</v>
      </c>
      <c r="F688" s="22">
        <v>3000</v>
      </c>
      <c r="G688" s="22">
        <v>0</v>
      </c>
      <c r="H688" s="22">
        <v>0</v>
      </c>
      <c r="I688" s="22">
        <v>3000</v>
      </c>
      <c r="J688">
        <v>0</v>
      </c>
      <c r="K688">
        <v>0</v>
      </c>
      <c r="L688" s="22">
        <v>3000</v>
      </c>
      <c r="M688" s="22">
        <v>0</v>
      </c>
      <c r="N688" s="22">
        <v>0</v>
      </c>
      <c r="O688" s="22">
        <v>3000</v>
      </c>
      <c r="P688" s="22">
        <v>1500</v>
      </c>
      <c r="Q688" s="22">
        <v>1500</v>
      </c>
      <c r="R688">
        <v>0</v>
      </c>
      <c r="T688" t="s">
        <v>2972</v>
      </c>
      <c r="U688" t="s">
        <v>3057</v>
      </c>
      <c r="V688" t="s">
        <v>3058</v>
      </c>
    </row>
    <row r="689" spans="1:22">
      <c r="A689">
        <v>688</v>
      </c>
      <c r="B689" t="s">
        <v>1129</v>
      </c>
      <c r="C689" t="s">
        <v>1130</v>
      </c>
      <c r="D689" t="s">
        <v>17</v>
      </c>
      <c r="E689" t="s">
        <v>8</v>
      </c>
      <c r="F689" s="22">
        <v>0</v>
      </c>
      <c r="G689" s="22">
        <v>0</v>
      </c>
      <c r="H689" s="22">
        <v>0</v>
      </c>
      <c r="I689" s="22">
        <v>0</v>
      </c>
      <c r="J689">
        <v>0</v>
      </c>
      <c r="K689">
        <v>0</v>
      </c>
      <c r="L689" s="22">
        <v>0</v>
      </c>
      <c r="M689" s="22">
        <v>0</v>
      </c>
      <c r="N689" s="22">
        <v>0</v>
      </c>
      <c r="O689" s="22">
        <v>0</v>
      </c>
      <c r="P689" s="22">
        <v>0</v>
      </c>
      <c r="Q689" s="22">
        <v>0</v>
      </c>
      <c r="R689">
        <v>0</v>
      </c>
      <c r="T689" t="s">
        <v>2972</v>
      </c>
      <c r="U689" t="s">
        <v>3057</v>
      </c>
      <c r="V689" t="s">
        <v>3058</v>
      </c>
    </row>
    <row r="690" spans="1:22">
      <c r="A690">
        <v>689</v>
      </c>
      <c r="B690" t="s">
        <v>1576</v>
      </c>
      <c r="C690" t="s">
        <v>1577</v>
      </c>
      <c r="D690" t="s">
        <v>17</v>
      </c>
      <c r="E690" t="s">
        <v>8</v>
      </c>
      <c r="F690" s="22">
        <v>196</v>
      </c>
      <c r="G690" s="22">
        <v>0</v>
      </c>
      <c r="H690" s="22">
        <v>0</v>
      </c>
      <c r="I690" s="22">
        <v>196</v>
      </c>
      <c r="J690">
        <v>0</v>
      </c>
      <c r="K690">
        <v>0</v>
      </c>
      <c r="L690" s="22">
        <v>196</v>
      </c>
      <c r="M690" s="22">
        <v>0</v>
      </c>
      <c r="N690" s="22">
        <v>0</v>
      </c>
      <c r="O690" s="22">
        <v>196</v>
      </c>
      <c r="P690" s="22">
        <v>150</v>
      </c>
      <c r="Q690" s="22">
        <v>46</v>
      </c>
      <c r="R690">
        <v>0</v>
      </c>
      <c r="T690" t="s">
        <v>2982</v>
      </c>
      <c r="U690" t="s">
        <v>3060</v>
      </c>
      <c r="V690" t="s">
        <v>3058</v>
      </c>
    </row>
    <row r="691" spans="1:22">
      <c r="A691">
        <v>690</v>
      </c>
      <c r="B691" t="s">
        <v>1578</v>
      </c>
      <c r="C691" t="s">
        <v>1579</v>
      </c>
      <c r="D691" t="s">
        <v>17</v>
      </c>
      <c r="E691" t="s">
        <v>8</v>
      </c>
      <c r="F691" s="22">
        <v>229</v>
      </c>
      <c r="G691" s="22">
        <v>0</v>
      </c>
      <c r="H691" s="22">
        <v>0</v>
      </c>
      <c r="I691" s="22">
        <v>229</v>
      </c>
      <c r="J691">
        <v>0</v>
      </c>
      <c r="K691">
        <v>0</v>
      </c>
      <c r="L691" s="22">
        <v>229</v>
      </c>
      <c r="M691" s="22">
        <v>0</v>
      </c>
      <c r="N691" s="22">
        <v>0</v>
      </c>
      <c r="O691" s="22">
        <v>229</v>
      </c>
      <c r="P691" s="22">
        <v>100</v>
      </c>
      <c r="Q691" s="22">
        <v>129</v>
      </c>
      <c r="R691">
        <v>0</v>
      </c>
      <c r="T691" t="s">
        <v>2982</v>
      </c>
      <c r="U691" t="s">
        <v>3060</v>
      </c>
      <c r="V691" t="s">
        <v>3058</v>
      </c>
    </row>
    <row r="692" spans="1:22">
      <c r="A692">
        <v>691</v>
      </c>
      <c r="B692" t="s">
        <v>1580</v>
      </c>
      <c r="C692" t="s">
        <v>1581</v>
      </c>
      <c r="D692" t="s">
        <v>17</v>
      </c>
      <c r="E692" t="s">
        <v>8</v>
      </c>
      <c r="F692" s="22">
        <v>190</v>
      </c>
      <c r="G692" s="22">
        <v>0</v>
      </c>
      <c r="H692" s="22">
        <v>35</v>
      </c>
      <c r="I692" s="22">
        <v>155</v>
      </c>
      <c r="J692">
        <v>0</v>
      </c>
      <c r="K692">
        <v>0</v>
      </c>
      <c r="L692" s="22">
        <v>155</v>
      </c>
      <c r="M692" s="22">
        <v>0</v>
      </c>
      <c r="N692" s="22">
        <v>0</v>
      </c>
      <c r="O692" s="22">
        <v>155</v>
      </c>
      <c r="P692" s="22">
        <v>150</v>
      </c>
      <c r="Q692" s="22">
        <v>5</v>
      </c>
      <c r="R692">
        <v>0</v>
      </c>
      <c r="T692" t="s">
        <v>2972</v>
      </c>
      <c r="U692" t="s">
        <v>3060</v>
      </c>
      <c r="V692" t="s">
        <v>3058</v>
      </c>
    </row>
    <row r="693" spans="1:22">
      <c r="A693">
        <v>692</v>
      </c>
      <c r="B693" t="s">
        <v>1584</v>
      </c>
      <c r="C693" t="s">
        <v>1585</v>
      </c>
      <c r="D693" t="s">
        <v>17</v>
      </c>
      <c r="E693" t="s">
        <v>8</v>
      </c>
      <c r="F693" s="22">
        <v>287</v>
      </c>
      <c r="G693" s="22">
        <v>0</v>
      </c>
      <c r="H693" s="22">
        <v>0</v>
      </c>
      <c r="I693" s="22">
        <v>287</v>
      </c>
      <c r="J693">
        <v>0</v>
      </c>
      <c r="K693">
        <v>0</v>
      </c>
      <c r="L693" s="22">
        <v>287</v>
      </c>
      <c r="M693" s="22">
        <v>0</v>
      </c>
      <c r="N693" s="22">
        <v>0</v>
      </c>
      <c r="O693" s="22">
        <v>287</v>
      </c>
      <c r="P693" s="22">
        <v>100</v>
      </c>
      <c r="Q693" s="22">
        <v>187</v>
      </c>
      <c r="R693">
        <v>0</v>
      </c>
      <c r="T693" t="s">
        <v>2972</v>
      </c>
      <c r="U693" t="s">
        <v>3060</v>
      </c>
      <c r="V693" t="s">
        <v>3058</v>
      </c>
    </row>
    <row r="694" spans="1:22">
      <c r="A694">
        <v>693</v>
      </c>
      <c r="B694" t="s">
        <v>1131</v>
      </c>
      <c r="C694" t="s">
        <v>1132</v>
      </c>
      <c r="D694" t="s">
        <v>17</v>
      </c>
      <c r="E694" t="s">
        <v>8</v>
      </c>
      <c r="F694" s="22">
        <v>940</v>
      </c>
      <c r="G694" s="22">
        <v>600</v>
      </c>
      <c r="H694" s="22">
        <v>520</v>
      </c>
      <c r="I694" s="22">
        <v>1020</v>
      </c>
      <c r="J694">
        <v>0</v>
      </c>
      <c r="K694">
        <v>0</v>
      </c>
      <c r="L694" s="22">
        <v>1020</v>
      </c>
      <c r="M694" s="22">
        <v>0</v>
      </c>
      <c r="N694" s="22">
        <v>0</v>
      </c>
      <c r="O694" s="22">
        <v>1020</v>
      </c>
      <c r="P694" s="22">
        <v>200</v>
      </c>
      <c r="Q694" s="22">
        <v>820</v>
      </c>
      <c r="R694">
        <v>600</v>
      </c>
      <c r="T694" t="s">
        <v>2991</v>
      </c>
      <c r="U694" t="s">
        <v>3057</v>
      </c>
      <c r="V694" t="s">
        <v>3056</v>
      </c>
    </row>
    <row r="695" spans="1:22">
      <c r="A695">
        <v>694</v>
      </c>
      <c r="B695" t="s">
        <v>1588</v>
      </c>
      <c r="C695" t="s">
        <v>1589</v>
      </c>
      <c r="D695" t="s">
        <v>17</v>
      </c>
      <c r="E695" t="s">
        <v>8</v>
      </c>
      <c r="F695" s="22">
        <v>204</v>
      </c>
      <c r="G695" s="22">
        <v>0</v>
      </c>
      <c r="H695" s="22">
        <v>0</v>
      </c>
      <c r="I695" s="22">
        <v>204</v>
      </c>
      <c r="J695">
        <v>0</v>
      </c>
      <c r="K695">
        <v>0</v>
      </c>
      <c r="L695" s="22">
        <v>204</v>
      </c>
      <c r="M695" s="22">
        <v>0</v>
      </c>
      <c r="N695" s="22">
        <v>0</v>
      </c>
      <c r="O695" s="22">
        <v>204</v>
      </c>
      <c r="P695" s="22">
        <v>0</v>
      </c>
      <c r="Q695" s="22">
        <v>204</v>
      </c>
      <c r="R695">
        <v>0</v>
      </c>
      <c r="T695" t="s">
        <v>2982</v>
      </c>
      <c r="U695" t="s">
        <v>3060</v>
      </c>
      <c r="V695" t="s">
        <v>3058</v>
      </c>
    </row>
    <row r="696" spans="1:22">
      <c r="A696">
        <v>695</v>
      </c>
      <c r="B696" t="s">
        <v>1133</v>
      </c>
      <c r="C696" t="s">
        <v>1134</v>
      </c>
      <c r="D696" t="s">
        <v>17</v>
      </c>
      <c r="E696" t="s">
        <v>8</v>
      </c>
      <c r="F696" s="22">
        <v>2516</v>
      </c>
      <c r="G696" s="22">
        <v>0</v>
      </c>
      <c r="H696" s="22">
        <v>0</v>
      </c>
      <c r="I696" s="22">
        <v>2516</v>
      </c>
      <c r="J696">
        <v>0</v>
      </c>
      <c r="K696">
        <v>0</v>
      </c>
      <c r="L696" s="22">
        <v>2516</v>
      </c>
      <c r="M696" s="22">
        <v>0</v>
      </c>
      <c r="N696" s="22">
        <v>0</v>
      </c>
      <c r="O696" s="22">
        <v>2516</v>
      </c>
      <c r="P696" s="22">
        <v>1500</v>
      </c>
      <c r="Q696" s="22">
        <v>1016</v>
      </c>
      <c r="R696">
        <v>0</v>
      </c>
      <c r="T696" t="s">
        <v>2972</v>
      </c>
      <c r="U696" t="s">
        <v>3057</v>
      </c>
      <c r="V696" t="s">
        <v>3056</v>
      </c>
    </row>
    <row r="697" spans="1:22">
      <c r="A697">
        <v>696</v>
      </c>
      <c r="B697" t="s">
        <v>1137</v>
      </c>
      <c r="C697" t="s">
        <v>1138</v>
      </c>
      <c r="D697" t="s">
        <v>17</v>
      </c>
      <c r="E697" t="s">
        <v>8</v>
      </c>
      <c r="F697" s="22">
        <v>0</v>
      </c>
      <c r="G697" s="22">
        <v>0</v>
      </c>
      <c r="H697" s="22">
        <v>0</v>
      </c>
      <c r="I697" s="22">
        <v>0</v>
      </c>
      <c r="J697">
        <v>0</v>
      </c>
      <c r="K697">
        <v>0</v>
      </c>
      <c r="L697" s="22">
        <v>0</v>
      </c>
      <c r="M697" s="22">
        <v>0</v>
      </c>
      <c r="N697" s="22">
        <v>0</v>
      </c>
      <c r="O697" s="22">
        <v>0</v>
      </c>
      <c r="P697" s="22">
        <v>2200</v>
      </c>
      <c r="Q697" s="22">
        <v>-2200</v>
      </c>
      <c r="R697">
        <v>0</v>
      </c>
      <c r="T697" t="s">
        <v>2972</v>
      </c>
      <c r="U697" t="s">
        <v>3057</v>
      </c>
      <c r="V697" t="s">
        <v>3056</v>
      </c>
    </row>
    <row r="698" spans="1:22">
      <c r="A698">
        <v>697</v>
      </c>
      <c r="B698" t="s">
        <v>1139</v>
      </c>
      <c r="C698" t="s">
        <v>1140</v>
      </c>
      <c r="D698" t="s">
        <v>17</v>
      </c>
      <c r="E698" t="s">
        <v>8</v>
      </c>
      <c r="F698" s="22">
        <v>4200</v>
      </c>
      <c r="G698" s="22">
        <v>0</v>
      </c>
      <c r="H698" s="22">
        <v>0</v>
      </c>
      <c r="I698" s="22">
        <v>4200</v>
      </c>
      <c r="J698">
        <v>0</v>
      </c>
      <c r="K698">
        <v>0</v>
      </c>
      <c r="L698" s="22">
        <v>4200</v>
      </c>
      <c r="M698" s="22">
        <v>0</v>
      </c>
      <c r="N698" s="22">
        <v>0</v>
      </c>
      <c r="O698" s="22">
        <v>4200</v>
      </c>
      <c r="P698" s="22">
        <v>2200</v>
      </c>
      <c r="Q698" s="22">
        <v>2000</v>
      </c>
      <c r="R698">
        <v>0</v>
      </c>
      <c r="T698" t="s">
        <v>2972</v>
      </c>
      <c r="U698" t="s">
        <v>3057</v>
      </c>
      <c r="V698" t="s">
        <v>3056</v>
      </c>
    </row>
    <row r="699" spans="1:22">
      <c r="A699">
        <v>698</v>
      </c>
      <c r="B699" t="s">
        <v>1149</v>
      </c>
      <c r="C699" t="s">
        <v>1150</v>
      </c>
      <c r="D699" t="s">
        <v>20</v>
      </c>
      <c r="E699" t="s">
        <v>8</v>
      </c>
      <c r="F699" s="22">
        <v>994.2</v>
      </c>
      <c r="G699" s="22">
        <v>719</v>
      </c>
      <c r="H699" s="22">
        <v>854.6</v>
      </c>
      <c r="I699" s="22">
        <v>858.6</v>
      </c>
      <c r="J699">
        <v>0</v>
      </c>
      <c r="K699">
        <v>0</v>
      </c>
      <c r="L699" s="22">
        <v>858.6</v>
      </c>
      <c r="M699" s="22">
        <v>0</v>
      </c>
      <c r="N699" s="22">
        <v>0</v>
      </c>
      <c r="O699" s="22">
        <v>858.6</v>
      </c>
      <c r="P699" s="22">
        <v>1000</v>
      </c>
      <c r="Q699" s="22">
        <v>-141.39999999999998</v>
      </c>
      <c r="R699">
        <v>1000</v>
      </c>
      <c r="T699" t="s">
        <v>3031</v>
      </c>
      <c r="U699" t="s">
        <v>3057</v>
      </c>
      <c r="V699" t="s">
        <v>3056</v>
      </c>
    </row>
    <row r="700" spans="1:22">
      <c r="A700">
        <v>699</v>
      </c>
      <c r="B700" t="s">
        <v>1151</v>
      </c>
      <c r="C700" t="s">
        <v>1152</v>
      </c>
      <c r="D700" t="s">
        <v>20</v>
      </c>
      <c r="E700" t="s">
        <v>8</v>
      </c>
      <c r="F700" s="22">
        <v>208.3</v>
      </c>
      <c r="G700" s="22">
        <v>0</v>
      </c>
      <c r="H700" s="22">
        <v>23.4</v>
      </c>
      <c r="I700" s="22">
        <v>184.9</v>
      </c>
      <c r="J700">
        <v>0</v>
      </c>
      <c r="K700">
        <v>0</v>
      </c>
      <c r="L700" s="22">
        <v>184.9</v>
      </c>
      <c r="M700" s="22">
        <v>0</v>
      </c>
      <c r="N700" s="22">
        <v>0</v>
      </c>
      <c r="O700" s="22">
        <v>184.9</v>
      </c>
      <c r="P700" s="22">
        <v>150</v>
      </c>
      <c r="Q700" s="22">
        <v>34.900000000000006</v>
      </c>
      <c r="R700">
        <v>0</v>
      </c>
      <c r="T700" t="s">
        <v>3031</v>
      </c>
      <c r="U700" t="s">
        <v>3057</v>
      </c>
      <c r="V700" t="s">
        <v>3056</v>
      </c>
    </row>
    <row r="701" spans="1:22">
      <c r="A701">
        <v>700</v>
      </c>
      <c r="B701" t="s">
        <v>1153</v>
      </c>
      <c r="C701" t="s">
        <v>1154</v>
      </c>
      <c r="D701" t="s">
        <v>20</v>
      </c>
      <c r="E701" t="s">
        <v>8</v>
      </c>
      <c r="F701" s="22">
        <v>0.05</v>
      </c>
      <c r="G701" s="22">
        <v>610.9</v>
      </c>
      <c r="H701" s="22">
        <v>365.8</v>
      </c>
      <c r="I701" s="22">
        <v>245.15</v>
      </c>
      <c r="J701">
        <v>0</v>
      </c>
      <c r="K701">
        <v>0</v>
      </c>
      <c r="L701" s="22">
        <v>245.15</v>
      </c>
      <c r="M701" s="22">
        <v>0</v>
      </c>
      <c r="N701" s="22">
        <v>0</v>
      </c>
      <c r="O701" s="22">
        <v>245.15</v>
      </c>
      <c r="P701" s="22">
        <v>200</v>
      </c>
      <c r="Q701" s="22">
        <v>45.150000000000006</v>
      </c>
      <c r="R701">
        <v>450</v>
      </c>
      <c r="T701" t="s">
        <v>3031</v>
      </c>
      <c r="U701" t="s">
        <v>3057</v>
      </c>
      <c r="V701" t="s">
        <v>3056</v>
      </c>
    </row>
    <row r="702" spans="1:22">
      <c r="A702">
        <v>701</v>
      </c>
      <c r="B702" t="s">
        <v>1203</v>
      </c>
      <c r="C702" t="s">
        <v>1204</v>
      </c>
      <c r="D702" t="s">
        <v>17</v>
      </c>
      <c r="E702" t="s">
        <v>8</v>
      </c>
      <c r="F702" s="22">
        <v>153</v>
      </c>
      <c r="G702" s="22">
        <v>0</v>
      </c>
      <c r="H702" s="22">
        <v>70</v>
      </c>
      <c r="I702" s="22">
        <v>83</v>
      </c>
      <c r="J702">
        <v>0</v>
      </c>
      <c r="K702">
        <v>0</v>
      </c>
      <c r="L702" s="22">
        <v>83</v>
      </c>
      <c r="M702" s="22">
        <v>0</v>
      </c>
      <c r="N702" s="22">
        <v>0</v>
      </c>
      <c r="O702" s="22">
        <v>83</v>
      </c>
      <c r="P702" s="22">
        <v>50</v>
      </c>
      <c r="Q702" s="22">
        <v>33</v>
      </c>
      <c r="R702">
        <v>0</v>
      </c>
      <c r="T702" t="s">
        <v>3052</v>
      </c>
      <c r="U702" t="s">
        <v>3057</v>
      </c>
      <c r="V702" t="s">
        <v>3056</v>
      </c>
    </row>
    <row r="703" spans="1:22">
      <c r="A703">
        <v>702</v>
      </c>
      <c r="B703" t="s">
        <v>1213</v>
      </c>
      <c r="C703" t="s">
        <v>1214</v>
      </c>
      <c r="D703" t="s">
        <v>17</v>
      </c>
      <c r="E703" t="s">
        <v>8</v>
      </c>
      <c r="F703" s="22">
        <v>12</v>
      </c>
      <c r="G703" s="22">
        <v>0</v>
      </c>
      <c r="H703" s="22">
        <v>2</v>
      </c>
      <c r="I703" s="22">
        <v>10</v>
      </c>
      <c r="J703">
        <v>0</v>
      </c>
      <c r="K703">
        <v>0</v>
      </c>
      <c r="L703" s="22">
        <v>10</v>
      </c>
      <c r="M703" s="22">
        <v>0</v>
      </c>
      <c r="N703" s="22">
        <v>0</v>
      </c>
      <c r="O703" s="22">
        <v>10</v>
      </c>
      <c r="P703" s="22">
        <v>5</v>
      </c>
      <c r="Q703" s="22">
        <v>5</v>
      </c>
      <c r="R703">
        <v>0</v>
      </c>
      <c r="T703" t="s">
        <v>3052</v>
      </c>
      <c r="U703" t="s">
        <v>3057</v>
      </c>
      <c r="V703" t="s">
        <v>3056</v>
      </c>
    </row>
    <row r="704" spans="1:22">
      <c r="A704">
        <v>703</v>
      </c>
      <c r="B704" t="s">
        <v>1261</v>
      </c>
      <c r="C704" t="s">
        <v>1262</v>
      </c>
      <c r="D704" t="s">
        <v>17</v>
      </c>
      <c r="E704" t="s">
        <v>8</v>
      </c>
      <c r="F704" s="22">
        <v>8</v>
      </c>
      <c r="G704" s="22">
        <v>65</v>
      </c>
      <c r="H704" s="22">
        <v>65</v>
      </c>
      <c r="I704" s="22">
        <v>8</v>
      </c>
      <c r="J704">
        <v>0</v>
      </c>
      <c r="K704">
        <v>0</v>
      </c>
      <c r="L704" s="22">
        <v>8</v>
      </c>
      <c r="M704" s="22">
        <v>0</v>
      </c>
      <c r="N704" s="22">
        <v>0</v>
      </c>
      <c r="O704" s="22">
        <v>8</v>
      </c>
      <c r="P704" s="22">
        <v>0</v>
      </c>
      <c r="Q704" s="22">
        <v>8</v>
      </c>
      <c r="R704">
        <v>0</v>
      </c>
      <c r="T704" t="s">
        <v>3052</v>
      </c>
      <c r="U704" t="s">
        <v>3057</v>
      </c>
      <c r="V704" t="s">
        <v>3056</v>
      </c>
    </row>
    <row r="705" spans="1:22">
      <c r="A705">
        <v>704</v>
      </c>
      <c r="B705" t="s">
        <v>1271</v>
      </c>
      <c r="C705" t="s">
        <v>1272</v>
      </c>
      <c r="D705" t="s">
        <v>116</v>
      </c>
      <c r="E705" t="s">
        <v>8</v>
      </c>
      <c r="F705" s="22">
        <v>6</v>
      </c>
      <c r="G705" s="22">
        <v>0</v>
      </c>
      <c r="H705" s="22">
        <v>0</v>
      </c>
      <c r="I705" s="22">
        <v>6</v>
      </c>
      <c r="J705">
        <v>0</v>
      </c>
      <c r="K705">
        <v>0</v>
      </c>
      <c r="L705" s="22">
        <v>6</v>
      </c>
      <c r="M705" s="22">
        <v>0</v>
      </c>
      <c r="N705" s="22">
        <v>0</v>
      </c>
      <c r="O705" s="22">
        <v>6</v>
      </c>
      <c r="P705" s="22">
        <v>2</v>
      </c>
      <c r="Q705" s="22">
        <v>4</v>
      </c>
      <c r="R705">
        <v>0</v>
      </c>
      <c r="T705" t="s">
        <v>3052</v>
      </c>
      <c r="U705" t="s">
        <v>3057</v>
      </c>
      <c r="V705" t="s">
        <v>3056</v>
      </c>
    </row>
    <row r="706" spans="1:22">
      <c r="A706">
        <v>705</v>
      </c>
      <c r="B706" t="s">
        <v>1273</v>
      </c>
      <c r="C706" t="s">
        <v>1274</v>
      </c>
      <c r="D706" t="s">
        <v>116</v>
      </c>
      <c r="E706" t="s">
        <v>8</v>
      </c>
      <c r="F706" s="22">
        <v>1</v>
      </c>
      <c r="G706" s="22">
        <v>0</v>
      </c>
      <c r="H706" s="22">
        <v>0</v>
      </c>
      <c r="I706" s="22">
        <v>1</v>
      </c>
      <c r="J706">
        <v>0</v>
      </c>
      <c r="K706">
        <v>0</v>
      </c>
      <c r="L706" s="22">
        <v>1</v>
      </c>
      <c r="M706" s="22">
        <v>0</v>
      </c>
      <c r="N706" s="22">
        <v>0</v>
      </c>
      <c r="O706" s="22">
        <v>1</v>
      </c>
      <c r="P706" s="22">
        <v>2</v>
      </c>
      <c r="Q706" s="22">
        <v>-1</v>
      </c>
      <c r="R706">
        <v>0</v>
      </c>
      <c r="T706" t="s">
        <v>3052</v>
      </c>
      <c r="U706" t="s">
        <v>3057</v>
      </c>
      <c r="V706" t="s">
        <v>3056</v>
      </c>
    </row>
    <row r="707" spans="1:22">
      <c r="A707">
        <v>706</v>
      </c>
      <c r="B707" t="s">
        <v>1452</v>
      </c>
      <c r="C707" t="s">
        <v>1453</v>
      </c>
      <c r="D707" t="s">
        <v>17</v>
      </c>
      <c r="E707" t="s">
        <v>8</v>
      </c>
      <c r="F707" s="22">
        <v>0</v>
      </c>
      <c r="G707" s="22">
        <v>0</v>
      </c>
      <c r="H707" s="22">
        <v>0</v>
      </c>
      <c r="I707" s="22">
        <v>0</v>
      </c>
      <c r="J707">
        <v>0</v>
      </c>
      <c r="K707">
        <v>0</v>
      </c>
      <c r="L707" s="22">
        <v>0</v>
      </c>
      <c r="M707" s="22">
        <v>0</v>
      </c>
      <c r="N707" s="22">
        <v>0</v>
      </c>
      <c r="O707" s="22">
        <v>0</v>
      </c>
      <c r="P707" s="22">
        <v>0</v>
      </c>
      <c r="Q707" s="22">
        <v>0</v>
      </c>
      <c r="R707">
        <v>0</v>
      </c>
      <c r="T707" t="s">
        <v>2972</v>
      </c>
      <c r="U707" t="s">
        <v>3057</v>
      </c>
      <c r="V707" t="s">
        <v>3056</v>
      </c>
    </row>
    <row r="708" spans="1:22">
      <c r="A708">
        <v>707</v>
      </c>
      <c r="B708" t="s">
        <v>1454</v>
      </c>
      <c r="C708" t="s">
        <v>1455</v>
      </c>
      <c r="D708" t="s">
        <v>17</v>
      </c>
      <c r="E708" t="s">
        <v>8</v>
      </c>
      <c r="F708" s="22">
        <v>1302</v>
      </c>
      <c r="G708" s="22">
        <v>0</v>
      </c>
      <c r="H708" s="22">
        <v>0</v>
      </c>
      <c r="I708" s="22">
        <v>1302</v>
      </c>
      <c r="J708">
        <v>0</v>
      </c>
      <c r="K708">
        <v>0</v>
      </c>
      <c r="L708" s="22">
        <v>1302</v>
      </c>
      <c r="M708" s="22">
        <v>0</v>
      </c>
      <c r="N708" s="22">
        <v>0</v>
      </c>
      <c r="O708" s="22">
        <v>1302</v>
      </c>
      <c r="P708" s="22">
        <v>0</v>
      </c>
      <c r="Q708" s="22">
        <v>1302</v>
      </c>
      <c r="R708">
        <v>0</v>
      </c>
      <c r="T708" t="s">
        <v>2972</v>
      </c>
      <c r="U708" t="s">
        <v>3057</v>
      </c>
      <c r="V708" t="s">
        <v>3056</v>
      </c>
    </row>
    <row r="709" spans="1:22">
      <c r="A709">
        <v>708</v>
      </c>
      <c r="B709" t="s">
        <v>1460</v>
      </c>
      <c r="C709" t="s">
        <v>1461</v>
      </c>
      <c r="D709" t="s">
        <v>17</v>
      </c>
      <c r="E709" t="s">
        <v>8</v>
      </c>
      <c r="F709" s="22">
        <v>0</v>
      </c>
      <c r="G709" s="22">
        <v>0</v>
      </c>
      <c r="H709" s="22">
        <v>0</v>
      </c>
      <c r="I709" s="22">
        <v>0</v>
      </c>
      <c r="J709">
        <v>0</v>
      </c>
      <c r="K709">
        <v>0</v>
      </c>
      <c r="L709" s="22">
        <v>0</v>
      </c>
      <c r="M709" s="22">
        <v>0</v>
      </c>
      <c r="N709" s="22">
        <v>0</v>
      </c>
      <c r="O709" s="22">
        <v>0</v>
      </c>
      <c r="P709" s="22">
        <v>0</v>
      </c>
      <c r="Q709" s="22">
        <v>0</v>
      </c>
      <c r="R709">
        <v>0</v>
      </c>
      <c r="T709" t="s">
        <v>2972</v>
      </c>
      <c r="U709" t="s">
        <v>3057</v>
      </c>
      <c r="V709" t="s">
        <v>3056</v>
      </c>
    </row>
    <row r="710" spans="1:22">
      <c r="A710">
        <v>709</v>
      </c>
      <c r="B710" t="s">
        <v>1462</v>
      </c>
      <c r="C710" t="s">
        <v>1463</v>
      </c>
      <c r="D710" t="s">
        <v>20</v>
      </c>
      <c r="E710" t="s">
        <v>8</v>
      </c>
      <c r="F710" s="22">
        <v>572.94000000000005</v>
      </c>
      <c r="G710" s="22">
        <v>0</v>
      </c>
      <c r="H710" s="22">
        <v>0</v>
      </c>
      <c r="I710" s="22">
        <v>572.94000000000005</v>
      </c>
      <c r="J710">
        <v>0</v>
      </c>
      <c r="K710">
        <v>0</v>
      </c>
      <c r="L710" s="22">
        <v>572.94000000000005</v>
      </c>
      <c r="M710" s="22">
        <v>0</v>
      </c>
      <c r="N710" s="22">
        <v>0</v>
      </c>
      <c r="O710" s="22">
        <v>572.94000000000005</v>
      </c>
      <c r="P710" s="22">
        <v>150</v>
      </c>
      <c r="Q710" s="22">
        <v>422.94000000000005</v>
      </c>
      <c r="R710">
        <v>0</v>
      </c>
      <c r="T710" t="s">
        <v>2972</v>
      </c>
      <c r="U710" t="s">
        <v>3057</v>
      </c>
      <c r="V710" t="s">
        <v>3056</v>
      </c>
    </row>
    <row r="711" spans="1:22">
      <c r="A711">
        <v>710</v>
      </c>
      <c r="B711" t="s">
        <v>1464</v>
      </c>
      <c r="C711" t="s">
        <v>1465</v>
      </c>
      <c r="D711" t="s">
        <v>20</v>
      </c>
      <c r="E711" t="s">
        <v>8</v>
      </c>
      <c r="F711" s="22">
        <v>64</v>
      </c>
      <c r="G711" s="22">
        <v>0</v>
      </c>
      <c r="H711" s="22">
        <v>0</v>
      </c>
      <c r="I711" s="22">
        <v>64</v>
      </c>
      <c r="J711">
        <v>0</v>
      </c>
      <c r="K711">
        <v>0</v>
      </c>
      <c r="L711" s="22">
        <v>64</v>
      </c>
      <c r="M711" s="22">
        <v>0</v>
      </c>
      <c r="N711" s="22">
        <v>0</v>
      </c>
      <c r="O711" s="22">
        <v>64</v>
      </c>
      <c r="P711" s="22">
        <v>100</v>
      </c>
      <c r="Q711" s="22">
        <v>-36</v>
      </c>
      <c r="R711">
        <v>0</v>
      </c>
      <c r="T711" t="s">
        <v>2972</v>
      </c>
      <c r="U711" t="s">
        <v>3057</v>
      </c>
      <c r="V711" t="s">
        <v>3056</v>
      </c>
    </row>
    <row r="712" spans="1:22">
      <c r="A712">
        <v>711</v>
      </c>
      <c r="B712" t="s">
        <v>3167</v>
      </c>
      <c r="C712" t="s">
        <v>3168</v>
      </c>
      <c r="D712" t="s">
        <v>20</v>
      </c>
      <c r="E712" t="s">
        <v>8</v>
      </c>
      <c r="F712" s="22">
        <v>0</v>
      </c>
      <c r="G712" s="22">
        <v>0</v>
      </c>
      <c r="H712" s="22">
        <v>0</v>
      </c>
      <c r="I712" s="22">
        <v>0</v>
      </c>
      <c r="J712">
        <v>0</v>
      </c>
      <c r="K712">
        <v>0</v>
      </c>
      <c r="L712" s="22">
        <v>0</v>
      </c>
      <c r="M712" s="22">
        <v>0</v>
      </c>
      <c r="N712" s="22">
        <v>0</v>
      </c>
      <c r="O712" s="22">
        <v>0</v>
      </c>
      <c r="P712" s="22">
        <v>0</v>
      </c>
      <c r="Q712" s="22">
        <v>0</v>
      </c>
      <c r="R712">
        <v>0</v>
      </c>
      <c r="T712" t="s">
        <v>2972</v>
      </c>
      <c r="U712" t="s">
        <v>3057</v>
      </c>
      <c r="V712" t="s">
        <v>3056</v>
      </c>
    </row>
    <row r="713" spans="1:22">
      <c r="A713">
        <v>712</v>
      </c>
      <c r="B713" t="s">
        <v>1486</v>
      </c>
      <c r="C713" t="s">
        <v>1487</v>
      </c>
      <c r="D713" t="s">
        <v>17</v>
      </c>
      <c r="E713" t="s">
        <v>8</v>
      </c>
      <c r="F713" s="22">
        <v>171</v>
      </c>
      <c r="G713" s="22">
        <v>0</v>
      </c>
      <c r="H713" s="22">
        <v>110</v>
      </c>
      <c r="I713" s="22">
        <v>61</v>
      </c>
      <c r="J713">
        <v>0</v>
      </c>
      <c r="K713">
        <v>0</v>
      </c>
      <c r="L713" s="22">
        <v>61</v>
      </c>
      <c r="M713" s="22">
        <v>0</v>
      </c>
      <c r="N713" s="22">
        <v>0</v>
      </c>
      <c r="O713" s="22">
        <v>61</v>
      </c>
      <c r="P713" s="22">
        <v>0</v>
      </c>
      <c r="Q713" s="22">
        <v>61</v>
      </c>
      <c r="R713">
        <v>0</v>
      </c>
      <c r="T713" t="s">
        <v>2998</v>
      </c>
      <c r="U713" t="s">
        <v>3057</v>
      </c>
      <c r="V713" t="s">
        <v>3056</v>
      </c>
    </row>
    <row r="714" spans="1:22">
      <c r="A714">
        <v>713</v>
      </c>
      <c r="B714" t="s">
        <v>1508</v>
      </c>
      <c r="C714" t="s">
        <v>1509</v>
      </c>
      <c r="D714" t="s">
        <v>17</v>
      </c>
      <c r="E714" t="s">
        <v>8</v>
      </c>
      <c r="F714" s="22">
        <v>250</v>
      </c>
      <c r="G714" s="22">
        <v>0</v>
      </c>
      <c r="H714" s="22">
        <v>0</v>
      </c>
      <c r="I714" s="22">
        <v>250</v>
      </c>
      <c r="J714">
        <v>0</v>
      </c>
      <c r="K714">
        <v>0</v>
      </c>
      <c r="L714" s="22">
        <v>250</v>
      </c>
      <c r="M714" s="22">
        <v>0</v>
      </c>
      <c r="N714" s="22">
        <v>0</v>
      </c>
      <c r="O714" s="22">
        <v>250</v>
      </c>
      <c r="P714" s="22">
        <v>150</v>
      </c>
      <c r="Q714" s="22">
        <v>100</v>
      </c>
      <c r="R714">
        <v>0</v>
      </c>
      <c r="T714" t="s">
        <v>2991</v>
      </c>
      <c r="U714" t="s">
        <v>3057</v>
      </c>
      <c r="V714" t="s">
        <v>3058</v>
      </c>
    </row>
    <row r="715" spans="1:22">
      <c r="A715">
        <v>714</v>
      </c>
      <c r="B715" t="s">
        <v>1514</v>
      </c>
      <c r="C715" t="s">
        <v>1515</v>
      </c>
      <c r="D715" t="s">
        <v>135</v>
      </c>
      <c r="E715" t="s">
        <v>8</v>
      </c>
      <c r="F715" s="22">
        <v>26000</v>
      </c>
      <c r="G715" s="22">
        <v>0</v>
      </c>
      <c r="H715" s="22">
        <v>2000</v>
      </c>
      <c r="I715" s="22">
        <v>24000</v>
      </c>
      <c r="J715">
        <v>0</v>
      </c>
      <c r="K715">
        <v>0</v>
      </c>
      <c r="L715" s="22">
        <v>24000</v>
      </c>
      <c r="M715" s="22">
        <v>0</v>
      </c>
      <c r="N715" s="22">
        <v>0</v>
      </c>
      <c r="O715" s="22">
        <v>24000</v>
      </c>
      <c r="P715" s="22">
        <v>6000</v>
      </c>
      <c r="Q715" s="22">
        <v>18000</v>
      </c>
      <c r="R715">
        <v>0</v>
      </c>
      <c r="T715" t="s">
        <v>2974</v>
      </c>
      <c r="U715" t="s">
        <v>3057</v>
      </c>
      <c r="V715" t="s">
        <v>3056</v>
      </c>
    </row>
    <row r="716" spans="1:22">
      <c r="A716">
        <v>715</v>
      </c>
      <c r="B716" t="s">
        <v>1516</v>
      </c>
      <c r="C716" t="s">
        <v>1517</v>
      </c>
      <c r="D716" t="s">
        <v>17</v>
      </c>
      <c r="E716" t="s">
        <v>8</v>
      </c>
      <c r="F716" s="22">
        <v>8600</v>
      </c>
      <c r="G716" s="22">
        <v>0</v>
      </c>
      <c r="H716" s="22">
        <v>0</v>
      </c>
      <c r="I716" s="22">
        <v>8600</v>
      </c>
      <c r="J716">
        <v>0</v>
      </c>
      <c r="K716">
        <v>0</v>
      </c>
      <c r="L716" s="22">
        <v>8600</v>
      </c>
      <c r="M716" s="22">
        <v>0</v>
      </c>
      <c r="N716" s="22">
        <v>0</v>
      </c>
      <c r="O716" s="22">
        <v>8600</v>
      </c>
      <c r="P716" s="22">
        <v>2500</v>
      </c>
      <c r="Q716" s="22">
        <v>6100</v>
      </c>
      <c r="R716">
        <v>0</v>
      </c>
      <c r="T716" t="s">
        <v>2972</v>
      </c>
      <c r="U716" t="s">
        <v>3057</v>
      </c>
      <c r="V716" t="s">
        <v>3056</v>
      </c>
    </row>
    <row r="717" spans="1:22">
      <c r="A717">
        <v>716</v>
      </c>
      <c r="B717" t="s">
        <v>1518</v>
      </c>
      <c r="C717" t="s">
        <v>1519</v>
      </c>
      <c r="D717" t="s">
        <v>17</v>
      </c>
      <c r="E717" t="s">
        <v>8</v>
      </c>
      <c r="F717" s="22">
        <v>974</v>
      </c>
      <c r="G717" s="22">
        <v>0</v>
      </c>
      <c r="H717" s="22">
        <v>0</v>
      </c>
      <c r="I717" s="22">
        <v>974</v>
      </c>
      <c r="J717">
        <v>0</v>
      </c>
      <c r="K717">
        <v>0</v>
      </c>
      <c r="L717" s="22">
        <v>974</v>
      </c>
      <c r="M717" s="22">
        <v>0</v>
      </c>
      <c r="N717" s="22">
        <v>0</v>
      </c>
      <c r="O717" s="22">
        <v>974</v>
      </c>
      <c r="P717" s="22">
        <v>0</v>
      </c>
      <c r="Q717" s="22">
        <v>974</v>
      </c>
      <c r="R717">
        <v>0</v>
      </c>
      <c r="T717" t="s">
        <v>2972</v>
      </c>
      <c r="U717" t="s">
        <v>3057</v>
      </c>
      <c r="V717" t="s">
        <v>3056</v>
      </c>
    </row>
    <row r="718" spans="1:22">
      <c r="A718">
        <v>717</v>
      </c>
      <c r="B718" t="s">
        <v>1520</v>
      </c>
      <c r="C718" t="s">
        <v>1521</v>
      </c>
      <c r="D718" t="s">
        <v>17</v>
      </c>
      <c r="E718" t="s">
        <v>8</v>
      </c>
      <c r="F718" s="22">
        <v>0</v>
      </c>
      <c r="G718" s="22">
        <v>0</v>
      </c>
      <c r="H718" s="22">
        <v>0</v>
      </c>
      <c r="I718" s="22">
        <v>0</v>
      </c>
      <c r="J718">
        <v>0</v>
      </c>
      <c r="K718">
        <v>0</v>
      </c>
      <c r="L718" s="22">
        <v>0</v>
      </c>
      <c r="M718" s="22">
        <v>0</v>
      </c>
      <c r="N718" s="22">
        <v>0</v>
      </c>
      <c r="O718" s="22">
        <v>0</v>
      </c>
      <c r="P718" s="22">
        <v>0</v>
      </c>
      <c r="Q718" s="22">
        <v>0</v>
      </c>
      <c r="R718">
        <v>0</v>
      </c>
      <c r="T718" t="s">
        <v>2972</v>
      </c>
      <c r="U718" t="s">
        <v>3057</v>
      </c>
      <c r="V718" t="s">
        <v>3056</v>
      </c>
    </row>
    <row r="719" spans="1:22">
      <c r="A719">
        <v>718</v>
      </c>
      <c r="B719" t="s">
        <v>1524</v>
      </c>
      <c r="C719" t="s">
        <v>1525</v>
      </c>
      <c r="D719" t="s">
        <v>17</v>
      </c>
      <c r="E719" t="s">
        <v>8</v>
      </c>
      <c r="F719" s="22">
        <v>2000</v>
      </c>
      <c r="G719" s="22">
        <v>0</v>
      </c>
      <c r="H719" s="22">
        <v>0</v>
      </c>
      <c r="I719" s="22">
        <v>2000</v>
      </c>
      <c r="J719">
        <v>0</v>
      </c>
      <c r="K719">
        <v>0</v>
      </c>
      <c r="L719" s="22">
        <v>2000</v>
      </c>
      <c r="M719" s="22">
        <v>0</v>
      </c>
      <c r="N719" s="22">
        <v>0</v>
      </c>
      <c r="O719" s="22">
        <v>2000</v>
      </c>
      <c r="P719" s="22">
        <v>2000</v>
      </c>
      <c r="Q719" s="22">
        <v>0</v>
      </c>
      <c r="R719">
        <v>0</v>
      </c>
      <c r="T719" t="s">
        <v>2972</v>
      </c>
      <c r="U719" t="s">
        <v>3057</v>
      </c>
      <c r="V719" t="s">
        <v>3056</v>
      </c>
    </row>
    <row r="720" spans="1:22">
      <c r="A720">
        <v>719</v>
      </c>
      <c r="B720" t="s">
        <v>1526</v>
      </c>
      <c r="C720" t="s">
        <v>1527</v>
      </c>
      <c r="D720" t="s">
        <v>17</v>
      </c>
      <c r="E720" t="s">
        <v>8</v>
      </c>
      <c r="F720" s="22">
        <v>0</v>
      </c>
      <c r="G720" s="22">
        <v>0</v>
      </c>
      <c r="H720" s="22">
        <v>0</v>
      </c>
      <c r="I720" s="22">
        <v>0</v>
      </c>
      <c r="J720">
        <v>0</v>
      </c>
      <c r="K720">
        <v>0</v>
      </c>
      <c r="L720" s="22">
        <v>0</v>
      </c>
      <c r="M720" s="22">
        <v>0</v>
      </c>
      <c r="N720" s="22">
        <v>0</v>
      </c>
      <c r="O720" s="22">
        <v>0</v>
      </c>
      <c r="P720" s="22">
        <v>0</v>
      </c>
      <c r="Q720" s="22">
        <v>0</v>
      </c>
      <c r="R720">
        <v>0</v>
      </c>
      <c r="T720" t="s">
        <v>2972</v>
      </c>
      <c r="U720" t="s">
        <v>3057</v>
      </c>
      <c r="V720" t="s">
        <v>3056</v>
      </c>
    </row>
    <row r="721" spans="1:22">
      <c r="A721">
        <v>720</v>
      </c>
      <c r="B721" t="s">
        <v>1538</v>
      </c>
      <c r="C721" t="s">
        <v>1539</v>
      </c>
      <c r="D721" t="s">
        <v>17</v>
      </c>
      <c r="E721" t="s">
        <v>8</v>
      </c>
      <c r="F721" s="22">
        <v>3600</v>
      </c>
      <c r="G721" s="22">
        <v>4997</v>
      </c>
      <c r="H721" s="22">
        <v>2600</v>
      </c>
      <c r="I721" s="22">
        <v>5997</v>
      </c>
      <c r="J721">
        <v>0</v>
      </c>
      <c r="K721">
        <v>0</v>
      </c>
      <c r="L721" s="22">
        <v>5997</v>
      </c>
      <c r="M721" s="22">
        <v>0</v>
      </c>
      <c r="N721" s="22">
        <v>0</v>
      </c>
      <c r="O721" s="22">
        <v>5997</v>
      </c>
      <c r="P721" s="22">
        <v>3500</v>
      </c>
      <c r="Q721" s="22">
        <v>2497</v>
      </c>
      <c r="R721">
        <v>6000</v>
      </c>
      <c r="T721" t="s">
        <v>2974</v>
      </c>
      <c r="U721" t="s">
        <v>3057</v>
      </c>
      <c r="V721" t="s">
        <v>3056</v>
      </c>
    </row>
    <row r="722" spans="1:22">
      <c r="A722">
        <v>721</v>
      </c>
      <c r="B722" t="s">
        <v>1550</v>
      </c>
      <c r="C722" t="s">
        <v>1551</v>
      </c>
      <c r="D722" t="s">
        <v>7</v>
      </c>
      <c r="E722" t="s">
        <v>8</v>
      </c>
      <c r="F722" s="22">
        <v>2400</v>
      </c>
      <c r="G722" s="22">
        <v>3800</v>
      </c>
      <c r="H722" s="22">
        <v>4200</v>
      </c>
      <c r="I722" s="22">
        <v>2000</v>
      </c>
      <c r="J722">
        <v>0</v>
      </c>
      <c r="K722">
        <v>0</v>
      </c>
      <c r="L722" s="22">
        <v>2000</v>
      </c>
      <c r="M722" s="22">
        <v>0</v>
      </c>
      <c r="N722" s="22">
        <v>0</v>
      </c>
      <c r="O722" s="22">
        <v>2000</v>
      </c>
      <c r="P722" s="22">
        <v>1500</v>
      </c>
      <c r="Q722" s="22">
        <v>500</v>
      </c>
      <c r="R722">
        <v>6400</v>
      </c>
      <c r="T722" t="s">
        <v>2972</v>
      </c>
      <c r="U722" t="s">
        <v>3057</v>
      </c>
      <c r="V722" t="s">
        <v>3056</v>
      </c>
    </row>
    <row r="723" spans="1:22">
      <c r="A723">
        <v>722</v>
      </c>
      <c r="B723" t="s">
        <v>1560</v>
      </c>
      <c r="C723" t="s">
        <v>1561</v>
      </c>
      <c r="D723" t="s">
        <v>17</v>
      </c>
      <c r="E723" t="s">
        <v>8</v>
      </c>
      <c r="F723" s="22">
        <v>1400</v>
      </c>
      <c r="G723" s="22">
        <v>0</v>
      </c>
      <c r="H723" s="22">
        <v>0</v>
      </c>
      <c r="I723" s="22">
        <v>1400</v>
      </c>
      <c r="J723">
        <v>0</v>
      </c>
      <c r="K723">
        <v>0</v>
      </c>
      <c r="L723" s="22">
        <v>1400</v>
      </c>
      <c r="M723" s="22">
        <v>0</v>
      </c>
      <c r="N723" s="22">
        <v>0</v>
      </c>
      <c r="O723" s="22">
        <v>1400</v>
      </c>
      <c r="P723" s="22">
        <v>600</v>
      </c>
      <c r="Q723" s="22">
        <v>800</v>
      </c>
      <c r="R723">
        <v>0</v>
      </c>
      <c r="T723" t="s">
        <v>2972</v>
      </c>
      <c r="U723" t="s">
        <v>3057</v>
      </c>
      <c r="V723" t="s">
        <v>3058</v>
      </c>
    </row>
    <row r="724" spans="1:22">
      <c r="A724">
        <v>723</v>
      </c>
      <c r="B724" t="s">
        <v>1562</v>
      </c>
      <c r="C724" t="s">
        <v>1563</v>
      </c>
      <c r="D724" t="s">
        <v>17</v>
      </c>
      <c r="E724" t="s">
        <v>8</v>
      </c>
      <c r="F724" s="22">
        <v>320</v>
      </c>
      <c r="G724" s="22">
        <v>0</v>
      </c>
      <c r="H724" s="22">
        <v>0</v>
      </c>
      <c r="I724" s="22">
        <v>320</v>
      </c>
      <c r="J724">
        <v>0</v>
      </c>
      <c r="K724">
        <v>0</v>
      </c>
      <c r="L724" s="22">
        <v>320</v>
      </c>
      <c r="M724" s="22">
        <v>0</v>
      </c>
      <c r="N724" s="22">
        <v>0</v>
      </c>
      <c r="O724" s="22">
        <v>320</v>
      </c>
      <c r="P724" s="22">
        <v>150</v>
      </c>
      <c r="Q724" s="22">
        <v>170</v>
      </c>
      <c r="R724">
        <v>0</v>
      </c>
      <c r="T724" t="s">
        <v>2972</v>
      </c>
      <c r="U724" t="s">
        <v>3057</v>
      </c>
      <c r="V724" t="s">
        <v>3056</v>
      </c>
    </row>
    <row r="725" spans="1:22">
      <c r="A725">
        <v>724</v>
      </c>
      <c r="B725" t="s">
        <v>1572</v>
      </c>
      <c r="C725" t="s">
        <v>1573</v>
      </c>
      <c r="D725" t="s">
        <v>116</v>
      </c>
      <c r="E725" t="s">
        <v>8</v>
      </c>
      <c r="F725" s="22">
        <v>226</v>
      </c>
      <c r="G725" s="22">
        <v>0</v>
      </c>
      <c r="H725" s="22">
        <v>0</v>
      </c>
      <c r="I725" s="22">
        <v>226</v>
      </c>
      <c r="J725">
        <v>0</v>
      </c>
      <c r="K725">
        <v>0</v>
      </c>
      <c r="L725" s="22">
        <v>226</v>
      </c>
      <c r="M725" s="22">
        <v>0</v>
      </c>
      <c r="N725" s="22">
        <v>0</v>
      </c>
      <c r="O725" s="22">
        <v>226</v>
      </c>
      <c r="P725" s="22">
        <v>150</v>
      </c>
      <c r="Q725" s="22">
        <v>76</v>
      </c>
      <c r="R725">
        <v>0</v>
      </c>
      <c r="T725" t="s">
        <v>2974</v>
      </c>
      <c r="U725" t="s">
        <v>3057</v>
      </c>
      <c r="V725" t="s">
        <v>3056</v>
      </c>
    </row>
    <row r="726" spans="1:22">
      <c r="A726">
        <v>725</v>
      </c>
      <c r="B726" t="s">
        <v>1574</v>
      </c>
      <c r="C726" t="s">
        <v>1575</v>
      </c>
      <c r="D726" t="s">
        <v>116</v>
      </c>
      <c r="E726" t="s">
        <v>8</v>
      </c>
      <c r="F726" s="22">
        <v>209</v>
      </c>
      <c r="G726" s="22">
        <v>0</v>
      </c>
      <c r="H726" s="22">
        <v>38</v>
      </c>
      <c r="I726" s="22">
        <v>171</v>
      </c>
      <c r="J726">
        <v>0</v>
      </c>
      <c r="K726">
        <v>0</v>
      </c>
      <c r="L726" s="22">
        <v>171</v>
      </c>
      <c r="M726" s="22">
        <v>0</v>
      </c>
      <c r="N726" s="22">
        <v>0</v>
      </c>
      <c r="O726" s="22">
        <v>171</v>
      </c>
      <c r="P726" s="22">
        <v>250</v>
      </c>
      <c r="Q726" s="22">
        <v>-79</v>
      </c>
      <c r="R726">
        <v>0</v>
      </c>
      <c r="T726" t="s">
        <v>2974</v>
      </c>
      <c r="U726" t="s">
        <v>3057</v>
      </c>
      <c r="V726" t="s">
        <v>3056</v>
      </c>
    </row>
    <row r="727" spans="1:22">
      <c r="A727">
        <v>726</v>
      </c>
      <c r="B727" t="s">
        <v>1590</v>
      </c>
      <c r="C727" t="s">
        <v>1591</v>
      </c>
      <c r="D727" t="s">
        <v>17</v>
      </c>
      <c r="E727" t="s">
        <v>8</v>
      </c>
      <c r="F727" s="22">
        <v>800</v>
      </c>
      <c r="G727" s="22">
        <v>500</v>
      </c>
      <c r="H727" s="22">
        <v>400</v>
      </c>
      <c r="I727" s="22">
        <v>900</v>
      </c>
      <c r="J727">
        <v>0</v>
      </c>
      <c r="K727">
        <v>0</v>
      </c>
      <c r="L727" s="22">
        <v>900</v>
      </c>
      <c r="M727" s="22">
        <v>0</v>
      </c>
      <c r="N727" s="22">
        <v>0</v>
      </c>
      <c r="O727" s="22">
        <v>900</v>
      </c>
      <c r="P727" s="22">
        <v>500</v>
      </c>
      <c r="Q727" s="22">
        <v>400</v>
      </c>
      <c r="R727">
        <v>500</v>
      </c>
      <c r="T727" t="s">
        <v>2972</v>
      </c>
      <c r="U727" t="s">
        <v>3057</v>
      </c>
      <c r="V727" t="s">
        <v>3056</v>
      </c>
    </row>
    <row r="728" spans="1:22">
      <c r="A728">
        <v>727</v>
      </c>
      <c r="B728" t="s">
        <v>1600</v>
      </c>
      <c r="C728" t="s">
        <v>1601</v>
      </c>
      <c r="D728" t="s">
        <v>17</v>
      </c>
      <c r="E728" t="s">
        <v>8</v>
      </c>
      <c r="F728" s="22">
        <v>40</v>
      </c>
      <c r="G728" s="22">
        <v>50</v>
      </c>
      <c r="H728" s="22">
        <v>0</v>
      </c>
      <c r="I728" s="22">
        <v>90</v>
      </c>
      <c r="J728">
        <v>0</v>
      </c>
      <c r="K728">
        <v>0</v>
      </c>
      <c r="L728" s="22">
        <v>90</v>
      </c>
      <c r="M728" s="22">
        <v>0</v>
      </c>
      <c r="N728" s="22">
        <v>0</v>
      </c>
      <c r="O728" s="22">
        <v>90</v>
      </c>
      <c r="P728" s="22">
        <v>50</v>
      </c>
      <c r="Q728" s="22">
        <v>40</v>
      </c>
      <c r="R728">
        <v>50</v>
      </c>
      <c r="T728" t="s">
        <v>2972</v>
      </c>
      <c r="U728" t="s">
        <v>3057</v>
      </c>
      <c r="V728" t="s">
        <v>3056</v>
      </c>
    </row>
    <row r="729" spans="1:22">
      <c r="A729">
        <v>728</v>
      </c>
      <c r="B729" t="s">
        <v>1602</v>
      </c>
      <c r="C729" t="s">
        <v>1603</v>
      </c>
      <c r="D729" t="s">
        <v>17</v>
      </c>
      <c r="E729" t="s">
        <v>8</v>
      </c>
      <c r="F729" s="22">
        <v>100</v>
      </c>
      <c r="G729" s="22">
        <v>0</v>
      </c>
      <c r="H729" s="22">
        <v>0</v>
      </c>
      <c r="I729" s="22">
        <v>100</v>
      </c>
      <c r="J729">
        <v>0</v>
      </c>
      <c r="K729">
        <v>0</v>
      </c>
      <c r="L729" s="22">
        <v>100</v>
      </c>
      <c r="M729" s="22">
        <v>0</v>
      </c>
      <c r="N729" s="22">
        <v>0</v>
      </c>
      <c r="O729" s="22">
        <v>100</v>
      </c>
      <c r="P729" s="22">
        <v>75</v>
      </c>
      <c r="Q729" s="22">
        <v>25</v>
      </c>
      <c r="R729">
        <v>0</v>
      </c>
      <c r="T729" t="s">
        <v>2972</v>
      </c>
      <c r="U729" t="s">
        <v>3057</v>
      </c>
      <c r="V729" t="s">
        <v>3056</v>
      </c>
    </row>
    <row r="730" spans="1:22">
      <c r="A730">
        <v>729</v>
      </c>
      <c r="B730" t="s">
        <v>1604</v>
      </c>
      <c r="C730" t="s">
        <v>1605</v>
      </c>
      <c r="D730" t="s">
        <v>17</v>
      </c>
      <c r="E730" t="s">
        <v>8</v>
      </c>
      <c r="F730" s="22">
        <v>1000</v>
      </c>
      <c r="G730" s="22">
        <v>0</v>
      </c>
      <c r="H730" s="22">
        <v>300</v>
      </c>
      <c r="I730" s="22">
        <v>700</v>
      </c>
      <c r="J730">
        <v>0</v>
      </c>
      <c r="K730">
        <v>0</v>
      </c>
      <c r="L730" s="22">
        <v>700</v>
      </c>
      <c r="M730" s="22">
        <v>0</v>
      </c>
      <c r="N730" s="22">
        <v>0</v>
      </c>
      <c r="O730" s="22">
        <v>700</v>
      </c>
      <c r="P730" s="22">
        <v>800</v>
      </c>
      <c r="Q730" s="22">
        <v>-100</v>
      </c>
      <c r="R730">
        <v>0</v>
      </c>
      <c r="T730" t="s">
        <v>2972</v>
      </c>
      <c r="U730" t="s">
        <v>3057</v>
      </c>
      <c r="V730" t="s">
        <v>3056</v>
      </c>
    </row>
    <row r="731" spans="1:22">
      <c r="A731">
        <v>730</v>
      </c>
      <c r="B731" t="s">
        <v>1608</v>
      </c>
      <c r="C731" t="s">
        <v>1609</v>
      </c>
      <c r="D731" t="s">
        <v>17</v>
      </c>
      <c r="E731" t="s">
        <v>8</v>
      </c>
      <c r="F731" s="22">
        <v>28800</v>
      </c>
      <c r="G731" s="22">
        <v>35600</v>
      </c>
      <c r="H731" s="22">
        <v>24000</v>
      </c>
      <c r="I731" s="22">
        <v>40400</v>
      </c>
      <c r="J731">
        <v>0</v>
      </c>
      <c r="K731">
        <v>8600</v>
      </c>
      <c r="L731" s="22">
        <v>31800</v>
      </c>
      <c r="M731" s="22">
        <v>4400</v>
      </c>
      <c r="N731" s="22">
        <v>0</v>
      </c>
      <c r="O731" s="22">
        <v>36200</v>
      </c>
      <c r="P731" s="22">
        <v>15000</v>
      </c>
      <c r="Q731" s="22">
        <v>21200</v>
      </c>
      <c r="R731">
        <v>35000</v>
      </c>
      <c r="T731" t="s">
        <v>2972</v>
      </c>
      <c r="U731" t="s">
        <v>3057</v>
      </c>
      <c r="V731" t="s">
        <v>3056</v>
      </c>
    </row>
    <row r="732" spans="1:22">
      <c r="A732">
        <v>731</v>
      </c>
      <c r="B732" t="s">
        <v>1610</v>
      </c>
      <c r="C732" t="s">
        <v>1611</v>
      </c>
      <c r="D732" t="s">
        <v>17</v>
      </c>
      <c r="E732" t="s">
        <v>8</v>
      </c>
      <c r="F732" s="22">
        <v>750</v>
      </c>
      <c r="G732" s="22">
        <v>0</v>
      </c>
      <c r="H732" s="22">
        <v>0</v>
      </c>
      <c r="I732" s="22">
        <v>750</v>
      </c>
      <c r="J732">
        <v>0</v>
      </c>
      <c r="K732">
        <v>0</v>
      </c>
      <c r="L732" s="22">
        <v>750</v>
      </c>
      <c r="M732" s="22">
        <v>0</v>
      </c>
      <c r="N732" s="22">
        <v>0</v>
      </c>
      <c r="O732" s="22">
        <v>750</v>
      </c>
      <c r="P732" s="22">
        <v>500</v>
      </c>
      <c r="Q732" s="22">
        <v>250</v>
      </c>
      <c r="R732">
        <v>0</v>
      </c>
      <c r="T732" t="s">
        <v>2972</v>
      </c>
      <c r="U732" t="s">
        <v>3057</v>
      </c>
      <c r="V732" t="s">
        <v>3056</v>
      </c>
    </row>
    <row r="733" spans="1:22">
      <c r="A733">
        <v>732</v>
      </c>
      <c r="B733" t="s">
        <v>1614</v>
      </c>
      <c r="C733" t="s">
        <v>1615</v>
      </c>
      <c r="D733" t="s">
        <v>17</v>
      </c>
      <c r="E733" t="s">
        <v>8</v>
      </c>
      <c r="F733" s="22">
        <v>54</v>
      </c>
      <c r="G733" s="22">
        <v>165</v>
      </c>
      <c r="H733" s="22">
        <v>75</v>
      </c>
      <c r="I733" s="22">
        <v>144</v>
      </c>
      <c r="J733">
        <v>0</v>
      </c>
      <c r="K733">
        <v>0</v>
      </c>
      <c r="L733" s="22">
        <v>144</v>
      </c>
      <c r="M733" s="22">
        <v>0</v>
      </c>
      <c r="N733" s="22">
        <v>0</v>
      </c>
      <c r="O733" s="22">
        <v>144</v>
      </c>
      <c r="P733" s="22">
        <v>75</v>
      </c>
      <c r="Q733" s="22">
        <v>69</v>
      </c>
      <c r="R733">
        <v>0</v>
      </c>
      <c r="T733" t="s">
        <v>2972</v>
      </c>
      <c r="U733" t="s">
        <v>3057</v>
      </c>
      <c r="V733" t="s">
        <v>3056</v>
      </c>
    </row>
    <row r="734" spans="1:22">
      <c r="A734">
        <v>733</v>
      </c>
      <c r="B734" t="s">
        <v>1616</v>
      </c>
      <c r="C734" t="s">
        <v>1617</v>
      </c>
      <c r="D734" t="s">
        <v>17</v>
      </c>
      <c r="E734" t="s">
        <v>8</v>
      </c>
      <c r="F734" s="22">
        <v>100</v>
      </c>
      <c r="G734" s="22">
        <v>0</v>
      </c>
      <c r="H734" s="22">
        <v>100</v>
      </c>
      <c r="I734" s="22">
        <v>0</v>
      </c>
      <c r="J734">
        <v>0</v>
      </c>
      <c r="K734">
        <v>0</v>
      </c>
      <c r="L734" s="22">
        <v>0</v>
      </c>
      <c r="M734" s="22">
        <v>0</v>
      </c>
      <c r="N734" s="22">
        <v>0</v>
      </c>
      <c r="O734" s="22">
        <v>0</v>
      </c>
      <c r="P734" s="22">
        <v>110</v>
      </c>
      <c r="Q734" s="22">
        <v>-110</v>
      </c>
      <c r="R734">
        <v>0</v>
      </c>
      <c r="T734" t="s">
        <v>2972</v>
      </c>
      <c r="U734" t="s">
        <v>3057</v>
      </c>
      <c r="V734" t="s">
        <v>3056</v>
      </c>
    </row>
    <row r="735" spans="1:22">
      <c r="A735">
        <v>734</v>
      </c>
      <c r="B735" t="s">
        <v>1624</v>
      </c>
      <c r="C735" t="s">
        <v>1625</v>
      </c>
      <c r="D735" t="s">
        <v>17</v>
      </c>
      <c r="E735" t="s">
        <v>8</v>
      </c>
      <c r="F735" s="22">
        <v>763</v>
      </c>
      <c r="G735" s="22">
        <v>0</v>
      </c>
      <c r="H735" s="22">
        <v>200</v>
      </c>
      <c r="I735" s="22">
        <v>563</v>
      </c>
      <c r="J735">
        <v>0</v>
      </c>
      <c r="K735">
        <v>0</v>
      </c>
      <c r="L735" s="22">
        <v>563</v>
      </c>
      <c r="M735" s="22">
        <v>0</v>
      </c>
      <c r="N735" s="22">
        <v>0</v>
      </c>
      <c r="O735" s="22">
        <v>563</v>
      </c>
      <c r="P735" s="22">
        <v>0</v>
      </c>
      <c r="Q735" s="22">
        <v>563</v>
      </c>
      <c r="R735">
        <v>0</v>
      </c>
      <c r="T735" t="s">
        <v>2972</v>
      </c>
      <c r="U735" t="s">
        <v>3057</v>
      </c>
      <c r="V735" t="s">
        <v>3056</v>
      </c>
    </row>
    <row r="736" spans="1:22">
      <c r="A736">
        <v>735</v>
      </c>
      <c r="B736" t="s">
        <v>1626</v>
      </c>
      <c r="C736" t="s">
        <v>1627</v>
      </c>
      <c r="D736" t="s">
        <v>17</v>
      </c>
      <c r="E736" t="s">
        <v>8</v>
      </c>
      <c r="F736" s="22">
        <v>2837</v>
      </c>
      <c r="G736" s="22">
        <v>0</v>
      </c>
      <c r="H736" s="22">
        <v>0</v>
      </c>
      <c r="I736" s="22">
        <v>2837</v>
      </c>
      <c r="J736">
        <v>0</v>
      </c>
      <c r="K736">
        <v>0</v>
      </c>
      <c r="L736" s="22">
        <v>2837</v>
      </c>
      <c r="M736" s="22">
        <v>0</v>
      </c>
      <c r="N736" s="22">
        <v>0</v>
      </c>
      <c r="O736" s="22">
        <v>2837</v>
      </c>
      <c r="P736" s="22">
        <v>0</v>
      </c>
      <c r="Q736" s="22">
        <v>2837</v>
      </c>
      <c r="R736">
        <v>0</v>
      </c>
      <c r="T736" t="s">
        <v>2972</v>
      </c>
      <c r="U736" t="s">
        <v>3057</v>
      </c>
      <c r="V736" t="s">
        <v>3056</v>
      </c>
    </row>
    <row r="737" spans="1:22">
      <c r="A737">
        <v>736</v>
      </c>
      <c r="B737" t="s">
        <v>1628</v>
      </c>
      <c r="C737" t="s">
        <v>1629</v>
      </c>
      <c r="D737" t="s">
        <v>17</v>
      </c>
      <c r="E737" t="s">
        <v>8</v>
      </c>
      <c r="F737" s="22">
        <v>800</v>
      </c>
      <c r="G737" s="22">
        <v>500</v>
      </c>
      <c r="H737" s="22">
        <v>400</v>
      </c>
      <c r="I737" s="22">
        <v>900</v>
      </c>
      <c r="J737">
        <v>0</v>
      </c>
      <c r="K737">
        <v>0</v>
      </c>
      <c r="L737" s="22">
        <v>900</v>
      </c>
      <c r="M737" s="22">
        <v>0</v>
      </c>
      <c r="N737" s="22">
        <v>0</v>
      </c>
      <c r="O737" s="22">
        <v>900</v>
      </c>
      <c r="P737" s="22">
        <v>500</v>
      </c>
      <c r="Q737" s="22">
        <v>400</v>
      </c>
      <c r="R737">
        <v>500</v>
      </c>
      <c r="T737" t="s">
        <v>2972</v>
      </c>
      <c r="U737" t="s">
        <v>3057</v>
      </c>
      <c r="V737" t="s">
        <v>3056</v>
      </c>
    </row>
    <row r="738" spans="1:22">
      <c r="A738">
        <v>737</v>
      </c>
      <c r="B738" t="s">
        <v>1630</v>
      </c>
      <c r="C738" t="s">
        <v>1631</v>
      </c>
      <c r="D738" t="s">
        <v>17</v>
      </c>
      <c r="E738" t="s">
        <v>8</v>
      </c>
      <c r="F738" s="22">
        <v>1650</v>
      </c>
      <c r="G738" s="22">
        <v>1690</v>
      </c>
      <c r="H738" s="22">
        <v>2100</v>
      </c>
      <c r="I738" s="22">
        <v>1240</v>
      </c>
      <c r="J738">
        <v>0</v>
      </c>
      <c r="K738">
        <v>0</v>
      </c>
      <c r="L738" s="22">
        <v>1240</v>
      </c>
      <c r="M738" s="22">
        <v>0</v>
      </c>
      <c r="N738" s="22">
        <v>0</v>
      </c>
      <c r="O738" s="22">
        <v>1240</v>
      </c>
      <c r="P738" s="22">
        <v>2000</v>
      </c>
      <c r="Q738" s="22">
        <v>-760</v>
      </c>
      <c r="R738">
        <v>1500</v>
      </c>
      <c r="T738" t="s">
        <v>2972</v>
      </c>
      <c r="U738" t="s">
        <v>3057</v>
      </c>
      <c r="V738" t="s">
        <v>3056</v>
      </c>
    </row>
    <row r="739" spans="1:22">
      <c r="A739">
        <v>738</v>
      </c>
      <c r="B739" t="s">
        <v>1634</v>
      </c>
      <c r="C739" t="s">
        <v>1635</v>
      </c>
      <c r="D739" t="s">
        <v>17</v>
      </c>
      <c r="E739" t="s">
        <v>8</v>
      </c>
      <c r="F739" s="22">
        <v>5828</v>
      </c>
      <c r="G739" s="22">
        <v>7000</v>
      </c>
      <c r="H739" s="22">
        <v>6100</v>
      </c>
      <c r="I739" s="22">
        <v>6728</v>
      </c>
      <c r="J739">
        <v>0</v>
      </c>
      <c r="K739">
        <v>0</v>
      </c>
      <c r="L739" s="22">
        <v>6728</v>
      </c>
      <c r="M739" s="22">
        <v>800</v>
      </c>
      <c r="N739" s="22">
        <v>0</v>
      </c>
      <c r="O739" s="22">
        <v>7528</v>
      </c>
      <c r="P739" s="22">
        <v>2500</v>
      </c>
      <c r="Q739" s="22">
        <v>5028</v>
      </c>
      <c r="R739">
        <v>12000</v>
      </c>
      <c r="T739" t="s">
        <v>2972</v>
      </c>
      <c r="U739" t="s">
        <v>3057</v>
      </c>
      <c r="V739" t="s">
        <v>3056</v>
      </c>
    </row>
    <row r="740" spans="1:22">
      <c r="A740">
        <v>739</v>
      </c>
      <c r="B740" t="s">
        <v>1640</v>
      </c>
      <c r="C740" t="s">
        <v>1641</v>
      </c>
      <c r="D740" t="s">
        <v>17</v>
      </c>
      <c r="E740" t="s">
        <v>8</v>
      </c>
      <c r="F740" s="22">
        <v>3500</v>
      </c>
      <c r="G740" s="22">
        <v>0</v>
      </c>
      <c r="H740" s="22">
        <v>300</v>
      </c>
      <c r="I740" s="22">
        <v>3200</v>
      </c>
      <c r="J740">
        <v>0</v>
      </c>
      <c r="K740">
        <v>0</v>
      </c>
      <c r="L740" s="22">
        <v>3200</v>
      </c>
      <c r="M740" s="22">
        <v>0</v>
      </c>
      <c r="N740" s="22">
        <v>0</v>
      </c>
      <c r="O740" s="22">
        <v>3200</v>
      </c>
      <c r="P740" s="22">
        <v>1000</v>
      </c>
      <c r="Q740" s="22">
        <v>2200</v>
      </c>
      <c r="R740">
        <v>0</v>
      </c>
      <c r="T740" t="s">
        <v>2972</v>
      </c>
      <c r="U740" t="s">
        <v>3057</v>
      </c>
      <c r="V740" t="s">
        <v>3056</v>
      </c>
    </row>
    <row r="741" spans="1:22">
      <c r="A741">
        <v>740</v>
      </c>
      <c r="B741" t="s">
        <v>1642</v>
      </c>
      <c r="C741" t="s">
        <v>1643</v>
      </c>
      <c r="D741" t="s">
        <v>17</v>
      </c>
      <c r="E741" t="s">
        <v>8</v>
      </c>
      <c r="F741" s="22">
        <v>800</v>
      </c>
      <c r="G741" s="22">
        <v>4700</v>
      </c>
      <c r="H741" s="22">
        <v>1200</v>
      </c>
      <c r="I741" s="22">
        <v>4300</v>
      </c>
      <c r="J741">
        <v>0</v>
      </c>
      <c r="K741">
        <v>0</v>
      </c>
      <c r="L741" s="22">
        <v>4300</v>
      </c>
      <c r="M741" s="22">
        <v>800</v>
      </c>
      <c r="N741" s="22">
        <v>0</v>
      </c>
      <c r="O741" s="22">
        <v>5100</v>
      </c>
      <c r="P741" s="22">
        <v>2500</v>
      </c>
      <c r="Q741" s="22">
        <v>2600</v>
      </c>
      <c r="R741">
        <v>5500</v>
      </c>
      <c r="T741" t="s">
        <v>2972</v>
      </c>
      <c r="U741" t="s">
        <v>3057</v>
      </c>
      <c r="V741" t="s">
        <v>3056</v>
      </c>
    </row>
    <row r="742" spans="1:22">
      <c r="A742">
        <v>741</v>
      </c>
      <c r="B742" t="s">
        <v>1650</v>
      </c>
      <c r="C742" t="s">
        <v>1651</v>
      </c>
      <c r="D742" t="s">
        <v>17</v>
      </c>
      <c r="E742" t="s">
        <v>8</v>
      </c>
      <c r="F742" s="22">
        <v>1100</v>
      </c>
      <c r="G742" s="22">
        <v>0</v>
      </c>
      <c r="H742" s="22">
        <v>100</v>
      </c>
      <c r="I742" s="22">
        <v>1000</v>
      </c>
      <c r="J742">
        <v>0</v>
      </c>
      <c r="K742">
        <v>0</v>
      </c>
      <c r="L742" s="22">
        <v>1000</v>
      </c>
      <c r="M742" s="22">
        <v>0</v>
      </c>
      <c r="N742" s="22">
        <v>0</v>
      </c>
      <c r="O742" s="22">
        <v>1000</v>
      </c>
      <c r="P742" s="22">
        <v>350</v>
      </c>
      <c r="Q742" s="22">
        <v>650</v>
      </c>
      <c r="R742">
        <v>0</v>
      </c>
      <c r="T742" t="s">
        <v>2972</v>
      </c>
      <c r="U742" t="s">
        <v>3057</v>
      </c>
      <c r="V742" t="s">
        <v>3056</v>
      </c>
    </row>
    <row r="743" spans="1:22">
      <c r="A743">
        <v>742</v>
      </c>
      <c r="B743" t="s">
        <v>1652</v>
      </c>
      <c r="C743" t="s">
        <v>1653</v>
      </c>
      <c r="D743" t="s">
        <v>17</v>
      </c>
      <c r="E743" t="s">
        <v>8</v>
      </c>
      <c r="F743" s="22">
        <v>1000</v>
      </c>
      <c r="G743" s="22">
        <v>0</v>
      </c>
      <c r="H743" s="22">
        <v>0</v>
      </c>
      <c r="I743" s="22">
        <v>1000</v>
      </c>
      <c r="J743">
        <v>0</v>
      </c>
      <c r="K743">
        <v>0</v>
      </c>
      <c r="L743" s="22">
        <v>1000</v>
      </c>
      <c r="M743" s="22">
        <v>0</v>
      </c>
      <c r="N743" s="22">
        <v>0</v>
      </c>
      <c r="O743" s="22">
        <v>1000</v>
      </c>
      <c r="P743" s="22">
        <v>350</v>
      </c>
      <c r="Q743" s="22">
        <v>650</v>
      </c>
      <c r="R743">
        <v>0</v>
      </c>
      <c r="T743" t="s">
        <v>2972</v>
      </c>
      <c r="U743" t="s">
        <v>3057</v>
      </c>
      <c r="V743" t="s">
        <v>3056</v>
      </c>
    </row>
    <row r="744" spans="1:22">
      <c r="A744">
        <v>743</v>
      </c>
      <c r="B744" t="s">
        <v>1654</v>
      </c>
      <c r="C744" t="s">
        <v>1655</v>
      </c>
      <c r="D744" t="s">
        <v>17</v>
      </c>
      <c r="E744" t="s">
        <v>8</v>
      </c>
      <c r="F744" s="22">
        <v>1000</v>
      </c>
      <c r="G744" s="22">
        <v>0</v>
      </c>
      <c r="H744" s="22">
        <v>100</v>
      </c>
      <c r="I744" s="22">
        <v>900</v>
      </c>
      <c r="J744">
        <v>0</v>
      </c>
      <c r="K744">
        <v>0</v>
      </c>
      <c r="L744" s="22">
        <v>900</v>
      </c>
      <c r="M744" s="22">
        <v>0</v>
      </c>
      <c r="N744" s="22">
        <v>0</v>
      </c>
      <c r="O744" s="22">
        <v>900</v>
      </c>
      <c r="P744" s="22">
        <v>500</v>
      </c>
      <c r="Q744" s="22">
        <v>400</v>
      </c>
      <c r="R744">
        <v>0</v>
      </c>
      <c r="T744" t="s">
        <v>2972</v>
      </c>
      <c r="U744" t="s">
        <v>3057</v>
      </c>
      <c r="V744" t="s">
        <v>3056</v>
      </c>
    </row>
    <row r="745" spans="1:22">
      <c r="A745">
        <v>744</v>
      </c>
      <c r="B745" t="s">
        <v>1656</v>
      </c>
      <c r="C745" t="s">
        <v>1657</v>
      </c>
      <c r="D745" t="s">
        <v>17</v>
      </c>
      <c r="E745" t="s">
        <v>8</v>
      </c>
      <c r="F745" s="22">
        <v>1400</v>
      </c>
      <c r="G745" s="22">
        <v>2600</v>
      </c>
      <c r="H745" s="22">
        <v>1300</v>
      </c>
      <c r="I745" s="22">
        <v>2700</v>
      </c>
      <c r="J745">
        <v>0</v>
      </c>
      <c r="K745">
        <v>0</v>
      </c>
      <c r="L745" s="22">
        <v>2700</v>
      </c>
      <c r="M745" s="22">
        <v>0</v>
      </c>
      <c r="N745" s="22">
        <v>0</v>
      </c>
      <c r="O745" s="22">
        <v>2700</v>
      </c>
      <c r="P745" s="22">
        <v>1500</v>
      </c>
      <c r="Q745" s="22">
        <v>1200</v>
      </c>
      <c r="R745">
        <v>1000</v>
      </c>
      <c r="T745" t="s">
        <v>2972</v>
      </c>
      <c r="U745" t="s">
        <v>3057</v>
      </c>
      <c r="V745" t="s">
        <v>3056</v>
      </c>
    </row>
    <row r="746" spans="1:22">
      <c r="A746">
        <v>745</v>
      </c>
      <c r="B746" t="s">
        <v>1660</v>
      </c>
      <c r="C746" t="s">
        <v>1661</v>
      </c>
      <c r="D746" t="s">
        <v>17</v>
      </c>
      <c r="E746" t="s">
        <v>8</v>
      </c>
      <c r="F746" s="22">
        <v>800</v>
      </c>
      <c r="G746" s="22">
        <v>0</v>
      </c>
      <c r="H746" s="22">
        <v>0</v>
      </c>
      <c r="I746" s="22">
        <v>800</v>
      </c>
      <c r="J746">
        <v>0</v>
      </c>
      <c r="K746">
        <v>0</v>
      </c>
      <c r="L746" s="22">
        <v>800</v>
      </c>
      <c r="M746" s="22">
        <v>0</v>
      </c>
      <c r="N746" s="22">
        <v>0</v>
      </c>
      <c r="O746" s="22">
        <v>800</v>
      </c>
      <c r="P746" s="22">
        <v>0</v>
      </c>
      <c r="Q746" s="22">
        <v>800</v>
      </c>
      <c r="R746">
        <v>0</v>
      </c>
      <c r="T746" t="s">
        <v>2972</v>
      </c>
      <c r="U746" t="s">
        <v>3057</v>
      </c>
      <c r="V746" t="s">
        <v>3056</v>
      </c>
    </row>
    <row r="747" spans="1:22">
      <c r="A747">
        <v>746</v>
      </c>
      <c r="B747" t="s">
        <v>1662</v>
      </c>
      <c r="C747" t="s">
        <v>1663</v>
      </c>
      <c r="D747" t="s">
        <v>17</v>
      </c>
      <c r="E747" t="s">
        <v>8</v>
      </c>
      <c r="F747" s="22">
        <v>0</v>
      </c>
      <c r="G747" s="22">
        <v>0</v>
      </c>
      <c r="H747" s="22">
        <v>0</v>
      </c>
      <c r="I747" s="22">
        <v>0</v>
      </c>
      <c r="J747">
        <v>0</v>
      </c>
      <c r="K747">
        <v>0</v>
      </c>
      <c r="L747" s="22">
        <v>0</v>
      </c>
      <c r="M747" s="22">
        <v>0</v>
      </c>
      <c r="N747" s="22">
        <v>0</v>
      </c>
      <c r="O747" s="22">
        <v>0</v>
      </c>
      <c r="P747" s="22">
        <v>0</v>
      </c>
      <c r="Q747" s="22">
        <v>0</v>
      </c>
      <c r="R747">
        <v>0</v>
      </c>
      <c r="T747" t="s">
        <v>2972</v>
      </c>
      <c r="U747" t="s">
        <v>3057</v>
      </c>
      <c r="V747" t="s">
        <v>3056</v>
      </c>
    </row>
    <row r="748" spans="1:22">
      <c r="A748">
        <v>747</v>
      </c>
      <c r="B748" t="s">
        <v>1664</v>
      </c>
      <c r="C748" t="s">
        <v>1665</v>
      </c>
      <c r="D748" t="s">
        <v>17</v>
      </c>
      <c r="E748" t="s">
        <v>8</v>
      </c>
      <c r="F748" s="22">
        <v>0</v>
      </c>
      <c r="G748" s="22">
        <v>0</v>
      </c>
      <c r="H748" s="22">
        <v>0</v>
      </c>
      <c r="I748" s="22">
        <v>0</v>
      </c>
      <c r="J748">
        <v>0</v>
      </c>
      <c r="K748">
        <v>0</v>
      </c>
      <c r="L748" s="22">
        <v>0</v>
      </c>
      <c r="M748" s="22">
        <v>0</v>
      </c>
      <c r="N748" s="22">
        <v>0</v>
      </c>
      <c r="O748" s="22">
        <v>0</v>
      </c>
      <c r="P748" s="22">
        <v>0</v>
      </c>
      <c r="Q748" s="22">
        <v>0</v>
      </c>
      <c r="R748">
        <v>0</v>
      </c>
      <c r="T748" t="s">
        <v>2972</v>
      </c>
      <c r="U748" t="s">
        <v>3057</v>
      </c>
      <c r="V748" t="s">
        <v>3056</v>
      </c>
    </row>
    <row r="749" spans="1:22">
      <c r="A749">
        <v>748</v>
      </c>
      <c r="B749" t="s">
        <v>1666</v>
      </c>
      <c r="C749" t="s">
        <v>1667</v>
      </c>
      <c r="D749" t="s">
        <v>17</v>
      </c>
      <c r="E749" t="s">
        <v>8</v>
      </c>
      <c r="F749" s="22">
        <v>0</v>
      </c>
      <c r="G749" s="22">
        <v>0</v>
      </c>
      <c r="H749" s="22">
        <v>0</v>
      </c>
      <c r="I749" s="22">
        <v>0</v>
      </c>
      <c r="J749">
        <v>0</v>
      </c>
      <c r="K749">
        <v>0</v>
      </c>
      <c r="L749" s="22">
        <v>0</v>
      </c>
      <c r="M749" s="22">
        <v>0</v>
      </c>
      <c r="N749" s="22">
        <v>0</v>
      </c>
      <c r="O749" s="22">
        <v>0</v>
      </c>
      <c r="P749" s="22">
        <v>0</v>
      </c>
      <c r="Q749" s="22">
        <v>0</v>
      </c>
      <c r="R749">
        <v>0</v>
      </c>
      <c r="T749" t="s">
        <v>2972</v>
      </c>
      <c r="U749" t="s">
        <v>3057</v>
      </c>
      <c r="V749" t="s">
        <v>3056</v>
      </c>
    </row>
    <row r="750" spans="1:22">
      <c r="A750">
        <v>749</v>
      </c>
      <c r="B750" t="s">
        <v>1668</v>
      </c>
      <c r="C750" t="s">
        <v>1669</v>
      </c>
      <c r="D750" t="s">
        <v>17</v>
      </c>
      <c r="E750" t="s">
        <v>8</v>
      </c>
      <c r="F750" s="22">
        <v>0</v>
      </c>
      <c r="G750" s="22">
        <v>0</v>
      </c>
      <c r="H750" s="22">
        <v>0</v>
      </c>
      <c r="I750" s="22">
        <v>0</v>
      </c>
      <c r="J750">
        <v>0</v>
      </c>
      <c r="K750">
        <v>0</v>
      </c>
      <c r="L750" s="22">
        <v>0</v>
      </c>
      <c r="M750" s="22">
        <v>0</v>
      </c>
      <c r="N750" s="22">
        <v>0</v>
      </c>
      <c r="O750" s="22">
        <v>0</v>
      </c>
      <c r="P750" s="22">
        <v>0</v>
      </c>
      <c r="Q750" s="22">
        <v>0</v>
      </c>
      <c r="R750">
        <v>0</v>
      </c>
      <c r="T750" t="s">
        <v>2972</v>
      </c>
      <c r="U750" t="s">
        <v>3057</v>
      </c>
      <c r="V750" t="s">
        <v>3056</v>
      </c>
    </row>
    <row r="751" spans="1:22">
      <c r="A751">
        <v>750</v>
      </c>
      <c r="B751" t="s">
        <v>1670</v>
      </c>
      <c r="C751" t="s">
        <v>1671</v>
      </c>
      <c r="D751" t="s">
        <v>17</v>
      </c>
      <c r="E751" t="s">
        <v>8</v>
      </c>
      <c r="F751" s="22">
        <v>0</v>
      </c>
      <c r="G751" s="22">
        <v>0</v>
      </c>
      <c r="H751" s="22">
        <v>0</v>
      </c>
      <c r="I751" s="22">
        <v>0</v>
      </c>
      <c r="J751">
        <v>0</v>
      </c>
      <c r="K751">
        <v>0</v>
      </c>
      <c r="L751" s="22">
        <v>0</v>
      </c>
      <c r="M751" s="22">
        <v>0</v>
      </c>
      <c r="N751" s="22">
        <v>0</v>
      </c>
      <c r="O751" s="22">
        <v>0</v>
      </c>
      <c r="P751" s="22">
        <v>0</v>
      </c>
      <c r="Q751" s="22">
        <v>0</v>
      </c>
      <c r="R751">
        <v>0</v>
      </c>
      <c r="T751" t="s">
        <v>2972</v>
      </c>
      <c r="U751" t="s">
        <v>3057</v>
      </c>
      <c r="V751" t="s">
        <v>3056</v>
      </c>
    </row>
    <row r="752" spans="1:22">
      <c r="A752">
        <v>751</v>
      </c>
      <c r="B752" t="s">
        <v>1672</v>
      </c>
      <c r="C752" t="s">
        <v>1673</v>
      </c>
      <c r="D752" t="s">
        <v>17</v>
      </c>
      <c r="E752" t="s">
        <v>8</v>
      </c>
      <c r="F752" s="22">
        <v>0</v>
      </c>
      <c r="G752" s="22">
        <v>0</v>
      </c>
      <c r="H752" s="22">
        <v>0</v>
      </c>
      <c r="I752" s="22">
        <v>0</v>
      </c>
      <c r="J752">
        <v>0</v>
      </c>
      <c r="K752">
        <v>0</v>
      </c>
      <c r="L752" s="22">
        <v>0</v>
      </c>
      <c r="M752" s="22">
        <v>0</v>
      </c>
      <c r="N752" s="22">
        <v>0</v>
      </c>
      <c r="O752" s="22">
        <v>0</v>
      </c>
      <c r="P752" s="22">
        <v>0</v>
      </c>
      <c r="Q752" s="22">
        <v>0</v>
      </c>
      <c r="R752">
        <v>0</v>
      </c>
      <c r="T752" t="s">
        <v>2972</v>
      </c>
      <c r="U752" t="s">
        <v>3057</v>
      </c>
      <c r="V752" t="s">
        <v>3056</v>
      </c>
    </row>
    <row r="753" spans="1:22">
      <c r="A753">
        <v>752</v>
      </c>
      <c r="B753" t="s">
        <v>1720</v>
      </c>
      <c r="C753" t="s">
        <v>1721</v>
      </c>
      <c r="D753" t="s">
        <v>17</v>
      </c>
      <c r="E753" t="s">
        <v>8</v>
      </c>
      <c r="F753" s="22">
        <v>10000</v>
      </c>
      <c r="G753" s="22">
        <v>0</v>
      </c>
      <c r="H753" s="22">
        <v>0</v>
      </c>
      <c r="I753" s="22">
        <v>10000</v>
      </c>
      <c r="J753">
        <v>0</v>
      </c>
      <c r="K753">
        <v>0</v>
      </c>
      <c r="L753" s="22">
        <v>10000</v>
      </c>
      <c r="M753" s="22">
        <v>0</v>
      </c>
      <c r="N753" s="22">
        <v>0</v>
      </c>
      <c r="O753" s="22">
        <v>10000</v>
      </c>
      <c r="P753" s="22">
        <v>500</v>
      </c>
      <c r="Q753" s="22">
        <v>9500</v>
      </c>
      <c r="R753">
        <v>0</v>
      </c>
      <c r="T753" t="s">
        <v>2972</v>
      </c>
      <c r="U753" t="s">
        <v>3060</v>
      </c>
      <c r="V753" t="s">
        <v>3058</v>
      </c>
    </row>
    <row r="754" spans="1:22">
      <c r="A754">
        <v>753</v>
      </c>
      <c r="B754" t="s">
        <v>1722</v>
      </c>
      <c r="C754" t="s">
        <v>1723</v>
      </c>
      <c r="D754" t="s">
        <v>17</v>
      </c>
      <c r="E754" t="s">
        <v>8</v>
      </c>
      <c r="F754" s="22">
        <v>684</v>
      </c>
      <c r="G754" s="22">
        <v>0</v>
      </c>
      <c r="H754" s="22">
        <v>78</v>
      </c>
      <c r="I754" s="22">
        <v>606</v>
      </c>
      <c r="J754">
        <v>0</v>
      </c>
      <c r="K754">
        <v>0</v>
      </c>
      <c r="L754" s="22">
        <v>606</v>
      </c>
      <c r="M754" s="22">
        <v>0</v>
      </c>
      <c r="N754" s="22">
        <v>0</v>
      </c>
      <c r="O754" s="22">
        <v>606</v>
      </c>
      <c r="P754" s="22">
        <v>500</v>
      </c>
      <c r="Q754" s="22">
        <v>106</v>
      </c>
      <c r="R754">
        <v>0</v>
      </c>
      <c r="T754" t="s">
        <v>3006</v>
      </c>
      <c r="U754" t="s">
        <v>3060</v>
      </c>
      <c r="V754" t="s">
        <v>3058</v>
      </c>
    </row>
    <row r="755" spans="1:22">
      <c r="A755">
        <v>754</v>
      </c>
      <c r="B755" t="s">
        <v>1724</v>
      </c>
      <c r="C755" t="s">
        <v>1725</v>
      </c>
      <c r="D755" t="s">
        <v>17</v>
      </c>
      <c r="E755" t="s">
        <v>8</v>
      </c>
      <c r="F755" s="22">
        <v>2236</v>
      </c>
      <c r="G755" s="22">
        <v>0</v>
      </c>
      <c r="H755" s="22">
        <v>702</v>
      </c>
      <c r="I755" s="22">
        <v>1534</v>
      </c>
      <c r="J755">
        <v>0</v>
      </c>
      <c r="K755">
        <v>0</v>
      </c>
      <c r="L755" s="22">
        <v>1534</v>
      </c>
      <c r="M755" s="22">
        <v>0</v>
      </c>
      <c r="N755" s="22">
        <v>0</v>
      </c>
      <c r="O755" s="22">
        <v>1534</v>
      </c>
      <c r="P755" s="22">
        <v>1800</v>
      </c>
      <c r="Q755" s="22">
        <v>-266</v>
      </c>
      <c r="R755">
        <v>0</v>
      </c>
      <c r="T755" t="s">
        <v>3006</v>
      </c>
      <c r="U755" t="s">
        <v>3060</v>
      </c>
      <c r="V755" t="s">
        <v>3058</v>
      </c>
    </row>
    <row r="756" spans="1:22">
      <c r="A756">
        <v>755</v>
      </c>
      <c r="B756" t="s">
        <v>1728</v>
      </c>
      <c r="C756" t="s">
        <v>1729</v>
      </c>
      <c r="D756" t="s">
        <v>17</v>
      </c>
      <c r="E756" t="s">
        <v>8</v>
      </c>
      <c r="F756" s="22">
        <v>4922</v>
      </c>
      <c r="G756" s="22">
        <v>11273</v>
      </c>
      <c r="H756" s="22">
        <v>7377</v>
      </c>
      <c r="I756" s="22">
        <v>8818</v>
      </c>
      <c r="J756">
        <v>2083</v>
      </c>
      <c r="K756">
        <v>0</v>
      </c>
      <c r="L756" s="22">
        <v>6735</v>
      </c>
      <c r="M756" s="22">
        <v>0</v>
      </c>
      <c r="N756" s="22">
        <v>0</v>
      </c>
      <c r="O756" s="22">
        <v>6735</v>
      </c>
      <c r="P756" s="22">
        <v>3000</v>
      </c>
      <c r="Q756" s="22">
        <v>3735</v>
      </c>
      <c r="R756">
        <v>12000</v>
      </c>
      <c r="T756" t="s">
        <v>3006</v>
      </c>
      <c r="U756" t="s">
        <v>3060</v>
      </c>
      <c r="V756" t="s">
        <v>3058</v>
      </c>
    </row>
    <row r="757" spans="1:22">
      <c r="A757">
        <v>756</v>
      </c>
      <c r="B757" t="s">
        <v>1674</v>
      </c>
      <c r="C757" t="s">
        <v>1675</v>
      </c>
      <c r="D757" t="s">
        <v>17</v>
      </c>
      <c r="E757" t="s">
        <v>8</v>
      </c>
      <c r="F757" s="22">
        <v>0</v>
      </c>
      <c r="G757" s="22">
        <v>0</v>
      </c>
      <c r="H757" s="22">
        <v>0</v>
      </c>
      <c r="I757" s="22">
        <v>0</v>
      </c>
      <c r="J757">
        <v>0</v>
      </c>
      <c r="K757">
        <v>0</v>
      </c>
      <c r="L757" s="22">
        <v>0</v>
      </c>
      <c r="M757" s="22">
        <v>0</v>
      </c>
      <c r="N757" s="22">
        <v>0</v>
      </c>
      <c r="O757" s="22">
        <v>0</v>
      </c>
      <c r="P757" s="22">
        <v>0</v>
      </c>
      <c r="Q757" s="22">
        <v>0</v>
      </c>
      <c r="R757">
        <v>0</v>
      </c>
      <c r="T757" t="s">
        <v>2972</v>
      </c>
      <c r="U757" t="s">
        <v>3057</v>
      </c>
      <c r="V757" t="s">
        <v>3056</v>
      </c>
    </row>
    <row r="758" spans="1:22">
      <c r="A758">
        <v>757</v>
      </c>
      <c r="B758" t="s">
        <v>1736</v>
      </c>
      <c r="C758" t="s">
        <v>1737</v>
      </c>
      <c r="D758" t="s">
        <v>17</v>
      </c>
      <c r="E758" t="s">
        <v>8</v>
      </c>
      <c r="F758" s="22">
        <v>306</v>
      </c>
      <c r="G758" s="22">
        <v>0</v>
      </c>
      <c r="H758" s="22">
        <v>0</v>
      </c>
      <c r="I758" s="22">
        <v>306</v>
      </c>
      <c r="J758">
        <v>0</v>
      </c>
      <c r="K758">
        <v>0</v>
      </c>
      <c r="L758" s="22">
        <v>306</v>
      </c>
      <c r="M758" s="22">
        <v>0</v>
      </c>
      <c r="N758" s="22">
        <v>0</v>
      </c>
      <c r="O758" s="22">
        <v>306</v>
      </c>
      <c r="P758" s="22">
        <v>0</v>
      </c>
      <c r="Q758" s="22">
        <v>306</v>
      </c>
      <c r="R758">
        <v>0</v>
      </c>
      <c r="T758" t="s">
        <v>2972</v>
      </c>
      <c r="U758" t="s">
        <v>3055</v>
      </c>
      <c r="V758" t="s">
        <v>3056</v>
      </c>
    </row>
    <row r="759" spans="1:22">
      <c r="A759">
        <v>758</v>
      </c>
      <c r="B759" t="s">
        <v>1676</v>
      </c>
      <c r="C759" t="s">
        <v>1677</v>
      </c>
      <c r="D759" t="s">
        <v>17</v>
      </c>
      <c r="E759" t="s">
        <v>8</v>
      </c>
      <c r="F759" s="22">
        <v>0</v>
      </c>
      <c r="G759" s="22">
        <v>0</v>
      </c>
      <c r="H759" s="22">
        <v>0</v>
      </c>
      <c r="I759" s="22">
        <v>0</v>
      </c>
      <c r="J759">
        <v>0</v>
      </c>
      <c r="K759">
        <v>0</v>
      </c>
      <c r="L759" s="22">
        <v>0</v>
      </c>
      <c r="M759" s="22">
        <v>0</v>
      </c>
      <c r="N759" s="22">
        <v>0</v>
      </c>
      <c r="O759" s="22">
        <v>0</v>
      </c>
      <c r="P759" s="22">
        <v>0</v>
      </c>
      <c r="Q759" s="22">
        <v>0</v>
      </c>
      <c r="R759">
        <v>0</v>
      </c>
      <c r="T759" t="s">
        <v>2972</v>
      </c>
      <c r="U759" t="s">
        <v>3057</v>
      </c>
      <c r="V759" t="s">
        <v>3056</v>
      </c>
    </row>
    <row r="760" spans="1:22">
      <c r="A760">
        <v>759</v>
      </c>
      <c r="B760" t="s">
        <v>1740</v>
      </c>
      <c r="C760" t="s">
        <v>1741</v>
      </c>
      <c r="D760" t="s">
        <v>17</v>
      </c>
      <c r="E760" t="s">
        <v>8</v>
      </c>
      <c r="F760" s="22">
        <v>0</v>
      </c>
      <c r="G760" s="22">
        <v>49</v>
      </c>
      <c r="H760" s="22">
        <v>25</v>
      </c>
      <c r="I760" s="22">
        <v>24</v>
      </c>
      <c r="J760">
        <v>0</v>
      </c>
      <c r="K760">
        <v>0</v>
      </c>
      <c r="L760" s="22">
        <v>24</v>
      </c>
      <c r="M760" s="22">
        <v>0</v>
      </c>
      <c r="N760" s="22">
        <v>0</v>
      </c>
      <c r="O760" s="22">
        <v>24</v>
      </c>
      <c r="P760" s="22">
        <v>80</v>
      </c>
      <c r="Q760" s="22">
        <v>-56</v>
      </c>
      <c r="R760">
        <v>40</v>
      </c>
      <c r="T760" t="s">
        <v>2991</v>
      </c>
      <c r="U760" t="s">
        <v>3060</v>
      </c>
      <c r="V760" t="s">
        <v>3058</v>
      </c>
    </row>
    <row r="761" spans="1:22">
      <c r="A761">
        <v>760</v>
      </c>
      <c r="B761" t="s">
        <v>1678</v>
      </c>
      <c r="C761" t="s">
        <v>1679</v>
      </c>
      <c r="D761" t="s">
        <v>17</v>
      </c>
      <c r="E761" t="s">
        <v>8</v>
      </c>
      <c r="F761" s="22">
        <v>0</v>
      </c>
      <c r="G761" s="22">
        <v>0</v>
      </c>
      <c r="H761" s="22">
        <v>0</v>
      </c>
      <c r="I761" s="22">
        <v>0</v>
      </c>
      <c r="J761">
        <v>0</v>
      </c>
      <c r="K761">
        <v>0</v>
      </c>
      <c r="L761" s="22">
        <v>0</v>
      </c>
      <c r="M761" s="22">
        <v>0</v>
      </c>
      <c r="N761" s="22">
        <v>0</v>
      </c>
      <c r="O761" s="22">
        <v>0</v>
      </c>
      <c r="P761" s="22">
        <v>0</v>
      </c>
      <c r="Q761" s="22">
        <v>0</v>
      </c>
      <c r="R761">
        <v>0</v>
      </c>
      <c r="T761" t="s">
        <v>2972</v>
      </c>
      <c r="U761" t="s">
        <v>3057</v>
      </c>
      <c r="V761" t="s">
        <v>3056</v>
      </c>
    </row>
    <row r="762" spans="1:22">
      <c r="A762">
        <v>761</v>
      </c>
      <c r="B762" t="s">
        <v>1680</v>
      </c>
      <c r="C762" t="s">
        <v>1681</v>
      </c>
      <c r="D762" t="s">
        <v>17</v>
      </c>
      <c r="E762" t="s">
        <v>8</v>
      </c>
      <c r="F762" s="22">
        <v>0</v>
      </c>
      <c r="G762" s="22">
        <v>0</v>
      </c>
      <c r="H762" s="22">
        <v>0</v>
      </c>
      <c r="I762" s="22">
        <v>0</v>
      </c>
      <c r="J762">
        <v>0</v>
      </c>
      <c r="K762">
        <v>0</v>
      </c>
      <c r="L762" s="22">
        <v>0</v>
      </c>
      <c r="M762" s="22">
        <v>0</v>
      </c>
      <c r="N762" s="22">
        <v>0</v>
      </c>
      <c r="O762" s="22">
        <v>0</v>
      </c>
      <c r="P762" s="22">
        <v>0</v>
      </c>
      <c r="Q762" s="22">
        <v>0</v>
      </c>
      <c r="R762">
        <v>0</v>
      </c>
      <c r="T762" t="s">
        <v>2972</v>
      </c>
      <c r="U762" t="s">
        <v>3057</v>
      </c>
      <c r="V762" t="s">
        <v>3056</v>
      </c>
    </row>
    <row r="763" spans="1:22">
      <c r="A763">
        <v>762</v>
      </c>
      <c r="B763" t="s">
        <v>1746</v>
      </c>
      <c r="C763" t="s">
        <v>1747</v>
      </c>
      <c r="D763" t="s">
        <v>20</v>
      </c>
      <c r="E763" t="s">
        <v>8</v>
      </c>
      <c r="F763" s="22">
        <v>232.45</v>
      </c>
      <c r="G763" s="22">
        <v>0</v>
      </c>
      <c r="H763" s="22">
        <v>26.6</v>
      </c>
      <c r="I763" s="22">
        <v>205.85</v>
      </c>
      <c r="J763">
        <v>0</v>
      </c>
      <c r="K763">
        <v>0</v>
      </c>
      <c r="L763" s="22">
        <v>205.85</v>
      </c>
      <c r="M763" s="22">
        <v>0</v>
      </c>
      <c r="N763" s="22">
        <v>0</v>
      </c>
      <c r="O763" s="22">
        <v>205.85</v>
      </c>
      <c r="P763" s="22">
        <v>50</v>
      </c>
      <c r="Q763" s="22">
        <v>155.85</v>
      </c>
      <c r="R763">
        <v>0</v>
      </c>
      <c r="T763" t="s">
        <v>2991</v>
      </c>
      <c r="U763" t="s">
        <v>3060</v>
      </c>
      <c r="V763" t="s">
        <v>3058</v>
      </c>
    </row>
    <row r="764" spans="1:22">
      <c r="A764">
        <v>763</v>
      </c>
      <c r="B764" t="s">
        <v>1748</v>
      </c>
      <c r="C764" t="s">
        <v>1749</v>
      </c>
      <c r="D764" t="s">
        <v>20</v>
      </c>
      <c r="E764" t="s">
        <v>8</v>
      </c>
      <c r="F764" s="22">
        <v>343.9</v>
      </c>
      <c r="G764" s="22">
        <v>112</v>
      </c>
      <c r="H764" s="22">
        <v>27.7</v>
      </c>
      <c r="I764" s="22">
        <v>428.2</v>
      </c>
      <c r="J764">
        <v>0</v>
      </c>
      <c r="K764">
        <v>0</v>
      </c>
      <c r="L764" s="22">
        <v>428.2</v>
      </c>
      <c r="M764" s="22">
        <v>0</v>
      </c>
      <c r="N764" s="22">
        <v>0</v>
      </c>
      <c r="O764" s="22">
        <v>428.2</v>
      </c>
      <c r="P764" s="22">
        <v>125</v>
      </c>
      <c r="Q764" s="22">
        <v>303.2</v>
      </c>
      <c r="R764">
        <v>250</v>
      </c>
      <c r="T764" t="s">
        <v>2991</v>
      </c>
      <c r="U764" t="s">
        <v>3060</v>
      </c>
      <c r="V764" t="s">
        <v>3056</v>
      </c>
    </row>
    <row r="765" spans="1:22">
      <c r="A765">
        <v>764</v>
      </c>
      <c r="B765" t="s">
        <v>1750</v>
      </c>
      <c r="C765" t="s">
        <v>1751</v>
      </c>
      <c r="D765" t="s">
        <v>20</v>
      </c>
      <c r="E765" t="s">
        <v>8</v>
      </c>
      <c r="F765" s="22">
        <v>240</v>
      </c>
      <c r="G765" s="22">
        <v>0</v>
      </c>
      <c r="H765" s="22">
        <v>73.8</v>
      </c>
      <c r="I765" s="22">
        <v>166.2</v>
      </c>
      <c r="J765">
        <v>0</v>
      </c>
      <c r="K765">
        <v>0</v>
      </c>
      <c r="L765" s="22">
        <v>166.2</v>
      </c>
      <c r="M765" s="22">
        <v>0</v>
      </c>
      <c r="N765" s="22">
        <v>0</v>
      </c>
      <c r="O765" s="22">
        <v>166.2</v>
      </c>
      <c r="P765" s="22">
        <v>75</v>
      </c>
      <c r="Q765" s="22">
        <v>91.199999999999989</v>
      </c>
      <c r="R765">
        <v>0</v>
      </c>
      <c r="T765" t="s">
        <v>2991</v>
      </c>
      <c r="U765" t="s">
        <v>3060</v>
      </c>
      <c r="V765" t="s">
        <v>3058</v>
      </c>
    </row>
    <row r="766" spans="1:22">
      <c r="A766">
        <v>765</v>
      </c>
      <c r="B766" t="s">
        <v>1682</v>
      </c>
      <c r="C766" t="s">
        <v>1683</v>
      </c>
      <c r="D766" t="s">
        <v>17</v>
      </c>
      <c r="E766" t="s">
        <v>8</v>
      </c>
      <c r="F766" s="22">
        <v>0</v>
      </c>
      <c r="G766" s="22">
        <v>0</v>
      </c>
      <c r="H766" s="22">
        <v>0</v>
      </c>
      <c r="I766" s="22">
        <v>0</v>
      </c>
      <c r="J766">
        <v>0</v>
      </c>
      <c r="K766">
        <v>0</v>
      </c>
      <c r="L766" s="22">
        <v>0</v>
      </c>
      <c r="M766" s="22">
        <v>0</v>
      </c>
      <c r="N766" s="22">
        <v>0</v>
      </c>
      <c r="O766" s="22">
        <v>0</v>
      </c>
      <c r="P766" s="22">
        <v>0</v>
      </c>
      <c r="Q766" s="22">
        <v>0</v>
      </c>
      <c r="R766">
        <v>0</v>
      </c>
      <c r="T766" t="s">
        <v>2972</v>
      </c>
      <c r="U766" t="s">
        <v>3057</v>
      </c>
      <c r="V766" t="s">
        <v>3056</v>
      </c>
    </row>
    <row r="767" spans="1:22">
      <c r="A767">
        <v>766</v>
      </c>
      <c r="B767" t="s">
        <v>1684</v>
      </c>
      <c r="C767" t="s">
        <v>1685</v>
      </c>
      <c r="D767" t="s">
        <v>17</v>
      </c>
      <c r="E767" t="s">
        <v>8</v>
      </c>
      <c r="F767" s="22">
        <v>0</v>
      </c>
      <c r="G767" s="22">
        <v>0</v>
      </c>
      <c r="H767" s="22">
        <v>0</v>
      </c>
      <c r="I767" s="22">
        <v>0</v>
      </c>
      <c r="J767">
        <v>0</v>
      </c>
      <c r="K767">
        <v>0</v>
      </c>
      <c r="L767" s="22">
        <v>0</v>
      </c>
      <c r="M767" s="22">
        <v>0</v>
      </c>
      <c r="N767" s="22">
        <v>0</v>
      </c>
      <c r="O767" s="22">
        <v>0</v>
      </c>
      <c r="P767" s="22">
        <v>0</v>
      </c>
      <c r="Q767" s="22">
        <v>0</v>
      </c>
      <c r="R767">
        <v>0</v>
      </c>
      <c r="T767" t="s">
        <v>2972</v>
      </c>
      <c r="U767" t="s">
        <v>3057</v>
      </c>
      <c r="V767" t="s">
        <v>3056</v>
      </c>
    </row>
    <row r="768" spans="1:22">
      <c r="A768">
        <v>767</v>
      </c>
      <c r="B768" t="s">
        <v>1686</v>
      </c>
      <c r="C768" t="s">
        <v>1687</v>
      </c>
      <c r="D768" t="s">
        <v>17</v>
      </c>
      <c r="E768" t="s">
        <v>8</v>
      </c>
      <c r="F768" s="22">
        <v>0</v>
      </c>
      <c r="G768" s="22">
        <v>0</v>
      </c>
      <c r="H768" s="22">
        <v>0</v>
      </c>
      <c r="I768" s="22">
        <v>0</v>
      </c>
      <c r="J768">
        <v>0</v>
      </c>
      <c r="K768">
        <v>0</v>
      </c>
      <c r="L768" s="22">
        <v>0</v>
      </c>
      <c r="M768" s="22">
        <v>0</v>
      </c>
      <c r="N768" s="22">
        <v>0</v>
      </c>
      <c r="O768" s="22">
        <v>0</v>
      </c>
      <c r="P768" s="22">
        <v>0</v>
      </c>
      <c r="Q768" s="22">
        <v>0</v>
      </c>
      <c r="R768">
        <v>0</v>
      </c>
      <c r="T768" t="s">
        <v>2972</v>
      </c>
      <c r="U768" t="s">
        <v>3057</v>
      </c>
      <c r="V768" t="s">
        <v>3056</v>
      </c>
    </row>
    <row r="769" spans="1:22">
      <c r="A769">
        <v>768</v>
      </c>
      <c r="B769" t="s">
        <v>1688</v>
      </c>
      <c r="C769" t="s">
        <v>1689</v>
      </c>
      <c r="D769" t="s">
        <v>17</v>
      </c>
      <c r="E769" t="s">
        <v>8</v>
      </c>
      <c r="F769" s="22">
        <v>0</v>
      </c>
      <c r="G769" s="22">
        <v>0</v>
      </c>
      <c r="H769" s="22">
        <v>0</v>
      </c>
      <c r="I769" s="22">
        <v>0</v>
      </c>
      <c r="J769">
        <v>0</v>
      </c>
      <c r="K769">
        <v>0</v>
      </c>
      <c r="L769" s="22">
        <v>0</v>
      </c>
      <c r="M769" s="22">
        <v>0</v>
      </c>
      <c r="N769" s="22">
        <v>0</v>
      </c>
      <c r="O769" s="22">
        <v>0</v>
      </c>
      <c r="P769" s="22">
        <v>0</v>
      </c>
      <c r="Q769" s="22">
        <v>0</v>
      </c>
      <c r="R769">
        <v>0</v>
      </c>
      <c r="T769" t="s">
        <v>2972</v>
      </c>
      <c r="U769" t="s">
        <v>3057</v>
      </c>
      <c r="V769" t="s">
        <v>3056</v>
      </c>
    </row>
    <row r="770" spans="1:22">
      <c r="A770">
        <v>769</v>
      </c>
      <c r="B770" t="s">
        <v>1760</v>
      </c>
      <c r="C770" t="s">
        <v>1761</v>
      </c>
      <c r="D770" t="s">
        <v>20</v>
      </c>
      <c r="E770" t="s">
        <v>8</v>
      </c>
      <c r="F770" s="22">
        <v>156.30000000000001</v>
      </c>
      <c r="G770" s="22">
        <v>0</v>
      </c>
      <c r="H770" s="22">
        <v>0</v>
      </c>
      <c r="I770" s="22">
        <v>156.30000000000001</v>
      </c>
      <c r="J770">
        <v>0</v>
      </c>
      <c r="K770">
        <v>0</v>
      </c>
      <c r="L770" s="22">
        <v>156.30000000000001</v>
      </c>
      <c r="M770" s="22">
        <v>0</v>
      </c>
      <c r="N770" s="22">
        <v>0</v>
      </c>
      <c r="O770" s="22">
        <v>156.30000000000001</v>
      </c>
      <c r="P770" s="22">
        <v>75</v>
      </c>
      <c r="Q770" s="22">
        <v>81.300000000000011</v>
      </c>
      <c r="R770">
        <v>0</v>
      </c>
      <c r="T770" t="s">
        <v>2991</v>
      </c>
      <c r="U770" t="s">
        <v>3060</v>
      </c>
      <c r="V770" t="s">
        <v>3058</v>
      </c>
    </row>
    <row r="771" spans="1:22">
      <c r="A771">
        <v>770</v>
      </c>
      <c r="B771" t="s">
        <v>1690</v>
      </c>
      <c r="C771" t="s">
        <v>1691</v>
      </c>
      <c r="D771" t="s">
        <v>17</v>
      </c>
      <c r="E771" t="s">
        <v>8</v>
      </c>
      <c r="F771" s="22">
        <v>0</v>
      </c>
      <c r="G771" s="22">
        <v>0</v>
      </c>
      <c r="H771" s="22">
        <v>0</v>
      </c>
      <c r="I771" s="22">
        <v>0</v>
      </c>
      <c r="J771">
        <v>0</v>
      </c>
      <c r="K771">
        <v>0</v>
      </c>
      <c r="L771" s="22">
        <v>0</v>
      </c>
      <c r="M771" s="22">
        <v>0</v>
      </c>
      <c r="N771" s="22">
        <v>0</v>
      </c>
      <c r="O771" s="22">
        <v>0</v>
      </c>
      <c r="P771" s="22">
        <v>0</v>
      </c>
      <c r="Q771" s="22">
        <v>0</v>
      </c>
      <c r="R771">
        <v>0</v>
      </c>
      <c r="T771" t="s">
        <v>2972</v>
      </c>
      <c r="U771" t="s">
        <v>3057</v>
      </c>
      <c r="V771" t="s">
        <v>3056</v>
      </c>
    </row>
    <row r="772" spans="1:22">
      <c r="A772">
        <v>771</v>
      </c>
      <c r="B772" t="s">
        <v>1764</v>
      </c>
      <c r="C772" t="s">
        <v>1765</v>
      </c>
      <c r="D772" t="s">
        <v>17</v>
      </c>
      <c r="E772" t="s">
        <v>8</v>
      </c>
      <c r="F772" s="22">
        <v>8</v>
      </c>
      <c r="G772" s="22">
        <v>4</v>
      </c>
      <c r="H772" s="22">
        <v>11</v>
      </c>
      <c r="I772" s="22">
        <v>1</v>
      </c>
      <c r="J772">
        <v>0</v>
      </c>
      <c r="K772">
        <v>0</v>
      </c>
      <c r="L772" s="22">
        <v>1</v>
      </c>
      <c r="M772" s="22">
        <v>10</v>
      </c>
      <c r="N772" s="22">
        <v>0</v>
      </c>
      <c r="O772" s="22">
        <v>11</v>
      </c>
      <c r="P772" s="22">
        <v>10</v>
      </c>
      <c r="Q772" s="22">
        <v>1</v>
      </c>
      <c r="R772">
        <v>0</v>
      </c>
      <c r="T772" t="s">
        <v>3002</v>
      </c>
      <c r="U772" t="s">
        <v>3055</v>
      </c>
      <c r="V772" t="s">
        <v>3056</v>
      </c>
    </row>
    <row r="773" spans="1:22">
      <c r="A773">
        <v>772</v>
      </c>
      <c r="B773" t="s">
        <v>1692</v>
      </c>
      <c r="C773" t="s">
        <v>1693</v>
      </c>
      <c r="D773" t="s">
        <v>17</v>
      </c>
      <c r="E773" t="s">
        <v>8</v>
      </c>
      <c r="F773" s="22">
        <v>1600</v>
      </c>
      <c r="G773" s="22">
        <v>700</v>
      </c>
      <c r="H773" s="22">
        <v>900</v>
      </c>
      <c r="I773" s="22">
        <v>1400</v>
      </c>
      <c r="J773">
        <v>0</v>
      </c>
      <c r="K773">
        <v>0</v>
      </c>
      <c r="L773" s="22">
        <v>1400</v>
      </c>
      <c r="M773" s="22">
        <v>800</v>
      </c>
      <c r="N773" s="22">
        <v>0</v>
      </c>
      <c r="O773" s="22">
        <v>2200</v>
      </c>
      <c r="P773" s="22">
        <v>1800</v>
      </c>
      <c r="Q773" s="22">
        <v>400</v>
      </c>
      <c r="R773">
        <v>1500</v>
      </c>
      <c r="T773" t="s">
        <v>2972</v>
      </c>
      <c r="U773" t="s">
        <v>3057</v>
      </c>
      <c r="V773" t="s">
        <v>3056</v>
      </c>
    </row>
    <row r="774" spans="1:22">
      <c r="A774">
        <v>773</v>
      </c>
      <c r="B774" t="s">
        <v>1698</v>
      </c>
      <c r="C774" t="s">
        <v>1699</v>
      </c>
      <c r="D774" t="s">
        <v>17</v>
      </c>
      <c r="E774" t="s">
        <v>8</v>
      </c>
      <c r="F774" s="22">
        <v>0</v>
      </c>
      <c r="G774" s="22">
        <v>0</v>
      </c>
      <c r="H774" s="22">
        <v>0</v>
      </c>
      <c r="I774" s="22">
        <v>0</v>
      </c>
      <c r="J774">
        <v>0</v>
      </c>
      <c r="K774">
        <v>0</v>
      </c>
      <c r="L774" s="22">
        <v>0</v>
      </c>
      <c r="M774" s="22">
        <v>0</v>
      </c>
      <c r="N774" s="22">
        <v>0</v>
      </c>
      <c r="O774" s="22">
        <v>0</v>
      </c>
      <c r="P774" s="22">
        <v>0</v>
      </c>
      <c r="Q774" s="22">
        <v>0</v>
      </c>
      <c r="R774">
        <v>0</v>
      </c>
      <c r="T774" t="s">
        <v>2972</v>
      </c>
      <c r="U774" t="s">
        <v>3057</v>
      </c>
      <c r="V774" t="s">
        <v>3056</v>
      </c>
    </row>
    <row r="775" spans="1:22">
      <c r="A775">
        <v>774</v>
      </c>
      <c r="B775" t="s">
        <v>1700</v>
      </c>
      <c r="C775" t="s">
        <v>1701</v>
      </c>
      <c r="D775" t="s">
        <v>17</v>
      </c>
      <c r="E775" t="s">
        <v>8</v>
      </c>
      <c r="F775" s="22">
        <v>0</v>
      </c>
      <c r="G775" s="22">
        <v>0</v>
      </c>
      <c r="H775" s="22">
        <v>0</v>
      </c>
      <c r="I775" s="22">
        <v>0</v>
      </c>
      <c r="J775">
        <v>0</v>
      </c>
      <c r="K775">
        <v>0</v>
      </c>
      <c r="L775" s="22">
        <v>0</v>
      </c>
      <c r="M775" s="22">
        <v>0</v>
      </c>
      <c r="N775" s="22">
        <v>0</v>
      </c>
      <c r="O775" s="22">
        <v>0</v>
      </c>
      <c r="P775" s="22">
        <v>0</v>
      </c>
      <c r="Q775" s="22">
        <v>0</v>
      </c>
      <c r="R775">
        <v>0</v>
      </c>
      <c r="T775" t="s">
        <v>2972</v>
      </c>
      <c r="U775" t="s">
        <v>3057</v>
      </c>
      <c r="V775" t="s">
        <v>3056</v>
      </c>
    </row>
    <row r="776" spans="1:22">
      <c r="A776">
        <v>775</v>
      </c>
      <c r="B776" t="s">
        <v>1702</v>
      </c>
      <c r="C776" t="s">
        <v>1703</v>
      </c>
      <c r="D776" t="s">
        <v>17</v>
      </c>
      <c r="E776" t="s">
        <v>8</v>
      </c>
      <c r="F776" s="22">
        <v>0</v>
      </c>
      <c r="G776" s="22">
        <v>0</v>
      </c>
      <c r="H776" s="22">
        <v>0</v>
      </c>
      <c r="I776" s="22">
        <v>0</v>
      </c>
      <c r="J776">
        <v>0</v>
      </c>
      <c r="K776">
        <v>0</v>
      </c>
      <c r="L776" s="22">
        <v>0</v>
      </c>
      <c r="M776" s="22">
        <v>0</v>
      </c>
      <c r="N776" s="22">
        <v>0</v>
      </c>
      <c r="O776" s="22">
        <v>0</v>
      </c>
      <c r="P776" s="22">
        <v>0</v>
      </c>
      <c r="Q776" s="22">
        <v>0</v>
      </c>
      <c r="R776">
        <v>0</v>
      </c>
      <c r="T776" t="s">
        <v>2972</v>
      </c>
      <c r="U776" t="s">
        <v>3057</v>
      </c>
      <c r="V776" t="s">
        <v>3056</v>
      </c>
    </row>
    <row r="777" spans="1:22">
      <c r="A777">
        <v>776</v>
      </c>
      <c r="B777" t="s">
        <v>1776</v>
      </c>
      <c r="C777" t="s">
        <v>1777</v>
      </c>
      <c r="D777" t="s">
        <v>17</v>
      </c>
      <c r="E777" t="s">
        <v>8</v>
      </c>
      <c r="F777" s="22">
        <v>53</v>
      </c>
      <c r="G777" s="22">
        <v>0</v>
      </c>
      <c r="H777" s="22">
        <v>0</v>
      </c>
      <c r="I777" s="22">
        <v>53</v>
      </c>
      <c r="J777">
        <v>0</v>
      </c>
      <c r="K777">
        <v>0</v>
      </c>
      <c r="L777" s="22">
        <v>53</v>
      </c>
      <c r="M777" s="22">
        <v>0</v>
      </c>
      <c r="N777" s="22">
        <v>0</v>
      </c>
      <c r="O777" s="22">
        <v>53</v>
      </c>
      <c r="P777" s="22">
        <v>0</v>
      </c>
      <c r="Q777" s="22">
        <v>53</v>
      </c>
      <c r="R777">
        <v>0</v>
      </c>
      <c r="T777" t="s">
        <v>2972</v>
      </c>
      <c r="U777" t="s">
        <v>3055</v>
      </c>
      <c r="V777" t="s">
        <v>3056</v>
      </c>
    </row>
    <row r="778" spans="1:22">
      <c r="A778">
        <v>777</v>
      </c>
      <c r="B778" t="s">
        <v>1704</v>
      </c>
      <c r="C778" t="s">
        <v>1705</v>
      </c>
      <c r="D778" t="s">
        <v>17</v>
      </c>
      <c r="E778" t="s">
        <v>8</v>
      </c>
      <c r="F778" s="22">
        <v>0</v>
      </c>
      <c r="G778" s="22">
        <v>0</v>
      </c>
      <c r="H778" s="22">
        <v>0</v>
      </c>
      <c r="I778" s="22">
        <v>0</v>
      </c>
      <c r="J778">
        <v>0</v>
      </c>
      <c r="K778">
        <v>0</v>
      </c>
      <c r="L778" s="22">
        <v>0</v>
      </c>
      <c r="M778" s="22">
        <v>0</v>
      </c>
      <c r="N778" s="22">
        <v>0</v>
      </c>
      <c r="O778" s="22">
        <v>0</v>
      </c>
      <c r="P778" s="22">
        <v>0</v>
      </c>
      <c r="Q778" s="22">
        <v>0</v>
      </c>
      <c r="R778">
        <v>0</v>
      </c>
      <c r="T778" t="s">
        <v>2972</v>
      </c>
      <c r="U778" t="s">
        <v>3057</v>
      </c>
      <c r="V778" t="s">
        <v>3056</v>
      </c>
    </row>
    <row r="779" spans="1:22">
      <c r="A779">
        <v>778</v>
      </c>
      <c r="B779" t="s">
        <v>1706</v>
      </c>
      <c r="C779" t="s">
        <v>1707</v>
      </c>
      <c r="D779" t="s">
        <v>17</v>
      </c>
      <c r="E779" t="s">
        <v>8</v>
      </c>
      <c r="F779" s="22">
        <v>0</v>
      </c>
      <c r="G779" s="22">
        <v>0</v>
      </c>
      <c r="H779" s="22">
        <v>0</v>
      </c>
      <c r="I779" s="22">
        <v>0</v>
      </c>
      <c r="J779">
        <v>0</v>
      </c>
      <c r="K779">
        <v>0</v>
      </c>
      <c r="L779" s="22">
        <v>0</v>
      </c>
      <c r="M779" s="22">
        <v>0</v>
      </c>
      <c r="N779" s="22">
        <v>0</v>
      </c>
      <c r="O779" s="22">
        <v>0</v>
      </c>
      <c r="P779" s="22">
        <v>0</v>
      </c>
      <c r="Q779" s="22">
        <v>0</v>
      </c>
      <c r="R779">
        <v>0</v>
      </c>
      <c r="T779" t="s">
        <v>2972</v>
      </c>
      <c r="U779" t="s">
        <v>3057</v>
      </c>
      <c r="V779" t="s">
        <v>3056</v>
      </c>
    </row>
    <row r="780" spans="1:22">
      <c r="A780">
        <v>779</v>
      </c>
      <c r="B780" t="s">
        <v>1708</v>
      </c>
      <c r="C780" t="s">
        <v>1709</v>
      </c>
      <c r="D780" t="s">
        <v>17</v>
      </c>
      <c r="E780" t="s">
        <v>8</v>
      </c>
      <c r="F780" s="22">
        <v>0</v>
      </c>
      <c r="G780" s="22">
        <v>0</v>
      </c>
      <c r="H780" s="22">
        <v>0</v>
      </c>
      <c r="I780" s="22">
        <v>0</v>
      </c>
      <c r="J780">
        <v>0</v>
      </c>
      <c r="K780">
        <v>0</v>
      </c>
      <c r="L780" s="22">
        <v>0</v>
      </c>
      <c r="M780" s="22">
        <v>0</v>
      </c>
      <c r="N780" s="22">
        <v>0</v>
      </c>
      <c r="O780" s="22">
        <v>0</v>
      </c>
      <c r="P780" s="22">
        <v>0</v>
      </c>
      <c r="Q780" s="22">
        <v>0</v>
      </c>
      <c r="R780">
        <v>0</v>
      </c>
      <c r="T780" t="s">
        <v>2972</v>
      </c>
      <c r="U780" t="s">
        <v>3057</v>
      </c>
      <c r="V780" t="s">
        <v>3056</v>
      </c>
    </row>
    <row r="781" spans="1:22">
      <c r="A781">
        <v>780</v>
      </c>
      <c r="B781" t="s">
        <v>1710</v>
      </c>
      <c r="C781" t="s">
        <v>1711</v>
      </c>
      <c r="D781" t="s">
        <v>17</v>
      </c>
      <c r="E781" t="s">
        <v>8</v>
      </c>
      <c r="F781" s="22">
        <v>0</v>
      </c>
      <c r="G781" s="22">
        <v>0</v>
      </c>
      <c r="H781" s="22">
        <v>0</v>
      </c>
      <c r="I781" s="22">
        <v>0</v>
      </c>
      <c r="J781">
        <v>0</v>
      </c>
      <c r="K781">
        <v>0</v>
      </c>
      <c r="L781" s="22">
        <v>0</v>
      </c>
      <c r="M781" s="22">
        <v>0</v>
      </c>
      <c r="N781" s="22">
        <v>0</v>
      </c>
      <c r="O781" s="22">
        <v>0</v>
      </c>
      <c r="P781" s="22">
        <v>0</v>
      </c>
      <c r="Q781" s="22">
        <v>0</v>
      </c>
      <c r="R781">
        <v>0</v>
      </c>
      <c r="T781" t="s">
        <v>2972</v>
      </c>
      <c r="U781" t="s">
        <v>3057</v>
      </c>
      <c r="V781" t="s">
        <v>3056</v>
      </c>
    </row>
    <row r="782" spans="1:22">
      <c r="A782">
        <v>781</v>
      </c>
      <c r="B782" t="s">
        <v>1712</v>
      </c>
      <c r="C782" t="s">
        <v>1713</v>
      </c>
      <c r="D782" t="s">
        <v>17</v>
      </c>
      <c r="E782" t="s">
        <v>8</v>
      </c>
      <c r="F782" s="22">
        <v>155</v>
      </c>
      <c r="G782" s="22">
        <v>0</v>
      </c>
      <c r="H782" s="22">
        <v>100</v>
      </c>
      <c r="I782" s="22">
        <v>55</v>
      </c>
      <c r="J782">
        <v>0</v>
      </c>
      <c r="K782">
        <v>0</v>
      </c>
      <c r="L782" s="22">
        <v>55</v>
      </c>
      <c r="M782" s="22">
        <v>0</v>
      </c>
      <c r="N782" s="22">
        <v>0</v>
      </c>
      <c r="O782" s="22">
        <v>55</v>
      </c>
      <c r="P782" s="22">
        <v>100</v>
      </c>
      <c r="Q782" s="22">
        <v>-45</v>
      </c>
      <c r="R782">
        <v>0</v>
      </c>
      <c r="T782" t="s">
        <v>2972</v>
      </c>
      <c r="U782" t="s">
        <v>3057</v>
      </c>
      <c r="V782" t="s">
        <v>3056</v>
      </c>
    </row>
    <row r="783" spans="1:22">
      <c r="A783">
        <v>782</v>
      </c>
      <c r="B783" t="s">
        <v>1788</v>
      </c>
      <c r="C783" t="s">
        <v>1789</v>
      </c>
      <c r="D783" t="s">
        <v>17</v>
      </c>
      <c r="E783" t="s">
        <v>8</v>
      </c>
      <c r="F783" s="22">
        <v>6700</v>
      </c>
      <c r="G783" s="22">
        <v>0</v>
      </c>
      <c r="H783" s="22">
        <v>0</v>
      </c>
      <c r="I783" s="22">
        <v>6700</v>
      </c>
      <c r="J783">
        <v>0</v>
      </c>
      <c r="K783">
        <v>0</v>
      </c>
      <c r="L783" s="22">
        <v>6700</v>
      </c>
      <c r="M783" s="22">
        <v>0</v>
      </c>
      <c r="N783" s="22">
        <v>0</v>
      </c>
      <c r="O783" s="22">
        <v>6700</v>
      </c>
      <c r="P783" s="22">
        <v>0</v>
      </c>
      <c r="Q783" s="22">
        <v>6700</v>
      </c>
      <c r="R783">
        <v>0</v>
      </c>
      <c r="T783" t="s">
        <v>2972</v>
      </c>
      <c r="U783" t="s">
        <v>3055</v>
      </c>
      <c r="V783" t="s">
        <v>3056</v>
      </c>
    </row>
    <row r="784" spans="1:22">
      <c r="A784">
        <v>783</v>
      </c>
      <c r="B784" t="s">
        <v>1716</v>
      </c>
      <c r="C784" t="s">
        <v>1717</v>
      </c>
      <c r="D784" t="s">
        <v>17</v>
      </c>
      <c r="E784" t="s">
        <v>8</v>
      </c>
      <c r="F784" s="22">
        <v>500</v>
      </c>
      <c r="G784" s="22">
        <v>0</v>
      </c>
      <c r="H784" s="22">
        <v>100</v>
      </c>
      <c r="I784" s="22">
        <v>400</v>
      </c>
      <c r="J784">
        <v>0</v>
      </c>
      <c r="K784">
        <v>0</v>
      </c>
      <c r="L784" s="22">
        <v>400</v>
      </c>
      <c r="M784" s="22">
        <v>0</v>
      </c>
      <c r="N784" s="22">
        <v>0</v>
      </c>
      <c r="O784" s="22">
        <v>400</v>
      </c>
      <c r="P784" s="22">
        <v>400</v>
      </c>
      <c r="Q784" s="22">
        <v>0</v>
      </c>
      <c r="R784">
        <v>0</v>
      </c>
      <c r="T784" t="s">
        <v>2972</v>
      </c>
      <c r="U784" t="s">
        <v>3057</v>
      </c>
      <c r="V784" t="s">
        <v>3056</v>
      </c>
    </row>
    <row r="785" spans="1:22">
      <c r="A785">
        <v>784</v>
      </c>
      <c r="B785" t="s">
        <v>1792</v>
      </c>
      <c r="C785" t="s">
        <v>1793</v>
      </c>
      <c r="D785" t="s">
        <v>17</v>
      </c>
      <c r="E785" t="s">
        <v>8</v>
      </c>
      <c r="F785" s="22">
        <v>8650</v>
      </c>
      <c r="G785" s="22">
        <v>0</v>
      </c>
      <c r="H785" s="22">
        <v>2000</v>
      </c>
      <c r="I785" s="22">
        <v>6650</v>
      </c>
      <c r="J785">
        <v>0</v>
      </c>
      <c r="K785">
        <v>0</v>
      </c>
      <c r="L785" s="22">
        <v>6650</v>
      </c>
      <c r="M785" s="22">
        <v>0</v>
      </c>
      <c r="N785" s="22">
        <v>0</v>
      </c>
      <c r="O785" s="22">
        <v>6650</v>
      </c>
      <c r="P785" s="22">
        <v>4000</v>
      </c>
      <c r="Q785" s="22">
        <v>2650</v>
      </c>
      <c r="R785">
        <v>0</v>
      </c>
      <c r="T785" t="s">
        <v>2972</v>
      </c>
      <c r="U785" t="s">
        <v>3055</v>
      </c>
      <c r="V785" t="s">
        <v>3056</v>
      </c>
    </row>
    <row r="786" spans="1:22">
      <c r="A786">
        <v>785</v>
      </c>
      <c r="B786" t="s">
        <v>1794</v>
      </c>
      <c r="C786" t="s">
        <v>1795</v>
      </c>
      <c r="D786" t="s">
        <v>17</v>
      </c>
      <c r="E786" t="s">
        <v>8</v>
      </c>
      <c r="F786" s="22">
        <v>1820</v>
      </c>
      <c r="G786" s="22">
        <v>0</v>
      </c>
      <c r="H786" s="22">
        <v>0</v>
      </c>
      <c r="I786" s="22">
        <v>1820</v>
      </c>
      <c r="J786">
        <v>0</v>
      </c>
      <c r="K786">
        <v>0</v>
      </c>
      <c r="L786" s="22">
        <v>1820</v>
      </c>
      <c r="M786" s="22">
        <v>0</v>
      </c>
      <c r="N786" s="22">
        <v>0</v>
      </c>
      <c r="O786" s="22">
        <v>1820</v>
      </c>
      <c r="P786" s="22">
        <v>400</v>
      </c>
      <c r="Q786" s="22">
        <v>1420</v>
      </c>
      <c r="R786">
        <v>0</v>
      </c>
      <c r="T786" t="s">
        <v>2972</v>
      </c>
      <c r="U786" t="s">
        <v>3055</v>
      </c>
      <c r="V786" t="s">
        <v>3056</v>
      </c>
    </row>
    <row r="787" spans="1:22">
      <c r="A787">
        <v>786</v>
      </c>
      <c r="B787" t="s">
        <v>1734</v>
      </c>
      <c r="C787" t="s">
        <v>1735</v>
      </c>
      <c r="D787" t="s">
        <v>17</v>
      </c>
      <c r="E787" t="s">
        <v>8</v>
      </c>
      <c r="F787" s="22">
        <v>7000</v>
      </c>
      <c r="G787" s="22">
        <v>0</v>
      </c>
      <c r="H787" s="22">
        <v>0</v>
      </c>
      <c r="I787" s="22">
        <v>7000</v>
      </c>
      <c r="J787">
        <v>0</v>
      </c>
      <c r="K787">
        <v>0</v>
      </c>
      <c r="L787" s="22">
        <v>7000</v>
      </c>
      <c r="M787" s="22">
        <v>0</v>
      </c>
      <c r="N787" s="22">
        <v>0</v>
      </c>
      <c r="O787" s="22">
        <v>7000</v>
      </c>
      <c r="P787" s="22">
        <v>2500</v>
      </c>
      <c r="Q787" s="22">
        <v>4500</v>
      </c>
      <c r="R787">
        <v>0</v>
      </c>
      <c r="T787" t="s">
        <v>2972</v>
      </c>
      <c r="U787" t="s">
        <v>3057</v>
      </c>
      <c r="V787" t="s">
        <v>3058</v>
      </c>
    </row>
    <row r="788" spans="1:22">
      <c r="A788">
        <v>787</v>
      </c>
      <c r="B788" t="s">
        <v>1738</v>
      </c>
      <c r="C788" t="s">
        <v>1739</v>
      </c>
      <c r="D788" t="s">
        <v>17</v>
      </c>
      <c r="E788" t="s">
        <v>8</v>
      </c>
      <c r="F788" s="22">
        <v>0</v>
      </c>
      <c r="G788" s="22">
        <v>0</v>
      </c>
      <c r="H788" s="22">
        <v>0</v>
      </c>
      <c r="I788" s="22">
        <v>0</v>
      </c>
      <c r="J788">
        <v>0</v>
      </c>
      <c r="K788">
        <v>0</v>
      </c>
      <c r="L788" s="22">
        <v>0</v>
      </c>
      <c r="M788" s="22">
        <v>0</v>
      </c>
      <c r="N788" s="22">
        <v>0</v>
      </c>
      <c r="O788" s="22">
        <v>0</v>
      </c>
      <c r="P788" s="22">
        <v>0</v>
      </c>
      <c r="Q788" s="22">
        <v>0</v>
      </c>
      <c r="R788">
        <v>0</v>
      </c>
      <c r="T788" t="s">
        <v>2972</v>
      </c>
      <c r="U788" t="s">
        <v>3057</v>
      </c>
      <c r="V788" t="s">
        <v>3056</v>
      </c>
    </row>
    <row r="789" spans="1:22">
      <c r="A789">
        <v>788</v>
      </c>
      <c r="B789" t="s">
        <v>1742</v>
      </c>
      <c r="C789" t="s">
        <v>1743</v>
      </c>
      <c r="D789" t="s">
        <v>20</v>
      </c>
      <c r="E789" t="s">
        <v>8</v>
      </c>
      <c r="F789" s="22">
        <v>61.3</v>
      </c>
      <c r="G789" s="22">
        <v>0</v>
      </c>
      <c r="H789" s="22">
        <v>0</v>
      </c>
      <c r="I789" s="22">
        <v>61.3</v>
      </c>
      <c r="J789">
        <v>0</v>
      </c>
      <c r="K789">
        <v>0</v>
      </c>
      <c r="L789" s="22">
        <v>61.3</v>
      </c>
      <c r="M789" s="22">
        <v>0</v>
      </c>
      <c r="N789" s="22">
        <v>0</v>
      </c>
      <c r="O789" s="22">
        <v>61.3</v>
      </c>
      <c r="P789" s="22">
        <v>0</v>
      </c>
      <c r="Q789" s="22">
        <v>61.3</v>
      </c>
      <c r="R789">
        <v>0</v>
      </c>
      <c r="T789" t="s">
        <v>2991</v>
      </c>
      <c r="U789" t="s">
        <v>3057</v>
      </c>
      <c r="V789" t="s">
        <v>3056</v>
      </c>
    </row>
    <row r="790" spans="1:22">
      <c r="A790">
        <v>789</v>
      </c>
      <c r="B790" t="s">
        <v>1744</v>
      </c>
      <c r="C790" t="s">
        <v>1745</v>
      </c>
      <c r="D790" t="s">
        <v>20</v>
      </c>
      <c r="E790" t="s">
        <v>8</v>
      </c>
      <c r="F790" s="22">
        <v>124</v>
      </c>
      <c r="G790" s="22">
        <v>0</v>
      </c>
      <c r="H790" s="22">
        <v>0</v>
      </c>
      <c r="I790" s="22">
        <v>124</v>
      </c>
      <c r="J790">
        <v>0</v>
      </c>
      <c r="K790">
        <v>124</v>
      </c>
      <c r="L790" s="22">
        <v>0</v>
      </c>
      <c r="M790" s="22">
        <v>0</v>
      </c>
      <c r="N790" s="22">
        <v>0</v>
      </c>
      <c r="O790" s="22">
        <v>0</v>
      </c>
      <c r="P790" s="22">
        <v>0</v>
      </c>
      <c r="Q790" s="22">
        <v>0</v>
      </c>
      <c r="R790">
        <v>0</v>
      </c>
      <c r="T790" t="s">
        <v>2972</v>
      </c>
      <c r="U790" t="s">
        <v>3057</v>
      </c>
      <c r="V790" t="s">
        <v>3056</v>
      </c>
    </row>
    <row r="791" spans="1:22">
      <c r="A791">
        <v>790</v>
      </c>
      <c r="B791" t="s">
        <v>1752</v>
      </c>
      <c r="C791" t="s">
        <v>1753</v>
      </c>
      <c r="D791" t="s">
        <v>20</v>
      </c>
      <c r="E791" t="s">
        <v>8</v>
      </c>
      <c r="F791" s="22">
        <v>0</v>
      </c>
      <c r="G791" s="22">
        <v>0</v>
      </c>
      <c r="H791" s="22">
        <v>0</v>
      </c>
      <c r="I791" s="22">
        <v>0</v>
      </c>
      <c r="J791">
        <v>0</v>
      </c>
      <c r="K791">
        <v>0</v>
      </c>
      <c r="L791" s="22">
        <v>0</v>
      </c>
      <c r="M791" s="22">
        <v>0</v>
      </c>
      <c r="N791" s="22">
        <v>0</v>
      </c>
      <c r="O791" s="22">
        <v>0</v>
      </c>
      <c r="P791" s="22">
        <v>0</v>
      </c>
      <c r="Q791" s="22">
        <v>0</v>
      </c>
      <c r="R791">
        <v>0</v>
      </c>
      <c r="T791" t="s">
        <v>2991</v>
      </c>
      <c r="U791" t="s">
        <v>3057</v>
      </c>
      <c r="V791" t="s">
        <v>3056</v>
      </c>
    </row>
    <row r="792" spans="1:22">
      <c r="A792">
        <v>791</v>
      </c>
      <c r="B792" t="s">
        <v>1754</v>
      </c>
      <c r="C792" t="s">
        <v>1755</v>
      </c>
      <c r="D792" t="s">
        <v>20</v>
      </c>
      <c r="E792" t="s">
        <v>8</v>
      </c>
      <c r="F792" s="22">
        <v>13.1</v>
      </c>
      <c r="G792" s="22">
        <v>0</v>
      </c>
      <c r="H792" s="22">
        <v>0</v>
      </c>
      <c r="I792" s="22">
        <v>13.1</v>
      </c>
      <c r="J792">
        <v>0</v>
      </c>
      <c r="K792">
        <v>0</v>
      </c>
      <c r="L792" s="22">
        <v>13.1</v>
      </c>
      <c r="M792" s="22">
        <v>0</v>
      </c>
      <c r="N792" s="22">
        <v>0</v>
      </c>
      <c r="O792" s="22">
        <v>13.1</v>
      </c>
      <c r="P792" s="22">
        <v>0</v>
      </c>
      <c r="Q792" s="22">
        <v>13.1</v>
      </c>
      <c r="R792">
        <v>0</v>
      </c>
      <c r="T792" t="s">
        <v>2991</v>
      </c>
      <c r="U792" t="s">
        <v>3057</v>
      </c>
      <c r="V792" t="s">
        <v>3056</v>
      </c>
    </row>
    <row r="793" spans="1:22">
      <c r="A793">
        <v>792</v>
      </c>
      <c r="B793" t="s">
        <v>1758</v>
      </c>
      <c r="C793" t="s">
        <v>1759</v>
      </c>
      <c r="D793" t="s">
        <v>20</v>
      </c>
      <c r="E793" t="s">
        <v>8</v>
      </c>
      <c r="F793" s="22">
        <v>120.5</v>
      </c>
      <c r="G793" s="22">
        <v>0</v>
      </c>
      <c r="H793" s="22">
        <v>0</v>
      </c>
      <c r="I793" s="22">
        <v>120.5</v>
      </c>
      <c r="J793">
        <v>0</v>
      </c>
      <c r="K793">
        <v>0</v>
      </c>
      <c r="L793" s="22">
        <v>120.5</v>
      </c>
      <c r="M793" s="22">
        <v>0</v>
      </c>
      <c r="N793" s="22">
        <v>0</v>
      </c>
      <c r="O793" s="22">
        <v>120.5</v>
      </c>
      <c r="P793" s="22">
        <v>0</v>
      </c>
      <c r="Q793" s="22">
        <v>120.5</v>
      </c>
      <c r="R793">
        <v>0</v>
      </c>
      <c r="T793" t="s">
        <v>2991</v>
      </c>
      <c r="U793" t="s">
        <v>3057</v>
      </c>
      <c r="V793" t="s">
        <v>3056</v>
      </c>
    </row>
    <row r="794" spans="1:22">
      <c r="A794">
        <v>793</v>
      </c>
      <c r="B794" t="s">
        <v>1762</v>
      </c>
      <c r="C794" t="s">
        <v>1763</v>
      </c>
      <c r="D794" t="s">
        <v>17</v>
      </c>
      <c r="E794" t="s">
        <v>8</v>
      </c>
      <c r="F794" s="22">
        <v>0</v>
      </c>
      <c r="G794" s="22">
        <v>0</v>
      </c>
      <c r="H794" s="22">
        <v>0</v>
      </c>
      <c r="I794" s="22">
        <v>0</v>
      </c>
      <c r="J794">
        <v>0</v>
      </c>
      <c r="K794">
        <v>0</v>
      </c>
      <c r="L794" s="22">
        <v>0</v>
      </c>
      <c r="M794" s="22">
        <v>0</v>
      </c>
      <c r="N794" s="22">
        <v>0</v>
      </c>
      <c r="O794" s="22">
        <v>0</v>
      </c>
      <c r="P794" s="22">
        <v>0</v>
      </c>
      <c r="Q794" s="22">
        <v>0</v>
      </c>
      <c r="R794">
        <v>0</v>
      </c>
      <c r="T794" t="s">
        <v>3002</v>
      </c>
      <c r="U794" t="s">
        <v>3057</v>
      </c>
      <c r="V794" t="s">
        <v>3056</v>
      </c>
    </row>
    <row r="795" spans="1:22">
      <c r="A795">
        <v>794</v>
      </c>
      <c r="B795" t="s">
        <v>1768</v>
      </c>
      <c r="C795" t="s">
        <v>1769</v>
      </c>
      <c r="D795" t="s">
        <v>7</v>
      </c>
      <c r="E795" t="s">
        <v>8</v>
      </c>
      <c r="F795" s="22">
        <v>3000</v>
      </c>
      <c r="G795" s="22">
        <v>0</v>
      </c>
      <c r="H795" s="22">
        <v>0</v>
      </c>
      <c r="I795" s="22">
        <v>3000</v>
      </c>
      <c r="J795">
        <v>0</v>
      </c>
      <c r="K795">
        <v>0</v>
      </c>
      <c r="L795" s="22">
        <v>3000</v>
      </c>
      <c r="M795" s="22">
        <v>0</v>
      </c>
      <c r="N795" s="22">
        <v>0</v>
      </c>
      <c r="O795" s="22">
        <v>3000</v>
      </c>
      <c r="P795" s="22">
        <v>2000</v>
      </c>
      <c r="Q795" s="22">
        <v>1000</v>
      </c>
      <c r="R795">
        <v>0</v>
      </c>
      <c r="T795" t="s">
        <v>2972</v>
      </c>
      <c r="U795" t="s">
        <v>3057</v>
      </c>
      <c r="V795" t="s">
        <v>3056</v>
      </c>
    </row>
    <row r="796" spans="1:22">
      <c r="A796">
        <v>795</v>
      </c>
      <c r="B796" t="s">
        <v>1770</v>
      </c>
      <c r="C796" t="s">
        <v>1771</v>
      </c>
      <c r="D796" t="s">
        <v>17</v>
      </c>
      <c r="E796" t="s">
        <v>8</v>
      </c>
      <c r="F796" s="22">
        <v>919</v>
      </c>
      <c r="G796" s="22">
        <v>0</v>
      </c>
      <c r="H796" s="22">
        <v>77</v>
      </c>
      <c r="I796" s="22">
        <v>842</v>
      </c>
      <c r="J796">
        <v>0</v>
      </c>
      <c r="K796">
        <v>0</v>
      </c>
      <c r="L796" s="22">
        <v>842</v>
      </c>
      <c r="M796" s="22">
        <v>0</v>
      </c>
      <c r="N796" s="22">
        <v>0</v>
      </c>
      <c r="O796" s="22">
        <v>842</v>
      </c>
      <c r="P796" s="22">
        <v>25</v>
      </c>
      <c r="Q796" s="22">
        <v>817</v>
      </c>
      <c r="R796">
        <v>0</v>
      </c>
      <c r="T796" t="s">
        <v>2991</v>
      </c>
      <c r="U796" t="s">
        <v>3057</v>
      </c>
      <c r="V796" t="s">
        <v>3056</v>
      </c>
    </row>
    <row r="797" spans="1:22">
      <c r="A797">
        <v>796</v>
      </c>
      <c r="B797" t="s">
        <v>1772</v>
      </c>
      <c r="C797" t="s">
        <v>1773</v>
      </c>
      <c r="D797" t="s">
        <v>17</v>
      </c>
      <c r="E797" t="s">
        <v>8</v>
      </c>
      <c r="F797" s="22">
        <v>0</v>
      </c>
      <c r="G797" s="22">
        <v>0</v>
      </c>
      <c r="H797" s="22">
        <v>0</v>
      </c>
      <c r="I797" s="22">
        <v>0</v>
      </c>
      <c r="J797">
        <v>0</v>
      </c>
      <c r="K797">
        <v>0</v>
      </c>
      <c r="L797" s="22">
        <v>0</v>
      </c>
      <c r="M797" s="22">
        <v>0</v>
      </c>
      <c r="N797" s="22">
        <v>0</v>
      </c>
      <c r="O797" s="22">
        <v>0</v>
      </c>
      <c r="P797" s="22">
        <v>0</v>
      </c>
      <c r="Q797" s="22">
        <v>0</v>
      </c>
      <c r="R797">
        <v>0</v>
      </c>
      <c r="T797" t="s">
        <v>2972</v>
      </c>
      <c r="U797" t="s">
        <v>3057</v>
      </c>
      <c r="V797" t="s">
        <v>3056</v>
      </c>
    </row>
    <row r="798" spans="1:22">
      <c r="A798">
        <v>797</v>
      </c>
      <c r="B798" t="s">
        <v>1822</v>
      </c>
      <c r="C798" t="s">
        <v>1823</v>
      </c>
      <c r="D798" t="s">
        <v>17</v>
      </c>
      <c r="E798" t="s">
        <v>8</v>
      </c>
      <c r="F798" s="22">
        <v>287</v>
      </c>
      <c r="G798" s="22">
        <v>0</v>
      </c>
      <c r="H798" s="22">
        <v>0</v>
      </c>
      <c r="I798" s="22">
        <v>287</v>
      </c>
      <c r="J798">
        <v>0</v>
      </c>
      <c r="K798">
        <v>0</v>
      </c>
      <c r="L798" s="22">
        <v>287</v>
      </c>
      <c r="M798" s="22">
        <v>0</v>
      </c>
      <c r="N798" s="22">
        <v>0</v>
      </c>
      <c r="O798" s="22">
        <v>287</v>
      </c>
      <c r="P798" s="22">
        <v>50</v>
      </c>
      <c r="Q798" s="22">
        <v>237</v>
      </c>
      <c r="R798">
        <v>0</v>
      </c>
      <c r="T798" t="s">
        <v>2972</v>
      </c>
      <c r="U798" t="s">
        <v>3055</v>
      </c>
      <c r="V798" t="s">
        <v>3056</v>
      </c>
    </row>
    <row r="799" spans="1:22">
      <c r="A799">
        <v>798</v>
      </c>
      <c r="B799" t="s">
        <v>1824</v>
      </c>
      <c r="C799" t="s">
        <v>1825</v>
      </c>
      <c r="D799" t="s">
        <v>17</v>
      </c>
      <c r="E799" t="s">
        <v>8</v>
      </c>
      <c r="F799" s="22">
        <v>217</v>
      </c>
      <c r="G799" s="22">
        <v>0</v>
      </c>
      <c r="H799" s="22">
        <v>23</v>
      </c>
      <c r="I799" s="22">
        <v>194</v>
      </c>
      <c r="J799">
        <v>0</v>
      </c>
      <c r="K799">
        <v>0</v>
      </c>
      <c r="L799" s="22">
        <v>194</v>
      </c>
      <c r="M799" s="22">
        <v>0</v>
      </c>
      <c r="N799" s="22">
        <v>0</v>
      </c>
      <c r="O799" s="22">
        <v>194</v>
      </c>
      <c r="P799" s="22">
        <v>150</v>
      </c>
      <c r="Q799" s="22">
        <v>44</v>
      </c>
      <c r="R799">
        <v>0</v>
      </c>
      <c r="T799" t="s">
        <v>2972</v>
      </c>
      <c r="U799" t="s">
        <v>3055</v>
      </c>
      <c r="V799" t="s">
        <v>3056</v>
      </c>
    </row>
    <row r="800" spans="1:22">
      <c r="A800">
        <v>799</v>
      </c>
      <c r="B800" t="s">
        <v>1778</v>
      </c>
      <c r="C800" t="s">
        <v>1779</v>
      </c>
      <c r="D800" t="s">
        <v>17</v>
      </c>
      <c r="E800" t="s">
        <v>8</v>
      </c>
      <c r="F800" s="22">
        <v>0</v>
      </c>
      <c r="G800" s="22">
        <v>0</v>
      </c>
      <c r="H800" s="22">
        <v>0</v>
      </c>
      <c r="I800" s="22">
        <v>0</v>
      </c>
      <c r="J800">
        <v>0</v>
      </c>
      <c r="K800">
        <v>0</v>
      </c>
      <c r="L800" s="22">
        <v>0</v>
      </c>
      <c r="M800" s="22">
        <v>0</v>
      </c>
      <c r="N800" s="22">
        <v>0</v>
      </c>
      <c r="O800" s="22">
        <v>0</v>
      </c>
      <c r="P800" s="22">
        <v>0</v>
      </c>
      <c r="Q800" s="22">
        <v>0</v>
      </c>
      <c r="R800">
        <v>0</v>
      </c>
      <c r="T800" t="s">
        <v>2972</v>
      </c>
      <c r="U800" t="s">
        <v>3057</v>
      </c>
      <c r="V800" t="s">
        <v>3056</v>
      </c>
    </row>
    <row r="801" spans="1:22">
      <c r="A801">
        <v>800</v>
      </c>
      <c r="B801" t="s">
        <v>1780</v>
      </c>
      <c r="C801" t="s">
        <v>1781</v>
      </c>
      <c r="D801" t="s">
        <v>17</v>
      </c>
      <c r="E801" t="s">
        <v>8</v>
      </c>
      <c r="F801" s="22">
        <v>239</v>
      </c>
      <c r="G801" s="22">
        <v>0</v>
      </c>
      <c r="H801" s="22">
        <v>0</v>
      </c>
      <c r="I801" s="22">
        <v>239</v>
      </c>
      <c r="J801">
        <v>0</v>
      </c>
      <c r="K801">
        <v>0</v>
      </c>
      <c r="L801" s="22">
        <v>239</v>
      </c>
      <c r="M801" s="22">
        <v>0</v>
      </c>
      <c r="N801" s="22">
        <v>0</v>
      </c>
      <c r="O801" s="22">
        <v>239</v>
      </c>
      <c r="P801" s="22">
        <v>150</v>
      </c>
      <c r="Q801" s="22">
        <v>89</v>
      </c>
      <c r="R801">
        <v>0</v>
      </c>
      <c r="T801" t="s">
        <v>2991</v>
      </c>
      <c r="U801" t="s">
        <v>3057</v>
      </c>
      <c r="V801" t="s">
        <v>3056</v>
      </c>
    </row>
    <row r="802" spans="1:22">
      <c r="A802">
        <v>801</v>
      </c>
      <c r="B802" t="s">
        <v>1782</v>
      </c>
      <c r="C802" t="s">
        <v>1783</v>
      </c>
      <c r="D802" t="s">
        <v>17</v>
      </c>
      <c r="E802" t="s">
        <v>8</v>
      </c>
      <c r="F802" s="22">
        <v>455</v>
      </c>
      <c r="G802" s="22">
        <v>0</v>
      </c>
      <c r="H802" s="22">
        <v>0</v>
      </c>
      <c r="I802" s="22">
        <v>455</v>
      </c>
      <c r="J802">
        <v>0</v>
      </c>
      <c r="K802">
        <v>0</v>
      </c>
      <c r="L802" s="22">
        <v>455</v>
      </c>
      <c r="M802" s="22">
        <v>0</v>
      </c>
      <c r="N802" s="22">
        <v>0</v>
      </c>
      <c r="O802" s="22">
        <v>455</v>
      </c>
      <c r="P802" s="22">
        <v>150</v>
      </c>
      <c r="Q802" s="22">
        <v>305</v>
      </c>
      <c r="R802">
        <v>0</v>
      </c>
      <c r="T802" t="s">
        <v>2991</v>
      </c>
      <c r="U802" t="s">
        <v>3057</v>
      </c>
      <c r="V802" t="s">
        <v>3056</v>
      </c>
    </row>
    <row r="803" spans="1:22">
      <c r="A803">
        <v>802</v>
      </c>
      <c r="B803" t="s">
        <v>1784</v>
      </c>
      <c r="C803" t="s">
        <v>1785</v>
      </c>
      <c r="D803" t="s">
        <v>17</v>
      </c>
      <c r="E803" t="s">
        <v>8</v>
      </c>
      <c r="F803" s="22">
        <v>795</v>
      </c>
      <c r="G803" s="22">
        <v>0</v>
      </c>
      <c r="H803" s="22">
        <v>0</v>
      </c>
      <c r="I803" s="22">
        <v>795</v>
      </c>
      <c r="J803">
        <v>0</v>
      </c>
      <c r="K803">
        <v>0</v>
      </c>
      <c r="L803" s="22">
        <v>795</v>
      </c>
      <c r="M803" s="22">
        <v>0</v>
      </c>
      <c r="N803" s="22">
        <v>0</v>
      </c>
      <c r="O803" s="22">
        <v>795</v>
      </c>
      <c r="P803" s="22">
        <v>150</v>
      </c>
      <c r="Q803" s="22">
        <v>645</v>
      </c>
      <c r="R803">
        <v>0</v>
      </c>
      <c r="T803" t="s">
        <v>2991</v>
      </c>
      <c r="U803" t="s">
        <v>3057</v>
      </c>
      <c r="V803" t="s">
        <v>3056</v>
      </c>
    </row>
    <row r="804" spans="1:22">
      <c r="A804">
        <v>803</v>
      </c>
      <c r="B804" t="s">
        <v>1786</v>
      </c>
      <c r="C804" t="s">
        <v>1787</v>
      </c>
      <c r="D804" t="s">
        <v>17</v>
      </c>
      <c r="E804" t="s">
        <v>8</v>
      </c>
      <c r="F804" s="22">
        <v>405</v>
      </c>
      <c r="G804" s="22">
        <v>0</v>
      </c>
      <c r="H804" s="22">
        <v>0</v>
      </c>
      <c r="I804" s="22">
        <v>405</v>
      </c>
      <c r="J804">
        <v>0</v>
      </c>
      <c r="K804">
        <v>0</v>
      </c>
      <c r="L804" s="22">
        <v>405</v>
      </c>
      <c r="M804" s="22">
        <v>0</v>
      </c>
      <c r="N804" s="22">
        <v>0</v>
      </c>
      <c r="O804" s="22">
        <v>405</v>
      </c>
      <c r="P804" s="22">
        <v>150</v>
      </c>
      <c r="Q804" s="22">
        <v>255</v>
      </c>
      <c r="R804">
        <v>0</v>
      </c>
      <c r="T804" t="s">
        <v>2991</v>
      </c>
      <c r="U804" t="s">
        <v>3057</v>
      </c>
      <c r="V804" t="s">
        <v>3056</v>
      </c>
    </row>
    <row r="805" spans="1:22">
      <c r="A805">
        <v>804</v>
      </c>
      <c r="B805" t="s">
        <v>1790</v>
      </c>
      <c r="C805" t="s">
        <v>1791</v>
      </c>
      <c r="D805" t="s">
        <v>17</v>
      </c>
      <c r="E805" t="s">
        <v>8</v>
      </c>
      <c r="F805" s="22">
        <v>0</v>
      </c>
      <c r="G805" s="22">
        <v>0</v>
      </c>
      <c r="H805" s="22">
        <v>0</v>
      </c>
      <c r="I805" s="22">
        <v>0</v>
      </c>
      <c r="J805">
        <v>0</v>
      </c>
      <c r="K805">
        <v>0</v>
      </c>
      <c r="L805" s="22">
        <v>0</v>
      </c>
      <c r="M805" s="22">
        <v>0</v>
      </c>
      <c r="N805" s="22">
        <v>0</v>
      </c>
      <c r="O805" s="22">
        <v>0</v>
      </c>
      <c r="P805" s="22">
        <v>0</v>
      </c>
      <c r="Q805" s="22">
        <v>0</v>
      </c>
      <c r="R805">
        <v>0</v>
      </c>
      <c r="T805" t="s">
        <v>2972</v>
      </c>
      <c r="U805" t="s">
        <v>3057</v>
      </c>
      <c r="V805" t="s">
        <v>3056</v>
      </c>
    </row>
    <row r="806" spans="1:22">
      <c r="A806">
        <v>805</v>
      </c>
      <c r="B806" t="s">
        <v>1796</v>
      </c>
      <c r="C806" t="s">
        <v>1797</v>
      </c>
      <c r="D806" t="s">
        <v>7</v>
      </c>
      <c r="E806" t="s">
        <v>8</v>
      </c>
      <c r="F806" s="22">
        <v>14381</v>
      </c>
      <c r="G806" s="22">
        <v>0</v>
      </c>
      <c r="H806" s="22">
        <v>4079</v>
      </c>
      <c r="I806" s="22">
        <v>10302</v>
      </c>
      <c r="J806">
        <v>0</v>
      </c>
      <c r="K806">
        <v>0</v>
      </c>
      <c r="L806" s="22">
        <v>10302</v>
      </c>
      <c r="M806" s="22">
        <v>0</v>
      </c>
      <c r="N806" s="22">
        <v>0</v>
      </c>
      <c r="O806" s="22">
        <v>10302</v>
      </c>
      <c r="P806" s="22">
        <v>0</v>
      </c>
      <c r="Q806" s="22">
        <v>10302</v>
      </c>
      <c r="R806">
        <v>0</v>
      </c>
      <c r="T806" t="s">
        <v>3029</v>
      </c>
      <c r="U806" t="s">
        <v>3057</v>
      </c>
      <c r="V806" t="s">
        <v>3056</v>
      </c>
    </row>
    <row r="807" spans="1:22">
      <c r="A807">
        <v>806</v>
      </c>
      <c r="B807" t="s">
        <v>1798</v>
      </c>
      <c r="C807" t="s">
        <v>1799</v>
      </c>
      <c r="D807" t="s">
        <v>7</v>
      </c>
      <c r="E807" t="s">
        <v>8</v>
      </c>
      <c r="F807" s="22">
        <v>1755</v>
      </c>
      <c r="G807" s="22">
        <v>0</v>
      </c>
      <c r="H807" s="22">
        <v>0</v>
      </c>
      <c r="I807" s="22">
        <v>1755</v>
      </c>
      <c r="J807">
        <v>0</v>
      </c>
      <c r="K807">
        <v>0</v>
      </c>
      <c r="L807" s="22">
        <v>1755</v>
      </c>
      <c r="M807" s="22">
        <v>0</v>
      </c>
      <c r="N807" s="22">
        <v>0</v>
      </c>
      <c r="O807" s="22">
        <v>1755</v>
      </c>
      <c r="P807" s="22">
        <v>2500</v>
      </c>
      <c r="Q807" s="22">
        <v>-745</v>
      </c>
      <c r="R807">
        <v>0</v>
      </c>
      <c r="T807" t="s">
        <v>2972</v>
      </c>
      <c r="U807" t="s">
        <v>3057</v>
      </c>
      <c r="V807" t="s">
        <v>3056</v>
      </c>
    </row>
    <row r="808" spans="1:22">
      <c r="A808">
        <v>807</v>
      </c>
      <c r="B808" t="s">
        <v>1800</v>
      </c>
      <c r="C808" t="s">
        <v>1801</v>
      </c>
      <c r="D808" t="s">
        <v>17</v>
      </c>
      <c r="E808" t="s">
        <v>8</v>
      </c>
      <c r="F808" s="22">
        <v>0</v>
      </c>
      <c r="G808" s="22">
        <v>2534</v>
      </c>
      <c r="H808" s="22">
        <v>784</v>
      </c>
      <c r="I808" s="22">
        <v>1750</v>
      </c>
      <c r="J808">
        <v>0</v>
      </c>
      <c r="K808">
        <v>0</v>
      </c>
      <c r="L808" s="22">
        <v>1750</v>
      </c>
      <c r="M808" s="22">
        <v>0</v>
      </c>
      <c r="N808" s="22">
        <v>0</v>
      </c>
      <c r="O808" s="22">
        <v>1750</v>
      </c>
      <c r="P808" s="22">
        <v>1000</v>
      </c>
      <c r="Q808" s="22">
        <v>750</v>
      </c>
      <c r="R808">
        <v>2500</v>
      </c>
      <c r="T808" t="s">
        <v>2972</v>
      </c>
      <c r="U808" t="s">
        <v>3057</v>
      </c>
      <c r="V808" t="s">
        <v>3056</v>
      </c>
    </row>
    <row r="809" spans="1:22">
      <c r="A809">
        <v>808</v>
      </c>
      <c r="B809" t="s">
        <v>1802</v>
      </c>
      <c r="C809" t="s">
        <v>1803</v>
      </c>
      <c r="D809" t="s">
        <v>20</v>
      </c>
      <c r="E809" t="s">
        <v>8</v>
      </c>
      <c r="F809" s="22">
        <v>1103</v>
      </c>
      <c r="G809" s="22">
        <v>0</v>
      </c>
      <c r="H809" s="22">
        <v>115.6</v>
      </c>
      <c r="I809" s="22">
        <v>987.4</v>
      </c>
      <c r="J809">
        <v>0</v>
      </c>
      <c r="K809">
        <v>0</v>
      </c>
      <c r="L809" s="22">
        <v>987.4</v>
      </c>
      <c r="M809" s="22">
        <v>0</v>
      </c>
      <c r="N809" s="22">
        <v>0</v>
      </c>
      <c r="O809" s="22">
        <v>987.4</v>
      </c>
      <c r="P809" s="22">
        <v>350</v>
      </c>
      <c r="Q809" s="22">
        <v>637.4</v>
      </c>
      <c r="R809">
        <v>1500</v>
      </c>
      <c r="T809" t="s">
        <v>3031</v>
      </c>
      <c r="U809" t="s">
        <v>3057</v>
      </c>
      <c r="V809" t="s">
        <v>3056</v>
      </c>
    </row>
    <row r="810" spans="1:22">
      <c r="A810">
        <v>809</v>
      </c>
      <c r="B810" t="s">
        <v>1804</v>
      </c>
      <c r="C810" t="s">
        <v>1805</v>
      </c>
      <c r="D810" t="s">
        <v>20</v>
      </c>
      <c r="E810" t="s">
        <v>8</v>
      </c>
      <c r="F810" s="22">
        <v>960.5</v>
      </c>
      <c r="G810" s="22">
        <v>2812.1</v>
      </c>
      <c r="H810" s="22">
        <v>2338.9</v>
      </c>
      <c r="I810" s="22">
        <v>1433.7</v>
      </c>
      <c r="J810">
        <v>0</v>
      </c>
      <c r="K810">
        <v>0</v>
      </c>
      <c r="L810" s="22">
        <v>1433.7</v>
      </c>
      <c r="M810" s="22">
        <v>0</v>
      </c>
      <c r="N810" s="22">
        <v>0</v>
      </c>
      <c r="O810" s="22">
        <v>1433.7</v>
      </c>
      <c r="P810" s="22">
        <v>1000</v>
      </c>
      <c r="Q810" s="22">
        <v>433.70000000000005</v>
      </c>
      <c r="R810">
        <v>3000</v>
      </c>
      <c r="T810" t="s">
        <v>3031</v>
      </c>
      <c r="U810" t="s">
        <v>3057</v>
      </c>
      <c r="V810" t="s">
        <v>3056</v>
      </c>
    </row>
    <row r="811" spans="1:22">
      <c r="A811">
        <v>810</v>
      </c>
      <c r="B811" t="s">
        <v>1806</v>
      </c>
      <c r="C811" t="s">
        <v>1807</v>
      </c>
      <c r="D811" t="s">
        <v>20</v>
      </c>
      <c r="E811" t="s">
        <v>8</v>
      </c>
      <c r="F811" s="22">
        <v>253.6</v>
      </c>
      <c r="G811" s="22">
        <v>0</v>
      </c>
      <c r="H811" s="22">
        <v>144.19999999999999</v>
      </c>
      <c r="I811" s="22">
        <v>109.4</v>
      </c>
      <c r="J811">
        <v>0</v>
      </c>
      <c r="K811">
        <v>0</v>
      </c>
      <c r="L811" s="22">
        <v>109.4</v>
      </c>
      <c r="M811" s="22">
        <v>0</v>
      </c>
      <c r="N811" s="22">
        <v>0</v>
      </c>
      <c r="O811" s="22">
        <v>109.4</v>
      </c>
      <c r="P811" s="22">
        <v>100</v>
      </c>
      <c r="Q811" s="22">
        <v>9.4000000000000057</v>
      </c>
      <c r="R811">
        <v>0</v>
      </c>
      <c r="T811" t="s">
        <v>3031</v>
      </c>
      <c r="U811" t="s">
        <v>3057</v>
      </c>
      <c r="V811" t="s">
        <v>3056</v>
      </c>
    </row>
    <row r="812" spans="1:22">
      <c r="A812">
        <v>811</v>
      </c>
      <c r="B812" t="s">
        <v>1808</v>
      </c>
      <c r="C812" t="s">
        <v>1809</v>
      </c>
      <c r="D812" t="s">
        <v>20</v>
      </c>
      <c r="E812" t="s">
        <v>8</v>
      </c>
      <c r="F812" s="22">
        <v>39.65</v>
      </c>
      <c r="G812" s="22">
        <v>494.7</v>
      </c>
      <c r="H812" s="22">
        <v>41.1</v>
      </c>
      <c r="I812" s="22">
        <v>493.25</v>
      </c>
      <c r="J812">
        <v>0</v>
      </c>
      <c r="K812">
        <v>0</v>
      </c>
      <c r="L812" s="22">
        <v>493.25</v>
      </c>
      <c r="M812" s="22">
        <v>0</v>
      </c>
      <c r="N812" s="22">
        <v>0</v>
      </c>
      <c r="O812" s="22">
        <v>493.25</v>
      </c>
      <c r="P812" s="22">
        <v>350</v>
      </c>
      <c r="Q812" s="22">
        <v>143.25</v>
      </c>
      <c r="R812">
        <v>500</v>
      </c>
      <c r="T812" t="s">
        <v>3031</v>
      </c>
      <c r="U812" t="s">
        <v>3057</v>
      </c>
      <c r="V812" t="s">
        <v>3056</v>
      </c>
    </row>
    <row r="813" spans="1:22">
      <c r="A813">
        <v>812</v>
      </c>
      <c r="B813" t="s">
        <v>1812</v>
      </c>
      <c r="C813" t="s">
        <v>1813</v>
      </c>
      <c r="D813" t="s">
        <v>17</v>
      </c>
      <c r="E813" t="s">
        <v>8</v>
      </c>
      <c r="F813" s="22">
        <v>0</v>
      </c>
      <c r="G813" s="22">
        <v>0</v>
      </c>
      <c r="H813" s="22">
        <v>0</v>
      </c>
      <c r="I813" s="22">
        <v>0</v>
      </c>
      <c r="J813">
        <v>0</v>
      </c>
      <c r="K813">
        <v>0</v>
      </c>
      <c r="L813" s="22">
        <v>0</v>
      </c>
      <c r="M813" s="22">
        <v>0</v>
      </c>
      <c r="N813" s="22">
        <v>0</v>
      </c>
      <c r="O813" s="22">
        <v>0</v>
      </c>
      <c r="P813" s="22">
        <v>0</v>
      </c>
      <c r="Q813" s="22">
        <v>0</v>
      </c>
      <c r="R813">
        <v>0</v>
      </c>
      <c r="T813" t="s">
        <v>2972</v>
      </c>
      <c r="U813" t="s">
        <v>3057</v>
      </c>
      <c r="V813" t="s">
        <v>3056</v>
      </c>
    </row>
    <row r="814" spans="1:22">
      <c r="A814">
        <v>813</v>
      </c>
      <c r="B814" t="s">
        <v>1814</v>
      </c>
      <c r="C814" t="s">
        <v>1815</v>
      </c>
      <c r="D814" t="s">
        <v>17</v>
      </c>
      <c r="E814" t="s">
        <v>8</v>
      </c>
      <c r="F814" s="22">
        <v>28812</v>
      </c>
      <c r="G814" s="22">
        <v>0</v>
      </c>
      <c r="H814" s="22">
        <v>2352</v>
      </c>
      <c r="I814" s="22">
        <v>26460</v>
      </c>
      <c r="J814">
        <v>0</v>
      </c>
      <c r="K814">
        <v>0</v>
      </c>
      <c r="L814" s="22">
        <v>26460</v>
      </c>
      <c r="M814" s="22">
        <v>0</v>
      </c>
      <c r="N814" s="22">
        <v>0</v>
      </c>
      <c r="O814" s="22">
        <v>26460</v>
      </c>
      <c r="P814" s="22">
        <v>10000</v>
      </c>
      <c r="Q814" s="22">
        <v>16460</v>
      </c>
      <c r="R814">
        <v>0</v>
      </c>
      <c r="T814" t="s">
        <v>2972</v>
      </c>
      <c r="U814" t="s">
        <v>3057</v>
      </c>
      <c r="V814" t="s">
        <v>3056</v>
      </c>
    </row>
    <row r="815" spans="1:22">
      <c r="A815">
        <v>814</v>
      </c>
      <c r="B815" t="s">
        <v>1816</v>
      </c>
      <c r="C815" t="s">
        <v>1817</v>
      </c>
      <c r="D815" t="s">
        <v>17</v>
      </c>
      <c r="E815" t="s">
        <v>8</v>
      </c>
      <c r="F815" s="22">
        <v>16500</v>
      </c>
      <c r="G815" s="22">
        <v>0</v>
      </c>
      <c r="H815" s="22">
        <v>3000</v>
      </c>
      <c r="I815" s="22">
        <v>13500</v>
      </c>
      <c r="J815">
        <v>0</v>
      </c>
      <c r="K815">
        <v>0</v>
      </c>
      <c r="L815" s="22">
        <v>13500</v>
      </c>
      <c r="M815" s="22">
        <v>0</v>
      </c>
      <c r="N815" s="22">
        <v>0</v>
      </c>
      <c r="O815" s="22">
        <v>13500</v>
      </c>
      <c r="P815" s="22">
        <v>3000</v>
      </c>
      <c r="Q815" s="22">
        <v>10500</v>
      </c>
      <c r="R815">
        <v>5000</v>
      </c>
      <c r="T815" t="s">
        <v>2972</v>
      </c>
      <c r="U815" t="s">
        <v>3060</v>
      </c>
      <c r="V815" t="s">
        <v>3058</v>
      </c>
    </row>
    <row r="816" spans="1:22">
      <c r="A816">
        <v>815</v>
      </c>
      <c r="B816" t="s">
        <v>1818</v>
      </c>
      <c r="C816" t="s">
        <v>1819</v>
      </c>
      <c r="D816" t="s">
        <v>17</v>
      </c>
      <c r="E816" t="s">
        <v>8</v>
      </c>
      <c r="F816" s="22">
        <v>1039</v>
      </c>
      <c r="G816" s="22">
        <v>0</v>
      </c>
      <c r="H816" s="22">
        <v>195</v>
      </c>
      <c r="I816" s="22">
        <v>844</v>
      </c>
      <c r="J816">
        <v>0</v>
      </c>
      <c r="K816">
        <v>0</v>
      </c>
      <c r="L816" s="22">
        <v>844</v>
      </c>
      <c r="M816" s="22">
        <v>0</v>
      </c>
      <c r="N816" s="22">
        <v>0</v>
      </c>
      <c r="O816" s="22">
        <v>844</v>
      </c>
      <c r="P816" s="22">
        <v>750</v>
      </c>
      <c r="Q816" s="22">
        <v>94</v>
      </c>
      <c r="R816">
        <v>0</v>
      </c>
      <c r="T816" t="s">
        <v>2972</v>
      </c>
      <c r="U816" t="s">
        <v>3057</v>
      </c>
      <c r="V816" t="s">
        <v>3058</v>
      </c>
    </row>
    <row r="817" spans="1:22">
      <c r="A817">
        <v>816</v>
      </c>
      <c r="B817" t="s">
        <v>1826</v>
      </c>
      <c r="C817" t="s">
        <v>1827</v>
      </c>
      <c r="D817" t="s">
        <v>17</v>
      </c>
      <c r="E817" t="s">
        <v>8</v>
      </c>
      <c r="F817" s="22">
        <v>276</v>
      </c>
      <c r="G817" s="22">
        <v>0</v>
      </c>
      <c r="H817" s="22">
        <v>12</v>
      </c>
      <c r="I817" s="22">
        <v>264</v>
      </c>
      <c r="J817">
        <v>0</v>
      </c>
      <c r="K817">
        <v>0</v>
      </c>
      <c r="L817" s="22">
        <v>264</v>
      </c>
      <c r="M817" s="22">
        <v>0</v>
      </c>
      <c r="N817" s="22">
        <v>0</v>
      </c>
      <c r="O817" s="22">
        <v>264</v>
      </c>
      <c r="P817" s="22">
        <v>50</v>
      </c>
      <c r="Q817" s="22">
        <v>214</v>
      </c>
      <c r="R817">
        <v>0</v>
      </c>
      <c r="T817" t="s">
        <v>2991</v>
      </c>
      <c r="U817" t="s">
        <v>3057</v>
      </c>
      <c r="V817" t="s">
        <v>3056</v>
      </c>
    </row>
    <row r="818" spans="1:22">
      <c r="A818">
        <v>817</v>
      </c>
      <c r="B818" t="s">
        <v>1828</v>
      </c>
      <c r="C818" t="s">
        <v>1829</v>
      </c>
      <c r="D818" t="s">
        <v>7</v>
      </c>
      <c r="E818" t="s">
        <v>8</v>
      </c>
      <c r="F818" s="22">
        <v>0</v>
      </c>
      <c r="G818" s="22">
        <v>0</v>
      </c>
      <c r="H818" s="22">
        <v>0</v>
      </c>
      <c r="I818" s="22">
        <v>0</v>
      </c>
      <c r="J818">
        <v>0</v>
      </c>
      <c r="K818">
        <v>0</v>
      </c>
      <c r="L818" s="22">
        <v>0</v>
      </c>
      <c r="M818" s="22">
        <v>0</v>
      </c>
      <c r="N818" s="22">
        <v>0</v>
      </c>
      <c r="O818" s="22">
        <v>0</v>
      </c>
      <c r="P818" s="22">
        <v>0</v>
      </c>
      <c r="Q818" s="22">
        <v>0</v>
      </c>
      <c r="R818">
        <v>0</v>
      </c>
      <c r="T818" t="s">
        <v>2972</v>
      </c>
      <c r="U818" t="s">
        <v>3057</v>
      </c>
      <c r="V818" t="s">
        <v>3056</v>
      </c>
    </row>
    <row r="819" spans="1:22">
      <c r="A819">
        <v>818</v>
      </c>
      <c r="B819" t="s">
        <v>1830</v>
      </c>
      <c r="C819" t="s">
        <v>1831</v>
      </c>
      <c r="D819" t="s">
        <v>17</v>
      </c>
      <c r="E819" t="s">
        <v>8</v>
      </c>
      <c r="F819" s="22">
        <v>123</v>
      </c>
      <c r="G819" s="22">
        <v>0</v>
      </c>
      <c r="H819" s="22">
        <v>0</v>
      </c>
      <c r="I819" s="22">
        <v>123</v>
      </c>
      <c r="J819">
        <v>0</v>
      </c>
      <c r="K819">
        <v>0</v>
      </c>
      <c r="L819" s="22">
        <v>123</v>
      </c>
      <c r="M819" s="22">
        <v>0</v>
      </c>
      <c r="N819" s="22">
        <v>0</v>
      </c>
      <c r="O819" s="22">
        <v>123</v>
      </c>
      <c r="P819" s="22">
        <v>150</v>
      </c>
      <c r="Q819" s="22">
        <v>-27</v>
      </c>
      <c r="R819">
        <v>0</v>
      </c>
      <c r="T819" t="s">
        <v>2991</v>
      </c>
      <c r="U819" t="s">
        <v>3057</v>
      </c>
      <c r="V819" t="s">
        <v>3056</v>
      </c>
    </row>
    <row r="820" spans="1:22">
      <c r="A820">
        <v>819</v>
      </c>
      <c r="B820" t="s">
        <v>1832</v>
      </c>
      <c r="C820" t="s">
        <v>1833</v>
      </c>
      <c r="D820" t="s">
        <v>17</v>
      </c>
      <c r="E820" t="s">
        <v>8</v>
      </c>
      <c r="F820" s="22">
        <v>80</v>
      </c>
      <c r="G820" s="22">
        <v>0</v>
      </c>
      <c r="H820" s="22">
        <v>0</v>
      </c>
      <c r="I820" s="22">
        <v>80</v>
      </c>
      <c r="J820">
        <v>0</v>
      </c>
      <c r="K820">
        <v>0</v>
      </c>
      <c r="L820" s="22">
        <v>80</v>
      </c>
      <c r="M820" s="22">
        <v>0</v>
      </c>
      <c r="N820" s="22">
        <v>0</v>
      </c>
      <c r="O820" s="22">
        <v>80</v>
      </c>
      <c r="P820" s="22">
        <v>150</v>
      </c>
      <c r="Q820" s="22">
        <v>-70</v>
      </c>
      <c r="R820">
        <v>0</v>
      </c>
      <c r="T820" t="s">
        <v>2991</v>
      </c>
      <c r="U820" t="s">
        <v>3057</v>
      </c>
      <c r="V820" t="s">
        <v>3056</v>
      </c>
    </row>
    <row r="821" spans="1:22">
      <c r="A821">
        <v>820</v>
      </c>
      <c r="B821" t="s">
        <v>1870</v>
      </c>
      <c r="C821" t="s">
        <v>1871</v>
      </c>
      <c r="D821" t="s">
        <v>17</v>
      </c>
      <c r="E821" t="s">
        <v>8</v>
      </c>
      <c r="F821" s="22">
        <v>0</v>
      </c>
      <c r="G821" s="22">
        <v>0</v>
      </c>
      <c r="H821" s="22">
        <v>0</v>
      </c>
      <c r="I821" s="22">
        <v>0</v>
      </c>
      <c r="J821">
        <v>0</v>
      </c>
      <c r="K821">
        <v>0</v>
      </c>
      <c r="L821" s="22">
        <v>0</v>
      </c>
      <c r="M821" s="22">
        <v>0</v>
      </c>
      <c r="N821" s="22">
        <v>0</v>
      </c>
      <c r="O821" s="22">
        <v>0</v>
      </c>
      <c r="P821" s="22">
        <v>0</v>
      </c>
      <c r="Q821" s="22">
        <v>0</v>
      </c>
      <c r="R821">
        <v>0</v>
      </c>
      <c r="T821" t="s">
        <v>2982</v>
      </c>
      <c r="U821" t="s">
        <v>3060</v>
      </c>
      <c r="V821" t="s">
        <v>3058</v>
      </c>
    </row>
    <row r="822" spans="1:22">
      <c r="A822">
        <v>821</v>
      </c>
      <c r="B822" t="s">
        <v>1872</v>
      </c>
      <c r="C822" t="s">
        <v>1873</v>
      </c>
      <c r="D822" t="s">
        <v>17</v>
      </c>
      <c r="E822" t="s">
        <v>8</v>
      </c>
      <c r="F822" s="22">
        <v>0</v>
      </c>
      <c r="G822" s="22">
        <v>0</v>
      </c>
      <c r="H822" s="22">
        <v>0</v>
      </c>
      <c r="I822" s="22">
        <v>0</v>
      </c>
      <c r="J822">
        <v>0</v>
      </c>
      <c r="K822">
        <v>0</v>
      </c>
      <c r="L822" s="22">
        <v>0</v>
      </c>
      <c r="M822" s="22">
        <v>0</v>
      </c>
      <c r="N822" s="22">
        <v>0</v>
      </c>
      <c r="O822" s="22">
        <v>0</v>
      </c>
      <c r="P822" s="22">
        <v>0</v>
      </c>
      <c r="Q822" s="22">
        <v>0</v>
      </c>
      <c r="R822">
        <v>0</v>
      </c>
      <c r="T822" t="s">
        <v>2982</v>
      </c>
      <c r="U822" t="s">
        <v>3060</v>
      </c>
      <c r="V822" t="s">
        <v>3058</v>
      </c>
    </row>
    <row r="823" spans="1:22">
      <c r="A823">
        <v>822</v>
      </c>
      <c r="B823" t="s">
        <v>1874</v>
      </c>
      <c r="C823" t="s">
        <v>1875</v>
      </c>
      <c r="D823" t="s">
        <v>17</v>
      </c>
      <c r="E823" t="s">
        <v>8</v>
      </c>
      <c r="F823" s="22">
        <v>0</v>
      </c>
      <c r="G823" s="22">
        <v>0</v>
      </c>
      <c r="H823" s="22">
        <v>0</v>
      </c>
      <c r="I823" s="22">
        <v>0</v>
      </c>
      <c r="J823">
        <v>0</v>
      </c>
      <c r="K823">
        <v>0</v>
      </c>
      <c r="L823" s="22">
        <v>0</v>
      </c>
      <c r="M823" s="22">
        <v>0</v>
      </c>
      <c r="N823" s="22">
        <v>0</v>
      </c>
      <c r="O823" s="22">
        <v>0</v>
      </c>
      <c r="P823" s="22">
        <v>0</v>
      </c>
      <c r="Q823" s="22">
        <v>0</v>
      </c>
      <c r="R823">
        <v>0</v>
      </c>
      <c r="T823" t="s">
        <v>2982</v>
      </c>
      <c r="U823" t="s">
        <v>3060</v>
      </c>
      <c r="V823" t="s">
        <v>3058</v>
      </c>
    </row>
    <row r="824" spans="1:22">
      <c r="A824">
        <v>823</v>
      </c>
      <c r="B824" t="s">
        <v>1876</v>
      </c>
      <c r="C824" t="s">
        <v>1877</v>
      </c>
      <c r="D824" t="s">
        <v>17</v>
      </c>
      <c r="E824" t="s">
        <v>8</v>
      </c>
      <c r="F824" s="22">
        <v>0</v>
      </c>
      <c r="G824" s="22">
        <v>0</v>
      </c>
      <c r="H824" s="22">
        <v>0</v>
      </c>
      <c r="I824" s="22">
        <v>0</v>
      </c>
      <c r="J824">
        <v>0</v>
      </c>
      <c r="K824">
        <v>0</v>
      </c>
      <c r="L824" s="22">
        <v>0</v>
      </c>
      <c r="M824" s="22">
        <v>0</v>
      </c>
      <c r="N824" s="22">
        <v>0</v>
      </c>
      <c r="O824" s="22">
        <v>0</v>
      </c>
      <c r="P824" s="22">
        <v>0</v>
      </c>
      <c r="Q824" s="22">
        <v>0</v>
      </c>
      <c r="R824">
        <v>0</v>
      </c>
      <c r="T824" t="s">
        <v>2982</v>
      </c>
      <c r="U824" t="s">
        <v>3060</v>
      </c>
      <c r="V824" t="s">
        <v>3058</v>
      </c>
    </row>
    <row r="825" spans="1:22">
      <c r="A825">
        <v>824</v>
      </c>
      <c r="B825" t="s">
        <v>1878</v>
      </c>
      <c r="C825" t="s">
        <v>1879</v>
      </c>
      <c r="D825" t="s">
        <v>17</v>
      </c>
      <c r="E825" t="s">
        <v>8</v>
      </c>
      <c r="F825" s="22">
        <v>0</v>
      </c>
      <c r="G825" s="22">
        <v>0</v>
      </c>
      <c r="H825" s="22">
        <v>0</v>
      </c>
      <c r="I825" s="22">
        <v>0</v>
      </c>
      <c r="J825">
        <v>0</v>
      </c>
      <c r="K825">
        <v>0</v>
      </c>
      <c r="L825" s="22">
        <v>0</v>
      </c>
      <c r="M825" s="22">
        <v>0</v>
      </c>
      <c r="N825" s="22">
        <v>0</v>
      </c>
      <c r="O825" s="22">
        <v>0</v>
      </c>
      <c r="P825" s="22">
        <v>0</v>
      </c>
      <c r="Q825" s="22">
        <v>0</v>
      </c>
      <c r="R825">
        <v>0</v>
      </c>
      <c r="T825" t="s">
        <v>2982</v>
      </c>
      <c r="U825" t="s">
        <v>3060</v>
      </c>
      <c r="V825" t="s">
        <v>3058</v>
      </c>
    </row>
    <row r="826" spans="1:22">
      <c r="A826">
        <v>825</v>
      </c>
      <c r="B826" t="s">
        <v>1880</v>
      </c>
      <c r="C826" t="s">
        <v>1881</v>
      </c>
      <c r="D826" t="s">
        <v>17</v>
      </c>
      <c r="E826" t="s">
        <v>8</v>
      </c>
      <c r="F826" s="22">
        <v>0</v>
      </c>
      <c r="G826" s="22">
        <v>0</v>
      </c>
      <c r="H826" s="22">
        <v>0</v>
      </c>
      <c r="I826" s="22">
        <v>0</v>
      </c>
      <c r="J826">
        <v>0</v>
      </c>
      <c r="K826">
        <v>0</v>
      </c>
      <c r="L826" s="22">
        <v>0</v>
      </c>
      <c r="M826" s="22">
        <v>0</v>
      </c>
      <c r="N826" s="22">
        <v>0</v>
      </c>
      <c r="O826" s="22">
        <v>0</v>
      </c>
      <c r="P826" s="22">
        <v>0</v>
      </c>
      <c r="Q826" s="22">
        <v>0</v>
      </c>
      <c r="R826">
        <v>0</v>
      </c>
      <c r="T826" t="s">
        <v>2982</v>
      </c>
      <c r="U826" t="s">
        <v>3060</v>
      </c>
      <c r="V826" t="s">
        <v>3058</v>
      </c>
    </row>
    <row r="827" spans="1:22">
      <c r="A827">
        <v>826</v>
      </c>
      <c r="B827" t="s">
        <v>1882</v>
      </c>
      <c r="C827" t="s">
        <v>1883</v>
      </c>
      <c r="D827" t="s">
        <v>17</v>
      </c>
      <c r="E827" t="s">
        <v>8</v>
      </c>
      <c r="F827" s="22">
        <v>0</v>
      </c>
      <c r="G827" s="22">
        <v>0</v>
      </c>
      <c r="H827" s="22">
        <v>0</v>
      </c>
      <c r="I827" s="22">
        <v>0</v>
      </c>
      <c r="J827">
        <v>0</v>
      </c>
      <c r="K827">
        <v>0</v>
      </c>
      <c r="L827" s="22">
        <v>0</v>
      </c>
      <c r="M827" s="22">
        <v>0</v>
      </c>
      <c r="N827" s="22">
        <v>0</v>
      </c>
      <c r="O827" s="22">
        <v>0</v>
      </c>
      <c r="P827" s="22">
        <v>0</v>
      </c>
      <c r="Q827" s="22">
        <v>0</v>
      </c>
      <c r="R827">
        <v>0</v>
      </c>
      <c r="T827" t="s">
        <v>2982</v>
      </c>
      <c r="U827" t="s">
        <v>3060</v>
      </c>
      <c r="V827" t="s">
        <v>3058</v>
      </c>
    </row>
    <row r="828" spans="1:22">
      <c r="A828">
        <v>827</v>
      </c>
      <c r="B828" t="s">
        <v>1884</v>
      </c>
      <c r="C828" t="s">
        <v>1885</v>
      </c>
      <c r="D828" t="s">
        <v>17</v>
      </c>
      <c r="E828" t="s">
        <v>8</v>
      </c>
      <c r="F828" s="22">
        <v>0</v>
      </c>
      <c r="G828" s="22">
        <v>0</v>
      </c>
      <c r="H828" s="22">
        <v>0</v>
      </c>
      <c r="I828" s="22">
        <v>0</v>
      </c>
      <c r="J828">
        <v>0</v>
      </c>
      <c r="K828">
        <v>0</v>
      </c>
      <c r="L828" s="22">
        <v>0</v>
      </c>
      <c r="M828" s="22">
        <v>0</v>
      </c>
      <c r="N828" s="22">
        <v>0</v>
      </c>
      <c r="O828" s="22">
        <v>0</v>
      </c>
      <c r="P828" s="22">
        <v>0</v>
      </c>
      <c r="Q828" s="22">
        <v>0</v>
      </c>
      <c r="R828">
        <v>0</v>
      </c>
      <c r="T828" t="s">
        <v>2982</v>
      </c>
      <c r="U828" t="s">
        <v>3060</v>
      </c>
      <c r="V828" t="s">
        <v>3058</v>
      </c>
    </row>
    <row r="829" spans="1:22">
      <c r="A829">
        <v>828</v>
      </c>
      <c r="B829" t="s">
        <v>1886</v>
      </c>
      <c r="C829" t="s">
        <v>1887</v>
      </c>
      <c r="D829" t="s">
        <v>17</v>
      </c>
      <c r="E829" t="s">
        <v>8</v>
      </c>
      <c r="F829" s="22">
        <v>0</v>
      </c>
      <c r="G829" s="22">
        <v>0</v>
      </c>
      <c r="H829" s="22">
        <v>0</v>
      </c>
      <c r="I829" s="22">
        <v>0</v>
      </c>
      <c r="J829">
        <v>0</v>
      </c>
      <c r="K829">
        <v>0</v>
      </c>
      <c r="L829" s="22">
        <v>0</v>
      </c>
      <c r="M829" s="22">
        <v>0</v>
      </c>
      <c r="N829" s="22">
        <v>0</v>
      </c>
      <c r="O829" s="22">
        <v>0</v>
      </c>
      <c r="P829" s="22">
        <v>0</v>
      </c>
      <c r="Q829" s="22">
        <v>0</v>
      </c>
      <c r="R829">
        <v>0</v>
      </c>
      <c r="T829" t="s">
        <v>2982</v>
      </c>
      <c r="U829" t="s">
        <v>3060</v>
      </c>
      <c r="V829" t="s">
        <v>3058</v>
      </c>
    </row>
    <row r="830" spans="1:22">
      <c r="A830">
        <v>829</v>
      </c>
      <c r="B830" t="s">
        <v>1888</v>
      </c>
      <c r="C830" t="s">
        <v>1889</v>
      </c>
      <c r="D830" t="s">
        <v>17</v>
      </c>
      <c r="E830" t="s">
        <v>8</v>
      </c>
      <c r="F830" s="22">
        <v>0</v>
      </c>
      <c r="G830" s="22">
        <v>0</v>
      </c>
      <c r="H830" s="22">
        <v>0</v>
      </c>
      <c r="I830" s="22">
        <v>0</v>
      </c>
      <c r="J830">
        <v>0</v>
      </c>
      <c r="K830">
        <v>0</v>
      </c>
      <c r="L830" s="22">
        <v>0</v>
      </c>
      <c r="M830" s="22">
        <v>0</v>
      </c>
      <c r="N830" s="22">
        <v>0</v>
      </c>
      <c r="O830" s="22">
        <v>0</v>
      </c>
      <c r="P830" s="22">
        <v>0</v>
      </c>
      <c r="Q830" s="22">
        <v>0</v>
      </c>
      <c r="R830">
        <v>0</v>
      </c>
      <c r="T830" t="s">
        <v>2982</v>
      </c>
      <c r="U830" t="s">
        <v>3060</v>
      </c>
      <c r="V830" t="s">
        <v>3058</v>
      </c>
    </row>
    <row r="831" spans="1:22">
      <c r="A831">
        <v>830</v>
      </c>
      <c r="B831" t="s">
        <v>1890</v>
      </c>
      <c r="C831" t="s">
        <v>1891</v>
      </c>
      <c r="D831" t="s">
        <v>17</v>
      </c>
      <c r="E831" t="s">
        <v>8</v>
      </c>
      <c r="F831" s="22">
        <v>0</v>
      </c>
      <c r="G831" s="22">
        <v>0</v>
      </c>
      <c r="H831" s="22">
        <v>0</v>
      </c>
      <c r="I831" s="22">
        <v>0</v>
      </c>
      <c r="J831">
        <v>0</v>
      </c>
      <c r="K831">
        <v>0</v>
      </c>
      <c r="L831" s="22">
        <v>0</v>
      </c>
      <c r="M831" s="22">
        <v>0</v>
      </c>
      <c r="N831" s="22">
        <v>0</v>
      </c>
      <c r="O831" s="22">
        <v>0</v>
      </c>
      <c r="P831" s="22">
        <v>0</v>
      </c>
      <c r="Q831" s="22">
        <v>0</v>
      </c>
      <c r="R831">
        <v>0</v>
      </c>
      <c r="T831" t="s">
        <v>2982</v>
      </c>
      <c r="U831" t="s">
        <v>3060</v>
      </c>
      <c r="V831" t="s">
        <v>3058</v>
      </c>
    </row>
    <row r="832" spans="1:22">
      <c r="A832">
        <v>831</v>
      </c>
      <c r="B832" t="s">
        <v>1892</v>
      </c>
      <c r="C832" t="s">
        <v>1893</v>
      </c>
      <c r="D832" t="s">
        <v>17</v>
      </c>
      <c r="E832" t="s">
        <v>8</v>
      </c>
      <c r="F832" s="22">
        <v>0</v>
      </c>
      <c r="G832" s="22">
        <v>0</v>
      </c>
      <c r="H832" s="22">
        <v>0</v>
      </c>
      <c r="I832" s="22">
        <v>0</v>
      </c>
      <c r="J832">
        <v>0</v>
      </c>
      <c r="K832">
        <v>0</v>
      </c>
      <c r="L832" s="22">
        <v>0</v>
      </c>
      <c r="M832" s="22">
        <v>0</v>
      </c>
      <c r="N832" s="22">
        <v>0</v>
      </c>
      <c r="O832" s="22">
        <v>0</v>
      </c>
      <c r="P832" s="22">
        <v>0</v>
      </c>
      <c r="Q832" s="22">
        <v>0</v>
      </c>
      <c r="R832">
        <v>0</v>
      </c>
      <c r="T832" t="s">
        <v>2982</v>
      </c>
      <c r="U832" t="s">
        <v>3060</v>
      </c>
      <c r="V832" t="s">
        <v>3058</v>
      </c>
    </row>
    <row r="833" spans="1:22">
      <c r="A833">
        <v>832</v>
      </c>
      <c r="B833" t="s">
        <v>1894</v>
      </c>
      <c r="C833" t="s">
        <v>1895</v>
      </c>
      <c r="D833" t="s">
        <v>17</v>
      </c>
      <c r="E833" t="s">
        <v>8</v>
      </c>
      <c r="F833" s="22">
        <v>0</v>
      </c>
      <c r="G833" s="22">
        <v>0</v>
      </c>
      <c r="H833" s="22">
        <v>0</v>
      </c>
      <c r="I833" s="22">
        <v>0</v>
      </c>
      <c r="J833">
        <v>0</v>
      </c>
      <c r="K833">
        <v>0</v>
      </c>
      <c r="L833" s="22">
        <v>0</v>
      </c>
      <c r="M833" s="22">
        <v>0</v>
      </c>
      <c r="N833" s="22">
        <v>0</v>
      </c>
      <c r="O833" s="22">
        <v>0</v>
      </c>
      <c r="P833" s="22">
        <v>0</v>
      </c>
      <c r="Q833" s="22">
        <v>0</v>
      </c>
      <c r="R833">
        <v>0</v>
      </c>
      <c r="T833" t="s">
        <v>2982</v>
      </c>
      <c r="U833" t="s">
        <v>3060</v>
      </c>
      <c r="V833" t="s">
        <v>3058</v>
      </c>
    </row>
    <row r="834" spans="1:22">
      <c r="A834">
        <v>833</v>
      </c>
      <c r="B834" t="s">
        <v>1896</v>
      </c>
      <c r="C834" t="s">
        <v>1897</v>
      </c>
      <c r="D834" t="s">
        <v>17</v>
      </c>
      <c r="E834" t="s">
        <v>8</v>
      </c>
      <c r="F834" s="22">
        <v>0</v>
      </c>
      <c r="G834" s="22">
        <v>0</v>
      </c>
      <c r="H834" s="22">
        <v>0</v>
      </c>
      <c r="I834" s="22">
        <v>0</v>
      </c>
      <c r="J834">
        <v>0</v>
      </c>
      <c r="K834">
        <v>0</v>
      </c>
      <c r="L834" s="22">
        <v>0</v>
      </c>
      <c r="M834" s="22">
        <v>0</v>
      </c>
      <c r="N834" s="22">
        <v>0</v>
      </c>
      <c r="O834" s="22">
        <v>0</v>
      </c>
      <c r="P834" s="22">
        <v>0</v>
      </c>
      <c r="Q834" s="22">
        <v>0</v>
      </c>
      <c r="R834">
        <v>0</v>
      </c>
      <c r="T834" t="s">
        <v>2982</v>
      </c>
      <c r="U834" t="s">
        <v>3060</v>
      </c>
      <c r="V834" t="s">
        <v>3058</v>
      </c>
    </row>
    <row r="835" spans="1:22">
      <c r="A835">
        <v>834</v>
      </c>
      <c r="B835" t="s">
        <v>1898</v>
      </c>
      <c r="C835" t="s">
        <v>1899</v>
      </c>
      <c r="D835" t="s">
        <v>17</v>
      </c>
      <c r="E835" t="s">
        <v>8</v>
      </c>
      <c r="F835" s="22">
        <v>0</v>
      </c>
      <c r="G835" s="22">
        <v>0</v>
      </c>
      <c r="H835" s="22">
        <v>0</v>
      </c>
      <c r="I835" s="22">
        <v>0</v>
      </c>
      <c r="J835">
        <v>0</v>
      </c>
      <c r="K835">
        <v>0</v>
      </c>
      <c r="L835" s="22">
        <v>0</v>
      </c>
      <c r="M835" s="22">
        <v>0</v>
      </c>
      <c r="N835" s="22">
        <v>0</v>
      </c>
      <c r="O835" s="22">
        <v>0</v>
      </c>
      <c r="P835" s="22">
        <v>0</v>
      </c>
      <c r="Q835" s="22">
        <v>0</v>
      </c>
      <c r="R835">
        <v>0</v>
      </c>
      <c r="T835" t="s">
        <v>2982</v>
      </c>
      <c r="U835" t="s">
        <v>3060</v>
      </c>
      <c r="V835" t="s">
        <v>3058</v>
      </c>
    </row>
    <row r="836" spans="1:22">
      <c r="A836">
        <v>835</v>
      </c>
      <c r="B836" t="s">
        <v>1900</v>
      </c>
      <c r="C836" t="s">
        <v>1901</v>
      </c>
      <c r="D836" t="s">
        <v>17</v>
      </c>
      <c r="E836" t="s">
        <v>8</v>
      </c>
      <c r="F836" s="22">
        <v>0</v>
      </c>
      <c r="G836" s="22">
        <v>0</v>
      </c>
      <c r="H836" s="22">
        <v>0</v>
      </c>
      <c r="I836" s="22">
        <v>0</v>
      </c>
      <c r="J836">
        <v>0</v>
      </c>
      <c r="K836">
        <v>0</v>
      </c>
      <c r="L836" s="22">
        <v>0</v>
      </c>
      <c r="M836" s="22">
        <v>0</v>
      </c>
      <c r="N836" s="22">
        <v>0</v>
      </c>
      <c r="O836" s="22">
        <v>0</v>
      </c>
      <c r="P836" s="22">
        <v>0</v>
      </c>
      <c r="Q836" s="22">
        <v>0</v>
      </c>
      <c r="R836">
        <v>0</v>
      </c>
      <c r="T836" t="s">
        <v>2982</v>
      </c>
      <c r="U836" t="s">
        <v>3060</v>
      </c>
      <c r="V836" t="s">
        <v>3058</v>
      </c>
    </row>
    <row r="837" spans="1:22">
      <c r="A837">
        <v>836</v>
      </c>
      <c r="B837" t="s">
        <v>1902</v>
      </c>
      <c r="C837" t="s">
        <v>1903</v>
      </c>
      <c r="D837" t="s">
        <v>17</v>
      </c>
      <c r="E837" t="s">
        <v>8</v>
      </c>
      <c r="F837" s="22">
        <v>0</v>
      </c>
      <c r="G837" s="22">
        <v>0</v>
      </c>
      <c r="H837" s="22">
        <v>0</v>
      </c>
      <c r="I837" s="22">
        <v>0</v>
      </c>
      <c r="J837">
        <v>0</v>
      </c>
      <c r="K837">
        <v>0</v>
      </c>
      <c r="L837" s="22">
        <v>0</v>
      </c>
      <c r="M837" s="22">
        <v>0</v>
      </c>
      <c r="N837" s="22">
        <v>0</v>
      </c>
      <c r="O837" s="22">
        <v>0</v>
      </c>
      <c r="P837" s="22">
        <v>0</v>
      </c>
      <c r="Q837" s="22">
        <v>0</v>
      </c>
      <c r="R837">
        <v>0</v>
      </c>
      <c r="T837" t="s">
        <v>2982</v>
      </c>
      <c r="U837" t="s">
        <v>3060</v>
      </c>
      <c r="V837" t="s">
        <v>3058</v>
      </c>
    </row>
    <row r="838" spans="1:22">
      <c r="A838">
        <v>837</v>
      </c>
      <c r="B838" t="s">
        <v>1904</v>
      </c>
      <c r="C838" t="s">
        <v>1905</v>
      </c>
      <c r="D838" t="s">
        <v>17</v>
      </c>
      <c r="E838" t="s">
        <v>8</v>
      </c>
      <c r="F838" s="22">
        <v>0</v>
      </c>
      <c r="G838" s="22">
        <v>0</v>
      </c>
      <c r="H838" s="22">
        <v>0</v>
      </c>
      <c r="I838" s="22">
        <v>0</v>
      </c>
      <c r="J838">
        <v>0</v>
      </c>
      <c r="K838">
        <v>0</v>
      </c>
      <c r="L838" s="22">
        <v>0</v>
      </c>
      <c r="M838" s="22">
        <v>0</v>
      </c>
      <c r="N838" s="22">
        <v>0</v>
      </c>
      <c r="O838" s="22">
        <v>0</v>
      </c>
      <c r="P838" s="22">
        <v>0</v>
      </c>
      <c r="Q838" s="22">
        <v>0</v>
      </c>
      <c r="R838">
        <v>0</v>
      </c>
      <c r="T838" t="s">
        <v>2982</v>
      </c>
      <c r="U838" t="s">
        <v>3060</v>
      </c>
      <c r="V838" t="s">
        <v>3058</v>
      </c>
    </row>
    <row r="839" spans="1:22">
      <c r="A839">
        <v>838</v>
      </c>
      <c r="B839" t="s">
        <v>1906</v>
      </c>
      <c r="C839" t="s">
        <v>1907</v>
      </c>
      <c r="D839" t="s">
        <v>17</v>
      </c>
      <c r="E839" t="s">
        <v>8</v>
      </c>
      <c r="F839" s="22">
        <v>230</v>
      </c>
      <c r="G839" s="22">
        <v>0</v>
      </c>
      <c r="H839" s="22">
        <v>0</v>
      </c>
      <c r="I839" s="22">
        <v>230</v>
      </c>
      <c r="J839">
        <v>0</v>
      </c>
      <c r="K839">
        <v>0</v>
      </c>
      <c r="L839" s="22">
        <v>230</v>
      </c>
      <c r="M839" s="22">
        <v>0</v>
      </c>
      <c r="N839" s="22">
        <v>0</v>
      </c>
      <c r="O839" s="22">
        <v>230</v>
      </c>
      <c r="P839" s="22">
        <v>100</v>
      </c>
      <c r="Q839" s="22">
        <v>130</v>
      </c>
      <c r="R839">
        <v>0</v>
      </c>
      <c r="T839" t="s">
        <v>2982</v>
      </c>
      <c r="U839" t="s">
        <v>3060</v>
      </c>
      <c r="V839" t="s">
        <v>3058</v>
      </c>
    </row>
    <row r="840" spans="1:22">
      <c r="A840">
        <v>839</v>
      </c>
      <c r="B840" t="s">
        <v>1908</v>
      </c>
      <c r="C840" t="s">
        <v>1909</v>
      </c>
      <c r="D840" t="s">
        <v>17</v>
      </c>
      <c r="E840" t="s">
        <v>8</v>
      </c>
      <c r="F840" s="22">
        <v>811</v>
      </c>
      <c r="G840" s="22">
        <v>0</v>
      </c>
      <c r="H840" s="22">
        <v>25</v>
      </c>
      <c r="I840" s="22">
        <v>786</v>
      </c>
      <c r="J840">
        <v>0</v>
      </c>
      <c r="K840">
        <v>0</v>
      </c>
      <c r="L840" s="22">
        <v>786</v>
      </c>
      <c r="M840" s="22">
        <v>0</v>
      </c>
      <c r="N840" s="22">
        <v>0</v>
      </c>
      <c r="O840" s="22">
        <v>786</v>
      </c>
      <c r="P840" s="22">
        <v>100</v>
      </c>
      <c r="Q840" s="22">
        <v>686</v>
      </c>
      <c r="R840">
        <v>0</v>
      </c>
      <c r="T840" t="s">
        <v>2982</v>
      </c>
      <c r="U840" t="s">
        <v>3060</v>
      </c>
      <c r="V840" t="s">
        <v>3058</v>
      </c>
    </row>
    <row r="841" spans="1:22">
      <c r="A841">
        <v>840</v>
      </c>
      <c r="B841" t="s">
        <v>1910</v>
      </c>
      <c r="C841" t="s">
        <v>1911</v>
      </c>
      <c r="D841" t="s">
        <v>17</v>
      </c>
      <c r="E841" t="s">
        <v>8</v>
      </c>
      <c r="F841" s="22">
        <v>79</v>
      </c>
      <c r="G841" s="22">
        <v>350</v>
      </c>
      <c r="H841" s="22">
        <v>20</v>
      </c>
      <c r="I841" s="22">
        <v>409</v>
      </c>
      <c r="J841">
        <v>0</v>
      </c>
      <c r="K841">
        <v>0</v>
      </c>
      <c r="L841" s="22">
        <v>409</v>
      </c>
      <c r="M841" s="22">
        <v>0</v>
      </c>
      <c r="N841" s="22">
        <v>0</v>
      </c>
      <c r="O841" s="22">
        <v>409</v>
      </c>
      <c r="P841" s="22">
        <v>150</v>
      </c>
      <c r="Q841" s="22">
        <v>259</v>
      </c>
      <c r="R841">
        <v>150</v>
      </c>
      <c r="T841" t="s">
        <v>2982</v>
      </c>
      <c r="U841" t="s">
        <v>3060</v>
      </c>
      <c r="V841" t="s">
        <v>3058</v>
      </c>
    </row>
    <row r="842" spans="1:22">
      <c r="A842">
        <v>841</v>
      </c>
      <c r="B842" t="s">
        <v>1912</v>
      </c>
      <c r="C842" t="s">
        <v>1913</v>
      </c>
      <c r="D842" t="s">
        <v>17</v>
      </c>
      <c r="E842" t="s">
        <v>8</v>
      </c>
      <c r="F842" s="22">
        <v>37</v>
      </c>
      <c r="G842" s="22">
        <v>250</v>
      </c>
      <c r="H842" s="22">
        <v>66</v>
      </c>
      <c r="I842" s="22">
        <v>221</v>
      </c>
      <c r="J842">
        <v>0</v>
      </c>
      <c r="K842">
        <v>0</v>
      </c>
      <c r="L842" s="22">
        <v>221</v>
      </c>
      <c r="M842" s="22">
        <v>0</v>
      </c>
      <c r="N842" s="22">
        <v>0</v>
      </c>
      <c r="O842" s="22">
        <v>221</v>
      </c>
      <c r="P842" s="22">
        <v>150</v>
      </c>
      <c r="Q842" s="22">
        <v>71</v>
      </c>
      <c r="R842">
        <v>150</v>
      </c>
      <c r="T842" t="s">
        <v>2982</v>
      </c>
      <c r="U842" t="s">
        <v>3060</v>
      </c>
      <c r="V842" t="s">
        <v>3058</v>
      </c>
    </row>
    <row r="843" spans="1:22">
      <c r="A843">
        <v>842</v>
      </c>
      <c r="B843" t="s">
        <v>1834</v>
      </c>
      <c r="C843" t="s">
        <v>1835</v>
      </c>
      <c r="D843" t="s">
        <v>17</v>
      </c>
      <c r="E843" t="s">
        <v>8</v>
      </c>
      <c r="F843" s="22">
        <v>711</v>
      </c>
      <c r="G843" s="22">
        <v>0</v>
      </c>
      <c r="H843" s="22">
        <v>0</v>
      </c>
      <c r="I843" s="22">
        <v>711</v>
      </c>
      <c r="J843">
        <v>0</v>
      </c>
      <c r="K843">
        <v>0</v>
      </c>
      <c r="L843" s="22">
        <v>711</v>
      </c>
      <c r="M843" s="22">
        <v>0</v>
      </c>
      <c r="N843" s="22">
        <v>0</v>
      </c>
      <c r="O843" s="22">
        <v>711</v>
      </c>
      <c r="P843" s="22">
        <v>150</v>
      </c>
      <c r="Q843" s="22">
        <v>561</v>
      </c>
      <c r="R843">
        <v>0</v>
      </c>
      <c r="T843" t="s">
        <v>2991</v>
      </c>
      <c r="U843" t="s">
        <v>3057</v>
      </c>
      <c r="V843" t="s">
        <v>3056</v>
      </c>
    </row>
    <row r="844" spans="1:22">
      <c r="A844">
        <v>843</v>
      </c>
      <c r="B844" t="s">
        <v>1836</v>
      </c>
      <c r="C844" t="s">
        <v>1837</v>
      </c>
      <c r="D844" t="s">
        <v>17</v>
      </c>
      <c r="E844" t="s">
        <v>8</v>
      </c>
      <c r="F844" s="22">
        <v>206</v>
      </c>
      <c r="G844" s="22">
        <v>0</v>
      </c>
      <c r="H844" s="22">
        <v>0</v>
      </c>
      <c r="I844" s="22">
        <v>206</v>
      </c>
      <c r="J844">
        <v>0</v>
      </c>
      <c r="K844">
        <v>0</v>
      </c>
      <c r="L844" s="22">
        <v>206</v>
      </c>
      <c r="M844" s="22">
        <v>0</v>
      </c>
      <c r="N844" s="22">
        <v>0</v>
      </c>
      <c r="O844" s="22">
        <v>206</v>
      </c>
      <c r="P844" s="22">
        <v>150</v>
      </c>
      <c r="Q844" s="22">
        <v>56</v>
      </c>
      <c r="R844">
        <v>0</v>
      </c>
      <c r="T844" t="s">
        <v>2991</v>
      </c>
      <c r="U844" t="s">
        <v>3057</v>
      </c>
      <c r="V844" t="s">
        <v>3056</v>
      </c>
    </row>
    <row r="845" spans="1:22">
      <c r="A845">
        <v>844</v>
      </c>
      <c r="B845" t="s">
        <v>1838</v>
      </c>
      <c r="C845" t="s">
        <v>1839</v>
      </c>
      <c r="D845" t="s">
        <v>17</v>
      </c>
      <c r="E845" t="s">
        <v>8</v>
      </c>
      <c r="F845" s="22">
        <v>618</v>
      </c>
      <c r="G845" s="22">
        <v>0</v>
      </c>
      <c r="H845" s="22">
        <v>0</v>
      </c>
      <c r="I845" s="22">
        <v>618</v>
      </c>
      <c r="J845">
        <v>0</v>
      </c>
      <c r="K845">
        <v>0</v>
      </c>
      <c r="L845" s="22">
        <v>618</v>
      </c>
      <c r="M845" s="22">
        <v>0</v>
      </c>
      <c r="N845" s="22">
        <v>0</v>
      </c>
      <c r="O845" s="22">
        <v>618</v>
      </c>
      <c r="P845" s="22">
        <v>150</v>
      </c>
      <c r="Q845" s="22">
        <v>468</v>
      </c>
      <c r="R845">
        <v>0</v>
      </c>
      <c r="T845" t="s">
        <v>2991</v>
      </c>
      <c r="U845" t="s">
        <v>3057</v>
      </c>
      <c r="V845" t="s">
        <v>3056</v>
      </c>
    </row>
    <row r="846" spans="1:22">
      <c r="A846">
        <v>845</v>
      </c>
      <c r="B846" t="s">
        <v>1840</v>
      </c>
      <c r="C846" t="s">
        <v>1841</v>
      </c>
      <c r="D846" t="s">
        <v>17</v>
      </c>
      <c r="E846" t="s">
        <v>8</v>
      </c>
      <c r="F846" s="22">
        <v>223</v>
      </c>
      <c r="G846" s="22">
        <v>0</v>
      </c>
      <c r="H846" s="22">
        <v>0</v>
      </c>
      <c r="I846" s="22">
        <v>223</v>
      </c>
      <c r="J846">
        <v>0</v>
      </c>
      <c r="K846">
        <v>0</v>
      </c>
      <c r="L846" s="22">
        <v>223</v>
      </c>
      <c r="M846" s="22">
        <v>0</v>
      </c>
      <c r="N846" s="22">
        <v>0</v>
      </c>
      <c r="O846" s="22">
        <v>223</v>
      </c>
      <c r="P846" s="22">
        <v>150</v>
      </c>
      <c r="Q846" s="22">
        <v>73</v>
      </c>
      <c r="R846">
        <v>0</v>
      </c>
      <c r="T846" t="s">
        <v>2991</v>
      </c>
      <c r="U846" t="s">
        <v>3057</v>
      </c>
      <c r="V846" t="s">
        <v>3056</v>
      </c>
    </row>
    <row r="847" spans="1:22">
      <c r="A847">
        <v>846</v>
      </c>
      <c r="B847" t="s">
        <v>1842</v>
      </c>
      <c r="C847" t="s">
        <v>1843</v>
      </c>
      <c r="D847" t="s">
        <v>17</v>
      </c>
      <c r="E847" t="s">
        <v>8</v>
      </c>
      <c r="F847" s="22">
        <v>224</v>
      </c>
      <c r="G847" s="22">
        <v>0</v>
      </c>
      <c r="H847" s="22">
        <v>0</v>
      </c>
      <c r="I847" s="22">
        <v>224</v>
      </c>
      <c r="J847">
        <v>0</v>
      </c>
      <c r="K847">
        <v>0</v>
      </c>
      <c r="L847" s="22">
        <v>224</v>
      </c>
      <c r="M847" s="22">
        <v>0</v>
      </c>
      <c r="N847" s="22">
        <v>0</v>
      </c>
      <c r="O847" s="22">
        <v>224</v>
      </c>
      <c r="P847" s="22">
        <v>150</v>
      </c>
      <c r="Q847" s="22">
        <v>74</v>
      </c>
      <c r="R847">
        <v>0</v>
      </c>
      <c r="T847" t="s">
        <v>2991</v>
      </c>
      <c r="U847" t="s">
        <v>3057</v>
      </c>
      <c r="V847" t="s">
        <v>3056</v>
      </c>
    </row>
    <row r="848" spans="1:22">
      <c r="A848">
        <v>847</v>
      </c>
      <c r="B848" t="s">
        <v>1844</v>
      </c>
      <c r="C848" t="s">
        <v>1845</v>
      </c>
      <c r="D848" t="s">
        <v>20</v>
      </c>
      <c r="E848" t="s">
        <v>8</v>
      </c>
      <c r="F848" s="22">
        <v>149.35</v>
      </c>
      <c r="G848" s="22">
        <v>85.9</v>
      </c>
      <c r="H848" s="22">
        <v>111.15</v>
      </c>
      <c r="I848" s="22">
        <v>124.1</v>
      </c>
      <c r="J848">
        <v>0</v>
      </c>
      <c r="K848">
        <v>0</v>
      </c>
      <c r="L848" s="22">
        <v>124.1</v>
      </c>
      <c r="M848" s="22">
        <v>0</v>
      </c>
      <c r="N848" s="22">
        <v>0</v>
      </c>
      <c r="O848" s="22">
        <v>124.1</v>
      </c>
      <c r="P848" s="22">
        <v>100</v>
      </c>
      <c r="Q848" s="22">
        <v>24.099999999999994</v>
      </c>
      <c r="R848">
        <v>100</v>
      </c>
      <c r="T848" t="s">
        <v>3031</v>
      </c>
      <c r="U848" t="s">
        <v>3057</v>
      </c>
      <c r="V848" t="s">
        <v>3056</v>
      </c>
    </row>
    <row r="849" spans="1:22">
      <c r="A849">
        <v>848</v>
      </c>
      <c r="B849" t="s">
        <v>1848</v>
      </c>
      <c r="C849" t="s">
        <v>1849</v>
      </c>
      <c r="D849" t="s">
        <v>20</v>
      </c>
      <c r="E849" t="s">
        <v>8</v>
      </c>
      <c r="F849" s="22">
        <v>77.7</v>
      </c>
      <c r="G849" s="22">
        <v>0</v>
      </c>
      <c r="H849" s="22">
        <v>0</v>
      </c>
      <c r="I849" s="22">
        <v>77.7</v>
      </c>
      <c r="J849">
        <v>0</v>
      </c>
      <c r="K849">
        <v>0</v>
      </c>
      <c r="L849" s="22">
        <v>77.7</v>
      </c>
      <c r="M849" s="22">
        <v>0</v>
      </c>
      <c r="N849" s="22">
        <v>0</v>
      </c>
      <c r="O849" s="22">
        <v>77.7</v>
      </c>
      <c r="P849" s="22">
        <v>20</v>
      </c>
      <c r="Q849" s="22">
        <v>57.7</v>
      </c>
      <c r="R849">
        <v>100</v>
      </c>
      <c r="T849" t="s">
        <v>3031</v>
      </c>
      <c r="U849" t="s">
        <v>3057</v>
      </c>
      <c r="V849" t="s">
        <v>3056</v>
      </c>
    </row>
    <row r="850" spans="1:22">
      <c r="A850">
        <v>849</v>
      </c>
      <c r="B850" t="s">
        <v>1928</v>
      </c>
      <c r="C850" t="s">
        <v>1929</v>
      </c>
      <c r="D850" t="s">
        <v>17</v>
      </c>
      <c r="E850" t="s">
        <v>8</v>
      </c>
      <c r="F850" s="22">
        <v>0</v>
      </c>
      <c r="G850" s="22">
        <v>0</v>
      </c>
      <c r="H850" s="22">
        <v>0</v>
      </c>
      <c r="I850" s="22">
        <v>0</v>
      </c>
      <c r="J850">
        <v>0</v>
      </c>
      <c r="K850">
        <v>0</v>
      </c>
      <c r="L850" s="22">
        <v>0</v>
      </c>
      <c r="M850" s="22">
        <v>0</v>
      </c>
      <c r="N850" s="22">
        <v>0</v>
      </c>
      <c r="O850" s="22">
        <v>0</v>
      </c>
      <c r="P850" s="22">
        <v>0</v>
      </c>
      <c r="Q850" s="22">
        <v>0</v>
      </c>
      <c r="R850">
        <v>0</v>
      </c>
      <c r="T850" t="s">
        <v>2972</v>
      </c>
      <c r="U850" t="s">
        <v>3060</v>
      </c>
      <c r="V850" t="s">
        <v>3058</v>
      </c>
    </row>
    <row r="851" spans="1:22">
      <c r="A851">
        <v>850</v>
      </c>
      <c r="B851" t="s">
        <v>1930</v>
      </c>
      <c r="C851" t="s">
        <v>1931</v>
      </c>
      <c r="D851" t="s">
        <v>17</v>
      </c>
      <c r="E851" t="s">
        <v>8</v>
      </c>
      <c r="F851" s="22">
        <v>20</v>
      </c>
      <c r="G851" s="22">
        <v>0</v>
      </c>
      <c r="H851" s="22">
        <v>1</v>
      </c>
      <c r="I851" s="22">
        <v>19</v>
      </c>
      <c r="J851">
        <v>0</v>
      </c>
      <c r="K851">
        <v>0</v>
      </c>
      <c r="L851" s="22">
        <v>19</v>
      </c>
      <c r="M851" s="22">
        <v>0</v>
      </c>
      <c r="N851" s="22">
        <v>0</v>
      </c>
      <c r="O851" s="22">
        <v>19</v>
      </c>
      <c r="P851" s="22">
        <v>0</v>
      </c>
      <c r="Q851" s="22">
        <v>19</v>
      </c>
      <c r="R851">
        <v>0</v>
      </c>
      <c r="T851" t="s">
        <v>3052</v>
      </c>
      <c r="U851" t="s">
        <v>3062</v>
      </c>
      <c r="V851" t="s">
        <v>3056</v>
      </c>
    </row>
    <row r="852" spans="1:22">
      <c r="A852">
        <v>851</v>
      </c>
      <c r="B852" t="s">
        <v>1932</v>
      </c>
      <c r="C852" t="s">
        <v>1933</v>
      </c>
      <c r="D852" t="s">
        <v>17</v>
      </c>
      <c r="E852" t="s">
        <v>8</v>
      </c>
      <c r="F852" s="22">
        <v>4</v>
      </c>
      <c r="G852" s="22">
        <v>0</v>
      </c>
      <c r="H852" s="22">
        <v>0</v>
      </c>
      <c r="I852" s="22">
        <v>4</v>
      </c>
      <c r="J852">
        <v>0</v>
      </c>
      <c r="K852">
        <v>0</v>
      </c>
      <c r="L852" s="22">
        <v>4</v>
      </c>
      <c r="M852" s="22">
        <v>0</v>
      </c>
      <c r="N852" s="22">
        <v>0</v>
      </c>
      <c r="O852" s="22">
        <v>4</v>
      </c>
      <c r="P852" s="22">
        <v>0</v>
      </c>
      <c r="Q852" s="22">
        <v>4</v>
      </c>
      <c r="R852">
        <v>0</v>
      </c>
      <c r="T852" t="s">
        <v>3052</v>
      </c>
      <c r="U852" t="s">
        <v>3062</v>
      </c>
      <c r="V852" t="s">
        <v>3056</v>
      </c>
    </row>
    <row r="853" spans="1:22">
      <c r="A853">
        <v>852</v>
      </c>
      <c r="B853" t="s">
        <v>1934</v>
      </c>
      <c r="C853" t="s">
        <v>1935</v>
      </c>
      <c r="D853" t="s">
        <v>17</v>
      </c>
      <c r="E853" t="s">
        <v>8</v>
      </c>
      <c r="F853" s="22">
        <v>2</v>
      </c>
      <c r="G853" s="22">
        <v>0</v>
      </c>
      <c r="H853" s="22">
        <v>0</v>
      </c>
      <c r="I853" s="22">
        <v>2</v>
      </c>
      <c r="J853">
        <v>0</v>
      </c>
      <c r="K853">
        <v>0</v>
      </c>
      <c r="L853" s="22">
        <v>2</v>
      </c>
      <c r="M853" s="22">
        <v>0</v>
      </c>
      <c r="N853" s="22">
        <v>0</v>
      </c>
      <c r="O853" s="22">
        <v>2</v>
      </c>
      <c r="P853" s="22">
        <v>0</v>
      </c>
      <c r="Q853" s="22">
        <v>2</v>
      </c>
      <c r="R853">
        <v>0</v>
      </c>
      <c r="T853" t="s">
        <v>3052</v>
      </c>
      <c r="U853" t="s">
        <v>3062</v>
      </c>
      <c r="V853" t="s">
        <v>3056</v>
      </c>
    </row>
    <row r="854" spans="1:22">
      <c r="A854">
        <v>853</v>
      </c>
      <c r="B854" t="s">
        <v>1936</v>
      </c>
      <c r="C854" t="s">
        <v>1937</v>
      </c>
      <c r="D854" t="s">
        <v>17</v>
      </c>
      <c r="E854" t="s">
        <v>8</v>
      </c>
      <c r="F854" s="22">
        <v>20</v>
      </c>
      <c r="G854" s="22">
        <v>0</v>
      </c>
      <c r="H854" s="22">
        <v>0</v>
      </c>
      <c r="I854" s="22">
        <v>20</v>
      </c>
      <c r="J854">
        <v>0</v>
      </c>
      <c r="K854">
        <v>0</v>
      </c>
      <c r="L854" s="22">
        <v>20</v>
      </c>
      <c r="M854" s="22">
        <v>0</v>
      </c>
      <c r="N854" s="22">
        <v>0</v>
      </c>
      <c r="O854" s="22">
        <v>20</v>
      </c>
      <c r="P854" s="22">
        <v>5</v>
      </c>
      <c r="Q854" s="22">
        <v>15</v>
      </c>
      <c r="R854">
        <v>0</v>
      </c>
      <c r="T854" t="s">
        <v>3052</v>
      </c>
      <c r="U854" t="s">
        <v>3062</v>
      </c>
      <c r="V854" t="s">
        <v>3056</v>
      </c>
    </row>
    <row r="855" spans="1:22">
      <c r="A855">
        <v>854</v>
      </c>
      <c r="B855" t="s">
        <v>1938</v>
      </c>
      <c r="C855" t="s">
        <v>1939</v>
      </c>
      <c r="D855" t="s">
        <v>17</v>
      </c>
      <c r="E855" t="s">
        <v>8</v>
      </c>
      <c r="F855" s="22">
        <v>10</v>
      </c>
      <c r="G855" s="22">
        <v>0</v>
      </c>
      <c r="H855" s="22">
        <v>0</v>
      </c>
      <c r="I855" s="22">
        <v>10</v>
      </c>
      <c r="J855">
        <v>0</v>
      </c>
      <c r="K855">
        <v>0</v>
      </c>
      <c r="L855" s="22">
        <v>10</v>
      </c>
      <c r="M855" s="22">
        <v>0</v>
      </c>
      <c r="N855" s="22">
        <v>0</v>
      </c>
      <c r="O855" s="22">
        <v>10</v>
      </c>
      <c r="P855" s="22">
        <v>1</v>
      </c>
      <c r="Q855" s="22">
        <v>9</v>
      </c>
      <c r="R855">
        <v>0</v>
      </c>
      <c r="T855" t="s">
        <v>3052</v>
      </c>
      <c r="U855" t="s">
        <v>3062</v>
      </c>
      <c r="V855" t="s">
        <v>3056</v>
      </c>
    </row>
    <row r="856" spans="1:22">
      <c r="A856">
        <v>855</v>
      </c>
      <c r="B856" t="s">
        <v>1940</v>
      </c>
      <c r="C856" t="s">
        <v>1941</v>
      </c>
      <c r="D856" t="s">
        <v>17</v>
      </c>
      <c r="E856" t="s">
        <v>8</v>
      </c>
      <c r="F856" s="22">
        <v>0</v>
      </c>
      <c r="G856" s="22">
        <v>5</v>
      </c>
      <c r="H856" s="22">
        <v>0</v>
      </c>
      <c r="I856" s="22">
        <v>5</v>
      </c>
      <c r="J856">
        <v>0</v>
      </c>
      <c r="K856">
        <v>0</v>
      </c>
      <c r="L856" s="22">
        <v>5</v>
      </c>
      <c r="M856" s="22">
        <v>0</v>
      </c>
      <c r="N856" s="22">
        <v>0</v>
      </c>
      <c r="O856" s="22">
        <v>5</v>
      </c>
      <c r="P856" s="22">
        <v>0</v>
      </c>
      <c r="Q856" s="22">
        <v>5</v>
      </c>
      <c r="R856">
        <v>5</v>
      </c>
      <c r="T856" t="s">
        <v>3052</v>
      </c>
      <c r="U856" t="s">
        <v>3062</v>
      </c>
      <c r="V856" t="s">
        <v>3056</v>
      </c>
    </row>
    <row r="857" spans="1:22">
      <c r="A857">
        <v>856</v>
      </c>
      <c r="B857" t="s">
        <v>1942</v>
      </c>
      <c r="C857" t="s">
        <v>1943</v>
      </c>
      <c r="D857" t="s">
        <v>17</v>
      </c>
      <c r="E857" t="s">
        <v>8</v>
      </c>
      <c r="F857" s="22">
        <v>1</v>
      </c>
      <c r="G857" s="22">
        <v>0</v>
      </c>
      <c r="H857" s="22">
        <v>0</v>
      </c>
      <c r="I857" s="22">
        <v>1</v>
      </c>
      <c r="J857">
        <v>0</v>
      </c>
      <c r="K857">
        <v>0</v>
      </c>
      <c r="L857" s="22">
        <v>1</v>
      </c>
      <c r="M857" s="22">
        <v>0</v>
      </c>
      <c r="N857" s="22">
        <v>0</v>
      </c>
      <c r="O857" s="22">
        <v>1</v>
      </c>
      <c r="P857" s="22">
        <v>0</v>
      </c>
      <c r="Q857" s="22">
        <v>1</v>
      </c>
      <c r="R857">
        <v>0</v>
      </c>
      <c r="T857" t="s">
        <v>3052</v>
      </c>
      <c r="U857" t="s">
        <v>3062</v>
      </c>
      <c r="V857" t="s">
        <v>3056</v>
      </c>
    </row>
    <row r="858" spans="1:22">
      <c r="A858">
        <v>857</v>
      </c>
      <c r="B858" t="s">
        <v>1944</v>
      </c>
      <c r="C858" t="s">
        <v>1945</v>
      </c>
      <c r="D858" t="s">
        <v>116</v>
      </c>
      <c r="E858" t="s">
        <v>8</v>
      </c>
      <c r="F858" s="22">
        <v>1</v>
      </c>
      <c r="G858" s="22">
        <v>0</v>
      </c>
      <c r="H858" s="22">
        <v>0</v>
      </c>
      <c r="I858" s="22">
        <v>1</v>
      </c>
      <c r="J858">
        <v>0</v>
      </c>
      <c r="K858">
        <v>0</v>
      </c>
      <c r="L858" s="22">
        <v>1</v>
      </c>
      <c r="M858" s="22">
        <v>0</v>
      </c>
      <c r="N858" s="22">
        <v>0</v>
      </c>
      <c r="O858" s="22">
        <v>1</v>
      </c>
      <c r="P858" s="22">
        <v>1</v>
      </c>
      <c r="Q858" s="22">
        <v>0</v>
      </c>
      <c r="R858">
        <v>0</v>
      </c>
      <c r="T858" t="s">
        <v>3052</v>
      </c>
      <c r="U858" t="s">
        <v>3062</v>
      </c>
      <c r="V858" t="s">
        <v>3056</v>
      </c>
    </row>
    <row r="859" spans="1:22">
      <c r="A859">
        <v>858</v>
      </c>
      <c r="B859" t="s">
        <v>1946</v>
      </c>
      <c r="C859" t="s">
        <v>1947</v>
      </c>
      <c r="D859" t="s">
        <v>17</v>
      </c>
      <c r="E859" t="s">
        <v>8</v>
      </c>
      <c r="F859" s="22">
        <v>2</v>
      </c>
      <c r="G859" s="22">
        <v>0</v>
      </c>
      <c r="H859" s="22">
        <v>0</v>
      </c>
      <c r="I859" s="22">
        <v>2</v>
      </c>
      <c r="J859">
        <v>0</v>
      </c>
      <c r="K859">
        <v>0</v>
      </c>
      <c r="L859" s="22">
        <v>2</v>
      </c>
      <c r="M859" s="22">
        <v>0</v>
      </c>
      <c r="N859" s="22">
        <v>0</v>
      </c>
      <c r="O859" s="22">
        <v>2</v>
      </c>
      <c r="P859" s="22">
        <v>1</v>
      </c>
      <c r="Q859" s="22">
        <v>1</v>
      </c>
      <c r="R859">
        <v>0</v>
      </c>
      <c r="T859" t="s">
        <v>3052</v>
      </c>
      <c r="U859" t="s">
        <v>3062</v>
      </c>
      <c r="V859" t="s">
        <v>3056</v>
      </c>
    </row>
    <row r="860" spans="1:22">
      <c r="A860">
        <v>859</v>
      </c>
      <c r="B860" t="s">
        <v>1948</v>
      </c>
      <c r="C860" t="s">
        <v>1949</v>
      </c>
      <c r="D860" t="s">
        <v>17</v>
      </c>
      <c r="E860" t="s">
        <v>8</v>
      </c>
      <c r="F860" s="22">
        <v>23</v>
      </c>
      <c r="G860" s="22">
        <v>0</v>
      </c>
      <c r="H860" s="22">
        <v>12</v>
      </c>
      <c r="I860" s="22">
        <v>11</v>
      </c>
      <c r="J860">
        <v>0</v>
      </c>
      <c r="K860">
        <v>0</v>
      </c>
      <c r="L860" s="22">
        <v>11</v>
      </c>
      <c r="M860" s="22">
        <v>0</v>
      </c>
      <c r="N860" s="22">
        <v>0</v>
      </c>
      <c r="O860" s="22">
        <v>11</v>
      </c>
      <c r="P860" s="22">
        <v>5</v>
      </c>
      <c r="Q860" s="22">
        <v>6</v>
      </c>
      <c r="R860">
        <v>0</v>
      </c>
      <c r="T860" t="s">
        <v>3052</v>
      </c>
      <c r="U860" t="s">
        <v>3062</v>
      </c>
      <c r="V860" t="s">
        <v>3056</v>
      </c>
    </row>
    <row r="861" spans="1:22">
      <c r="A861">
        <v>860</v>
      </c>
      <c r="B861" t="s">
        <v>1950</v>
      </c>
      <c r="C861" t="s">
        <v>1951</v>
      </c>
      <c r="D861" t="s">
        <v>17</v>
      </c>
      <c r="E861" t="s">
        <v>8</v>
      </c>
      <c r="F861" s="22">
        <v>110</v>
      </c>
      <c r="G861" s="22">
        <v>0</v>
      </c>
      <c r="H861" s="22">
        <v>17</v>
      </c>
      <c r="I861" s="22">
        <v>93</v>
      </c>
      <c r="J861">
        <v>0</v>
      </c>
      <c r="K861">
        <v>0</v>
      </c>
      <c r="L861" s="22">
        <v>93</v>
      </c>
      <c r="M861" s="22">
        <v>0</v>
      </c>
      <c r="N861" s="22">
        <v>0</v>
      </c>
      <c r="O861" s="22">
        <v>93</v>
      </c>
      <c r="P861" s="22">
        <v>10</v>
      </c>
      <c r="Q861" s="22">
        <v>83</v>
      </c>
      <c r="R861">
        <v>0</v>
      </c>
      <c r="T861" t="s">
        <v>3052</v>
      </c>
      <c r="U861" t="s">
        <v>3062</v>
      </c>
      <c r="V861" t="s">
        <v>3056</v>
      </c>
    </row>
    <row r="862" spans="1:22">
      <c r="A862">
        <v>861</v>
      </c>
      <c r="B862" t="s">
        <v>1952</v>
      </c>
      <c r="C862" t="s">
        <v>1953</v>
      </c>
      <c r="D862" t="s">
        <v>17</v>
      </c>
      <c r="E862" t="s">
        <v>8</v>
      </c>
      <c r="F862" s="22">
        <v>7</v>
      </c>
      <c r="G862" s="22">
        <v>0</v>
      </c>
      <c r="H862" s="22">
        <v>3</v>
      </c>
      <c r="I862" s="22">
        <v>4</v>
      </c>
      <c r="J862">
        <v>0</v>
      </c>
      <c r="K862">
        <v>0</v>
      </c>
      <c r="L862" s="22">
        <v>4</v>
      </c>
      <c r="M862" s="22">
        <v>0</v>
      </c>
      <c r="N862" s="22">
        <v>0</v>
      </c>
      <c r="O862" s="22">
        <v>4</v>
      </c>
      <c r="P862" s="22">
        <v>1</v>
      </c>
      <c r="Q862" s="22">
        <v>3</v>
      </c>
      <c r="R862">
        <v>0</v>
      </c>
      <c r="T862" t="s">
        <v>3052</v>
      </c>
      <c r="U862" t="s">
        <v>3062</v>
      </c>
      <c r="V862" t="s">
        <v>3056</v>
      </c>
    </row>
    <row r="863" spans="1:22">
      <c r="A863">
        <v>862</v>
      </c>
      <c r="B863" t="s">
        <v>1954</v>
      </c>
      <c r="C863" t="s">
        <v>1955</v>
      </c>
      <c r="D863" t="s">
        <v>17</v>
      </c>
      <c r="E863" t="s">
        <v>8</v>
      </c>
      <c r="F863" s="22">
        <v>25</v>
      </c>
      <c r="G863" s="22">
        <v>0</v>
      </c>
      <c r="H863" s="22">
        <v>5</v>
      </c>
      <c r="I863" s="22">
        <v>20</v>
      </c>
      <c r="J863">
        <v>0</v>
      </c>
      <c r="K863">
        <v>0</v>
      </c>
      <c r="L863" s="22">
        <v>20</v>
      </c>
      <c r="M863" s="22">
        <v>0</v>
      </c>
      <c r="N863" s="22">
        <v>0</v>
      </c>
      <c r="O863" s="22">
        <v>20</v>
      </c>
      <c r="P863" s="22">
        <v>5</v>
      </c>
      <c r="Q863" s="22">
        <v>15</v>
      </c>
      <c r="R863">
        <v>0</v>
      </c>
      <c r="T863" t="s">
        <v>3052</v>
      </c>
      <c r="U863" t="s">
        <v>3062</v>
      </c>
      <c r="V863" t="s">
        <v>3056</v>
      </c>
    </row>
    <row r="864" spans="1:22">
      <c r="A864">
        <v>863</v>
      </c>
      <c r="B864" t="s">
        <v>1852</v>
      </c>
      <c r="C864" t="s">
        <v>1853</v>
      </c>
      <c r="D864" t="s">
        <v>20</v>
      </c>
      <c r="E864" t="s">
        <v>8</v>
      </c>
      <c r="F864" s="22">
        <v>476.7</v>
      </c>
      <c r="G864" s="22">
        <v>483.8</v>
      </c>
      <c r="H864" s="22">
        <v>338.72</v>
      </c>
      <c r="I864" s="22">
        <v>621.78</v>
      </c>
      <c r="J864">
        <v>0</v>
      </c>
      <c r="K864">
        <v>0</v>
      </c>
      <c r="L864" s="22">
        <v>621.78</v>
      </c>
      <c r="M864" s="22">
        <v>0</v>
      </c>
      <c r="N864" s="22">
        <v>0</v>
      </c>
      <c r="O864" s="22">
        <v>621.78</v>
      </c>
      <c r="P864" s="22">
        <v>350</v>
      </c>
      <c r="Q864" s="22">
        <v>271.77999999999997</v>
      </c>
      <c r="R864">
        <v>0</v>
      </c>
      <c r="T864" t="s">
        <v>3031</v>
      </c>
      <c r="U864" t="s">
        <v>3057</v>
      </c>
      <c r="V864" t="s">
        <v>3056</v>
      </c>
    </row>
    <row r="865" spans="1:22">
      <c r="A865">
        <v>864</v>
      </c>
      <c r="B865" t="s">
        <v>1958</v>
      </c>
      <c r="C865" t="s">
        <v>1959</v>
      </c>
      <c r="D865" t="s">
        <v>17</v>
      </c>
      <c r="E865" t="s">
        <v>8</v>
      </c>
      <c r="F865" s="22">
        <v>26</v>
      </c>
      <c r="G865" s="22">
        <v>0</v>
      </c>
      <c r="H865" s="22">
        <v>9</v>
      </c>
      <c r="I865" s="22">
        <v>17</v>
      </c>
      <c r="J865">
        <v>0</v>
      </c>
      <c r="K865">
        <v>0</v>
      </c>
      <c r="L865" s="22">
        <v>17</v>
      </c>
      <c r="M865" s="22">
        <v>0</v>
      </c>
      <c r="N865" s="22">
        <v>0</v>
      </c>
      <c r="O865" s="22">
        <v>17</v>
      </c>
      <c r="P865" s="22">
        <v>5</v>
      </c>
      <c r="Q865" s="22">
        <v>12</v>
      </c>
      <c r="R865">
        <v>0</v>
      </c>
      <c r="T865" t="s">
        <v>3052</v>
      </c>
      <c r="U865" t="s">
        <v>3062</v>
      </c>
      <c r="V865" t="s">
        <v>3056</v>
      </c>
    </row>
    <row r="866" spans="1:22">
      <c r="A866">
        <v>865</v>
      </c>
      <c r="B866" t="s">
        <v>1960</v>
      </c>
      <c r="C866" t="s">
        <v>1961</v>
      </c>
      <c r="D866" t="s">
        <v>17</v>
      </c>
      <c r="E866" t="s">
        <v>8</v>
      </c>
      <c r="F866" s="22">
        <v>5</v>
      </c>
      <c r="G866" s="22">
        <v>0</v>
      </c>
      <c r="H866" s="22">
        <v>0</v>
      </c>
      <c r="I866" s="22">
        <v>5</v>
      </c>
      <c r="J866">
        <v>0</v>
      </c>
      <c r="K866">
        <v>0</v>
      </c>
      <c r="L866" s="22">
        <v>5</v>
      </c>
      <c r="M866" s="22">
        <v>0</v>
      </c>
      <c r="N866" s="22">
        <v>0</v>
      </c>
      <c r="O866" s="22">
        <v>5</v>
      </c>
      <c r="P866" s="22">
        <v>0</v>
      </c>
      <c r="Q866" s="22">
        <v>5</v>
      </c>
      <c r="R866">
        <v>0</v>
      </c>
      <c r="T866" t="s">
        <v>3052</v>
      </c>
      <c r="U866" t="s">
        <v>3062</v>
      </c>
      <c r="V866" t="s">
        <v>3056</v>
      </c>
    </row>
    <row r="867" spans="1:22">
      <c r="A867">
        <v>866</v>
      </c>
      <c r="B867" t="s">
        <v>1962</v>
      </c>
      <c r="C867" t="s">
        <v>1963</v>
      </c>
      <c r="D867" t="s">
        <v>17</v>
      </c>
      <c r="E867" t="s">
        <v>8</v>
      </c>
      <c r="F867" s="22">
        <v>7</v>
      </c>
      <c r="G867" s="22">
        <v>10</v>
      </c>
      <c r="H867" s="22">
        <v>3</v>
      </c>
      <c r="I867" s="22">
        <v>14</v>
      </c>
      <c r="J867">
        <v>0</v>
      </c>
      <c r="K867">
        <v>0</v>
      </c>
      <c r="L867" s="22">
        <v>14</v>
      </c>
      <c r="M867" s="22">
        <v>0</v>
      </c>
      <c r="N867" s="22">
        <v>0</v>
      </c>
      <c r="O867" s="22">
        <v>14</v>
      </c>
      <c r="P867" s="22">
        <v>5</v>
      </c>
      <c r="Q867" s="22">
        <v>9</v>
      </c>
      <c r="R867">
        <v>10</v>
      </c>
      <c r="T867" t="s">
        <v>3052</v>
      </c>
      <c r="U867" t="s">
        <v>3062</v>
      </c>
      <c r="V867" t="s">
        <v>3056</v>
      </c>
    </row>
    <row r="868" spans="1:22">
      <c r="A868">
        <v>867</v>
      </c>
      <c r="B868" t="s">
        <v>1964</v>
      </c>
      <c r="C868" t="s">
        <v>1965</v>
      </c>
      <c r="D868" t="s">
        <v>17</v>
      </c>
      <c r="E868" t="s">
        <v>8</v>
      </c>
      <c r="F868" s="22">
        <v>18</v>
      </c>
      <c r="G868" s="22">
        <v>0</v>
      </c>
      <c r="H868" s="22">
        <v>3</v>
      </c>
      <c r="I868" s="22">
        <v>15</v>
      </c>
      <c r="J868">
        <v>0</v>
      </c>
      <c r="K868">
        <v>0</v>
      </c>
      <c r="L868" s="22">
        <v>15</v>
      </c>
      <c r="M868" s="22">
        <v>0</v>
      </c>
      <c r="N868" s="22">
        <v>0</v>
      </c>
      <c r="O868" s="22">
        <v>15</v>
      </c>
      <c r="P868" s="22">
        <v>5</v>
      </c>
      <c r="Q868" s="22">
        <v>10</v>
      </c>
      <c r="R868">
        <v>0</v>
      </c>
      <c r="T868" t="s">
        <v>3052</v>
      </c>
      <c r="U868" t="s">
        <v>3062</v>
      </c>
      <c r="V868" t="s">
        <v>3056</v>
      </c>
    </row>
    <row r="869" spans="1:22">
      <c r="A869">
        <v>868</v>
      </c>
      <c r="B869" t="s">
        <v>1966</v>
      </c>
      <c r="C869" t="s">
        <v>1967</v>
      </c>
      <c r="D869" t="s">
        <v>17</v>
      </c>
      <c r="E869" t="s">
        <v>8</v>
      </c>
      <c r="F869" s="22">
        <v>12</v>
      </c>
      <c r="G869" s="22">
        <v>0</v>
      </c>
      <c r="H869" s="22">
        <v>2</v>
      </c>
      <c r="I869" s="22">
        <v>10</v>
      </c>
      <c r="J869">
        <v>0</v>
      </c>
      <c r="K869">
        <v>0</v>
      </c>
      <c r="L869" s="22">
        <v>10</v>
      </c>
      <c r="M869" s="22">
        <v>0</v>
      </c>
      <c r="N869" s="22">
        <v>0</v>
      </c>
      <c r="O869" s="22">
        <v>10</v>
      </c>
      <c r="P869" s="22">
        <v>5</v>
      </c>
      <c r="Q869" s="22">
        <v>5</v>
      </c>
      <c r="R869">
        <v>0</v>
      </c>
      <c r="T869" t="s">
        <v>3052</v>
      </c>
      <c r="U869" t="s">
        <v>3062</v>
      </c>
      <c r="V869" t="s">
        <v>3056</v>
      </c>
    </row>
    <row r="870" spans="1:22">
      <c r="A870">
        <v>869</v>
      </c>
      <c r="B870" t="s">
        <v>1968</v>
      </c>
      <c r="C870" t="s">
        <v>1969</v>
      </c>
      <c r="D870" t="s">
        <v>17</v>
      </c>
      <c r="E870" t="s">
        <v>8</v>
      </c>
      <c r="F870" s="22">
        <v>11</v>
      </c>
      <c r="G870" s="22">
        <v>0</v>
      </c>
      <c r="H870" s="22">
        <v>0</v>
      </c>
      <c r="I870" s="22">
        <v>11</v>
      </c>
      <c r="J870">
        <v>0</v>
      </c>
      <c r="K870">
        <v>0</v>
      </c>
      <c r="L870" s="22">
        <v>11</v>
      </c>
      <c r="M870" s="22">
        <v>0</v>
      </c>
      <c r="N870" s="22">
        <v>0</v>
      </c>
      <c r="O870" s="22">
        <v>11</v>
      </c>
      <c r="P870" s="22">
        <v>5</v>
      </c>
      <c r="Q870" s="22">
        <v>6</v>
      </c>
      <c r="R870">
        <v>0</v>
      </c>
      <c r="T870" t="s">
        <v>3052</v>
      </c>
      <c r="U870" t="s">
        <v>3062</v>
      </c>
      <c r="V870" t="s">
        <v>3056</v>
      </c>
    </row>
    <row r="871" spans="1:22">
      <c r="A871">
        <v>870</v>
      </c>
      <c r="B871" t="s">
        <v>1970</v>
      </c>
      <c r="C871" t="s">
        <v>1971</v>
      </c>
      <c r="D871" t="s">
        <v>17</v>
      </c>
      <c r="E871" t="s">
        <v>8</v>
      </c>
      <c r="F871" s="22">
        <v>21</v>
      </c>
      <c r="G871" s="22">
        <v>10</v>
      </c>
      <c r="H871" s="22">
        <v>4</v>
      </c>
      <c r="I871" s="22">
        <v>27</v>
      </c>
      <c r="J871">
        <v>0</v>
      </c>
      <c r="K871">
        <v>0</v>
      </c>
      <c r="L871" s="22">
        <v>27</v>
      </c>
      <c r="M871" s="22">
        <v>0</v>
      </c>
      <c r="N871" s="22">
        <v>0</v>
      </c>
      <c r="O871" s="22">
        <v>27</v>
      </c>
      <c r="P871" s="22">
        <v>2</v>
      </c>
      <c r="Q871" s="22">
        <v>25</v>
      </c>
      <c r="R871">
        <v>10</v>
      </c>
      <c r="T871" t="s">
        <v>3052</v>
      </c>
      <c r="U871" t="s">
        <v>3062</v>
      </c>
      <c r="V871" t="s">
        <v>3056</v>
      </c>
    </row>
    <row r="872" spans="1:22">
      <c r="A872">
        <v>871</v>
      </c>
      <c r="B872" t="s">
        <v>1856</v>
      </c>
      <c r="C872" t="s">
        <v>1857</v>
      </c>
      <c r="D872" t="s">
        <v>20</v>
      </c>
      <c r="E872" t="s">
        <v>8</v>
      </c>
      <c r="F872" s="22">
        <v>0</v>
      </c>
      <c r="G872" s="22">
        <v>0</v>
      </c>
      <c r="H872" s="22">
        <v>0</v>
      </c>
      <c r="I872" s="22">
        <v>0</v>
      </c>
      <c r="J872">
        <v>0</v>
      </c>
      <c r="K872">
        <v>0</v>
      </c>
      <c r="L872" s="22">
        <v>0</v>
      </c>
      <c r="M872" s="22">
        <v>0</v>
      </c>
      <c r="N872" s="22">
        <v>0</v>
      </c>
      <c r="O872" s="22">
        <v>0</v>
      </c>
      <c r="P872" s="22">
        <v>0</v>
      </c>
      <c r="Q872" s="22">
        <v>0</v>
      </c>
      <c r="R872">
        <v>0</v>
      </c>
      <c r="T872" t="s">
        <v>3031</v>
      </c>
      <c r="U872" t="s">
        <v>3057</v>
      </c>
      <c r="V872" t="s">
        <v>3056</v>
      </c>
    </row>
    <row r="873" spans="1:22">
      <c r="A873">
        <v>872</v>
      </c>
      <c r="B873" t="s">
        <v>1974</v>
      </c>
      <c r="C873" t="s">
        <v>1975</v>
      </c>
      <c r="D873" t="s">
        <v>7</v>
      </c>
      <c r="E873" t="s">
        <v>8</v>
      </c>
      <c r="F873" s="22">
        <v>0</v>
      </c>
      <c r="G873" s="22">
        <v>0</v>
      </c>
      <c r="H873" s="22">
        <v>0</v>
      </c>
      <c r="I873" s="22">
        <v>0</v>
      </c>
      <c r="J873">
        <v>0</v>
      </c>
      <c r="K873">
        <v>0</v>
      </c>
      <c r="L873" s="22">
        <v>0</v>
      </c>
      <c r="M873" s="22">
        <v>0</v>
      </c>
      <c r="N873" s="22">
        <v>0</v>
      </c>
      <c r="O873" s="22">
        <v>0</v>
      </c>
      <c r="P873" s="22">
        <v>0</v>
      </c>
      <c r="Q873" s="22">
        <v>0</v>
      </c>
      <c r="R873">
        <v>0</v>
      </c>
      <c r="T873" t="s">
        <v>2965</v>
      </c>
      <c r="U873" t="s">
        <v>3055</v>
      </c>
      <c r="V873" t="s">
        <v>3056</v>
      </c>
    </row>
    <row r="874" spans="1:22">
      <c r="A874">
        <v>873</v>
      </c>
      <c r="B874" t="s">
        <v>1976</v>
      </c>
      <c r="C874" t="s">
        <v>1977</v>
      </c>
      <c r="D874" t="s">
        <v>7</v>
      </c>
      <c r="E874" t="s">
        <v>8</v>
      </c>
      <c r="F874" s="22">
        <v>0</v>
      </c>
      <c r="G874" s="22">
        <v>0</v>
      </c>
      <c r="H874" s="22">
        <v>0</v>
      </c>
      <c r="I874" s="22">
        <v>0</v>
      </c>
      <c r="J874">
        <v>0</v>
      </c>
      <c r="K874">
        <v>0</v>
      </c>
      <c r="L874" s="22">
        <v>0</v>
      </c>
      <c r="M874" s="22">
        <v>0</v>
      </c>
      <c r="N874" s="22">
        <v>0</v>
      </c>
      <c r="O874" s="22">
        <v>0</v>
      </c>
      <c r="P874" s="22">
        <v>0</v>
      </c>
      <c r="Q874" s="22">
        <v>0</v>
      </c>
      <c r="R874">
        <v>0</v>
      </c>
      <c r="T874" t="s">
        <v>2965</v>
      </c>
      <c r="U874" t="s">
        <v>3055</v>
      </c>
      <c r="V874" t="s">
        <v>3056</v>
      </c>
    </row>
    <row r="875" spans="1:22">
      <c r="A875">
        <v>874</v>
      </c>
      <c r="B875" t="s">
        <v>1978</v>
      </c>
      <c r="C875" t="s">
        <v>1979</v>
      </c>
      <c r="D875" t="s">
        <v>7</v>
      </c>
      <c r="E875" t="s">
        <v>8</v>
      </c>
      <c r="F875" s="22">
        <v>188.7</v>
      </c>
      <c r="G875" s="22">
        <v>0</v>
      </c>
      <c r="H875" s="22">
        <v>0</v>
      </c>
      <c r="I875" s="22">
        <v>188.7</v>
      </c>
      <c r="J875">
        <v>0</v>
      </c>
      <c r="K875">
        <v>0</v>
      </c>
      <c r="L875" s="22">
        <v>188.7</v>
      </c>
      <c r="M875" s="22">
        <v>0</v>
      </c>
      <c r="N875" s="22">
        <v>0</v>
      </c>
      <c r="O875" s="22">
        <v>188.7</v>
      </c>
      <c r="P875" s="22">
        <v>0</v>
      </c>
      <c r="Q875" s="22">
        <v>188.7</v>
      </c>
      <c r="R875">
        <v>0</v>
      </c>
      <c r="T875" t="s">
        <v>2965</v>
      </c>
      <c r="U875" t="s">
        <v>3055</v>
      </c>
      <c r="V875" t="s">
        <v>3056</v>
      </c>
    </row>
    <row r="876" spans="1:22">
      <c r="A876">
        <v>875</v>
      </c>
      <c r="B876" t="s">
        <v>1980</v>
      </c>
      <c r="C876" t="s">
        <v>1981</v>
      </c>
      <c r="D876" t="s">
        <v>7</v>
      </c>
      <c r="E876" t="s">
        <v>8</v>
      </c>
      <c r="F876" s="22">
        <v>80</v>
      </c>
      <c r="G876" s="22">
        <v>0</v>
      </c>
      <c r="H876" s="22">
        <v>40</v>
      </c>
      <c r="I876" s="22">
        <v>40</v>
      </c>
      <c r="J876">
        <v>0</v>
      </c>
      <c r="K876">
        <v>0</v>
      </c>
      <c r="L876" s="22">
        <v>40</v>
      </c>
      <c r="M876" s="22">
        <v>0</v>
      </c>
      <c r="N876" s="22">
        <v>0</v>
      </c>
      <c r="O876" s="22">
        <v>40</v>
      </c>
      <c r="P876" s="22">
        <v>100</v>
      </c>
      <c r="Q876" s="22">
        <v>-60</v>
      </c>
      <c r="R876">
        <v>200</v>
      </c>
      <c r="T876" t="s">
        <v>2965</v>
      </c>
      <c r="U876" t="s">
        <v>3055</v>
      </c>
      <c r="V876" t="s">
        <v>3056</v>
      </c>
    </row>
    <row r="877" spans="1:22">
      <c r="A877">
        <v>876</v>
      </c>
      <c r="B877" t="s">
        <v>1982</v>
      </c>
      <c r="C877" t="s">
        <v>1983</v>
      </c>
      <c r="D877" t="s">
        <v>7</v>
      </c>
      <c r="E877" t="s">
        <v>8</v>
      </c>
      <c r="F877" s="22">
        <v>160</v>
      </c>
      <c r="G877" s="22">
        <v>0</v>
      </c>
      <c r="H877" s="22">
        <v>40</v>
      </c>
      <c r="I877" s="22">
        <v>120</v>
      </c>
      <c r="J877">
        <v>0</v>
      </c>
      <c r="K877">
        <v>0</v>
      </c>
      <c r="L877" s="22">
        <v>120</v>
      </c>
      <c r="M877" s="22">
        <v>0</v>
      </c>
      <c r="N877" s="22">
        <v>0</v>
      </c>
      <c r="O877" s="22">
        <v>120</v>
      </c>
      <c r="P877" s="22">
        <v>100</v>
      </c>
      <c r="Q877" s="22">
        <v>20</v>
      </c>
      <c r="R877">
        <v>0</v>
      </c>
      <c r="T877" t="s">
        <v>2965</v>
      </c>
      <c r="U877" t="s">
        <v>3055</v>
      </c>
      <c r="V877" t="s">
        <v>3056</v>
      </c>
    </row>
    <row r="878" spans="1:22">
      <c r="A878">
        <v>877</v>
      </c>
      <c r="B878" t="s">
        <v>1984</v>
      </c>
      <c r="C878" t="s">
        <v>1985</v>
      </c>
      <c r="D878" t="s">
        <v>7</v>
      </c>
      <c r="E878" t="s">
        <v>8</v>
      </c>
      <c r="F878" s="22">
        <v>971.5</v>
      </c>
      <c r="G878" s="22">
        <v>0</v>
      </c>
      <c r="H878" s="22">
        <v>0</v>
      </c>
      <c r="I878" s="22">
        <v>971.5</v>
      </c>
      <c r="J878">
        <v>0</v>
      </c>
      <c r="K878">
        <v>0</v>
      </c>
      <c r="L878" s="22">
        <v>971.5</v>
      </c>
      <c r="M878" s="22">
        <v>0</v>
      </c>
      <c r="N878" s="22">
        <v>0</v>
      </c>
      <c r="O878" s="22">
        <v>971.5</v>
      </c>
      <c r="P878" s="22">
        <v>100</v>
      </c>
      <c r="Q878" s="22">
        <v>871.5</v>
      </c>
      <c r="R878">
        <v>0</v>
      </c>
      <c r="T878" t="s">
        <v>2965</v>
      </c>
      <c r="U878" t="s">
        <v>3055</v>
      </c>
      <c r="V878" t="s">
        <v>3058</v>
      </c>
    </row>
    <row r="879" spans="1:22">
      <c r="A879">
        <v>878</v>
      </c>
      <c r="B879" t="s">
        <v>1988</v>
      </c>
      <c r="C879" t="s">
        <v>1989</v>
      </c>
      <c r="D879" t="s">
        <v>7</v>
      </c>
      <c r="E879" t="s">
        <v>8</v>
      </c>
      <c r="F879" s="22">
        <v>291.89999999999998</v>
      </c>
      <c r="G879" s="22">
        <v>0</v>
      </c>
      <c r="H879" s="22">
        <v>0</v>
      </c>
      <c r="I879" s="22">
        <v>291.89999999999998</v>
      </c>
      <c r="J879">
        <v>0</v>
      </c>
      <c r="K879">
        <v>0</v>
      </c>
      <c r="L879" s="22">
        <v>291.89999999999998</v>
      </c>
      <c r="M879" s="22">
        <v>0</v>
      </c>
      <c r="N879" s="22">
        <v>0</v>
      </c>
      <c r="O879" s="22">
        <v>291.89999999999998</v>
      </c>
      <c r="P879" s="22">
        <v>0</v>
      </c>
      <c r="Q879" s="22">
        <v>291.89999999999998</v>
      </c>
      <c r="R879">
        <v>0</v>
      </c>
      <c r="T879" t="s">
        <v>2965</v>
      </c>
      <c r="U879" t="s">
        <v>3055</v>
      </c>
      <c r="V879" t="s">
        <v>3056</v>
      </c>
    </row>
    <row r="880" spans="1:22">
      <c r="A880">
        <v>879</v>
      </c>
      <c r="B880" t="s">
        <v>1990</v>
      </c>
      <c r="C880" t="s">
        <v>1991</v>
      </c>
      <c r="D880" t="s">
        <v>7</v>
      </c>
      <c r="E880" t="s">
        <v>8</v>
      </c>
      <c r="F880" s="22">
        <v>298.60000000000002</v>
      </c>
      <c r="G880" s="22">
        <v>0</v>
      </c>
      <c r="H880" s="22">
        <v>0</v>
      </c>
      <c r="I880" s="22">
        <v>298.60000000000002</v>
      </c>
      <c r="J880">
        <v>0</v>
      </c>
      <c r="K880">
        <v>0</v>
      </c>
      <c r="L880" s="22">
        <v>298.60000000000002</v>
      </c>
      <c r="M880" s="22">
        <v>0</v>
      </c>
      <c r="N880" s="22">
        <v>0</v>
      </c>
      <c r="O880" s="22">
        <v>298.60000000000002</v>
      </c>
      <c r="P880" s="22">
        <v>0</v>
      </c>
      <c r="Q880" s="22">
        <v>298.60000000000002</v>
      </c>
      <c r="R880">
        <v>0</v>
      </c>
      <c r="T880" t="s">
        <v>2965</v>
      </c>
      <c r="U880" t="s">
        <v>3055</v>
      </c>
      <c r="V880" t="s">
        <v>3056</v>
      </c>
    </row>
    <row r="881" spans="1:22">
      <c r="A881">
        <v>880</v>
      </c>
      <c r="B881" t="s">
        <v>1992</v>
      </c>
      <c r="C881" t="s">
        <v>1993</v>
      </c>
      <c r="D881" t="s">
        <v>17</v>
      </c>
      <c r="E881" t="s">
        <v>8</v>
      </c>
      <c r="F881" s="22">
        <v>0</v>
      </c>
      <c r="G881" s="22">
        <v>0</v>
      </c>
      <c r="H881" s="22">
        <v>0</v>
      </c>
      <c r="I881" s="22">
        <v>0</v>
      </c>
      <c r="J881">
        <v>0</v>
      </c>
      <c r="K881">
        <v>0</v>
      </c>
      <c r="L881" s="22">
        <v>0</v>
      </c>
      <c r="M881" s="22">
        <v>0</v>
      </c>
      <c r="N881" s="22">
        <v>0</v>
      </c>
      <c r="O881" s="22">
        <v>0</v>
      </c>
      <c r="P881" s="22">
        <v>0</v>
      </c>
      <c r="Q881" s="22">
        <v>0</v>
      </c>
      <c r="R881">
        <v>0</v>
      </c>
      <c r="T881" t="s">
        <v>2982</v>
      </c>
      <c r="U881" t="s">
        <v>3060</v>
      </c>
      <c r="V881" t="s">
        <v>3058</v>
      </c>
    </row>
    <row r="882" spans="1:22">
      <c r="A882">
        <v>881</v>
      </c>
      <c r="B882" t="s">
        <v>1994</v>
      </c>
      <c r="C882" t="s">
        <v>1995</v>
      </c>
      <c r="D882" t="s">
        <v>17</v>
      </c>
      <c r="E882" t="s">
        <v>8</v>
      </c>
      <c r="F882" s="22">
        <v>0</v>
      </c>
      <c r="G882" s="22">
        <v>0</v>
      </c>
      <c r="H882" s="22">
        <v>0</v>
      </c>
      <c r="I882" s="22">
        <v>0</v>
      </c>
      <c r="J882">
        <v>0</v>
      </c>
      <c r="K882">
        <v>0</v>
      </c>
      <c r="L882" s="22">
        <v>0</v>
      </c>
      <c r="M882" s="22">
        <v>0</v>
      </c>
      <c r="N882" s="22">
        <v>0</v>
      </c>
      <c r="O882" s="22">
        <v>0</v>
      </c>
      <c r="P882" s="22">
        <v>0</v>
      </c>
      <c r="Q882" s="22">
        <v>0</v>
      </c>
      <c r="R882">
        <v>0</v>
      </c>
      <c r="T882" t="s">
        <v>2982</v>
      </c>
      <c r="U882" t="s">
        <v>3060</v>
      </c>
      <c r="V882" t="s">
        <v>3058</v>
      </c>
    </row>
    <row r="883" spans="1:22">
      <c r="A883">
        <v>882</v>
      </c>
      <c r="B883" t="s">
        <v>1996</v>
      </c>
      <c r="C883" t="s">
        <v>1997</v>
      </c>
      <c r="D883" t="s">
        <v>17</v>
      </c>
      <c r="E883" t="s">
        <v>8</v>
      </c>
      <c r="F883" s="22">
        <v>0</v>
      </c>
      <c r="G883" s="22">
        <v>0</v>
      </c>
      <c r="H883" s="22">
        <v>0</v>
      </c>
      <c r="I883" s="22">
        <v>0</v>
      </c>
      <c r="J883">
        <v>0</v>
      </c>
      <c r="K883">
        <v>0</v>
      </c>
      <c r="L883" s="22">
        <v>0</v>
      </c>
      <c r="M883" s="22">
        <v>0</v>
      </c>
      <c r="N883" s="22">
        <v>0</v>
      </c>
      <c r="O883" s="22">
        <v>0</v>
      </c>
      <c r="P883" s="22">
        <v>0</v>
      </c>
      <c r="Q883" s="22">
        <v>0</v>
      </c>
      <c r="R883">
        <v>0</v>
      </c>
      <c r="T883" t="s">
        <v>2991</v>
      </c>
      <c r="U883" t="s">
        <v>3060</v>
      </c>
      <c r="V883" t="s">
        <v>3058</v>
      </c>
    </row>
    <row r="884" spans="1:22">
      <c r="A884">
        <v>883</v>
      </c>
      <c r="B884" t="s">
        <v>1858</v>
      </c>
      <c r="C884" t="s">
        <v>1859</v>
      </c>
      <c r="D884" t="s">
        <v>20</v>
      </c>
      <c r="E884" t="s">
        <v>8</v>
      </c>
      <c r="F884" s="22">
        <v>153.4</v>
      </c>
      <c r="G884" s="22">
        <v>592.1</v>
      </c>
      <c r="H884" s="22">
        <v>0</v>
      </c>
      <c r="I884" s="22">
        <v>745.5</v>
      </c>
      <c r="J884">
        <v>0</v>
      </c>
      <c r="K884">
        <v>0</v>
      </c>
      <c r="L884" s="22">
        <v>745.5</v>
      </c>
      <c r="M884" s="22">
        <v>0</v>
      </c>
      <c r="N884" s="22">
        <v>0</v>
      </c>
      <c r="O884" s="22">
        <v>745.5</v>
      </c>
      <c r="P884" s="22">
        <v>500</v>
      </c>
      <c r="Q884" s="22">
        <v>245.5</v>
      </c>
      <c r="R884">
        <v>750</v>
      </c>
      <c r="T884" t="s">
        <v>3031</v>
      </c>
      <c r="U884" t="s">
        <v>3057</v>
      </c>
      <c r="V884" t="s">
        <v>3056</v>
      </c>
    </row>
    <row r="885" spans="1:22">
      <c r="A885">
        <v>884</v>
      </c>
      <c r="B885" t="s">
        <v>1862</v>
      </c>
      <c r="C885" t="s">
        <v>1863</v>
      </c>
      <c r="D885" t="s">
        <v>20</v>
      </c>
      <c r="E885" t="s">
        <v>8</v>
      </c>
      <c r="F885" s="22">
        <v>625.70000000000005</v>
      </c>
      <c r="G885" s="22">
        <v>203.8</v>
      </c>
      <c r="H885" s="22">
        <v>197.7</v>
      </c>
      <c r="I885" s="22">
        <v>631.79999999999995</v>
      </c>
      <c r="J885">
        <v>0</v>
      </c>
      <c r="K885">
        <v>0</v>
      </c>
      <c r="L885" s="22">
        <v>631.79999999999995</v>
      </c>
      <c r="M885" s="22">
        <v>0</v>
      </c>
      <c r="N885" s="22">
        <v>0</v>
      </c>
      <c r="O885" s="22">
        <v>631.79999999999995</v>
      </c>
      <c r="P885" s="22">
        <v>500</v>
      </c>
      <c r="Q885" s="22">
        <v>131.79999999999995</v>
      </c>
      <c r="R885">
        <v>500</v>
      </c>
      <c r="T885" t="s">
        <v>3031</v>
      </c>
      <c r="U885" t="s">
        <v>3057</v>
      </c>
      <c r="V885" t="s">
        <v>3056</v>
      </c>
    </row>
    <row r="886" spans="1:22">
      <c r="A886">
        <v>885</v>
      </c>
      <c r="B886" t="s">
        <v>1864</v>
      </c>
      <c r="C886" t="s">
        <v>1865</v>
      </c>
      <c r="D886" t="s">
        <v>20</v>
      </c>
      <c r="E886" t="s">
        <v>8</v>
      </c>
      <c r="F886" s="22">
        <v>0</v>
      </c>
      <c r="G886" s="22">
        <v>0</v>
      </c>
      <c r="H886" s="22">
        <v>0</v>
      </c>
      <c r="I886" s="22">
        <v>0</v>
      </c>
      <c r="J886">
        <v>0</v>
      </c>
      <c r="K886">
        <v>0</v>
      </c>
      <c r="L886" s="22">
        <v>0</v>
      </c>
      <c r="M886" s="22">
        <v>0</v>
      </c>
      <c r="N886" s="22">
        <v>0</v>
      </c>
      <c r="O886" s="22">
        <v>0</v>
      </c>
      <c r="P886" s="22">
        <v>0</v>
      </c>
      <c r="Q886" s="22">
        <v>0</v>
      </c>
      <c r="R886">
        <v>0</v>
      </c>
      <c r="T886" t="s">
        <v>3031</v>
      </c>
      <c r="U886" t="s">
        <v>3057</v>
      </c>
      <c r="V886" t="s">
        <v>3056</v>
      </c>
    </row>
    <row r="887" spans="1:22">
      <c r="A887">
        <v>886</v>
      </c>
      <c r="B887" t="s">
        <v>1866</v>
      </c>
      <c r="C887" t="s">
        <v>1867</v>
      </c>
      <c r="D887" t="s">
        <v>20</v>
      </c>
      <c r="E887" t="s">
        <v>8</v>
      </c>
      <c r="F887" s="22">
        <v>1034.0999999999999</v>
      </c>
      <c r="G887" s="22">
        <v>3080.1</v>
      </c>
      <c r="H887" s="22">
        <v>2254.9</v>
      </c>
      <c r="I887" s="22">
        <v>1859.3</v>
      </c>
      <c r="J887">
        <v>0</v>
      </c>
      <c r="K887">
        <v>0</v>
      </c>
      <c r="L887" s="22">
        <v>1859.3</v>
      </c>
      <c r="M887" s="22">
        <v>0</v>
      </c>
      <c r="N887" s="22">
        <v>0</v>
      </c>
      <c r="O887" s="22">
        <v>1859.3</v>
      </c>
      <c r="P887" s="22">
        <v>1500</v>
      </c>
      <c r="Q887" s="22">
        <v>359.29999999999995</v>
      </c>
      <c r="R887">
        <v>3000</v>
      </c>
      <c r="T887" t="s">
        <v>3031</v>
      </c>
      <c r="U887" t="s">
        <v>3057</v>
      </c>
      <c r="V887" t="s">
        <v>3056</v>
      </c>
    </row>
    <row r="888" spans="1:22">
      <c r="A888">
        <v>887</v>
      </c>
      <c r="B888" t="s">
        <v>1868</v>
      </c>
      <c r="C888" t="s">
        <v>1869</v>
      </c>
      <c r="D888" t="s">
        <v>20</v>
      </c>
      <c r="E888" t="s">
        <v>8</v>
      </c>
      <c r="F888" s="22">
        <v>280.2</v>
      </c>
      <c r="G888" s="22">
        <v>0</v>
      </c>
      <c r="H888" s="22">
        <v>138.93</v>
      </c>
      <c r="I888" s="22">
        <v>141.27000000000001</v>
      </c>
      <c r="J888">
        <v>0</v>
      </c>
      <c r="K888">
        <v>0</v>
      </c>
      <c r="L888" s="22">
        <v>141.27000000000001</v>
      </c>
      <c r="M888" s="22">
        <v>0</v>
      </c>
      <c r="N888" s="22">
        <v>0</v>
      </c>
      <c r="O888" s="22">
        <v>141.27000000000001</v>
      </c>
      <c r="P888" s="22">
        <v>120</v>
      </c>
      <c r="Q888" s="22">
        <v>21.27000000000001</v>
      </c>
      <c r="R888">
        <v>200</v>
      </c>
      <c r="T888" t="s">
        <v>3031</v>
      </c>
      <c r="U888" t="s">
        <v>3057</v>
      </c>
      <c r="V888" t="s">
        <v>3056</v>
      </c>
    </row>
    <row r="889" spans="1:22">
      <c r="A889">
        <v>888</v>
      </c>
      <c r="B889" t="s">
        <v>1916</v>
      </c>
      <c r="C889" t="s">
        <v>1917</v>
      </c>
      <c r="D889" t="s">
        <v>17</v>
      </c>
      <c r="E889" t="s">
        <v>8</v>
      </c>
      <c r="F889" s="22">
        <v>3500</v>
      </c>
      <c r="G889" s="22">
        <v>0</v>
      </c>
      <c r="H889" s="22">
        <v>285</v>
      </c>
      <c r="I889" s="22">
        <v>3215</v>
      </c>
      <c r="J889">
        <v>0</v>
      </c>
      <c r="K889">
        <v>0</v>
      </c>
      <c r="L889" s="22">
        <v>3215</v>
      </c>
      <c r="M889" s="22">
        <v>0</v>
      </c>
      <c r="N889" s="22">
        <v>0</v>
      </c>
      <c r="O889" s="22">
        <v>3215</v>
      </c>
      <c r="P889" s="22">
        <v>2500</v>
      </c>
      <c r="Q889" s="22">
        <v>715</v>
      </c>
      <c r="R889">
        <v>0</v>
      </c>
      <c r="T889" t="s">
        <v>2972</v>
      </c>
      <c r="U889" t="s">
        <v>3057</v>
      </c>
      <c r="V889" t="s">
        <v>3056</v>
      </c>
    </row>
    <row r="890" spans="1:22">
      <c r="A890">
        <v>889</v>
      </c>
      <c r="B890" t="s">
        <v>1918</v>
      </c>
      <c r="C890" t="s">
        <v>1919</v>
      </c>
      <c r="D890" t="s">
        <v>17</v>
      </c>
      <c r="E890" t="s">
        <v>8</v>
      </c>
      <c r="F890" s="22">
        <v>5228</v>
      </c>
      <c r="G890" s="22">
        <v>0</v>
      </c>
      <c r="H890" s="22">
        <v>0</v>
      </c>
      <c r="I890" s="22">
        <v>5228</v>
      </c>
      <c r="J890">
        <v>0</v>
      </c>
      <c r="K890">
        <v>0</v>
      </c>
      <c r="L890" s="22">
        <v>5228</v>
      </c>
      <c r="M890" s="22">
        <v>0</v>
      </c>
      <c r="N890" s="22">
        <v>0</v>
      </c>
      <c r="O890" s="22">
        <v>5228</v>
      </c>
      <c r="P890" s="22">
        <v>2500</v>
      </c>
      <c r="Q890" s="22">
        <v>2728</v>
      </c>
      <c r="R890">
        <v>0</v>
      </c>
      <c r="T890" t="s">
        <v>2972</v>
      </c>
      <c r="U890" t="s">
        <v>3057</v>
      </c>
      <c r="V890" t="s">
        <v>3056</v>
      </c>
    </row>
    <row r="891" spans="1:22">
      <c r="A891">
        <v>890</v>
      </c>
      <c r="B891" t="s">
        <v>1920</v>
      </c>
      <c r="C891" t="s">
        <v>1921</v>
      </c>
      <c r="D891" t="s">
        <v>17</v>
      </c>
      <c r="E891" t="s">
        <v>8</v>
      </c>
      <c r="F891" s="22">
        <v>500</v>
      </c>
      <c r="G891" s="22">
        <v>5750</v>
      </c>
      <c r="H891" s="22">
        <v>3250</v>
      </c>
      <c r="I891" s="22">
        <v>3000</v>
      </c>
      <c r="J891">
        <v>0</v>
      </c>
      <c r="K891">
        <v>0</v>
      </c>
      <c r="L891" s="22">
        <v>3000</v>
      </c>
      <c r="M891" s="22">
        <v>0</v>
      </c>
      <c r="N891" s="22">
        <v>0</v>
      </c>
      <c r="O891" s="22">
        <v>3000</v>
      </c>
      <c r="P891" s="22">
        <v>2500</v>
      </c>
      <c r="Q891" s="22">
        <v>500</v>
      </c>
      <c r="R891">
        <v>0</v>
      </c>
      <c r="T891" t="s">
        <v>2972</v>
      </c>
      <c r="U891" t="s">
        <v>3057</v>
      </c>
      <c r="V891" t="s">
        <v>3056</v>
      </c>
    </row>
    <row r="892" spans="1:22">
      <c r="A892">
        <v>891</v>
      </c>
      <c r="B892" t="s">
        <v>1922</v>
      </c>
      <c r="C892" t="s">
        <v>1923</v>
      </c>
      <c r="D892" t="s">
        <v>17</v>
      </c>
      <c r="E892" t="s">
        <v>8</v>
      </c>
      <c r="F892" s="22">
        <v>0</v>
      </c>
      <c r="G892" s="22">
        <v>0</v>
      </c>
      <c r="H892" s="22">
        <v>0</v>
      </c>
      <c r="I892" s="22">
        <v>0</v>
      </c>
      <c r="J892">
        <v>0</v>
      </c>
      <c r="K892">
        <v>0</v>
      </c>
      <c r="L892" s="22">
        <v>0</v>
      </c>
      <c r="M892" s="22">
        <v>0</v>
      </c>
      <c r="N892" s="22">
        <v>0</v>
      </c>
      <c r="O892" s="22">
        <v>0</v>
      </c>
      <c r="P892" s="22">
        <v>0</v>
      </c>
      <c r="Q892" s="22">
        <v>0</v>
      </c>
      <c r="R892">
        <v>0</v>
      </c>
      <c r="T892" t="s">
        <v>2972</v>
      </c>
      <c r="U892" t="s">
        <v>3057</v>
      </c>
      <c r="V892" t="s">
        <v>3056</v>
      </c>
    </row>
    <row r="893" spans="1:22">
      <c r="A893">
        <v>892</v>
      </c>
      <c r="B893" t="s">
        <v>1924</v>
      </c>
      <c r="C893" t="s">
        <v>1925</v>
      </c>
      <c r="D893" t="s">
        <v>17</v>
      </c>
      <c r="E893" t="s">
        <v>8</v>
      </c>
      <c r="F893" s="22">
        <v>0</v>
      </c>
      <c r="G893" s="22">
        <v>0</v>
      </c>
      <c r="H893" s="22">
        <v>0</v>
      </c>
      <c r="I893" s="22">
        <v>0</v>
      </c>
      <c r="J893">
        <v>0</v>
      </c>
      <c r="K893">
        <v>0</v>
      </c>
      <c r="L893" s="22">
        <v>0</v>
      </c>
      <c r="M893" s="22">
        <v>0</v>
      </c>
      <c r="N893" s="22">
        <v>0</v>
      </c>
      <c r="O893" s="22">
        <v>0</v>
      </c>
      <c r="P893" s="22">
        <v>0</v>
      </c>
      <c r="Q893" s="22">
        <v>0</v>
      </c>
      <c r="R893">
        <v>0</v>
      </c>
      <c r="T893" t="s">
        <v>2972</v>
      </c>
      <c r="U893" t="s">
        <v>3057</v>
      </c>
      <c r="V893" t="s">
        <v>3056</v>
      </c>
    </row>
    <row r="894" spans="1:22">
      <c r="A894">
        <v>893</v>
      </c>
      <c r="B894" t="s">
        <v>1926</v>
      </c>
      <c r="C894" t="s">
        <v>1927</v>
      </c>
      <c r="D894" t="s">
        <v>17</v>
      </c>
      <c r="E894" t="s">
        <v>8</v>
      </c>
      <c r="F894" s="22">
        <v>400</v>
      </c>
      <c r="G894" s="22">
        <v>500</v>
      </c>
      <c r="H894" s="22">
        <v>350</v>
      </c>
      <c r="I894" s="22">
        <v>550</v>
      </c>
      <c r="J894">
        <v>0</v>
      </c>
      <c r="K894">
        <v>0</v>
      </c>
      <c r="L894" s="22">
        <v>550</v>
      </c>
      <c r="M894" s="22">
        <v>0</v>
      </c>
      <c r="N894" s="22">
        <v>0</v>
      </c>
      <c r="O894" s="22">
        <v>550</v>
      </c>
      <c r="P894" s="22">
        <v>250</v>
      </c>
      <c r="Q894" s="22">
        <v>300</v>
      </c>
      <c r="R894">
        <v>0</v>
      </c>
      <c r="T894" t="s">
        <v>2991</v>
      </c>
      <c r="U894" t="s">
        <v>3057</v>
      </c>
      <c r="V894" t="s">
        <v>3056</v>
      </c>
    </row>
    <row r="895" spans="1:22">
      <c r="A895">
        <v>894</v>
      </c>
      <c r="B895" t="s">
        <v>2020</v>
      </c>
      <c r="C895" t="s">
        <v>2021</v>
      </c>
      <c r="D895" t="s">
        <v>17</v>
      </c>
      <c r="E895" t="s">
        <v>8</v>
      </c>
      <c r="F895" s="22">
        <v>0</v>
      </c>
      <c r="G895" s="22">
        <v>0</v>
      </c>
      <c r="H895" s="22">
        <v>0</v>
      </c>
      <c r="I895" s="22">
        <v>0</v>
      </c>
      <c r="J895">
        <v>0</v>
      </c>
      <c r="K895">
        <v>0</v>
      </c>
      <c r="L895" s="22">
        <v>0</v>
      </c>
      <c r="M895" s="22">
        <v>0</v>
      </c>
      <c r="N895" s="22">
        <v>0</v>
      </c>
      <c r="O895" s="22">
        <v>0</v>
      </c>
      <c r="P895" s="22">
        <v>0</v>
      </c>
      <c r="Q895" s="22">
        <v>0</v>
      </c>
      <c r="R895">
        <v>0</v>
      </c>
      <c r="T895" t="s">
        <v>2991</v>
      </c>
      <c r="U895" t="s">
        <v>3060</v>
      </c>
      <c r="V895" t="s">
        <v>3058</v>
      </c>
    </row>
    <row r="896" spans="1:22">
      <c r="A896">
        <v>895</v>
      </c>
      <c r="B896" t="s">
        <v>2022</v>
      </c>
      <c r="C896" t="s">
        <v>2023</v>
      </c>
      <c r="D896" t="s">
        <v>17</v>
      </c>
      <c r="E896" t="s">
        <v>8</v>
      </c>
      <c r="F896" s="22">
        <v>0</v>
      </c>
      <c r="G896" s="22">
        <v>0</v>
      </c>
      <c r="H896" s="22">
        <v>0</v>
      </c>
      <c r="I896" s="22">
        <v>0</v>
      </c>
      <c r="J896">
        <v>0</v>
      </c>
      <c r="K896">
        <v>0</v>
      </c>
      <c r="L896" s="22">
        <v>0</v>
      </c>
      <c r="M896" s="22">
        <v>0</v>
      </c>
      <c r="N896" s="22">
        <v>0</v>
      </c>
      <c r="O896" s="22">
        <v>0</v>
      </c>
      <c r="P896" s="22">
        <v>0</v>
      </c>
      <c r="Q896" s="22">
        <v>0</v>
      </c>
      <c r="R896">
        <v>0</v>
      </c>
      <c r="T896" t="s">
        <v>2982</v>
      </c>
      <c r="U896" t="s">
        <v>3060</v>
      </c>
      <c r="V896" t="s">
        <v>3058</v>
      </c>
    </row>
    <row r="897" spans="1:22">
      <c r="A897">
        <v>896</v>
      </c>
      <c r="B897" t="s">
        <v>2024</v>
      </c>
      <c r="C897" t="s">
        <v>2025</v>
      </c>
      <c r="D897" t="s">
        <v>17</v>
      </c>
      <c r="E897" t="s">
        <v>8</v>
      </c>
      <c r="F897" s="22">
        <v>0</v>
      </c>
      <c r="G897" s="22">
        <v>0</v>
      </c>
      <c r="H897" s="22">
        <v>0</v>
      </c>
      <c r="I897" s="22">
        <v>0</v>
      </c>
      <c r="J897">
        <v>0</v>
      </c>
      <c r="K897">
        <v>0</v>
      </c>
      <c r="L897" s="22">
        <v>0</v>
      </c>
      <c r="M897" s="22">
        <v>0</v>
      </c>
      <c r="N897" s="22">
        <v>0</v>
      </c>
      <c r="O897" s="22">
        <v>0</v>
      </c>
      <c r="P897" s="22">
        <v>0</v>
      </c>
      <c r="Q897" s="22">
        <v>0</v>
      </c>
      <c r="R897">
        <v>0</v>
      </c>
      <c r="T897" t="s">
        <v>2982</v>
      </c>
      <c r="U897" t="s">
        <v>3060</v>
      </c>
      <c r="V897" t="s">
        <v>3058</v>
      </c>
    </row>
    <row r="898" spans="1:22">
      <c r="A898">
        <v>897</v>
      </c>
      <c r="B898" t="s">
        <v>2026</v>
      </c>
      <c r="C898" t="s">
        <v>2027</v>
      </c>
      <c r="D898" t="s">
        <v>17</v>
      </c>
      <c r="E898" t="s">
        <v>8</v>
      </c>
      <c r="F898" s="22">
        <v>0</v>
      </c>
      <c r="G898" s="22">
        <v>0</v>
      </c>
      <c r="H898" s="22">
        <v>0</v>
      </c>
      <c r="I898" s="22">
        <v>0</v>
      </c>
      <c r="J898">
        <v>0</v>
      </c>
      <c r="K898">
        <v>0</v>
      </c>
      <c r="L898" s="22">
        <v>0</v>
      </c>
      <c r="M898" s="22">
        <v>0</v>
      </c>
      <c r="N898" s="22">
        <v>0</v>
      </c>
      <c r="O898" s="22">
        <v>0</v>
      </c>
      <c r="P898" s="22">
        <v>0</v>
      </c>
      <c r="Q898" s="22">
        <v>0</v>
      </c>
      <c r="R898">
        <v>0</v>
      </c>
      <c r="T898" t="s">
        <v>2982</v>
      </c>
      <c r="U898" t="s">
        <v>3060</v>
      </c>
      <c r="V898" t="s">
        <v>3058</v>
      </c>
    </row>
    <row r="899" spans="1:22">
      <c r="A899">
        <v>898</v>
      </c>
      <c r="B899" t="s">
        <v>2028</v>
      </c>
      <c r="C899" t="s">
        <v>2029</v>
      </c>
      <c r="D899" t="s">
        <v>17</v>
      </c>
      <c r="E899" t="s">
        <v>8</v>
      </c>
      <c r="F899" s="22">
        <v>0</v>
      </c>
      <c r="G899" s="22">
        <v>0</v>
      </c>
      <c r="H899" s="22">
        <v>0</v>
      </c>
      <c r="I899" s="22">
        <v>0</v>
      </c>
      <c r="J899">
        <v>0</v>
      </c>
      <c r="K899">
        <v>0</v>
      </c>
      <c r="L899" s="22">
        <v>0</v>
      </c>
      <c r="M899" s="22">
        <v>0</v>
      </c>
      <c r="N899" s="22">
        <v>0</v>
      </c>
      <c r="O899" s="22">
        <v>0</v>
      </c>
      <c r="P899" s="22">
        <v>0</v>
      </c>
      <c r="Q899" s="22">
        <v>0</v>
      </c>
      <c r="R899">
        <v>0</v>
      </c>
      <c r="T899" t="s">
        <v>2982</v>
      </c>
      <c r="U899" t="s">
        <v>3060</v>
      </c>
      <c r="V899" t="s">
        <v>3058</v>
      </c>
    </row>
    <row r="900" spans="1:22">
      <c r="A900">
        <v>899</v>
      </c>
      <c r="B900" t="s">
        <v>2030</v>
      </c>
      <c r="C900" t="s">
        <v>2031</v>
      </c>
      <c r="D900" t="s">
        <v>17</v>
      </c>
      <c r="E900" t="s">
        <v>8</v>
      </c>
      <c r="F900" s="22">
        <v>0</v>
      </c>
      <c r="G900" s="22">
        <v>0</v>
      </c>
      <c r="H900" s="22">
        <v>0</v>
      </c>
      <c r="I900" s="22">
        <v>0</v>
      </c>
      <c r="J900">
        <v>0</v>
      </c>
      <c r="K900">
        <v>0</v>
      </c>
      <c r="L900" s="22">
        <v>0</v>
      </c>
      <c r="M900" s="22">
        <v>0</v>
      </c>
      <c r="N900" s="22">
        <v>0</v>
      </c>
      <c r="O900" s="22">
        <v>0</v>
      </c>
      <c r="P900" s="22">
        <v>0</v>
      </c>
      <c r="Q900" s="22">
        <v>0</v>
      </c>
      <c r="R900">
        <v>0</v>
      </c>
      <c r="T900" t="s">
        <v>2982</v>
      </c>
      <c r="U900" t="s">
        <v>3060</v>
      </c>
      <c r="V900" t="s">
        <v>3058</v>
      </c>
    </row>
    <row r="901" spans="1:22">
      <c r="A901">
        <v>900</v>
      </c>
      <c r="B901" t="s">
        <v>2032</v>
      </c>
      <c r="C901" t="s">
        <v>2033</v>
      </c>
      <c r="D901" t="s">
        <v>17</v>
      </c>
      <c r="E901" t="s">
        <v>8</v>
      </c>
      <c r="F901" s="22">
        <v>0</v>
      </c>
      <c r="G901" s="22">
        <v>0</v>
      </c>
      <c r="H901" s="22">
        <v>0</v>
      </c>
      <c r="I901" s="22">
        <v>0</v>
      </c>
      <c r="J901">
        <v>0</v>
      </c>
      <c r="K901">
        <v>0</v>
      </c>
      <c r="L901" s="22">
        <v>0</v>
      </c>
      <c r="M901" s="22">
        <v>0</v>
      </c>
      <c r="N901" s="22">
        <v>0</v>
      </c>
      <c r="O901" s="22">
        <v>0</v>
      </c>
      <c r="P901" s="22">
        <v>0</v>
      </c>
      <c r="Q901" s="22">
        <v>0</v>
      </c>
      <c r="R901">
        <v>0</v>
      </c>
      <c r="T901" t="s">
        <v>2982</v>
      </c>
      <c r="U901" t="s">
        <v>3060</v>
      </c>
      <c r="V901" t="s">
        <v>3058</v>
      </c>
    </row>
    <row r="902" spans="1:22">
      <c r="A902">
        <v>901</v>
      </c>
      <c r="B902" t="s">
        <v>1956</v>
      </c>
      <c r="C902" t="s">
        <v>1957</v>
      </c>
      <c r="D902" t="s">
        <v>17</v>
      </c>
      <c r="E902" t="s">
        <v>8</v>
      </c>
      <c r="F902" s="22">
        <v>210</v>
      </c>
      <c r="G902" s="22">
        <v>0</v>
      </c>
      <c r="H902" s="22">
        <v>55</v>
      </c>
      <c r="I902" s="22">
        <v>155</v>
      </c>
      <c r="J902">
        <v>0</v>
      </c>
      <c r="K902">
        <v>0</v>
      </c>
      <c r="L902" s="22">
        <v>155</v>
      </c>
      <c r="M902" s="22">
        <v>0</v>
      </c>
      <c r="N902" s="22">
        <v>0</v>
      </c>
      <c r="O902" s="22">
        <v>155</v>
      </c>
      <c r="P902" s="22">
        <v>50</v>
      </c>
      <c r="Q902" s="22">
        <v>105</v>
      </c>
      <c r="R902">
        <v>0</v>
      </c>
      <c r="T902" t="s">
        <v>3052</v>
      </c>
      <c r="U902" t="s">
        <v>3057</v>
      </c>
      <c r="V902" t="s">
        <v>3056</v>
      </c>
    </row>
    <row r="903" spans="1:22">
      <c r="A903">
        <v>902</v>
      </c>
      <c r="B903" t="s">
        <v>1972</v>
      </c>
      <c r="C903" t="s">
        <v>1973</v>
      </c>
      <c r="D903" t="s">
        <v>17</v>
      </c>
      <c r="E903" t="s">
        <v>8</v>
      </c>
      <c r="F903" s="22">
        <v>11</v>
      </c>
      <c r="G903" s="22">
        <v>10</v>
      </c>
      <c r="H903" s="22">
        <v>1</v>
      </c>
      <c r="I903" s="22">
        <v>20</v>
      </c>
      <c r="J903">
        <v>0</v>
      </c>
      <c r="K903">
        <v>0</v>
      </c>
      <c r="L903" s="22">
        <v>20</v>
      </c>
      <c r="M903" s="22">
        <v>0</v>
      </c>
      <c r="N903" s="22">
        <v>0</v>
      </c>
      <c r="O903" s="22">
        <v>20</v>
      </c>
      <c r="P903" s="22">
        <v>10</v>
      </c>
      <c r="Q903" s="22">
        <v>10</v>
      </c>
      <c r="R903">
        <v>10</v>
      </c>
      <c r="T903" t="s">
        <v>3052</v>
      </c>
      <c r="U903" t="s">
        <v>3057</v>
      </c>
      <c r="V903" t="s">
        <v>3056</v>
      </c>
    </row>
    <row r="904" spans="1:22">
      <c r="A904">
        <v>903</v>
      </c>
      <c r="B904" t="s">
        <v>1998</v>
      </c>
      <c r="C904" t="s">
        <v>1999</v>
      </c>
      <c r="D904" t="s">
        <v>17</v>
      </c>
      <c r="E904" t="s">
        <v>8</v>
      </c>
      <c r="F904" s="22">
        <v>0</v>
      </c>
      <c r="G904" s="22">
        <v>0</v>
      </c>
      <c r="H904" s="22">
        <v>0</v>
      </c>
      <c r="I904" s="22">
        <v>0</v>
      </c>
      <c r="J904">
        <v>0</v>
      </c>
      <c r="K904">
        <v>0</v>
      </c>
      <c r="L904" s="22">
        <v>0</v>
      </c>
      <c r="M904" s="22">
        <v>0</v>
      </c>
      <c r="N904" s="22">
        <v>0</v>
      </c>
      <c r="O904" s="22">
        <v>0</v>
      </c>
      <c r="P904" s="22">
        <v>0</v>
      </c>
      <c r="Q904" s="22">
        <v>0</v>
      </c>
      <c r="R904">
        <v>0</v>
      </c>
      <c r="T904" t="s">
        <v>2991</v>
      </c>
      <c r="U904" t="s">
        <v>3057</v>
      </c>
      <c r="V904" t="s">
        <v>3058</v>
      </c>
    </row>
    <row r="905" spans="1:22">
      <c r="A905">
        <v>904</v>
      </c>
      <c r="B905" t="s">
        <v>2000</v>
      </c>
      <c r="C905" t="s">
        <v>2001</v>
      </c>
      <c r="D905" t="s">
        <v>17</v>
      </c>
      <c r="E905" t="s">
        <v>8</v>
      </c>
      <c r="F905" s="22">
        <v>0</v>
      </c>
      <c r="G905" s="22">
        <v>0</v>
      </c>
      <c r="H905" s="22">
        <v>0</v>
      </c>
      <c r="I905" s="22">
        <v>0</v>
      </c>
      <c r="J905">
        <v>0</v>
      </c>
      <c r="K905">
        <v>0</v>
      </c>
      <c r="L905" s="22">
        <v>0</v>
      </c>
      <c r="M905" s="22">
        <v>0</v>
      </c>
      <c r="N905" s="22">
        <v>0</v>
      </c>
      <c r="O905" s="22">
        <v>0</v>
      </c>
      <c r="P905" s="22">
        <v>0</v>
      </c>
      <c r="Q905" s="22">
        <v>0</v>
      </c>
      <c r="R905">
        <v>0</v>
      </c>
      <c r="T905" t="s">
        <v>2991</v>
      </c>
      <c r="U905" t="s">
        <v>3057</v>
      </c>
      <c r="V905" t="s">
        <v>3056</v>
      </c>
    </row>
    <row r="906" spans="1:22">
      <c r="A906">
        <v>905</v>
      </c>
      <c r="B906" t="s">
        <v>2002</v>
      </c>
      <c r="C906" t="s">
        <v>2003</v>
      </c>
      <c r="D906" t="s">
        <v>17</v>
      </c>
      <c r="E906" t="s">
        <v>8</v>
      </c>
      <c r="F906" s="22">
        <v>0</v>
      </c>
      <c r="G906" s="22">
        <v>0</v>
      </c>
      <c r="H906" s="22">
        <v>0</v>
      </c>
      <c r="I906" s="22">
        <v>0</v>
      </c>
      <c r="J906">
        <v>0</v>
      </c>
      <c r="K906">
        <v>0</v>
      </c>
      <c r="L906" s="22">
        <v>0</v>
      </c>
      <c r="M906" s="22">
        <v>0</v>
      </c>
      <c r="N906" s="22">
        <v>0</v>
      </c>
      <c r="O906" s="22">
        <v>0</v>
      </c>
      <c r="P906" s="22">
        <v>0</v>
      </c>
      <c r="Q906" s="22">
        <v>0</v>
      </c>
      <c r="R906">
        <v>0</v>
      </c>
      <c r="T906" t="s">
        <v>2991</v>
      </c>
      <c r="U906" t="s">
        <v>3057</v>
      </c>
      <c r="V906" t="s">
        <v>3058</v>
      </c>
    </row>
    <row r="907" spans="1:22">
      <c r="A907">
        <v>906</v>
      </c>
      <c r="B907" t="s">
        <v>2004</v>
      </c>
      <c r="C907" t="s">
        <v>2005</v>
      </c>
      <c r="D907" t="s">
        <v>17</v>
      </c>
      <c r="E907" t="s">
        <v>8</v>
      </c>
      <c r="F907" s="22">
        <v>0</v>
      </c>
      <c r="G907" s="22">
        <v>0</v>
      </c>
      <c r="H907" s="22">
        <v>0</v>
      </c>
      <c r="I907" s="22">
        <v>0</v>
      </c>
      <c r="J907">
        <v>0</v>
      </c>
      <c r="K907">
        <v>0</v>
      </c>
      <c r="L907" s="22">
        <v>0</v>
      </c>
      <c r="M907" s="22">
        <v>0</v>
      </c>
      <c r="N907" s="22">
        <v>0</v>
      </c>
      <c r="O907" s="22">
        <v>0</v>
      </c>
      <c r="P907" s="22">
        <v>0</v>
      </c>
      <c r="Q907" s="22">
        <v>0</v>
      </c>
      <c r="R907">
        <v>0</v>
      </c>
      <c r="T907" t="s">
        <v>2991</v>
      </c>
      <c r="U907" t="s">
        <v>3057</v>
      </c>
      <c r="V907" t="s">
        <v>3056</v>
      </c>
    </row>
    <row r="908" spans="1:22">
      <c r="A908">
        <v>907</v>
      </c>
      <c r="B908" t="s">
        <v>2006</v>
      </c>
      <c r="C908" t="s">
        <v>2007</v>
      </c>
      <c r="D908" t="s">
        <v>17</v>
      </c>
      <c r="E908" t="s">
        <v>8</v>
      </c>
      <c r="F908" s="22">
        <v>0</v>
      </c>
      <c r="G908" s="22">
        <v>0</v>
      </c>
      <c r="H908" s="22">
        <v>0</v>
      </c>
      <c r="I908" s="22">
        <v>0</v>
      </c>
      <c r="J908">
        <v>0</v>
      </c>
      <c r="K908">
        <v>0</v>
      </c>
      <c r="L908" s="22">
        <v>0</v>
      </c>
      <c r="M908" s="22">
        <v>0</v>
      </c>
      <c r="N908" s="22">
        <v>0</v>
      </c>
      <c r="O908" s="22">
        <v>0</v>
      </c>
      <c r="P908" s="22">
        <v>0</v>
      </c>
      <c r="Q908" s="22">
        <v>0</v>
      </c>
      <c r="R908">
        <v>0</v>
      </c>
      <c r="T908" t="s">
        <v>2991</v>
      </c>
      <c r="U908" t="s">
        <v>3057</v>
      </c>
      <c r="V908" t="s">
        <v>3058</v>
      </c>
    </row>
    <row r="909" spans="1:22">
      <c r="A909">
        <v>908</v>
      </c>
      <c r="B909" t="s">
        <v>2008</v>
      </c>
      <c r="C909" t="s">
        <v>2009</v>
      </c>
      <c r="D909" t="s">
        <v>17</v>
      </c>
      <c r="E909" t="s">
        <v>8</v>
      </c>
      <c r="F909" s="22">
        <v>0</v>
      </c>
      <c r="G909" s="22">
        <v>0</v>
      </c>
      <c r="H909" s="22">
        <v>0</v>
      </c>
      <c r="I909" s="22">
        <v>0</v>
      </c>
      <c r="J909">
        <v>0</v>
      </c>
      <c r="K909">
        <v>0</v>
      </c>
      <c r="L909" s="22">
        <v>0</v>
      </c>
      <c r="M909" s="22">
        <v>0</v>
      </c>
      <c r="N909" s="22">
        <v>0</v>
      </c>
      <c r="O909" s="22">
        <v>0</v>
      </c>
      <c r="P909" s="22">
        <v>0</v>
      </c>
      <c r="Q909" s="22">
        <v>0</v>
      </c>
      <c r="R909">
        <v>0</v>
      </c>
      <c r="T909" t="s">
        <v>2991</v>
      </c>
      <c r="U909" t="s">
        <v>3057</v>
      </c>
      <c r="V909" t="s">
        <v>3056</v>
      </c>
    </row>
    <row r="910" spans="1:22">
      <c r="A910">
        <v>909</v>
      </c>
      <c r="B910" t="s">
        <v>2010</v>
      </c>
      <c r="C910" t="s">
        <v>2011</v>
      </c>
      <c r="D910" t="s">
        <v>17</v>
      </c>
      <c r="E910" t="s">
        <v>8</v>
      </c>
      <c r="F910" s="22">
        <v>0</v>
      </c>
      <c r="G910" s="22">
        <v>0</v>
      </c>
      <c r="H910" s="22">
        <v>0</v>
      </c>
      <c r="I910" s="22">
        <v>0</v>
      </c>
      <c r="J910">
        <v>0</v>
      </c>
      <c r="K910">
        <v>0</v>
      </c>
      <c r="L910" s="22">
        <v>0</v>
      </c>
      <c r="M910" s="22">
        <v>0</v>
      </c>
      <c r="N910" s="22">
        <v>0</v>
      </c>
      <c r="O910" s="22">
        <v>0</v>
      </c>
      <c r="P910" s="22">
        <v>0</v>
      </c>
      <c r="Q910" s="22">
        <v>0</v>
      </c>
      <c r="R910">
        <v>0</v>
      </c>
      <c r="T910" t="s">
        <v>2991</v>
      </c>
      <c r="U910" t="s">
        <v>3057</v>
      </c>
      <c r="V910" t="s">
        <v>3056</v>
      </c>
    </row>
    <row r="911" spans="1:22">
      <c r="A911">
        <v>910</v>
      </c>
      <c r="B911" t="s">
        <v>2012</v>
      </c>
      <c r="C911" t="s">
        <v>2013</v>
      </c>
      <c r="D911" t="s">
        <v>17</v>
      </c>
      <c r="E911" t="s">
        <v>8</v>
      </c>
      <c r="F911" s="22">
        <v>0</v>
      </c>
      <c r="G911" s="22">
        <v>0</v>
      </c>
      <c r="H911" s="22">
        <v>0</v>
      </c>
      <c r="I911" s="22">
        <v>0</v>
      </c>
      <c r="J911">
        <v>0</v>
      </c>
      <c r="K911">
        <v>0</v>
      </c>
      <c r="L911" s="22">
        <v>0</v>
      </c>
      <c r="M911" s="22">
        <v>0</v>
      </c>
      <c r="N911" s="22">
        <v>0</v>
      </c>
      <c r="O911" s="22">
        <v>0</v>
      </c>
      <c r="P911" s="22">
        <v>0</v>
      </c>
      <c r="Q911" s="22">
        <v>0</v>
      </c>
      <c r="R911">
        <v>0</v>
      </c>
      <c r="T911" t="s">
        <v>2991</v>
      </c>
      <c r="U911" t="s">
        <v>3057</v>
      </c>
      <c r="V911" t="s">
        <v>3058</v>
      </c>
    </row>
    <row r="912" spans="1:22">
      <c r="A912">
        <v>911</v>
      </c>
      <c r="B912" t="s">
        <v>2014</v>
      </c>
      <c r="C912" t="s">
        <v>2015</v>
      </c>
      <c r="D912" t="s">
        <v>17</v>
      </c>
      <c r="E912" t="s">
        <v>8</v>
      </c>
      <c r="F912" s="22">
        <v>0</v>
      </c>
      <c r="G912" s="22">
        <v>0</v>
      </c>
      <c r="H912" s="22">
        <v>0</v>
      </c>
      <c r="I912" s="22">
        <v>0</v>
      </c>
      <c r="J912">
        <v>0</v>
      </c>
      <c r="K912">
        <v>0</v>
      </c>
      <c r="L912" s="22">
        <v>0</v>
      </c>
      <c r="M912" s="22">
        <v>0</v>
      </c>
      <c r="N912" s="22">
        <v>0</v>
      </c>
      <c r="O912" s="22">
        <v>0</v>
      </c>
      <c r="P912" s="22">
        <v>0</v>
      </c>
      <c r="Q912" s="22">
        <v>0</v>
      </c>
      <c r="R912">
        <v>0</v>
      </c>
      <c r="T912" t="s">
        <v>2991</v>
      </c>
      <c r="U912" t="s">
        <v>3057</v>
      </c>
      <c r="V912" t="s">
        <v>3056</v>
      </c>
    </row>
    <row r="913" spans="1:22">
      <c r="A913">
        <v>912</v>
      </c>
      <c r="B913" t="s">
        <v>2016</v>
      </c>
      <c r="C913" t="s">
        <v>2017</v>
      </c>
      <c r="D913" t="s">
        <v>17</v>
      </c>
      <c r="E913" t="s">
        <v>8</v>
      </c>
      <c r="F913" s="22">
        <v>0</v>
      </c>
      <c r="G913" s="22">
        <v>0</v>
      </c>
      <c r="H913" s="22">
        <v>0</v>
      </c>
      <c r="I913" s="22">
        <v>0</v>
      </c>
      <c r="J913">
        <v>0</v>
      </c>
      <c r="K913">
        <v>0</v>
      </c>
      <c r="L913" s="22">
        <v>0</v>
      </c>
      <c r="M913" s="22">
        <v>0</v>
      </c>
      <c r="N913" s="22">
        <v>0</v>
      </c>
      <c r="O913" s="22">
        <v>0</v>
      </c>
      <c r="P913" s="22">
        <v>0</v>
      </c>
      <c r="Q913" s="22">
        <v>0</v>
      </c>
      <c r="R913">
        <v>0</v>
      </c>
      <c r="T913" t="s">
        <v>2991</v>
      </c>
      <c r="U913" t="s">
        <v>3057</v>
      </c>
      <c r="V913" t="s">
        <v>3056</v>
      </c>
    </row>
    <row r="914" spans="1:22">
      <c r="A914">
        <v>913</v>
      </c>
      <c r="B914" t="s">
        <v>2058</v>
      </c>
      <c r="C914" t="s">
        <v>2059</v>
      </c>
      <c r="D914" t="s">
        <v>20</v>
      </c>
      <c r="E914" t="s">
        <v>8</v>
      </c>
      <c r="F914" s="22">
        <v>0</v>
      </c>
      <c r="G914" s="22">
        <v>0</v>
      </c>
      <c r="H914" s="22">
        <v>0</v>
      </c>
      <c r="I914" s="22">
        <v>0</v>
      </c>
      <c r="J914">
        <v>0</v>
      </c>
      <c r="K914">
        <v>0</v>
      </c>
      <c r="L914" s="22">
        <v>0</v>
      </c>
      <c r="M914" s="22">
        <v>0</v>
      </c>
      <c r="N914" s="22">
        <v>0</v>
      </c>
      <c r="O914" s="22">
        <v>0</v>
      </c>
      <c r="P914" s="22">
        <v>0</v>
      </c>
      <c r="Q914" s="22">
        <v>0</v>
      </c>
      <c r="R914">
        <v>0</v>
      </c>
      <c r="T914" t="s">
        <v>2965</v>
      </c>
      <c r="U914" t="s">
        <v>3060</v>
      </c>
      <c r="V914" t="s">
        <v>3058</v>
      </c>
    </row>
    <row r="915" spans="1:22">
      <c r="A915">
        <v>914</v>
      </c>
      <c r="B915" t="s">
        <v>2018</v>
      </c>
      <c r="C915" t="s">
        <v>2019</v>
      </c>
      <c r="D915" t="s">
        <v>17</v>
      </c>
      <c r="E915" t="s">
        <v>8</v>
      </c>
      <c r="F915" s="22">
        <v>0</v>
      </c>
      <c r="G915" s="22">
        <v>0</v>
      </c>
      <c r="H915" s="22">
        <v>0</v>
      </c>
      <c r="I915" s="22">
        <v>0</v>
      </c>
      <c r="J915">
        <v>0</v>
      </c>
      <c r="K915">
        <v>0</v>
      </c>
      <c r="L915" s="22">
        <v>0</v>
      </c>
      <c r="M915" s="22">
        <v>0</v>
      </c>
      <c r="N915" s="22">
        <v>0</v>
      </c>
      <c r="O915" s="22">
        <v>0</v>
      </c>
      <c r="P915" s="22">
        <v>0</v>
      </c>
      <c r="Q915" s="22">
        <v>0</v>
      </c>
      <c r="R915">
        <v>0</v>
      </c>
      <c r="T915" t="s">
        <v>2991</v>
      </c>
      <c r="U915" t="s">
        <v>3057</v>
      </c>
      <c r="V915" t="s">
        <v>3058</v>
      </c>
    </row>
    <row r="916" spans="1:22">
      <c r="A916">
        <v>915</v>
      </c>
      <c r="B916" t="s">
        <v>2060</v>
      </c>
      <c r="C916" t="s">
        <v>2061</v>
      </c>
      <c r="D916" t="s">
        <v>17</v>
      </c>
      <c r="E916" t="s">
        <v>8</v>
      </c>
      <c r="F916" s="22">
        <v>0</v>
      </c>
      <c r="G916" s="22">
        <v>0</v>
      </c>
      <c r="H916" s="22">
        <v>0</v>
      </c>
      <c r="I916" s="22">
        <v>0</v>
      </c>
      <c r="J916">
        <v>0</v>
      </c>
      <c r="K916">
        <v>0</v>
      </c>
      <c r="L916" s="22">
        <v>0</v>
      </c>
      <c r="M916" s="22">
        <v>0</v>
      </c>
      <c r="N916" s="22">
        <v>0</v>
      </c>
      <c r="O916" s="22">
        <v>0</v>
      </c>
      <c r="P916" s="22">
        <v>25</v>
      </c>
      <c r="Q916" s="22">
        <v>-25</v>
      </c>
      <c r="R916">
        <v>0</v>
      </c>
      <c r="T916" t="s">
        <v>2972</v>
      </c>
      <c r="U916" t="s">
        <v>3055</v>
      </c>
      <c r="V916" t="s">
        <v>3056</v>
      </c>
    </row>
    <row r="917" spans="1:22">
      <c r="A917">
        <v>916</v>
      </c>
      <c r="B917" t="s">
        <v>2034</v>
      </c>
      <c r="C917" t="s">
        <v>2035</v>
      </c>
      <c r="D917" t="s">
        <v>17</v>
      </c>
      <c r="E917" t="s">
        <v>8</v>
      </c>
      <c r="F917" s="22">
        <v>0</v>
      </c>
      <c r="G917" s="22">
        <v>0</v>
      </c>
      <c r="H917" s="22">
        <v>0</v>
      </c>
      <c r="I917" s="22">
        <v>0</v>
      </c>
      <c r="J917">
        <v>0</v>
      </c>
      <c r="K917">
        <v>0</v>
      </c>
      <c r="L917" s="22">
        <v>0</v>
      </c>
      <c r="M917" s="22">
        <v>0</v>
      </c>
      <c r="N917" s="22">
        <v>0</v>
      </c>
      <c r="O917" s="22">
        <v>0</v>
      </c>
      <c r="P917" s="22">
        <v>0</v>
      </c>
      <c r="Q917" s="22">
        <v>0</v>
      </c>
      <c r="R917">
        <v>0</v>
      </c>
      <c r="T917" t="s">
        <v>2972</v>
      </c>
      <c r="U917" t="s">
        <v>3057</v>
      </c>
      <c r="V917" t="s">
        <v>3056</v>
      </c>
    </row>
    <row r="918" spans="1:22">
      <c r="A918">
        <v>917</v>
      </c>
      <c r="B918" t="s">
        <v>2036</v>
      </c>
      <c r="C918" t="s">
        <v>2037</v>
      </c>
      <c r="D918" t="s">
        <v>17</v>
      </c>
      <c r="E918" t="s">
        <v>8</v>
      </c>
      <c r="F918" s="22">
        <v>150</v>
      </c>
      <c r="G918" s="22">
        <v>0</v>
      </c>
      <c r="H918" s="22">
        <v>0</v>
      </c>
      <c r="I918" s="22">
        <v>150</v>
      </c>
      <c r="J918">
        <v>0</v>
      </c>
      <c r="K918">
        <v>0</v>
      </c>
      <c r="L918" s="22">
        <v>150</v>
      </c>
      <c r="M918" s="22">
        <v>0</v>
      </c>
      <c r="N918" s="22">
        <v>0</v>
      </c>
      <c r="O918" s="22">
        <v>150</v>
      </c>
      <c r="P918" s="22">
        <v>100</v>
      </c>
      <c r="Q918" s="22">
        <v>50</v>
      </c>
      <c r="R918">
        <v>0</v>
      </c>
      <c r="T918" t="s">
        <v>2972</v>
      </c>
      <c r="U918" t="s">
        <v>3057</v>
      </c>
      <c r="V918" t="s">
        <v>3056</v>
      </c>
    </row>
    <row r="919" spans="1:22">
      <c r="A919">
        <v>918</v>
      </c>
      <c r="B919" t="s">
        <v>2038</v>
      </c>
      <c r="C919" t="s">
        <v>2039</v>
      </c>
      <c r="D919" t="s">
        <v>17</v>
      </c>
      <c r="E919" t="s">
        <v>8</v>
      </c>
      <c r="F919" s="22">
        <v>276</v>
      </c>
      <c r="G919" s="22">
        <v>0</v>
      </c>
      <c r="H919" s="22">
        <v>0</v>
      </c>
      <c r="I919" s="22">
        <v>276</v>
      </c>
      <c r="J919">
        <v>0</v>
      </c>
      <c r="K919">
        <v>0</v>
      </c>
      <c r="L919" s="22">
        <v>276</v>
      </c>
      <c r="M919" s="22">
        <v>0</v>
      </c>
      <c r="N919" s="22">
        <v>0</v>
      </c>
      <c r="O919" s="22">
        <v>276</v>
      </c>
      <c r="P919" s="22">
        <v>100</v>
      </c>
      <c r="Q919" s="22">
        <v>176</v>
      </c>
      <c r="R919">
        <v>0</v>
      </c>
      <c r="T919" t="s">
        <v>2972</v>
      </c>
      <c r="U919" t="s">
        <v>3057</v>
      </c>
      <c r="V919" t="s">
        <v>3056</v>
      </c>
    </row>
    <row r="920" spans="1:22">
      <c r="A920">
        <v>919</v>
      </c>
      <c r="B920" t="s">
        <v>2068</v>
      </c>
      <c r="C920" t="s">
        <v>2069</v>
      </c>
      <c r="D920" t="s">
        <v>17</v>
      </c>
      <c r="E920" t="s">
        <v>8</v>
      </c>
      <c r="F920" s="22">
        <v>1193</v>
      </c>
      <c r="G920" s="22">
        <v>0</v>
      </c>
      <c r="H920" s="22">
        <v>0</v>
      </c>
      <c r="I920" s="22">
        <v>1193</v>
      </c>
      <c r="J920">
        <v>0</v>
      </c>
      <c r="K920">
        <v>0</v>
      </c>
      <c r="L920" s="22">
        <v>1193</v>
      </c>
      <c r="M920" s="22">
        <v>0</v>
      </c>
      <c r="N920" s="22">
        <v>0</v>
      </c>
      <c r="O920" s="22">
        <v>1193</v>
      </c>
      <c r="P920" s="22">
        <v>500</v>
      </c>
      <c r="Q920" s="22">
        <v>693</v>
      </c>
      <c r="R920">
        <v>0</v>
      </c>
      <c r="T920" t="s">
        <v>2972</v>
      </c>
      <c r="U920" t="s">
        <v>3060</v>
      </c>
      <c r="V920" t="s">
        <v>3058</v>
      </c>
    </row>
    <row r="921" spans="1:22">
      <c r="A921">
        <v>920</v>
      </c>
      <c r="B921" t="s">
        <v>2070</v>
      </c>
      <c r="C921" t="s">
        <v>2071</v>
      </c>
      <c r="D921" t="s">
        <v>17</v>
      </c>
      <c r="E921" t="s">
        <v>8</v>
      </c>
      <c r="F921" s="22">
        <v>1000</v>
      </c>
      <c r="G921" s="22">
        <v>0</v>
      </c>
      <c r="H921" s="22">
        <v>100</v>
      </c>
      <c r="I921" s="22">
        <v>900</v>
      </c>
      <c r="J921">
        <v>0</v>
      </c>
      <c r="K921">
        <v>0</v>
      </c>
      <c r="L921" s="22">
        <v>900</v>
      </c>
      <c r="M921" s="22">
        <v>0</v>
      </c>
      <c r="N921" s="22">
        <v>0</v>
      </c>
      <c r="O921" s="22">
        <v>900</v>
      </c>
      <c r="P921" s="22">
        <v>500</v>
      </c>
      <c r="Q921" s="22">
        <v>400</v>
      </c>
      <c r="R921">
        <v>0</v>
      </c>
      <c r="T921" t="s">
        <v>2972</v>
      </c>
      <c r="U921" t="s">
        <v>3060</v>
      </c>
      <c r="V921" t="s">
        <v>3058</v>
      </c>
    </row>
    <row r="922" spans="1:22">
      <c r="A922">
        <v>921</v>
      </c>
      <c r="B922" t="s">
        <v>2040</v>
      </c>
      <c r="C922" t="s">
        <v>2041</v>
      </c>
      <c r="D922" t="s">
        <v>17</v>
      </c>
      <c r="E922" t="s">
        <v>8</v>
      </c>
      <c r="F922" s="22">
        <v>0</v>
      </c>
      <c r="G922" s="22">
        <v>0</v>
      </c>
      <c r="H922" s="22">
        <v>0</v>
      </c>
      <c r="I922" s="22">
        <v>0</v>
      </c>
      <c r="J922">
        <v>0</v>
      </c>
      <c r="K922">
        <v>0</v>
      </c>
      <c r="L922" s="22">
        <v>0</v>
      </c>
      <c r="M922" s="22">
        <v>0</v>
      </c>
      <c r="N922" s="22">
        <v>0</v>
      </c>
      <c r="O922" s="22">
        <v>0</v>
      </c>
      <c r="P922" s="22">
        <v>0</v>
      </c>
      <c r="Q922" s="22">
        <v>0</v>
      </c>
      <c r="R922">
        <v>0</v>
      </c>
      <c r="T922" t="s">
        <v>2972</v>
      </c>
      <c r="U922" t="s">
        <v>3057</v>
      </c>
      <c r="V922" t="s">
        <v>3056</v>
      </c>
    </row>
    <row r="923" spans="1:22">
      <c r="A923">
        <v>922</v>
      </c>
      <c r="B923" t="s">
        <v>2042</v>
      </c>
      <c r="C923" t="s">
        <v>2043</v>
      </c>
      <c r="D923" t="s">
        <v>17</v>
      </c>
      <c r="E923" t="s">
        <v>8</v>
      </c>
      <c r="F923" s="22">
        <v>0</v>
      </c>
      <c r="G923" s="22">
        <v>0</v>
      </c>
      <c r="H923" s="22">
        <v>0</v>
      </c>
      <c r="I923" s="22">
        <v>0</v>
      </c>
      <c r="J923">
        <v>0</v>
      </c>
      <c r="K923">
        <v>0</v>
      </c>
      <c r="L923" s="22">
        <v>0</v>
      </c>
      <c r="M923" s="22">
        <v>0</v>
      </c>
      <c r="N923" s="22">
        <v>0</v>
      </c>
      <c r="O923" s="22">
        <v>0</v>
      </c>
      <c r="P923" s="22">
        <v>0</v>
      </c>
      <c r="Q923" s="22">
        <v>0</v>
      </c>
      <c r="R923">
        <v>0</v>
      </c>
      <c r="T923" t="s">
        <v>2972</v>
      </c>
      <c r="U923" t="s">
        <v>3057</v>
      </c>
      <c r="V923" t="s">
        <v>3056</v>
      </c>
    </row>
    <row r="924" spans="1:22">
      <c r="A924">
        <v>923</v>
      </c>
      <c r="B924" t="s">
        <v>2044</v>
      </c>
      <c r="C924" t="s">
        <v>2045</v>
      </c>
      <c r="D924" t="s">
        <v>17</v>
      </c>
      <c r="E924" t="s">
        <v>8</v>
      </c>
      <c r="F924" s="22">
        <v>300</v>
      </c>
      <c r="G924" s="22">
        <v>0</v>
      </c>
      <c r="H924" s="22">
        <v>0</v>
      </c>
      <c r="I924" s="22">
        <v>300</v>
      </c>
      <c r="J924">
        <v>0</v>
      </c>
      <c r="K924">
        <v>0</v>
      </c>
      <c r="L924" s="22">
        <v>300</v>
      </c>
      <c r="M924" s="22">
        <v>0</v>
      </c>
      <c r="N924" s="22">
        <v>0</v>
      </c>
      <c r="O924" s="22">
        <v>300</v>
      </c>
      <c r="P924" s="22">
        <v>100</v>
      </c>
      <c r="Q924" s="22">
        <v>200</v>
      </c>
      <c r="R924">
        <v>0</v>
      </c>
      <c r="T924" t="s">
        <v>2972</v>
      </c>
      <c r="U924" t="s">
        <v>3057</v>
      </c>
      <c r="V924" t="s">
        <v>3056</v>
      </c>
    </row>
    <row r="925" spans="1:22">
      <c r="A925">
        <v>924</v>
      </c>
      <c r="B925" t="s">
        <v>2078</v>
      </c>
      <c r="C925" t="s">
        <v>2079</v>
      </c>
      <c r="D925" t="s">
        <v>17</v>
      </c>
      <c r="E925" t="s">
        <v>8</v>
      </c>
      <c r="F925" s="22">
        <v>55</v>
      </c>
      <c r="G925" s="22">
        <v>0</v>
      </c>
      <c r="H925" s="22">
        <v>0</v>
      </c>
      <c r="I925" s="22">
        <v>55</v>
      </c>
      <c r="J925">
        <v>0</v>
      </c>
      <c r="K925">
        <v>0</v>
      </c>
      <c r="L925" s="22">
        <v>55</v>
      </c>
      <c r="M925" s="22">
        <v>0</v>
      </c>
      <c r="N925" s="22">
        <v>0</v>
      </c>
      <c r="O925" s="22">
        <v>55</v>
      </c>
      <c r="P925" s="22">
        <v>25</v>
      </c>
      <c r="Q925" s="22">
        <v>30</v>
      </c>
      <c r="R925">
        <v>0</v>
      </c>
      <c r="T925" t="s">
        <v>2972</v>
      </c>
      <c r="U925" t="s">
        <v>3055</v>
      </c>
      <c r="V925" t="s">
        <v>3056</v>
      </c>
    </row>
    <row r="926" spans="1:22">
      <c r="A926">
        <v>925</v>
      </c>
      <c r="B926" t="s">
        <v>2080</v>
      </c>
      <c r="C926" t="s">
        <v>2081</v>
      </c>
      <c r="D926" t="s">
        <v>17</v>
      </c>
      <c r="E926" t="s">
        <v>8</v>
      </c>
      <c r="F926" s="22">
        <v>205</v>
      </c>
      <c r="G926" s="22">
        <v>0</v>
      </c>
      <c r="H926" s="22">
        <v>0</v>
      </c>
      <c r="I926" s="22">
        <v>205</v>
      </c>
      <c r="J926">
        <v>0</v>
      </c>
      <c r="K926">
        <v>0</v>
      </c>
      <c r="L926" s="22">
        <v>205</v>
      </c>
      <c r="M926" s="22">
        <v>0</v>
      </c>
      <c r="N926" s="22">
        <v>0</v>
      </c>
      <c r="O926" s="22">
        <v>205</v>
      </c>
      <c r="P926" s="22">
        <v>250</v>
      </c>
      <c r="Q926" s="22">
        <v>-45</v>
      </c>
      <c r="R926">
        <v>0</v>
      </c>
      <c r="T926" t="s">
        <v>2991</v>
      </c>
      <c r="U926" t="s">
        <v>3060</v>
      </c>
      <c r="V926" t="s">
        <v>3058</v>
      </c>
    </row>
    <row r="927" spans="1:22">
      <c r="A927">
        <v>926</v>
      </c>
      <c r="B927" t="s">
        <v>2082</v>
      </c>
      <c r="C927" t="s">
        <v>2083</v>
      </c>
      <c r="D927" t="s">
        <v>17</v>
      </c>
      <c r="E927" t="s">
        <v>8</v>
      </c>
      <c r="F927" s="22">
        <v>780</v>
      </c>
      <c r="G927" s="22">
        <v>0</v>
      </c>
      <c r="H927" s="22">
        <v>0</v>
      </c>
      <c r="I927" s="22">
        <v>780</v>
      </c>
      <c r="J927">
        <v>0</v>
      </c>
      <c r="K927">
        <v>0</v>
      </c>
      <c r="L927" s="22">
        <v>780</v>
      </c>
      <c r="M927" s="22">
        <v>0</v>
      </c>
      <c r="N927" s="22">
        <v>0</v>
      </c>
      <c r="O927" s="22">
        <v>780</v>
      </c>
      <c r="P927" s="22">
        <v>400</v>
      </c>
      <c r="Q927" s="22">
        <v>380</v>
      </c>
      <c r="R927">
        <v>0</v>
      </c>
      <c r="T927" t="s">
        <v>2991</v>
      </c>
      <c r="U927" t="s">
        <v>3060</v>
      </c>
      <c r="V927" t="s">
        <v>3058</v>
      </c>
    </row>
    <row r="928" spans="1:22">
      <c r="A928">
        <v>927</v>
      </c>
      <c r="B928" t="s">
        <v>2046</v>
      </c>
      <c r="C928" t="s">
        <v>2047</v>
      </c>
      <c r="D928" t="s">
        <v>17</v>
      </c>
      <c r="E928" t="s">
        <v>8</v>
      </c>
      <c r="F928" s="22">
        <v>0</v>
      </c>
      <c r="G928" s="22">
        <v>0</v>
      </c>
      <c r="H928" s="22">
        <v>0</v>
      </c>
      <c r="I928" s="22">
        <v>0</v>
      </c>
      <c r="J928">
        <v>0</v>
      </c>
      <c r="K928">
        <v>0</v>
      </c>
      <c r="L928" s="22">
        <v>0</v>
      </c>
      <c r="M928" s="22">
        <v>0</v>
      </c>
      <c r="N928" s="22">
        <v>0</v>
      </c>
      <c r="O928" s="22">
        <v>0</v>
      </c>
      <c r="P928" s="22">
        <v>0</v>
      </c>
      <c r="Q928" s="22">
        <v>0</v>
      </c>
      <c r="R928">
        <v>0</v>
      </c>
      <c r="T928" t="s">
        <v>2972</v>
      </c>
      <c r="U928" t="s">
        <v>3057</v>
      </c>
      <c r="V928" t="s">
        <v>3056</v>
      </c>
    </row>
    <row r="929" spans="1:22">
      <c r="A929">
        <v>928</v>
      </c>
      <c r="B929" t="s">
        <v>2086</v>
      </c>
      <c r="C929" t="s">
        <v>2087</v>
      </c>
      <c r="D929" t="s">
        <v>17</v>
      </c>
      <c r="E929" t="s">
        <v>8</v>
      </c>
      <c r="F929" s="22">
        <v>1806</v>
      </c>
      <c r="G929" s="22">
        <v>0</v>
      </c>
      <c r="H929" s="22">
        <v>0</v>
      </c>
      <c r="I929" s="22">
        <v>1806</v>
      </c>
      <c r="J929">
        <v>0</v>
      </c>
      <c r="K929">
        <v>0</v>
      </c>
      <c r="L929" s="22">
        <v>1806</v>
      </c>
      <c r="M929" s="22">
        <v>0</v>
      </c>
      <c r="N929" s="22">
        <v>0</v>
      </c>
      <c r="O929" s="22">
        <v>1806</v>
      </c>
      <c r="P929" s="22">
        <v>500</v>
      </c>
      <c r="Q929" s="22">
        <v>1306</v>
      </c>
      <c r="R929">
        <v>0</v>
      </c>
      <c r="T929" t="s">
        <v>2972</v>
      </c>
      <c r="U929" t="s">
        <v>3060</v>
      </c>
      <c r="V929" t="s">
        <v>3058</v>
      </c>
    </row>
    <row r="930" spans="1:22">
      <c r="A930">
        <v>929</v>
      </c>
      <c r="B930" t="s">
        <v>2088</v>
      </c>
      <c r="C930" t="s">
        <v>2089</v>
      </c>
      <c r="D930" t="s">
        <v>17</v>
      </c>
      <c r="E930" t="s">
        <v>8</v>
      </c>
      <c r="F930" s="22">
        <v>859</v>
      </c>
      <c r="G930" s="22">
        <v>0</v>
      </c>
      <c r="H930" s="22">
        <v>0</v>
      </c>
      <c r="I930" s="22">
        <v>859</v>
      </c>
      <c r="J930">
        <v>0</v>
      </c>
      <c r="K930">
        <v>0</v>
      </c>
      <c r="L930" s="22">
        <v>859</v>
      </c>
      <c r="M930" s="22">
        <v>0</v>
      </c>
      <c r="N930" s="22">
        <v>0</v>
      </c>
      <c r="O930" s="22">
        <v>859</v>
      </c>
      <c r="P930" s="22">
        <v>500</v>
      </c>
      <c r="Q930" s="22">
        <v>359</v>
      </c>
      <c r="R930">
        <v>0</v>
      </c>
      <c r="T930" t="s">
        <v>2972</v>
      </c>
      <c r="U930" t="s">
        <v>3060</v>
      </c>
      <c r="V930" t="s">
        <v>3058</v>
      </c>
    </row>
    <row r="931" spans="1:22">
      <c r="A931">
        <v>930</v>
      </c>
      <c r="B931" t="s">
        <v>2048</v>
      </c>
      <c r="C931" t="s">
        <v>2049</v>
      </c>
      <c r="D931" t="s">
        <v>17</v>
      </c>
      <c r="E931" t="s">
        <v>8</v>
      </c>
      <c r="F931" s="22">
        <v>0</v>
      </c>
      <c r="G931" s="22">
        <v>0</v>
      </c>
      <c r="H931" s="22">
        <v>0</v>
      </c>
      <c r="I931" s="22">
        <v>0</v>
      </c>
      <c r="J931">
        <v>0</v>
      </c>
      <c r="K931">
        <v>0</v>
      </c>
      <c r="L931" s="22">
        <v>0</v>
      </c>
      <c r="M931" s="22">
        <v>0</v>
      </c>
      <c r="N931" s="22">
        <v>0</v>
      </c>
      <c r="O931" s="22">
        <v>0</v>
      </c>
      <c r="P931" s="22">
        <v>0</v>
      </c>
      <c r="Q931" s="22">
        <v>0</v>
      </c>
      <c r="R931">
        <v>0</v>
      </c>
      <c r="T931" t="s">
        <v>2972</v>
      </c>
      <c r="U931" t="s">
        <v>3057</v>
      </c>
      <c r="V931" t="s">
        <v>3056</v>
      </c>
    </row>
    <row r="932" spans="1:22">
      <c r="A932">
        <v>931</v>
      </c>
      <c r="B932" t="s">
        <v>2050</v>
      </c>
      <c r="C932" t="s">
        <v>2051</v>
      </c>
      <c r="D932" t="s">
        <v>17</v>
      </c>
      <c r="E932" t="s">
        <v>8</v>
      </c>
      <c r="F932" s="22">
        <v>19</v>
      </c>
      <c r="G932" s="22">
        <v>0</v>
      </c>
      <c r="H932" s="22">
        <v>0</v>
      </c>
      <c r="I932" s="22">
        <v>19</v>
      </c>
      <c r="J932">
        <v>0</v>
      </c>
      <c r="K932">
        <v>0</v>
      </c>
      <c r="L932" s="22">
        <v>19</v>
      </c>
      <c r="M932" s="22">
        <v>0</v>
      </c>
      <c r="N932" s="22">
        <v>0</v>
      </c>
      <c r="O932" s="22">
        <v>19</v>
      </c>
      <c r="P932" s="22">
        <v>0</v>
      </c>
      <c r="Q932" s="22">
        <v>19</v>
      </c>
      <c r="R932">
        <v>0</v>
      </c>
      <c r="T932" t="s">
        <v>2972</v>
      </c>
      <c r="U932" t="s">
        <v>3057</v>
      </c>
      <c r="V932" t="s">
        <v>3056</v>
      </c>
    </row>
    <row r="933" spans="1:22">
      <c r="A933">
        <v>932</v>
      </c>
      <c r="B933" t="s">
        <v>2098</v>
      </c>
      <c r="C933" t="s">
        <v>2099</v>
      </c>
      <c r="D933" t="s">
        <v>17</v>
      </c>
      <c r="E933" t="s">
        <v>8</v>
      </c>
      <c r="F933" s="22">
        <v>194</v>
      </c>
      <c r="G933" s="22">
        <v>0</v>
      </c>
      <c r="H933" s="22">
        <v>0</v>
      </c>
      <c r="I933" s="22">
        <v>194</v>
      </c>
      <c r="J933">
        <v>0</v>
      </c>
      <c r="K933">
        <v>0</v>
      </c>
      <c r="L933" s="22">
        <v>194</v>
      </c>
      <c r="M933" s="22">
        <v>0</v>
      </c>
      <c r="N933" s="22">
        <v>0</v>
      </c>
      <c r="O933" s="22">
        <v>194</v>
      </c>
      <c r="P933" s="22">
        <v>150</v>
      </c>
      <c r="Q933" s="22">
        <v>44</v>
      </c>
      <c r="R933">
        <v>0</v>
      </c>
      <c r="T933" t="s">
        <v>3006</v>
      </c>
      <c r="U933" t="s">
        <v>3060</v>
      </c>
      <c r="V933" t="s">
        <v>3064</v>
      </c>
    </row>
    <row r="934" spans="1:22">
      <c r="A934">
        <v>933</v>
      </c>
      <c r="B934" t="s">
        <v>2052</v>
      </c>
      <c r="C934" t="s">
        <v>2053</v>
      </c>
      <c r="D934" t="s">
        <v>17</v>
      </c>
      <c r="E934" t="s">
        <v>8</v>
      </c>
      <c r="F934" s="22">
        <v>350</v>
      </c>
      <c r="G934" s="22">
        <v>0</v>
      </c>
      <c r="H934" s="22">
        <v>0</v>
      </c>
      <c r="I934" s="22">
        <v>350</v>
      </c>
      <c r="J934">
        <v>0</v>
      </c>
      <c r="K934">
        <v>0</v>
      </c>
      <c r="L934" s="22">
        <v>350</v>
      </c>
      <c r="M934" s="22">
        <v>0</v>
      </c>
      <c r="N934" s="22">
        <v>0</v>
      </c>
      <c r="O934" s="22">
        <v>350</v>
      </c>
      <c r="P934" s="22">
        <v>100</v>
      </c>
      <c r="Q934" s="22">
        <v>250</v>
      </c>
      <c r="R934">
        <v>0</v>
      </c>
      <c r="T934" t="s">
        <v>2972</v>
      </c>
      <c r="U934" t="s">
        <v>3057</v>
      </c>
      <c r="V934" t="s">
        <v>3056</v>
      </c>
    </row>
    <row r="935" spans="1:22">
      <c r="A935">
        <v>934</v>
      </c>
      <c r="B935" t="s">
        <v>2054</v>
      </c>
      <c r="C935" t="s">
        <v>2055</v>
      </c>
      <c r="D935" t="s">
        <v>17</v>
      </c>
      <c r="E935" t="s">
        <v>8</v>
      </c>
      <c r="F935" s="22">
        <v>0</v>
      </c>
      <c r="G935" s="22">
        <v>0</v>
      </c>
      <c r="H935" s="22">
        <v>0</v>
      </c>
      <c r="I935" s="22">
        <v>0</v>
      </c>
      <c r="J935">
        <v>0</v>
      </c>
      <c r="K935">
        <v>0</v>
      </c>
      <c r="L935" s="22">
        <v>0</v>
      </c>
      <c r="M935" s="22">
        <v>0</v>
      </c>
      <c r="N935" s="22">
        <v>0</v>
      </c>
      <c r="O935" s="22">
        <v>0</v>
      </c>
      <c r="P935" s="22">
        <v>0</v>
      </c>
      <c r="Q935" s="22">
        <v>0</v>
      </c>
      <c r="R935">
        <v>0</v>
      </c>
      <c r="T935" t="s">
        <v>2972</v>
      </c>
      <c r="U935" t="s">
        <v>3057</v>
      </c>
      <c r="V935" t="s">
        <v>3056</v>
      </c>
    </row>
    <row r="936" spans="1:22">
      <c r="A936">
        <v>935</v>
      </c>
      <c r="B936" t="s">
        <v>2056</v>
      </c>
      <c r="C936" t="s">
        <v>2057</v>
      </c>
      <c r="D936" t="s">
        <v>17</v>
      </c>
      <c r="E936" t="s">
        <v>8</v>
      </c>
      <c r="F936" s="22">
        <v>0</v>
      </c>
      <c r="G936" s="22">
        <v>0</v>
      </c>
      <c r="H936" s="22">
        <v>0</v>
      </c>
      <c r="I936" s="22">
        <v>0</v>
      </c>
      <c r="J936">
        <v>0</v>
      </c>
      <c r="K936">
        <v>0</v>
      </c>
      <c r="L936" s="22">
        <v>0</v>
      </c>
      <c r="M936" s="22">
        <v>0</v>
      </c>
      <c r="N936" s="22">
        <v>0</v>
      </c>
      <c r="O936" s="22">
        <v>0</v>
      </c>
      <c r="P936" s="22">
        <v>0</v>
      </c>
      <c r="Q936" s="22">
        <v>0</v>
      </c>
      <c r="R936">
        <v>0</v>
      </c>
      <c r="T936" t="s">
        <v>2972</v>
      </c>
      <c r="U936" t="s">
        <v>3057</v>
      </c>
      <c r="V936" t="s">
        <v>3056</v>
      </c>
    </row>
    <row r="937" spans="1:22">
      <c r="A937">
        <v>936</v>
      </c>
      <c r="B937" t="s">
        <v>2516</v>
      </c>
      <c r="C937" t="s">
        <v>2517</v>
      </c>
      <c r="D937" t="s">
        <v>17</v>
      </c>
      <c r="E937" t="s">
        <v>8</v>
      </c>
      <c r="F937" s="22">
        <v>119</v>
      </c>
      <c r="G937" s="22">
        <v>0</v>
      </c>
      <c r="H937" s="22">
        <v>0</v>
      </c>
      <c r="I937" s="22">
        <v>119</v>
      </c>
      <c r="J937">
        <v>0</v>
      </c>
      <c r="K937">
        <v>0</v>
      </c>
      <c r="L937" s="22">
        <v>119</v>
      </c>
      <c r="M937" s="22">
        <v>0</v>
      </c>
      <c r="N937" s="22">
        <v>0</v>
      </c>
      <c r="O937" s="22">
        <v>119</v>
      </c>
      <c r="P937" s="22">
        <v>100</v>
      </c>
      <c r="Q937" s="22">
        <v>19</v>
      </c>
      <c r="R937">
        <v>0</v>
      </c>
      <c r="T937" t="s">
        <v>2982</v>
      </c>
      <c r="U937" t="s">
        <v>3057</v>
      </c>
      <c r="V937" t="s">
        <v>3058</v>
      </c>
    </row>
    <row r="938" spans="1:22">
      <c r="A938">
        <v>937</v>
      </c>
      <c r="B938" t="s">
        <v>2110</v>
      </c>
      <c r="C938" t="s">
        <v>2111</v>
      </c>
      <c r="D938" t="s">
        <v>17</v>
      </c>
      <c r="E938" t="s">
        <v>8</v>
      </c>
      <c r="F938" s="22">
        <v>75</v>
      </c>
      <c r="G938" s="22">
        <v>0</v>
      </c>
      <c r="H938" s="22">
        <v>0</v>
      </c>
      <c r="I938" s="22">
        <v>75</v>
      </c>
      <c r="J938">
        <v>0</v>
      </c>
      <c r="K938">
        <v>0</v>
      </c>
      <c r="L938" s="22">
        <v>75</v>
      </c>
      <c r="M938" s="22">
        <v>0</v>
      </c>
      <c r="N938" s="22">
        <v>0</v>
      </c>
      <c r="O938" s="22">
        <v>75</v>
      </c>
      <c r="P938" s="22">
        <v>0</v>
      </c>
      <c r="Q938" s="22">
        <v>75</v>
      </c>
      <c r="R938">
        <v>0</v>
      </c>
      <c r="T938" t="s">
        <v>2972</v>
      </c>
      <c r="U938" t="s">
        <v>3060</v>
      </c>
      <c r="V938" t="s">
        <v>3058</v>
      </c>
    </row>
    <row r="939" spans="1:22">
      <c r="A939">
        <v>938</v>
      </c>
      <c r="B939" t="s">
        <v>2112</v>
      </c>
      <c r="C939" t="s">
        <v>2113</v>
      </c>
      <c r="D939" t="s">
        <v>17</v>
      </c>
      <c r="E939" t="s">
        <v>8</v>
      </c>
      <c r="F939" s="22">
        <v>0</v>
      </c>
      <c r="G939" s="22">
        <v>0</v>
      </c>
      <c r="H939" s="22">
        <v>0</v>
      </c>
      <c r="I939" s="22">
        <v>0</v>
      </c>
      <c r="J939">
        <v>0</v>
      </c>
      <c r="K939">
        <v>0</v>
      </c>
      <c r="L939" s="22">
        <v>0</v>
      </c>
      <c r="M939" s="22">
        <v>0</v>
      </c>
      <c r="N939" s="22">
        <v>0</v>
      </c>
      <c r="O939" s="22">
        <v>0</v>
      </c>
      <c r="P939" s="22">
        <v>0</v>
      </c>
      <c r="Q939" s="22">
        <v>0</v>
      </c>
      <c r="R939">
        <v>0</v>
      </c>
      <c r="T939" t="s">
        <v>2982</v>
      </c>
      <c r="U939" t="s">
        <v>3060</v>
      </c>
      <c r="V939" t="s">
        <v>3058</v>
      </c>
    </row>
    <row r="940" spans="1:22">
      <c r="A940">
        <v>939</v>
      </c>
      <c r="B940" t="s">
        <v>2114</v>
      </c>
      <c r="C940" t="s">
        <v>2115</v>
      </c>
      <c r="D940" t="s">
        <v>17</v>
      </c>
      <c r="E940" t="s">
        <v>8</v>
      </c>
      <c r="F940" s="22">
        <v>2</v>
      </c>
      <c r="G940" s="22">
        <v>0</v>
      </c>
      <c r="H940" s="22">
        <v>0</v>
      </c>
      <c r="I940" s="22">
        <v>2</v>
      </c>
      <c r="J940">
        <v>0</v>
      </c>
      <c r="K940">
        <v>0</v>
      </c>
      <c r="L940" s="22">
        <v>2</v>
      </c>
      <c r="M940" s="22">
        <v>0</v>
      </c>
      <c r="N940" s="22">
        <v>0</v>
      </c>
      <c r="O940" s="22">
        <v>2</v>
      </c>
      <c r="P940" s="22">
        <v>0</v>
      </c>
      <c r="Q940" s="22">
        <v>2</v>
      </c>
      <c r="R940">
        <v>0</v>
      </c>
      <c r="T940" t="s">
        <v>2982</v>
      </c>
      <c r="U940" t="s">
        <v>3060</v>
      </c>
      <c r="V940" t="s">
        <v>3058</v>
      </c>
    </row>
    <row r="941" spans="1:22">
      <c r="A941">
        <v>940</v>
      </c>
      <c r="B941" t="s">
        <v>2064</v>
      </c>
      <c r="C941" t="s">
        <v>2065</v>
      </c>
      <c r="D941" t="s">
        <v>17</v>
      </c>
      <c r="E941" t="s">
        <v>8</v>
      </c>
      <c r="F941" s="22">
        <v>290</v>
      </c>
      <c r="G941" s="22">
        <v>504</v>
      </c>
      <c r="H941" s="22">
        <v>0</v>
      </c>
      <c r="I941" s="22">
        <v>794</v>
      </c>
      <c r="J941">
        <v>0</v>
      </c>
      <c r="K941">
        <v>0</v>
      </c>
      <c r="L941" s="22">
        <v>794</v>
      </c>
      <c r="M941" s="22">
        <v>0</v>
      </c>
      <c r="N941" s="22">
        <v>0</v>
      </c>
      <c r="O941" s="22">
        <v>794</v>
      </c>
      <c r="P941" s="22">
        <v>750</v>
      </c>
      <c r="Q941" s="22">
        <v>44</v>
      </c>
      <c r="R941">
        <v>0</v>
      </c>
      <c r="T941" t="s">
        <v>2972</v>
      </c>
      <c r="U941" t="s">
        <v>3057</v>
      </c>
      <c r="V941" t="s">
        <v>3058</v>
      </c>
    </row>
    <row r="942" spans="1:22">
      <c r="A942">
        <v>941</v>
      </c>
      <c r="B942" t="s">
        <v>2118</v>
      </c>
      <c r="C942" t="s">
        <v>2119</v>
      </c>
      <c r="D942" t="s">
        <v>20</v>
      </c>
      <c r="E942" t="s">
        <v>8</v>
      </c>
      <c r="F942" s="22">
        <v>99.1</v>
      </c>
      <c r="G942" s="22">
        <v>0</v>
      </c>
      <c r="H942" s="22">
        <v>0</v>
      </c>
      <c r="I942" s="22">
        <v>99.1</v>
      </c>
      <c r="J942">
        <v>0</v>
      </c>
      <c r="K942">
        <v>0</v>
      </c>
      <c r="L942" s="22">
        <v>99.1</v>
      </c>
      <c r="M942" s="22">
        <v>0</v>
      </c>
      <c r="N942" s="22">
        <v>0</v>
      </c>
      <c r="O942" s="22">
        <v>99.1</v>
      </c>
      <c r="P942" s="22">
        <v>0</v>
      </c>
      <c r="Q942" s="22">
        <v>99.1</v>
      </c>
      <c r="R942">
        <v>0</v>
      </c>
      <c r="T942" t="s">
        <v>3034</v>
      </c>
      <c r="U942" t="s">
        <v>3059</v>
      </c>
      <c r="V942" t="s">
        <v>3056</v>
      </c>
    </row>
    <row r="943" spans="1:22">
      <c r="A943">
        <v>942</v>
      </c>
      <c r="B943" t="s">
        <v>2120</v>
      </c>
      <c r="C943" t="s">
        <v>2121</v>
      </c>
      <c r="D943" t="s">
        <v>20</v>
      </c>
      <c r="E943" t="s">
        <v>8</v>
      </c>
      <c r="F943" s="22">
        <v>11709.96</v>
      </c>
      <c r="G943" s="22">
        <v>0</v>
      </c>
      <c r="H943" s="22">
        <v>3679.82</v>
      </c>
      <c r="I943" s="22">
        <v>8030.14</v>
      </c>
      <c r="J943">
        <v>0</v>
      </c>
      <c r="K943">
        <v>0</v>
      </c>
      <c r="L943" s="22">
        <v>8030.14</v>
      </c>
      <c r="M943" s="22">
        <v>0</v>
      </c>
      <c r="N943" s="22">
        <v>0</v>
      </c>
      <c r="O943" s="22">
        <v>8030.14</v>
      </c>
      <c r="P943" s="22">
        <v>5000</v>
      </c>
      <c r="Q943" s="22">
        <v>3030.1400000000003</v>
      </c>
      <c r="R943">
        <v>0</v>
      </c>
      <c r="T943" t="s">
        <v>3034</v>
      </c>
      <c r="U943" t="s">
        <v>3059</v>
      </c>
      <c r="V943" t="s">
        <v>3056</v>
      </c>
    </row>
    <row r="944" spans="1:22">
      <c r="A944">
        <v>943</v>
      </c>
      <c r="B944" t="s">
        <v>2122</v>
      </c>
      <c r="C944" t="s">
        <v>2123</v>
      </c>
      <c r="D944" t="s">
        <v>20</v>
      </c>
      <c r="E944" t="s">
        <v>8</v>
      </c>
      <c r="F944" s="22">
        <v>0</v>
      </c>
      <c r="G944" s="22">
        <v>0</v>
      </c>
      <c r="H944" s="22">
        <v>0</v>
      </c>
      <c r="I944" s="22">
        <v>0</v>
      </c>
      <c r="J944">
        <v>0</v>
      </c>
      <c r="K944">
        <v>0</v>
      </c>
      <c r="L944" s="22">
        <v>0</v>
      </c>
      <c r="M944" s="22">
        <v>0</v>
      </c>
      <c r="N944" s="22">
        <v>0</v>
      </c>
      <c r="O944" s="22">
        <v>0</v>
      </c>
      <c r="P944" s="22">
        <v>0</v>
      </c>
      <c r="Q944" s="22">
        <v>0</v>
      </c>
      <c r="R944">
        <v>0</v>
      </c>
      <c r="T944" t="s">
        <v>3034</v>
      </c>
      <c r="U944" t="s">
        <v>3059</v>
      </c>
      <c r="V944" t="s">
        <v>3056</v>
      </c>
    </row>
    <row r="945" spans="1:22">
      <c r="A945">
        <v>944</v>
      </c>
      <c r="B945" t="s">
        <v>2124</v>
      </c>
      <c r="C945" t="s">
        <v>2125</v>
      </c>
      <c r="D945" t="s">
        <v>17</v>
      </c>
      <c r="E945" t="s">
        <v>8</v>
      </c>
      <c r="F945" s="22">
        <v>0</v>
      </c>
      <c r="G945" s="22">
        <v>0</v>
      </c>
      <c r="H945" s="22">
        <v>0</v>
      </c>
      <c r="I945" s="22">
        <v>0</v>
      </c>
      <c r="J945">
        <v>0</v>
      </c>
      <c r="K945">
        <v>0</v>
      </c>
      <c r="L945" s="22">
        <v>0</v>
      </c>
      <c r="M945" s="22">
        <v>0</v>
      </c>
      <c r="N945" s="22">
        <v>0</v>
      </c>
      <c r="O945" s="22">
        <v>0</v>
      </c>
      <c r="P945" s="22">
        <v>0</v>
      </c>
      <c r="Q945" s="22">
        <v>0</v>
      </c>
      <c r="R945">
        <v>0</v>
      </c>
      <c r="T945" t="s">
        <v>3002</v>
      </c>
      <c r="U945" t="s">
        <v>3055</v>
      </c>
      <c r="V945" t="s">
        <v>3056</v>
      </c>
    </row>
    <row r="946" spans="1:22">
      <c r="A946">
        <v>945</v>
      </c>
      <c r="B946" t="s">
        <v>2126</v>
      </c>
      <c r="C946" t="s">
        <v>2127</v>
      </c>
      <c r="D946" t="s">
        <v>17</v>
      </c>
      <c r="E946" t="s">
        <v>8</v>
      </c>
      <c r="F946" s="22">
        <v>0</v>
      </c>
      <c r="G946" s="22">
        <v>0</v>
      </c>
      <c r="H946" s="22">
        <v>0</v>
      </c>
      <c r="I946" s="22">
        <v>0</v>
      </c>
      <c r="J946">
        <v>0</v>
      </c>
      <c r="K946">
        <v>0</v>
      </c>
      <c r="L946" s="22">
        <v>0</v>
      </c>
      <c r="M946" s="22">
        <v>0</v>
      </c>
      <c r="N946" s="22">
        <v>0</v>
      </c>
      <c r="O946" s="22">
        <v>0</v>
      </c>
      <c r="P946" s="22">
        <v>0</v>
      </c>
      <c r="Q946" s="22">
        <v>0</v>
      </c>
      <c r="R946">
        <v>0</v>
      </c>
      <c r="T946" t="s">
        <v>2982</v>
      </c>
      <c r="U946" t="s">
        <v>3060</v>
      </c>
      <c r="V946" t="s">
        <v>3058</v>
      </c>
    </row>
    <row r="947" spans="1:22">
      <c r="A947">
        <v>946</v>
      </c>
      <c r="B947" t="s">
        <v>2072</v>
      </c>
      <c r="C947" t="s">
        <v>2073</v>
      </c>
      <c r="D947" t="s">
        <v>7</v>
      </c>
      <c r="E947" t="s">
        <v>8</v>
      </c>
      <c r="F947" s="22">
        <v>7600</v>
      </c>
      <c r="G947" s="22">
        <v>0</v>
      </c>
      <c r="H947" s="22">
        <v>400</v>
      </c>
      <c r="I947" s="22">
        <v>7200</v>
      </c>
      <c r="J947">
        <v>0</v>
      </c>
      <c r="K947">
        <v>0</v>
      </c>
      <c r="L947" s="22">
        <v>7200</v>
      </c>
      <c r="M947" s="22">
        <v>0</v>
      </c>
      <c r="N947" s="22">
        <v>0</v>
      </c>
      <c r="O947" s="22">
        <v>7200</v>
      </c>
      <c r="P947" s="22">
        <v>1500</v>
      </c>
      <c r="Q947" s="22">
        <v>5700</v>
      </c>
      <c r="R947">
        <v>0</v>
      </c>
      <c r="T947" t="s">
        <v>2972</v>
      </c>
      <c r="U947" t="s">
        <v>3057</v>
      </c>
      <c r="V947" t="s">
        <v>3056</v>
      </c>
    </row>
    <row r="948" spans="1:22">
      <c r="A948">
        <v>947</v>
      </c>
      <c r="B948" t="s">
        <v>2074</v>
      </c>
      <c r="C948" t="s">
        <v>2075</v>
      </c>
      <c r="D948" t="s">
        <v>7</v>
      </c>
      <c r="E948" t="s">
        <v>8</v>
      </c>
      <c r="F948" s="22">
        <v>3100</v>
      </c>
      <c r="G948" s="22">
        <v>0</v>
      </c>
      <c r="H948" s="22">
        <v>400</v>
      </c>
      <c r="I948" s="22">
        <v>2700</v>
      </c>
      <c r="J948">
        <v>0</v>
      </c>
      <c r="K948">
        <v>0</v>
      </c>
      <c r="L948" s="22">
        <v>2700</v>
      </c>
      <c r="M948" s="22">
        <v>0</v>
      </c>
      <c r="N948" s="22">
        <v>0</v>
      </c>
      <c r="O948" s="22">
        <v>2700</v>
      </c>
      <c r="P948" s="22">
        <v>1500</v>
      </c>
      <c r="Q948" s="22">
        <v>1200</v>
      </c>
      <c r="R948">
        <v>0</v>
      </c>
      <c r="T948" t="s">
        <v>2972</v>
      </c>
      <c r="U948" t="s">
        <v>3057</v>
      </c>
      <c r="V948" t="s">
        <v>3056</v>
      </c>
    </row>
    <row r="949" spans="1:22">
      <c r="A949">
        <v>948</v>
      </c>
      <c r="B949" t="s">
        <v>2076</v>
      </c>
      <c r="C949" t="s">
        <v>2077</v>
      </c>
      <c r="D949" t="s">
        <v>7</v>
      </c>
      <c r="E949" t="s">
        <v>8</v>
      </c>
      <c r="F949" s="22">
        <v>1800</v>
      </c>
      <c r="G949" s="22">
        <v>1600</v>
      </c>
      <c r="H949" s="22">
        <v>400</v>
      </c>
      <c r="I949" s="22">
        <v>3000</v>
      </c>
      <c r="J949">
        <v>0</v>
      </c>
      <c r="K949">
        <v>0</v>
      </c>
      <c r="L949" s="22">
        <v>3000</v>
      </c>
      <c r="M949" s="22">
        <v>0</v>
      </c>
      <c r="N949" s="22">
        <v>0</v>
      </c>
      <c r="O949" s="22">
        <v>3000</v>
      </c>
      <c r="P949" s="22">
        <v>1500</v>
      </c>
      <c r="Q949" s="22">
        <v>1500</v>
      </c>
      <c r="R949">
        <v>1600</v>
      </c>
      <c r="T949" t="s">
        <v>2972</v>
      </c>
      <c r="U949" t="s">
        <v>3057</v>
      </c>
      <c r="V949" t="s">
        <v>3056</v>
      </c>
    </row>
    <row r="950" spans="1:22">
      <c r="A950">
        <v>949</v>
      </c>
      <c r="B950" t="s">
        <v>2084</v>
      </c>
      <c r="C950" t="s">
        <v>2085</v>
      </c>
      <c r="D950" t="s">
        <v>17</v>
      </c>
      <c r="E950" t="s">
        <v>8</v>
      </c>
      <c r="F950" s="22">
        <v>0</v>
      </c>
      <c r="G950" s="22">
        <v>0</v>
      </c>
      <c r="H950" s="22">
        <v>0</v>
      </c>
      <c r="I950" s="22">
        <v>0</v>
      </c>
      <c r="J950">
        <v>0</v>
      </c>
      <c r="K950">
        <v>0</v>
      </c>
      <c r="L950" s="22">
        <v>0</v>
      </c>
      <c r="M950" s="22">
        <v>0</v>
      </c>
      <c r="N950" s="22">
        <v>0</v>
      </c>
      <c r="O950" s="22">
        <v>0</v>
      </c>
      <c r="P950" s="22">
        <v>0</v>
      </c>
      <c r="Q950" s="22">
        <v>0</v>
      </c>
      <c r="R950">
        <v>0</v>
      </c>
      <c r="T950" t="s">
        <v>2972</v>
      </c>
      <c r="U950" t="s">
        <v>3057</v>
      </c>
      <c r="V950" t="s">
        <v>3056</v>
      </c>
    </row>
    <row r="951" spans="1:22">
      <c r="A951">
        <v>950</v>
      </c>
      <c r="B951" t="s">
        <v>2090</v>
      </c>
      <c r="C951" t="s">
        <v>2091</v>
      </c>
      <c r="D951" t="s">
        <v>17</v>
      </c>
      <c r="E951" t="s">
        <v>8</v>
      </c>
      <c r="F951" s="22">
        <v>1140</v>
      </c>
      <c r="G951" s="22">
        <v>0</v>
      </c>
      <c r="H951" s="22">
        <v>0</v>
      </c>
      <c r="I951" s="22">
        <v>1140</v>
      </c>
      <c r="J951">
        <v>0</v>
      </c>
      <c r="K951">
        <v>0</v>
      </c>
      <c r="L951" s="22">
        <v>1140</v>
      </c>
      <c r="M951" s="22">
        <v>0</v>
      </c>
      <c r="N951" s="22">
        <v>0</v>
      </c>
      <c r="O951" s="22">
        <v>1140</v>
      </c>
      <c r="P951" s="22">
        <v>350</v>
      </c>
      <c r="Q951" s="22">
        <v>790</v>
      </c>
      <c r="R951">
        <v>0</v>
      </c>
      <c r="T951" t="s">
        <v>2963</v>
      </c>
      <c r="U951" t="s">
        <v>3057</v>
      </c>
      <c r="V951" t="s">
        <v>3056</v>
      </c>
    </row>
    <row r="952" spans="1:22">
      <c r="A952">
        <v>951</v>
      </c>
      <c r="B952" t="s">
        <v>2139</v>
      </c>
      <c r="C952" t="s">
        <v>2140</v>
      </c>
      <c r="D952" t="s">
        <v>7</v>
      </c>
      <c r="E952" t="s">
        <v>8</v>
      </c>
      <c r="F952" s="22">
        <v>965</v>
      </c>
      <c r="G952" s="22">
        <v>0</v>
      </c>
      <c r="H952" s="22">
        <v>0</v>
      </c>
      <c r="I952" s="22">
        <v>965</v>
      </c>
      <c r="J952">
        <v>0</v>
      </c>
      <c r="K952">
        <v>0</v>
      </c>
      <c r="L952" s="22">
        <v>965</v>
      </c>
      <c r="M952" s="22">
        <v>0</v>
      </c>
      <c r="N952" s="22">
        <v>0</v>
      </c>
      <c r="O952" s="22">
        <v>965</v>
      </c>
      <c r="P952" s="22">
        <v>100</v>
      </c>
      <c r="Q952" s="22">
        <v>865</v>
      </c>
      <c r="R952">
        <v>0</v>
      </c>
      <c r="T952" t="s">
        <v>2965</v>
      </c>
      <c r="U952" t="s">
        <v>3055</v>
      </c>
      <c r="V952" t="s">
        <v>3056</v>
      </c>
    </row>
    <row r="953" spans="1:22">
      <c r="A953">
        <v>952</v>
      </c>
      <c r="B953" t="s">
        <v>2143</v>
      </c>
      <c r="C953" t="s">
        <v>2144</v>
      </c>
      <c r="D953" t="s">
        <v>7</v>
      </c>
      <c r="E953" t="s">
        <v>8</v>
      </c>
      <c r="F953" s="22">
        <v>0</v>
      </c>
      <c r="G953" s="22">
        <v>0</v>
      </c>
      <c r="H953" s="22">
        <v>0</v>
      </c>
      <c r="I953" s="22">
        <v>0</v>
      </c>
      <c r="J953">
        <v>0</v>
      </c>
      <c r="K953">
        <v>0</v>
      </c>
      <c r="L953" s="22">
        <v>0</v>
      </c>
      <c r="M953" s="22">
        <v>0</v>
      </c>
      <c r="N953" s="22">
        <v>0</v>
      </c>
      <c r="O953" s="22">
        <v>0</v>
      </c>
      <c r="P953" s="22">
        <v>0</v>
      </c>
      <c r="Q953" s="22">
        <v>0</v>
      </c>
      <c r="R953">
        <v>0</v>
      </c>
      <c r="T953" t="s">
        <v>2965</v>
      </c>
      <c r="U953" t="s">
        <v>3060</v>
      </c>
      <c r="V953" t="s">
        <v>3058</v>
      </c>
    </row>
    <row r="954" spans="1:22">
      <c r="A954">
        <v>953</v>
      </c>
      <c r="B954" t="s">
        <v>2145</v>
      </c>
      <c r="C954" t="s">
        <v>2146</v>
      </c>
      <c r="D954" t="s">
        <v>17</v>
      </c>
      <c r="E954" t="s">
        <v>8</v>
      </c>
      <c r="F954" s="22">
        <v>0</v>
      </c>
      <c r="G954" s="22">
        <v>0</v>
      </c>
      <c r="H954" s="22">
        <v>0</v>
      </c>
      <c r="I954" s="22">
        <v>0</v>
      </c>
      <c r="J954">
        <v>0</v>
      </c>
      <c r="K954">
        <v>0</v>
      </c>
      <c r="L954" s="22">
        <v>0</v>
      </c>
      <c r="M954" s="22">
        <v>0</v>
      </c>
      <c r="N954" s="22">
        <v>0</v>
      </c>
      <c r="O954" s="22">
        <v>0</v>
      </c>
      <c r="P954" s="22">
        <v>0</v>
      </c>
      <c r="Q954" s="22">
        <v>0</v>
      </c>
      <c r="R954">
        <v>0</v>
      </c>
      <c r="T954" t="s">
        <v>2982</v>
      </c>
      <c r="U954" t="s">
        <v>3060</v>
      </c>
      <c r="V954" t="s">
        <v>3058</v>
      </c>
    </row>
    <row r="955" spans="1:22">
      <c r="A955">
        <v>954</v>
      </c>
      <c r="B955" t="s">
        <v>2147</v>
      </c>
      <c r="C955" t="s">
        <v>2148</v>
      </c>
      <c r="D955" t="s">
        <v>20</v>
      </c>
      <c r="E955" t="s">
        <v>8</v>
      </c>
      <c r="F955" s="22">
        <v>0</v>
      </c>
      <c r="G955" s="22">
        <v>0</v>
      </c>
      <c r="H955" s="22">
        <v>0</v>
      </c>
      <c r="I955" s="22">
        <v>0</v>
      </c>
      <c r="J955">
        <v>0</v>
      </c>
      <c r="K955">
        <v>0</v>
      </c>
      <c r="L955" s="22">
        <v>0</v>
      </c>
      <c r="M955" s="22">
        <v>0</v>
      </c>
      <c r="N955" s="22">
        <v>0</v>
      </c>
      <c r="O955" s="22">
        <v>0</v>
      </c>
      <c r="P955" s="22">
        <v>0</v>
      </c>
      <c r="Q955" s="22">
        <v>0</v>
      </c>
      <c r="R955">
        <v>0</v>
      </c>
      <c r="T955" t="s">
        <v>3000</v>
      </c>
      <c r="U955" t="s">
        <v>3059</v>
      </c>
      <c r="V955" t="s">
        <v>3056</v>
      </c>
    </row>
    <row r="956" spans="1:22">
      <c r="A956">
        <v>955</v>
      </c>
      <c r="B956" t="s">
        <v>2149</v>
      </c>
      <c r="C956" t="s">
        <v>2150</v>
      </c>
      <c r="D956" t="s">
        <v>20</v>
      </c>
      <c r="E956" t="s">
        <v>8</v>
      </c>
      <c r="F956" s="22">
        <v>0</v>
      </c>
      <c r="G956" s="22">
        <v>0</v>
      </c>
      <c r="H956" s="22">
        <v>0</v>
      </c>
      <c r="I956" s="22">
        <v>0</v>
      </c>
      <c r="J956">
        <v>0</v>
      </c>
      <c r="K956">
        <v>0</v>
      </c>
      <c r="L956" s="22">
        <v>0</v>
      </c>
      <c r="M956" s="22">
        <v>0</v>
      </c>
      <c r="N956" s="22">
        <v>0</v>
      </c>
      <c r="O956" s="22">
        <v>0</v>
      </c>
      <c r="P956" s="22">
        <v>0</v>
      </c>
      <c r="Q956" s="22">
        <v>0</v>
      </c>
      <c r="R956">
        <v>0</v>
      </c>
      <c r="T956" t="s">
        <v>3000</v>
      </c>
      <c r="U956" t="s">
        <v>3059</v>
      </c>
      <c r="V956" t="s">
        <v>3056</v>
      </c>
    </row>
    <row r="957" spans="1:22">
      <c r="A957">
        <v>956</v>
      </c>
      <c r="B957" t="s">
        <v>2151</v>
      </c>
      <c r="C957" t="s">
        <v>2152</v>
      </c>
      <c r="D957" t="s">
        <v>20</v>
      </c>
      <c r="E957" t="s">
        <v>8</v>
      </c>
      <c r="F957" s="22">
        <v>0</v>
      </c>
      <c r="G957" s="22">
        <v>0</v>
      </c>
      <c r="H957" s="22">
        <v>0</v>
      </c>
      <c r="I957" s="22">
        <v>0</v>
      </c>
      <c r="J957">
        <v>0</v>
      </c>
      <c r="K957">
        <v>0</v>
      </c>
      <c r="L957" s="22">
        <v>0</v>
      </c>
      <c r="M957" s="22">
        <v>0</v>
      </c>
      <c r="N957" s="22">
        <v>0</v>
      </c>
      <c r="O957" s="22">
        <v>0</v>
      </c>
      <c r="P957" s="22">
        <v>0</v>
      </c>
      <c r="Q957" s="22">
        <v>0</v>
      </c>
      <c r="R957">
        <v>0</v>
      </c>
      <c r="T957" t="s">
        <v>3000</v>
      </c>
      <c r="U957" t="s">
        <v>3059</v>
      </c>
      <c r="V957" t="s">
        <v>3056</v>
      </c>
    </row>
    <row r="958" spans="1:22">
      <c r="A958">
        <v>957</v>
      </c>
      <c r="B958" t="s">
        <v>2153</v>
      </c>
      <c r="C958" t="s">
        <v>2154</v>
      </c>
      <c r="D958" t="s">
        <v>20</v>
      </c>
      <c r="E958" t="s">
        <v>8</v>
      </c>
      <c r="F958" s="22">
        <v>0</v>
      </c>
      <c r="G958" s="22">
        <v>0</v>
      </c>
      <c r="H958" s="22">
        <v>0</v>
      </c>
      <c r="I958" s="22">
        <v>0</v>
      </c>
      <c r="J958">
        <v>0</v>
      </c>
      <c r="K958">
        <v>0</v>
      </c>
      <c r="L958" s="22">
        <v>0</v>
      </c>
      <c r="M958" s="22">
        <v>0</v>
      </c>
      <c r="N958" s="22">
        <v>0</v>
      </c>
      <c r="O958" s="22">
        <v>0</v>
      </c>
      <c r="P958" s="22">
        <v>0</v>
      </c>
      <c r="Q958" s="22">
        <v>0</v>
      </c>
      <c r="R958">
        <v>0</v>
      </c>
      <c r="T958" t="s">
        <v>3000</v>
      </c>
      <c r="U958" t="s">
        <v>3059</v>
      </c>
      <c r="V958" t="s">
        <v>3056</v>
      </c>
    </row>
    <row r="959" spans="1:22">
      <c r="A959">
        <v>958</v>
      </c>
      <c r="B959" t="s">
        <v>2092</v>
      </c>
      <c r="C959" t="s">
        <v>2093</v>
      </c>
      <c r="D959" t="s">
        <v>17</v>
      </c>
      <c r="E959" t="s">
        <v>8</v>
      </c>
      <c r="F959" s="22">
        <v>0</v>
      </c>
      <c r="G959" s="22">
        <v>0</v>
      </c>
      <c r="H959" s="22">
        <v>0</v>
      </c>
      <c r="I959" s="22">
        <v>0</v>
      </c>
      <c r="J959">
        <v>0</v>
      </c>
      <c r="K959">
        <v>0</v>
      </c>
      <c r="L959" s="22">
        <v>0</v>
      </c>
      <c r="M959" s="22">
        <v>0</v>
      </c>
      <c r="N959" s="22">
        <v>0</v>
      </c>
      <c r="O959" s="22">
        <v>0</v>
      </c>
      <c r="P959" s="22">
        <v>0</v>
      </c>
      <c r="Q959" s="22">
        <v>0</v>
      </c>
      <c r="R959">
        <v>0</v>
      </c>
      <c r="T959" t="s">
        <v>2972</v>
      </c>
      <c r="U959" t="s">
        <v>3057</v>
      </c>
      <c r="V959" t="s">
        <v>3056</v>
      </c>
    </row>
    <row r="960" spans="1:22">
      <c r="A960">
        <v>959</v>
      </c>
      <c r="B960" t="s">
        <v>2100</v>
      </c>
      <c r="C960" t="s">
        <v>2101</v>
      </c>
      <c r="D960" t="s">
        <v>17</v>
      </c>
      <c r="E960" t="s">
        <v>8</v>
      </c>
      <c r="F960" s="22">
        <v>233</v>
      </c>
      <c r="G960" s="22">
        <v>0</v>
      </c>
      <c r="H960" s="22">
        <v>0</v>
      </c>
      <c r="I960" s="22">
        <v>233</v>
      </c>
      <c r="J960">
        <v>0</v>
      </c>
      <c r="K960">
        <v>0</v>
      </c>
      <c r="L960" s="22">
        <v>233</v>
      </c>
      <c r="M960" s="22">
        <v>0</v>
      </c>
      <c r="N960" s="22">
        <v>0</v>
      </c>
      <c r="O960" s="22">
        <v>233</v>
      </c>
      <c r="P960" s="22">
        <v>100</v>
      </c>
      <c r="Q960" s="22">
        <v>133</v>
      </c>
      <c r="R960">
        <v>0</v>
      </c>
      <c r="T960" t="s">
        <v>2972</v>
      </c>
      <c r="U960" t="s">
        <v>3057</v>
      </c>
      <c r="V960" t="s">
        <v>3056</v>
      </c>
    </row>
    <row r="961" spans="1:22">
      <c r="A961">
        <v>960</v>
      </c>
      <c r="B961" t="s">
        <v>2102</v>
      </c>
      <c r="C961" t="s">
        <v>2103</v>
      </c>
      <c r="D961" t="s">
        <v>17</v>
      </c>
      <c r="E961" t="s">
        <v>8</v>
      </c>
      <c r="F961" s="22">
        <v>1056</v>
      </c>
      <c r="G961" s="22">
        <v>0</v>
      </c>
      <c r="H961" s="22">
        <v>0</v>
      </c>
      <c r="I961" s="22">
        <v>1056</v>
      </c>
      <c r="J961">
        <v>0</v>
      </c>
      <c r="K961">
        <v>0</v>
      </c>
      <c r="L961" s="22">
        <v>1056</v>
      </c>
      <c r="M961" s="22">
        <v>0</v>
      </c>
      <c r="N961" s="22">
        <v>0</v>
      </c>
      <c r="O961" s="22">
        <v>1056</v>
      </c>
      <c r="P961" s="22">
        <v>100</v>
      </c>
      <c r="Q961" s="22">
        <v>956</v>
      </c>
      <c r="R961">
        <v>0</v>
      </c>
      <c r="T961" t="s">
        <v>2972</v>
      </c>
      <c r="U961" t="s">
        <v>3057</v>
      </c>
      <c r="V961" t="s">
        <v>3056</v>
      </c>
    </row>
    <row r="962" spans="1:22">
      <c r="A962">
        <v>961</v>
      </c>
      <c r="B962" t="s">
        <v>2104</v>
      </c>
      <c r="C962" t="s">
        <v>2105</v>
      </c>
      <c r="D962" t="s">
        <v>17</v>
      </c>
      <c r="E962" t="s">
        <v>8</v>
      </c>
      <c r="F962" s="22">
        <v>0</v>
      </c>
      <c r="G962" s="22">
        <v>0</v>
      </c>
      <c r="H962" s="22">
        <v>0</v>
      </c>
      <c r="I962" s="22">
        <v>0</v>
      </c>
      <c r="J962">
        <v>0</v>
      </c>
      <c r="K962">
        <v>0</v>
      </c>
      <c r="L962" s="22">
        <v>0</v>
      </c>
      <c r="M962" s="22">
        <v>0</v>
      </c>
      <c r="N962" s="22">
        <v>0</v>
      </c>
      <c r="O962" s="22">
        <v>0</v>
      </c>
      <c r="P962" s="22">
        <v>0</v>
      </c>
      <c r="Q962" s="22">
        <v>0</v>
      </c>
      <c r="R962">
        <v>0</v>
      </c>
      <c r="T962" t="s">
        <v>2991</v>
      </c>
      <c r="U962" t="s">
        <v>3057</v>
      </c>
      <c r="V962" t="s">
        <v>3056</v>
      </c>
    </row>
    <row r="963" spans="1:22">
      <c r="A963">
        <v>962</v>
      </c>
      <c r="B963" t="s">
        <v>2106</v>
      </c>
      <c r="C963" t="s">
        <v>2107</v>
      </c>
      <c r="D963" t="s">
        <v>17</v>
      </c>
      <c r="E963" t="s">
        <v>8</v>
      </c>
      <c r="F963" s="22">
        <v>0</v>
      </c>
      <c r="G963" s="22">
        <v>0</v>
      </c>
      <c r="H963" s="22">
        <v>0</v>
      </c>
      <c r="I963" s="22">
        <v>0</v>
      </c>
      <c r="J963">
        <v>0</v>
      </c>
      <c r="K963">
        <v>0</v>
      </c>
      <c r="L963" s="22">
        <v>0</v>
      </c>
      <c r="M963" s="22">
        <v>0</v>
      </c>
      <c r="N963" s="22">
        <v>0</v>
      </c>
      <c r="O963" s="22">
        <v>0</v>
      </c>
      <c r="P963" s="22">
        <v>0</v>
      </c>
      <c r="Q963" s="22">
        <v>0</v>
      </c>
      <c r="R963">
        <v>0</v>
      </c>
      <c r="T963" t="s">
        <v>2998</v>
      </c>
      <c r="U963" t="s">
        <v>3057</v>
      </c>
      <c r="V963" t="s">
        <v>3056</v>
      </c>
    </row>
    <row r="964" spans="1:22">
      <c r="A964">
        <v>963</v>
      </c>
      <c r="B964" t="s">
        <v>2108</v>
      </c>
      <c r="C964" t="s">
        <v>2109</v>
      </c>
      <c r="D964" t="s">
        <v>17</v>
      </c>
      <c r="E964" t="s">
        <v>8</v>
      </c>
      <c r="F964" s="22">
        <v>150</v>
      </c>
      <c r="G964" s="22">
        <v>0</v>
      </c>
      <c r="H964" s="22">
        <v>100</v>
      </c>
      <c r="I964" s="22">
        <v>50</v>
      </c>
      <c r="J964">
        <v>0</v>
      </c>
      <c r="K964">
        <v>0</v>
      </c>
      <c r="L964" s="22">
        <v>50</v>
      </c>
      <c r="M964" s="22">
        <v>0</v>
      </c>
      <c r="N964" s="22">
        <v>0</v>
      </c>
      <c r="O964" s="22">
        <v>50</v>
      </c>
      <c r="P964" s="22">
        <v>0</v>
      </c>
      <c r="Q964" s="22">
        <v>50</v>
      </c>
      <c r="R964">
        <v>0</v>
      </c>
      <c r="T964" t="s">
        <v>2998</v>
      </c>
      <c r="U964" t="s">
        <v>3057</v>
      </c>
      <c r="V964" t="s">
        <v>3056</v>
      </c>
    </row>
    <row r="965" spans="1:22">
      <c r="A965">
        <v>964</v>
      </c>
      <c r="B965" t="s">
        <v>2116</v>
      </c>
      <c r="C965" t="s">
        <v>2117</v>
      </c>
      <c r="D965" t="s">
        <v>17</v>
      </c>
      <c r="E965" t="s">
        <v>8</v>
      </c>
      <c r="F965" s="22">
        <v>0</v>
      </c>
      <c r="G965" s="22">
        <v>0</v>
      </c>
      <c r="H965" s="22">
        <v>0</v>
      </c>
      <c r="I965" s="22">
        <v>0</v>
      </c>
      <c r="J965">
        <v>0</v>
      </c>
      <c r="K965">
        <v>0</v>
      </c>
      <c r="L965" s="22">
        <v>0</v>
      </c>
      <c r="M965" s="22">
        <v>0</v>
      </c>
      <c r="N965" s="22">
        <v>0</v>
      </c>
      <c r="O965" s="22">
        <v>0</v>
      </c>
      <c r="P965" s="22">
        <v>0</v>
      </c>
      <c r="Q965" s="22">
        <v>0</v>
      </c>
      <c r="R965">
        <v>0</v>
      </c>
      <c r="T965" t="s">
        <v>2998</v>
      </c>
      <c r="U965" t="s">
        <v>3057</v>
      </c>
      <c r="V965" t="s">
        <v>3056</v>
      </c>
    </row>
    <row r="966" spans="1:22">
      <c r="A966">
        <v>965</v>
      </c>
      <c r="B966" t="s">
        <v>2167</v>
      </c>
      <c r="C966" t="s">
        <v>2168</v>
      </c>
      <c r="D966" t="s">
        <v>17</v>
      </c>
      <c r="E966" t="s">
        <v>8</v>
      </c>
      <c r="F966" s="22">
        <v>0</v>
      </c>
      <c r="G966" s="22">
        <v>0</v>
      </c>
      <c r="H966" s="22">
        <v>0</v>
      </c>
      <c r="I966" s="22">
        <v>0</v>
      </c>
      <c r="J966">
        <v>0</v>
      </c>
      <c r="K966">
        <v>0</v>
      </c>
      <c r="L966" s="22">
        <v>0</v>
      </c>
      <c r="M966" s="22">
        <v>0</v>
      </c>
      <c r="N966" s="22">
        <v>0</v>
      </c>
      <c r="O966" s="22">
        <v>0</v>
      </c>
      <c r="P966" s="22">
        <v>0</v>
      </c>
      <c r="Q966" s="22">
        <v>0</v>
      </c>
      <c r="R966">
        <v>0</v>
      </c>
      <c r="T966" t="s">
        <v>2982</v>
      </c>
      <c r="U966" t="s">
        <v>3060</v>
      </c>
      <c r="V966" t="s">
        <v>3064</v>
      </c>
    </row>
    <row r="967" spans="1:22">
      <c r="A967">
        <v>966</v>
      </c>
      <c r="B967" t="s">
        <v>2128</v>
      </c>
      <c r="C967" t="s">
        <v>2129</v>
      </c>
      <c r="D967" t="s">
        <v>2130</v>
      </c>
      <c r="E967" t="s">
        <v>8</v>
      </c>
      <c r="F967" s="22">
        <v>0</v>
      </c>
      <c r="G967" s="22">
        <v>110.026</v>
      </c>
      <c r="H967" s="22">
        <v>110.026</v>
      </c>
      <c r="I967" s="22">
        <v>0</v>
      </c>
      <c r="J967">
        <v>0</v>
      </c>
      <c r="K967">
        <v>0</v>
      </c>
      <c r="L967" s="22">
        <v>0</v>
      </c>
      <c r="M967" s="22">
        <v>0</v>
      </c>
      <c r="N967" s="22">
        <v>0</v>
      </c>
      <c r="O967" s="22">
        <v>0</v>
      </c>
      <c r="P967" s="22">
        <v>0</v>
      </c>
      <c r="Q967" s="22">
        <v>0</v>
      </c>
      <c r="R967">
        <v>0</v>
      </c>
      <c r="T967" t="s">
        <v>2998</v>
      </c>
      <c r="U967" t="s">
        <v>3057</v>
      </c>
      <c r="V967" t="s">
        <v>3056</v>
      </c>
    </row>
    <row r="968" spans="1:22">
      <c r="A968">
        <v>967</v>
      </c>
      <c r="B968" t="s">
        <v>2173</v>
      </c>
      <c r="C968" t="s">
        <v>2174</v>
      </c>
      <c r="D968" t="s">
        <v>17</v>
      </c>
      <c r="E968" t="s">
        <v>8</v>
      </c>
      <c r="F968" s="22">
        <v>0</v>
      </c>
      <c r="G968" s="22">
        <v>0</v>
      </c>
      <c r="H968" s="22">
        <v>0</v>
      </c>
      <c r="I968" s="22">
        <v>0</v>
      </c>
      <c r="J968">
        <v>0</v>
      </c>
      <c r="K968">
        <v>0</v>
      </c>
      <c r="L968" s="22">
        <v>0</v>
      </c>
      <c r="M968" s="22">
        <v>0</v>
      </c>
      <c r="N968" s="22">
        <v>0</v>
      </c>
      <c r="O968" s="22">
        <v>0</v>
      </c>
      <c r="P968" s="22">
        <v>0</v>
      </c>
      <c r="Q968" s="22">
        <v>0</v>
      </c>
      <c r="R968">
        <v>0</v>
      </c>
      <c r="T968" t="s">
        <v>2982</v>
      </c>
      <c r="U968" t="s">
        <v>3060</v>
      </c>
      <c r="V968" t="s">
        <v>3064</v>
      </c>
    </row>
    <row r="969" spans="1:22">
      <c r="A969">
        <v>968</v>
      </c>
      <c r="B969" t="s">
        <v>2175</v>
      </c>
      <c r="C969" t="s">
        <v>2176</v>
      </c>
      <c r="D969" t="s">
        <v>17</v>
      </c>
      <c r="E969" t="s">
        <v>8</v>
      </c>
      <c r="F969" s="22">
        <v>300</v>
      </c>
      <c r="G969" s="22">
        <v>0</v>
      </c>
      <c r="H969" s="22">
        <v>0</v>
      </c>
      <c r="I969" s="22">
        <v>300</v>
      </c>
      <c r="J969">
        <v>0</v>
      </c>
      <c r="K969">
        <v>0</v>
      </c>
      <c r="L969" s="22">
        <v>300</v>
      </c>
      <c r="M969" s="22">
        <v>0</v>
      </c>
      <c r="N969" s="22">
        <v>0</v>
      </c>
      <c r="O969" s="22">
        <v>300</v>
      </c>
      <c r="P969" s="22">
        <v>200</v>
      </c>
      <c r="Q969" s="22">
        <v>100</v>
      </c>
      <c r="R969">
        <v>0</v>
      </c>
      <c r="T969" t="s">
        <v>2972</v>
      </c>
      <c r="U969" t="s">
        <v>3060</v>
      </c>
      <c r="V969" t="s">
        <v>3058</v>
      </c>
    </row>
    <row r="970" spans="1:22">
      <c r="A970">
        <v>969</v>
      </c>
      <c r="B970" t="s">
        <v>2177</v>
      </c>
      <c r="C970" t="s">
        <v>2178</v>
      </c>
      <c r="D970" t="s">
        <v>17</v>
      </c>
      <c r="E970" t="s">
        <v>8</v>
      </c>
      <c r="F970" s="22">
        <v>90</v>
      </c>
      <c r="G970" s="22">
        <v>0</v>
      </c>
      <c r="H970" s="22">
        <v>0</v>
      </c>
      <c r="I970" s="22">
        <v>90</v>
      </c>
      <c r="J970">
        <v>0</v>
      </c>
      <c r="K970">
        <v>0</v>
      </c>
      <c r="L970" s="22">
        <v>90</v>
      </c>
      <c r="M970" s="22">
        <v>0</v>
      </c>
      <c r="N970" s="22">
        <v>0</v>
      </c>
      <c r="O970" s="22">
        <v>90</v>
      </c>
      <c r="P970" s="22">
        <v>25</v>
      </c>
      <c r="Q970" s="22">
        <v>65</v>
      </c>
      <c r="R970">
        <v>0</v>
      </c>
      <c r="T970" t="s">
        <v>2972</v>
      </c>
      <c r="U970" t="s">
        <v>3055</v>
      </c>
      <c r="V970" t="s">
        <v>3056</v>
      </c>
    </row>
    <row r="971" spans="1:22">
      <c r="A971">
        <v>970</v>
      </c>
      <c r="B971" t="s">
        <v>2179</v>
      </c>
      <c r="C971" t="s">
        <v>2180</v>
      </c>
      <c r="D971" t="s">
        <v>17</v>
      </c>
      <c r="E971" t="s">
        <v>8</v>
      </c>
      <c r="F971" s="22">
        <v>0</v>
      </c>
      <c r="G971" s="22">
        <v>0</v>
      </c>
      <c r="H971" s="22">
        <v>0</v>
      </c>
      <c r="I971" s="22">
        <v>0</v>
      </c>
      <c r="J971">
        <v>0</v>
      </c>
      <c r="K971">
        <v>0</v>
      </c>
      <c r="L971" s="22">
        <v>0</v>
      </c>
      <c r="M971" s="22">
        <v>0</v>
      </c>
      <c r="N971" s="22">
        <v>0</v>
      </c>
      <c r="O971" s="22">
        <v>0</v>
      </c>
      <c r="P971" s="22">
        <v>25</v>
      </c>
      <c r="Q971" s="22">
        <v>-25</v>
      </c>
      <c r="R971">
        <v>0</v>
      </c>
      <c r="T971" t="s">
        <v>2972</v>
      </c>
      <c r="U971" t="s">
        <v>3055</v>
      </c>
      <c r="V971" t="s">
        <v>3056</v>
      </c>
    </row>
    <row r="972" spans="1:22">
      <c r="A972">
        <v>971</v>
      </c>
      <c r="B972" t="s">
        <v>2181</v>
      </c>
      <c r="C972" t="s">
        <v>2182</v>
      </c>
      <c r="D972" t="s">
        <v>17</v>
      </c>
      <c r="E972" t="s">
        <v>8</v>
      </c>
      <c r="F972" s="22">
        <v>0</v>
      </c>
      <c r="G972" s="22">
        <v>0</v>
      </c>
      <c r="H972" s="22">
        <v>0</v>
      </c>
      <c r="I972" s="22">
        <v>0</v>
      </c>
      <c r="J972">
        <v>0</v>
      </c>
      <c r="K972">
        <v>0</v>
      </c>
      <c r="L972" s="22">
        <v>0</v>
      </c>
      <c r="M972" s="22">
        <v>0</v>
      </c>
      <c r="N972" s="22">
        <v>0</v>
      </c>
      <c r="O972" s="22">
        <v>0</v>
      </c>
      <c r="P972" s="22">
        <v>25</v>
      </c>
      <c r="Q972" s="22">
        <v>-25</v>
      </c>
      <c r="R972">
        <v>0</v>
      </c>
      <c r="T972" t="s">
        <v>2972</v>
      </c>
      <c r="U972" t="s">
        <v>3055</v>
      </c>
      <c r="V972" t="s">
        <v>3056</v>
      </c>
    </row>
    <row r="973" spans="1:22">
      <c r="A973">
        <v>972</v>
      </c>
      <c r="B973" t="s">
        <v>2183</v>
      </c>
      <c r="C973" t="s">
        <v>2184</v>
      </c>
      <c r="D973" t="s">
        <v>17</v>
      </c>
      <c r="E973" t="s">
        <v>8</v>
      </c>
      <c r="F973" s="22">
        <v>400</v>
      </c>
      <c r="G973" s="22">
        <v>0</v>
      </c>
      <c r="H973" s="22">
        <v>0</v>
      </c>
      <c r="I973" s="22">
        <v>400</v>
      </c>
      <c r="J973">
        <v>0</v>
      </c>
      <c r="K973">
        <v>0</v>
      </c>
      <c r="L973" s="22">
        <v>400</v>
      </c>
      <c r="M973" s="22">
        <v>0</v>
      </c>
      <c r="N973" s="22">
        <v>0</v>
      </c>
      <c r="O973" s="22">
        <v>400</v>
      </c>
      <c r="P973" s="22">
        <v>200</v>
      </c>
      <c r="Q973" s="22">
        <v>200</v>
      </c>
      <c r="R973">
        <v>0</v>
      </c>
      <c r="T973" t="s">
        <v>2972</v>
      </c>
      <c r="U973" t="s">
        <v>3060</v>
      </c>
      <c r="V973" t="s">
        <v>3058</v>
      </c>
    </row>
    <row r="974" spans="1:22">
      <c r="A974">
        <v>973</v>
      </c>
      <c r="B974" t="s">
        <v>2185</v>
      </c>
      <c r="C974" t="s">
        <v>2186</v>
      </c>
      <c r="D974" t="s">
        <v>17</v>
      </c>
      <c r="E974" t="s">
        <v>8</v>
      </c>
      <c r="F974" s="22">
        <v>1000</v>
      </c>
      <c r="G974" s="22">
        <v>0</v>
      </c>
      <c r="H974" s="22">
        <v>0</v>
      </c>
      <c r="I974" s="22">
        <v>1000</v>
      </c>
      <c r="J974">
        <v>0</v>
      </c>
      <c r="K974">
        <v>0</v>
      </c>
      <c r="L974" s="22">
        <v>1000</v>
      </c>
      <c r="M974" s="22">
        <v>0</v>
      </c>
      <c r="N974" s="22">
        <v>0</v>
      </c>
      <c r="O974" s="22">
        <v>1000</v>
      </c>
      <c r="P974" s="22">
        <v>500</v>
      </c>
      <c r="Q974" s="22">
        <v>500</v>
      </c>
      <c r="R974">
        <v>0</v>
      </c>
      <c r="T974" t="s">
        <v>2972</v>
      </c>
      <c r="U974" t="s">
        <v>3060</v>
      </c>
      <c r="V974" t="s">
        <v>3058</v>
      </c>
    </row>
    <row r="975" spans="1:22">
      <c r="A975">
        <v>974</v>
      </c>
      <c r="B975" t="s">
        <v>2187</v>
      </c>
      <c r="C975" t="s">
        <v>2188</v>
      </c>
      <c r="D975" t="s">
        <v>17</v>
      </c>
      <c r="E975" t="s">
        <v>8</v>
      </c>
      <c r="F975" s="22">
        <v>0</v>
      </c>
      <c r="G975" s="22">
        <v>0</v>
      </c>
      <c r="H975" s="22">
        <v>0</v>
      </c>
      <c r="I975" s="22">
        <v>0</v>
      </c>
      <c r="J975">
        <v>0</v>
      </c>
      <c r="K975">
        <v>0</v>
      </c>
      <c r="L975" s="22">
        <v>0</v>
      </c>
      <c r="M975" s="22">
        <v>0</v>
      </c>
      <c r="N975" s="22">
        <v>0</v>
      </c>
      <c r="O975" s="22">
        <v>0</v>
      </c>
      <c r="P975" s="22">
        <v>0</v>
      </c>
      <c r="Q975" s="22">
        <v>0</v>
      </c>
      <c r="R975">
        <v>0</v>
      </c>
      <c r="T975" t="s">
        <v>3006</v>
      </c>
      <c r="U975" t="s">
        <v>3060</v>
      </c>
      <c r="V975" t="s">
        <v>3058</v>
      </c>
    </row>
    <row r="976" spans="1:22">
      <c r="A976">
        <v>975</v>
      </c>
      <c r="B976" t="s">
        <v>2189</v>
      </c>
      <c r="C976" t="s">
        <v>2190</v>
      </c>
      <c r="D976" t="s">
        <v>17</v>
      </c>
      <c r="E976" t="s">
        <v>8</v>
      </c>
      <c r="F976" s="22">
        <v>0</v>
      </c>
      <c r="G976" s="22">
        <v>0</v>
      </c>
      <c r="H976" s="22">
        <v>0</v>
      </c>
      <c r="I976" s="22">
        <v>0</v>
      </c>
      <c r="J976">
        <v>0</v>
      </c>
      <c r="K976">
        <v>0</v>
      </c>
      <c r="L976" s="22">
        <v>0</v>
      </c>
      <c r="M976" s="22">
        <v>0</v>
      </c>
      <c r="N976" s="22">
        <v>0</v>
      </c>
      <c r="O976" s="22">
        <v>0</v>
      </c>
      <c r="P976" s="22">
        <v>0</v>
      </c>
      <c r="Q976" s="22">
        <v>0</v>
      </c>
      <c r="R976">
        <v>0</v>
      </c>
      <c r="T976" t="s">
        <v>3006</v>
      </c>
      <c r="U976" t="s">
        <v>3060</v>
      </c>
      <c r="V976" t="s">
        <v>3058</v>
      </c>
    </row>
    <row r="977" spans="1:22">
      <c r="A977">
        <v>976</v>
      </c>
      <c r="B977" t="s">
        <v>2191</v>
      </c>
      <c r="C977" t="s">
        <v>2192</v>
      </c>
      <c r="D977" t="s">
        <v>17</v>
      </c>
      <c r="E977" t="s">
        <v>8</v>
      </c>
      <c r="F977" s="22">
        <v>0</v>
      </c>
      <c r="G977" s="22">
        <v>0</v>
      </c>
      <c r="H977" s="22">
        <v>0</v>
      </c>
      <c r="I977" s="22">
        <v>0</v>
      </c>
      <c r="J977">
        <v>0</v>
      </c>
      <c r="K977">
        <v>0</v>
      </c>
      <c r="L977" s="22">
        <v>0</v>
      </c>
      <c r="M977" s="22">
        <v>0</v>
      </c>
      <c r="N977" s="22">
        <v>0</v>
      </c>
      <c r="O977" s="22">
        <v>0</v>
      </c>
      <c r="P977" s="22">
        <v>0</v>
      </c>
      <c r="Q977" s="22">
        <v>0</v>
      </c>
      <c r="R977">
        <v>0</v>
      </c>
      <c r="T977" t="s">
        <v>3006</v>
      </c>
      <c r="U977" t="s">
        <v>3060</v>
      </c>
      <c r="V977" t="s">
        <v>3058</v>
      </c>
    </row>
    <row r="978" spans="1:22">
      <c r="A978">
        <v>977</v>
      </c>
      <c r="B978" t="s">
        <v>2193</v>
      </c>
      <c r="C978" t="s">
        <v>2194</v>
      </c>
      <c r="D978" t="s">
        <v>17</v>
      </c>
      <c r="E978" t="s">
        <v>8</v>
      </c>
      <c r="F978" s="22">
        <v>0</v>
      </c>
      <c r="G978" s="22">
        <v>0</v>
      </c>
      <c r="H978" s="22">
        <v>0</v>
      </c>
      <c r="I978" s="22">
        <v>0</v>
      </c>
      <c r="J978">
        <v>0</v>
      </c>
      <c r="K978">
        <v>0</v>
      </c>
      <c r="L978" s="22">
        <v>0</v>
      </c>
      <c r="M978" s="22">
        <v>0</v>
      </c>
      <c r="N978" s="22">
        <v>0</v>
      </c>
      <c r="O978" s="22">
        <v>0</v>
      </c>
      <c r="P978" s="22">
        <v>0</v>
      </c>
      <c r="Q978" s="22">
        <v>0</v>
      </c>
      <c r="R978">
        <v>0</v>
      </c>
      <c r="T978" t="s">
        <v>3006</v>
      </c>
      <c r="U978" t="s">
        <v>3060</v>
      </c>
      <c r="V978" t="s">
        <v>3058</v>
      </c>
    </row>
    <row r="979" spans="1:22">
      <c r="A979">
        <v>978</v>
      </c>
      <c r="B979" t="s">
        <v>2195</v>
      </c>
      <c r="C979" t="s">
        <v>2196</v>
      </c>
      <c r="D979" t="s">
        <v>17</v>
      </c>
      <c r="E979" t="s">
        <v>8</v>
      </c>
      <c r="F979" s="22">
        <v>2</v>
      </c>
      <c r="G979" s="22">
        <v>0</v>
      </c>
      <c r="H979" s="22">
        <v>0</v>
      </c>
      <c r="I979" s="22">
        <v>2</v>
      </c>
      <c r="J979">
        <v>0</v>
      </c>
      <c r="K979">
        <v>0</v>
      </c>
      <c r="L979" s="22">
        <v>2</v>
      </c>
      <c r="M979" s="22">
        <v>0</v>
      </c>
      <c r="N979" s="22">
        <v>0</v>
      </c>
      <c r="O979" s="22">
        <v>2</v>
      </c>
      <c r="P979" s="22">
        <v>0</v>
      </c>
      <c r="Q979" s="22">
        <v>2</v>
      </c>
      <c r="R979">
        <v>0</v>
      </c>
      <c r="T979" t="s">
        <v>3006</v>
      </c>
      <c r="U979" t="s">
        <v>3060</v>
      </c>
      <c r="V979" t="s">
        <v>3058</v>
      </c>
    </row>
    <row r="980" spans="1:22">
      <c r="A980">
        <v>979</v>
      </c>
      <c r="B980" t="s">
        <v>2197</v>
      </c>
      <c r="C980" t="s">
        <v>2198</v>
      </c>
      <c r="D980" t="s">
        <v>17</v>
      </c>
      <c r="E980" t="s">
        <v>8</v>
      </c>
      <c r="F980" s="22">
        <v>0</v>
      </c>
      <c r="G980" s="22">
        <v>0</v>
      </c>
      <c r="H980" s="22">
        <v>0</v>
      </c>
      <c r="I980" s="22">
        <v>0</v>
      </c>
      <c r="J980">
        <v>0</v>
      </c>
      <c r="K980">
        <v>0</v>
      </c>
      <c r="L980" s="22">
        <v>0</v>
      </c>
      <c r="M980" s="22">
        <v>0</v>
      </c>
      <c r="N980" s="22">
        <v>0</v>
      </c>
      <c r="O980" s="22">
        <v>0</v>
      </c>
      <c r="P980" s="22">
        <v>0</v>
      </c>
      <c r="Q980" s="22">
        <v>0</v>
      </c>
      <c r="R980">
        <v>0</v>
      </c>
      <c r="T980" t="s">
        <v>3006</v>
      </c>
      <c r="U980" t="s">
        <v>3060</v>
      </c>
      <c r="V980" t="s">
        <v>3058</v>
      </c>
    </row>
    <row r="981" spans="1:22">
      <c r="A981">
        <v>980</v>
      </c>
      <c r="B981" t="s">
        <v>2199</v>
      </c>
      <c r="C981" t="s">
        <v>2200</v>
      </c>
      <c r="D981" t="s">
        <v>17</v>
      </c>
      <c r="E981" t="s">
        <v>8</v>
      </c>
      <c r="F981" s="22">
        <v>1</v>
      </c>
      <c r="G981" s="22">
        <v>0</v>
      </c>
      <c r="H981" s="22">
        <v>1</v>
      </c>
      <c r="I981" s="22">
        <v>0</v>
      </c>
      <c r="J981">
        <v>0</v>
      </c>
      <c r="K981">
        <v>0</v>
      </c>
      <c r="L981" s="22">
        <v>0</v>
      </c>
      <c r="M981" s="22">
        <v>0</v>
      </c>
      <c r="N981" s="22">
        <v>0</v>
      </c>
      <c r="O981" s="22">
        <v>0</v>
      </c>
      <c r="P981" s="22">
        <v>0</v>
      </c>
      <c r="Q981" s="22">
        <v>0</v>
      </c>
      <c r="R981">
        <v>0</v>
      </c>
      <c r="T981" t="s">
        <v>3006</v>
      </c>
      <c r="U981" t="s">
        <v>3060</v>
      </c>
      <c r="V981" t="s">
        <v>3058</v>
      </c>
    </row>
    <row r="982" spans="1:22">
      <c r="A982">
        <v>981</v>
      </c>
      <c r="B982" t="s">
        <v>2201</v>
      </c>
      <c r="C982" t="s">
        <v>2202</v>
      </c>
      <c r="D982" t="s">
        <v>17</v>
      </c>
      <c r="E982" t="s">
        <v>8</v>
      </c>
      <c r="F982" s="22">
        <v>0</v>
      </c>
      <c r="G982" s="22">
        <v>0</v>
      </c>
      <c r="H982" s="22">
        <v>0</v>
      </c>
      <c r="I982" s="22">
        <v>0</v>
      </c>
      <c r="J982">
        <v>0</v>
      </c>
      <c r="K982">
        <v>0</v>
      </c>
      <c r="L982" s="22">
        <v>0</v>
      </c>
      <c r="M982" s="22">
        <v>0</v>
      </c>
      <c r="N982" s="22">
        <v>0</v>
      </c>
      <c r="O982" s="22">
        <v>0</v>
      </c>
      <c r="P982" s="22">
        <v>0</v>
      </c>
      <c r="Q982" s="22">
        <v>0</v>
      </c>
      <c r="R982">
        <v>0</v>
      </c>
      <c r="T982" t="s">
        <v>3006</v>
      </c>
      <c r="U982" t="s">
        <v>3060</v>
      </c>
      <c r="V982" t="s">
        <v>3058</v>
      </c>
    </row>
    <row r="983" spans="1:22">
      <c r="A983">
        <v>982</v>
      </c>
      <c r="B983" t="s">
        <v>2203</v>
      </c>
      <c r="C983" t="s">
        <v>2204</v>
      </c>
      <c r="D983" t="s">
        <v>17</v>
      </c>
      <c r="E983" t="s">
        <v>8</v>
      </c>
      <c r="F983" s="22">
        <v>1</v>
      </c>
      <c r="G983" s="22">
        <v>0</v>
      </c>
      <c r="H983" s="22">
        <v>0</v>
      </c>
      <c r="I983" s="22">
        <v>1</v>
      </c>
      <c r="J983">
        <v>0</v>
      </c>
      <c r="K983">
        <v>0</v>
      </c>
      <c r="L983" s="22">
        <v>1</v>
      </c>
      <c r="M983" s="22">
        <v>0</v>
      </c>
      <c r="N983" s="22">
        <v>0</v>
      </c>
      <c r="O983" s="22">
        <v>1</v>
      </c>
      <c r="P983" s="22">
        <v>0</v>
      </c>
      <c r="Q983" s="22">
        <v>1</v>
      </c>
      <c r="R983">
        <v>0</v>
      </c>
      <c r="T983" t="s">
        <v>3006</v>
      </c>
      <c r="U983" t="s">
        <v>3060</v>
      </c>
      <c r="V983" t="s">
        <v>3058</v>
      </c>
    </row>
    <row r="984" spans="1:22">
      <c r="A984">
        <v>983</v>
      </c>
      <c r="B984" t="s">
        <v>2205</v>
      </c>
      <c r="C984" t="s">
        <v>2206</v>
      </c>
      <c r="D984" t="s">
        <v>17</v>
      </c>
      <c r="E984" t="s">
        <v>8</v>
      </c>
      <c r="F984" s="22">
        <v>1</v>
      </c>
      <c r="G984" s="22">
        <v>0</v>
      </c>
      <c r="H984" s="22">
        <v>0</v>
      </c>
      <c r="I984" s="22">
        <v>1</v>
      </c>
      <c r="J984">
        <v>0</v>
      </c>
      <c r="K984">
        <v>0</v>
      </c>
      <c r="L984" s="22">
        <v>1</v>
      </c>
      <c r="M984" s="22">
        <v>0</v>
      </c>
      <c r="N984" s="22">
        <v>0</v>
      </c>
      <c r="O984" s="22">
        <v>1</v>
      </c>
      <c r="P984" s="22">
        <v>0</v>
      </c>
      <c r="Q984" s="22">
        <v>1</v>
      </c>
      <c r="R984">
        <v>0</v>
      </c>
      <c r="T984" t="s">
        <v>3006</v>
      </c>
      <c r="U984" t="s">
        <v>3060</v>
      </c>
      <c r="V984" t="s">
        <v>3058</v>
      </c>
    </row>
    <row r="985" spans="1:22">
      <c r="A985">
        <v>984</v>
      </c>
      <c r="B985" t="s">
        <v>2207</v>
      </c>
      <c r="C985" t="s">
        <v>2208</v>
      </c>
      <c r="D985" t="s">
        <v>17</v>
      </c>
      <c r="E985" t="s">
        <v>8</v>
      </c>
      <c r="F985" s="22">
        <v>0</v>
      </c>
      <c r="G985" s="22">
        <v>0</v>
      </c>
      <c r="H985" s="22">
        <v>0</v>
      </c>
      <c r="I985" s="22">
        <v>0</v>
      </c>
      <c r="J985">
        <v>0</v>
      </c>
      <c r="K985">
        <v>0</v>
      </c>
      <c r="L985" s="22">
        <v>0</v>
      </c>
      <c r="M985" s="22">
        <v>0</v>
      </c>
      <c r="N985" s="22">
        <v>0</v>
      </c>
      <c r="O985" s="22">
        <v>0</v>
      </c>
      <c r="P985" s="22">
        <v>0</v>
      </c>
      <c r="Q985" s="22">
        <v>0</v>
      </c>
      <c r="R985">
        <v>0</v>
      </c>
      <c r="T985" t="s">
        <v>3006</v>
      </c>
      <c r="U985" t="s">
        <v>3060</v>
      </c>
      <c r="V985" t="s">
        <v>3058</v>
      </c>
    </row>
    <row r="986" spans="1:22">
      <c r="A986">
        <v>985</v>
      </c>
      <c r="B986" t="s">
        <v>2209</v>
      </c>
      <c r="C986" t="s">
        <v>2210</v>
      </c>
      <c r="D986" t="s">
        <v>17</v>
      </c>
      <c r="E986" t="s">
        <v>8</v>
      </c>
      <c r="F986" s="22">
        <v>0</v>
      </c>
      <c r="G986" s="22">
        <v>0</v>
      </c>
      <c r="H986" s="22">
        <v>0</v>
      </c>
      <c r="I986" s="22">
        <v>0</v>
      </c>
      <c r="J986">
        <v>0</v>
      </c>
      <c r="K986">
        <v>0</v>
      </c>
      <c r="L986" s="22">
        <v>0</v>
      </c>
      <c r="M986" s="22">
        <v>0</v>
      </c>
      <c r="N986" s="22">
        <v>0</v>
      </c>
      <c r="O986" s="22">
        <v>0</v>
      </c>
      <c r="P986" s="22">
        <v>0</v>
      </c>
      <c r="Q986" s="22">
        <v>0</v>
      </c>
      <c r="R986">
        <v>0</v>
      </c>
      <c r="T986" t="s">
        <v>3006</v>
      </c>
      <c r="U986" t="s">
        <v>3060</v>
      </c>
      <c r="V986" t="s">
        <v>3058</v>
      </c>
    </row>
    <row r="987" spans="1:22">
      <c r="A987">
        <v>986</v>
      </c>
      <c r="B987" t="s">
        <v>2211</v>
      </c>
      <c r="C987" t="s">
        <v>2212</v>
      </c>
      <c r="D987" t="s">
        <v>17</v>
      </c>
      <c r="E987" t="s">
        <v>8</v>
      </c>
      <c r="F987" s="22">
        <v>0</v>
      </c>
      <c r="G987" s="22">
        <v>0</v>
      </c>
      <c r="H987" s="22">
        <v>0</v>
      </c>
      <c r="I987" s="22">
        <v>0</v>
      </c>
      <c r="J987">
        <v>0</v>
      </c>
      <c r="K987">
        <v>0</v>
      </c>
      <c r="L987" s="22">
        <v>0</v>
      </c>
      <c r="M987" s="22">
        <v>0</v>
      </c>
      <c r="N987" s="22">
        <v>0</v>
      </c>
      <c r="O987" s="22">
        <v>0</v>
      </c>
      <c r="P987" s="22">
        <v>0</v>
      </c>
      <c r="Q987" s="22">
        <v>0</v>
      </c>
      <c r="R987">
        <v>0</v>
      </c>
      <c r="T987" t="s">
        <v>3006</v>
      </c>
      <c r="U987" t="s">
        <v>3060</v>
      </c>
      <c r="V987" t="s">
        <v>3058</v>
      </c>
    </row>
    <row r="988" spans="1:22">
      <c r="A988">
        <v>987</v>
      </c>
      <c r="B988" t="s">
        <v>2213</v>
      </c>
      <c r="C988" t="s">
        <v>2214</v>
      </c>
      <c r="D988" t="s">
        <v>17</v>
      </c>
      <c r="E988" t="s">
        <v>8</v>
      </c>
      <c r="F988" s="22">
        <v>1</v>
      </c>
      <c r="G988" s="22">
        <v>0</v>
      </c>
      <c r="H988" s="22">
        <v>0</v>
      </c>
      <c r="I988" s="22">
        <v>1</v>
      </c>
      <c r="J988">
        <v>0</v>
      </c>
      <c r="K988">
        <v>0</v>
      </c>
      <c r="L988" s="22">
        <v>1</v>
      </c>
      <c r="M988" s="22">
        <v>0</v>
      </c>
      <c r="N988" s="22">
        <v>0</v>
      </c>
      <c r="O988" s="22">
        <v>1</v>
      </c>
      <c r="P988" s="22">
        <v>0</v>
      </c>
      <c r="Q988" s="22">
        <v>1</v>
      </c>
      <c r="R988">
        <v>0</v>
      </c>
      <c r="T988" t="s">
        <v>3006</v>
      </c>
      <c r="U988" t="s">
        <v>3060</v>
      </c>
      <c r="V988" t="s">
        <v>3058</v>
      </c>
    </row>
    <row r="989" spans="1:22">
      <c r="A989">
        <v>988</v>
      </c>
      <c r="B989" t="s">
        <v>2215</v>
      </c>
      <c r="C989" t="s">
        <v>2216</v>
      </c>
      <c r="D989" t="s">
        <v>17</v>
      </c>
      <c r="E989" t="s">
        <v>8</v>
      </c>
      <c r="F989" s="22">
        <v>1</v>
      </c>
      <c r="G989" s="22">
        <v>0</v>
      </c>
      <c r="H989" s="22">
        <v>0</v>
      </c>
      <c r="I989" s="22">
        <v>1</v>
      </c>
      <c r="J989">
        <v>0</v>
      </c>
      <c r="K989">
        <v>0</v>
      </c>
      <c r="L989" s="22">
        <v>1</v>
      </c>
      <c r="M989" s="22">
        <v>0</v>
      </c>
      <c r="N989" s="22">
        <v>0</v>
      </c>
      <c r="O989" s="22">
        <v>1</v>
      </c>
      <c r="P989" s="22">
        <v>0</v>
      </c>
      <c r="Q989" s="22">
        <v>1</v>
      </c>
      <c r="R989">
        <v>0</v>
      </c>
      <c r="T989" t="s">
        <v>3006</v>
      </c>
      <c r="U989" t="s">
        <v>3060</v>
      </c>
      <c r="V989" t="s">
        <v>3058</v>
      </c>
    </row>
    <row r="990" spans="1:22">
      <c r="A990">
        <v>989</v>
      </c>
      <c r="B990" t="s">
        <v>2217</v>
      </c>
      <c r="C990" t="s">
        <v>2218</v>
      </c>
      <c r="D990" t="s">
        <v>17</v>
      </c>
      <c r="E990" t="s">
        <v>8</v>
      </c>
      <c r="F990" s="22">
        <v>1</v>
      </c>
      <c r="G990" s="22">
        <v>0</v>
      </c>
      <c r="H990" s="22">
        <v>0</v>
      </c>
      <c r="I990" s="22">
        <v>1</v>
      </c>
      <c r="J990">
        <v>0</v>
      </c>
      <c r="K990">
        <v>0</v>
      </c>
      <c r="L990" s="22">
        <v>1</v>
      </c>
      <c r="M990" s="22">
        <v>0</v>
      </c>
      <c r="N990" s="22">
        <v>0</v>
      </c>
      <c r="O990" s="22">
        <v>1</v>
      </c>
      <c r="P990" s="22">
        <v>0</v>
      </c>
      <c r="Q990" s="22">
        <v>1</v>
      </c>
      <c r="R990">
        <v>0</v>
      </c>
      <c r="T990" t="s">
        <v>3006</v>
      </c>
      <c r="U990" t="s">
        <v>3060</v>
      </c>
      <c r="V990" t="s">
        <v>3058</v>
      </c>
    </row>
    <row r="991" spans="1:22">
      <c r="A991">
        <v>990</v>
      </c>
      <c r="B991" t="s">
        <v>2219</v>
      </c>
      <c r="C991" t="s">
        <v>2220</v>
      </c>
      <c r="D991" t="s">
        <v>17</v>
      </c>
      <c r="E991" t="s">
        <v>8</v>
      </c>
      <c r="F991" s="22">
        <v>2</v>
      </c>
      <c r="G991" s="22">
        <v>0</v>
      </c>
      <c r="H991" s="22">
        <v>0</v>
      </c>
      <c r="I991" s="22">
        <v>2</v>
      </c>
      <c r="J991">
        <v>0</v>
      </c>
      <c r="K991">
        <v>0</v>
      </c>
      <c r="L991" s="22">
        <v>2</v>
      </c>
      <c r="M991" s="22">
        <v>0</v>
      </c>
      <c r="N991" s="22">
        <v>0</v>
      </c>
      <c r="O991" s="22">
        <v>2</v>
      </c>
      <c r="P991" s="22">
        <v>0</v>
      </c>
      <c r="Q991" s="22">
        <v>2</v>
      </c>
      <c r="R991">
        <v>0</v>
      </c>
      <c r="T991" t="s">
        <v>3006</v>
      </c>
      <c r="U991" t="s">
        <v>3060</v>
      </c>
      <c r="V991" t="s">
        <v>3058</v>
      </c>
    </row>
    <row r="992" spans="1:22">
      <c r="A992">
        <v>991</v>
      </c>
      <c r="B992" t="s">
        <v>2221</v>
      </c>
      <c r="C992" t="s">
        <v>2222</v>
      </c>
      <c r="D992" t="s">
        <v>17</v>
      </c>
      <c r="E992" t="s">
        <v>8</v>
      </c>
      <c r="F992" s="22">
        <v>0</v>
      </c>
      <c r="G992" s="22">
        <v>0</v>
      </c>
      <c r="H992" s="22">
        <v>0</v>
      </c>
      <c r="I992" s="22">
        <v>0</v>
      </c>
      <c r="J992">
        <v>0</v>
      </c>
      <c r="K992">
        <v>0</v>
      </c>
      <c r="L992" s="22">
        <v>0</v>
      </c>
      <c r="M992" s="22">
        <v>0</v>
      </c>
      <c r="N992" s="22">
        <v>0</v>
      </c>
      <c r="O992" s="22">
        <v>0</v>
      </c>
      <c r="P992" s="22">
        <v>0</v>
      </c>
      <c r="Q992" s="22">
        <v>0</v>
      </c>
      <c r="R992">
        <v>0</v>
      </c>
      <c r="T992" t="s">
        <v>3006</v>
      </c>
      <c r="U992" t="s">
        <v>3060</v>
      </c>
      <c r="V992" t="s">
        <v>3058</v>
      </c>
    </row>
    <row r="993" spans="1:22">
      <c r="A993">
        <v>992</v>
      </c>
      <c r="B993" t="s">
        <v>2131</v>
      </c>
      <c r="C993" t="s">
        <v>2132</v>
      </c>
      <c r="D993" t="s">
        <v>2130</v>
      </c>
      <c r="E993" t="s">
        <v>8</v>
      </c>
      <c r="F993" s="22">
        <v>0</v>
      </c>
      <c r="G993" s="22">
        <v>44.957999999999998</v>
      </c>
      <c r="H993" s="22">
        <v>44.957999999999998</v>
      </c>
      <c r="I993" s="22">
        <v>0</v>
      </c>
      <c r="J993">
        <v>0</v>
      </c>
      <c r="K993">
        <v>0</v>
      </c>
      <c r="L993" s="22">
        <v>0</v>
      </c>
      <c r="M993" s="22">
        <v>0</v>
      </c>
      <c r="N993" s="22">
        <v>0</v>
      </c>
      <c r="O993" s="22">
        <v>0</v>
      </c>
      <c r="P993" s="22">
        <v>0</v>
      </c>
      <c r="Q993" s="22">
        <v>0</v>
      </c>
      <c r="R993">
        <v>0</v>
      </c>
      <c r="T993" t="s">
        <v>2998</v>
      </c>
      <c r="U993" t="s">
        <v>3057</v>
      </c>
      <c r="V993" t="s">
        <v>3056</v>
      </c>
    </row>
    <row r="994" spans="1:22">
      <c r="A994">
        <v>993</v>
      </c>
      <c r="B994" t="s">
        <v>2133</v>
      </c>
      <c r="C994" t="s">
        <v>2134</v>
      </c>
      <c r="D994" t="s">
        <v>2130</v>
      </c>
      <c r="E994" t="s">
        <v>8</v>
      </c>
      <c r="F994" s="22">
        <v>0</v>
      </c>
      <c r="G994" s="22">
        <v>66.608999999999995</v>
      </c>
      <c r="H994" s="22">
        <v>66.608999999999995</v>
      </c>
      <c r="I994" s="22">
        <v>0</v>
      </c>
      <c r="J994">
        <v>0</v>
      </c>
      <c r="K994">
        <v>0</v>
      </c>
      <c r="L994" s="22">
        <v>0</v>
      </c>
      <c r="M994" s="22">
        <v>0</v>
      </c>
      <c r="N994" s="22">
        <v>0</v>
      </c>
      <c r="O994" s="22">
        <v>0</v>
      </c>
      <c r="P994" s="22">
        <v>0</v>
      </c>
      <c r="Q994" s="22">
        <v>0</v>
      </c>
      <c r="R994">
        <v>0</v>
      </c>
      <c r="T994" t="s">
        <v>2998</v>
      </c>
      <c r="U994" t="s">
        <v>3057</v>
      </c>
      <c r="V994" t="s">
        <v>3056</v>
      </c>
    </row>
    <row r="995" spans="1:22">
      <c r="A995">
        <v>994</v>
      </c>
      <c r="B995" t="s">
        <v>2227</v>
      </c>
      <c r="C995" t="s">
        <v>2228</v>
      </c>
      <c r="D995" t="s">
        <v>17</v>
      </c>
      <c r="E995" t="s">
        <v>8</v>
      </c>
      <c r="F995" s="22">
        <v>45</v>
      </c>
      <c r="G995" s="22">
        <v>5</v>
      </c>
      <c r="H995" s="22">
        <v>11</v>
      </c>
      <c r="I995" s="22">
        <v>39</v>
      </c>
      <c r="J995">
        <v>0</v>
      </c>
      <c r="K995">
        <v>0</v>
      </c>
      <c r="L995" s="22">
        <v>39</v>
      </c>
      <c r="M995" s="22">
        <v>25</v>
      </c>
      <c r="N995" s="22">
        <v>0</v>
      </c>
      <c r="O995" s="22">
        <v>64</v>
      </c>
      <c r="P995" s="22">
        <v>40</v>
      </c>
      <c r="Q995" s="22">
        <v>24</v>
      </c>
      <c r="R995">
        <v>25</v>
      </c>
      <c r="T995" t="s">
        <v>3002</v>
      </c>
      <c r="U995" t="s">
        <v>3055</v>
      </c>
      <c r="V995" t="s">
        <v>3056</v>
      </c>
    </row>
    <row r="996" spans="1:22">
      <c r="A996">
        <v>995</v>
      </c>
      <c r="B996" t="s">
        <v>2229</v>
      </c>
      <c r="C996" t="s">
        <v>2230</v>
      </c>
      <c r="D996" t="s">
        <v>7</v>
      </c>
      <c r="E996" t="s">
        <v>8</v>
      </c>
      <c r="F996" s="22">
        <v>0</v>
      </c>
      <c r="G996" s="22">
        <v>0</v>
      </c>
      <c r="H996" s="22">
        <v>0</v>
      </c>
      <c r="I996" s="22">
        <v>0</v>
      </c>
      <c r="J996">
        <v>0</v>
      </c>
      <c r="K996">
        <v>0</v>
      </c>
      <c r="L996" s="22">
        <v>0</v>
      </c>
      <c r="M996" s="22">
        <v>0</v>
      </c>
      <c r="N996" s="22">
        <v>0</v>
      </c>
      <c r="O996" s="22">
        <v>0</v>
      </c>
      <c r="P996" s="22">
        <v>0</v>
      </c>
      <c r="Q996" s="22">
        <v>0</v>
      </c>
      <c r="R996">
        <v>0</v>
      </c>
      <c r="T996" t="s">
        <v>2965</v>
      </c>
      <c r="U996" t="s">
        <v>3055</v>
      </c>
      <c r="V996" t="s">
        <v>3056</v>
      </c>
    </row>
    <row r="997" spans="1:22">
      <c r="A997">
        <v>996</v>
      </c>
      <c r="B997" t="s">
        <v>2233</v>
      </c>
      <c r="C997" t="s">
        <v>2234</v>
      </c>
      <c r="D997" t="s">
        <v>17</v>
      </c>
      <c r="E997" t="s">
        <v>8</v>
      </c>
      <c r="F997" s="22">
        <v>0</v>
      </c>
      <c r="G997" s="22">
        <v>0</v>
      </c>
      <c r="H997" s="22">
        <v>0</v>
      </c>
      <c r="I997" s="22">
        <v>0</v>
      </c>
      <c r="J997">
        <v>0</v>
      </c>
      <c r="K997">
        <v>0</v>
      </c>
      <c r="L997" s="22">
        <v>0</v>
      </c>
      <c r="M997" s="22">
        <v>0</v>
      </c>
      <c r="N997" s="22">
        <v>0</v>
      </c>
      <c r="O997" s="22">
        <v>0</v>
      </c>
      <c r="P997" s="22">
        <v>0</v>
      </c>
      <c r="Q997" s="22">
        <v>0</v>
      </c>
      <c r="R997">
        <v>0</v>
      </c>
      <c r="T997" t="s">
        <v>2982</v>
      </c>
      <c r="U997" t="s">
        <v>3060</v>
      </c>
      <c r="V997" t="s">
        <v>3058</v>
      </c>
    </row>
    <row r="998" spans="1:22">
      <c r="A998">
        <v>997</v>
      </c>
      <c r="B998" t="s">
        <v>2235</v>
      </c>
      <c r="C998" t="s">
        <v>2236</v>
      </c>
      <c r="D998" t="s">
        <v>20</v>
      </c>
      <c r="E998" t="s">
        <v>8</v>
      </c>
      <c r="F998" s="22">
        <v>2117.4</v>
      </c>
      <c r="G998" s="22">
        <v>0</v>
      </c>
      <c r="H998" s="22">
        <v>0</v>
      </c>
      <c r="I998" s="22">
        <v>2117.4</v>
      </c>
      <c r="J998">
        <v>0</v>
      </c>
      <c r="K998">
        <v>0</v>
      </c>
      <c r="L998" s="22">
        <v>2117.4</v>
      </c>
      <c r="M998" s="22">
        <v>0</v>
      </c>
      <c r="N998" s="22">
        <v>0</v>
      </c>
      <c r="O998" s="22">
        <v>2117.4</v>
      </c>
      <c r="P998" s="22">
        <v>0</v>
      </c>
      <c r="Q998" s="22">
        <v>2117.4</v>
      </c>
      <c r="R998">
        <v>0</v>
      </c>
      <c r="T998" t="s">
        <v>3034</v>
      </c>
      <c r="U998" t="s">
        <v>3059</v>
      </c>
      <c r="V998" t="s">
        <v>3056</v>
      </c>
    </row>
    <row r="999" spans="1:22">
      <c r="A999">
        <v>998</v>
      </c>
      <c r="B999" t="s">
        <v>2237</v>
      </c>
      <c r="C999" t="s">
        <v>2238</v>
      </c>
      <c r="D999" t="s">
        <v>17</v>
      </c>
      <c r="E999" t="s">
        <v>8</v>
      </c>
      <c r="F999" s="22">
        <v>8</v>
      </c>
      <c r="G999" s="22">
        <v>0</v>
      </c>
      <c r="H999" s="22">
        <v>0</v>
      </c>
      <c r="I999" s="22">
        <v>8</v>
      </c>
      <c r="J999">
        <v>0</v>
      </c>
      <c r="K999">
        <v>0</v>
      </c>
      <c r="L999" s="22">
        <v>8</v>
      </c>
      <c r="M999" s="22">
        <v>0</v>
      </c>
      <c r="N999" s="22">
        <v>0</v>
      </c>
      <c r="O999" s="22">
        <v>8</v>
      </c>
      <c r="P999" s="22">
        <v>5</v>
      </c>
      <c r="Q999" s="22">
        <v>3</v>
      </c>
      <c r="R999">
        <v>0</v>
      </c>
      <c r="T999" t="s">
        <v>3052</v>
      </c>
      <c r="U999" t="s">
        <v>3062</v>
      </c>
      <c r="V999" t="s">
        <v>3056</v>
      </c>
    </row>
    <row r="1000" spans="1:22">
      <c r="A1000">
        <v>999</v>
      </c>
      <c r="B1000" t="s">
        <v>2239</v>
      </c>
      <c r="C1000" t="s">
        <v>2240</v>
      </c>
      <c r="D1000" t="s">
        <v>17</v>
      </c>
      <c r="E1000" t="s">
        <v>8</v>
      </c>
      <c r="F1000" s="22">
        <v>5</v>
      </c>
      <c r="G1000" s="22">
        <v>0</v>
      </c>
      <c r="H1000" s="22">
        <v>0</v>
      </c>
      <c r="I1000" s="22">
        <v>5</v>
      </c>
      <c r="J1000">
        <v>0</v>
      </c>
      <c r="K1000">
        <v>0</v>
      </c>
      <c r="L1000" s="22">
        <v>5</v>
      </c>
      <c r="M1000" s="22">
        <v>0</v>
      </c>
      <c r="N1000" s="22">
        <v>0</v>
      </c>
      <c r="O1000" s="22">
        <v>5</v>
      </c>
      <c r="P1000" s="22">
        <v>1</v>
      </c>
      <c r="Q1000" s="22">
        <v>4</v>
      </c>
      <c r="R1000">
        <v>0</v>
      </c>
      <c r="T1000" t="s">
        <v>3052</v>
      </c>
      <c r="U1000" t="s">
        <v>3062</v>
      </c>
      <c r="V1000" t="s">
        <v>3056</v>
      </c>
    </row>
    <row r="1001" spans="1:22">
      <c r="A1001">
        <v>1000</v>
      </c>
      <c r="B1001" t="s">
        <v>2241</v>
      </c>
      <c r="C1001" t="s">
        <v>2242</v>
      </c>
      <c r="D1001" t="s">
        <v>7</v>
      </c>
      <c r="E1001" t="s">
        <v>8</v>
      </c>
      <c r="F1001" s="22">
        <v>393</v>
      </c>
      <c r="G1001" s="22">
        <v>0</v>
      </c>
      <c r="H1001" s="22">
        <v>80</v>
      </c>
      <c r="I1001" s="22">
        <v>313</v>
      </c>
      <c r="J1001">
        <v>0</v>
      </c>
      <c r="K1001">
        <v>0</v>
      </c>
      <c r="L1001" s="22">
        <v>313</v>
      </c>
      <c r="M1001" s="22">
        <v>0</v>
      </c>
      <c r="N1001" s="22">
        <v>0</v>
      </c>
      <c r="O1001" s="22">
        <v>313</v>
      </c>
      <c r="P1001" s="22">
        <v>400</v>
      </c>
      <c r="Q1001" s="22">
        <v>-87</v>
      </c>
      <c r="R1001">
        <v>750</v>
      </c>
      <c r="T1001" t="s">
        <v>2965</v>
      </c>
      <c r="U1001" t="s">
        <v>3055</v>
      </c>
      <c r="V1001" t="s">
        <v>3056</v>
      </c>
    </row>
    <row r="1002" spans="1:22">
      <c r="A1002">
        <v>1001</v>
      </c>
      <c r="B1002" t="s">
        <v>2243</v>
      </c>
      <c r="C1002" t="s">
        <v>2244</v>
      </c>
      <c r="D1002" t="s">
        <v>7</v>
      </c>
      <c r="E1002" t="s">
        <v>8</v>
      </c>
      <c r="F1002" s="22">
        <v>822</v>
      </c>
      <c r="G1002" s="22">
        <v>0</v>
      </c>
      <c r="H1002" s="22">
        <v>80</v>
      </c>
      <c r="I1002" s="22">
        <v>742</v>
      </c>
      <c r="J1002">
        <v>0</v>
      </c>
      <c r="K1002">
        <v>0</v>
      </c>
      <c r="L1002" s="22">
        <v>742</v>
      </c>
      <c r="M1002" s="22">
        <v>0</v>
      </c>
      <c r="N1002" s="22">
        <v>0</v>
      </c>
      <c r="O1002" s="22">
        <v>742</v>
      </c>
      <c r="P1002" s="22">
        <v>400</v>
      </c>
      <c r="Q1002" s="22">
        <v>342</v>
      </c>
      <c r="R1002">
        <v>0</v>
      </c>
      <c r="T1002" t="s">
        <v>2965</v>
      </c>
      <c r="U1002" t="s">
        <v>3055</v>
      </c>
      <c r="V1002" t="s">
        <v>3056</v>
      </c>
    </row>
    <row r="1003" spans="1:22">
      <c r="A1003">
        <v>1002</v>
      </c>
      <c r="B1003" t="s">
        <v>2245</v>
      </c>
      <c r="C1003" t="s">
        <v>2246</v>
      </c>
      <c r="D1003" t="s">
        <v>7</v>
      </c>
      <c r="E1003" t="s">
        <v>8</v>
      </c>
      <c r="F1003" s="22">
        <v>1364</v>
      </c>
      <c r="G1003" s="22">
        <v>366</v>
      </c>
      <c r="H1003" s="22">
        <v>154</v>
      </c>
      <c r="I1003" s="22">
        <v>1576</v>
      </c>
      <c r="J1003">
        <v>0</v>
      </c>
      <c r="K1003">
        <v>0</v>
      </c>
      <c r="L1003" s="22">
        <v>1576</v>
      </c>
      <c r="M1003" s="22">
        <v>0</v>
      </c>
      <c r="N1003" s="22">
        <v>0</v>
      </c>
      <c r="O1003" s="22">
        <v>1576</v>
      </c>
      <c r="P1003" s="22">
        <v>800</v>
      </c>
      <c r="Q1003" s="22">
        <v>776</v>
      </c>
      <c r="R1003">
        <v>200</v>
      </c>
      <c r="T1003" t="s">
        <v>2965</v>
      </c>
      <c r="U1003" t="s">
        <v>3055</v>
      </c>
      <c r="V1003" t="s">
        <v>3056</v>
      </c>
    </row>
    <row r="1004" spans="1:22">
      <c r="A1004">
        <v>1003</v>
      </c>
      <c r="B1004" t="s">
        <v>2247</v>
      </c>
      <c r="C1004" t="s">
        <v>2248</v>
      </c>
      <c r="D1004" t="s">
        <v>7</v>
      </c>
      <c r="E1004" t="s">
        <v>8</v>
      </c>
      <c r="F1004" s="22">
        <v>268</v>
      </c>
      <c r="G1004" s="22">
        <v>341</v>
      </c>
      <c r="H1004" s="22">
        <v>134</v>
      </c>
      <c r="I1004" s="22">
        <v>475</v>
      </c>
      <c r="J1004">
        <v>0</v>
      </c>
      <c r="K1004">
        <v>0</v>
      </c>
      <c r="L1004" s="22">
        <v>475</v>
      </c>
      <c r="M1004" s="22">
        <v>0</v>
      </c>
      <c r="N1004" s="22">
        <v>0</v>
      </c>
      <c r="O1004" s="22">
        <v>475</v>
      </c>
      <c r="P1004" s="22">
        <v>400</v>
      </c>
      <c r="Q1004" s="22">
        <v>75</v>
      </c>
      <c r="R1004">
        <v>300</v>
      </c>
      <c r="T1004" t="s">
        <v>2965</v>
      </c>
      <c r="U1004" t="s">
        <v>3055</v>
      </c>
      <c r="V1004" t="s">
        <v>3056</v>
      </c>
    </row>
    <row r="1005" spans="1:22">
      <c r="A1005">
        <v>1004</v>
      </c>
      <c r="B1005" t="s">
        <v>2249</v>
      </c>
      <c r="C1005" t="s">
        <v>2250</v>
      </c>
      <c r="D1005" t="s">
        <v>7</v>
      </c>
      <c r="E1005" t="s">
        <v>8</v>
      </c>
      <c r="F1005" s="22">
        <v>1089</v>
      </c>
      <c r="G1005" s="22">
        <v>0</v>
      </c>
      <c r="H1005" s="22">
        <v>307</v>
      </c>
      <c r="I1005" s="22">
        <v>782</v>
      </c>
      <c r="J1005">
        <v>0</v>
      </c>
      <c r="K1005">
        <v>0</v>
      </c>
      <c r="L1005" s="22">
        <v>782</v>
      </c>
      <c r="M1005" s="22">
        <v>0</v>
      </c>
      <c r="N1005" s="22">
        <v>0</v>
      </c>
      <c r="O1005" s="22">
        <v>782</v>
      </c>
      <c r="P1005" s="22">
        <v>800</v>
      </c>
      <c r="Q1005" s="22">
        <v>-18</v>
      </c>
      <c r="R1005">
        <v>500</v>
      </c>
      <c r="T1005" t="s">
        <v>2965</v>
      </c>
      <c r="U1005" t="s">
        <v>3055</v>
      </c>
      <c r="V1005" t="s">
        <v>3056</v>
      </c>
    </row>
    <row r="1006" spans="1:22">
      <c r="A1006">
        <v>1005</v>
      </c>
      <c r="B1006" t="s">
        <v>2135</v>
      </c>
      <c r="C1006" t="s">
        <v>2136</v>
      </c>
      <c r="D1006" t="s">
        <v>2130</v>
      </c>
      <c r="E1006" t="s">
        <v>8</v>
      </c>
      <c r="F1006" s="22">
        <v>0</v>
      </c>
      <c r="G1006" s="22">
        <v>0</v>
      </c>
      <c r="H1006" s="22">
        <v>0</v>
      </c>
      <c r="I1006" s="22">
        <v>0</v>
      </c>
      <c r="J1006">
        <v>0</v>
      </c>
      <c r="K1006">
        <v>0</v>
      </c>
      <c r="L1006" s="22">
        <v>0</v>
      </c>
      <c r="M1006" s="22">
        <v>0</v>
      </c>
      <c r="N1006" s="22">
        <v>0</v>
      </c>
      <c r="O1006" s="22">
        <v>0</v>
      </c>
      <c r="P1006" s="22">
        <v>0</v>
      </c>
      <c r="Q1006" s="22">
        <v>0</v>
      </c>
      <c r="R1006">
        <v>0</v>
      </c>
      <c r="T1006" t="s">
        <v>2998</v>
      </c>
      <c r="U1006" t="s">
        <v>3057</v>
      </c>
      <c r="V1006" t="s">
        <v>3056</v>
      </c>
    </row>
    <row r="1007" spans="1:22">
      <c r="A1007">
        <v>1006</v>
      </c>
      <c r="B1007" t="s">
        <v>2137</v>
      </c>
      <c r="C1007" t="s">
        <v>2138</v>
      </c>
      <c r="D1007" t="s">
        <v>2130</v>
      </c>
      <c r="E1007" t="s">
        <v>8</v>
      </c>
      <c r="F1007" s="22">
        <v>0</v>
      </c>
      <c r="G1007" s="22">
        <v>0</v>
      </c>
      <c r="H1007" s="22">
        <v>0</v>
      </c>
      <c r="I1007" s="22">
        <v>0</v>
      </c>
      <c r="J1007">
        <v>0</v>
      </c>
      <c r="K1007">
        <v>0</v>
      </c>
      <c r="L1007" s="22">
        <v>0</v>
      </c>
      <c r="M1007" s="22">
        <v>0</v>
      </c>
      <c r="N1007" s="22">
        <v>0</v>
      </c>
      <c r="O1007" s="22">
        <v>0</v>
      </c>
      <c r="P1007" s="22">
        <v>0</v>
      </c>
      <c r="Q1007" s="22">
        <v>0</v>
      </c>
      <c r="R1007">
        <v>0</v>
      </c>
      <c r="T1007" t="s">
        <v>2998</v>
      </c>
      <c r="U1007" t="s">
        <v>3057</v>
      </c>
      <c r="V1007" t="s">
        <v>3056</v>
      </c>
    </row>
    <row r="1008" spans="1:22">
      <c r="A1008">
        <v>1007</v>
      </c>
      <c r="B1008" t="s">
        <v>2257</v>
      </c>
      <c r="C1008" t="s">
        <v>2258</v>
      </c>
      <c r="D1008" t="s">
        <v>17</v>
      </c>
      <c r="E1008" t="s">
        <v>8</v>
      </c>
      <c r="F1008" s="22">
        <v>0</v>
      </c>
      <c r="G1008" s="22">
        <v>0</v>
      </c>
      <c r="H1008" s="22">
        <v>0</v>
      </c>
      <c r="I1008" s="22">
        <v>0</v>
      </c>
      <c r="J1008">
        <v>0</v>
      </c>
      <c r="K1008">
        <v>0</v>
      </c>
      <c r="L1008" s="22">
        <v>0</v>
      </c>
      <c r="M1008" s="22">
        <v>0</v>
      </c>
      <c r="N1008" s="22">
        <v>0</v>
      </c>
      <c r="O1008" s="22">
        <v>0</v>
      </c>
      <c r="P1008" s="22">
        <v>0</v>
      </c>
      <c r="Q1008" s="22">
        <v>0</v>
      </c>
      <c r="R1008">
        <v>0</v>
      </c>
      <c r="T1008" t="s">
        <v>3000</v>
      </c>
      <c r="U1008" t="s">
        <v>3059</v>
      </c>
      <c r="V1008" t="s">
        <v>3056</v>
      </c>
    </row>
    <row r="1009" spans="1:22">
      <c r="A1009">
        <v>1008</v>
      </c>
      <c r="B1009" t="s">
        <v>2259</v>
      </c>
      <c r="C1009" t="s">
        <v>2260</v>
      </c>
      <c r="D1009" t="s">
        <v>17</v>
      </c>
      <c r="E1009" t="s">
        <v>8</v>
      </c>
      <c r="F1009" s="22">
        <v>0</v>
      </c>
      <c r="G1009" s="22">
        <v>0</v>
      </c>
      <c r="H1009" s="22">
        <v>0</v>
      </c>
      <c r="I1009" s="22">
        <v>0</v>
      </c>
      <c r="J1009">
        <v>0</v>
      </c>
      <c r="K1009">
        <v>0</v>
      </c>
      <c r="L1009" s="22">
        <v>0</v>
      </c>
      <c r="M1009" s="22">
        <v>0</v>
      </c>
      <c r="N1009" s="22">
        <v>0</v>
      </c>
      <c r="O1009" s="22">
        <v>0</v>
      </c>
      <c r="P1009" s="22">
        <v>0</v>
      </c>
      <c r="Q1009" s="22">
        <v>0</v>
      </c>
      <c r="R1009">
        <v>0</v>
      </c>
      <c r="T1009" t="s">
        <v>2982</v>
      </c>
      <c r="U1009" t="s">
        <v>3060</v>
      </c>
      <c r="V1009" t="s">
        <v>3064</v>
      </c>
    </row>
    <row r="1010" spans="1:22">
      <c r="A1010">
        <v>1009</v>
      </c>
      <c r="B1010" t="s">
        <v>2261</v>
      </c>
      <c r="C1010" t="s">
        <v>2262</v>
      </c>
      <c r="D1010" t="s">
        <v>17</v>
      </c>
      <c r="E1010" t="s">
        <v>8</v>
      </c>
      <c r="F1010" s="22">
        <v>0</v>
      </c>
      <c r="G1010" s="22">
        <v>0</v>
      </c>
      <c r="H1010" s="22">
        <v>0</v>
      </c>
      <c r="I1010" s="22">
        <v>0</v>
      </c>
      <c r="J1010">
        <v>0</v>
      </c>
      <c r="K1010">
        <v>0</v>
      </c>
      <c r="L1010" s="22">
        <v>0</v>
      </c>
      <c r="M1010" s="22">
        <v>0</v>
      </c>
      <c r="N1010" s="22">
        <v>0</v>
      </c>
      <c r="O1010" s="22">
        <v>0</v>
      </c>
      <c r="P1010" s="22">
        <v>0</v>
      </c>
      <c r="Q1010" s="22">
        <v>0</v>
      </c>
      <c r="R1010">
        <v>0</v>
      </c>
      <c r="T1010" t="s">
        <v>2982</v>
      </c>
      <c r="U1010" t="s">
        <v>3060</v>
      </c>
      <c r="V1010" t="s">
        <v>3058</v>
      </c>
    </row>
    <row r="1011" spans="1:22">
      <c r="A1011">
        <v>1010</v>
      </c>
      <c r="B1011" t="s">
        <v>2263</v>
      </c>
      <c r="C1011" t="s">
        <v>2264</v>
      </c>
      <c r="D1011" t="s">
        <v>17</v>
      </c>
      <c r="E1011" t="s">
        <v>8</v>
      </c>
      <c r="F1011" s="22">
        <v>0</v>
      </c>
      <c r="G1011" s="22">
        <v>0</v>
      </c>
      <c r="H1011" s="22">
        <v>0</v>
      </c>
      <c r="I1011" s="22">
        <v>0</v>
      </c>
      <c r="J1011">
        <v>0</v>
      </c>
      <c r="K1011">
        <v>0</v>
      </c>
      <c r="L1011" s="22">
        <v>0</v>
      </c>
      <c r="M1011" s="22">
        <v>0</v>
      </c>
      <c r="N1011" s="22">
        <v>0</v>
      </c>
      <c r="O1011" s="22">
        <v>0</v>
      </c>
      <c r="P1011" s="22">
        <v>0</v>
      </c>
      <c r="Q1011" s="22">
        <v>0</v>
      </c>
      <c r="R1011">
        <v>0</v>
      </c>
      <c r="T1011" t="s">
        <v>2982</v>
      </c>
      <c r="U1011" t="s">
        <v>3060</v>
      </c>
      <c r="V1011" t="s">
        <v>3058</v>
      </c>
    </row>
    <row r="1012" spans="1:22">
      <c r="A1012">
        <v>1011</v>
      </c>
      <c r="B1012" t="s">
        <v>2265</v>
      </c>
      <c r="C1012" t="s">
        <v>2266</v>
      </c>
      <c r="D1012" t="s">
        <v>17</v>
      </c>
      <c r="E1012" t="s">
        <v>8</v>
      </c>
      <c r="F1012" s="22">
        <v>0</v>
      </c>
      <c r="G1012" s="22">
        <v>0</v>
      </c>
      <c r="H1012" s="22">
        <v>0</v>
      </c>
      <c r="I1012" s="22">
        <v>0</v>
      </c>
      <c r="J1012">
        <v>0</v>
      </c>
      <c r="K1012">
        <v>0</v>
      </c>
      <c r="L1012" s="22">
        <v>0</v>
      </c>
      <c r="M1012" s="22">
        <v>0</v>
      </c>
      <c r="N1012" s="22">
        <v>0</v>
      </c>
      <c r="O1012" s="22">
        <v>0</v>
      </c>
      <c r="P1012" s="22">
        <v>0</v>
      </c>
      <c r="Q1012" s="22">
        <v>0</v>
      </c>
      <c r="R1012">
        <v>0</v>
      </c>
      <c r="T1012" t="s">
        <v>2982</v>
      </c>
      <c r="U1012" t="s">
        <v>3060</v>
      </c>
      <c r="V1012" t="s">
        <v>3058</v>
      </c>
    </row>
    <row r="1013" spans="1:22">
      <c r="A1013">
        <v>1012</v>
      </c>
      <c r="B1013" t="s">
        <v>2267</v>
      </c>
      <c r="C1013" t="s">
        <v>2268</v>
      </c>
      <c r="D1013" t="s">
        <v>17</v>
      </c>
      <c r="E1013" t="s">
        <v>8</v>
      </c>
      <c r="F1013" s="22">
        <v>0</v>
      </c>
      <c r="G1013" s="22">
        <v>0</v>
      </c>
      <c r="H1013" s="22">
        <v>0</v>
      </c>
      <c r="I1013" s="22">
        <v>0</v>
      </c>
      <c r="J1013">
        <v>0</v>
      </c>
      <c r="K1013">
        <v>0</v>
      </c>
      <c r="L1013" s="22">
        <v>0</v>
      </c>
      <c r="M1013" s="22">
        <v>0</v>
      </c>
      <c r="N1013" s="22">
        <v>0</v>
      </c>
      <c r="O1013" s="22">
        <v>0</v>
      </c>
      <c r="P1013" s="22">
        <v>0</v>
      </c>
      <c r="Q1013" s="22">
        <v>0</v>
      </c>
      <c r="R1013">
        <v>0</v>
      </c>
      <c r="T1013" t="s">
        <v>2982</v>
      </c>
      <c r="U1013" t="s">
        <v>3060</v>
      </c>
      <c r="V1013" t="s">
        <v>3058</v>
      </c>
    </row>
    <row r="1014" spans="1:22">
      <c r="A1014">
        <v>1013</v>
      </c>
      <c r="B1014" t="s">
        <v>2155</v>
      </c>
      <c r="C1014" t="s">
        <v>2156</v>
      </c>
      <c r="D1014" t="s">
        <v>17</v>
      </c>
      <c r="E1014" t="s">
        <v>8</v>
      </c>
      <c r="F1014" s="22">
        <v>0</v>
      </c>
      <c r="G1014" s="22">
        <v>0</v>
      </c>
      <c r="H1014" s="22">
        <v>0</v>
      </c>
      <c r="I1014" s="22">
        <v>0</v>
      </c>
      <c r="J1014">
        <v>0</v>
      </c>
      <c r="K1014">
        <v>0</v>
      </c>
      <c r="L1014" s="22">
        <v>0</v>
      </c>
      <c r="M1014" s="22">
        <v>0</v>
      </c>
      <c r="N1014" s="22">
        <v>0</v>
      </c>
      <c r="O1014" s="22">
        <v>0</v>
      </c>
      <c r="P1014" s="22">
        <v>0</v>
      </c>
      <c r="Q1014" s="22">
        <v>0</v>
      </c>
      <c r="R1014">
        <v>0</v>
      </c>
      <c r="T1014" t="s">
        <v>2991</v>
      </c>
      <c r="U1014" t="s">
        <v>3057</v>
      </c>
      <c r="V1014" t="s">
        <v>3056</v>
      </c>
    </row>
    <row r="1015" spans="1:22">
      <c r="A1015">
        <v>1014</v>
      </c>
      <c r="B1015" t="s">
        <v>2157</v>
      </c>
      <c r="C1015" t="s">
        <v>2158</v>
      </c>
      <c r="D1015" t="s">
        <v>17</v>
      </c>
      <c r="E1015" t="s">
        <v>8</v>
      </c>
      <c r="F1015" s="22">
        <v>0</v>
      </c>
      <c r="G1015" s="22">
        <v>0</v>
      </c>
      <c r="H1015" s="22">
        <v>0</v>
      </c>
      <c r="I1015" s="22">
        <v>0</v>
      </c>
      <c r="J1015">
        <v>0</v>
      </c>
      <c r="K1015">
        <v>0</v>
      </c>
      <c r="L1015" s="22">
        <v>0</v>
      </c>
      <c r="M1015" s="22">
        <v>0</v>
      </c>
      <c r="N1015" s="22">
        <v>0</v>
      </c>
      <c r="O1015" s="22">
        <v>0</v>
      </c>
      <c r="P1015" s="22">
        <v>0</v>
      </c>
      <c r="Q1015" s="22">
        <v>0</v>
      </c>
      <c r="R1015">
        <v>0</v>
      </c>
      <c r="T1015" t="s">
        <v>2991</v>
      </c>
      <c r="U1015" t="s">
        <v>3057</v>
      </c>
      <c r="V1015" t="s">
        <v>3056</v>
      </c>
    </row>
    <row r="1016" spans="1:22">
      <c r="A1016">
        <v>1015</v>
      </c>
      <c r="B1016" t="s">
        <v>2159</v>
      </c>
      <c r="C1016" t="s">
        <v>2160</v>
      </c>
      <c r="D1016" t="s">
        <v>17</v>
      </c>
      <c r="E1016" t="s">
        <v>8</v>
      </c>
      <c r="F1016" s="22">
        <v>0</v>
      </c>
      <c r="G1016" s="22">
        <v>0</v>
      </c>
      <c r="H1016" s="22">
        <v>0</v>
      </c>
      <c r="I1016" s="22">
        <v>0</v>
      </c>
      <c r="J1016">
        <v>0</v>
      </c>
      <c r="K1016">
        <v>0</v>
      </c>
      <c r="L1016" s="22">
        <v>0</v>
      </c>
      <c r="M1016" s="22">
        <v>0</v>
      </c>
      <c r="N1016" s="22">
        <v>0</v>
      </c>
      <c r="O1016" s="22">
        <v>0</v>
      </c>
      <c r="P1016" s="22">
        <v>0</v>
      </c>
      <c r="Q1016" s="22">
        <v>0</v>
      </c>
      <c r="R1016">
        <v>0</v>
      </c>
      <c r="T1016" t="s">
        <v>2991</v>
      </c>
      <c r="U1016" t="s">
        <v>3057</v>
      </c>
      <c r="V1016" t="s">
        <v>3056</v>
      </c>
    </row>
    <row r="1017" spans="1:22">
      <c r="A1017">
        <v>1016</v>
      </c>
      <c r="B1017" t="s">
        <v>2161</v>
      </c>
      <c r="C1017" t="s">
        <v>2162</v>
      </c>
      <c r="D1017" t="s">
        <v>17</v>
      </c>
      <c r="E1017" t="s">
        <v>8</v>
      </c>
      <c r="F1017" s="22">
        <v>0</v>
      </c>
      <c r="G1017" s="22">
        <v>0</v>
      </c>
      <c r="H1017" s="22">
        <v>0</v>
      </c>
      <c r="I1017" s="22">
        <v>0</v>
      </c>
      <c r="J1017">
        <v>0</v>
      </c>
      <c r="K1017">
        <v>0</v>
      </c>
      <c r="L1017" s="22">
        <v>0</v>
      </c>
      <c r="M1017" s="22">
        <v>0</v>
      </c>
      <c r="N1017" s="22">
        <v>0</v>
      </c>
      <c r="O1017" s="22">
        <v>0</v>
      </c>
      <c r="P1017" s="22">
        <v>0</v>
      </c>
      <c r="Q1017" s="22">
        <v>0</v>
      </c>
      <c r="R1017">
        <v>0</v>
      </c>
      <c r="T1017" t="s">
        <v>2991</v>
      </c>
      <c r="U1017" t="s">
        <v>3057</v>
      </c>
      <c r="V1017" t="s">
        <v>3056</v>
      </c>
    </row>
    <row r="1018" spans="1:22">
      <c r="A1018">
        <v>1017</v>
      </c>
      <c r="B1018" t="s">
        <v>2163</v>
      </c>
      <c r="C1018" t="s">
        <v>2164</v>
      </c>
      <c r="D1018" t="s">
        <v>17</v>
      </c>
      <c r="E1018" t="s">
        <v>8</v>
      </c>
      <c r="F1018" s="22">
        <v>0</v>
      </c>
      <c r="G1018" s="22">
        <v>0</v>
      </c>
      <c r="H1018" s="22">
        <v>0</v>
      </c>
      <c r="I1018" s="22">
        <v>0</v>
      </c>
      <c r="J1018">
        <v>0</v>
      </c>
      <c r="K1018">
        <v>0</v>
      </c>
      <c r="L1018" s="22">
        <v>0</v>
      </c>
      <c r="M1018" s="22">
        <v>0</v>
      </c>
      <c r="N1018" s="22">
        <v>0</v>
      </c>
      <c r="O1018" s="22">
        <v>0</v>
      </c>
      <c r="P1018" s="22">
        <v>0</v>
      </c>
      <c r="Q1018" s="22">
        <v>0</v>
      </c>
      <c r="R1018">
        <v>0</v>
      </c>
      <c r="T1018" t="s">
        <v>2991</v>
      </c>
      <c r="U1018" t="s">
        <v>3057</v>
      </c>
      <c r="V1018" t="s">
        <v>3056</v>
      </c>
    </row>
    <row r="1019" spans="1:22">
      <c r="A1019">
        <v>1018</v>
      </c>
      <c r="B1019" t="s">
        <v>2165</v>
      </c>
      <c r="C1019" t="s">
        <v>2166</v>
      </c>
      <c r="D1019" t="s">
        <v>17</v>
      </c>
      <c r="E1019" t="s">
        <v>8</v>
      </c>
      <c r="F1019" s="22">
        <v>0</v>
      </c>
      <c r="G1019" s="22">
        <v>0</v>
      </c>
      <c r="H1019" s="22">
        <v>0</v>
      </c>
      <c r="I1019" s="22">
        <v>0</v>
      </c>
      <c r="J1019">
        <v>0</v>
      </c>
      <c r="K1019">
        <v>0</v>
      </c>
      <c r="L1019" s="22">
        <v>0</v>
      </c>
      <c r="M1019" s="22">
        <v>0</v>
      </c>
      <c r="N1019" s="22">
        <v>0</v>
      </c>
      <c r="O1019" s="22">
        <v>0</v>
      </c>
      <c r="P1019" s="22">
        <v>0</v>
      </c>
      <c r="Q1019" s="22">
        <v>0</v>
      </c>
      <c r="R1019">
        <v>0</v>
      </c>
      <c r="T1019" t="s">
        <v>2991</v>
      </c>
      <c r="U1019" t="s">
        <v>3057</v>
      </c>
      <c r="V1019" t="s">
        <v>3058</v>
      </c>
    </row>
    <row r="1020" spans="1:22">
      <c r="A1020">
        <v>1019</v>
      </c>
      <c r="B1020" t="s">
        <v>2169</v>
      </c>
      <c r="C1020" t="s">
        <v>2170</v>
      </c>
      <c r="D1020" t="s">
        <v>20</v>
      </c>
      <c r="E1020" t="s">
        <v>8</v>
      </c>
      <c r="F1020" s="22">
        <v>0</v>
      </c>
      <c r="G1020" s="22">
        <v>0</v>
      </c>
      <c r="H1020" s="22">
        <v>0</v>
      </c>
      <c r="I1020" s="22">
        <v>0</v>
      </c>
      <c r="J1020">
        <v>0</v>
      </c>
      <c r="K1020">
        <v>0</v>
      </c>
      <c r="L1020" s="22">
        <v>0</v>
      </c>
      <c r="M1020" s="22">
        <v>0</v>
      </c>
      <c r="N1020" s="22">
        <v>0</v>
      </c>
      <c r="O1020" s="22">
        <v>0</v>
      </c>
      <c r="P1020" s="22">
        <v>0</v>
      </c>
      <c r="Q1020" s="22">
        <v>0</v>
      </c>
      <c r="R1020">
        <v>300</v>
      </c>
      <c r="T1020" t="s">
        <v>2991</v>
      </c>
      <c r="U1020" t="s">
        <v>3057</v>
      </c>
      <c r="V1020" t="s">
        <v>3056</v>
      </c>
    </row>
    <row r="1021" spans="1:22">
      <c r="A1021">
        <v>1020</v>
      </c>
      <c r="B1021" t="s">
        <v>2171</v>
      </c>
      <c r="C1021" t="s">
        <v>2172</v>
      </c>
      <c r="D1021" t="s">
        <v>17</v>
      </c>
      <c r="E1021" t="s">
        <v>8</v>
      </c>
      <c r="F1021" s="22">
        <v>8352</v>
      </c>
      <c r="G1021" s="22">
        <v>0</v>
      </c>
      <c r="H1021" s="22">
        <v>2136</v>
      </c>
      <c r="I1021" s="22">
        <v>6216</v>
      </c>
      <c r="J1021">
        <v>0</v>
      </c>
      <c r="K1021">
        <v>0</v>
      </c>
      <c r="L1021" s="22">
        <v>6216</v>
      </c>
      <c r="M1021" s="22">
        <v>0</v>
      </c>
      <c r="N1021" s="22">
        <v>0</v>
      </c>
      <c r="O1021" s="22">
        <v>6216</v>
      </c>
      <c r="P1021" s="22">
        <v>4000</v>
      </c>
      <c r="Q1021" s="22">
        <v>2216</v>
      </c>
      <c r="R1021">
        <v>0</v>
      </c>
      <c r="T1021" t="s">
        <v>2972</v>
      </c>
      <c r="U1021" t="s">
        <v>3057</v>
      </c>
      <c r="V1021" t="s">
        <v>3056</v>
      </c>
    </row>
    <row r="1022" spans="1:22">
      <c r="A1022">
        <v>1021</v>
      </c>
      <c r="B1022" t="s">
        <v>2287</v>
      </c>
      <c r="C1022" t="s">
        <v>2288</v>
      </c>
      <c r="D1022" t="s">
        <v>135</v>
      </c>
      <c r="E1022" t="s">
        <v>8</v>
      </c>
      <c r="F1022" s="22">
        <v>0</v>
      </c>
      <c r="G1022" s="22">
        <v>0</v>
      </c>
      <c r="H1022" s="22">
        <v>0</v>
      </c>
      <c r="I1022" s="22">
        <v>0</v>
      </c>
      <c r="J1022">
        <v>0</v>
      </c>
      <c r="K1022">
        <v>0</v>
      </c>
      <c r="L1022" s="22">
        <v>0</v>
      </c>
      <c r="M1022" s="22">
        <v>0</v>
      </c>
      <c r="N1022" s="22">
        <v>0</v>
      </c>
      <c r="O1022" s="22">
        <v>0</v>
      </c>
      <c r="P1022" s="22">
        <v>0</v>
      </c>
      <c r="Q1022" s="22">
        <v>0</v>
      </c>
      <c r="R1022">
        <v>0</v>
      </c>
      <c r="T1022" t="s">
        <v>2982</v>
      </c>
      <c r="U1022" t="s">
        <v>3060</v>
      </c>
      <c r="V1022" t="s">
        <v>3058</v>
      </c>
    </row>
    <row r="1023" spans="1:22">
      <c r="A1023">
        <v>1022</v>
      </c>
      <c r="B1023" t="s">
        <v>2253</v>
      </c>
      <c r="C1023" t="s">
        <v>2254</v>
      </c>
      <c r="D1023" t="s">
        <v>17</v>
      </c>
      <c r="E1023" t="s">
        <v>8</v>
      </c>
      <c r="F1023" s="22">
        <v>0</v>
      </c>
      <c r="G1023" s="22">
        <v>0</v>
      </c>
      <c r="H1023" s="22">
        <v>0</v>
      </c>
      <c r="I1023" s="22">
        <v>0</v>
      </c>
      <c r="J1023">
        <v>0</v>
      </c>
      <c r="K1023">
        <v>0</v>
      </c>
      <c r="L1023" s="22">
        <v>0</v>
      </c>
      <c r="M1023" s="22">
        <v>0</v>
      </c>
      <c r="N1023" s="22">
        <v>0</v>
      </c>
      <c r="O1023" s="22">
        <v>0</v>
      </c>
      <c r="P1023" s="22">
        <v>0</v>
      </c>
      <c r="Q1023" s="22">
        <v>0</v>
      </c>
      <c r="R1023">
        <v>0</v>
      </c>
      <c r="T1023" t="s">
        <v>2998</v>
      </c>
      <c r="U1023" t="s">
        <v>3057</v>
      </c>
      <c r="V1023" t="s">
        <v>3056</v>
      </c>
    </row>
    <row r="1024" spans="1:22">
      <c r="A1024">
        <v>1023</v>
      </c>
      <c r="B1024" t="s">
        <v>2457</v>
      </c>
      <c r="C1024" t="s">
        <v>3169</v>
      </c>
      <c r="D1024" t="s">
        <v>17</v>
      </c>
      <c r="E1024" t="s">
        <v>8</v>
      </c>
      <c r="F1024" s="22">
        <v>0</v>
      </c>
      <c r="G1024" s="22">
        <v>0</v>
      </c>
      <c r="H1024" s="22">
        <v>0</v>
      </c>
      <c r="I1024" s="22">
        <v>0</v>
      </c>
      <c r="J1024">
        <v>0</v>
      </c>
      <c r="K1024">
        <v>0</v>
      </c>
      <c r="L1024" s="22">
        <v>0</v>
      </c>
      <c r="M1024" s="22">
        <v>0</v>
      </c>
      <c r="N1024" s="22">
        <v>0</v>
      </c>
      <c r="O1024" s="22">
        <v>0</v>
      </c>
      <c r="P1024" s="22">
        <v>0</v>
      </c>
      <c r="Q1024" s="22">
        <v>0</v>
      </c>
      <c r="R1024">
        <v>0</v>
      </c>
      <c r="T1024" t="s">
        <v>2972</v>
      </c>
      <c r="U1024" t="s">
        <v>3055</v>
      </c>
      <c r="V1024" t="s">
        <v>3056</v>
      </c>
    </row>
    <row r="1025" spans="1:22">
      <c r="A1025">
        <v>1024</v>
      </c>
      <c r="B1025" t="s">
        <v>2291</v>
      </c>
      <c r="C1025" t="s">
        <v>2292</v>
      </c>
      <c r="D1025" t="s">
        <v>17</v>
      </c>
      <c r="E1025" t="s">
        <v>8</v>
      </c>
      <c r="F1025" s="22">
        <v>377</v>
      </c>
      <c r="G1025" s="22">
        <v>0</v>
      </c>
      <c r="H1025" s="22">
        <v>0</v>
      </c>
      <c r="I1025" s="22">
        <v>377</v>
      </c>
      <c r="J1025">
        <v>0</v>
      </c>
      <c r="K1025">
        <v>0</v>
      </c>
      <c r="L1025" s="22">
        <v>377</v>
      </c>
      <c r="M1025" s="22">
        <v>0</v>
      </c>
      <c r="N1025" s="22">
        <v>0</v>
      </c>
      <c r="O1025" s="22">
        <v>377</v>
      </c>
      <c r="P1025" s="22">
        <v>0</v>
      </c>
      <c r="Q1025" s="22">
        <v>377</v>
      </c>
      <c r="R1025">
        <v>0</v>
      </c>
      <c r="T1025" t="s">
        <v>2972</v>
      </c>
      <c r="U1025" t="s">
        <v>3055</v>
      </c>
      <c r="V1025" t="s">
        <v>3056</v>
      </c>
    </row>
    <row r="1026" spans="1:22">
      <c r="A1026">
        <v>1025</v>
      </c>
      <c r="B1026" t="s">
        <v>2293</v>
      </c>
      <c r="C1026" t="s">
        <v>2294</v>
      </c>
      <c r="D1026" t="s">
        <v>17</v>
      </c>
      <c r="E1026" t="s">
        <v>8</v>
      </c>
      <c r="F1026" s="22">
        <v>0</v>
      </c>
      <c r="G1026" s="22">
        <v>0</v>
      </c>
      <c r="H1026" s="22">
        <v>0</v>
      </c>
      <c r="I1026" s="22">
        <v>0</v>
      </c>
      <c r="J1026">
        <v>0</v>
      </c>
      <c r="K1026">
        <v>0</v>
      </c>
      <c r="L1026" s="22">
        <v>0</v>
      </c>
      <c r="M1026" s="22">
        <v>0</v>
      </c>
      <c r="N1026" s="22">
        <v>0</v>
      </c>
      <c r="O1026" s="22">
        <v>0</v>
      </c>
      <c r="P1026" s="22">
        <v>0</v>
      </c>
      <c r="Q1026" s="22">
        <v>0</v>
      </c>
      <c r="R1026">
        <v>0</v>
      </c>
      <c r="T1026" t="s">
        <v>2982</v>
      </c>
      <c r="U1026" t="s">
        <v>3060</v>
      </c>
      <c r="V1026" t="s">
        <v>3058</v>
      </c>
    </row>
    <row r="1027" spans="1:22">
      <c r="A1027">
        <v>1026</v>
      </c>
      <c r="B1027" t="s">
        <v>2255</v>
      </c>
      <c r="C1027" t="s">
        <v>2256</v>
      </c>
      <c r="D1027" t="s">
        <v>17</v>
      </c>
      <c r="E1027" t="s">
        <v>8</v>
      </c>
      <c r="F1027" s="22">
        <v>0</v>
      </c>
      <c r="G1027" s="22">
        <v>0</v>
      </c>
      <c r="H1027" s="22">
        <v>0</v>
      </c>
      <c r="I1027" s="22">
        <v>0</v>
      </c>
      <c r="J1027">
        <v>0</v>
      </c>
      <c r="K1027">
        <v>0</v>
      </c>
      <c r="L1027" s="22">
        <v>0</v>
      </c>
      <c r="M1027" s="22">
        <v>0</v>
      </c>
      <c r="N1027" s="22">
        <v>0</v>
      </c>
      <c r="O1027" s="22">
        <v>0</v>
      </c>
      <c r="P1027" s="22">
        <v>0</v>
      </c>
      <c r="Q1027" s="22">
        <v>0</v>
      </c>
      <c r="R1027">
        <v>0</v>
      </c>
      <c r="T1027" t="s">
        <v>2998</v>
      </c>
      <c r="U1027" t="s">
        <v>3057</v>
      </c>
      <c r="V1027" t="s">
        <v>3056</v>
      </c>
    </row>
    <row r="1028" spans="1:22">
      <c r="A1028">
        <v>1027</v>
      </c>
      <c r="B1028" t="s">
        <v>2269</v>
      </c>
      <c r="C1028" t="s">
        <v>2270</v>
      </c>
      <c r="D1028" t="s">
        <v>17</v>
      </c>
      <c r="E1028" t="s">
        <v>8</v>
      </c>
      <c r="F1028" s="22">
        <v>0</v>
      </c>
      <c r="G1028" s="22">
        <v>0</v>
      </c>
      <c r="H1028" s="22">
        <v>0</v>
      </c>
      <c r="I1028" s="22">
        <v>0</v>
      </c>
      <c r="J1028">
        <v>0</v>
      </c>
      <c r="K1028">
        <v>0</v>
      </c>
      <c r="L1028" s="22">
        <v>0</v>
      </c>
      <c r="M1028" s="22">
        <v>0</v>
      </c>
      <c r="N1028" s="22">
        <v>0</v>
      </c>
      <c r="O1028" s="22">
        <v>0</v>
      </c>
      <c r="P1028" s="22">
        <v>0</v>
      </c>
      <c r="Q1028" s="22">
        <v>0</v>
      </c>
      <c r="R1028">
        <v>0</v>
      </c>
      <c r="T1028" t="s">
        <v>2972</v>
      </c>
      <c r="U1028" t="s">
        <v>3057</v>
      </c>
      <c r="V1028" t="s">
        <v>3056</v>
      </c>
    </row>
    <row r="1029" spans="1:22">
      <c r="A1029">
        <v>1028</v>
      </c>
      <c r="B1029" t="s">
        <v>2271</v>
      </c>
      <c r="C1029" t="s">
        <v>2272</v>
      </c>
      <c r="D1029" t="s">
        <v>17</v>
      </c>
      <c r="E1029" t="s">
        <v>8</v>
      </c>
      <c r="F1029" s="22">
        <v>0</v>
      </c>
      <c r="G1029" s="22">
        <v>0</v>
      </c>
      <c r="H1029" s="22">
        <v>0</v>
      </c>
      <c r="I1029" s="22">
        <v>0</v>
      </c>
      <c r="J1029">
        <v>0</v>
      </c>
      <c r="K1029">
        <v>0</v>
      </c>
      <c r="L1029" s="22">
        <v>0</v>
      </c>
      <c r="M1029" s="22">
        <v>0</v>
      </c>
      <c r="N1029" s="22">
        <v>0</v>
      </c>
      <c r="O1029" s="22">
        <v>0</v>
      </c>
      <c r="P1029" s="22">
        <v>0</v>
      </c>
      <c r="Q1029" s="22">
        <v>0</v>
      </c>
      <c r="R1029">
        <v>0</v>
      </c>
      <c r="T1029" t="s">
        <v>2991</v>
      </c>
      <c r="U1029" t="s">
        <v>3057</v>
      </c>
      <c r="V1029" t="s">
        <v>3058</v>
      </c>
    </row>
    <row r="1030" spans="1:22">
      <c r="A1030">
        <v>1029</v>
      </c>
      <c r="B1030" t="s">
        <v>2273</v>
      </c>
      <c r="C1030" t="s">
        <v>2274</v>
      </c>
      <c r="D1030" t="s">
        <v>17</v>
      </c>
      <c r="E1030" t="s">
        <v>8</v>
      </c>
      <c r="F1030" s="22">
        <v>0</v>
      </c>
      <c r="G1030" s="22">
        <v>0</v>
      </c>
      <c r="H1030" s="22">
        <v>0</v>
      </c>
      <c r="I1030" s="22">
        <v>0</v>
      </c>
      <c r="J1030">
        <v>0</v>
      </c>
      <c r="K1030">
        <v>0</v>
      </c>
      <c r="L1030" s="22">
        <v>0</v>
      </c>
      <c r="M1030" s="22">
        <v>0</v>
      </c>
      <c r="N1030" s="22">
        <v>0</v>
      </c>
      <c r="O1030" s="22">
        <v>0</v>
      </c>
      <c r="P1030" s="22">
        <v>0</v>
      </c>
      <c r="Q1030" s="22">
        <v>0</v>
      </c>
      <c r="R1030">
        <v>0</v>
      </c>
      <c r="T1030" t="s">
        <v>2991</v>
      </c>
      <c r="U1030" t="s">
        <v>3057</v>
      </c>
      <c r="V1030" t="s">
        <v>3056</v>
      </c>
    </row>
    <row r="1031" spans="1:22">
      <c r="A1031">
        <v>1030</v>
      </c>
      <c r="B1031" t="s">
        <v>2275</v>
      </c>
      <c r="C1031" t="s">
        <v>2276</v>
      </c>
      <c r="D1031" t="s">
        <v>17</v>
      </c>
      <c r="E1031" t="s">
        <v>8</v>
      </c>
      <c r="F1031" s="22">
        <v>0</v>
      </c>
      <c r="G1031" s="22">
        <v>0</v>
      </c>
      <c r="H1031" s="22">
        <v>0</v>
      </c>
      <c r="I1031" s="22">
        <v>0</v>
      </c>
      <c r="J1031">
        <v>0</v>
      </c>
      <c r="K1031">
        <v>0</v>
      </c>
      <c r="L1031" s="22">
        <v>0</v>
      </c>
      <c r="M1031" s="22">
        <v>0</v>
      </c>
      <c r="N1031" s="22">
        <v>0</v>
      </c>
      <c r="O1031" s="22">
        <v>0</v>
      </c>
      <c r="P1031" s="22">
        <v>0</v>
      </c>
      <c r="Q1031" s="22">
        <v>0</v>
      </c>
      <c r="R1031">
        <v>0</v>
      </c>
      <c r="T1031" t="s">
        <v>2991</v>
      </c>
      <c r="U1031" t="s">
        <v>3057</v>
      </c>
      <c r="V1031" t="s">
        <v>3056</v>
      </c>
    </row>
    <row r="1032" spans="1:22">
      <c r="A1032">
        <v>1031</v>
      </c>
      <c r="B1032" t="s">
        <v>2277</v>
      </c>
      <c r="C1032" t="s">
        <v>2278</v>
      </c>
      <c r="D1032" t="s">
        <v>17</v>
      </c>
      <c r="E1032" t="s">
        <v>8</v>
      </c>
      <c r="F1032" s="22">
        <v>0</v>
      </c>
      <c r="G1032" s="22">
        <v>0</v>
      </c>
      <c r="H1032" s="22">
        <v>0</v>
      </c>
      <c r="I1032" s="22">
        <v>0</v>
      </c>
      <c r="J1032">
        <v>0</v>
      </c>
      <c r="K1032">
        <v>0</v>
      </c>
      <c r="L1032" s="22">
        <v>0</v>
      </c>
      <c r="M1032" s="22">
        <v>0</v>
      </c>
      <c r="N1032" s="22">
        <v>0</v>
      </c>
      <c r="O1032" s="22">
        <v>0</v>
      </c>
      <c r="P1032" s="22">
        <v>0</v>
      </c>
      <c r="Q1032" s="22">
        <v>0</v>
      </c>
      <c r="R1032">
        <v>0</v>
      </c>
      <c r="T1032" t="s">
        <v>2991</v>
      </c>
      <c r="U1032" t="s">
        <v>3057</v>
      </c>
      <c r="V1032" t="s">
        <v>3056</v>
      </c>
    </row>
    <row r="1033" spans="1:22">
      <c r="A1033">
        <v>1032</v>
      </c>
      <c r="B1033" t="s">
        <v>2279</v>
      </c>
      <c r="C1033" t="s">
        <v>2280</v>
      </c>
      <c r="D1033" t="s">
        <v>17</v>
      </c>
      <c r="E1033" t="s">
        <v>8</v>
      </c>
      <c r="F1033" s="22">
        <v>0</v>
      </c>
      <c r="G1033" s="22">
        <v>0</v>
      </c>
      <c r="H1033" s="22">
        <v>0</v>
      </c>
      <c r="I1033" s="22">
        <v>0</v>
      </c>
      <c r="J1033">
        <v>0</v>
      </c>
      <c r="K1033">
        <v>0</v>
      </c>
      <c r="L1033" s="22">
        <v>0</v>
      </c>
      <c r="M1033" s="22">
        <v>0</v>
      </c>
      <c r="N1033" s="22">
        <v>0</v>
      </c>
      <c r="O1033" s="22">
        <v>0</v>
      </c>
      <c r="P1033" s="22">
        <v>0</v>
      </c>
      <c r="Q1033" s="22">
        <v>0</v>
      </c>
      <c r="R1033">
        <v>0</v>
      </c>
      <c r="T1033" t="s">
        <v>2991</v>
      </c>
      <c r="U1033" t="s">
        <v>3057</v>
      </c>
      <c r="V1033" t="s">
        <v>3058</v>
      </c>
    </row>
    <row r="1034" spans="1:22">
      <c r="A1034">
        <v>1033</v>
      </c>
      <c r="B1034" t="s">
        <v>2281</v>
      </c>
      <c r="C1034" t="s">
        <v>2282</v>
      </c>
      <c r="D1034" t="s">
        <v>17</v>
      </c>
      <c r="E1034" t="s">
        <v>8</v>
      </c>
      <c r="F1034" s="22">
        <v>0</v>
      </c>
      <c r="G1034" s="22">
        <v>0</v>
      </c>
      <c r="H1034" s="22">
        <v>0</v>
      </c>
      <c r="I1034" s="22">
        <v>0</v>
      </c>
      <c r="J1034">
        <v>0</v>
      </c>
      <c r="K1034">
        <v>0</v>
      </c>
      <c r="L1034" s="22">
        <v>0</v>
      </c>
      <c r="M1034" s="22">
        <v>0</v>
      </c>
      <c r="N1034" s="22">
        <v>0</v>
      </c>
      <c r="O1034" s="22">
        <v>0</v>
      </c>
      <c r="P1034" s="22">
        <v>0</v>
      </c>
      <c r="Q1034" s="22">
        <v>0</v>
      </c>
      <c r="R1034">
        <v>0</v>
      </c>
      <c r="T1034" t="s">
        <v>2991</v>
      </c>
      <c r="U1034" t="s">
        <v>3057</v>
      </c>
      <c r="V1034" t="s">
        <v>3056</v>
      </c>
    </row>
    <row r="1035" spans="1:22">
      <c r="A1035">
        <v>1034</v>
      </c>
      <c r="B1035" t="s">
        <v>2283</v>
      </c>
      <c r="C1035" t="s">
        <v>2284</v>
      </c>
      <c r="D1035" t="s">
        <v>17</v>
      </c>
      <c r="E1035" t="s">
        <v>8</v>
      </c>
      <c r="F1035" s="22">
        <v>0</v>
      </c>
      <c r="G1035" s="22">
        <v>0</v>
      </c>
      <c r="H1035" s="22">
        <v>0</v>
      </c>
      <c r="I1035" s="22">
        <v>0</v>
      </c>
      <c r="J1035">
        <v>0</v>
      </c>
      <c r="K1035">
        <v>0</v>
      </c>
      <c r="L1035" s="22">
        <v>0</v>
      </c>
      <c r="M1035" s="22">
        <v>0</v>
      </c>
      <c r="N1035" s="22">
        <v>0</v>
      </c>
      <c r="O1035" s="22">
        <v>0</v>
      </c>
      <c r="P1035" s="22">
        <v>0</v>
      </c>
      <c r="Q1035" s="22">
        <v>0</v>
      </c>
      <c r="R1035">
        <v>0</v>
      </c>
      <c r="T1035" t="s">
        <v>2991</v>
      </c>
      <c r="U1035" t="s">
        <v>3057</v>
      </c>
      <c r="V1035" t="s">
        <v>3056</v>
      </c>
    </row>
    <row r="1036" spans="1:22">
      <c r="A1036">
        <v>1035</v>
      </c>
      <c r="B1036" t="s">
        <v>2285</v>
      </c>
      <c r="C1036" t="s">
        <v>2286</v>
      </c>
      <c r="D1036" t="s">
        <v>17</v>
      </c>
      <c r="E1036" t="s">
        <v>8</v>
      </c>
      <c r="F1036" s="22">
        <v>0</v>
      </c>
      <c r="G1036" s="22">
        <v>0</v>
      </c>
      <c r="H1036" s="22">
        <v>0</v>
      </c>
      <c r="I1036" s="22">
        <v>0</v>
      </c>
      <c r="J1036">
        <v>0</v>
      </c>
      <c r="K1036">
        <v>0</v>
      </c>
      <c r="L1036" s="22">
        <v>0</v>
      </c>
      <c r="M1036" s="22">
        <v>0</v>
      </c>
      <c r="N1036" s="22">
        <v>0</v>
      </c>
      <c r="O1036" s="22">
        <v>0</v>
      </c>
      <c r="P1036" s="22">
        <v>0</v>
      </c>
      <c r="Q1036" s="22">
        <v>0</v>
      </c>
      <c r="R1036">
        <v>0</v>
      </c>
      <c r="T1036" t="s">
        <v>2991</v>
      </c>
      <c r="U1036" t="s">
        <v>3057</v>
      </c>
      <c r="V1036" t="s">
        <v>3058</v>
      </c>
    </row>
    <row r="1037" spans="1:22">
      <c r="A1037">
        <v>1036</v>
      </c>
      <c r="B1037" t="s">
        <v>2289</v>
      </c>
      <c r="C1037" t="s">
        <v>2290</v>
      </c>
      <c r="D1037" t="s">
        <v>20</v>
      </c>
      <c r="E1037" t="s">
        <v>8</v>
      </c>
      <c r="F1037" s="22">
        <v>0</v>
      </c>
      <c r="G1037" s="22">
        <v>0</v>
      </c>
      <c r="H1037" s="22">
        <v>0</v>
      </c>
      <c r="I1037" s="22">
        <v>0</v>
      </c>
      <c r="J1037">
        <v>0</v>
      </c>
      <c r="K1037">
        <v>0</v>
      </c>
      <c r="L1037" s="22">
        <v>0</v>
      </c>
      <c r="M1037" s="22">
        <v>0</v>
      </c>
      <c r="N1037" s="22">
        <v>0</v>
      </c>
      <c r="O1037" s="22">
        <v>0</v>
      </c>
      <c r="P1037" s="22">
        <v>0</v>
      </c>
      <c r="Q1037" s="22">
        <v>0</v>
      </c>
      <c r="R1037">
        <v>0</v>
      </c>
      <c r="T1037" t="s">
        <v>2991</v>
      </c>
      <c r="U1037" t="s">
        <v>3057</v>
      </c>
      <c r="V1037" t="s">
        <v>3056</v>
      </c>
    </row>
    <row r="1038" spans="1:22">
      <c r="A1038">
        <v>1037</v>
      </c>
      <c r="B1038" t="s">
        <v>2295</v>
      </c>
      <c r="C1038" t="s">
        <v>2296</v>
      </c>
      <c r="D1038" t="s">
        <v>17</v>
      </c>
      <c r="E1038" t="s">
        <v>8</v>
      </c>
      <c r="F1038" s="22">
        <v>0</v>
      </c>
      <c r="G1038" s="22">
        <v>0</v>
      </c>
      <c r="H1038" s="22">
        <v>0</v>
      </c>
      <c r="I1038" s="22">
        <v>0</v>
      </c>
      <c r="J1038">
        <v>0</v>
      </c>
      <c r="K1038">
        <v>0</v>
      </c>
      <c r="L1038" s="22">
        <v>0</v>
      </c>
      <c r="M1038" s="22">
        <v>0</v>
      </c>
      <c r="N1038" s="22">
        <v>0</v>
      </c>
      <c r="O1038" s="22">
        <v>0</v>
      </c>
      <c r="P1038" s="22">
        <v>40</v>
      </c>
      <c r="Q1038" s="22">
        <v>-40</v>
      </c>
      <c r="R1038">
        <v>0</v>
      </c>
      <c r="T1038" t="s">
        <v>2972</v>
      </c>
      <c r="U1038" t="s">
        <v>3057</v>
      </c>
      <c r="V1038" t="s">
        <v>3056</v>
      </c>
    </row>
    <row r="1039" spans="1:22">
      <c r="A1039">
        <v>1038</v>
      </c>
      <c r="B1039" t="s">
        <v>2297</v>
      </c>
      <c r="C1039" t="s">
        <v>2298</v>
      </c>
      <c r="D1039" t="s">
        <v>7</v>
      </c>
      <c r="E1039" t="s">
        <v>8</v>
      </c>
      <c r="F1039" s="22">
        <v>2800</v>
      </c>
      <c r="G1039" s="22">
        <v>0</v>
      </c>
      <c r="H1039" s="22">
        <v>400</v>
      </c>
      <c r="I1039" s="22">
        <v>2400</v>
      </c>
      <c r="J1039">
        <v>0</v>
      </c>
      <c r="K1039">
        <v>0</v>
      </c>
      <c r="L1039" s="22">
        <v>2400</v>
      </c>
      <c r="M1039" s="22">
        <v>0</v>
      </c>
      <c r="N1039" s="22">
        <v>0</v>
      </c>
      <c r="O1039" s="22">
        <v>2400</v>
      </c>
      <c r="P1039" s="22">
        <v>1500</v>
      </c>
      <c r="Q1039" s="22">
        <v>900</v>
      </c>
      <c r="R1039">
        <v>0</v>
      </c>
      <c r="T1039" t="s">
        <v>2972</v>
      </c>
      <c r="U1039" t="s">
        <v>3057</v>
      </c>
      <c r="V1039" t="s">
        <v>3056</v>
      </c>
    </row>
    <row r="1040" spans="1:22">
      <c r="A1040">
        <v>1039</v>
      </c>
      <c r="B1040" t="s">
        <v>2299</v>
      </c>
      <c r="C1040" t="s">
        <v>2300</v>
      </c>
      <c r="D1040" t="s">
        <v>7</v>
      </c>
      <c r="E1040" t="s">
        <v>8</v>
      </c>
      <c r="F1040" s="22">
        <v>2400</v>
      </c>
      <c r="G1040" s="22">
        <v>0</v>
      </c>
      <c r="H1040" s="22">
        <v>1600</v>
      </c>
      <c r="I1040" s="22">
        <v>800</v>
      </c>
      <c r="J1040">
        <v>0</v>
      </c>
      <c r="K1040">
        <v>0</v>
      </c>
      <c r="L1040" s="22">
        <v>800</v>
      </c>
      <c r="M1040" s="22">
        <v>0</v>
      </c>
      <c r="N1040" s="22">
        <v>0</v>
      </c>
      <c r="O1040" s="22">
        <v>800</v>
      </c>
      <c r="P1040" s="22">
        <v>1500</v>
      </c>
      <c r="Q1040" s="22">
        <v>-700</v>
      </c>
      <c r="R1040">
        <v>0</v>
      </c>
      <c r="T1040" t="s">
        <v>2972</v>
      </c>
      <c r="U1040" t="s">
        <v>3057</v>
      </c>
      <c r="V1040" t="s">
        <v>3056</v>
      </c>
    </row>
    <row r="1041" spans="1:22">
      <c r="A1041">
        <v>1040</v>
      </c>
      <c r="B1041" t="s">
        <v>2323</v>
      </c>
      <c r="C1041" t="s">
        <v>2324</v>
      </c>
      <c r="D1041" t="s">
        <v>17</v>
      </c>
      <c r="E1041" t="s">
        <v>8</v>
      </c>
      <c r="F1041" s="22">
        <v>0</v>
      </c>
      <c r="G1041" s="22">
        <v>0</v>
      </c>
      <c r="H1041" s="22">
        <v>0</v>
      </c>
      <c r="I1041" s="22">
        <v>0</v>
      </c>
      <c r="J1041">
        <v>0</v>
      </c>
      <c r="K1041">
        <v>0</v>
      </c>
      <c r="L1041" s="22">
        <v>0</v>
      </c>
      <c r="M1041" s="22">
        <v>0</v>
      </c>
      <c r="N1041" s="22">
        <v>0</v>
      </c>
      <c r="O1041" s="22">
        <v>0</v>
      </c>
      <c r="P1041" s="22">
        <v>0</v>
      </c>
      <c r="Q1041" s="22">
        <v>0</v>
      </c>
      <c r="R1041">
        <v>0</v>
      </c>
      <c r="T1041" t="s">
        <v>2982</v>
      </c>
      <c r="U1041" t="s">
        <v>3060</v>
      </c>
      <c r="V1041" t="s">
        <v>3058</v>
      </c>
    </row>
    <row r="1042" spans="1:22">
      <c r="A1042">
        <v>1041</v>
      </c>
      <c r="B1042" t="s">
        <v>2325</v>
      </c>
      <c r="C1042" t="s">
        <v>2326</v>
      </c>
      <c r="D1042" t="s">
        <v>17</v>
      </c>
      <c r="E1042" t="s">
        <v>8</v>
      </c>
      <c r="F1042" s="22">
        <v>0</v>
      </c>
      <c r="G1042" s="22">
        <v>0</v>
      </c>
      <c r="H1042" s="22">
        <v>0</v>
      </c>
      <c r="I1042" s="22">
        <v>0</v>
      </c>
      <c r="J1042">
        <v>0</v>
      </c>
      <c r="K1042">
        <v>0</v>
      </c>
      <c r="L1042" s="22">
        <v>0</v>
      </c>
      <c r="M1042" s="22">
        <v>0</v>
      </c>
      <c r="N1042" s="22">
        <v>0</v>
      </c>
      <c r="O1042" s="22">
        <v>0</v>
      </c>
      <c r="P1042" s="22">
        <v>0</v>
      </c>
      <c r="Q1042" s="22">
        <v>0</v>
      </c>
      <c r="R1042">
        <v>0</v>
      </c>
      <c r="T1042" t="s">
        <v>2982</v>
      </c>
      <c r="U1042" t="s">
        <v>3060</v>
      </c>
      <c r="V1042" t="s">
        <v>3058</v>
      </c>
    </row>
    <row r="1043" spans="1:22">
      <c r="A1043">
        <v>1042</v>
      </c>
      <c r="B1043" t="s">
        <v>2327</v>
      </c>
      <c r="C1043" t="s">
        <v>2328</v>
      </c>
      <c r="D1043" t="s">
        <v>17</v>
      </c>
      <c r="E1043" t="s">
        <v>8</v>
      </c>
      <c r="F1043" s="22">
        <v>43</v>
      </c>
      <c r="G1043" s="22">
        <v>0</v>
      </c>
      <c r="H1043" s="22">
        <v>8</v>
      </c>
      <c r="I1043" s="22">
        <v>35</v>
      </c>
      <c r="J1043">
        <v>0</v>
      </c>
      <c r="K1043">
        <v>0</v>
      </c>
      <c r="L1043" s="22">
        <v>35</v>
      </c>
      <c r="M1043" s="22">
        <v>0</v>
      </c>
      <c r="N1043" s="22">
        <v>0</v>
      </c>
      <c r="O1043" s="22">
        <v>35</v>
      </c>
      <c r="P1043" s="22">
        <v>25</v>
      </c>
      <c r="Q1043" s="22">
        <v>10</v>
      </c>
      <c r="R1043">
        <v>0</v>
      </c>
      <c r="T1043" t="s">
        <v>3052</v>
      </c>
      <c r="U1043" t="s">
        <v>3062</v>
      </c>
      <c r="V1043" t="s">
        <v>3056</v>
      </c>
    </row>
    <row r="1044" spans="1:22">
      <c r="A1044">
        <v>1043</v>
      </c>
      <c r="B1044" t="s">
        <v>2329</v>
      </c>
      <c r="C1044" t="s">
        <v>2330</v>
      </c>
      <c r="D1044" t="s">
        <v>17</v>
      </c>
      <c r="E1044" t="s">
        <v>8</v>
      </c>
      <c r="F1044" s="22">
        <v>82</v>
      </c>
      <c r="G1044" s="22">
        <v>0</v>
      </c>
      <c r="H1044" s="22">
        <v>10</v>
      </c>
      <c r="I1044" s="22">
        <v>72</v>
      </c>
      <c r="J1044">
        <v>0</v>
      </c>
      <c r="K1044">
        <v>0</v>
      </c>
      <c r="L1044" s="22">
        <v>72</v>
      </c>
      <c r="M1044" s="22">
        <v>0</v>
      </c>
      <c r="N1044" s="22">
        <v>0</v>
      </c>
      <c r="O1044" s="22">
        <v>72</v>
      </c>
      <c r="P1044" s="22">
        <v>25</v>
      </c>
      <c r="Q1044" s="22">
        <v>47</v>
      </c>
      <c r="R1044">
        <v>0</v>
      </c>
      <c r="T1044" t="s">
        <v>3052</v>
      </c>
      <c r="U1044" t="s">
        <v>3062</v>
      </c>
      <c r="V1044" t="s">
        <v>3056</v>
      </c>
    </row>
    <row r="1045" spans="1:22">
      <c r="A1045">
        <v>1044</v>
      </c>
      <c r="B1045" t="s">
        <v>2331</v>
      </c>
      <c r="C1045" t="s">
        <v>2332</v>
      </c>
      <c r="D1045" t="s">
        <v>17</v>
      </c>
      <c r="E1045" t="s">
        <v>8</v>
      </c>
      <c r="F1045" s="22">
        <v>33</v>
      </c>
      <c r="G1045" s="22">
        <v>0</v>
      </c>
      <c r="H1045" s="22">
        <v>9</v>
      </c>
      <c r="I1045" s="22">
        <v>24</v>
      </c>
      <c r="J1045">
        <v>0</v>
      </c>
      <c r="K1045">
        <v>0</v>
      </c>
      <c r="L1045" s="22">
        <v>24</v>
      </c>
      <c r="M1045" s="22">
        <v>0</v>
      </c>
      <c r="N1045" s="22">
        <v>0</v>
      </c>
      <c r="O1045" s="22">
        <v>24</v>
      </c>
      <c r="P1045" s="22">
        <v>25</v>
      </c>
      <c r="Q1045" s="22">
        <v>-1</v>
      </c>
      <c r="R1045">
        <v>0</v>
      </c>
      <c r="T1045" t="s">
        <v>3052</v>
      </c>
      <c r="U1045" t="s">
        <v>3062</v>
      </c>
      <c r="V1045" t="s">
        <v>3056</v>
      </c>
    </row>
    <row r="1046" spans="1:22">
      <c r="A1046">
        <v>1045</v>
      </c>
      <c r="B1046" t="s">
        <v>2333</v>
      </c>
      <c r="C1046" t="s">
        <v>2334</v>
      </c>
      <c r="D1046" t="s">
        <v>17</v>
      </c>
      <c r="E1046" t="s">
        <v>8</v>
      </c>
      <c r="F1046" s="22">
        <v>90</v>
      </c>
      <c r="G1046" s="22">
        <v>0</v>
      </c>
      <c r="H1046" s="22">
        <v>0</v>
      </c>
      <c r="I1046" s="22">
        <v>90</v>
      </c>
      <c r="J1046">
        <v>0</v>
      </c>
      <c r="K1046">
        <v>0</v>
      </c>
      <c r="L1046" s="22">
        <v>90</v>
      </c>
      <c r="M1046" s="22">
        <v>0</v>
      </c>
      <c r="N1046" s="22">
        <v>0</v>
      </c>
      <c r="O1046" s="22">
        <v>90</v>
      </c>
      <c r="P1046" s="22">
        <v>30</v>
      </c>
      <c r="Q1046" s="22">
        <v>60</v>
      </c>
      <c r="R1046">
        <v>0</v>
      </c>
      <c r="T1046" t="s">
        <v>3052</v>
      </c>
      <c r="U1046" t="s">
        <v>3062</v>
      </c>
      <c r="V1046" t="s">
        <v>3056</v>
      </c>
    </row>
    <row r="1047" spans="1:22">
      <c r="A1047">
        <v>1046</v>
      </c>
      <c r="B1047" t="s">
        <v>2335</v>
      </c>
      <c r="C1047" t="s">
        <v>2336</v>
      </c>
      <c r="D1047" t="s">
        <v>7</v>
      </c>
      <c r="E1047" t="s">
        <v>8</v>
      </c>
      <c r="F1047" s="22">
        <v>1159</v>
      </c>
      <c r="G1047" s="22">
        <v>450</v>
      </c>
      <c r="H1047" s="22">
        <v>0</v>
      </c>
      <c r="I1047" s="22">
        <v>1609</v>
      </c>
      <c r="J1047">
        <v>0</v>
      </c>
      <c r="K1047">
        <v>0</v>
      </c>
      <c r="L1047" s="22">
        <v>1609</v>
      </c>
      <c r="M1047" s="22">
        <v>0</v>
      </c>
      <c r="N1047" s="22">
        <v>0</v>
      </c>
      <c r="O1047" s="22">
        <v>1609</v>
      </c>
      <c r="P1047" s="22">
        <v>800</v>
      </c>
      <c r="Q1047" s="22">
        <v>809</v>
      </c>
      <c r="R1047">
        <v>0</v>
      </c>
      <c r="T1047" t="s">
        <v>2965</v>
      </c>
      <c r="U1047" t="s">
        <v>3055</v>
      </c>
      <c r="V1047" t="s">
        <v>3056</v>
      </c>
    </row>
    <row r="1048" spans="1:22">
      <c r="A1048">
        <v>1047</v>
      </c>
      <c r="B1048" t="s">
        <v>2337</v>
      </c>
      <c r="C1048" t="s">
        <v>2338</v>
      </c>
      <c r="D1048" t="s">
        <v>7</v>
      </c>
      <c r="E1048" t="s">
        <v>8</v>
      </c>
      <c r="F1048" s="22">
        <v>257</v>
      </c>
      <c r="G1048" s="22">
        <v>141</v>
      </c>
      <c r="H1048" s="22">
        <v>287</v>
      </c>
      <c r="I1048" s="22">
        <v>111</v>
      </c>
      <c r="J1048">
        <v>0</v>
      </c>
      <c r="K1048">
        <v>0</v>
      </c>
      <c r="L1048" s="22">
        <v>111</v>
      </c>
      <c r="M1048" s="22">
        <v>0</v>
      </c>
      <c r="N1048" s="22">
        <v>0</v>
      </c>
      <c r="O1048" s="22">
        <v>111</v>
      </c>
      <c r="P1048" s="22">
        <v>400</v>
      </c>
      <c r="Q1048" s="22">
        <v>-289</v>
      </c>
      <c r="R1048">
        <v>750</v>
      </c>
      <c r="T1048" t="s">
        <v>2965</v>
      </c>
      <c r="U1048" t="s">
        <v>3055</v>
      </c>
      <c r="V1048" t="s">
        <v>3056</v>
      </c>
    </row>
    <row r="1049" spans="1:22">
      <c r="A1049">
        <v>1048</v>
      </c>
      <c r="B1049" t="s">
        <v>2339</v>
      </c>
      <c r="C1049" t="s">
        <v>2340</v>
      </c>
      <c r="D1049" t="s">
        <v>7</v>
      </c>
      <c r="E1049" t="s">
        <v>8</v>
      </c>
      <c r="F1049" s="22">
        <v>0</v>
      </c>
      <c r="G1049" s="22">
        <v>0</v>
      </c>
      <c r="H1049" s="22">
        <v>0</v>
      </c>
      <c r="I1049" s="22">
        <v>0</v>
      </c>
      <c r="J1049">
        <v>0</v>
      </c>
      <c r="K1049">
        <v>0</v>
      </c>
      <c r="L1049" s="22">
        <v>0</v>
      </c>
      <c r="M1049" s="22">
        <v>0</v>
      </c>
      <c r="N1049" s="22">
        <v>0</v>
      </c>
      <c r="O1049" s="22">
        <v>0</v>
      </c>
      <c r="P1049" s="22">
        <v>0</v>
      </c>
      <c r="Q1049" s="22">
        <v>0</v>
      </c>
      <c r="R1049">
        <v>0</v>
      </c>
      <c r="T1049" t="s">
        <v>2965</v>
      </c>
      <c r="U1049" t="s">
        <v>3055</v>
      </c>
      <c r="V1049" t="s">
        <v>3056</v>
      </c>
    </row>
    <row r="1050" spans="1:22">
      <c r="A1050">
        <v>1049</v>
      </c>
      <c r="B1050" t="s">
        <v>2341</v>
      </c>
      <c r="C1050" t="s">
        <v>2342</v>
      </c>
      <c r="D1050" t="s">
        <v>7</v>
      </c>
      <c r="E1050" t="s">
        <v>8</v>
      </c>
      <c r="F1050" s="22">
        <v>958.7</v>
      </c>
      <c r="G1050" s="22">
        <v>0</v>
      </c>
      <c r="H1050" s="22">
        <v>50</v>
      </c>
      <c r="I1050" s="22">
        <v>908.7</v>
      </c>
      <c r="J1050">
        <v>0</v>
      </c>
      <c r="K1050">
        <v>0</v>
      </c>
      <c r="L1050" s="22">
        <v>908.7</v>
      </c>
      <c r="M1050" s="22">
        <v>0</v>
      </c>
      <c r="N1050" s="22">
        <v>0</v>
      </c>
      <c r="O1050" s="22">
        <v>908.7</v>
      </c>
      <c r="P1050" s="22">
        <v>300</v>
      </c>
      <c r="Q1050" s="22">
        <v>608.70000000000005</v>
      </c>
      <c r="R1050">
        <v>0</v>
      </c>
      <c r="T1050" t="s">
        <v>2965</v>
      </c>
      <c r="U1050" t="s">
        <v>3055</v>
      </c>
      <c r="V1050" t="s">
        <v>3056</v>
      </c>
    </row>
    <row r="1051" spans="1:22">
      <c r="A1051">
        <v>1050</v>
      </c>
      <c r="B1051" t="s">
        <v>2343</v>
      </c>
      <c r="C1051" t="s">
        <v>2344</v>
      </c>
      <c r="D1051" t="s">
        <v>7</v>
      </c>
      <c r="E1051" t="s">
        <v>8</v>
      </c>
      <c r="F1051" s="22">
        <v>1683.8</v>
      </c>
      <c r="G1051" s="22">
        <v>0</v>
      </c>
      <c r="H1051" s="22">
        <v>0</v>
      </c>
      <c r="I1051" s="22">
        <v>1683.8</v>
      </c>
      <c r="J1051">
        <v>0</v>
      </c>
      <c r="K1051">
        <v>0</v>
      </c>
      <c r="L1051" s="22">
        <v>1683.8</v>
      </c>
      <c r="M1051" s="22">
        <v>0</v>
      </c>
      <c r="N1051" s="22">
        <v>0</v>
      </c>
      <c r="O1051" s="22">
        <v>1683.8</v>
      </c>
      <c r="P1051" s="22">
        <v>300</v>
      </c>
      <c r="Q1051" s="22">
        <v>1383.8</v>
      </c>
      <c r="R1051">
        <v>0</v>
      </c>
      <c r="T1051" t="s">
        <v>2965</v>
      </c>
      <c r="U1051" t="s">
        <v>3055</v>
      </c>
      <c r="V1051" t="s">
        <v>3056</v>
      </c>
    </row>
    <row r="1052" spans="1:22">
      <c r="A1052">
        <v>1051</v>
      </c>
      <c r="B1052" t="s">
        <v>2345</v>
      </c>
      <c r="C1052" t="s">
        <v>2346</v>
      </c>
      <c r="D1052" t="s">
        <v>7</v>
      </c>
      <c r="E1052" t="s">
        <v>8</v>
      </c>
      <c r="F1052" s="22">
        <v>484</v>
      </c>
      <c r="G1052" s="22">
        <v>0</v>
      </c>
      <c r="H1052" s="22">
        <v>0</v>
      </c>
      <c r="I1052" s="22">
        <v>484</v>
      </c>
      <c r="J1052">
        <v>0</v>
      </c>
      <c r="K1052">
        <v>0</v>
      </c>
      <c r="L1052" s="22">
        <v>484</v>
      </c>
      <c r="M1052" s="22">
        <v>0</v>
      </c>
      <c r="N1052" s="22">
        <v>0</v>
      </c>
      <c r="O1052" s="22">
        <v>484</v>
      </c>
      <c r="P1052" s="22">
        <v>200</v>
      </c>
      <c r="Q1052" s="22">
        <v>284</v>
      </c>
      <c r="R1052">
        <v>0</v>
      </c>
      <c r="T1052" t="s">
        <v>2965</v>
      </c>
      <c r="U1052" t="s">
        <v>3055</v>
      </c>
      <c r="V1052" t="s">
        <v>3056</v>
      </c>
    </row>
    <row r="1053" spans="1:22">
      <c r="A1053">
        <v>1052</v>
      </c>
      <c r="B1053" t="s">
        <v>2347</v>
      </c>
      <c r="C1053" t="s">
        <v>2348</v>
      </c>
      <c r="D1053" t="s">
        <v>7</v>
      </c>
      <c r="E1053" t="s">
        <v>8</v>
      </c>
      <c r="F1053" s="22">
        <v>585.9</v>
      </c>
      <c r="G1053" s="22">
        <v>0</v>
      </c>
      <c r="H1053" s="22">
        <v>35</v>
      </c>
      <c r="I1053" s="22">
        <v>550.9</v>
      </c>
      <c r="J1053">
        <v>0</v>
      </c>
      <c r="K1053">
        <v>0</v>
      </c>
      <c r="L1053" s="22">
        <v>550.9</v>
      </c>
      <c r="M1053" s="22">
        <v>0</v>
      </c>
      <c r="N1053" s="22">
        <v>0</v>
      </c>
      <c r="O1053" s="22">
        <v>550.9</v>
      </c>
      <c r="P1053" s="22">
        <v>400</v>
      </c>
      <c r="Q1053" s="22">
        <v>150.89999999999998</v>
      </c>
      <c r="R1053">
        <v>0</v>
      </c>
      <c r="T1053" t="s">
        <v>2965</v>
      </c>
      <c r="U1053" t="s">
        <v>3055</v>
      </c>
      <c r="V1053" t="s">
        <v>3056</v>
      </c>
    </row>
    <row r="1054" spans="1:22">
      <c r="A1054">
        <v>1053</v>
      </c>
      <c r="B1054" t="s">
        <v>2351</v>
      </c>
      <c r="C1054" t="s">
        <v>2352</v>
      </c>
      <c r="D1054" t="s">
        <v>7</v>
      </c>
      <c r="E1054" t="s">
        <v>8</v>
      </c>
      <c r="F1054" s="22">
        <v>352.2</v>
      </c>
      <c r="G1054" s="22">
        <v>0</v>
      </c>
      <c r="H1054" s="22">
        <v>0</v>
      </c>
      <c r="I1054" s="22">
        <v>352.2</v>
      </c>
      <c r="J1054">
        <v>0</v>
      </c>
      <c r="K1054">
        <v>101.2</v>
      </c>
      <c r="L1054" s="22">
        <v>251</v>
      </c>
      <c r="M1054" s="22">
        <v>0</v>
      </c>
      <c r="N1054" s="22">
        <v>0</v>
      </c>
      <c r="O1054" s="22">
        <v>251</v>
      </c>
      <c r="P1054" s="22">
        <v>200</v>
      </c>
      <c r="Q1054" s="22">
        <v>51</v>
      </c>
      <c r="R1054">
        <v>0</v>
      </c>
      <c r="T1054" t="s">
        <v>2965</v>
      </c>
      <c r="U1054" t="s">
        <v>3055</v>
      </c>
      <c r="V1054" t="s">
        <v>3056</v>
      </c>
    </row>
    <row r="1055" spans="1:22">
      <c r="A1055">
        <v>1054</v>
      </c>
      <c r="B1055" t="s">
        <v>2353</v>
      </c>
      <c r="C1055" t="s">
        <v>2354</v>
      </c>
      <c r="D1055" t="s">
        <v>7</v>
      </c>
      <c r="E1055" t="s">
        <v>8</v>
      </c>
      <c r="F1055" s="22">
        <v>263</v>
      </c>
      <c r="G1055" s="22">
        <v>0</v>
      </c>
      <c r="H1055" s="22">
        <v>0</v>
      </c>
      <c r="I1055" s="22">
        <v>263</v>
      </c>
      <c r="J1055">
        <v>0</v>
      </c>
      <c r="K1055">
        <v>0</v>
      </c>
      <c r="L1055" s="22">
        <v>263</v>
      </c>
      <c r="M1055" s="22">
        <v>0</v>
      </c>
      <c r="N1055" s="22">
        <v>0</v>
      </c>
      <c r="O1055" s="22">
        <v>263</v>
      </c>
      <c r="P1055" s="22">
        <v>200</v>
      </c>
      <c r="Q1055" s="22">
        <v>63</v>
      </c>
      <c r="R1055">
        <v>0</v>
      </c>
      <c r="T1055" t="s">
        <v>2965</v>
      </c>
      <c r="U1055" t="s">
        <v>3055</v>
      </c>
      <c r="V1055" t="s">
        <v>3056</v>
      </c>
    </row>
    <row r="1056" spans="1:22">
      <c r="A1056">
        <v>1055</v>
      </c>
      <c r="B1056" t="s">
        <v>2355</v>
      </c>
      <c r="C1056" t="s">
        <v>2356</v>
      </c>
      <c r="D1056" t="s">
        <v>7</v>
      </c>
      <c r="E1056" t="s">
        <v>8</v>
      </c>
      <c r="F1056" s="22">
        <v>546</v>
      </c>
      <c r="G1056" s="22">
        <v>0</v>
      </c>
      <c r="H1056" s="22">
        <v>0</v>
      </c>
      <c r="I1056" s="22">
        <v>546</v>
      </c>
      <c r="J1056">
        <v>0</v>
      </c>
      <c r="K1056">
        <v>102.5</v>
      </c>
      <c r="L1056" s="22">
        <v>443.5</v>
      </c>
      <c r="M1056" s="22">
        <v>0</v>
      </c>
      <c r="N1056" s="22">
        <v>0</v>
      </c>
      <c r="O1056" s="22">
        <v>443.5</v>
      </c>
      <c r="P1056" s="22">
        <v>200</v>
      </c>
      <c r="Q1056" s="22">
        <v>243.5</v>
      </c>
      <c r="R1056">
        <v>0</v>
      </c>
      <c r="T1056" t="s">
        <v>2965</v>
      </c>
      <c r="U1056" t="s">
        <v>3055</v>
      </c>
      <c r="V1056" t="s">
        <v>3056</v>
      </c>
    </row>
    <row r="1057" spans="1:22">
      <c r="A1057">
        <v>1056</v>
      </c>
      <c r="B1057" t="s">
        <v>2357</v>
      </c>
      <c r="C1057" t="s">
        <v>2358</v>
      </c>
      <c r="D1057" t="s">
        <v>7</v>
      </c>
      <c r="E1057" t="s">
        <v>8</v>
      </c>
      <c r="F1057" s="22">
        <v>634.20000000000005</v>
      </c>
      <c r="G1057" s="22">
        <v>0</v>
      </c>
      <c r="H1057" s="22">
        <v>65</v>
      </c>
      <c r="I1057" s="22">
        <v>569.20000000000005</v>
      </c>
      <c r="J1057">
        <v>0</v>
      </c>
      <c r="K1057">
        <v>101.2</v>
      </c>
      <c r="L1057" s="22">
        <v>468.00000000000006</v>
      </c>
      <c r="M1057" s="22">
        <v>0</v>
      </c>
      <c r="N1057" s="22">
        <v>0</v>
      </c>
      <c r="O1057" s="22">
        <v>468.00000000000006</v>
      </c>
      <c r="P1057" s="22">
        <v>200</v>
      </c>
      <c r="Q1057" s="22">
        <v>268.00000000000006</v>
      </c>
      <c r="R1057">
        <v>0</v>
      </c>
      <c r="T1057" t="s">
        <v>2965</v>
      </c>
      <c r="U1057" t="s">
        <v>3055</v>
      </c>
      <c r="V1057" t="s">
        <v>3056</v>
      </c>
    </row>
    <row r="1058" spans="1:22">
      <c r="A1058">
        <v>1057</v>
      </c>
      <c r="B1058" t="s">
        <v>2359</v>
      </c>
      <c r="C1058" t="s">
        <v>2360</v>
      </c>
      <c r="D1058" t="s">
        <v>7</v>
      </c>
      <c r="E1058" t="s">
        <v>8</v>
      </c>
      <c r="F1058" s="22">
        <v>2886.7</v>
      </c>
      <c r="G1058" s="22">
        <v>0</v>
      </c>
      <c r="H1058" s="22">
        <v>89.5</v>
      </c>
      <c r="I1058" s="22">
        <v>2797.2</v>
      </c>
      <c r="J1058">
        <v>0</v>
      </c>
      <c r="K1058">
        <v>0</v>
      </c>
      <c r="L1058" s="22">
        <v>2797.2</v>
      </c>
      <c r="M1058" s="22">
        <v>0</v>
      </c>
      <c r="N1058" s="22">
        <v>0</v>
      </c>
      <c r="O1058" s="22">
        <v>2797.2</v>
      </c>
      <c r="P1058" s="22">
        <v>1500</v>
      </c>
      <c r="Q1058" s="22">
        <v>1297.1999999999998</v>
      </c>
      <c r="R1058">
        <v>0</v>
      </c>
      <c r="T1058" t="s">
        <v>2965</v>
      </c>
      <c r="U1058" t="s">
        <v>3055</v>
      </c>
      <c r="V1058" t="s">
        <v>3056</v>
      </c>
    </row>
    <row r="1059" spans="1:22">
      <c r="A1059">
        <v>1058</v>
      </c>
      <c r="B1059" t="s">
        <v>2361</v>
      </c>
      <c r="C1059" t="s">
        <v>2362</v>
      </c>
      <c r="D1059" t="s">
        <v>7</v>
      </c>
      <c r="E1059" t="s">
        <v>8</v>
      </c>
      <c r="F1059" s="22">
        <v>2563.25</v>
      </c>
      <c r="G1059" s="22">
        <v>0</v>
      </c>
      <c r="H1059" s="22">
        <v>0</v>
      </c>
      <c r="I1059" s="22">
        <v>2563.25</v>
      </c>
      <c r="J1059">
        <v>262.5</v>
      </c>
      <c r="K1059">
        <v>0</v>
      </c>
      <c r="L1059" s="22">
        <v>2300.75</v>
      </c>
      <c r="M1059" s="22">
        <v>0</v>
      </c>
      <c r="N1059" s="22">
        <v>0</v>
      </c>
      <c r="O1059" s="22">
        <v>2300.75</v>
      </c>
      <c r="P1059" s="22">
        <v>1500</v>
      </c>
      <c r="Q1059" s="22">
        <v>800.75</v>
      </c>
      <c r="R1059">
        <v>0</v>
      </c>
      <c r="T1059" t="s">
        <v>2965</v>
      </c>
      <c r="U1059" t="s">
        <v>3055</v>
      </c>
      <c r="V1059" t="s">
        <v>3056</v>
      </c>
    </row>
    <row r="1060" spans="1:22">
      <c r="A1060">
        <v>1059</v>
      </c>
      <c r="B1060" t="s">
        <v>2363</v>
      </c>
      <c r="C1060" t="s">
        <v>2364</v>
      </c>
      <c r="D1060" t="s">
        <v>7</v>
      </c>
      <c r="E1060" t="s">
        <v>8</v>
      </c>
      <c r="F1060" s="22">
        <v>2489.1</v>
      </c>
      <c r="G1060" s="22">
        <v>0</v>
      </c>
      <c r="H1060" s="22">
        <v>0</v>
      </c>
      <c r="I1060" s="22">
        <v>2489.1</v>
      </c>
      <c r="J1060">
        <v>0</v>
      </c>
      <c r="K1060">
        <v>0</v>
      </c>
      <c r="L1060" s="22">
        <v>2489.1</v>
      </c>
      <c r="M1060" s="22">
        <v>0</v>
      </c>
      <c r="N1060" s="22">
        <v>0</v>
      </c>
      <c r="O1060" s="22">
        <v>2489.1</v>
      </c>
      <c r="P1060" s="22">
        <v>1500</v>
      </c>
      <c r="Q1060" s="22">
        <v>989.09999999999991</v>
      </c>
      <c r="R1060">
        <v>0</v>
      </c>
      <c r="T1060" t="s">
        <v>2965</v>
      </c>
      <c r="U1060" t="s">
        <v>3055</v>
      </c>
      <c r="V1060" t="s">
        <v>3056</v>
      </c>
    </row>
    <row r="1061" spans="1:22">
      <c r="A1061">
        <v>1060</v>
      </c>
      <c r="B1061" t="s">
        <v>2365</v>
      </c>
      <c r="C1061" t="s">
        <v>2366</v>
      </c>
      <c r="D1061" t="s">
        <v>7</v>
      </c>
      <c r="E1061" t="s">
        <v>8</v>
      </c>
      <c r="F1061" s="22">
        <v>1596.1</v>
      </c>
      <c r="G1061" s="22">
        <v>0</v>
      </c>
      <c r="H1061" s="22">
        <v>0</v>
      </c>
      <c r="I1061" s="22">
        <v>1596.1</v>
      </c>
      <c r="J1061">
        <v>0</v>
      </c>
      <c r="K1061">
        <v>0</v>
      </c>
      <c r="L1061" s="22">
        <v>1596.1</v>
      </c>
      <c r="M1061" s="22">
        <v>0</v>
      </c>
      <c r="N1061" s="22">
        <v>0</v>
      </c>
      <c r="O1061" s="22">
        <v>1596.1</v>
      </c>
      <c r="P1061" s="22">
        <v>1500</v>
      </c>
      <c r="Q1061" s="22">
        <v>96.099999999999909</v>
      </c>
      <c r="R1061">
        <v>0</v>
      </c>
      <c r="T1061" t="s">
        <v>2965</v>
      </c>
      <c r="U1061" t="s">
        <v>3055</v>
      </c>
      <c r="V1061" t="s">
        <v>3056</v>
      </c>
    </row>
    <row r="1062" spans="1:22">
      <c r="A1062">
        <v>1061</v>
      </c>
      <c r="B1062" t="s">
        <v>2367</v>
      </c>
      <c r="C1062" t="s">
        <v>2368</v>
      </c>
      <c r="D1062" t="s">
        <v>17</v>
      </c>
      <c r="E1062" t="s">
        <v>8</v>
      </c>
      <c r="F1062" s="22">
        <v>1900</v>
      </c>
      <c r="G1062" s="22">
        <v>0</v>
      </c>
      <c r="H1062" s="22">
        <v>0</v>
      </c>
      <c r="I1062" s="22">
        <v>1900</v>
      </c>
      <c r="J1062">
        <v>0</v>
      </c>
      <c r="K1062">
        <v>0</v>
      </c>
      <c r="L1062" s="22">
        <v>1900</v>
      </c>
      <c r="M1062" s="22">
        <v>0</v>
      </c>
      <c r="N1062" s="22">
        <v>0</v>
      </c>
      <c r="O1062" s="22">
        <v>1900</v>
      </c>
      <c r="P1062" s="22">
        <v>1000</v>
      </c>
      <c r="Q1062" s="22">
        <v>900</v>
      </c>
      <c r="R1062">
        <v>0</v>
      </c>
      <c r="T1062" t="s">
        <v>2972</v>
      </c>
      <c r="U1062" t="s">
        <v>3055</v>
      </c>
      <c r="V1062" t="s">
        <v>3056</v>
      </c>
    </row>
    <row r="1063" spans="1:22">
      <c r="A1063">
        <v>1062</v>
      </c>
      <c r="B1063" t="s">
        <v>2369</v>
      </c>
      <c r="C1063" t="s">
        <v>2370</v>
      </c>
      <c r="D1063" t="s">
        <v>17</v>
      </c>
      <c r="E1063" t="s">
        <v>8</v>
      </c>
      <c r="F1063" s="22">
        <v>0</v>
      </c>
      <c r="G1063" s="22">
        <v>0</v>
      </c>
      <c r="H1063" s="22">
        <v>0</v>
      </c>
      <c r="I1063" s="22">
        <v>0</v>
      </c>
      <c r="J1063">
        <v>0</v>
      </c>
      <c r="K1063">
        <v>0</v>
      </c>
      <c r="L1063" s="22">
        <v>0</v>
      </c>
      <c r="M1063" s="22">
        <v>0</v>
      </c>
      <c r="N1063" s="22">
        <v>0</v>
      </c>
      <c r="O1063" s="22">
        <v>0</v>
      </c>
      <c r="P1063" s="22">
        <v>0</v>
      </c>
      <c r="Q1063" s="22">
        <v>0</v>
      </c>
      <c r="R1063">
        <v>0</v>
      </c>
      <c r="T1063" t="s">
        <v>2972</v>
      </c>
      <c r="U1063" t="s">
        <v>3055</v>
      </c>
      <c r="V1063" t="s">
        <v>3056</v>
      </c>
    </row>
    <row r="1064" spans="1:22">
      <c r="A1064">
        <v>1063</v>
      </c>
      <c r="B1064" t="s">
        <v>2371</v>
      </c>
      <c r="C1064" t="s">
        <v>2372</v>
      </c>
      <c r="D1064" t="s">
        <v>17</v>
      </c>
      <c r="E1064" t="s">
        <v>8</v>
      </c>
      <c r="F1064" s="22">
        <v>0</v>
      </c>
      <c r="G1064" s="22">
        <v>0</v>
      </c>
      <c r="H1064" s="22">
        <v>0</v>
      </c>
      <c r="I1064" s="22">
        <v>0</v>
      </c>
      <c r="J1064">
        <v>0</v>
      </c>
      <c r="K1064">
        <v>0</v>
      </c>
      <c r="L1064" s="22">
        <v>0</v>
      </c>
      <c r="M1064" s="22">
        <v>0</v>
      </c>
      <c r="N1064" s="22">
        <v>0</v>
      </c>
      <c r="O1064" s="22">
        <v>0</v>
      </c>
      <c r="P1064" s="22">
        <v>0</v>
      </c>
      <c r="Q1064" s="22">
        <v>0</v>
      </c>
      <c r="R1064">
        <v>0</v>
      </c>
      <c r="T1064" t="s">
        <v>2972</v>
      </c>
      <c r="U1064" t="s">
        <v>3055</v>
      </c>
      <c r="V1064" t="s">
        <v>3056</v>
      </c>
    </row>
    <row r="1065" spans="1:22">
      <c r="A1065">
        <v>1064</v>
      </c>
      <c r="B1065" t="s">
        <v>2373</v>
      </c>
      <c r="C1065" t="s">
        <v>2374</v>
      </c>
      <c r="D1065" t="s">
        <v>17</v>
      </c>
      <c r="E1065" t="s">
        <v>8</v>
      </c>
      <c r="F1065" s="22">
        <v>0</v>
      </c>
      <c r="G1065" s="22">
        <v>0</v>
      </c>
      <c r="H1065" s="22">
        <v>0</v>
      </c>
      <c r="I1065" s="22">
        <v>0</v>
      </c>
      <c r="J1065">
        <v>0</v>
      </c>
      <c r="K1065">
        <v>0</v>
      </c>
      <c r="L1065" s="22">
        <v>0</v>
      </c>
      <c r="M1065" s="22">
        <v>0</v>
      </c>
      <c r="N1065" s="22">
        <v>0</v>
      </c>
      <c r="O1065" s="22">
        <v>0</v>
      </c>
      <c r="P1065" s="22">
        <v>0</v>
      </c>
      <c r="Q1065" s="22">
        <v>0</v>
      </c>
      <c r="R1065">
        <v>0</v>
      </c>
      <c r="T1065" t="s">
        <v>2972</v>
      </c>
      <c r="U1065" t="s">
        <v>3055</v>
      </c>
      <c r="V1065" t="s">
        <v>3056</v>
      </c>
    </row>
    <row r="1066" spans="1:22">
      <c r="A1066">
        <v>1065</v>
      </c>
      <c r="B1066" t="s">
        <v>2375</v>
      </c>
      <c r="C1066" t="s">
        <v>2376</v>
      </c>
      <c r="D1066" t="s">
        <v>17</v>
      </c>
      <c r="E1066" t="s">
        <v>8</v>
      </c>
      <c r="F1066" s="22">
        <v>0</v>
      </c>
      <c r="G1066" s="22">
        <v>0</v>
      </c>
      <c r="H1066" s="22">
        <v>0</v>
      </c>
      <c r="I1066" s="22">
        <v>0</v>
      </c>
      <c r="J1066">
        <v>0</v>
      </c>
      <c r="K1066">
        <v>0</v>
      </c>
      <c r="L1066" s="22">
        <v>0</v>
      </c>
      <c r="M1066" s="22">
        <v>0</v>
      </c>
      <c r="N1066" s="22">
        <v>0</v>
      </c>
      <c r="O1066" s="22">
        <v>0</v>
      </c>
      <c r="P1066" s="22">
        <v>0</v>
      </c>
      <c r="Q1066" s="22">
        <v>0</v>
      </c>
      <c r="R1066">
        <v>0</v>
      </c>
      <c r="T1066" t="s">
        <v>2982</v>
      </c>
      <c r="U1066" t="s">
        <v>3060</v>
      </c>
      <c r="V1066" t="s">
        <v>3064</v>
      </c>
    </row>
    <row r="1067" spans="1:22">
      <c r="A1067">
        <v>1066</v>
      </c>
      <c r="B1067" t="s">
        <v>2301</v>
      </c>
      <c r="C1067" t="s">
        <v>2302</v>
      </c>
      <c r="D1067" t="s">
        <v>17</v>
      </c>
      <c r="E1067" t="s">
        <v>8</v>
      </c>
      <c r="F1067" s="22">
        <v>0</v>
      </c>
      <c r="G1067" s="22">
        <v>0</v>
      </c>
      <c r="H1067" s="22">
        <v>0</v>
      </c>
      <c r="I1067" s="22">
        <v>0</v>
      </c>
      <c r="J1067">
        <v>0</v>
      </c>
      <c r="K1067">
        <v>0</v>
      </c>
      <c r="L1067" s="22">
        <v>0</v>
      </c>
      <c r="M1067" s="22">
        <v>0</v>
      </c>
      <c r="N1067" s="22">
        <v>0</v>
      </c>
      <c r="O1067" s="22">
        <v>0</v>
      </c>
      <c r="P1067" s="22">
        <v>40</v>
      </c>
      <c r="Q1067" s="22">
        <v>-40</v>
      </c>
      <c r="R1067">
        <v>0</v>
      </c>
      <c r="T1067" t="s">
        <v>2972</v>
      </c>
      <c r="U1067" t="s">
        <v>3057</v>
      </c>
      <c r="V1067" t="s">
        <v>3056</v>
      </c>
    </row>
    <row r="1068" spans="1:22">
      <c r="A1068">
        <v>1067</v>
      </c>
      <c r="B1068" t="s">
        <v>2303</v>
      </c>
      <c r="C1068" t="s">
        <v>2304</v>
      </c>
      <c r="D1068" t="s">
        <v>17</v>
      </c>
      <c r="E1068" t="s">
        <v>8</v>
      </c>
      <c r="F1068" s="22">
        <v>0</v>
      </c>
      <c r="G1068" s="22">
        <v>0</v>
      </c>
      <c r="H1068" s="22">
        <v>0</v>
      </c>
      <c r="I1068" s="22">
        <v>0</v>
      </c>
      <c r="J1068">
        <v>0</v>
      </c>
      <c r="K1068">
        <v>0</v>
      </c>
      <c r="L1068" s="22">
        <v>0</v>
      </c>
      <c r="M1068" s="22">
        <v>0</v>
      </c>
      <c r="N1068" s="22">
        <v>0</v>
      </c>
      <c r="O1068" s="22">
        <v>0</v>
      </c>
      <c r="P1068" s="22">
        <v>40</v>
      </c>
      <c r="Q1068" s="22">
        <v>-40</v>
      </c>
      <c r="R1068">
        <v>0</v>
      </c>
      <c r="T1068" t="s">
        <v>2972</v>
      </c>
      <c r="U1068" t="s">
        <v>3057</v>
      </c>
      <c r="V1068" t="s">
        <v>3056</v>
      </c>
    </row>
    <row r="1069" spans="1:22">
      <c r="A1069">
        <v>1068</v>
      </c>
      <c r="B1069" t="s">
        <v>2305</v>
      </c>
      <c r="C1069" t="s">
        <v>2306</v>
      </c>
      <c r="D1069" t="s">
        <v>17</v>
      </c>
      <c r="E1069" t="s">
        <v>8</v>
      </c>
      <c r="F1069" s="22">
        <v>0</v>
      </c>
      <c r="G1069" s="22">
        <v>0</v>
      </c>
      <c r="H1069" s="22">
        <v>0</v>
      </c>
      <c r="I1069" s="22">
        <v>0</v>
      </c>
      <c r="J1069">
        <v>0</v>
      </c>
      <c r="K1069">
        <v>0</v>
      </c>
      <c r="L1069" s="22">
        <v>0</v>
      </c>
      <c r="M1069" s="22">
        <v>0</v>
      </c>
      <c r="N1069" s="22">
        <v>0</v>
      </c>
      <c r="O1069" s="22">
        <v>0</v>
      </c>
      <c r="P1069" s="22">
        <v>40</v>
      </c>
      <c r="Q1069" s="22">
        <v>-40</v>
      </c>
      <c r="R1069">
        <v>0</v>
      </c>
      <c r="T1069" t="s">
        <v>2972</v>
      </c>
      <c r="U1069" t="s">
        <v>3057</v>
      </c>
      <c r="V1069" t="s">
        <v>3056</v>
      </c>
    </row>
    <row r="1070" spans="1:22">
      <c r="A1070">
        <v>1069</v>
      </c>
      <c r="B1070" t="s">
        <v>2307</v>
      </c>
      <c r="C1070" t="s">
        <v>2308</v>
      </c>
      <c r="D1070" t="s">
        <v>17</v>
      </c>
      <c r="E1070" t="s">
        <v>8</v>
      </c>
      <c r="F1070" s="22">
        <v>50</v>
      </c>
      <c r="G1070" s="22">
        <v>0</v>
      </c>
      <c r="H1070" s="22">
        <v>0</v>
      </c>
      <c r="I1070" s="22">
        <v>50</v>
      </c>
      <c r="J1070">
        <v>0</v>
      </c>
      <c r="K1070">
        <v>0</v>
      </c>
      <c r="L1070" s="22">
        <v>50</v>
      </c>
      <c r="M1070" s="22">
        <v>0</v>
      </c>
      <c r="N1070" s="22">
        <v>0</v>
      </c>
      <c r="O1070" s="22">
        <v>50</v>
      </c>
      <c r="P1070" s="22">
        <v>40</v>
      </c>
      <c r="Q1070" s="22">
        <v>10</v>
      </c>
      <c r="R1070">
        <v>0</v>
      </c>
      <c r="T1070" t="s">
        <v>2972</v>
      </c>
      <c r="U1070" t="s">
        <v>3057</v>
      </c>
      <c r="V1070" t="s">
        <v>3056</v>
      </c>
    </row>
    <row r="1071" spans="1:22">
      <c r="A1071">
        <v>1070</v>
      </c>
      <c r="B1071" t="s">
        <v>2385</v>
      </c>
      <c r="C1071" t="s">
        <v>2386</v>
      </c>
      <c r="D1071" t="s">
        <v>17</v>
      </c>
      <c r="E1071" t="s">
        <v>8</v>
      </c>
      <c r="F1071" s="22">
        <v>366</v>
      </c>
      <c r="G1071" s="22">
        <v>0</v>
      </c>
      <c r="H1071" s="22">
        <v>3</v>
      </c>
      <c r="I1071" s="22">
        <v>363</v>
      </c>
      <c r="J1071">
        <v>0</v>
      </c>
      <c r="K1071">
        <v>0</v>
      </c>
      <c r="L1071" s="22">
        <v>363</v>
      </c>
      <c r="M1071" s="22">
        <v>0</v>
      </c>
      <c r="N1071" s="22">
        <v>0</v>
      </c>
      <c r="O1071" s="22">
        <v>363</v>
      </c>
      <c r="P1071" s="22">
        <v>200</v>
      </c>
      <c r="Q1071" s="22">
        <v>163</v>
      </c>
      <c r="R1071">
        <v>0</v>
      </c>
      <c r="T1071" t="s">
        <v>2972</v>
      </c>
      <c r="U1071" t="s">
        <v>3055</v>
      </c>
      <c r="V1071" t="s">
        <v>3056</v>
      </c>
    </row>
    <row r="1072" spans="1:22">
      <c r="A1072">
        <v>1071</v>
      </c>
      <c r="B1072" t="s">
        <v>2387</v>
      </c>
      <c r="C1072" t="s">
        <v>2388</v>
      </c>
      <c r="D1072" t="s">
        <v>17</v>
      </c>
      <c r="E1072" t="s">
        <v>8</v>
      </c>
      <c r="F1072" s="22">
        <v>162</v>
      </c>
      <c r="G1072" s="22">
        <v>0</v>
      </c>
      <c r="H1072" s="22">
        <v>0</v>
      </c>
      <c r="I1072" s="22">
        <v>162</v>
      </c>
      <c r="J1072">
        <v>0</v>
      </c>
      <c r="K1072">
        <v>0</v>
      </c>
      <c r="L1072" s="22">
        <v>162</v>
      </c>
      <c r="M1072" s="22">
        <v>0</v>
      </c>
      <c r="N1072" s="22">
        <v>0</v>
      </c>
      <c r="O1072" s="22">
        <v>162</v>
      </c>
      <c r="P1072" s="22">
        <v>200</v>
      </c>
      <c r="Q1072" s="22">
        <v>-38</v>
      </c>
      <c r="R1072">
        <v>0</v>
      </c>
      <c r="T1072" t="s">
        <v>2972</v>
      </c>
      <c r="U1072" t="s">
        <v>3055</v>
      </c>
      <c r="V1072" t="s">
        <v>3056</v>
      </c>
    </row>
    <row r="1073" spans="1:22">
      <c r="A1073">
        <v>1072</v>
      </c>
      <c r="B1073" t="s">
        <v>2309</v>
      </c>
      <c r="C1073" t="s">
        <v>2310</v>
      </c>
      <c r="D1073" t="s">
        <v>17</v>
      </c>
      <c r="E1073" t="s">
        <v>8</v>
      </c>
      <c r="F1073" s="22">
        <v>0</v>
      </c>
      <c r="G1073" s="22">
        <v>0</v>
      </c>
      <c r="H1073" s="22">
        <v>0</v>
      </c>
      <c r="I1073" s="22">
        <v>0</v>
      </c>
      <c r="J1073">
        <v>0</v>
      </c>
      <c r="K1073">
        <v>0</v>
      </c>
      <c r="L1073" s="22">
        <v>0</v>
      </c>
      <c r="M1073" s="22">
        <v>0</v>
      </c>
      <c r="N1073" s="22">
        <v>0</v>
      </c>
      <c r="O1073" s="22">
        <v>0</v>
      </c>
      <c r="P1073" s="22">
        <v>0</v>
      </c>
      <c r="Q1073" s="22">
        <v>0</v>
      </c>
      <c r="R1073">
        <v>0</v>
      </c>
      <c r="T1073" t="s">
        <v>2998</v>
      </c>
      <c r="U1073" t="s">
        <v>3057</v>
      </c>
      <c r="V1073" t="s">
        <v>3056</v>
      </c>
    </row>
    <row r="1074" spans="1:22">
      <c r="A1074">
        <v>1073</v>
      </c>
      <c r="B1074" t="s">
        <v>2311</v>
      </c>
      <c r="C1074" t="s">
        <v>2312</v>
      </c>
      <c r="D1074" t="s">
        <v>17</v>
      </c>
      <c r="E1074" t="s">
        <v>8</v>
      </c>
      <c r="F1074" s="22">
        <v>0</v>
      </c>
      <c r="G1074" s="22">
        <v>0</v>
      </c>
      <c r="H1074" s="22">
        <v>0</v>
      </c>
      <c r="I1074" s="22">
        <v>0</v>
      </c>
      <c r="J1074">
        <v>0</v>
      </c>
      <c r="K1074">
        <v>0</v>
      </c>
      <c r="L1074" s="22">
        <v>0</v>
      </c>
      <c r="M1074" s="22">
        <v>0</v>
      </c>
      <c r="N1074" s="22">
        <v>0</v>
      </c>
      <c r="O1074" s="22">
        <v>0</v>
      </c>
      <c r="P1074" s="22">
        <v>0</v>
      </c>
      <c r="Q1074" s="22">
        <v>0</v>
      </c>
      <c r="R1074">
        <v>0</v>
      </c>
      <c r="T1074" t="s">
        <v>2998</v>
      </c>
      <c r="U1074" t="s">
        <v>3057</v>
      </c>
      <c r="V1074" t="s">
        <v>3056</v>
      </c>
    </row>
    <row r="1075" spans="1:22">
      <c r="A1075">
        <v>1074</v>
      </c>
      <c r="B1075" t="s">
        <v>2313</v>
      </c>
      <c r="C1075" t="s">
        <v>2314</v>
      </c>
      <c r="D1075" t="s">
        <v>17</v>
      </c>
      <c r="E1075" t="s">
        <v>8</v>
      </c>
      <c r="F1075" s="22">
        <v>0</v>
      </c>
      <c r="G1075" s="22">
        <v>0</v>
      </c>
      <c r="H1075" s="22">
        <v>0</v>
      </c>
      <c r="I1075" s="22">
        <v>0</v>
      </c>
      <c r="J1075">
        <v>0</v>
      </c>
      <c r="K1075">
        <v>0</v>
      </c>
      <c r="L1075" s="22">
        <v>0</v>
      </c>
      <c r="M1075" s="22">
        <v>0</v>
      </c>
      <c r="N1075" s="22">
        <v>0</v>
      </c>
      <c r="O1075" s="22">
        <v>0</v>
      </c>
      <c r="P1075" s="22">
        <v>0</v>
      </c>
      <c r="Q1075" s="22">
        <v>0</v>
      </c>
      <c r="R1075">
        <v>0</v>
      </c>
      <c r="T1075" t="s">
        <v>2998</v>
      </c>
      <c r="U1075" t="s">
        <v>3057</v>
      </c>
      <c r="V1075" t="s">
        <v>3056</v>
      </c>
    </row>
    <row r="1076" spans="1:22">
      <c r="A1076">
        <v>1075</v>
      </c>
      <c r="B1076" t="s">
        <v>2315</v>
      </c>
      <c r="C1076" t="s">
        <v>2316</v>
      </c>
      <c r="D1076" t="s">
        <v>17</v>
      </c>
      <c r="E1076" t="s">
        <v>8</v>
      </c>
      <c r="F1076" s="22">
        <v>3000</v>
      </c>
      <c r="G1076" s="22">
        <v>0</v>
      </c>
      <c r="H1076" s="22">
        <v>500</v>
      </c>
      <c r="I1076" s="22">
        <v>2500</v>
      </c>
      <c r="J1076">
        <v>0</v>
      </c>
      <c r="K1076">
        <v>0</v>
      </c>
      <c r="L1076" s="22">
        <v>2500</v>
      </c>
      <c r="M1076" s="22">
        <v>0</v>
      </c>
      <c r="N1076" s="22">
        <v>0</v>
      </c>
      <c r="O1076" s="22">
        <v>2500</v>
      </c>
      <c r="P1076" s="22">
        <v>1500</v>
      </c>
      <c r="Q1076" s="22">
        <v>1000</v>
      </c>
      <c r="R1076">
        <v>0</v>
      </c>
      <c r="T1076" t="s">
        <v>2972</v>
      </c>
      <c r="U1076" t="s">
        <v>3057</v>
      </c>
      <c r="V1076" t="s">
        <v>3056</v>
      </c>
    </row>
    <row r="1077" spans="1:22">
      <c r="A1077">
        <v>1076</v>
      </c>
      <c r="B1077" t="s">
        <v>2397</v>
      </c>
      <c r="C1077" t="s">
        <v>2398</v>
      </c>
      <c r="D1077" t="s">
        <v>17</v>
      </c>
      <c r="E1077" t="s">
        <v>8</v>
      </c>
      <c r="F1077" s="22">
        <v>30</v>
      </c>
      <c r="G1077" s="22">
        <v>0</v>
      </c>
      <c r="H1077" s="22">
        <v>0</v>
      </c>
      <c r="I1077" s="22">
        <v>30</v>
      </c>
      <c r="J1077">
        <v>0</v>
      </c>
      <c r="K1077">
        <v>0</v>
      </c>
      <c r="L1077" s="22">
        <v>30</v>
      </c>
      <c r="M1077" s="22">
        <v>0</v>
      </c>
      <c r="N1077" s="22">
        <v>0</v>
      </c>
      <c r="O1077" s="22">
        <v>30</v>
      </c>
      <c r="P1077" s="22">
        <v>0</v>
      </c>
      <c r="Q1077" s="22">
        <v>30</v>
      </c>
      <c r="R1077">
        <v>0</v>
      </c>
      <c r="T1077" t="s">
        <v>2991</v>
      </c>
      <c r="U1077" t="s">
        <v>3060</v>
      </c>
      <c r="V1077" t="s">
        <v>3058</v>
      </c>
    </row>
    <row r="1078" spans="1:22">
      <c r="A1078">
        <v>1077</v>
      </c>
      <c r="B1078" t="s">
        <v>2399</v>
      </c>
      <c r="C1078" t="s">
        <v>2400</v>
      </c>
      <c r="D1078" t="s">
        <v>17</v>
      </c>
      <c r="E1078" t="s">
        <v>8</v>
      </c>
      <c r="F1078" s="22">
        <v>0</v>
      </c>
      <c r="G1078" s="22">
        <v>0</v>
      </c>
      <c r="H1078" s="22">
        <v>0</v>
      </c>
      <c r="I1078" s="22">
        <v>0</v>
      </c>
      <c r="J1078">
        <v>0</v>
      </c>
      <c r="K1078">
        <v>0</v>
      </c>
      <c r="L1078" s="22">
        <v>0</v>
      </c>
      <c r="M1078" s="22">
        <v>0</v>
      </c>
      <c r="N1078" s="22">
        <v>0</v>
      </c>
      <c r="O1078" s="22">
        <v>0</v>
      </c>
      <c r="P1078" s="22">
        <v>0</v>
      </c>
      <c r="Q1078" s="22">
        <v>0</v>
      </c>
      <c r="R1078">
        <v>0</v>
      </c>
      <c r="T1078" t="s">
        <v>2982</v>
      </c>
      <c r="U1078" t="s">
        <v>3060</v>
      </c>
      <c r="V1078" t="s">
        <v>3058</v>
      </c>
    </row>
    <row r="1079" spans="1:22">
      <c r="A1079">
        <v>1078</v>
      </c>
      <c r="B1079" t="s">
        <v>2401</v>
      </c>
      <c r="C1079" t="s">
        <v>2402</v>
      </c>
      <c r="D1079" t="s">
        <v>17</v>
      </c>
      <c r="E1079" t="s">
        <v>8</v>
      </c>
      <c r="F1079" s="22">
        <v>0</v>
      </c>
      <c r="G1079" s="22">
        <v>0</v>
      </c>
      <c r="H1079" s="22">
        <v>0</v>
      </c>
      <c r="I1079" s="22">
        <v>0</v>
      </c>
      <c r="J1079">
        <v>0</v>
      </c>
      <c r="K1079">
        <v>0</v>
      </c>
      <c r="L1079" s="22">
        <v>0</v>
      </c>
      <c r="M1079" s="22">
        <v>0</v>
      </c>
      <c r="N1079" s="22">
        <v>0</v>
      </c>
      <c r="O1079" s="22">
        <v>0</v>
      </c>
      <c r="P1079" s="22">
        <v>0</v>
      </c>
      <c r="Q1079" s="22">
        <v>0</v>
      </c>
      <c r="R1079">
        <v>0</v>
      </c>
      <c r="T1079" t="s">
        <v>2982</v>
      </c>
      <c r="U1079" t="s">
        <v>3060</v>
      </c>
      <c r="V1079" t="s">
        <v>3058</v>
      </c>
    </row>
    <row r="1080" spans="1:22">
      <c r="A1080">
        <v>1079</v>
      </c>
      <c r="B1080" t="s">
        <v>2403</v>
      </c>
      <c r="C1080" t="s">
        <v>2404</v>
      </c>
      <c r="D1080" t="s">
        <v>17</v>
      </c>
      <c r="E1080" t="s">
        <v>8</v>
      </c>
      <c r="F1080" s="22">
        <v>0</v>
      </c>
      <c r="G1080" s="22">
        <v>0</v>
      </c>
      <c r="H1080" s="22">
        <v>0</v>
      </c>
      <c r="I1080" s="22">
        <v>0</v>
      </c>
      <c r="J1080">
        <v>0</v>
      </c>
      <c r="K1080">
        <v>0</v>
      </c>
      <c r="L1080" s="22">
        <v>0</v>
      </c>
      <c r="M1080" s="22">
        <v>0</v>
      </c>
      <c r="N1080" s="22">
        <v>0</v>
      </c>
      <c r="O1080" s="22">
        <v>0</v>
      </c>
      <c r="P1080" s="22">
        <v>0</v>
      </c>
      <c r="Q1080" s="22">
        <v>0</v>
      </c>
      <c r="R1080">
        <v>0</v>
      </c>
      <c r="T1080" t="s">
        <v>2982</v>
      </c>
      <c r="U1080" t="s">
        <v>3060</v>
      </c>
      <c r="V1080" t="s">
        <v>3058</v>
      </c>
    </row>
    <row r="1081" spans="1:22">
      <c r="A1081">
        <v>1080</v>
      </c>
      <c r="B1081" t="s">
        <v>2405</v>
      </c>
      <c r="C1081" t="s">
        <v>2406</v>
      </c>
      <c r="D1081" t="s">
        <v>17</v>
      </c>
      <c r="E1081" t="s">
        <v>8</v>
      </c>
      <c r="F1081" s="22">
        <v>0</v>
      </c>
      <c r="G1081" s="22">
        <v>0</v>
      </c>
      <c r="H1081" s="22">
        <v>0</v>
      </c>
      <c r="I1081" s="22">
        <v>0</v>
      </c>
      <c r="J1081">
        <v>0</v>
      </c>
      <c r="K1081">
        <v>0</v>
      </c>
      <c r="L1081" s="22">
        <v>0</v>
      </c>
      <c r="M1081" s="22">
        <v>0</v>
      </c>
      <c r="N1081" s="22">
        <v>0</v>
      </c>
      <c r="O1081" s="22">
        <v>0</v>
      </c>
      <c r="P1081" s="22">
        <v>0</v>
      </c>
      <c r="Q1081" s="22">
        <v>0</v>
      </c>
      <c r="R1081">
        <v>0</v>
      </c>
      <c r="T1081" t="s">
        <v>2982</v>
      </c>
      <c r="U1081" t="s">
        <v>3060</v>
      </c>
      <c r="V1081" t="s">
        <v>3058</v>
      </c>
    </row>
    <row r="1082" spans="1:22">
      <c r="A1082">
        <v>1081</v>
      </c>
      <c r="B1082" t="s">
        <v>2407</v>
      </c>
      <c r="C1082" t="s">
        <v>2408</v>
      </c>
      <c r="D1082" t="s">
        <v>17</v>
      </c>
      <c r="E1082" t="s">
        <v>8</v>
      </c>
      <c r="F1082" s="22">
        <v>0</v>
      </c>
      <c r="G1082" s="22">
        <v>0</v>
      </c>
      <c r="H1082" s="22">
        <v>0</v>
      </c>
      <c r="I1082" s="22">
        <v>0</v>
      </c>
      <c r="J1082">
        <v>0</v>
      </c>
      <c r="K1082">
        <v>0</v>
      </c>
      <c r="L1082" s="22">
        <v>0</v>
      </c>
      <c r="M1082" s="22">
        <v>0</v>
      </c>
      <c r="N1082" s="22">
        <v>0</v>
      </c>
      <c r="O1082" s="22">
        <v>0</v>
      </c>
      <c r="P1082" s="22">
        <v>0</v>
      </c>
      <c r="Q1082" s="22">
        <v>0</v>
      </c>
      <c r="R1082">
        <v>0</v>
      </c>
      <c r="T1082" t="s">
        <v>2982</v>
      </c>
      <c r="U1082" t="s">
        <v>3060</v>
      </c>
      <c r="V1082" t="s">
        <v>3058</v>
      </c>
    </row>
    <row r="1083" spans="1:22">
      <c r="A1083">
        <v>1082</v>
      </c>
      <c r="B1083" t="s">
        <v>2409</v>
      </c>
      <c r="C1083" t="s">
        <v>2410</v>
      </c>
      <c r="D1083" t="s">
        <v>17</v>
      </c>
      <c r="E1083" t="s">
        <v>8</v>
      </c>
      <c r="F1083" s="22">
        <v>0</v>
      </c>
      <c r="G1083" s="22">
        <v>0</v>
      </c>
      <c r="H1083" s="22">
        <v>0</v>
      </c>
      <c r="I1083" s="22">
        <v>0</v>
      </c>
      <c r="J1083">
        <v>0</v>
      </c>
      <c r="K1083">
        <v>0</v>
      </c>
      <c r="L1083" s="22">
        <v>0</v>
      </c>
      <c r="M1083" s="22">
        <v>0</v>
      </c>
      <c r="N1083" s="22">
        <v>0</v>
      </c>
      <c r="O1083" s="22">
        <v>0</v>
      </c>
      <c r="P1083" s="22">
        <v>0</v>
      </c>
      <c r="Q1083" s="22">
        <v>0</v>
      </c>
      <c r="R1083">
        <v>0</v>
      </c>
      <c r="T1083" t="s">
        <v>2982</v>
      </c>
      <c r="U1083" t="s">
        <v>3060</v>
      </c>
      <c r="V1083" t="s">
        <v>3058</v>
      </c>
    </row>
    <row r="1084" spans="1:22">
      <c r="A1084">
        <v>1083</v>
      </c>
      <c r="B1084" t="s">
        <v>2411</v>
      </c>
      <c r="C1084" t="s">
        <v>2412</v>
      </c>
      <c r="D1084" t="s">
        <v>17</v>
      </c>
      <c r="E1084" t="s">
        <v>8</v>
      </c>
      <c r="F1084" s="22">
        <v>0</v>
      </c>
      <c r="G1084" s="22">
        <v>0</v>
      </c>
      <c r="H1084" s="22">
        <v>0</v>
      </c>
      <c r="I1084" s="22">
        <v>0</v>
      </c>
      <c r="J1084">
        <v>0</v>
      </c>
      <c r="K1084">
        <v>0</v>
      </c>
      <c r="L1084" s="22">
        <v>0</v>
      </c>
      <c r="M1084" s="22">
        <v>0</v>
      </c>
      <c r="N1084" s="22">
        <v>0</v>
      </c>
      <c r="O1084" s="22">
        <v>0</v>
      </c>
      <c r="P1084" s="22">
        <v>0</v>
      </c>
      <c r="Q1084" s="22">
        <v>0</v>
      </c>
      <c r="R1084">
        <v>0</v>
      </c>
      <c r="T1084" t="s">
        <v>2982</v>
      </c>
      <c r="U1084" t="s">
        <v>3060</v>
      </c>
      <c r="V1084" t="s">
        <v>3058</v>
      </c>
    </row>
    <row r="1085" spans="1:22">
      <c r="A1085">
        <v>1084</v>
      </c>
      <c r="B1085" t="s">
        <v>2413</v>
      </c>
      <c r="C1085" t="s">
        <v>2414</v>
      </c>
      <c r="D1085" t="s">
        <v>17</v>
      </c>
      <c r="E1085" t="s">
        <v>8</v>
      </c>
      <c r="F1085" s="22">
        <v>0</v>
      </c>
      <c r="G1085" s="22">
        <v>0</v>
      </c>
      <c r="H1085" s="22">
        <v>0</v>
      </c>
      <c r="I1085" s="22">
        <v>0</v>
      </c>
      <c r="J1085">
        <v>0</v>
      </c>
      <c r="K1085">
        <v>0</v>
      </c>
      <c r="L1085" s="22">
        <v>0</v>
      </c>
      <c r="M1085" s="22">
        <v>0</v>
      </c>
      <c r="N1085" s="22">
        <v>0</v>
      </c>
      <c r="O1085" s="22">
        <v>0</v>
      </c>
      <c r="P1085" s="22">
        <v>0</v>
      </c>
      <c r="Q1085" s="22">
        <v>0</v>
      </c>
      <c r="R1085">
        <v>0</v>
      </c>
      <c r="T1085" t="s">
        <v>2982</v>
      </c>
      <c r="U1085" t="s">
        <v>3060</v>
      </c>
      <c r="V1085" t="s">
        <v>3058</v>
      </c>
    </row>
    <row r="1086" spans="1:22">
      <c r="A1086">
        <v>1085</v>
      </c>
      <c r="B1086" t="s">
        <v>2415</v>
      </c>
      <c r="C1086" t="s">
        <v>2416</v>
      </c>
      <c r="D1086" t="s">
        <v>17</v>
      </c>
      <c r="E1086" t="s">
        <v>8</v>
      </c>
      <c r="F1086" s="22">
        <v>0</v>
      </c>
      <c r="G1086" s="22">
        <v>0</v>
      </c>
      <c r="H1086" s="22">
        <v>0</v>
      </c>
      <c r="I1086" s="22">
        <v>0</v>
      </c>
      <c r="J1086">
        <v>0</v>
      </c>
      <c r="K1086">
        <v>0</v>
      </c>
      <c r="L1086" s="22">
        <v>0</v>
      </c>
      <c r="M1086" s="22">
        <v>0</v>
      </c>
      <c r="N1086" s="22">
        <v>0</v>
      </c>
      <c r="O1086" s="22">
        <v>0</v>
      </c>
      <c r="P1086" s="22">
        <v>0</v>
      </c>
      <c r="Q1086" s="22">
        <v>0</v>
      </c>
      <c r="R1086">
        <v>0</v>
      </c>
      <c r="T1086" t="s">
        <v>2982</v>
      </c>
      <c r="U1086" t="s">
        <v>3060</v>
      </c>
      <c r="V1086" t="s">
        <v>3058</v>
      </c>
    </row>
    <row r="1087" spans="1:22">
      <c r="A1087">
        <v>1086</v>
      </c>
      <c r="B1087" t="s">
        <v>2417</v>
      </c>
      <c r="C1087" t="s">
        <v>2418</v>
      </c>
      <c r="D1087" t="s">
        <v>17</v>
      </c>
      <c r="E1087" t="s">
        <v>8</v>
      </c>
      <c r="F1087" s="22">
        <v>0</v>
      </c>
      <c r="G1087" s="22">
        <v>0</v>
      </c>
      <c r="H1087" s="22">
        <v>0</v>
      </c>
      <c r="I1087" s="22">
        <v>0</v>
      </c>
      <c r="J1087">
        <v>0</v>
      </c>
      <c r="K1087">
        <v>0</v>
      </c>
      <c r="L1087" s="22">
        <v>0</v>
      </c>
      <c r="M1087" s="22">
        <v>0</v>
      </c>
      <c r="N1087" s="22">
        <v>0</v>
      </c>
      <c r="O1087" s="22">
        <v>0</v>
      </c>
      <c r="P1087" s="22">
        <v>0</v>
      </c>
      <c r="Q1087" s="22">
        <v>0</v>
      </c>
      <c r="R1087">
        <v>0</v>
      </c>
      <c r="T1087" t="s">
        <v>2982</v>
      </c>
      <c r="U1087" t="s">
        <v>3060</v>
      </c>
      <c r="V1087" t="s">
        <v>3058</v>
      </c>
    </row>
    <row r="1088" spans="1:22">
      <c r="A1088">
        <v>1087</v>
      </c>
      <c r="B1088" t="s">
        <v>2317</v>
      </c>
      <c r="C1088" t="s">
        <v>2318</v>
      </c>
      <c r="D1088" t="s">
        <v>7</v>
      </c>
      <c r="E1088" t="s">
        <v>8</v>
      </c>
      <c r="F1088" s="22">
        <v>0</v>
      </c>
      <c r="G1088" s="22">
        <v>0</v>
      </c>
      <c r="H1088" s="22">
        <v>0</v>
      </c>
      <c r="I1088" s="22">
        <v>0</v>
      </c>
      <c r="J1088">
        <v>0</v>
      </c>
      <c r="K1088">
        <v>0</v>
      </c>
      <c r="L1088" s="22">
        <v>0</v>
      </c>
      <c r="M1088" s="22">
        <v>0</v>
      </c>
      <c r="N1088" s="22">
        <v>0</v>
      </c>
      <c r="O1088" s="22">
        <v>0</v>
      </c>
      <c r="P1088" s="22">
        <v>0</v>
      </c>
      <c r="Q1088" s="22">
        <v>0</v>
      </c>
      <c r="R1088">
        <v>0</v>
      </c>
      <c r="T1088" t="s">
        <v>2972</v>
      </c>
      <c r="U1088" t="s">
        <v>3057</v>
      </c>
      <c r="V1088" t="s">
        <v>3056</v>
      </c>
    </row>
    <row r="1089" spans="1:22">
      <c r="A1089">
        <v>1088</v>
      </c>
      <c r="B1089" t="s">
        <v>2421</v>
      </c>
      <c r="C1089" t="s">
        <v>2422</v>
      </c>
      <c r="D1089" t="s">
        <v>17</v>
      </c>
      <c r="E1089" t="s">
        <v>8</v>
      </c>
      <c r="F1089" s="22">
        <v>0</v>
      </c>
      <c r="G1089" s="22">
        <v>4</v>
      </c>
      <c r="H1089" s="22">
        <v>4</v>
      </c>
      <c r="I1089" s="22">
        <v>0</v>
      </c>
      <c r="J1089">
        <v>0</v>
      </c>
      <c r="K1089">
        <v>0</v>
      </c>
      <c r="L1089" s="22">
        <v>0</v>
      </c>
      <c r="M1089" s="22">
        <v>0</v>
      </c>
      <c r="N1089" s="22">
        <v>0</v>
      </c>
      <c r="O1089" s="22">
        <v>0</v>
      </c>
      <c r="P1089" s="22">
        <v>0</v>
      </c>
      <c r="Q1089" s="22">
        <v>0</v>
      </c>
      <c r="R1089">
        <v>0</v>
      </c>
      <c r="T1089" t="s">
        <v>2965</v>
      </c>
      <c r="U1089" t="s">
        <v>3060</v>
      </c>
      <c r="V1089" t="s">
        <v>3058</v>
      </c>
    </row>
    <row r="1090" spans="1:22">
      <c r="A1090">
        <v>1089</v>
      </c>
      <c r="B1090" t="s">
        <v>2423</v>
      </c>
      <c r="C1090" t="s">
        <v>2424</v>
      </c>
      <c r="D1090" t="s">
        <v>17</v>
      </c>
      <c r="E1090" t="s">
        <v>8</v>
      </c>
      <c r="F1090" s="22">
        <v>0</v>
      </c>
      <c r="G1090" s="22">
        <v>0</v>
      </c>
      <c r="H1090" s="22">
        <v>0</v>
      </c>
      <c r="I1090" s="22">
        <v>0</v>
      </c>
      <c r="J1090">
        <v>0</v>
      </c>
      <c r="K1090">
        <v>0</v>
      </c>
      <c r="L1090" s="22">
        <v>0</v>
      </c>
      <c r="M1090" s="22">
        <v>0</v>
      </c>
      <c r="N1090" s="22">
        <v>0</v>
      </c>
      <c r="O1090" s="22">
        <v>0</v>
      </c>
      <c r="P1090" s="22">
        <v>0</v>
      </c>
      <c r="Q1090" s="22">
        <v>0</v>
      </c>
      <c r="R1090">
        <v>0</v>
      </c>
      <c r="T1090" t="s">
        <v>2982</v>
      </c>
      <c r="U1090" t="s">
        <v>3060</v>
      </c>
      <c r="V1090" t="s">
        <v>3058</v>
      </c>
    </row>
    <row r="1091" spans="1:22">
      <c r="A1091">
        <v>1090</v>
      </c>
      <c r="B1091" t="s">
        <v>2321</v>
      </c>
      <c r="C1091" t="s">
        <v>2322</v>
      </c>
      <c r="D1091" t="s">
        <v>2130</v>
      </c>
      <c r="E1091" t="s">
        <v>8</v>
      </c>
      <c r="F1091" s="22">
        <v>0</v>
      </c>
      <c r="G1091" s="22">
        <v>0</v>
      </c>
      <c r="H1091" s="22">
        <v>0</v>
      </c>
      <c r="I1091" s="22">
        <v>0</v>
      </c>
      <c r="J1091">
        <v>0</v>
      </c>
      <c r="K1091">
        <v>0</v>
      </c>
      <c r="L1091" s="22">
        <v>0</v>
      </c>
      <c r="M1091" s="22">
        <v>0</v>
      </c>
      <c r="N1091" s="22">
        <v>0</v>
      </c>
      <c r="O1091" s="22">
        <v>0</v>
      </c>
      <c r="P1091" s="22">
        <v>0</v>
      </c>
      <c r="Q1091" s="22">
        <v>0</v>
      </c>
      <c r="R1091">
        <v>0</v>
      </c>
      <c r="T1091" t="s">
        <v>2998</v>
      </c>
      <c r="U1091" t="s">
        <v>3057</v>
      </c>
      <c r="V1091" t="s">
        <v>3056</v>
      </c>
    </row>
    <row r="1092" spans="1:22">
      <c r="A1092">
        <v>1091</v>
      </c>
      <c r="B1092" t="s">
        <v>2429</v>
      </c>
      <c r="C1092" t="s">
        <v>2430</v>
      </c>
      <c r="D1092" t="s">
        <v>17</v>
      </c>
      <c r="E1092" t="s">
        <v>8</v>
      </c>
      <c r="F1092" s="22">
        <v>0</v>
      </c>
      <c r="G1092" s="22">
        <v>0</v>
      </c>
      <c r="H1092" s="22">
        <v>0</v>
      </c>
      <c r="I1092" s="22">
        <v>0</v>
      </c>
      <c r="J1092">
        <v>0</v>
      </c>
      <c r="K1092">
        <v>0</v>
      </c>
      <c r="L1092" s="22">
        <v>0</v>
      </c>
      <c r="M1092" s="22">
        <v>0</v>
      </c>
      <c r="N1092" s="22">
        <v>0</v>
      </c>
      <c r="O1092" s="22">
        <v>0</v>
      </c>
      <c r="P1092" s="22">
        <v>0</v>
      </c>
      <c r="Q1092" s="22">
        <v>0</v>
      </c>
      <c r="R1092">
        <v>0</v>
      </c>
      <c r="T1092" t="s">
        <v>2982</v>
      </c>
      <c r="U1092" t="s">
        <v>3060</v>
      </c>
      <c r="V1092" t="s">
        <v>3058</v>
      </c>
    </row>
    <row r="1093" spans="1:22">
      <c r="A1093">
        <v>1092</v>
      </c>
      <c r="B1093" t="s">
        <v>2431</v>
      </c>
      <c r="C1093" t="s">
        <v>2432</v>
      </c>
      <c r="D1093" t="s">
        <v>17</v>
      </c>
      <c r="E1093" t="s">
        <v>8</v>
      </c>
      <c r="F1093" s="22">
        <v>0</v>
      </c>
      <c r="G1093" s="22">
        <v>0</v>
      </c>
      <c r="H1093" s="22">
        <v>0</v>
      </c>
      <c r="I1093" s="22">
        <v>0</v>
      </c>
      <c r="J1093">
        <v>0</v>
      </c>
      <c r="K1093">
        <v>0</v>
      </c>
      <c r="L1093" s="22">
        <v>0</v>
      </c>
      <c r="M1093" s="22">
        <v>0</v>
      </c>
      <c r="N1093" s="22">
        <v>0</v>
      </c>
      <c r="O1093" s="22">
        <v>0</v>
      </c>
      <c r="P1093" s="22">
        <v>0</v>
      </c>
      <c r="Q1093" s="22">
        <v>0</v>
      </c>
      <c r="R1093">
        <v>0</v>
      </c>
      <c r="T1093" t="s">
        <v>2982</v>
      </c>
      <c r="U1093" t="s">
        <v>3060</v>
      </c>
      <c r="V1093" t="s">
        <v>3058</v>
      </c>
    </row>
    <row r="1094" spans="1:22">
      <c r="A1094">
        <v>1093</v>
      </c>
      <c r="B1094" t="s">
        <v>2433</v>
      </c>
      <c r="C1094" t="s">
        <v>2434</v>
      </c>
      <c r="D1094" t="s">
        <v>17</v>
      </c>
      <c r="E1094" t="s">
        <v>8</v>
      </c>
      <c r="F1094" s="22">
        <v>0</v>
      </c>
      <c r="G1094" s="22">
        <v>0</v>
      </c>
      <c r="H1094" s="22">
        <v>0</v>
      </c>
      <c r="I1094" s="22">
        <v>0</v>
      </c>
      <c r="J1094">
        <v>0</v>
      </c>
      <c r="K1094">
        <v>0</v>
      </c>
      <c r="L1094" s="22">
        <v>0</v>
      </c>
      <c r="M1094" s="22">
        <v>0</v>
      </c>
      <c r="N1094" s="22">
        <v>0</v>
      </c>
      <c r="O1094" s="22">
        <v>0</v>
      </c>
      <c r="P1094" s="22">
        <v>0</v>
      </c>
      <c r="Q1094" s="22">
        <v>0</v>
      </c>
      <c r="R1094">
        <v>0</v>
      </c>
      <c r="T1094" t="s">
        <v>2982</v>
      </c>
      <c r="U1094" t="s">
        <v>3060</v>
      </c>
      <c r="V1094" t="s">
        <v>3058</v>
      </c>
    </row>
    <row r="1095" spans="1:22">
      <c r="A1095">
        <v>1094</v>
      </c>
      <c r="B1095" t="s">
        <v>2435</v>
      </c>
      <c r="C1095" t="s">
        <v>2436</v>
      </c>
      <c r="D1095" t="s">
        <v>17</v>
      </c>
      <c r="E1095" t="s">
        <v>8</v>
      </c>
      <c r="F1095" s="22">
        <v>0</v>
      </c>
      <c r="G1095" s="22">
        <v>0</v>
      </c>
      <c r="H1095" s="22">
        <v>0</v>
      </c>
      <c r="I1095" s="22">
        <v>0</v>
      </c>
      <c r="J1095">
        <v>0</v>
      </c>
      <c r="K1095">
        <v>0</v>
      </c>
      <c r="L1095" s="22">
        <v>0</v>
      </c>
      <c r="M1095" s="22">
        <v>0</v>
      </c>
      <c r="N1095" s="22">
        <v>0</v>
      </c>
      <c r="O1095" s="22">
        <v>0</v>
      </c>
      <c r="P1095" s="22">
        <v>0</v>
      </c>
      <c r="Q1095" s="22">
        <v>0</v>
      </c>
      <c r="R1095">
        <v>0</v>
      </c>
      <c r="T1095" t="s">
        <v>2982</v>
      </c>
      <c r="U1095" t="s">
        <v>3060</v>
      </c>
      <c r="V1095" t="s">
        <v>3058</v>
      </c>
    </row>
    <row r="1096" spans="1:22">
      <c r="A1096">
        <v>1095</v>
      </c>
      <c r="B1096" t="s">
        <v>2437</v>
      </c>
      <c r="C1096" t="s">
        <v>2438</v>
      </c>
      <c r="D1096" t="s">
        <v>17</v>
      </c>
      <c r="E1096" t="s">
        <v>8</v>
      </c>
      <c r="F1096" s="22">
        <v>0</v>
      </c>
      <c r="G1096" s="22">
        <v>0</v>
      </c>
      <c r="H1096" s="22">
        <v>0</v>
      </c>
      <c r="I1096" s="22">
        <v>0</v>
      </c>
      <c r="J1096">
        <v>0</v>
      </c>
      <c r="K1096">
        <v>0</v>
      </c>
      <c r="L1096" s="22">
        <v>0</v>
      </c>
      <c r="M1096" s="22">
        <v>0</v>
      </c>
      <c r="N1096" s="22">
        <v>0</v>
      </c>
      <c r="O1096" s="22">
        <v>0</v>
      </c>
      <c r="P1096" s="22">
        <v>0</v>
      </c>
      <c r="Q1096" s="22">
        <v>0</v>
      </c>
      <c r="R1096">
        <v>0</v>
      </c>
      <c r="T1096" t="s">
        <v>2982</v>
      </c>
      <c r="U1096" t="s">
        <v>3060</v>
      </c>
      <c r="V1096" t="s">
        <v>3058</v>
      </c>
    </row>
    <row r="1097" spans="1:22">
      <c r="A1097">
        <v>1096</v>
      </c>
      <c r="B1097" t="s">
        <v>2439</v>
      </c>
      <c r="C1097" t="s">
        <v>2440</v>
      </c>
      <c r="D1097" t="s">
        <v>17</v>
      </c>
      <c r="E1097" t="s">
        <v>8</v>
      </c>
      <c r="F1097" s="22">
        <v>0</v>
      </c>
      <c r="G1097" s="22">
        <v>0</v>
      </c>
      <c r="H1097" s="22">
        <v>0</v>
      </c>
      <c r="I1097" s="22">
        <v>0</v>
      </c>
      <c r="J1097">
        <v>0</v>
      </c>
      <c r="K1097">
        <v>0</v>
      </c>
      <c r="L1097" s="22">
        <v>0</v>
      </c>
      <c r="M1097" s="22">
        <v>0</v>
      </c>
      <c r="N1097" s="22">
        <v>0</v>
      </c>
      <c r="O1097" s="22">
        <v>0</v>
      </c>
      <c r="P1097" s="22">
        <v>0</v>
      </c>
      <c r="Q1097" s="22">
        <v>0</v>
      </c>
      <c r="R1097">
        <v>0</v>
      </c>
      <c r="T1097" t="s">
        <v>2982</v>
      </c>
      <c r="U1097" t="s">
        <v>3060</v>
      </c>
      <c r="V1097" t="s">
        <v>3058</v>
      </c>
    </row>
    <row r="1098" spans="1:22">
      <c r="A1098">
        <v>1097</v>
      </c>
      <c r="B1098" t="s">
        <v>2377</v>
      </c>
      <c r="C1098" t="s">
        <v>2378</v>
      </c>
      <c r="D1098" t="s">
        <v>17</v>
      </c>
      <c r="E1098" t="s">
        <v>8</v>
      </c>
      <c r="F1098" s="22">
        <v>131</v>
      </c>
      <c r="G1098" s="22">
        <v>0</v>
      </c>
      <c r="H1098" s="22">
        <v>0</v>
      </c>
      <c r="I1098" s="22">
        <v>131</v>
      </c>
      <c r="J1098">
        <v>0</v>
      </c>
      <c r="K1098">
        <v>0</v>
      </c>
      <c r="L1098" s="22">
        <v>131</v>
      </c>
      <c r="M1098" s="22">
        <v>0</v>
      </c>
      <c r="N1098" s="22">
        <v>0</v>
      </c>
      <c r="O1098" s="22">
        <v>131</v>
      </c>
      <c r="P1098" s="22">
        <v>100</v>
      </c>
      <c r="Q1098" s="22">
        <v>31</v>
      </c>
      <c r="R1098">
        <v>0</v>
      </c>
      <c r="T1098" t="s">
        <v>2972</v>
      </c>
      <c r="U1098" t="s">
        <v>3057</v>
      </c>
      <c r="V1098" t="s">
        <v>3056</v>
      </c>
    </row>
    <row r="1099" spans="1:22">
      <c r="A1099">
        <v>1098</v>
      </c>
      <c r="B1099" t="s">
        <v>2443</v>
      </c>
      <c r="C1099" t="s">
        <v>2444</v>
      </c>
      <c r="D1099" t="s">
        <v>17</v>
      </c>
      <c r="E1099" t="s">
        <v>8</v>
      </c>
      <c r="F1099" s="22">
        <v>0</v>
      </c>
      <c r="G1099" s="22">
        <v>0</v>
      </c>
      <c r="H1099" s="22">
        <v>0</v>
      </c>
      <c r="I1099" s="22">
        <v>0</v>
      </c>
      <c r="J1099">
        <v>0</v>
      </c>
      <c r="K1099">
        <v>0</v>
      </c>
      <c r="L1099" s="22">
        <v>0</v>
      </c>
      <c r="M1099" s="22">
        <v>0</v>
      </c>
      <c r="N1099" s="22">
        <v>0</v>
      </c>
      <c r="O1099" s="22">
        <v>0</v>
      </c>
      <c r="P1099" s="22">
        <v>0</v>
      </c>
      <c r="Q1099" s="22">
        <v>0</v>
      </c>
      <c r="R1099">
        <v>0</v>
      </c>
      <c r="T1099" t="s">
        <v>2982</v>
      </c>
      <c r="U1099" t="s">
        <v>3060</v>
      </c>
      <c r="V1099" t="s">
        <v>3064</v>
      </c>
    </row>
    <row r="1100" spans="1:22">
      <c r="A1100">
        <v>1099</v>
      </c>
      <c r="B1100" t="s">
        <v>2445</v>
      </c>
      <c r="C1100" t="s">
        <v>2446</v>
      </c>
      <c r="D1100" t="s">
        <v>17</v>
      </c>
      <c r="E1100" t="s">
        <v>8</v>
      </c>
      <c r="F1100" s="22">
        <v>0</v>
      </c>
      <c r="G1100" s="22">
        <v>0</v>
      </c>
      <c r="H1100" s="22">
        <v>0</v>
      </c>
      <c r="I1100" s="22">
        <v>0</v>
      </c>
      <c r="J1100">
        <v>0</v>
      </c>
      <c r="K1100">
        <v>0</v>
      </c>
      <c r="L1100" s="22">
        <v>0</v>
      </c>
      <c r="M1100" s="22">
        <v>0</v>
      </c>
      <c r="N1100" s="22">
        <v>0</v>
      </c>
      <c r="O1100" s="22">
        <v>0</v>
      </c>
      <c r="P1100" s="22">
        <v>0</v>
      </c>
      <c r="Q1100" s="22">
        <v>0</v>
      </c>
      <c r="R1100">
        <v>0</v>
      </c>
      <c r="T1100" t="s">
        <v>2982</v>
      </c>
      <c r="U1100" t="s">
        <v>3060</v>
      </c>
      <c r="V1100" t="s">
        <v>3058</v>
      </c>
    </row>
    <row r="1101" spans="1:22">
      <c r="A1101">
        <v>1100</v>
      </c>
      <c r="B1101" t="s">
        <v>2447</v>
      </c>
      <c r="C1101" t="s">
        <v>2448</v>
      </c>
      <c r="D1101" t="s">
        <v>17</v>
      </c>
      <c r="E1101" t="s">
        <v>8</v>
      </c>
      <c r="F1101" s="22">
        <v>0</v>
      </c>
      <c r="G1101" s="22">
        <v>0</v>
      </c>
      <c r="H1101" s="22">
        <v>0</v>
      </c>
      <c r="I1101" s="22">
        <v>0</v>
      </c>
      <c r="J1101">
        <v>0</v>
      </c>
      <c r="K1101">
        <v>0</v>
      </c>
      <c r="L1101" s="22">
        <v>0</v>
      </c>
      <c r="M1101" s="22">
        <v>0</v>
      </c>
      <c r="N1101" s="22">
        <v>0</v>
      </c>
      <c r="O1101" s="22">
        <v>0</v>
      </c>
      <c r="P1101" s="22">
        <v>0</v>
      </c>
      <c r="Q1101" s="22">
        <v>0</v>
      </c>
      <c r="R1101">
        <v>0</v>
      </c>
      <c r="T1101" t="s">
        <v>2982</v>
      </c>
      <c r="U1101" t="s">
        <v>3060</v>
      </c>
      <c r="V1101" t="s">
        <v>3058</v>
      </c>
    </row>
    <row r="1102" spans="1:22">
      <c r="A1102">
        <v>1101</v>
      </c>
      <c r="B1102" t="s">
        <v>2449</v>
      </c>
      <c r="C1102" t="s">
        <v>2450</v>
      </c>
      <c r="D1102" t="s">
        <v>17</v>
      </c>
      <c r="E1102" t="s">
        <v>8</v>
      </c>
      <c r="F1102" s="22">
        <v>0</v>
      </c>
      <c r="G1102" s="22">
        <v>0</v>
      </c>
      <c r="H1102" s="22">
        <v>0</v>
      </c>
      <c r="I1102" s="22">
        <v>0</v>
      </c>
      <c r="J1102">
        <v>0</v>
      </c>
      <c r="K1102">
        <v>0</v>
      </c>
      <c r="L1102" s="22">
        <v>0</v>
      </c>
      <c r="M1102" s="22">
        <v>0</v>
      </c>
      <c r="N1102" s="22">
        <v>0</v>
      </c>
      <c r="O1102" s="22">
        <v>0</v>
      </c>
      <c r="P1102" s="22">
        <v>0</v>
      </c>
      <c r="Q1102" s="22">
        <v>0</v>
      </c>
      <c r="R1102">
        <v>0</v>
      </c>
      <c r="T1102" t="s">
        <v>2982</v>
      </c>
      <c r="U1102" t="s">
        <v>3060</v>
      </c>
      <c r="V1102" t="s">
        <v>3058</v>
      </c>
    </row>
    <row r="1103" spans="1:22">
      <c r="A1103">
        <v>1102</v>
      </c>
      <c r="B1103" t="s">
        <v>2451</v>
      </c>
      <c r="C1103" t="s">
        <v>2452</v>
      </c>
      <c r="D1103" t="s">
        <v>17</v>
      </c>
      <c r="E1103" t="s">
        <v>8</v>
      </c>
      <c r="F1103" s="22">
        <v>0</v>
      </c>
      <c r="G1103" s="22">
        <v>0</v>
      </c>
      <c r="H1103" s="22">
        <v>0</v>
      </c>
      <c r="I1103" s="22">
        <v>0</v>
      </c>
      <c r="J1103">
        <v>0</v>
      </c>
      <c r="K1103">
        <v>0</v>
      </c>
      <c r="L1103" s="22">
        <v>0</v>
      </c>
      <c r="M1103" s="22">
        <v>0</v>
      </c>
      <c r="N1103" s="22">
        <v>0</v>
      </c>
      <c r="O1103" s="22">
        <v>0</v>
      </c>
      <c r="P1103" s="22">
        <v>0</v>
      </c>
      <c r="Q1103" s="22">
        <v>0</v>
      </c>
      <c r="R1103">
        <v>0</v>
      </c>
      <c r="T1103" t="s">
        <v>2982</v>
      </c>
      <c r="U1103" t="s">
        <v>3060</v>
      </c>
      <c r="V1103" t="s">
        <v>3058</v>
      </c>
    </row>
    <row r="1104" spans="1:22">
      <c r="A1104">
        <v>1103</v>
      </c>
      <c r="B1104" t="s">
        <v>2453</v>
      </c>
      <c r="C1104" t="s">
        <v>2454</v>
      </c>
      <c r="D1104" t="s">
        <v>17</v>
      </c>
      <c r="E1104" t="s">
        <v>8</v>
      </c>
      <c r="F1104" s="22">
        <v>290</v>
      </c>
      <c r="G1104" s="22">
        <v>0</v>
      </c>
      <c r="H1104" s="22">
        <v>0</v>
      </c>
      <c r="I1104" s="22">
        <v>290</v>
      </c>
      <c r="J1104">
        <v>0</v>
      </c>
      <c r="K1104">
        <v>0</v>
      </c>
      <c r="L1104" s="22">
        <v>290</v>
      </c>
      <c r="M1104" s="22">
        <v>0</v>
      </c>
      <c r="N1104" s="22">
        <v>0</v>
      </c>
      <c r="O1104" s="22">
        <v>290</v>
      </c>
      <c r="P1104" s="22">
        <v>200</v>
      </c>
      <c r="Q1104" s="22">
        <v>90</v>
      </c>
      <c r="R1104">
        <v>0</v>
      </c>
      <c r="T1104" t="s">
        <v>2972</v>
      </c>
      <c r="U1104" t="s">
        <v>3055</v>
      </c>
      <c r="V1104" t="s">
        <v>3056</v>
      </c>
    </row>
    <row r="1105" spans="1:22">
      <c r="A1105">
        <v>1104</v>
      </c>
      <c r="B1105" t="s">
        <v>2458</v>
      </c>
      <c r="C1105" t="s">
        <v>2459</v>
      </c>
      <c r="D1105" t="s">
        <v>17</v>
      </c>
      <c r="E1105" t="s">
        <v>8</v>
      </c>
      <c r="F1105" s="22">
        <v>0</v>
      </c>
      <c r="G1105" s="22">
        <v>0</v>
      </c>
      <c r="H1105" s="22">
        <v>0</v>
      </c>
      <c r="I1105" s="22">
        <v>0</v>
      </c>
      <c r="J1105">
        <v>0</v>
      </c>
      <c r="K1105">
        <v>0</v>
      </c>
      <c r="L1105" s="22">
        <v>0</v>
      </c>
      <c r="M1105" s="22">
        <v>0</v>
      </c>
      <c r="N1105" s="22">
        <v>0</v>
      </c>
      <c r="O1105" s="22">
        <v>0</v>
      </c>
      <c r="P1105" s="22">
        <v>0</v>
      </c>
      <c r="Q1105" s="22">
        <v>0</v>
      </c>
      <c r="R1105">
        <v>0</v>
      </c>
      <c r="T1105" t="s">
        <v>2982</v>
      </c>
      <c r="U1105" t="s">
        <v>3060</v>
      </c>
      <c r="V1105" t="s">
        <v>3064</v>
      </c>
    </row>
    <row r="1106" spans="1:22">
      <c r="A1106">
        <v>1105</v>
      </c>
      <c r="B1106" t="s">
        <v>2460</v>
      </c>
      <c r="C1106" t="s">
        <v>2461</v>
      </c>
      <c r="D1106" t="s">
        <v>17</v>
      </c>
      <c r="E1106" t="s">
        <v>8</v>
      </c>
      <c r="F1106" s="22">
        <v>0</v>
      </c>
      <c r="G1106" s="22">
        <v>0</v>
      </c>
      <c r="H1106" s="22">
        <v>0</v>
      </c>
      <c r="I1106" s="22">
        <v>0</v>
      </c>
      <c r="J1106">
        <v>0</v>
      </c>
      <c r="K1106">
        <v>0</v>
      </c>
      <c r="L1106" s="22">
        <v>0</v>
      </c>
      <c r="M1106" s="22">
        <v>0</v>
      </c>
      <c r="N1106" s="22">
        <v>0</v>
      </c>
      <c r="O1106" s="22">
        <v>0</v>
      </c>
      <c r="P1106" s="22">
        <v>0</v>
      </c>
      <c r="Q1106" s="22">
        <v>0</v>
      </c>
      <c r="R1106">
        <v>0</v>
      </c>
      <c r="T1106" t="s">
        <v>2982</v>
      </c>
      <c r="U1106" t="s">
        <v>3060</v>
      </c>
      <c r="V1106" t="s">
        <v>3064</v>
      </c>
    </row>
    <row r="1107" spans="1:22">
      <c r="A1107">
        <v>1106</v>
      </c>
      <c r="B1107" t="s">
        <v>2383</v>
      </c>
      <c r="C1107" t="s">
        <v>2384</v>
      </c>
      <c r="D1107" t="s">
        <v>17</v>
      </c>
      <c r="E1107" t="s">
        <v>8</v>
      </c>
      <c r="F1107" s="22">
        <v>130</v>
      </c>
      <c r="G1107" s="22">
        <v>0</v>
      </c>
      <c r="H1107" s="22">
        <v>0</v>
      </c>
      <c r="I1107" s="22">
        <v>130</v>
      </c>
      <c r="J1107">
        <v>0</v>
      </c>
      <c r="K1107">
        <v>0</v>
      </c>
      <c r="L1107" s="22">
        <v>130</v>
      </c>
      <c r="M1107" s="22">
        <v>0</v>
      </c>
      <c r="N1107" s="22">
        <v>0</v>
      </c>
      <c r="O1107" s="22">
        <v>130</v>
      </c>
      <c r="P1107" s="22">
        <v>100</v>
      </c>
      <c r="Q1107" s="22">
        <v>30</v>
      </c>
      <c r="R1107">
        <v>0</v>
      </c>
      <c r="T1107" t="s">
        <v>2972</v>
      </c>
      <c r="U1107" t="s">
        <v>3057</v>
      </c>
      <c r="V1107" t="s">
        <v>3056</v>
      </c>
    </row>
    <row r="1108" spans="1:22">
      <c r="A1108">
        <v>1107</v>
      </c>
      <c r="B1108" t="s">
        <v>2466</v>
      </c>
      <c r="C1108" t="s">
        <v>2467</v>
      </c>
      <c r="D1108" t="s">
        <v>17</v>
      </c>
      <c r="E1108" t="s">
        <v>8</v>
      </c>
      <c r="F1108" s="22">
        <v>0</v>
      </c>
      <c r="G1108" s="22">
        <v>0</v>
      </c>
      <c r="H1108" s="22">
        <v>0</v>
      </c>
      <c r="I1108" s="22">
        <v>0</v>
      </c>
      <c r="J1108">
        <v>0</v>
      </c>
      <c r="K1108">
        <v>0</v>
      </c>
      <c r="L1108" s="22">
        <v>0</v>
      </c>
      <c r="M1108" s="22">
        <v>0</v>
      </c>
      <c r="N1108" s="22">
        <v>0</v>
      </c>
      <c r="O1108" s="22">
        <v>0</v>
      </c>
      <c r="P1108" s="22">
        <v>0</v>
      </c>
      <c r="Q1108" s="22">
        <v>0</v>
      </c>
      <c r="R1108">
        <v>0</v>
      </c>
      <c r="T1108" t="s">
        <v>2982</v>
      </c>
      <c r="U1108" t="s">
        <v>3060</v>
      </c>
      <c r="V1108" t="s">
        <v>3064</v>
      </c>
    </row>
    <row r="1109" spans="1:22">
      <c r="A1109">
        <v>1108</v>
      </c>
      <c r="B1109" t="s">
        <v>2468</v>
      </c>
      <c r="C1109" t="s">
        <v>2469</v>
      </c>
      <c r="D1109" t="s">
        <v>17</v>
      </c>
      <c r="E1109" t="s">
        <v>8</v>
      </c>
      <c r="F1109" s="22">
        <v>0</v>
      </c>
      <c r="G1109" s="22">
        <v>0</v>
      </c>
      <c r="H1109" s="22">
        <v>0</v>
      </c>
      <c r="I1109" s="22">
        <v>0</v>
      </c>
      <c r="J1109">
        <v>0</v>
      </c>
      <c r="K1109">
        <v>0</v>
      </c>
      <c r="L1109" s="22">
        <v>0</v>
      </c>
      <c r="M1109" s="22">
        <v>0</v>
      </c>
      <c r="N1109" s="22">
        <v>0</v>
      </c>
      <c r="O1109" s="22">
        <v>0</v>
      </c>
      <c r="P1109" s="22">
        <v>0</v>
      </c>
      <c r="Q1109" s="22">
        <v>0</v>
      </c>
      <c r="R1109">
        <v>0</v>
      </c>
      <c r="T1109" t="s">
        <v>2982</v>
      </c>
      <c r="U1109" t="s">
        <v>3060</v>
      </c>
      <c r="V1109" t="s">
        <v>3064</v>
      </c>
    </row>
    <row r="1110" spans="1:22">
      <c r="A1110">
        <v>1109</v>
      </c>
      <c r="B1110" t="s">
        <v>2470</v>
      </c>
      <c r="C1110" t="s">
        <v>2471</v>
      </c>
      <c r="D1110" t="s">
        <v>17</v>
      </c>
      <c r="E1110" t="s">
        <v>8</v>
      </c>
      <c r="F1110" s="22">
        <v>0</v>
      </c>
      <c r="G1110" s="22">
        <v>0</v>
      </c>
      <c r="H1110" s="22">
        <v>0</v>
      </c>
      <c r="I1110" s="22">
        <v>0</v>
      </c>
      <c r="J1110">
        <v>0</v>
      </c>
      <c r="K1110">
        <v>0</v>
      </c>
      <c r="L1110" s="22">
        <v>0</v>
      </c>
      <c r="M1110" s="22">
        <v>0</v>
      </c>
      <c r="N1110" s="22">
        <v>0</v>
      </c>
      <c r="O1110" s="22">
        <v>0</v>
      </c>
      <c r="P1110" s="22">
        <v>0</v>
      </c>
      <c r="Q1110" s="22">
        <v>0</v>
      </c>
      <c r="R1110">
        <v>0</v>
      </c>
      <c r="T1110" t="s">
        <v>2982</v>
      </c>
      <c r="U1110" t="s">
        <v>3060</v>
      </c>
      <c r="V1110" t="s">
        <v>3058</v>
      </c>
    </row>
    <row r="1111" spans="1:22">
      <c r="A1111">
        <v>1110</v>
      </c>
      <c r="B1111" t="s">
        <v>2472</v>
      </c>
      <c r="C1111" t="s">
        <v>2473</v>
      </c>
      <c r="D1111" t="s">
        <v>17</v>
      </c>
      <c r="E1111" t="s">
        <v>8</v>
      </c>
      <c r="F1111" s="22">
        <v>0</v>
      </c>
      <c r="G1111" s="22">
        <v>0</v>
      </c>
      <c r="H1111" s="22">
        <v>0</v>
      </c>
      <c r="I1111" s="22">
        <v>0</v>
      </c>
      <c r="J1111">
        <v>0</v>
      </c>
      <c r="K1111">
        <v>0</v>
      </c>
      <c r="L1111" s="22">
        <v>0</v>
      </c>
      <c r="M1111" s="22">
        <v>0</v>
      </c>
      <c r="N1111" s="22">
        <v>0</v>
      </c>
      <c r="O1111" s="22">
        <v>0</v>
      </c>
      <c r="P1111" s="22">
        <v>0</v>
      </c>
      <c r="Q1111" s="22">
        <v>0</v>
      </c>
      <c r="R1111">
        <v>0</v>
      </c>
      <c r="T1111" t="s">
        <v>2982</v>
      </c>
      <c r="U1111" t="s">
        <v>3060</v>
      </c>
      <c r="V1111" t="s">
        <v>3058</v>
      </c>
    </row>
    <row r="1112" spans="1:22">
      <c r="A1112">
        <v>1111</v>
      </c>
      <c r="B1112" t="s">
        <v>2389</v>
      </c>
      <c r="C1112" t="s">
        <v>2390</v>
      </c>
      <c r="D1112" t="s">
        <v>17</v>
      </c>
      <c r="E1112" t="s">
        <v>8</v>
      </c>
      <c r="F1112" s="22">
        <v>80</v>
      </c>
      <c r="G1112" s="22">
        <v>65</v>
      </c>
      <c r="H1112" s="22">
        <v>0</v>
      </c>
      <c r="I1112" s="22">
        <v>145</v>
      </c>
      <c r="J1112">
        <v>0</v>
      </c>
      <c r="K1112">
        <v>0</v>
      </c>
      <c r="L1112" s="22">
        <v>145</v>
      </c>
      <c r="M1112" s="22">
        <v>0</v>
      </c>
      <c r="N1112" s="22">
        <v>0</v>
      </c>
      <c r="O1112" s="22">
        <v>145</v>
      </c>
      <c r="P1112" s="22">
        <v>100</v>
      </c>
      <c r="Q1112" s="22">
        <v>45</v>
      </c>
      <c r="R1112">
        <v>50</v>
      </c>
      <c r="T1112" t="s">
        <v>2972</v>
      </c>
      <c r="U1112" t="s">
        <v>3057</v>
      </c>
      <c r="V1112" t="s">
        <v>3056</v>
      </c>
    </row>
    <row r="1113" spans="1:22">
      <c r="A1113">
        <v>1112</v>
      </c>
      <c r="B1113" t="s">
        <v>2474</v>
      </c>
      <c r="C1113" t="s">
        <v>2475</v>
      </c>
      <c r="D1113" t="s">
        <v>17</v>
      </c>
      <c r="E1113" t="s">
        <v>8</v>
      </c>
      <c r="F1113" s="22">
        <v>0</v>
      </c>
      <c r="G1113" s="22">
        <v>0</v>
      </c>
      <c r="H1113" s="22">
        <v>0</v>
      </c>
      <c r="I1113" s="22">
        <v>0</v>
      </c>
      <c r="J1113">
        <v>0</v>
      </c>
      <c r="K1113">
        <v>0</v>
      </c>
      <c r="L1113" s="22">
        <v>0</v>
      </c>
      <c r="M1113" s="22">
        <v>0</v>
      </c>
      <c r="N1113" s="22">
        <v>0</v>
      </c>
      <c r="O1113" s="22">
        <v>0</v>
      </c>
      <c r="P1113" s="22">
        <v>0</v>
      </c>
      <c r="Q1113" s="22">
        <v>0</v>
      </c>
      <c r="R1113">
        <v>0</v>
      </c>
      <c r="T1113" t="s">
        <v>2982</v>
      </c>
      <c r="U1113" t="s">
        <v>3060</v>
      </c>
      <c r="V1113" t="s">
        <v>3064</v>
      </c>
    </row>
    <row r="1114" spans="1:22">
      <c r="A1114">
        <v>1113</v>
      </c>
      <c r="B1114" t="s">
        <v>2476</v>
      </c>
      <c r="C1114" t="s">
        <v>2477</v>
      </c>
      <c r="D1114" t="s">
        <v>7</v>
      </c>
      <c r="E1114" t="s">
        <v>8</v>
      </c>
      <c r="F1114" s="22">
        <v>1472.2</v>
      </c>
      <c r="G1114" s="22">
        <v>0</v>
      </c>
      <c r="H1114" s="22">
        <v>0</v>
      </c>
      <c r="I1114" s="22">
        <v>1472.2</v>
      </c>
      <c r="J1114">
        <v>0</v>
      </c>
      <c r="K1114">
        <v>0</v>
      </c>
      <c r="L1114" s="22">
        <v>1472.2</v>
      </c>
      <c r="M1114" s="22">
        <v>0</v>
      </c>
      <c r="N1114" s="22">
        <v>0</v>
      </c>
      <c r="O1114" s="22">
        <v>1472.2</v>
      </c>
      <c r="P1114" s="22">
        <v>0</v>
      </c>
      <c r="Q1114" s="22">
        <v>1472.2</v>
      </c>
      <c r="R1114">
        <v>0</v>
      </c>
      <c r="T1114" t="s">
        <v>2965</v>
      </c>
      <c r="U1114" t="s">
        <v>3055</v>
      </c>
      <c r="V1114" t="s">
        <v>3056</v>
      </c>
    </row>
    <row r="1115" spans="1:22">
      <c r="A1115">
        <v>1114</v>
      </c>
      <c r="B1115" t="s">
        <v>2480</v>
      </c>
      <c r="C1115" t="s">
        <v>2481</v>
      </c>
      <c r="D1115" t="s">
        <v>7</v>
      </c>
      <c r="E1115" t="s">
        <v>8</v>
      </c>
      <c r="F1115" s="22">
        <v>1343</v>
      </c>
      <c r="G1115" s="22">
        <v>657.5</v>
      </c>
      <c r="H1115" s="22">
        <v>107.5</v>
      </c>
      <c r="I1115" s="22">
        <v>1893</v>
      </c>
      <c r="J1115">
        <v>0</v>
      </c>
      <c r="K1115">
        <v>0</v>
      </c>
      <c r="L1115" s="22">
        <v>1893</v>
      </c>
      <c r="M1115" s="22">
        <v>0</v>
      </c>
      <c r="N1115" s="22">
        <v>0</v>
      </c>
      <c r="O1115" s="22">
        <v>1893</v>
      </c>
      <c r="P1115" s="22">
        <v>1500</v>
      </c>
      <c r="Q1115" s="22">
        <v>393</v>
      </c>
      <c r="R1115">
        <v>0</v>
      </c>
      <c r="T1115" t="s">
        <v>2965</v>
      </c>
      <c r="U1115" t="s">
        <v>3055</v>
      </c>
      <c r="V1115" t="s">
        <v>3056</v>
      </c>
    </row>
    <row r="1116" spans="1:22">
      <c r="A1116">
        <v>1115</v>
      </c>
      <c r="B1116" t="s">
        <v>2482</v>
      </c>
      <c r="C1116" t="s">
        <v>2483</v>
      </c>
      <c r="D1116" t="s">
        <v>17</v>
      </c>
      <c r="E1116" t="s">
        <v>8</v>
      </c>
      <c r="F1116" s="22">
        <v>0</v>
      </c>
      <c r="G1116" s="22">
        <v>0</v>
      </c>
      <c r="H1116" s="22">
        <v>0</v>
      </c>
      <c r="I1116" s="22">
        <v>0</v>
      </c>
      <c r="J1116">
        <v>0</v>
      </c>
      <c r="K1116">
        <v>0</v>
      </c>
      <c r="L1116" s="22">
        <v>0</v>
      </c>
      <c r="M1116" s="22">
        <v>0</v>
      </c>
      <c r="N1116" s="22">
        <v>0</v>
      </c>
      <c r="O1116" s="22">
        <v>0</v>
      </c>
      <c r="P1116" s="22">
        <v>0</v>
      </c>
      <c r="Q1116" s="22">
        <v>0</v>
      </c>
      <c r="R1116">
        <v>0</v>
      </c>
      <c r="T1116" t="s">
        <v>2982</v>
      </c>
      <c r="U1116" t="s">
        <v>3060</v>
      </c>
      <c r="V1116" t="s">
        <v>3058</v>
      </c>
    </row>
    <row r="1117" spans="1:22">
      <c r="A1117">
        <v>1116</v>
      </c>
      <c r="B1117" t="s">
        <v>2391</v>
      </c>
      <c r="C1117" t="s">
        <v>2392</v>
      </c>
      <c r="D1117" t="s">
        <v>20</v>
      </c>
      <c r="E1117" t="s">
        <v>8</v>
      </c>
      <c r="F1117" s="22">
        <v>155.19999999999999</v>
      </c>
      <c r="G1117" s="22">
        <v>0</v>
      </c>
      <c r="H1117" s="22">
        <v>0</v>
      </c>
      <c r="I1117" s="22">
        <v>155.19999999999999</v>
      </c>
      <c r="J1117">
        <v>0</v>
      </c>
      <c r="K1117">
        <v>0</v>
      </c>
      <c r="L1117" s="22">
        <v>155.19999999999999</v>
      </c>
      <c r="M1117" s="22">
        <v>0</v>
      </c>
      <c r="N1117" s="22">
        <v>0</v>
      </c>
      <c r="O1117" s="22">
        <v>155.19999999999999</v>
      </c>
      <c r="P1117" s="22">
        <v>60</v>
      </c>
      <c r="Q1117" s="22">
        <v>95.199999999999989</v>
      </c>
      <c r="R1117">
        <v>0</v>
      </c>
      <c r="T1117" t="s">
        <v>2991</v>
      </c>
      <c r="U1117" t="s">
        <v>3057</v>
      </c>
      <c r="V1117" t="s">
        <v>3056</v>
      </c>
    </row>
    <row r="1118" spans="1:22">
      <c r="A1118">
        <v>1117</v>
      </c>
      <c r="B1118" t="s">
        <v>67</v>
      </c>
      <c r="C1118" t="s">
        <v>3004</v>
      </c>
      <c r="D1118" t="s">
        <v>17</v>
      </c>
      <c r="E1118" t="s">
        <v>8</v>
      </c>
      <c r="F1118" s="22">
        <v>0</v>
      </c>
      <c r="G1118" s="22">
        <v>0</v>
      </c>
      <c r="H1118" s="22">
        <v>0</v>
      </c>
      <c r="I1118" s="22">
        <v>0</v>
      </c>
      <c r="J1118">
        <v>0</v>
      </c>
      <c r="K1118">
        <v>0</v>
      </c>
      <c r="L1118" s="22">
        <v>0</v>
      </c>
      <c r="M1118" s="22">
        <v>0</v>
      </c>
      <c r="N1118" s="22">
        <v>0</v>
      </c>
      <c r="O1118" s="22">
        <v>0</v>
      </c>
      <c r="P1118" s="22">
        <v>0</v>
      </c>
      <c r="Q1118" s="22">
        <v>0</v>
      </c>
      <c r="R1118">
        <v>0</v>
      </c>
      <c r="T1118" t="s">
        <v>2972</v>
      </c>
      <c r="U1118" t="s">
        <v>3055</v>
      </c>
      <c r="V1118" t="s">
        <v>3056</v>
      </c>
    </row>
    <row r="1119" spans="1:22">
      <c r="A1119">
        <v>1118</v>
      </c>
      <c r="B1119" t="s">
        <v>2486</v>
      </c>
      <c r="C1119" t="s">
        <v>2487</v>
      </c>
      <c r="D1119" t="s">
        <v>17</v>
      </c>
      <c r="E1119" t="s">
        <v>8</v>
      </c>
      <c r="F1119" s="22">
        <v>0</v>
      </c>
      <c r="G1119" s="22">
        <v>0</v>
      </c>
      <c r="H1119" s="22">
        <v>0</v>
      </c>
      <c r="I1119" s="22">
        <v>0</v>
      </c>
      <c r="J1119">
        <v>0</v>
      </c>
      <c r="K1119">
        <v>0</v>
      </c>
      <c r="L1119" s="22">
        <v>0</v>
      </c>
      <c r="M1119" s="22">
        <v>0</v>
      </c>
      <c r="N1119" s="22">
        <v>0</v>
      </c>
      <c r="O1119" s="22">
        <v>0</v>
      </c>
      <c r="P1119" s="22">
        <v>0</v>
      </c>
      <c r="Q1119" s="22">
        <v>0</v>
      </c>
      <c r="R1119">
        <v>0</v>
      </c>
      <c r="T1119" t="s">
        <v>2982</v>
      </c>
      <c r="U1119" t="s">
        <v>3060</v>
      </c>
      <c r="V1119" t="s">
        <v>3058</v>
      </c>
    </row>
    <row r="1120" spans="1:22">
      <c r="A1120">
        <v>1119</v>
      </c>
      <c r="B1120" t="s">
        <v>2488</v>
      </c>
      <c r="C1120" t="s">
        <v>2489</v>
      </c>
      <c r="D1120" t="s">
        <v>17</v>
      </c>
      <c r="E1120" t="s">
        <v>8</v>
      </c>
      <c r="F1120" s="22">
        <v>0</v>
      </c>
      <c r="G1120" s="22">
        <v>0</v>
      </c>
      <c r="H1120" s="22">
        <v>0</v>
      </c>
      <c r="I1120" s="22">
        <v>0</v>
      </c>
      <c r="J1120">
        <v>0</v>
      </c>
      <c r="K1120">
        <v>0</v>
      </c>
      <c r="L1120" s="22">
        <v>0</v>
      </c>
      <c r="M1120" s="22">
        <v>0</v>
      </c>
      <c r="N1120" s="22">
        <v>0</v>
      </c>
      <c r="O1120" s="22">
        <v>0</v>
      </c>
      <c r="P1120" s="22">
        <v>0</v>
      </c>
      <c r="Q1120" s="22">
        <v>0</v>
      </c>
      <c r="R1120">
        <v>0</v>
      </c>
      <c r="T1120" t="s">
        <v>2982</v>
      </c>
      <c r="U1120" t="s">
        <v>3060</v>
      </c>
      <c r="V1120" t="s">
        <v>3058</v>
      </c>
    </row>
    <row r="1121" spans="1:22">
      <c r="A1121">
        <v>1120</v>
      </c>
      <c r="B1121" t="s">
        <v>2490</v>
      </c>
      <c r="C1121" t="s">
        <v>2491</v>
      </c>
      <c r="D1121" t="s">
        <v>17</v>
      </c>
      <c r="E1121" t="s">
        <v>8</v>
      </c>
      <c r="F1121" s="22">
        <v>0</v>
      </c>
      <c r="G1121" s="22">
        <v>0</v>
      </c>
      <c r="H1121" s="22">
        <v>0</v>
      </c>
      <c r="I1121" s="22">
        <v>0</v>
      </c>
      <c r="J1121">
        <v>0</v>
      </c>
      <c r="K1121">
        <v>0</v>
      </c>
      <c r="L1121" s="22">
        <v>0</v>
      </c>
      <c r="M1121" s="22">
        <v>0</v>
      </c>
      <c r="N1121" s="22">
        <v>0</v>
      </c>
      <c r="O1121" s="22">
        <v>0</v>
      </c>
      <c r="P1121" s="22">
        <v>0</v>
      </c>
      <c r="Q1121" s="22">
        <v>0</v>
      </c>
      <c r="R1121">
        <v>0</v>
      </c>
      <c r="T1121" t="s">
        <v>2982</v>
      </c>
      <c r="U1121" t="s">
        <v>3060</v>
      </c>
      <c r="V1121" t="s">
        <v>3058</v>
      </c>
    </row>
    <row r="1122" spans="1:22">
      <c r="A1122">
        <v>1121</v>
      </c>
      <c r="B1122" t="s">
        <v>2393</v>
      </c>
      <c r="C1122" t="s">
        <v>2394</v>
      </c>
      <c r="D1122" t="s">
        <v>20</v>
      </c>
      <c r="E1122" t="s">
        <v>8</v>
      </c>
      <c r="F1122" s="22">
        <v>105</v>
      </c>
      <c r="G1122" s="22">
        <v>0</v>
      </c>
      <c r="H1122" s="22">
        <v>0</v>
      </c>
      <c r="I1122" s="22">
        <v>105</v>
      </c>
      <c r="J1122">
        <v>0</v>
      </c>
      <c r="K1122">
        <v>0</v>
      </c>
      <c r="L1122" s="22">
        <v>105</v>
      </c>
      <c r="M1122" s="22">
        <v>0</v>
      </c>
      <c r="N1122" s="22">
        <v>0</v>
      </c>
      <c r="O1122" s="22">
        <v>105</v>
      </c>
      <c r="P1122" s="22">
        <v>60</v>
      </c>
      <c r="Q1122" s="22">
        <v>45</v>
      </c>
      <c r="R1122">
        <v>0</v>
      </c>
      <c r="T1122" t="s">
        <v>2991</v>
      </c>
      <c r="U1122" t="s">
        <v>3057</v>
      </c>
      <c r="V1122" t="s">
        <v>3056</v>
      </c>
    </row>
    <row r="1123" spans="1:22">
      <c r="A1123">
        <v>1122</v>
      </c>
      <c r="B1123" t="s">
        <v>2494</v>
      </c>
      <c r="C1123" t="s">
        <v>2495</v>
      </c>
      <c r="D1123" t="s">
        <v>17</v>
      </c>
      <c r="E1123" t="s">
        <v>8</v>
      </c>
      <c r="F1123" s="22">
        <v>0</v>
      </c>
      <c r="G1123" s="22">
        <v>0</v>
      </c>
      <c r="H1123" s="22">
        <v>0</v>
      </c>
      <c r="I1123" s="22">
        <v>0</v>
      </c>
      <c r="J1123">
        <v>0</v>
      </c>
      <c r="K1123">
        <v>0</v>
      </c>
      <c r="L1123" s="22">
        <v>0</v>
      </c>
      <c r="M1123" s="22">
        <v>0</v>
      </c>
      <c r="N1123" s="22">
        <v>0</v>
      </c>
      <c r="O1123" s="22">
        <v>0</v>
      </c>
      <c r="P1123" s="22">
        <v>0</v>
      </c>
      <c r="Q1123" s="22">
        <v>0</v>
      </c>
      <c r="R1123">
        <v>0</v>
      </c>
      <c r="T1123" t="s">
        <v>2982</v>
      </c>
      <c r="U1123" t="s">
        <v>3060</v>
      </c>
      <c r="V1123" t="s">
        <v>3058</v>
      </c>
    </row>
    <row r="1124" spans="1:22">
      <c r="A1124">
        <v>1123</v>
      </c>
      <c r="B1124" t="s">
        <v>2496</v>
      </c>
      <c r="C1124" t="s">
        <v>2497</v>
      </c>
      <c r="D1124" t="s">
        <v>17</v>
      </c>
      <c r="E1124" t="s">
        <v>8</v>
      </c>
      <c r="F1124" s="22">
        <v>0</v>
      </c>
      <c r="G1124" s="22">
        <v>0</v>
      </c>
      <c r="H1124" s="22">
        <v>0</v>
      </c>
      <c r="I1124" s="22">
        <v>0</v>
      </c>
      <c r="J1124">
        <v>0</v>
      </c>
      <c r="K1124">
        <v>0</v>
      </c>
      <c r="L1124" s="22">
        <v>0</v>
      </c>
      <c r="M1124" s="22">
        <v>0</v>
      </c>
      <c r="N1124" s="22">
        <v>0</v>
      </c>
      <c r="O1124" s="22">
        <v>0</v>
      </c>
      <c r="P1124" s="22">
        <v>0</v>
      </c>
      <c r="Q1124" s="22">
        <v>0</v>
      </c>
      <c r="R1124">
        <v>0</v>
      </c>
      <c r="T1124" t="s">
        <v>2982</v>
      </c>
      <c r="U1124" t="s">
        <v>3060</v>
      </c>
      <c r="V1124" t="s">
        <v>3058</v>
      </c>
    </row>
    <row r="1125" spans="1:22">
      <c r="A1125">
        <v>1124</v>
      </c>
      <c r="B1125" t="s">
        <v>2498</v>
      </c>
      <c r="C1125" t="s">
        <v>2499</v>
      </c>
      <c r="D1125" t="s">
        <v>17</v>
      </c>
      <c r="E1125" t="s">
        <v>8</v>
      </c>
      <c r="F1125" s="22">
        <v>0</v>
      </c>
      <c r="G1125" s="22">
        <v>0</v>
      </c>
      <c r="H1125" s="22">
        <v>0</v>
      </c>
      <c r="I1125" s="22">
        <v>0</v>
      </c>
      <c r="J1125">
        <v>0</v>
      </c>
      <c r="K1125">
        <v>0</v>
      </c>
      <c r="L1125" s="22">
        <v>0</v>
      </c>
      <c r="M1125" s="22">
        <v>0</v>
      </c>
      <c r="N1125" s="22">
        <v>0</v>
      </c>
      <c r="O1125" s="22">
        <v>0</v>
      </c>
      <c r="P1125" s="22">
        <v>0</v>
      </c>
      <c r="Q1125" s="22">
        <v>0</v>
      </c>
      <c r="R1125">
        <v>0</v>
      </c>
      <c r="T1125" t="s">
        <v>2982</v>
      </c>
      <c r="U1125" t="s">
        <v>3060</v>
      </c>
      <c r="V1125" t="s">
        <v>3058</v>
      </c>
    </row>
    <row r="1126" spans="1:22">
      <c r="A1126">
        <v>1125</v>
      </c>
      <c r="B1126" t="s">
        <v>2500</v>
      </c>
      <c r="C1126" t="s">
        <v>2501</v>
      </c>
      <c r="D1126" t="s">
        <v>17</v>
      </c>
      <c r="E1126" t="s">
        <v>8</v>
      </c>
      <c r="F1126" s="22">
        <v>0</v>
      </c>
      <c r="G1126" s="22">
        <v>0</v>
      </c>
      <c r="H1126" s="22">
        <v>0</v>
      </c>
      <c r="I1126" s="22">
        <v>0</v>
      </c>
      <c r="J1126">
        <v>0</v>
      </c>
      <c r="K1126">
        <v>0</v>
      </c>
      <c r="L1126" s="22">
        <v>0</v>
      </c>
      <c r="M1126" s="22">
        <v>0</v>
      </c>
      <c r="N1126" s="22">
        <v>0</v>
      </c>
      <c r="O1126" s="22">
        <v>0</v>
      </c>
      <c r="P1126" s="22">
        <v>0</v>
      </c>
      <c r="Q1126" s="22">
        <v>0</v>
      </c>
      <c r="R1126">
        <v>0</v>
      </c>
      <c r="T1126" t="s">
        <v>2982</v>
      </c>
      <c r="U1126" t="s">
        <v>3060</v>
      </c>
      <c r="V1126" t="s">
        <v>3058</v>
      </c>
    </row>
    <row r="1127" spans="1:22">
      <c r="A1127">
        <v>1126</v>
      </c>
      <c r="B1127" t="s">
        <v>2502</v>
      </c>
      <c r="C1127" t="s">
        <v>2503</v>
      </c>
      <c r="D1127" t="s">
        <v>17</v>
      </c>
      <c r="E1127" t="s">
        <v>8</v>
      </c>
      <c r="F1127" s="22">
        <v>0</v>
      </c>
      <c r="G1127" s="22">
        <v>0</v>
      </c>
      <c r="H1127" s="22">
        <v>0</v>
      </c>
      <c r="I1127" s="22">
        <v>0</v>
      </c>
      <c r="J1127">
        <v>0</v>
      </c>
      <c r="K1127">
        <v>0</v>
      </c>
      <c r="L1127" s="22">
        <v>0</v>
      </c>
      <c r="M1127" s="22">
        <v>0</v>
      </c>
      <c r="N1127" s="22">
        <v>0</v>
      </c>
      <c r="O1127" s="22">
        <v>0</v>
      </c>
      <c r="P1127" s="22">
        <v>0</v>
      </c>
      <c r="Q1127" s="22">
        <v>0</v>
      </c>
      <c r="R1127">
        <v>0</v>
      </c>
      <c r="T1127" t="s">
        <v>2982</v>
      </c>
      <c r="U1127" t="s">
        <v>3060</v>
      </c>
      <c r="V1127" t="s">
        <v>3058</v>
      </c>
    </row>
    <row r="1128" spans="1:22">
      <c r="A1128">
        <v>1127</v>
      </c>
      <c r="B1128" t="s">
        <v>2504</v>
      </c>
      <c r="C1128" t="s">
        <v>2505</v>
      </c>
      <c r="D1128" t="s">
        <v>17</v>
      </c>
      <c r="E1128" t="s">
        <v>8</v>
      </c>
      <c r="F1128" s="22">
        <v>0</v>
      </c>
      <c r="G1128" s="22">
        <v>0</v>
      </c>
      <c r="H1128" s="22">
        <v>0</v>
      </c>
      <c r="I1128" s="22">
        <v>0</v>
      </c>
      <c r="J1128">
        <v>0</v>
      </c>
      <c r="K1128">
        <v>0</v>
      </c>
      <c r="L1128" s="22">
        <v>0</v>
      </c>
      <c r="M1128" s="22">
        <v>0</v>
      </c>
      <c r="N1128" s="22">
        <v>0</v>
      </c>
      <c r="O1128" s="22">
        <v>0</v>
      </c>
      <c r="P1128" s="22">
        <v>0</v>
      </c>
      <c r="Q1128" s="22">
        <v>0</v>
      </c>
      <c r="R1128">
        <v>0</v>
      </c>
      <c r="T1128" t="s">
        <v>2982</v>
      </c>
      <c r="U1128" t="s">
        <v>3060</v>
      </c>
      <c r="V1128" t="s">
        <v>3058</v>
      </c>
    </row>
    <row r="1129" spans="1:22">
      <c r="A1129">
        <v>1128</v>
      </c>
      <c r="B1129" t="s">
        <v>2506</v>
      </c>
      <c r="C1129" t="s">
        <v>2507</v>
      </c>
      <c r="D1129" t="s">
        <v>17</v>
      </c>
      <c r="E1129" t="s">
        <v>8</v>
      </c>
      <c r="F1129" s="22">
        <v>0</v>
      </c>
      <c r="G1129" s="22">
        <v>0</v>
      </c>
      <c r="H1129" s="22">
        <v>0</v>
      </c>
      <c r="I1129" s="22">
        <v>0</v>
      </c>
      <c r="J1129">
        <v>0</v>
      </c>
      <c r="K1129">
        <v>0</v>
      </c>
      <c r="L1129" s="22">
        <v>0</v>
      </c>
      <c r="M1129" s="22">
        <v>0</v>
      </c>
      <c r="N1129" s="22">
        <v>0</v>
      </c>
      <c r="O1129" s="22">
        <v>0</v>
      </c>
      <c r="P1129" s="22">
        <v>0</v>
      </c>
      <c r="Q1129" s="22">
        <v>0</v>
      </c>
      <c r="R1129">
        <v>0</v>
      </c>
      <c r="T1129" t="s">
        <v>2982</v>
      </c>
      <c r="U1129" t="s">
        <v>3060</v>
      </c>
      <c r="V1129" t="s">
        <v>3058</v>
      </c>
    </row>
    <row r="1130" spans="1:22">
      <c r="A1130">
        <v>1129</v>
      </c>
      <c r="B1130" t="s">
        <v>2508</v>
      </c>
      <c r="C1130" t="s">
        <v>2509</v>
      </c>
      <c r="D1130" t="s">
        <v>17</v>
      </c>
      <c r="E1130" t="s">
        <v>8</v>
      </c>
      <c r="F1130" s="22">
        <v>0</v>
      </c>
      <c r="G1130" s="22">
        <v>0</v>
      </c>
      <c r="H1130" s="22">
        <v>0</v>
      </c>
      <c r="I1130" s="22">
        <v>0</v>
      </c>
      <c r="J1130">
        <v>0</v>
      </c>
      <c r="K1130">
        <v>0</v>
      </c>
      <c r="L1130" s="22">
        <v>0</v>
      </c>
      <c r="M1130" s="22">
        <v>0</v>
      </c>
      <c r="N1130" s="22">
        <v>0</v>
      </c>
      <c r="O1130" s="22">
        <v>0</v>
      </c>
      <c r="P1130" s="22">
        <v>0</v>
      </c>
      <c r="Q1130" s="22">
        <v>0</v>
      </c>
      <c r="R1130">
        <v>0</v>
      </c>
      <c r="T1130" t="s">
        <v>2982</v>
      </c>
      <c r="U1130" t="s">
        <v>3060</v>
      </c>
      <c r="V1130" t="s">
        <v>3058</v>
      </c>
    </row>
    <row r="1131" spans="1:22">
      <c r="A1131">
        <v>1130</v>
      </c>
      <c r="B1131" t="s">
        <v>2395</v>
      </c>
      <c r="C1131" t="s">
        <v>2396</v>
      </c>
      <c r="D1131" t="s">
        <v>20</v>
      </c>
      <c r="E1131" t="s">
        <v>8</v>
      </c>
      <c r="F1131" s="22">
        <v>109.5</v>
      </c>
      <c r="G1131" s="22">
        <v>0</v>
      </c>
      <c r="H1131" s="22">
        <v>0</v>
      </c>
      <c r="I1131" s="22">
        <v>109.5</v>
      </c>
      <c r="J1131">
        <v>0</v>
      </c>
      <c r="K1131">
        <v>0</v>
      </c>
      <c r="L1131" s="22">
        <v>109.5</v>
      </c>
      <c r="M1131" s="22">
        <v>0</v>
      </c>
      <c r="N1131" s="22">
        <v>0</v>
      </c>
      <c r="O1131" s="22">
        <v>109.5</v>
      </c>
      <c r="P1131" s="22">
        <v>60</v>
      </c>
      <c r="Q1131" s="22">
        <v>49.5</v>
      </c>
      <c r="R1131">
        <v>0</v>
      </c>
      <c r="T1131" t="s">
        <v>2991</v>
      </c>
      <c r="U1131" t="s">
        <v>3057</v>
      </c>
      <c r="V1131" t="s">
        <v>3056</v>
      </c>
    </row>
    <row r="1132" spans="1:22">
      <c r="A1132">
        <v>1131</v>
      </c>
      <c r="B1132" t="s">
        <v>2419</v>
      </c>
      <c r="C1132" t="s">
        <v>2420</v>
      </c>
      <c r="D1132" t="s">
        <v>2130</v>
      </c>
      <c r="E1132" t="s">
        <v>8</v>
      </c>
      <c r="F1132" s="22">
        <v>0</v>
      </c>
      <c r="G1132" s="22">
        <v>108.19799999999999</v>
      </c>
      <c r="H1132" s="22">
        <v>108.19799999999999</v>
      </c>
      <c r="I1132" s="22">
        <v>0</v>
      </c>
      <c r="J1132">
        <v>0</v>
      </c>
      <c r="K1132">
        <v>0</v>
      </c>
      <c r="L1132" s="22">
        <v>0</v>
      </c>
      <c r="M1132" s="22">
        <v>0</v>
      </c>
      <c r="N1132" s="22">
        <v>0</v>
      </c>
      <c r="O1132" s="22">
        <v>0</v>
      </c>
      <c r="P1132" s="22">
        <v>0</v>
      </c>
      <c r="Q1132" s="22">
        <v>0</v>
      </c>
      <c r="R1132">
        <v>0</v>
      </c>
      <c r="T1132" t="s">
        <v>2998</v>
      </c>
      <c r="U1132" t="s">
        <v>3057</v>
      </c>
      <c r="V1132" t="s">
        <v>3056</v>
      </c>
    </row>
    <row r="1133" spans="1:22">
      <c r="A1133">
        <v>1132</v>
      </c>
      <c r="B1133" t="s">
        <v>2514</v>
      </c>
      <c r="C1133" t="s">
        <v>2515</v>
      </c>
      <c r="D1133" t="s">
        <v>17</v>
      </c>
      <c r="E1133" t="s">
        <v>8</v>
      </c>
      <c r="F1133" s="22">
        <v>65</v>
      </c>
      <c r="G1133" s="22">
        <v>0</v>
      </c>
      <c r="H1133" s="22">
        <v>0</v>
      </c>
      <c r="I1133" s="22">
        <v>65</v>
      </c>
      <c r="J1133">
        <v>0</v>
      </c>
      <c r="K1133">
        <v>0</v>
      </c>
      <c r="L1133" s="22">
        <v>65</v>
      </c>
      <c r="M1133" s="22">
        <v>0</v>
      </c>
      <c r="N1133" s="22">
        <v>0</v>
      </c>
      <c r="O1133" s="22">
        <v>65</v>
      </c>
      <c r="P1133" s="22">
        <v>0</v>
      </c>
      <c r="Q1133" s="22">
        <v>65</v>
      </c>
      <c r="R1133">
        <v>0</v>
      </c>
      <c r="T1133" t="s">
        <v>2982</v>
      </c>
      <c r="U1133" t="s">
        <v>3060</v>
      </c>
      <c r="V1133" t="s">
        <v>3064</v>
      </c>
    </row>
    <row r="1134" spans="1:22">
      <c r="A1134">
        <v>1133</v>
      </c>
      <c r="B1134" t="s">
        <v>2425</v>
      </c>
      <c r="C1134" t="s">
        <v>2426</v>
      </c>
      <c r="D1134" t="s">
        <v>17</v>
      </c>
      <c r="E1134" t="s">
        <v>8</v>
      </c>
      <c r="F1134" s="22">
        <v>0</v>
      </c>
      <c r="G1134" s="22">
        <v>0</v>
      </c>
      <c r="H1134" s="22">
        <v>0</v>
      </c>
      <c r="I1134" s="22">
        <v>0</v>
      </c>
      <c r="J1134">
        <v>0</v>
      </c>
      <c r="K1134">
        <v>0</v>
      </c>
      <c r="L1134" s="22">
        <v>0</v>
      </c>
      <c r="M1134" s="22">
        <v>0</v>
      </c>
      <c r="N1134" s="22">
        <v>0</v>
      </c>
      <c r="O1134" s="22">
        <v>0</v>
      </c>
      <c r="P1134" s="22">
        <v>0</v>
      </c>
      <c r="Q1134" s="22">
        <v>0</v>
      </c>
      <c r="R1134">
        <v>0</v>
      </c>
      <c r="T1134" t="s">
        <v>2972</v>
      </c>
      <c r="U1134" t="s">
        <v>3057</v>
      </c>
      <c r="V1134" t="s">
        <v>3056</v>
      </c>
    </row>
    <row r="1135" spans="1:22">
      <c r="A1135">
        <v>1134</v>
      </c>
      <c r="B1135" t="s">
        <v>2520</v>
      </c>
      <c r="C1135" t="s">
        <v>2521</v>
      </c>
      <c r="D1135" t="s">
        <v>17</v>
      </c>
      <c r="E1135" t="s">
        <v>8</v>
      </c>
      <c r="F1135" s="22">
        <v>673</v>
      </c>
      <c r="G1135" s="22">
        <v>1500</v>
      </c>
      <c r="H1135" s="22">
        <v>75</v>
      </c>
      <c r="I1135" s="22">
        <v>2098</v>
      </c>
      <c r="J1135">
        <v>0</v>
      </c>
      <c r="K1135">
        <v>0</v>
      </c>
      <c r="L1135" s="22">
        <v>2098</v>
      </c>
      <c r="M1135" s="22">
        <v>0</v>
      </c>
      <c r="N1135" s="22">
        <v>0</v>
      </c>
      <c r="O1135" s="22">
        <v>2098</v>
      </c>
      <c r="P1135" s="22">
        <v>700</v>
      </c>
      <c r="Q1135" s="22">
        <v>1398</v>
      </c>
      <c r="R1135">
        <v>0</v>
      </c>
      <c r="T1135" t="s">
        <v>3006</v>
      </c>
      <c r="U1135" t="s">
        <v>3060</v>
      </c>
      <c r="V1135" t="s">
        <v>3058</v>
      </c>
    </row>
    <row r="1136" spans="1:22">
      <c r="A1136">
        <v>1135</v>
      </c>
      <c r="B1136" t="s">
        <v>2522</v>
      </c>
      <c r="C1136" t="s">
        <v>2523</v>
      </c>
      <c r="D1136" t="s">
        <v>17</v>
      </c>
      <c r="E1136" t="s">
        <v>8</v>
      </c>
      <c r="F1136" s="22">
        <v>0</v>
      </c>
      <c r="G1136" s="22">
        <v>0</v>
      </c>
      <c r="H1136" s="22">
        <v>0</v>
      </c>
      <c r="I1136" s="22">
        <v>0</v>
      </c>
      <c r="J1136">
        <v>0</v>
      </c>
      <c r="K1136">
        <v>0</v>
      </c>
      <c r="L1136" s="22">
        <v>0</v>
      </c>
      <c r="M1136" s="22">
        <v>0</v>
      </c>
      <c r="N1136" s="22">
        <v>0</v>
      </c>
      <c r="O1136" s="22">
        <v>0</v>
      </c>
      <c r="P1136" s="22">
        <v>0</v>
      </c>
      <c r="Q1136" s="22">
        <v>0</v>
      </c>
      <c r="R1136">
        <v>0</v>
      </c>
      <c r="T1136" t="s">
        <v>3006</v>
      </c>
      <c r="U1136" t="s">
        <v>3060</v>
      </c>
      <c r="V1136" t="s">
        <v>3058</v>
      </c>
    </row>
    <row r="1137" spans="1:22">
      <c r="A1137">
        <v>1136</v>
      </c>
      <c r="B1137" t="s">
        <v>2524</v>
      </c>
      <c r="C1137" t="s">
        <v>2525</v>
      </c>
      <c r="D1137" t="s">
        <v>17</v>
      </c>
      <c r="E1137" t="s">
        <v>8</v>
      </c>
      <c r="F1137" s="22">
        <v>0</v>
      </c>
      <c r="G1137" s="22">
        <v>0</v>
      </c>
      <c r="H1137" s="22">
        <v>0</v>
      </c>
      <c r="I1137" s="22">
        <v>0</v>
      </c>
      <c r="J1137">
        <v>0</v>
      </c>
      <c r="K1137">
        <v>0</v>
      </c>
      <c r="L1137" s="22">
        <v>0</v>
      </c>
      <c r="M1137" s="22">
        <v>0</v>
      </c>
      <c r="N1137" s="22">
        <v>0</v>
      </c>
      <c r="O1137" s="22">
        <v>0</v>
      </c>
      <c r="P1137" s="22">
        <v>0</v>
      </c>
      <c r="Q1137" s="22">
        <v>0</v>
      </c>
      <c r="R1137">
        <v>0</v>
      </c>
      <c r="T1137" t="s">
        <v>3006</v>
      </c>
      <c r="U1137" t="s">
        <v>3060</v>
      </c>
      <c r="V1137" t="s">
        <v>3058</v>
      </c>
    </row>
    <row r="1138" spans="1:22">
      <c r="A1138">
        <v>1137</v>
      </c>
      <c r="B1138" t="s">
        <v>2526</v>
      </c>
      <c r="C1138" t="s">
        <v>2527</v>
      </c>
      <c r="D1138" t="s">
        <v>17</v>
      </c>
      <c r="E1138" t="s">
        <v>8</v>
      </c>
      <c r="F1138" s="22">
        <v>0</v>
      </c>
      <c r="G1138" s="22">
        <v>0</v>
      </c>
      <c r="H1138" s="22">
        <v>0</v>
      </c>
      <c r="I1138" s="22">
        <v>0</v>
      </c>
      <c r="J1138">
        <v>0</v>
      </c>
      <c r="K1138">
        <v>0</v>
      </c>
      <c r="L1138" s="22">
        <v>0</v>
      </c>
      <c r="M1138" s="22">
        <v>0</v>
      </c>
      <c r="N1138" s="22">
        <v>0</v>
      </c>
      <c r="O1138" s="22">
        <v>0</v>
      </c>
      <c r="P1138" s="22">
        <v>0</v>
      </c>
      <c r="Q1138" s="22">
        <v>0</v>
      </c>
      <c r="R1138">
        <v>0</v>
      </c>
      <c r="T1138" t="s">
        <v>3006</v>
      </c>
      <c r="U1138" t="s">
        <v>3060</v>
      </c>
      <c r="V1138" t="s">
        <v>3058</v>
      </c>
    </row>
    <row r="1139" spans="1:22">
      <c r="A1139">
        <v>1138</v>
      </c>
      <c r="B1139" t="s">
        <v>2528</v>
      </c>
      <c r="C1139" t="s">
        <v>2529</v>
      </c>
      <c r="D1139" t="s">
        <v>17</v>
      </c>
      <c r="E1139" t="s">
        <v>8</v>
      </c>
      <c r="F1139" s="22">
        <v>0</v>
      </c>
      <c r="G1139" s="22">
        <v>0</v>
      </c>
      <c r="H1139" s="22">
        <v>0</v>
      </c>
      <c r="I1139" s="22">
        <v>0</v>
      </c>
      <c r="J1139">
        <v>0</v>
      </c>
      <c r="K1139">
        <v>0</v>
      </c>
      <c r="L1139" s="22">
        <v>0</v>
      </c>
      <c r="M1139" s="22">
        <v>0</v>
      </c>
      <c r="N1139" s="22">
        <v>0</v>
      </c>
      <c r="O1139" s="22">
        <v>0</v>
      </c>
      <c r="P1139" s="22">
        <v>0</v>
      </c>
      <c r="Q1139" s="22">
        <v>0</v>
      </c>
      <c r="R1139">
        <v>0</v>
      </c>
      <c r="T1139" t="s">
        <v>3006</v>
      </c>
      <c r="U1139" t="s">
        <v>3060</v>
      </c>
      <c r="V1139" t="s">
        <v>3058</v>
      </c>
    </row>
    <row r="1140" spans="1:22">
      <c r="A1140">
        <v>1139</v>
      </c>
      <c r="B1140" t="s">
        <v>2530</v>
      </c>
      <c r="C1140" t="s">
        <v>2531</v>
      </c>
      <c r="D1140" t="s">
        <v>17</v>
      </c>
      <c r="E1140" t="s">
        <v>8</v>
      </c>
      <c r="F1140" s="22">
        <v>0</v>
      </c>
      <c r="G1140" s="22">
        <v>0</v>
      </c>
      <c r="H1140" s="22">
        <v>0</v>
      </c>
      <c r="I1140" s="22">
        <v>0</v>
      </c>
      <c r="J1140">
        <v>0</v>
      </c>
      <c r="K1140">
        <v>0</v>
      </c>
      <c r="L1140" s="22">
        <v>0</v>
      </c>
      <c r="M1140" s="22">
        <v>0</v>
      </c>
      <c r="N1140" s="22">
        <v>0</v>
      </c>
      <c r="O1140" s="22">
        <v>0</v>
      </c>
      <c r="P1140" s="22">
        <v>0</v>
      </c>
      <c r="Q1140" s="22">
        <v>0</v>
      </c>
      <c r="R1140">
        <v>0</v>
      </c>
      <c r="T1140" t="s">
        <v>3006</v>
      </c>
      <c r="U1140" t="s">
        <v>3060</v>
      </c>
      <c r="V1140" t="s">
        <v>3058</v>
      </c>
    </row>
    <row r="1141" spans="1:22">
      <c r="A1141">
        <v>1140</v>
      </c>
      <c r="B1141" t="s">
        <v>2532</v>
      </c>
      <c r="C1141" t="s">
        <v>2533</v>
      </c>
      <c r="D1141" t="s">
        <v>17</v>
      </c>
      <c r="E1141" t="s">
        <v>8</v>
      </c>
      <c r="F1141" s="22">
        <v>0</v>
      </c>
      <c r="G1141" s="22">
        <v>0</v>
      </c>
      <c r="H1141" s="22">
        <v>0</v>
      </c>
      <c r="I1141" s="22">
        <v>0</v>
      </c>
      <c r="J1141">
        <v>0</v>
      </c>
      <c r="K1141">
        <v>0</v>
      </c>
      <c r="L1141" s="22">
        <v>0</v>
      </c>
      <c r="M1141" s="22">
        <v>0</v>
      </c>
      <c r="N1141" s="22">
        <v>0</v>
      </c>
      <c r="O1141" s="22">
        <v>0</v>
      </c>
      <c r="P1141" s="22">
        <v>0</v>
      </c>
      <c r="Q1141" s="22">
        <v>0</v>
      </c>
      <c r="R1141">
        <v>0</v>
      </c>
      <c r="T1141" t="s">
        <v>3006</v>
      </c>
      <c r="U1141" t="s">
        <v>3060</v>
      </c>
      <c r="V1141" t="s">
        <v>3058</v>
      </c>
    </row>
    <row r="1142" spans="1:22">
      <c r="A1142">
        <v>1141</v>
      </c>
      <c r="B1142" t="s">
        <v>2534</v>
      </c>
      <c r="C1142" t="s">
        <v>2535</v>
      </c>
      <c r="D1142" t="s">
        <v>17</v>
      </c>
      <c r="E1142" t="s">
        <v>8</v>
      </c>
      <c r="F1142" s="22">
        <v>0</v>
      </c>
      <c r="G1142" s="22">
        <v>0</v>
      </c>
      <c r="H1142" s="22">
        <v>0</v>
      </c>
      <c r="I1142" s="22">
        <v>0</v>
      </c>
      <c r="J1142">
        <v>0</v>
      </c>
      <c r="K1142">
        <v>0</v>
      </c>
      <c r="L1142" s="22">
        <v>0</v>
      </c>
      <c r="M1142" s="22">
        <v>0</v>
      </c>
      <c r="N1142" s="22">
        <v>0</v>
      </c>
      <c r="O1142" s="22">
        <v>0</v>
      </c>
      <c r="P1142" s="22">
        <v>0</v>
      </c>
      <c r="Q1142" s="22">
        <v>0</v>
      </c>
      <c r="R1142">
        <v>0</v>
      </c>
      <c r="T1142" t="s">
        <v>3006</v>
      </c>
      <c r="U1142" t="s">
        <v>3060</v>
      </c>
      <c r="V1142" t="s">
        <v>3058</v>
      </c>
    </row>
    <row r="1143" spans="1:22">
      <c r="A1143">
        <v>1142</v>
      </c>
      <c r="B1143" t="s">
        <v>2536</v>
      </c>
      <c r="C1143" t="s">
        <v>2537</v>
      </c>
      <c r="D1143" t="s">
        <v>17</v>
      </c>
      <c r="E1143" t="s">
        <v>8</v>
      </c>
      <c r="F1143" s="22">
        <v>0</v>
      </c>
      <c r="G1143" s="22">
        <v>0</v>
      </c>
      <c r="H1143" s="22">
        <v>0</v>
      </c>
      <c r="I1143" s="22">
        <v>0</v>
      </c>
      <c r="J1143">
        <v>0</v>
      </c>
      <c r="K1143">
        <v>0</v>
      </c>
      <c r="L1143" s="22">
        <v>0</v>
      </c>
      <c r="M1143" s="22">
        <v>0</v>
      </c>
      <c r="N1143" s="22">
        <v>0</v>
      </c>
      <c r="O1143" s="22">
        <v>0</v>
      </c>
      <c r="P1143" s="22">
        <v>0</v>
      </c>
      <c r="Q1143" s="22">
        <v>0</v>
      </c>
      <c r="R1143">
        <v>0</v>
      </c>
      <c r="T1143" t="s">
        <v>3006</v>
      </c>
      <c r="U1143" t="s">
        <v>3060</v>
      </c>
      <c r="V1143" t="s">
        <v>3058</v>
      </c>
    </row>
    <row r="1144" spans="1:22">
      <c r="A1144">
        <v>1143</v>
      </c>
      <c r="B1144" t="s">
        <v>2538</v>
      </c>
      <c r="C1144" t="s">
        <v>2539</v>
      </c>
      <c r="D1144" t="s">
        <v>17</v>
      </c>
      <c r="E1144" t="s">
        <v>8</v>
      </c>
      <c r="F1144" s="22">
        <v>0</v>
      </c>
      <c r="G1144" s="22">
        <v>0</v>
      </c>
      <c r="H1144" s="22">
        <v>0</v>
      </c>
      <c r="I1144" s="22">
        <v>0</v>
      </c>
      <c r="J1144">
        <v>0</v>
      </c>
      <c r="K1144">
        <v>0</v>
      </c>
      <c r="L1144" s="22">
        <v>0</v>
      </c>
      <c r="M1144" s="22">
        <v>0</v>
      </c>
      <c r="N1144" s="22">
        <v>0</v>
      </c>
      <c r="O1144" s="22">
        <v>0</v>
      </c>
      <c r="P1144" s="22">
        <v>0</v>
      </c>
      <c r="Q1144" s="22">
        <v>0</v>
      </c>
      <c r="R1144">
        <v>0</v>
      </c>
      <c r="T1144" t="s">
        <v>3006</v>
      </c>
      <c r="U1144" t="s">
        <v>3060</v>
      </c>
      <c r="V1144" t="s">
        <v>3058</v>
      </c>
    </row>
    <row r="1145" spans="1:22">
      <c r="A1145">
        <v>1144</v>
      </c>
      <c r="B1145" t="s">
        <v>2540</v>
      </c>
      <c r="C1145" t="s">
        <v>2541</v>
      </c>
      <c r="D1145" t="s">
        <v>17</v>
      </c>
      <c r="E1145" t="s">
        <v>8</v>
      </c>
      <c r="F1145" s="22">
        <v>0</v>
      </c>
      <c r="G1145" s="22">
        <v>0</v>
      </c>
      <c r="H1145" s="22">
        <v>0</v>
      </c>
      <c r="I1145" s="22">
        <v>0</v>
      </c>
      <c r="J1145">
        <v>0</v>
      </c>
      <c r="K1145">
        <v>0</v>
      </c>
      <c r="L1145" s="22">
        <v>0</v>
      </c>
      <c r="M1145" s="22">
        <v>0</v>
      </c>
      <c r="N1145" s="22">
        <v>0</v>
      </c>
      <c r="O1145" s="22">
        <v>0</v>
      </c>
      <c r="P1145" s="22">
        <v>0</v>
      </c>
      <c r="Q1145" s="22">
        <v>0</v>
      </c>
      <c r="R1145">
        <v>0</v>
      </c>
      <c r="T1145" t="s">
        <v>3006</v>
      </c>
      <c r="U1145" t="s">
        <v>3060</v>
      </c>
      <c r="V1145" t="s">
        <v>3058</v>
      </c>
    </row>
    <row r="1146" spans="1:22">
      <c r="A1146">
        <v>1145</v>
      </c>
      <c r="B1146" t="s">
        <v>2542</v>
      </c>
      <c r="C1146" t="s">
        <v>2543</v>
      </c>
      <c r="D1146" t="s">
        <v>17</v>
      </c>
      <c r="E1146" t="s">
        <v>8</v>
      </c>
      <c r="F1146" s="22">
        <v>0</v>
      </c>
      <c r="G1146" s="22">
        <v>0</v>
      </c>
      <c r="H1146" s="22">
        <v>0</v>
      </c>
      <c r="I1146" s="22">
        <v>0</v>
      </c>
      <c r="J1146">
        <v>0</v>
      </c>
      <c r="K1146">
        <v>0</v>
      </c>
      <c r="L1146" s="22">
        <v>0</v>
      </c>
      <c r="M1146" s="22">
        <v>0</v>
      </c>
      <c r="N1146" s="22">
        <v>0</v>
      </c>
      <c r="O1146" s="22">
        <v>0</v>
      </c>
      <c r="P1146" s="22">
        <v>0</v>
      </c>
      <c r="Q1146" s="22">
        <v>0</v>
      </c>
      <c r="R1146">
        <v>0</v>
      </c>
      <c r="T1146" t="s">
        <v>3006</v>
      </c>
      <c r="U1146" t="s">
        <v>3060</v>
      </c>
      <c r="V1146" t="s">
        <v>3058</v>
      </c>
    </row>
    <row r="1147" spans="1:22">
      <c r="A1147">
        <v>1146</v>
      </c>
      <c r="B1147" t="s">
        <v>2544</v>
      </c>
      <c r="C1147" t="s">
        <v>2545</v>
      </c>
      <c r="D1147" t="s">
        <v>17</v>
      </c>
      <c r="E1147" t="s">
        <v>8</v>
      </c>
      <c r="F1147" s="22">
        <v>600</v>
      </c>
      <c r="G1147" s="22">
        <v>0</v>
      </c>
      <c r="H1147" s="22">
        <v>0</v>
      </c>
      <c r="I1147" s="22">
        <v>600</v>
      </c>
      <c r="J1147">
        <v>0</v>
      </c>
      <c r="K1147">
        <v>0</v>
      </c>
      <c r="L1147" s="22">
        <v>600</v>
      </c>
      <c r="M1147" s="22">
        <v>0</v>
      </c>
      <c r="N1147" s="22">
        <v>0</v>
      </c>
      <c r="O1147" s="22">
        <v>600</v>
      </c>
      <c r="P1147" s="22">
        <v>0</v>
      </c>
      <c r="Q1147" s="22">
        <v>600</v>
      </c>
      <c r="R1147">
        <v>0</v>
      </c>
      <c r="T1147" t="s">
        <v>2972</v>
      </c>
      <c r="U1147" t="s">
        <v>3055</v>
      </c>
      <c r="V1147" t="s">
        <v>3056</v>
      </c>
    </row>
    <row r="1148" spans="1:22">
      <c r="A1148">
        <v>1147</v>
      </c>
      <c r="B1148" t="s">
        <v>2441</v>
      </c>
      <c r="C1148" t="s">
        <v>2442</v>
      </c>
      <c r="D1148" t="s">
        <v>17</v>
      </c>
      <c r="E1148" t="s">
        <v>8</v>
      </c>
      <c r="F1148" s="22">
        <v>150</v>
      </c>
      <c r="G1148" s="22">
        <v>0</v>
      </c>
      <c r="H1148" s="22">
        <v>0</v>
      </c>
      <c r="I1148" s="22">
        <v>150</v>
      </c>
      <c r="J1148">
        <v>0</v>
      </c>
      <c r="K1148">
        <v>0</v>
      </c>
      <c r="L1148" s="22">
        <v>150</v>
      </c>
      <c r="M1148" s="22">
        <v>0</v>
      </c>
      <c r="N1148" s="22">
        <v>0</v>
      </c>
      <c r="O1148" s="22">
        <v>150</v>
      </c>
      <c r="P1148" s="22">
        <v>100</v>
      </c>
      <c r="Q1148" s="22">
        <v>50</v>
      </c>
      <c r="R1148">
        <v>0</v>
      </c>
      <c r="T1148" t="s">
        <v>2972</v>
      </c>
      <c r="U1148" t="s">
        <v>3057</v>
      </c>
      <c r="V1148" t="s">
        <v>3056</v>
      </c>
    </row>
    <row r="1149" spans="1:22">
      <c r="A1149">
        <v>1148</v>
      </c>
      <c r="B1149" t="s">
        <v>2548</v>
      </c>
      <c r="C1149" t="s">
        <v>2549</v>
      </c>
      <c r="D1149" t="s">
        <v>20</v>
      </c>
      <c r="E1149" t="s">
        <v>8</v>
      </c>
      <c r="F1149" s="22">
        <v>0</v>
      </c>
      <c r="G1149" s="22">
        <v>0</v>
      </c>
      <c r="H1149" s="22">
        <v>0</v>
      </c>
      <c r="I1149" s="22">
        <v>0</v>
      </c>
      <c r="J1149">
        <v>0</v>
      </c>
      <c r="K1149">
        <v>0</v>
      </c>
      <c r="L1149" s="22">
        <v>0</v>
      </c>
      <c r="M1149" s="22">
        <v>0</v>
      </c>
      <c r="N1149" s="22">
        <v>0</v>
      </c>
      <c r="O1149" s="22">
        <v>0</v>
      </c>
      <c r="P1149" s="22">
        <v>0</v>
      </c>
      <c r="Q1149" s="22">
        <v>0</v>
      </c>
      <c r="R1149">
        <v>0</v>
      </c>
      <c r="T1149" t="s">
        <v>2991</v>
      </c>
      <c r="U1149" t="s">
        <v>3060</v>
      </c>
      <c r="V1149" t="s">
        <v>3058</v>
      </c>
    </row>
    <row r="1150" spans="1:22">
      <c r="A1150">
        <v>1149</v>
      </c>
      <c r="B1150" t="s">
        <v>2462</v>
      </c>
      <c r="C1150" t="s">
        <v>2463</v>
      </c>
      <c r="D1150" t="s">
        <v>7</v>
      </c>
      <c r="E1150" t="s">
        <v>8</v>
      </c>
      <c r="F1150" s="22">
        <v>5280</v>
      </c>
      <c r="G1150" s="22">
        <v>0</v>
      </c>
      <c r="H1150" s="22">
        <v>0</v>
      </c>
      <c r="I1150" s="22">
        <v>5280</v>
      </c>
      <c r="J1150">
        <v>0</v>
      </c>
      <c r="K1150">
        <v>0</v>
      </c>
      <c r="L1150" s="22">
        <v>5280</v>
      </c>
      <c r="M1150" s="22">
        <v>0</v>
      </c>
      <c r="N1150" s="22">
        <v>0</v>
      </c>
      <c r="O1150" s="22">
        <v>5280</v>
      </c>
      <c r="P1150" s="22">
        <v>1000</v>
      </c>
      <c r="Q1150" s="22">
        <v>4280</v>
      </c>
      <c r="R1150">
        <v>0</v>
      </c>
      <c r="T1150" t="s">
        <v>2972</v>
      </c>
      <c r="U1150" t="s">
        <v>3057</v>
      </c>
      <c r="V1150" t="s">
        <v>3056</v>
      </c>
    </row>
    <row r="1151" spans="1:22">
      <c r="A1151">
        <v>1150</v>
      </c>
      <c r="B1151" t="s">
        <v>2555</v>
      </c>
      <c r="C1151" t="s">
        <v>2556</v>
      </c>
      <c r="D1151" t="s">
        <v>17</v>
      </c>
      <c r="E1151" t="s">
        <v>8</v>
      </c>
      <c r="F1151" s="22">
        <v>0</v>
      </c>
      <c r="G1151" s="22">
        <v>0</v>
      </c>
      <c r="H1151" s="22">
        <v>0</v>
      </c>
      <c r="I1151" s="22">
        <v>0</v>
      </c>
      <c r="J1151">
        <v>0</v>
      </c>
      <c r="K1151">
        <v>0</v>
      </c>
      <c r="L1151" s="22">
        <v>0</v>
      </c>
      <c r="M1151" s="22">
        <v>0</v>
      </c>
      <c r="N1151" s="22">
        <v>0</v>
      </c>
      <c r="O1151" s="22">
        <v>0</v>
      </c>
      <c r="P1151" s="22">
        <v>0</v>
      </c>
      <c r="Q1151" s="22">
        <v>0</v>
      </c>
      <c r="R1151">
        <v>0</v>
      </c>
      <c r="T1151" t="s">
        <v>2982</v>
      </c>
      <c r="U1151" t="s">
        <v>3060</v>
      </c>
      <c r="V1151" t="s">
        <v>3058</v>
      </c>
    </row>
    <row r="1152" spans="1:22">
      <c r="A1152">
        <v>1151</v>
      </c>
      <c r="B1152" t="s">
        <v>2557</v>
      </c>
      <c r="C1152" t="s">
        <v>2558</v>
      </c>
      <c r="D1152" t="s">
        <v>17</v>
      </c>
      <c r="E1152" t="s">
        <v>8</v>
      </c>
      <c r="F1152" s="22">
        <v>0</v>
      </c>
      <c r="G1152" s="22">
        <v>0</v>
      </c>
      <c r="H1152" s="22">
        <v>0</v>
      </c>
      <c r="I1152" s="22">
        <v>0</v>
      </c>
      <c r="J1152">
        <v>0</v>
      </c>
      <c r="K1152">
        <v>0</v>
      </c>
      <c r="L1152" s="22">
        <v>0</v>
      </c>
      <c r="M1152" s="22">
        <v>0</v>
      </c>
      <c r="N1152" s="22">
        <v>0</v>
      </c>
      <c r="O1152" s="22">
        <v>0</v>
      </c>
      <c r="P1152" s="22">
        <v>0</v>
      </c>
      <c r="Q1152" s="22">
        <v>0</v>
      </c>
      <c r="R1152">
        <v>0</v>
      </c>
      <c r="T1152" t="s">
        <v>2982</v>
      </c>
      <c r="U1152" t="s">
        <v>3060</v>
      </c>
      <c r="V1152" t="s">
        <v>3058</v>
      </c>
    </row>
    <row r="1153" spans="1:22">
      <c r="A1153">
        <v>1152</v>
      </c>
      <c r="B1153" t="s">
        <v>2559</v>
      </c>
      <c r="C1153" t="s">
        <v>2560</v>
      </c>
      <c r="D1153" t="s">
        <v>17</v>
      </c>
      <c r="E1153" t="s">
        <v>8</v>
      </c>
      <c r="F1153" s="22">
        <v>0</v>
      </c>
      <c r="G1153" s="22">
        <v>0</v>
      </c>
      <c r="H1153" s="22">
        <v>0</v>
      </c>
      <c r="I1153" s="22">
        <v>0</v>
      </c>
      <c r="J1153">
        <v>0</v>
      </c>
      <c r="K1153">
        <v>0</v>
      </c>
      <c r="L1153" s="22">
        <v>0</v>
      </c>
      <c r="M1153" s="22">
        <v>0</v>
      </c>
      <c r="N1153" s="22">
        <v>0</v>
      </c>
      <c r="O1153" s="22">
        <v>0</v>
      </c>
      <c r="P1153" s="22">
        <v>0</v>
      </c>
      <c r="Q1153" s="22">
        <v>0</v>
      </c>
      <c r="R1153">
        <v>0</v>
      </c>
      <c r="T1153" t="s">
        <v>2982</v>
      </c>
      <c r="U1153" t="s">
        <v>3060</v>
      </c>
      <c r="V1153" t="s">
        <v>3058</v>
      </c>
    </row>
    <row r="1154" spans="1:22">
      <c r="A1154">
        <v>1153</v>
      </c>
      <c r="B1154" t="s">
        <v>2561</v>
      </c>
      <c r="C1154" t="s">
        <v>2562</v>
      </c>
      <c r="D1154" t="s">
        <v>17</v>
      </c>
      <c r="E1154" t="s">
        <v>8</v>
      </c>
      <c r="F1154" s="22">
        <v>0</v>
      </c>
      <c r="G1154" s="22">
        <v>0</v>
      </c>
      <c r="H1154" s="22">
        <v>0</v>
      </c>
      <c r="I1154" s="22">
        <v>0</v>
      </c>
      <c r="J1154">
        <v>0</v>
      </c>
      <c r="K1154">
        <v>0</v>
      </c>
      <c r="L1154" s="22">
        <v>0</v>
      </c>
      <c r="M1154" s="22">
        <v>0</v>
      </c>
      <c r="N1154" s="22">
        <v>0</v>
      </c>
      <c r="O1154" s="22">
        <v>0</v>
      </c>
      <c r="P1154" s="22">
        <v>0</v>
      </c>
      <c r="Q1154" s="22">
        <v>0</v>
      </c>
      <c r="R1154">
        <v>0</v>
      </c>
      <c r="T1154" t="s">
        <v>2982</v>
      </c>
      <c r="U1154" t="s">
        <v>3060</v>
      </c>
      <c r="V1154" t="s">
        <v>3058</v>
      </c>
    </row>
    <row r="1155" spans="1:22">
      <c r="A1155">
        <v>1154</v>
      </c>
      <c r="B1155" t="s">
        <v>2563</v>
      </c>
      <c r="C1155" t="s">
        <v>2564</v>
      </c>
      <c r="D1155" t="s">
        <v>17</v>
      </c>
      <c r="E1155" t="s">
        <v>8</v>
      </c>
      <c r="F1155" s="22">
        <v>0</v>
      </c>
      <c r="G1155" s="22">
        <v>0</v>
      </c>
      <c r="H1155" s="22">
        <v>0</v>
      </c>
      <c r="I1155" s="22">
        <v>0</v>
      </c>
      <c r="J1155">
        <v>0</v>
      </c>
      <c r="K1155">
        <v>0</v>
      </c>
      <c r="L1155" s="22">
        <v>0</v>
      </c>
      <c r="M1155" s="22">
        <v>0</v>
      </c>
      <c r="N1155" s="22">
        <v>0</v>
      </c>
      <c r="O1155" s="22">
        <v>0</v>
      </c>
      <c r="P1155" s="22">
        <v>0</v>
      </c>
      <c r="Q1155" s="22">
        <v>0</v>
      </c>
      <c r="R1155">
        <v>0</v>
      </c>
      <c r="T1155" t="s">
        <v>2982</v>
      </c>
      <c r="U1155" t="s">
        <v>3060</v>
      </c>
      <c r="V1155" t="s">
        <v>3058</v>
      </c>
    </row>
    <row r="1156" spans="1:22">
      <c r="A1156">
        <v>1155</v>
      </c>
      <c r="B1156" t="s">
        <v>2565</v>
      </c>
      <c r="C1156" t="s">
        <v>2566</v>
      </c>
      <c r="D1156" t="s">
        <v>17</v>
      </c>
      <c r="E1156" t="s">
        <v>8</v>
      </c>
      <c r="F1156" s="22">
        <v>0</v>
      </c>
      <c r="G1156" s="22">
        <v>28</v>
      </c>
      <c r="H1156" s="22">
        <v>28</v>
      </c>
      <c r="I1156" s="22">
        <v>0</v>
      </c>
      <c r="J1156">
        <v>0</v>
      </c>
      <c r="K1156">
        <v>0</v>
      </c>
      <c r="L1156" s="22">
        <v>0</v>
      </c>
      <c r="M1156" s="22">
        <v>0</v>
      </c>
      <c r="N1156" s="22">
        <v>0</v>
      </c>
      <c r="O1156" s="22">
        <v>0</v>
      </c>
      <c r="P1156" s="22">
        <v>0</v>
      </c>
      <c r="Q1156" s="22">
        <v>0</v>
      </c>
      <c r="R1156">
        <v>0</v>
      </c>
      <c r="T1156" t="s">
        <v>2982</v>
      </c>
      <c r="U1156" t="s">
        <v>3060</v>
      </c>
      <c r="V1156" t="s">
        <v>3058</v>
      </c>
    </row>
    <row r="1157" spans="1:22">
      <c r="A1157">
        <v>1156</v>
      </c>
      <c r="B1157" t="s">
        <v>2567</v>
      </c>
      <c r="C1157" t="s">
        <v>2568</v>
      </c>
      <c r="D1157" t="s">
        <v>17</v>
      </c>
      <c r="E1157" t="s">
        <v>8</v>
      </c>
      <c r="F1157" s="22">
        <v>0</v>
      </c>
      <c r="G1157" s="22">
        <v>0</v>
      </c>
      <c r="H1157" s="22">
        <v>0</v>
      </c>
      <c r="I1157" s="22">
        <v>0</v>
      </c>
      <c r="J1157">
        <v>0</v>
      </c>
      <c r="K1157">
        <v>0</v>
      </c>
      <c r="L1157" s="22">
        <v>0</v>
      </c>
      <c r="M1157" s="22">
        <v>0</v>
      </c>
      <c r="N1157" s="22">
        <v>0</v>
      </c>
      <c r="O1157" s="22">
        <v>0</v>
      </c>
      <c r="P1157" s="22">
        <v>0</v>
      </c>
      <c r="Q1157" s="22">
        <v>0</v>
      </c>
      <c r="R1157">
        <v>0</v>
      </c>
      <c r="T1157" t="s">
        <v>2982</v>
      </c>
      <c r="U1157" t="s">
        <v>3060</v>
      </c>
      <c r="V1157" t="s">
        <v>3058</v>
      </c>
    </row>
    <row r="1158" spans="1:22">
      <c r="A1158">
        <v>1157</v>
      </c>
      <c r="B1158" t="s">
        <v>2569</v>
      </c>
      <c r="C1158" t="s">
        <v>2570</v>
      </c>
      <c r="D1158" t="s">
        <v>17</v>
      </c>
      <c r="E1158" t="s">
        <v>8</v>
      </c>
      <c r="F1158" s="22">
        <v>0</v>
      </c>
      <c r="G1158" s="22">
        <v>0</v>
      </c>
      <c r="H1158" s="22">
        <v>0</v>
      </c>
      <c r="I1158" s="22">
        <v>0</v>
      </c>
      <c r="J1158">
        <v>0</v>
      </c>
      <c r="K1158">
        <v>0</v>
      </c>
      <c r="L1158" s="22">
        <v>0</v>
      </c>
      <c r="M1158" s="22">
        <v>0</v>
      </c>
      <c r="N1158" s="22">
        <v>0</v>
      </c>
      <c r="O1158" s="22">
        <v>0</v>
      </c>
      <c r="P1158" s="22">
        <v>0</v>
      </c>
      <c r="Q1158" s="22">
        <v>0</v>
      </c>
      <c r="R1158">
        <v>0</v>
      </c>
      <c r="T1158" t="s">
        <v>2982</v>
      </c>
      <c r="U1158" t="s">
        <v>3060</v>
      </c>
      <c r="V1158" t="s">
        <v>3058</v>
      </c>
    </row>
    <row r="1159" spans="1:22">
      <c r="A1159">
        <v>1158</v>
      </c>
      <c r="B1159" t="s">
        <v>2464</v>
      </c>
      <c r="C1159" t="s">
        <v>2465</v>
      </c>
      <c r="D1159" t="s">
        <v>17</v>
      </c>
      <c r="E1159" t="s">
        <v>8</v>
      </c>
      <c r="F1159" s="22">
        <v>8706</v>
      </c>
      <c r="G1159" s="22">
        <v>0</v>
      </c>
      <c r="H1159" s="22">
        <v>0</v>
      </c>
      <c r="I1159" s="22">
        <v>8706</v>
      </c>
      <c r="J1159">
        <v>0</v>
      </c>
      <c r="K1159">
        <v>0</v>
      </c>
      <c r="L1159" s="22">
        <v>8706</v>
      </c>
      <c r="M1159" s="22">
        <v>0</v>
      </c>
      <c r="N1159" s="22">
        <v>0</v>
      </c>
      <c r="O1159" s="22">
        <v>8706</v>
      </c>
      <c r="P1159" s="22">
        <v>0</v>
      </c>
      <c r="Q1159" s="22">
        <v>8706</v>
      </c>
      <c r="R1159">
        <v>0</v>
      </c>
      <c r="T1159" t="s">
        <v>2972</v>
      </c>
      <c r="U1159" t="s">
        <v>3057</v>
      </c>
      <c r="V1159" t="s">
        <v>3056</v>
      </c>
    </row>
    <row r="1160" spans="1:22">
      <c r="A1160">
        <v>1159</v>
      </c>
      <c r="B1160" t="s">
        <v>2577</v>
      </c>
      <c r="C1160" t="s">
        <v>2578</v>
      </c>
      <c r="D1160" t="s">
        <v>20</v>
      </c>
      <c r="E1160" t="s">
        <v>8</v>
      </c>
      <c r="F1160" s="22">
        <v>0</v>
      </c>
      <c r="G1160" s="22">
        <v>20703.400000000001</v>
      </c>
      <c r="H1160" s="22">
        <v>13345.6</v>
      </c>
      <c r="I1160" s="22">
        <v>7357.8</v>
      </c>
      <c r="J1160">
        <v>0</v>
      </c>
      <c r="K1160">
        <v>0</v>
      </c>
      <c r="L1160" s="22">
        <v>7357.8</v>
      </c>
      <c r="M1160" s="22">
        <v>0</v>
      </c>
      <c r="N1160" s="22">
        <v>0</v>
      </c>
      <c r="O1160" s="22">
        <v>7357.8</v>
      </c>
      <c r="P1160" s="22">
        <v>15000</v>
      </c>
      <c r="Q1160" s="22">
        <v>-7642.2</v>
      </c>
      <c r="R1160">
        <v>22000</v>
      </c>
      <c r="T1160" t="s">
        <v>3000</v>
      </c>
      <c r="U1160" t="s">
        <v>3059</v>
      </c>
      <c r="V1160" t="s">
        <v>3056</v>
      </c>
    </row>
    <row r="1161" spans="1:22">
      <c r="A1161">
        <v>1160</v>
      </c>
      <c r="B1161" t="s">
        <v>2579</v>
      </c>
      <c r="C1161" t="s">
        <v>2580</v>
      </c>
      <c r="D1161" t="s">
        <v>20</v>
      </c>
      <c r="E1161" t="s">
        <v>8</v>
      </c>
      <c r="F1161" s="22">
        <v>0</v>
      </c>
      <c r="G1161" s="22">
        <v>7487.9</v>
      </c>
      <c r="H1161" s="22">
        <v>4336.1000000000004</v>
      </c>
      <c r="I1161" s="22">
        <v>3151.8</v>
      </c>
      <c r="J1161">
        <v>0</v>
      </c>
      <c r="K1161">
        <v>0</v>
      </c>
      <c r="L1161" s="22">
        <v>3151.8</v>
      </c>
      <c r="M1161" s="22">
        <v>0</v>
      </c>
      <c r="N1161" s="22">
        <v>0</v>
      </c>
      <c r="O1161" s="22">
        <v>3151.8</v>
      </c>
      <c r="P1161" s="22">
        <v>8000</v>
      </c>
      <c r="Q1161" s="22">
        <v>-4848.2</v>
      </c>
      <c r="R1161">
        <v>10000</v>
      </c>
      <c r="T1161" t="s">
        <v>3000</v>
      </c>
      <c r="U1161" t="s">
        <v>3059</v>
      </c>
      <c r="V1161" t="s">
        <v>3056</v>
      </c>
    </row>
    <row r="1162" spans="1:22">
      <c r="A1162">
        <v>1161</v>
      </c>
      <c r="B1162" t="s">
        <v>2581</v>
      </c>
      <c r="C1162" t="s">
        <v>2582</v>
      </c>
      <c r="D1162" t="s">
        <v>20</v>
      </c>
      <c r="E1162" t="s">
        <v>8</v>
      </c>
      <c r="F1162" s="22">
        <v>2571.4</v>
      </c>
      <c r="G1162" s="22">
        <v>1717.3</v>
      </c>
      <c r="H1162" s="22">
        <v>4095</v>
      </c>
      <c r="I1162" s="22">
        <v>193.7</v>
      </c>
      <c r="J1162">
        <v>0</v>
      </c>
      <c r="K1162">
        <v>0</v>
      </c>
      <c r="L1162" s="22">
        <v>193.7</v>
      </c>
      <c r="M1162" s="22">
        <v>0</v>
      </c>
      <c r="N1162" s="22">
        <v>0</v>
      </c>
      <c r="O1162" s="22">
        <v>193.7</v>
      </c>
      <c r="P1162" s="22">
        <v>7500</v>
      </c>
      <c r="Q1162" s="22">
        <v>-7306.3</v>
      </c>
      <c r="R1162">
        <v>6000</v>
      </c>
      <c r="T1162" t="s">
        <v>3000</v>
      </c>
      <c r="U1162" t="s">
        <v>3059</v>
      </c>
      <c r="V1162" t="s">
        <v>3056</v>
      </c>
    </row>
    <row r="1163" spans="1:22">
      <c r="A1163">
        <v>1162</v>
      </c>
      <c r="B1163" t="s">
        <v>2484</v>
      </c>
      <c r="C1163" t="s">
        <v>2485</v>
      </c>
      <c r="D1163" t="s">
        <v>17</v>
      </c>
      <c r="E1163" t="s">
        <v>8</v>
      </c>
      <c r="F1163" s="22">
        <v>0</v>
      </c>
      <c r="G1163" s="22">
        <v>0</v>
      </c>
      <c r="H1163" s="22">
        <v>0</v>
      </c>
      <c r="I1163" s="22">
        <v>0</v>
      </c>
      <c r="J1163">
        <v>0</v>
      </c>
      <c r="K1163">
        <v>0</v>
      </c>
      <c r="L1163" s="22">
        <v>0</v>
      </c>
      <c r="M1163" s="22">
        <v>0</v>
      </c>
      <c r="N1163" s="22">
        <v>0</v>
      </c>
      <c r="O1163" s="22">
        <v>0</v>
      </c>
      <c r="P1163" s="22">
        <v>0</v>
      </c>
      <c r="Q1163" s="22">
        <v>0</v>
      </c>
      <c r="R1163">
        <v>0</v>
      </c>
      <c r="T1163" t="s">
        <v>2972</v>
      </c>
      <c r="U1163" t="s">
        <v>3057</v>
      </c>
      <c r="V1163" t="s">
        <v>3056</v>
      </c>
    </row>
    <row r="1164" spans="1:22">
      <c r="A1164">
        <v>1163</v>
      </c>
      <c r="B1164" t="s">
        <v>2587</v>
      </c>
      <c r="C1164" t="s">
        <v>2588</v>
      </c>
      <c r="D1164" t="s">
        <v>17</v>
      </c>
      <c r="E1164" t="s">
        <v>8</v>
      </c>
      <c r="F1164" s="22">
        <v>10</v>
      </c>
      <c r="G1164" s="22">
        <v>0</v>
      </c>
      <c r="H1164" s="22">
        <v>0</v>
      </c>
      <c r="I1164" s="22">
        <v>10</v>
      </c>
      <c r="J1164">
        <v>0</v>
      </c>
      <c r="K1164">
        <v>0</v>
      </c>
      <c r="L1164" s="22">
        <v>10</v>
      </c>
      <c r="M1164" s="22">
        <v>0</v>
      </c>
      <c r="N1164" s="22">
        <v>0</v>
      </c>
      <c r="O1164" s="22">
        <v>10</v>
      </c>
      <c r="P1164" s="22">
        <v>0</v>
      </c>
      <c r="Q1164" s="22">
        <v>10</v>
      </c>
      <c r="R1164">
        <v>0</v>
      </c>
      <c r="T1164" t="s">
        <v>2982</v>
      </c>
      <c r="U1164" t="s">
        <v>3060</v>
      </c>
      <c r="V1164" t="s">
        <v>3058</v>
      </c>
    </row>
    <row r="1165" spans="1:22">
      <c r="A1165">
        <v>1164</v>
      </c>
      <c r="B1165" t="s">
        <v>2589</v>
      </c>
      <c r="C1165" t="s">
        <v>2590</v>
      </c>
      <c r="D1165" t="s">
        <v>17</v>
      </c>
      <c r="E1165" t="s">
        <v>8</v>
      </c>
      <c r="F1165" s="22">
        <v>20</v>
      </c>
      <c r="G1165" s="22">
        <v>0</v>
      </c>
      <c r="H1165" s="22">
        <v>0</v>
      </c>
      <c r="I1165" s="22">
        <v>20</v>
      </c>
      <c r="J1165">
        <v>0</v>
      </c>
      <c r="K1165">
        <v>0</v>
      </c>
      <c r="L1165" s="22">
        <v>20</v>
      </c>
      <c r="M1165" s="22">
        <v>0</v>
      </c>
      <c r="N1165" s="22">
        <v>0</v>
      </c>
      <c r="O1165" s="22">
        <v>20</v>
      </c>
      <c r="P1165" s="22">
        <v>0</v>
      </c>
      <c r="Q1165" s="22">
        <v>20</v>
      </c>
      <c r="R1165">
        <v>0</v>
      </c>
      <c r="T1165" t="s">
        <v>2982</v>
      </c>
      <c r="U1165" t="s">
        <v>3060</v>
      </c>
      <c r="V1165" t="s">
        <v>3058</v>
      </c>
    </row>
    <row r="1166" spans="1:22">
      <c r="A1166">
        <v>1165</v>
      </c>
      <c r="B1166" t="s">
        <v>2492</v>
      </c>
      <c r="C1166" t="s">
        <v>2493</v>
      </c>
      <c r="D1166" t="s">
        <v>17</v>
      </c>
      <c r="E1166" t="s">
        <v>8</v>
      </c>
      <c r="F1166" s="22">
        <v>0</v>
      </c>
      <c r="G1166" s="22">
        <v>0</v>
      </c>
      <c r="H1166" s="22">
        <v>0</v>
      </c>
      <c r="I1166" s="22">
        <v>0</v>
      </c>
      <c r="J1166">
        <v>0</v>
      </c>
      <c r="K1166">
        <v>0</v>
      </c>
      <c r="L1166" s="22">
        <v>0</v>
      </c>
      <c r="M1166" s="22">
        <v>0</v>
      </c>
      <c r="N1166" s="22">
        <v>0</v>
      </c>
      <c r="O1166" s="22">
        <v>0</v>
      </c>
      <c r="P1166" s="22">
        <v>0</v>
      </c>
      <c r="Q1166" s="22">
        <v>0</v>
      </c>
      <c r="R1166">
        <v>0</v>
      </c>
      <c r="T1166" t="s">
        <v>2972</v>
      </c>
      <c r="U1166" t="s">
        <v>3057</v>
      </c>
      <c r="V1166" t="s">
        <v>3056</v>
      </c>
    </row>
    <row r="1167" spans="1:22">
      <c r="A1167">
        <v>1166</v>
      </c>
      <c r="B1167" t="s">
        <v>2593</v>
      </c>
      <c r="C1167" t="s">
        <v>2594</v>
      </c>
      <c r="D1167" t="s">
        <v>17</v>
      </c>
      <c r="E1167" t="s">
        <v>8</v>
      </c>
      <c r="F1167" s="22">
        <v>0</v>
      </c>
      <c r="G1167" s="22">
        <v>0</v>
      </c>
      <c r="H1167" s="22">
        <v>0</v>
      </c>
      <c r="I1167" s="22">
        <v>0</v>
      </c>
      <c r="J1167">
        <v>0</v>
      </c>
      <c r="K1167">
        <v>0</v>
      </c>
      <c r="L1167" s="22">
        <v>0</v>
      </c>
      <c r="M1167" s="22">
        <v>0</v>
      </c>
      <c r="N1167" s="22">
        <v>0</v>
      </c>
      <c r="O1167" s="22">
        <v>0</v>
      </c>
      <c r="P1167" s="22">
        <v>0</v>
      </c>
      <c r="Q1167" s="22">
        <v>0</v>
      </c>
      <c r="R1167">
        <v>0</v>
      </c>
      <c r="T1167" t="s">
        <v>3006</v>
      </c>
      <c r="U1167" t="s">
        <v>3060</v>
      </c>
      <c r="V1167" t="s">
        <v>3058</v>
      </c>
    </row>
    <row r="1168" spans="1:22">
      <c r="A1168">
        <v>1167</v>
      </c>
      <c r="B1168" t="s">
        <v>2595</v>
      </c>
      <c r="C1168" t="s">
        <v>2596</v>
      </c>
      <c r="D1168" t="s">
        <v>17</v>
      </c>
      <c r="E1168" t="s">
        <v>8</v>
      </c>
      <c r="F1168" s="22">
        <v>0</v>
      </c>
      <c r="G1168" s="22">
        <v>0</v>
      </c>
      <c r="H1168" s="22">
        <v>0</v>
      </c>
      <c r="I1168" s="22">
        <v>0</v>
      </c>
      <c r="J1168">
        <v>0</v>
      </c>
      <c r="K1168">
        <v>0</v>
      </c>
      <c r="L1168" s="22">
        <v>0</v>
      </c>
      <c r="M1168" s="22">
        <v>0</v>
      </c>
      <c r="N1168" s="22">
        <v>0</v>
      </c>
      <c r="O1168" s="22">
        <v>0</v>
      </c>
      <c r="P1168" s="22">
        <v>0</v>
      </c>
      <c r="Q1168" s="22">
        <v>0</v>
      </c>
      <c r="R1168">
        <v>0</v>
      </c>
      <c r="T1168" t="s">
        <v>3006</v>
      </c>
      <c r="U1168" t="s">
        <v>3060</v>
      </c>
      <c r="V1168" t="s">
        <v>3058</v>
      </c>
    </row>
    <row r="1169" spans="1:22">
      <c r="A1169">
        <v>1168</v>
      </c>
      <c r="B1169" t="s">
        <v>2597</v>
      </c>
      <c r="C1169" t="s">
        <v>2598</v>
      </c>
      <c r="D1169" t="s">
        <v>17</v>
      </c>
      <c r="E1169" t="s">
        <v>8</v>
      </c>
      <c r="F1169" s="22">
        <v>0</v>
      </c>
      <c r="G1169" s="22">
        <v>0</v>
      </c>
      <c r="H1169" s="22">
        <v>0</v>
      </c>
      <c r="I1169" s="22">
        <v>0</v>
      </c>
      <c r="J1169">
        <v>0</v>
      </c>
      <c r="K1169">
        <v>0</v>
      </c>
      <c r="L1169" s="22">
        <v>0</v>
      </c>
      <c r="M1169" s="22">
        <v>0</v>
      </c>
      <c r="N1169" s="22">
        <v>0</v>
      </c>
      <c r="O1169" s="22">
        <v>0</v>
      </c>
      <c r="P1169" s="22">
        <v>0</v>
      </c>
      <c r="Q1169" s="22">
        <v>0</v>
      </c>
      <c r="R1169">
        <v>0</v>
      </c>
      <c r="T1169" t="s">
        <v>3006</v>
      </c>
      <c r="U1169" t="s">
        <v>3060</v>
      </c>
      <c r="V1169" t="s">
        <v>3058</v>
      </c>
    </row>
    <row r="1170" spans="1:22">
      <c r="A1170">
        <v>1169</v>
      </c>
      <c r="B1170" t="s">
        <v>2599</v>
      </c>
      <c r="C1170" t="s">
        <v>2600</v>
      </c>
      <c r="D1170" t="s">
        <v>17</v>
      </c>
      <c r="E1170" t="s">
        <v>8</v>
      </c>
      <c r="F1170" s="22">
        <v>0</v>
      </c>
      <c r="G1170" s="22">
        <v>0</v>
      </c>
      <c r="H1170" s="22">
        <v>0</v>
      </c>
      <c r="I1170" s="22">
        <v>0</v>
      </c>
      <c r="J1170">
        <v>0</v>
      </c>
      <c r="K1170">
        <v>0</v>
      </c>
      <c r="L1170" s="22">
        <v>0</v>
      </c>
      <c r="M1170" s="22">
        <v>0</v>
      </c>
      <c r="N1170" s="22">
        <v>0</v>
      </c>
      <c r="O1170" s="22">
        <v>0</v>
      </c>
      <c r="P1170" s="22">
        <v>0</v>
      </c>
      <c r="Q1170" s="22">
        <v>0</v>
      </c>
      <c r="R1170">
        <v>0</v>
      </c>
      <c r="T1170" t="s">
        <v>3006</v>
      </c>
      <c r="U1170" t="s">
        <v>3060</v>
      </c>
      <c r="V1170" t="s">
        <v>3058</v>
      </c>
    </row>
    <row r="1171" spans="1:22">
      <c r="A1171">
        <v>1170</v>
      </c>
      <c r="B1171" t="s">
        <v>2601</v>
      </c>
      <c r="C1171" t="s">
        <v>2602</v>
      </c>
      <c r="D1171" t="s">
        <v>17</v>
      </c>
      <c r="E1171" t="s">
        <v>8</v>
      </c>
      <c r="F1171" s="22">
        <v>0</v>
      </c>
      <c r="G1171" s="22">
        <v>0</v>
      </c>
      <c r="H1171" s="22">
        <v>0</v>
      </c>
      <c r="I1171" s="22">
        <v>0</v>
      </c>
      <c r="J1171">
        <v>0</v>
      </c>
      <c r="K1171">
        <v>0</v>
      </c>
      <c r="L1171" s="22">
        <v>0</v>
      </c>
      <c r="M1171" s="22">
        <v>0</v>
      </c>
      <c r="N1171" s="22">
        <v>0</v>
      </c>
      <c r="O1171" s="22">
        <v>0</v>
      </c>
      <c r="P1171" s="22">
        <v>0</v>
      </c>
      <c r="Q1171" s="22">
        <v>0</v>
      </c>
      <c r="R1171">
        <v>0</v>
      </c>
      <c r="T1171" t="s">
        <v>3006</v>
      </c>
      <c r="U1171" t="s">
        <v>3060</v>
      </c>
      <c r="V1171" t="s">
        <v>3058</v>
      </c>
    </row>
    <row r="1172" spans="1:22">
      <c r="A1172">
        <v>1171</v>
      </c>
      <c r="B1172" t="s">
        <v>2603</v>
      </c>
      <c r="C1172" t="s">
        <v>2604</v>
      </c>
      <c r="D1172" t="s">
        <v>17</v>
      </c>
      <c r="E1172" t="s">
        <v>8</v>
      </c>
      <c r="F1172" s="22">
        <v>0</v>
      </c>
      <c r="G1172" s="22">
        <v>0</v>
      </c>
      <c r="H1172" s="22">
        <v>0</v>
      </c>
      <c r="I1172" s="22">
        <v>0</v>
      </c>
      <c r="J1172">
        <v>0</v>
      </c>
      <c r="K1172">
        <v>0</v>
      </c>
      <c r="L1172" s="22">
        <v>0</v>
      </c>
      <c r="M1172" s="22">
        <v>0</v>
      </c>
      <c r="N1172" s="22">
        <v>0</v>
      </c>
      <c r="O1172" s="22">
        <v>0</v>
      </c>
      <c r="P1172" s="22">
        <v>0</v>
      </c>
      <c r="Q1172" s="22">
        <v>0</v>
      </c>
      <c r="R1172">
        <v>0</v>
      </c>
      <c r="T1172" t="s">
        <v>3006</v>
      </c>
      <c r="U1172" t="s">
        <v>3060</v>
      </c>
      <c r="V1172" t="s">
        <v>3058</v>
      </c>
    </row>
    <row r="1173" spans="1:22">
      <c r="A1173">
        <v>1172</v>
      </c>
      <c r="B1173" t="s">
        <v>2605</v>
      </c>
      <c r="C1173" t="s">
        <v>2606</v>
      </c>
      <c r="D1173" t="s">
        <v>17</v>
      </c>
      <c r="E1173" t="s">
        <v>8</v>
      </c>
      <c r="F1173" s="22">
        <v>0</v>
      </c>
      <c r="G1173" s="22">
        <v>0</v>
      </c>
      <c r="H1173" s="22">
        <v>0</v>
      </c>
      <c r="I1173" s="22">
        <v>0</v>
      </c>
      <c r="J1173">
        <v>0</v>
      </c>
      <c r="K1173">
        <v>0</v>
      </c>
      <c r="L1173" s="22">
        <v>0</v>
      </c>
      <c r="M1173" s="22">
        <v>0</v>
      </c>
      <c r="N1173" s="22">
        <v>0</v>
      </c>
      <c r="O1173" s="22">
        <v>0</v>
      </c>
      <c r="P1173" s="22">
        <v>0</v>
      </c>
      <c r="Q1173" s="22">
        <v>0</v>
      </c>
      <c r="R1173">
        <v>0</v>
      </c>
      <c r="T1173" t="s">
        <v>3006</v>
      </c>
      <c r="U1173" t="s">
        <v>3060</v>
      </c>
      <c r="V1173" t="s">
        <v>3058</v>
      </c>
    </row>
    <row r="1174" spans="1:22">
      <c r="A1174">
        <v>1173</v>
      </c>
      <c r="B1174" t="s">
        <v>2607</v>
      </c>
      <c r="C1174" t="s">
        <v>2608</v>
      </c>
      <c r="D1174" t="s">
        <v>17</v>
      </c>
      <c r="E1174" t="s">
        <v>8</v>
      </c>
      <c r="F1174" s="22">
        <v>0</v>
      </c>
      <c r="G1174" s="22">
        <v>0</v>
      </c>
      <c r="H1174" s="22">
        <v>0</v>
      </c>
      <c r="I1174" s="22">
        <v>0</v>
      </c>
      <c r="J1174">
        <v>0</v>
      </c>
      <c r="K1174">
        <v>0</v>
      </c>
      <c r="L1174" s="22">
        <v>0</v>
      </c>
      <c r="M1174" s="22">
        <v>0</v>
      </c>
      <c r="N1174" s="22">
        <v>0</v>
      </c>
      <c r="O1174" s="22">
        <v>0</v>
      </c>
      <c r="P1174" s="22">
        <v>0</v>
      </c>
      <c r="Q1174" s="22">
        <v>0</v>
      </c>
      <c r="R1174">
        <v>0</v>
      </c>
      <c r="T1174" t="s">
        <v>3006</v>
      </c>
      <c r="U1174" t="s">
        <v>3060</v>
      </c>
      <c r="V1174" t="s">
        <v>3058</v>
      </c>
    </row>
    <row r="1175" spans="1:22">
      <c r="A1175">
        <v>1174</v>
      </c>
      <c r="B1175" t="s">
        <v>2609</v>
      </c>
      <c r="C1175" t="s">
        <v>2610</v>
      </c>
      <c r="D1175" t="s">
        <v>17</v>
      </c>
      <c r="E1175" t="s">
        <v>8</v>
      </c>
      <c r="F1175" s="22">
        <v>0</v>
      </c>
      <c r="G1175" s="22">
        <v>0</v>
      </c>
      <c r="H1175" s="22">
        <v>0</v>
      </c>
      <c r="I1175" s="22">
        <v>0</v>
      </c>
      <c r="J1175">
        <v>0</v>
      </c>
      <c r="K1175">
        <v>0</v>
      </c>
      <c r="L1175" s="22">
        <v>0</v>
      </c>
      <c r="M1175" s="22">
        <v>0</v>
      </c>
      <c r="N1175" s="22">
        <v>0</v>
      </c>
      <c r="O1175" s="22">
        <v>0</v>
      </c>
      <c r="P1175" s="22">
        <v>0</v>
      </c>
      <c r="Q1175" s="22">
        <v>0</v>
      </c>
      <c r="R1175">
        <v>0</v>
      </c>
      <c r="T1175" t="s">
        <v>3006</v>
      </c>
      <c r="U1175" t="s">
        <v>3060</v>
      </c>
      <c r="V1175" t="s">
        <v>3058</v>
      </c>
    </row>
    <row r="1176" spans="1:22">
      <c r="A1176">
        <v>1175</v>
      </c>
      <c r="B1176" t="s">
        <v>2611</v>
      </c>
      <c r="C1176" t="s">
        <v>2612</v>
      </c>
      <c r="D1176" t="s">
        <v>17</v>
      </c>
      <c r="E1176" t="s">
        <v>8</v>
      </c>
      <c r="F1176" s="22">
        <v>0</v>
      </c>
      <c r="G1176" s="22">
        <v>0</v>
      </c>
      <c r="H1176" s="22">
        <v>0</v>
      </c>
      <c r="I1176" s="22">
        <v>0</v>
      </c>
      <c r="J1176">
        <v>0</v>
      </c>
      <c r="K1176">
        <v>0</v>
      </c>
      <c r="L1176" s="22">
        <v>0</v>
      </c>
      <c r="M1176" s="22">
        <v>0</v>
      </c>
      <c r="N1176" s="22">
        <v>0</v>
      </c>
      <c r="O1176" s="22">
        <v>0</v>
      </c>
      <c r="P1176" s="22">
        <v>0</v>
      </c>
      <c r="Q1176" s="22">
        <v>0</v>
      </c>
      <c r="R1176">
        <v>0</v>
      </c>
      <c r="T1176" t="s">
        <v>3006</v>
      </c>
      <c r="U1176" t="s">
        <v>3060</v>
      </c>
      <c r="V1176" t="s">
        <v>3058</v>
      </c>
    </row>
    <row r="1177" spans="1:22">
      <c r="A1177">
        <v>1176</v>
      </c>
      <c r="B1177" t="s">
        <v>2613</v>
      </c>
      <c r="C1177" t="s">
        <v>2614</v>
      </c>
      <c r="D1177" t="s">
        <v>17</v>
      </c>
      <c r="E1177" t="s">
        <v>8</v>
      </c>
      <c r="F1177" s="22">
        <v>0</v>
      </c>
      <c r="G1177" s="22">
        <v>0</v>
      </c>
      <c r="H1177" s="22">
        <v>0</v>
      </c>
      <c r="I1177" s="22">
        <v>0</v>
      </c>
      <c r="J1177">
        <v>0</v>
      </c>
      <c r="K1177">
        <v>0</v>
      </c>
      <c r="L1177" s="22">
        <v>0</v>
      </c>
      <c r="M1177" s="22">
        <v>0</v>
      </c>
      <c r="N1177" s="22">
        <v>0</v>
      </c>
      <c r="O1177" s="22">
        <v>0</v>
      </c>
      <c r="P1177" s="22">
        <v>0</v>
      </c>
      <c r="Q1177" s="22">
        <v>0</v>
      </c>
      <c r="R1177">
        <v>0</v>
      </c>
      <c r="T1177" t="s">
        <v>3006</v>
      </c>
      <c r="U1177" t="s">
        <v>3060</v>
      </c>
      <c r="V1177" t="s">
        <v>3058</v>
      </c>
    </row>
    <row r="1178" spans="1:22">
      <c r="A1178">
        <v>1177</v>
      </c>
      <c r="B1178" t="s">
        <v>2615</v>
      </c>
      <c r="C1178" t="s">
        <v>2616</v>
      </c>
      <c r="D1178" t="s">
        <v>17</v>
      </c>
      <c r="E1178" t="s">
        <v>8</v>
      </c>
      <c r="F1178" s="22">
        <v>0</v>
      </c>
      <c r="G1178" s="22">
        <v>0</v>
      </c>
      <c r="H1178" s="22">
        <v>0</v>
      </c>
      <c r="I1178" s="22">
        <v>0</v>
      </c>
      <c r="J1178">
        <v>0</v>
      </c>
      <c r="K1178">
        <v>0</v>
      </c>
      <c r="L1178" s="22">
        <v>0</v>
      </c>
      <c r="M1178" s="22">
        <v>0</v>
      </c>
      <c r="N1178" s="22">
        <v>0</v>
      </c>
      <c r="O1178" s="22">
        <v>0</v>
      </c>
      <c r="P1178" s="22">
        <v>0</v>
      </c>
      <c r="Q1178" s="22">
        <v>0</v>
      </c>
      <c r="R1178">
        <v>0</v>
      </c>
      <c r="T1178" t="s">
        <v>3006</v>
      </c>
      <c r="U1178" t="s">
        <v>3060</v>
      </c>
      <c r="V1178" t="s">
        <v>3058</v>
      </c>
    </row>
    <row r="1179" spans="1:22">
      <c r="A1179">
        <v>1178</v>
      </c>
      <c r="B1179" t="s">
        <v>2617</v>
      </c>
      <c r="C1179" t="s">
        <v>2618</v>
      </c>
      <c r="D1179" t="s">
        <v>17</v>
      </c>
      <c r="E1179" t="s">
        <v>8</v>
      </c>
      <c r="F1179" s="22">
        <v>0</v>
      </c>
      <c r="G1179" s="22">
        <v>0</v>
      </c>
      <c r="H1179" s="22">
        <v>0</v>
      </c>
      <c r="I1179" s="22">
        <v>0</v>
      </c>
      <c r="J1179">
        <v>0</v>
      </c>
      <c r="K1179">
        <v>0</v>
      </c>
      <c r="L1179" s="22">
        <v>0</v>
      </c>
      <c r="M1179" s="22">
        <v>0</v>
      </c>
      <c r="N1179" s="22">
        <v>0</v>
      </c>
      <c r="O1179" s="22">
        <v>0</v>
      </c>
      <c r="P1179" s="22">
        <v>0</v>
      </c>
      <c r="Q1179" s="22">
        <v>0</v>
      </c>
      <c r="R1179">
        <v>0</v>
      </c>
      <c r="T1179" t="s">
        <v>3002</v>
      </c>
      <c r="U1179" t="s">
        <v>3055</v>
      </c>
      <c r="V1179" t="s">
        <v>3056</v>
      </c>
    </row>
    <row r="1180" spans="1:22">
      <c r="A1180">
        <v>1179</v>
      </c>
      <c r="B1180" t="s">
        <v>2619</v>
      </c>
      <c r="C1180" t="s">
        <v>2620</v>
      </c>
      <c r="D1180" t="s">
        <v>20</v>
      </c>
      <c r="E1180" t="s">
        <v>8</v>
      </c>
      <c r="F1180" s="22">
        <v>1169.3</v>
      </c>
      <c r="G1180" s="22">
        <v>0</v>
      </c>
      <c r="H1180" s="22">
        <v>0</v>
      </c>
      <c r="I1180" s="22">
        <v>1169.3</v>
      </c>
      <c r="J1180">
        <v>0</v>
      </c>
      <c r="K1180">
        <v>0</v>
      </c>
      <c r="L1180" s="22">
        <v>1169.3</v>
      </c>
      <c r="M1180" s="22">
        <v>0</v>
      </c>
      <c r="N1180" s="22">
        <v>0</v>
      </c>
      <c r="O1180" s="22">
        <v>1169.3</v>
      </c>
      <c r="P1180" s="22">
        <v>900</v>
      </c>
      <c r="Q1180" s="22">
        <v>269.29999999999995</v>
      </c>
      <c r="R1180">
        <v>0</v>
      </c>
      <c r="T1180" t="s">
        <v>2965</v>
      </c>
      <c r="U1180" t="s">
        <v>3060</v>
      </c>
      <c r="V1180" t="s">
        <v>3058</v>
      </c>
    </row>
    <row r="1181" spans="1:22">
      <c r="A1181">
        <v>1180</v>
      </c>
      <c r="B1181" t="s">
        <v>2510</v>
      </c>
      <c r="C1181" t="s">
        <v>2511</v>
      </c>
      <c r="D1181" t="s">
        <v>20</v>
      </c>
      <c r="E1181" t="s">
        <v>8</v>
      </c>
      <c r="F1181" s="22">
        <v>0</v>
      </c>
      <c r="G1181" s="22">
        <v>0</v>
      </c>
      <c r="H1181" s="22">
        <v>0</v>
      </c>
      <c r="I1181" s="22">
        <v>0</v>
      </c>
      <c r="J1181">
        <v>0</v>
      </c>
      <c r="K1181">
        <v>0</v>
      </c>
      <c r="L1181" s="22">
        <v>0</v>
      </c>
      <c r="M1181" s="22">
        <v>0</v>
      </c>
      <c r="N1181" s="22">
        <v>0</v>
      </c>
      <c r="O1181" s="22">
        <v>0</v>
      </c>
      <c r="P1181" s="22">
        <v>0</v>
      </c>
      <c r="Q1181" s="22">
        <v>0</v>
      </c>
      <c r="R1181">
        <v>0</v>
      </c>
      <c r="T1181" t="s">
        <v>2991</v>
      </c>
      <c r="U1181" t="s">
        <v>3057</v>
      </c>
      <c r="V1181" t="s">
        <v>3056</v>
      </c>
    </row>
    <row r="1182" spans="1:22">
      <c r="A1182">
        <v>1181</v>
      </c>
      <c r="B1182" t="s">
        <v>2623</v>
      </c>
      <c r="C1182" t="s">
        <v>2624</v>
      </c>
      <c r="D1182" t="s">
        <v>17</v>
      </c>
      <c r="E1182" t="s">
        <v>8</v>
      </c>
      <c r="F1182" s="22">
        <v>0</v>
      </c>
      <c r="G1182" s="22">
        <v>0</v>
      </c>
      <c r="H1182" s="22">
        <v>0</v>
      </c>
      <c r="I1182" s="22">
        <v>0</v>
      </c>
      <c r="J1182">
        <v>0</v>
      </c>
      <c r="K1182">
        <v>0</v>
      </c>
      <c r="L1182" s="22">
        <v>0</v>
      </c>
      <c r="M1182" s="22">
        <v>0</v>
      </c>
      <c r="N1182" s="22">
        <v>0</v>
      </c>
      <c r="O1182" s="22">
        <v>0</v>
      </c>
      <c r="P1182" s="22">
        <v>0</v>
      </c>
      <c r="Q1182" s="22">
        <v>0</v>
      </c>
      <c r="R1182">
        <v>0</v>
      </c>
      <c r="T1182" t="s">
        <v>2972</v>
      </c>
      <c r="U1182" t="s">
        <v>3055</v>
      </c>
      <c r="V1182" t="s">
        <v>3056</v>
      </c>
    </row>
    <row r="1183" spans="1:22">
      <c r="A1183">
        <v>1182</v>
      </c>
      <c r="B1183" t="s">
        <v>2625</v>
      </c>
      <c r="C1183" t="s">
        <v>2626</v>
      </c>
      <c r="D1183" t="s">
        <v>17</v>
      </c>
      <c r="E1183" t="s">
        <v>8</v>
      </c>
      <c r="F1183" s="22">
        <v>620</v>
      </c>
      <c r="G1183" s="22">
        <v>0</v>
      </c>
      <c r="H1183" s="22">
        <v>0</v>
      </c>
      <c r="I1183" s="22">
        <v>620</v>
      </c>
      <c r="J1183">
        <v>0</v>
      </c>
      <c r="K1183">
        <v>0</v>
      </c>
      <c r="L1183" s="22">
        <v>620</v>
      </c>
      <c r="M1183" s="22">
        <v>0</v>
      </c>
      <c r="N1183" s="22">
        <v>0</v>
      </c>
      <c r="O1183" s="22">
        <v>620</v>
      </c>
      <c r="P1183" s="22">
        <v>500</v>
      </c>
      <c r="Q1183" s="22">
        <v>120</v>
      </c>
      <c r="R1183">
        <v>0</v>
      </c>
      <c r="T1183" t="s">
        <v>3052</v>
      </c>
      <c r="U1183" t="s">
        <v>3062</v>
      </c>
      <c r="V1183" t="s">
        <v>3056</v>
      </c>
    </row>
    <row r="1184" spans="1:22">
      <c r="A1184">
        <v>1183</v>
      </c>
      <c r="B1184" t="s">
        <v>2512</v>
      </c>
      <c r="C1184" t="s">
        <v>2513</v>
      </c>
      <c r="D1184" t="s">
        <v>17</v>
      </c>
      <c r="E1184" t="s">
        <v>8</v>
      </c>
      <c r="F1184" s="22">
        <v>2304</v>
      </c>
      <c r="G1184" s="22">
        <v>0</v>
      </c>
      <c r="H1184" s="22">
        <v>0</v>
      </c>
      <c r="I1184" s="22">
        <v>2304</v>
      </c>
      <c r="J1184">
        <v>0</v>
      </c>
      <c r="K1184">
        <v>0</v>
      </c>
      <c r="L1184" s="22">
        <v>2304</v>
      </c>
      <c r="M1184" s="22">
        <v>0</v>
      </c>
      <c r="N1184" s="22">
        <v>0</v>
      </c>
      <c r="O1184" s="22">
        <v>2304</v>
      </c>
      <c r="P1184" s="22">
        <v>2000</v>
      </c>
      <c r="Q1184" s="22">
        <v>304</v>
      </c>
      <c r="R1184">
        <v>0</v>
      </c>
      <c r="T1184" t="s">
        <v>2972</v>
      </c>
      <c r="U1184" t="s">
        <v>3057</v>
      </c>
      <c r="V1184" t="s">
        <v>3056</v>
      </c>
    </row>
    <row r="1185" spans="1:22">
      <c r="A1185">
        <v>1184</v>
      </c>
      <c r="B1185" t="s">
        <v>2518</v>
      </c>
      <c r="C1185" t="s">
        <v>2519</v>
      </c>
      <c r="D1185" t="s">
        <v>17</v>
      </c>
      <c r="E1185" t="s">
        <v>8</v>
      </c>
      <c r="F1185" s="22">
        <v>210</v>
      </c>
      <c r="G1185" s="22">
        <v>0</v>
      </c>
      <c r="H1185" s="22">
        <v>0</v>
      </c>
      <c r="I1185" s="22">
        <v>210</v>
      </c>
      <c r="J1185">
        <v>0</v>
      </c>
      <c r="K1185">
        <v>0</v>
      </c>
      <c r="L1185" s="22">
        <v>210</v>
      </c>
      <c r="M1185" s="22">
        <v>0</v>
      </c>
      <c r="N1185" s="22">
        <v>0</v>
      </c>
      <c r="O1185" s="22">
        <v>210</v>
      </c>
      <c r="P1185" s="22">
        <v>75</v>
      </c>
      <c r="Q1185" s="22">
        <v>135</v>
      </c>
      <c r="R1185">
        <v>0</v>
      </c>
      <c r="T1185" t="s">
        <v>2982</v>
      </c>
      <c r="U1185" t="s">
        <v>3057</v>
      </c>
      <c r="V1185" t="s">
        <v>3056</v>
      </c>
    </row>
    <row r="1186" spans="1:22">
      <c r="A1186">
        <v>1185</v>
      </c>
      <c r="B1186" t="s">
        <v>2546</v>
      </c>
      <c r="C1186" t="s">
        <v>2547</v>
      </c>
      <c r="D1186" t="s">
        <v>17</v>
      </c>
      <c r="E1186" t="s">
        <v>8</v>
      </c>
      <c r="F1186" s="22">
        <v>0</v>
      </c>
      <c r="G1186" s="22">
        <v>0</v>
      </c>
      <c r="H1186" s="22">
        <v>0</v>
      </c>
      <c r="I1186" s="22">
        <v>0</v>
      </c>
      <c r="J1186">
        <v>0</v>
      </c>
      <c r="K1186">
        <v>0</v>
      </c>
      <c r="L1186" s="22">
        <v>0</v>
      </c>
      <c r="M1186" s="22">
        <v>0</v>
      </c>
      <c r="N1186" s="22">
        <v>0</v>
      </c>
      <c r="O1186" s="22">
        <v>0</v>
      </c>
      <c r="P1186" s="22">
        <v>0</v>
      </c>
      <c r="Q1186" s="22">
        <v>0</v>
      </c>
      <c r="R1186">
        <v>0</v>
      </c>
      <c r="T1186" t="s">
        <v>2972</v>
      </c>
      <c r="U1186" t="s">
        <v>3057</v>
      </c>
      <c r="V1186" t="s">
        <v>3056</v>
      </c>
    </row>
    <row r="1187" spans="1:22">
      <c r="A1187">
        <v>1186</v>
      </c>
      <c r="B1187" t="s">
        <v>2550</v>
      </c>
      <c r="C1187" t="s">
        <v>2551</v>
      </c>
      <c r="D1187" t="s">
        <v>20</v>
      </c>
      <c r="E1187" t="s">
        <v>8</v>
      </c>
      <c r="F1187" s="22">
        <v>0</v>
      </c>
      <c r="G1187" s="22">
        <v>0</v>
      </c>
      <c r="H1187" s="22">
        <v>0</v>
      </c>
      <c r="I1187" s="22">
        <v>0</v>
      </c>
      <c r="J1187">
        <v>0</v>
      </c>
      <c r="K1187">
        <v>0</v>
      </c>
      <c r="L1187" s="22">
        <v>0</v>
      </c>
      <c r="M1187" s="22">
        <v>0</v>
      </c>
      <c r="N1187" s="22">
        <v>0</v>
      </c>
      <c r="O1187" s="22">
        <v>0</v>
      </c>
      <c r="P1187" s="22">
        <v>0</v>
      </c>
      <c r="Q1187" s="22">
        <v>0</v>
      </c>
      <c r="R1187">
        <v>0</v>
      </c>
      <c r="T1187" t="s">
        <v>2991</v>
      </c>
      <c r="U1187" t="s">
        <v>3057</v>
      </c>
      <c r="V1187" t="s">
        <v>3056</v>
      </c>
    </row>
    <row r="1188" spans="1:22">
      <c r="A1188">
        <v>1187</v>
      </c>
      <c r="B1188" t="s">
        <v>2637</v>
      </c>
      <c r="C1188" t="s">
        <v>2638</v>
      </c>
      <c r="D1188" t="s">
        <v>17</v>
      </c>
      <c r="E1188" t="s">
        <v>8</v>
      </c>
      <c r="F1188" s="22">
        <v>0</v>
      </c>
      <c r="G1188" s="22">
        <v>0</v>
      </c>
      <c r="H1188" s="22">
        <v>0</v>
      </c>
      <c r="I1188" s="22">
        <v>0</v>
      </c>
      <c r="J1188">
        <v>0</v>
      </c>
      <c r="K1188">
        <v>0</v>
      </c>
      <c r="L1188" s="22">
        <v>0</v>
      </c>
      <c r="M1188" s="22">
        <v>0</v>
      </c>
      <c r="N1188" s="22">
        <v>0</v>
      </c>
      <c r="O1188" s="22">
        <v>0</v>
      </c>
      <c r="P1188" s="22">
        <v>0</v>
      </c>
      <c r="Q1188" s="22">
        <v>0</v>
      </c>
      <c r="R1188">
        <v>0</v>
      </c>
      <c r="T1188" t="s">
        <v>3006</v>
      </c>
      <c r="U1188" t="s">
        <v>3060</v>
      </c>
      <c r="V1188" t="s">
        <v>3058</v>
      </c>
    </row>
    <row r="1189" spans="1:22">
      <c r="A1189">
        <v>1188</v>
      </c>
      <c r="B1189" t="s">
        <v>2639</v>
      </c>
      <c r="C1189" t="s">
        <v>2640</v>
      </c>
      <c r="D1189" t="s">
        <v>17</v>
      </c>
      <c r="E1189" t="s">
        <v>8</v>
      </c>
      <c r="F1189" s="22">
        <v>0</v>
      </c>
      <c r="G1189" s="22">
        <v>0</v>
      </c>
      <c r="H1189" s="22">
        <v>0</v>
      </c>
      <c r="I1189" s="22">
        <v>0</v>
      </c>
      <c r="J1189">
        <v>0</v>
      </c>
      <c r="K1189">
        <v>0</v>
      </c>
      <c r="L1189" s="22">
        <v>0</v>
      </c>
      <c r="M1189" s="22">
        <v>0</v>
      </c>
      <c r="N1189" s="22">
        <v>0</v>
      </c>
      <c r="O1189" s="22">
        <v>0</v>
      </c>
      <c r="P1189" s="22">
        <v>0</v>
      </c>
      <c r="Q1189" s="22">
        <v>0</v>
      </c>
      <c r="R1189">
        <v>0</v>
      </c>
      <c r="T1189" t="s">
        <v>3006</v>
      </c>
      <c r="U1189" t="s">
        <v>3060</v>
      </c>
      <c r="V1189" t="s">
        <v>3058</v>
      </c>
    </row>
    <row r="1190" spans="1:22">
      <c r="A1190">
        <v>1189</v>
      </c>
      <c r="B1190" t="s">
        <v>2641</v>
      </c>
      <c r="C1190" t="s">
        <v>2642</v>
      </c>
      <c r="D1190" t="s">
        <v>17</v>
      </c>
      <c r="E1190" t="s">
        <v>8</v>
      </c>
      <c r="F1190" s="22">
        <v>0</v>
      </c>
      <c r="G1190" s="22">
        <v>0</v>
      </c>
      <c r="H1190" s="22">
        <v>0</v>
      </c>
      <c r="I1190" s="22">
        <v>0</v>
      </c>
      <c r="J1190">
        <v>0</v>
      </c>
      <c r="K1190">
        <v>0</v>
      </c>
      <c r="L1190" s="22">
        <v>0</v>
      </c>
      <c r="M1190" s="22">
        <v>0</v>
      </c>
      <c r="N1190" s="22">
        <v>0</v>
      </c>
      <c r="O1190" s="22">
        <v>0</v>
      </c>
      <c r="P1190" s="22">
        <v>0</v>
      </c>
      <c r="Q1190" s="22">
        <v>0</v>
      </c>
      <c r="R1190">
        <v>0</v>
      </c>
      <c r="T1190" t="s">
        <v>3006</v>
      </c>
      <c r="U1190" t="s">
        <v>3060</v>
      </c>
      <c r="V1190" t="s">
        <v>3058</v>
      </c>
    </row>
    <row r="1191" spans="1:22">
      <c r="A1191">
        <v>1190</v>
      </c>
      <c r="B1191" t="s">
        <v>2643</v>
      </c>
      <c r="C1191" t="s">
        <v>2644</v>
      </c>
      <c r="D1191" t="s">
        <v>17</v>
      </c>
      <c r="E1191" t="s">
        <v>8</v>
      </c>
      <c r="F1191" s="22">
        <v>0</v>
      </c>
      <c r="G1191" s="22">
        <v>0</v>
      </c>
      <c r="H1191" s="22">
        <v>0</v>
      </c>
      <c r="I1191" s="22">
        <v>0</v>
      </c>
      <c r="J1191">
        <v>0</v>
      </c>
      <c r="K1191">
        <v>0</v>
      </c>
      <c r="L1191" s="22">
        <v>0</v>
      </c>
      <c r="M1191" s="22">
        <v>0</v>
      </c>
      <c r="N1191" s="22">
        <v>0</v>
      </c>
      <c r="O1191" s="22">
        <v>0</v>
      </c>
      <c r="P1191" s="22">
        <v>0</v>
      </c>
      <c r="Q1191" s="22">
        <v>0</v>
      </c>
      <c r="R1191">
        <v>0</v>
      </c>
      <c r="T1191" t="s">
        <v>3006</v>
      </c>
      <c r="U1191" t="s">
        <v>3060</v>
      </c>
      <c r="V1191" t="s">
        <v>3058</v>
      </c>
    </row>
    <row r="1192" spans="1:22">
      <c r="A1192">
        <v>1191</v>
      </c>
      <c r="B1192" t="s">
        <v>2645</v>
      </c>
      <c r="C1192" t="s">
        <v>2646</v>
      </c>
      <c r="D1192" t="s">
        <v>17</v>
      </c>
      <c r="E1192" t="s">
        <v>8</v>
      </c>
      <c r="F1192" s="22">
        <v>0</v>
      </c>
      <c r="G1192" s="22">
        <v>0</v>
      </c>
      <c r="H1192" s="22">
        <v>0</v>
      </c>
      <c r="I1192" s="22">
        <v>0</v>
      </c>
      <c r="J1192">
        <v>0</v>
      </c>
      <c r="K1192">
        <v>0</v>
      </c>
      <c r="L1192" s="22">
        <v>0</v>
      </c>
      <c r="M1192" s="22">
        <v>0</v>
      </c>
      <c r="N1192" s="22">
        <v>0</v>
      </c>
      <c r="O1192" s="22">
        <v>0</v>
      </c>
      <c r="P1192" s="22">
        <v>0</v>
      </c>
      <c r="Q1192" s="22">
        <v>0</v>
      </c>
      <c r="R1192">
        <v>0</v>
      </c>
      <c r="T1192" t="s">
        <v>3006</v>
      </c>
      <c r="U1192" t="s">
        <v>3060</v>
      </c>
      <c r="V1192" t="s">
        <v>3058</v>
      </c>
    </row>
    <row r="1193" spans="1:22">
      <c r="A1193">
        <v>1192</v>
      </c>
      <c r="B1193" t="s">
        <v>2647</v>
      </c>
      <c r="C1193" t="s">
        <v>2648</v>
      </c>
      <c r="D1193" t="s">
        <v>17</v>
      </c>
      <c r="E1193" t="s">
        <v>8</v>
      </c>
      <c r="F1193" s="22">
        <v>0</v>
      </c>
      <c r="G1193" s="22">
        <v>0</v>
      </c>
      <c r="H1193" s="22">
        <v>0</v>
      </c>
      <c r="I1193" s="22">
        <v>0</v>
      </c>
      <c r="J1193">
        <v>0</v>
      </c>
      <c r="K1193">
        <v>0</v>
      </c>
      <c r="L1193" s="22">
        <v>0</v>
      </c>
      <c r="M1193" s="22">
        <v>0</v>
      </c>
      <c r="N1193" s="22">
        <v>0</v>
      </c>
      <c r="O1193" s="22">
        <v>0</v>
      </c>
      <c r="P1193" s="22">
        <v>0</v>
      </c>
      <c r="Q1193" s="22">
        <v>0</v>
      </c>
      <c r="R1193">
        <v>0</v>
      </c>
      <c r="T1193" t="s">
        <v>3006</v>
      </c>
      <c r="U1193" t="s">
        <v>3060</v>
      </c>
      <c r="V1193" t="s">
        <v>3058</v>
      </c>
    </row>
    <row r="1194" spans="1:22">
      <c r="A1194">
        <v>1193</v>
      </c>
      <c r="B1194" t="s">
        <v>2649</v>
      </c>
      <c r="C1194" t="s">
        <v>2650</v>
      </c>
      <c r="D1194" t="s">
        <v>17</v>
      </c>
      <c r="E1194" t="s">
        <v>8</v>
      </c>
      <c r="F1194" s="22">
        <v>0</v>
      </c>
      <c r="G1194" s="22">
        <v>0</v>
      </c>
      <c r="H1194" s="22">
        <v>0</v>
      </c>
      <c r="I1194" s="22">
        <v>0</v>
      </c>
      <c r="J1194">
        <v>0</v>
      </c>
      <c r="K1194">
        <v>0</v>
      </c>
      <c r="L1194" s="22">
        <v>0</v>
      </c>
      <c r="M1194" s="22">
        <v>0</v>
      </c>
      <c r="N1194" s="22">
        <v>0</v>
      </c>
      <c r="O1194" s="22">
        <v>0</v>
      </c>
      <c r="P1194" s="22">
        <v>0</v>
      </c>
      <c r="Q1194" s="22">
        <v>0</v>
      </c>
      <c r="R1194">
        <v>0</v>
      </c>
      <c r="T1194" t="s">
        <v>3006</v>
      </c>
      <c r="U1194" t="s">
        <v>3060</v>
      </c>
      <c r="V1194" t="s">
        <v>3058</v>
      </c>
    </row>
    <row r="1195" spans="1:22">
      <c r="A1195">
        <v>1194</v>
      </c>
      <c r="B1195" t="s">
        <v>2651</v>
      </c>
      <c r="C1195" t="s">
        <v>2652</v>
      </c>
      <c r="D1195" t="s">
        <v>17</v>
      </c>
      <c r="E1195" t="s">
        <v>8</v>
      </c>
      <c r="F1195" s="22">
        <v>0</v>
      </c>
      <c r="G1195" s="22">
        <v>0</v>
      </c>
      <c r="H1195" s="22">
        <v>0</v>
      </c>
      <c r="I1195" s="22">
        <v>0</v>
      </c>
      <c r="J1195">
        <v>0</v>
      </c>
      <c r="K1195">
        <v>0</v>
      </c>
      <c r="L1195" s="22">
        <v>0</v>
      </c>
      <c r="M1195" s="22">
        <v>0</v>
      </c>
      <c r="N1195" s="22">
        <v>0</v>
      </c>
      <c r="O1195" s="22">
        <v>0</v>
      </c>
      <c r="P1195" s="22">
        <v>0</v>
      </c>
      <c r="Q1195" s="22">
        <v>0</v>
      </c>
      <c r="R1195">
        <v>0</v>
      </c>
      <c r="T1195" t="s">
        <v>3006</v>
      </c>
      <c r="U1195" t="s">
        <v>3060</v>
      </c>
      <c r="V1195" t="s">
        <v>3058</v>
      </c>
    </row>
    <row r="1196" spans="1:22">
      <c r="A1196">
        <v>1195</v>
      </c>
      <c r="B1196" t="s">
        <v>2653</v>
      </c>
      <c r="C1196" t="s">
        <v>2654</v>
      </c>
      <c r="D1196" t="s">
        <v>17</v>
      </c>
      <c r="E1196" t="s">
        <v>8</v>
      </c>
      <c r="F1196" s="22">
        <v>0</v>
      </c>
      <c r="G1196" s="22">
        <v>0</v>
      </c>
      <c r="H1196" s="22">
        <v>0</v>
      </c>
      <c r="I1196" s="22">
        <v>0</v>
      </c>
      <c r="J1196">
        <v>0</v>
      </c>
      <c r="K1196">
        <v>0</v>
      </c>
      <c r="L1196" s="22">
        <v>0</v>
      </c>
      <c r="M1196" s="22">
        <v>0</v>
      </c>
      <c r="N1196" s="22">
        <v>0</v>
      </c>
      <c r="O1196" s="22">
        <v>0</v>
      </c>
      <c r="P1196" s="22">
        <v>0</v>
      </c>
      <c r="Q1196" s="22">
        <v>0</v>
      </c>
      <c r="R1196">
        <v>0</v>
      </c>
      <c r="T1196" t="s">
        <v>3006</v>
      </c>
      <c r="U1196" t="s">
        <v>3060</v>
      </c>
      <c r="V1196" t="s">
        <v>3058</v>
      </c>
    </row>
    <row r="1197" spans="1:22">
      <c r="A1197">
        <v>1196</v>
      </c>
      <c r="B1197" t="s">
        <v>2655</v>
      </c>
      <c r="C1197" t="s">
        <v>2656</v>
      </c>
      <c r="D1197" t="s">
        <v>17</v>
      </c>
      <c r="E1197" t="s">
        <v>8</v>
      </c>
      <c r="F1197" s="22">
        <v>0</v>
      </c>
      <c r="G1197" s="22">
        <v>0</v>
      </c>
      <c r="H1197" s="22">
        <v>0</v>
      </c>
      <c r="I1197" s="22">
        <v>0</v>
      </c>
      <c r="J1197">
        <v>0</v>
      </c>
      <c r="K1197">
        <v>0</v>
      </c>
      <c r="L1197" s="22">
        <v>0</v>
      </c>
      <c r="M1197" s="22">
        <v>0</v>
      </c>
      <c r="N1197" s="22">
        <v>0</v>
      </c>
      <c r="O1197" s="22">
        <v>0</v>
      </c>
      <c r="P1197" s="22">
        <v>0</v>
      </c>
      <c r="Q1197" s="22">
        <v>0</v>
      </c>
      <c r="R1197">
        <v>0</v>
      </c>
      <c r="T1197" t="s">
        <v>3006</v>
      </c>
      <c r="U1197" t="s">
        <v>3060</v>
      </c>
      <c r="V1197" t="s">
        <v>3058</v>
      </c>
    </row>
    <row r="1198" spans="1:22">
      <c r="A1198">
        <v>1197</v>
      </c>
      <c r="B1198" t="s">
        <v>2657</v>
      </c>
      <c r="C1198" t="s">
        <v>2658</v>
      </c>
      <c r="D1198" t="s">
        <v>17</v>
      </c>
      <c r="E1198" t="s">
        <v>8</v>
      </c>
      <c r="F1198" s="22">
        <v>0</v>
      </c>
      <c r="G1198" s="22">
        <v>0</v>
      </c>
      <c r="H1198" s="22">
        <v>0</v>
      </c>
      <c r="I1198" s="22">
        <v>0</v>
      </c>
      <c r="J1198">
        <v>0</v>
      </c>
      <c r="K1198">
        <v>0</v>
      </c>
      <c r="L1198" s="22">
        <v>0</v>
      </c>
      <c r="M1198" s="22">
        <v>0</v>
      </c>
      <c r="N1198" s="22">
        <v>0</v>
      </c>
      <c r="O1198" s="22">
        <v>0</v>
      </c>
      <c r="P1198" s="22">
        <v>0</v>
      </c>
      <c r="Q1198" s="22">
        <v>0</v>
      </c>
      <c r="R1198">
        <v>0</v>
      </c>
      <c r="T1198" t="s">
        <v>3006</v>
      </c>
      <c r="U1198" t="s">
        <v>3060</v>
      </c>
      <c r="V1198" t="s">
        <v>3058</v>
      </c>
    </row>
    <row r="1199" spans="1:22">
      <c r="A1199">
        <v>1198</v>
      </c>
      <c r="B1199" t="s">
        <v>2659</v>
      </c>
      <c r="C1199" t="s">
        <v>2660</v>
      </c>
      <c r="D1199" t="s">
        <v>17</v>
      </c>
      <c r="E1199" t="s">
        <v>8</v>
      </c>
      <c r="F1199" s="22">
        <v>0</v>
      </c>
      <c r="G1199" s="22">
        <v>0</v>
      </c>
      <c r="H1199" s="22">
        <v>0</v>
      </c>
      <c r="I1199" s="22">
        <v>0</v>
      </c>
      <c r="J1199">
        <v>0</v>
      </c>
      <c r="K1199">
        <v>0</v>
      </c>
      <c r="L1199" s="22">
        <v>0</v>
      </c>
      <c r="M1199" s="22">
        <v>0</v>
      </c>
      <c r="N1199" s="22">
        <v>0</v>
      </c>
      <c r="O1199" s="22">
        <v>0</v>
      </c>
      <c r="P1199" s="22">
        <v>0</v>
      </c>
      <c r="Q1199" s="22">
        <v>0</v>
      </c>
      <c r="R1199">
        <v>0</v>
      </c>
      <c r="T1199" t="s">
        <v>3006</v>
      </c>
      <c r="U1199" t="s">
        <v>3060</v>
      </c>
      <c r="V1199" t="s">
        <v>3058</v>
      </c>
    </row>
    <row r="1200" spans="1:22">
      <c r="A1200">
        <v>1199</v>
      </c>
      <c r="B1200" t="s">
        <v>2661</v>
      </c>
      <c r="C1200" t="s">
        <v>2662</v>
      </c>
      <c r="D1200" t="s">
        <v>17</v>
      </c>
      <c r="E1200" t="s">
        <v>8</v>
      </c>
      <c r="F1200" s="22">
        <v>0</v>
      </c>
      <c r="G1200" s="22">
        <v>0</v>
      </c>
      <c r="H1200" s="22">
        <v>0</v>
      </c>
      <c r="I1200" s="22">
        <v>0</v>
      </c>
      <c r="J1200">
        <v>0</v>
      </c>
      <c r="K1200">
        <v>0</v>
      </c>
      <c r="L1200" s="22">
        <v>0</v>
      </c>
      <c r="M1200" s="22">
        <v>0</v>
      </c>
      <c r="N1200" s="22">
        <v>0</v>
      </c>
      <c r="O1200" s="22">
        <v>0</v>
      </c>
      <c r="P1200" s="22">
        <v>0</v>
      </c>
      <c r="Q1200" s="22">
        <v>0</v>
      </c>
      <c r="R1200">
        <v>0</v>
      </c>
      <c r="T1200" t="s">
        <v>3006</v>
      </c>
      <c r="U1200" t="s">
        <v>3060</v>
      </c>
      <c r="V1200" t="s">
        <v>3058</v>
      </c>
    </row>
    <row r="1201" spans="1:22">
      <c r="A1201">
        <v>1200</v>
      </c>
      <c r="B1201" t="s">
        <v>2663</v>
      </c>
      <c r="C1201" t="s">
        <v>2664</v>
      </c>
      <c r="D1201" t="s">
        <v>17</v>
      </c>
      <c r="E1201" t="s">
        <v>8</v>
      </c>
      <c r="F1201" s="22">
        <v>0</v>
      </c>
      <c r="G1201" s="22">
        <v>0</v>
      </c>
      <c r="H1201" s="22">
        <v>0</v>
      </c>
      <c r="I1201" s="22">
        <v>0</v>
      </c>
      <c r="J1201">
        <v>0</v>
      </c>
      <c r="K1201">
        <v>0</v>
      </c>
      <c r="L1201" s="22">
        <v>0</v>
      </c>
      <c r="M1201" s="22">
        <v>0</v>
      </c>
      <c r="N1201" s="22">
        <v>0</v>
      </c>
      <c r="O1201" s="22">
        <v>0</v>
      </c>
      <c r="P1201" s="22">
        <v>0</v>
      </c>
      <c r="Q1201" s="22">
        <v>0</v>
      </c>
      <c r="R1201">
        <v>0</v>
      </c>
      <c r="T1201" t="s">
        <v>3006</v>
      </c>
      <c r="U1201" t="s">
        <v>3060</v>
      </c>
      <c r="V1201" t="s">
        <v>3058</v>
      </c>
    </row>
    <row r="1202" spans="1:22">
      <c r="A1202">
        <v>1201</v>
      </c>
      <c r="B1202" t="s">
        <v>2665</v>
      </c>
      <c r="C1202" t="s">
        <v>2666</v>
      </c>
      <c r="D1202" t="s">
        <v>17</v>
      </c>
      <c r="E1202" t="s">
        <v>8</v>
      </c>
      <c r="F1202" s="22">
        <v>0</v>
      </c>
      <c r="G1202" s="22">
        <v>0</v>
      </c>
      <c r="H1202" s="22">
        <v>0</v>
      </c>
      <c r="I1202" s="22">
        <v>0</v>
      </c>
      <c r="J1202">
        <v>0</v>
      </c>
      <c r="K1202">
        <v>0</v>
      </c>
      <c r="L1202" s="22">
        <v>0</v>
      </c>
      <c r="M1202" s="22">
        <v>0</v>
      </c>
      <c r="N1202" s="22">
        <v>0</v>
      </c>
      <c r="O1202" s="22">
        <v>0</v>
      </c>
      <c r="P1202" s="22">
        <v>0</v>
      </c>
      <c r="Q1202" s="22">
        <v>0</v>
      </c>
      <c r="R1202">
        <v>0</v>
      </c>
      <c r="T1202" t="s">
        <v>3006</v>
      </c>
      <c r="U1202" t="s">
        <v>3060</v>
      </c>
      <c r="V1202" t="s">
        <v>3058</v>
      </c>
    </row>
    <row r="1203" spans="1:22">
      <c r="A1203">
        <v>1202</v>
      </c>
      <c r="B1203" t="s">
        <v>2667</v>
      </c>
      <c r="C1203" t="s">
        <v>2668</v>
      </c>
      <c r="D1203" t="s">
        <v>17</v>
      </c>
      <c r="E1203" t="s">
        <v>8</v>
      </c>
      <c r="F1203" s="22">
        <v>0</v>
      </c>
      <c r="G1203" s="22">
        <v>0</v>
      </c>
      <c r="H1203" s="22">
        <v>0</v>
      </c>
      <c r="I1203" s="22">
        <v>0</v>
      </c>
      <c r="J1203">
        <v>0</v>
      </c>
      <c r="K1203">
        <v>0</v>
      </c>
      <c r="L1203" s="22">
        <v>0</v>
      </c>
      <c r="M1203" s="22">
        <v>0</v>
      </c>
      <c r="N1203" s="22">
        <v>0</v>
      </c>
      <c r="O1203" s="22">
        <v>0</v>
      </c>
      <c r="P1203" s="22">
        <v>0</v>
      </c>
      <c r="Q1203" s="22">
        <v>0</v>
      </c>
      <c r="R1203">
        <v>0</v>
      </c>
      <c r="T1203" t="s">
        <v>3006</v>
      </c>
      <c r="U1203" t="s">
        <v>3060</v>
      </c>
      <c r="V1203" t="s">
        <v>3058</v>
      </c>
    </row>
    <row r="1204" spans="1:22">
      <c r="A1204">
        <v>1203</v>
      </c>
      <c r="B1204" t="s">
        <v>2669</v>
      </c>
      <c r="C1204" t="s">
        <v>2670</v>
      </c>
      <c r="D1204" t="s">
        <v>17</v>
      </c>
      <c r="E1204" t="s">
        <v>8</v>
      </c>
      <c r="F1204" s="22">
        <v>0</v>
      </c>
      <c r="G1204" s="22">
        <v>0</v>
      </c>
      <c r="H1204" s="22">
        <v>0</v>
      </c>
      <c r="I1204" s="22">
        <v>0</v>
      </c>
      <c r="J1204">
        <v>0</v>
      </c>
      <c r="K1204">
        <v>0</v>
      </c>
      <c r="L1204" s="22">
        <v>0</v>
      </c>
      <c r="M1204" s="22">
        <v>0</v>
      </c>
      <c r="N1204" s="22">
        <v>0</v>
      </c>
      <c r="O1204" s="22">
        <v>0</v>
      </c>
      <c r="P1204" s="22">
        <v>0</v>
      </c>
      <c r="Q1204" s="22">
        <v>0</v>
      </c>
      <c r="R1204">
        <v>0</v>
      </c>
      <c r="T1204" t="s">
        <v>3006</v>
      </c>
      <c r="U1204" t="s">
        <v>3060</v>
      </c>
      <c r="V1204" t="s">
        <v>3058</v>
      </c>
    </row>
    <row r="1205" spans="1:22">
      <c r="A1205">
        <v>1204</v>
      </c>
      <c r="B1205" t="s">
        <v>2671</v>
      </c>
      <c r="C1205" t="s">
        <v>2672</v>
      </c>
      <c r="D1205" t="s">
        <v>17</v>
      </c>
      <c r="E1205" t="s">
        <v>8</v>
      </c>
      <c r="F1205" s="22">
        <v>0</v>
      </c>
      <c r="G1205" s="22">
        <v>0</v>
      </c>
      <c r="H1205" s="22">
        <v>0</v>
      </c>
      <c r="I1205" s="22">
        <v>0</v>
      </c>
      <c r="J1205">
        <v>0</v>
      </c>
      <c r="K1205">
        <v>0</v>
      </c>
      <c r="L1205" s="22">
        <v>0</v>
      </c>
      <c r="M1205" s="22">
        <v>0</v>
      </c>
      <c r="N1205" s="22">
        <v>0</v>
      </c>
      <c r="O1205" s="22">
        <v>0</v>
      </c>
      <c r="P1205" s="22">
        <v>0</v>
      </c>
      <c r="Q1205" s="22">
        <v>0</v>
      </c>
      <c r="R1205">
        <v>0</v>
      </c>
      <c r="T1205" t="s">
        <v>3006</v>
      </c>
      <c r="U1205" t="s">
        <v>3060</v>
      </c>
      <c r="V1205" t="s">
        <v>3058</v>
      </c>
    </row>
    <row r="1206" spans="1:22">
      <c r="A1206">
        <v>1205</v>
      </c>
      <c r="B1206" t="s">
        <v>2673</v>
      </c>
      <c r="C1206" t="s">
        <v>2674</v>
      </c>
      <c r="D1206" t="s">
        <v>17</v>
      </c>
      <c r="E1206" t="s">
        <v>8</v>
      </c>
      <c r="F1206" s="22">
        <v>0</v>
      </c>
      <c r="G1206" s="22">
        <v>0</v>
      </c>
      <c r="H1206" s="22">
        <v>0</v>
      </c>
      <c r="I1206" s="22">
        <v>0</v>
      </c>
      <c r="J1206">
        <v>0</v>
      </c>
      <c r="K1206">
        <v>0</v>
      </c>
      <c r="L1206" s="22">
        <v>0</v>
      </c>
      <c r="M1206" s="22">
        <v>0</v>
      </c>
      <c r="N1206" s="22">
        <v>0</v>
      </c>
      <c r="O1206" s="22">
        <v>0</v>
      </c>
      <c r="P1206" s="22">
        <v>0</v>
      </c>
      <c r="Q1206" s="22">
        <v>0</v>
      </c>
      <c r="R1206">
        <v>0</v>
      </c>
      <c r="T1206" t="s">
        <v>3006</v>
      </c>
      <c r="U1206" t="s">
        <v>3060</v>
      </c>
      <c r="V1206" t="s">
        <v>3058</v>
      </c>
    </row>
    <row r="1207" spans="1:22">
      <c r="A1207">
        <v>1206</v>
      </c>
      <c r="B1207" t="s">
        <v>2675</v>
      </c>
      <c r="C1207" t="s">
        <v>2676</v>
      </c>
      <c r="D1207" t="s">
        <v>17</v>
      </c>
      <c r="E1207" t="s">
        <v>8</v>
      </c>
      <c r="F1207" s="22">
        <v>0</v>
      </c>
      <c r="G1207" s="22">
        <v>0</v>
      </c>
      <c r="H1207" s="22">
        <v>0</v>
      </c>
      <c r="I1207" s="22">
        <v>0</v>
      </c>
      <c r="J1207">
        <v>0</v>
      </c>
      <c r="K1207">
        <v>0</v>
      </c>
      <c r="L1207" s="22">
        <v>0</v>
      </c>
      <c r="M1207" s="22">
        <v>0</v>
      </c>
      <c r="N1207" s="22">
        <v>0</v>
      </c>
      <c r="O1207" s="22">
        <v>0</v>
      </c>
      <c r="P1207" s="22">
        <v>0</v>
      </c>
      <c r="Q1207" s="22">
        <v>0</v>
      </c>
      <c r="R1207">
        <v>0</v>
      </c>
      <c r="T1207" t="s">
        <v>3006</v>
      </c>
      <c r="U1207" t="s">
        <v>3060</v>
      </c>
      <c r="V1207" t="s">
        <v>3058</v>
      </c>
    </row>
    <row r="1208" spans="1:22">
      <c r="A1208">
        <v>1207</v>
      </c>
      <c r="B1208" t="s">
        <v>2677</v>
      </c>
      <c r="C1208" t="s">
        <v>2678</v>
      </c>
      <c r="D1208" t="s">
        <v>17</v>
      </c>
      <c r="E1208" t="s">
        <v>8</v>
      </c>
      <c r="F1208" s="22">
        <v>0</v>
      </c>
      <c r="G1208" s="22">
        <v>0</v>
      </c>
      <c r="H1208" s="22">
        <v>0</v>
      </c>
      <c r="I1208" s="22">
        <v>0</v>
      </c>
      <c r="J1208">
        <v>0</v>
      </c>
      <c r="K1208">
        <v>0</v>
      </c>
      <c r="L1208" s="22">
        <v>0</v>
      </c>
      <c r="M1208" s="22">
        <v>0</v>
      </c>
      <c r="N1208" s="22">
        <v>0</v>
      </c>
      <c r="O1208" s="22">
        <v>0</v>
      </c>
      <c r="P1208" s="22">
        <v>0</v>
      </c>
      <c r="Q1208" s="22">
        <v>0</v>
      </c>
      <c r="R1208">
        <v>0</v>
      </c>
      <c r="T1208" t="s">
        <v>3006</v>
      </c>
      <c r="U1208" t="s">
        <v>3060</v>
      </c>
      <c r="V1208" t="s">
        <v>3058</v>
      </c>
    </row>
    <row r="1209" spans="1:22">
      <c r="A1209">
        <v>1208</v>
      </c>
      <c r="B1209" t="s">
        <v>2679</v>
      </c>
      <c r="C1209" t="s">
        <v>2680</v>
      </c>
      <c r="D1209" t="s">
        <v>17</v>
      </c>
      <c r="E1209" t="s">
        <v>8</v>
      </c>
      <c r="F1209" s="22">
        <v>0</v>
      </c>
      <c r="G1209" s="22">
        <v>0</v>
      </c>
      <c r="H1209" s="22">
        <v>0</v>
      </c>
      <c r="I1209" s="22">
        <v>0</v>
      </c>
      <c r="J1209">
        <v>0</v>
      </c>
      <c r="K1209">
        <v>0</v>
      </c>
      <c r="L1209" s="22">
        <v>0</v>
      </c>
      <c r="M1209" s="22">
        <v>0</v>
      </c>
      <c r="N1209" s="22">
        <v>0</v>
      </c>
      <c r="O1209" s="22">
        <v>0</v>
      </c>
      <c r="P1209" s="22">
        <v>0</v>
      </c>
      <c r="Q1209" s="22">
        <v>0</v>
      </c>
      <c r="R1209">
        <v>0</v>
      </c>
      <c r="T1209" t="s">
        <v>3006</v>
      </c>
      <c r="U1209" t="s">
        <v>3060</v>
      </c>
      <c r="V1209" t="s">
        <v>3058</v>
      </c>
    </row>
    <row r="1210" spans="1:22">
      <c r="A1210">
        <v>1209</v>
      </c>
      <c r="B1210" t="s">
        <v>2681</v>
      </c>
      <c r="C1210" t="s">
        <v>2682</v>
      </c>
      <c r="D1210" t="s">
        <v>17</v>
      </c>
      <c r="E1210" t="s">
        <v>8</v>
      </c>
      <c r="F1210" s="22">
        <v>0</v>
      </c>
      <c r="G1210" s="22">
        <v>0</v>
      </c>
      <c r="H1210" s="22">
        <v>0</v>
      </c>
      <c r="I1210" s="22">
        <v>0</v>
      </c>
      <c r="J1210">
        <v>0</v>
      </c>
      <c r="K1210">
        <v>0</v>
      </c>
      <c r="L1210" s="22">
        <v>0</v>
      </c>
      <c r="M1210" s="22">
        <v>0</v>
      </c>
      <c r="N1210" s="22">
        <v>0</v>
      </c>
      <c r="O1210" s="22">
        <v>0</v>
      </c>
      <c r="P1210" s="22">
        <v>0</v>
      </c>
      <c r="Q1210" s="22">
        <v>0</v>
      </c>
      <c r="R1210">
        <v>0</v>
      </c>
      <c r="T1210" t="s">
        <v>3006</v>
      </c>
      <c r="U1210" t="s">
        <v>3060</v>
      </c>
      <c r="V1210" t="s">
        <v>3058</v>
      </c>
    </row>
    <row r="1211" spans="1:22">
      <c r="A1211">
        <v>1210</v>
      </c>
      <c r="B1211" t="s">
        <v>2683</v>
      </c>
      <c r="C1211" t="s">
        <v>2684</v>
      </c>
      <c r="D1211" t="s">
        <v>17</v>
      </c>
      <c r="E1211" t="s">
        <v>8</v>
      </c>
      <c r="F1211" s="22">
        <v>0</v>
      </c>
      <c r="G1211" s="22">
        <v>0</v>
      </c>
      <c r="H1211" s="22">
        <v>0</v>
      </c>
      <c r="I1211" s="22">
        <v>0</v>
      </c>
      <c r="J1211">
        <v>0</v>
      </c>
      <c r="K1211">
        <v>0</v>
      </c>
      <c r="L1211" s="22">
        <v>0</v>
      </c>
      <c r="M1211" s="22">
        <v>0</v>
      </c>
      <c r="N1211" s="22">
        <v>0</v>
      </c>
      <c r="O1211" s="22">
        <v>0</v>
      </c>
      <c r="P1211" s="22">
        <v>0</v>
      </c>
      <c r="Q1211" s="22">
        <v>0</v>
      </c>
      <c r="R1211">
        <v>0</v>
      </c>
      <c r="T1211" t="s">
        <v>3006</v>
      </c>
      <c r="U1211" t="s">
        <v>3060</v>
      </c>
      <c r="V1211" t="s">
        <v>3058</v>
      </c>
    </row>
    <row r="1212" spans="1:22">
      <c r="A1212">
        <v>1211</v>
      </c>
      <c r="B1212" t="s">
        <v>2685</v>
      </c>
      <c r="C1212" t="s">
        <v>2686</v>
      </c>
      <c r="D1212" t="s">
        <v>17</v>
      </c>
      <c r="E1212" t="s">
        <v>8</v>
      </c>
      <c r="F1212" s="22">
        <v>0</v>
      </c>
      <c r="G1212" s="22">
        <v>0</v>
      </c>
      <c r="H1212" s="22">
        <v>0</v>
      </c>
      <c r="I1212" s="22">
        <v>0</v>
      </c>
      <c r="J1212">
        <v>0</v>
      </c>
      <c r="K1212">
        <v>0</v>
      </c>
      <c r="L1212" s="22">
        <v>0</v>
      </c>
      <c r="M1212" s="22">
        <v>0</v>
      </c>
      <c r="N1212" s="22">
        <v>0</v>
      </c>
      <c r="O1212" s="22">
        <v>0</v>
      </c>
      <c r="P1212" s="22">
        <v>0</v>
      </c>
      <c r="Q1212" s="22">
        <v>0</v>
      </c>
      <c r="R1212">
        <v>0</v>
      </c>
      <c r="T1212" t="s">
        <v>3006</v>
      </c>
      <c r="U1212" t="s">
        <v>3060</v>
      </c>
      <c r="V1212" t="s">
        <v>3058</v>
      </c>
    </row>
    <row r="1213" spans="1:22">
      <c r="A1213">
        <v>1212</v>
      </c>
      <c r="B1213" t="s">
        <v>2687</v>
      </c>
      <c r="C1213" t="s">
        <v>2688</v>
      </c>
      <c r="D1213" t="s">
        <v>17</v>
      </c>
      <c r="E1213" t="s">
        <v>8</v>
      </c>
      <c r="F1213" s="22">
        <v>0</v>
      </c>
      <c r="G1213" s="22">
        <v>0</v>
      </c>
      <c r="H1213" s="22">
        <v>0</v>
      </c>
      <c r="I1213" s="22">
        <v>0</v>
      </c>
      <c r="J1213">
        <v>0</v>
      </c>
      <c r="K1213">
        <v>0</v>
      </c>
      <c r="L1213" s="22">
        <v>0</v>
      </c>
      <c r="M1213" s="22">
        <v>0</v>
      </c>
      <c r="N1213" s="22">
        <v>0</v>
      </c>
      <c r="O1213" s="22">
        <v>0</v>
      </c>
      <c r="P1213" s="22">
        <v>0</v>
      </c>
      <c r="Q1213" s="22">
        <v>0</v>
      </c>
      <c r="R1213">
        <v>0</v>
      </c>
      <c r="T1213" t="s">
        <v>3006</v>
      </c>
      <c r="U1213" t="s">
        <v>3060</v>
      </c>
      <c r="V1213" t="s">
        <v>3058</v>
      </c>
    </row>
    <row r="1214" spans="1:22">
      <c r="A1214">
        <v>1213</v>
      </c>
      <c r="B1214" t="s">
        <v>2689</v>
      </c>
      <c r="C1214" t="s">
        <v>2690</v>
      </c>
      <c r="D1214" t="s">
        <v>17</v>
      </c>
      <c r="E1214" t="s">
        <v>8</v>
      </c>
      <c r="F1214" s="22">
        <v>0</v>
      </c>
      <c r="G1214" s="22">
        <v>0</v>
      </c>
      <c r="H1214" s="22">
        <v>0</v>
      </c>
      <c r="I1214" s="22">
        <v>0</v>
      </c>
      <c r="J1214">
        <v>0</v>
      </c>
      <c r="K1214">
        <v>0</v>
      </c>
      <c r="L1214" s="22">
        <v>0</v>
      </c>
      <c r="M1214" s="22">
        <v>0</v>
      </c>
      <c r="N1214" s="22">
        <v>0</v>
      </c>
      <c r="O1214" s="22">
        <v>0</v>
      </c>
      <c r="P1214" s="22">
        <v>0</v>
      </c>
      <c r="Q1214" s="22">
        <v>0</v>
      </c>
      <c r="R1214">
        <v>0</v>
      </c>
      <c r="T1214" t="s">
        <v>2972</v>
      </c>
      <c r="U1214" t="s">
        <v>3055</v>
      </c>
      <c r="V1214" t="s">
        <v>3056</v>
      </c>
    </row>
    <row r="1215" spans="1:22">
      <c r="A1215">
        <v>1214</v>
      </c>
      <c r="B1215" t="s">
        <v>2691</v>
      </c>
      <c r="C1215" t="s">
        <v>2692</v>
      </c>
      <c r="D1215" t="s">
        <v>7</v>
      </c>
      <c r="E1215" t="s">
        <v>8</v>
      </c>
      <c r="F1215" s="22">
        <v>110.8</v>
      </c>
      <c r="G1215" s="22">
        <v>0</v>
      </c>
      <c r="H1215" s="22">
        <v>0</v>
      </c>
      <c r="I1215" s="22">
        <v>110.8</v>
      </c>
      <c r="J1215">
        <v>0</v>
      </c>
      <c r="K1215">
        <v>0</v>
      </c>
      <c r="L1215" s="22">
        <v>110.8</v>
      </c>
      <c r="M1215" s="22">
        <v>0</v>
      </c>
      <c r="N1215" s="22">
        <v>0</v>
      </c>
      <c r="O1215" s="22">
        <v>110.8</v>
      </c>
      <c r="P1215" s="22">
        <v>50</v>
      </c>
      <c r="Q1215" s="22">
        <v>60.8</v>
      </c>
      <c r="R1215">
        <v>0</v>
      </c>
      <c r="T1215" t="s">
        <v>2965</v>
      </c>
      <c r="U1215" t="s">
        <v>3055</v>
      </c>
      <c r="V1215" t="s">
        <v>3056</v>
      </c>
    </row>
    <row r="1216" spans="1:22">
      <c r="A1216">
        <v>1215</v>
      </c>
      <c r="B1216" t="s">
        <v>2693</v>
      </c>
      <c r="C1216" t="s">
        <v>2694</v>
      </c>
      <c r="D1216" t="s">
        <v>7</v>
      </c>
      <c r="E1216" t="s">
        <v>8</v>
      </c>
      <c r="F1216" s="22">
        <v>210.2</v>
      </c>
      <c r="G1216" s="22">
        <v>0</v>
      </c>
      <c r="H1216" s="22">
        <v>0</v>
      </c>
      <c r="I1216" s="22">
        <v>210.2</v>
      </c>
      <c r="J1216">
        <v>0</v>
      </c>
      <c r="K1216">
        <v>0</v>
      </c>
      <c r="L1216" s="22">
        <v>210.2</v>
      </c>
      <c r="M1216" s="22">
        <v>0</v>
      </c>
      <c r="N1216" s="22">
        <v>0</v>
      </c>
      <c r="O1216" s="22">
        <v>210.2</v>
      </c>
      <c r="P1216" s="22">
        <v>50</v>
      </c>
      <c r="Q1216" s="22">
        <v>160.19999999999999</v>
      </c>
      <c r="R1216">
        <v>0</v>
      </c>
      <c r="T1216" t="s">
        <v>2965</v>
      </c>
      <c r="U1216" t="s">
        <v>3055</v>
      </c>
      <c r="V1216" t="s">
        <v>3056</v>
      </c>
    </row>
    <row r="1217" spans="1:22">
      <c r="A1217">
        <v>1216</v>
      </c>
      <c r="B1217" t="s">
        <v>2695</v>
      </c>
      <c r="C1217" t="s">
        <v>2696</v>
      </c>
      <c r="D1217" t="s">
        <v>7</v>
      </c>
      <c r="E1217" t="s">
        <v>8</v>
      </c>
      <c r="F1217" s="22">
        <v>797</v>
      </c>
      <c r="G1217" s="22">
        <v>469.5</v>
      </c>
      <c r="H1217" s="22">
        <v>100.2</v>
      </c>
      <c r="I1217" s="22">
        <v>1166.3</v>
      </c>
      <c r="J1217">
        <v>0</v>
      </c>
      <c r="K1217">
        <v>0</v>
      </c>
      <c r="L1217" s="22">
        <v>1166.3</v>
      </c>
      <c r="M1217" s="22">
        <v>0</v>
      </c>
      <c r="N1217" s="22">
        <v>0</v>
      </c>
      <c r="O1217" s="22">
        <v>1166.3</v>
      </c>
      <c r="P1217" s="22">
        <v>500</v>
      </c>
      <c r="Q1217" s="22">
        <v>666.3</v>
      </c>
      <c r="R1217">
        <v>500</v>
      </c>
      <c r="T1217" t="s">
        <v>2965</v>
      </c>
      <c r="U1217" t="s">
        <v>3055</v>
      </c>
      <c r="V1217" t="s">
        <v>3056</v>
      </c>
    </row>
    <row r="1218" spans="1:22">
      <c r="A1218">
        <v>1217</v>
      </c>
      <c r="B1218" t="s">
        <v>2697</v>
      </c>
      <c r="C1218" t="s">
        <v>2698</v>
      </c>
      <c r="D1218" t="s">
        <v>7</v>
      </c>
      <c r="E1218" t="s">
        <v>8</v>
      </c>
      <c r="F1218" s="22">
        <v>708.7</v>
      </c>
      <c r="G1218" s="22">
        <v>0</v>
      </c>
      <c r="H1218" s="22">
        <v>146.19999999999999</v>
      </c>
      <c r="I1218" s="22">
        <v>562.5</v>
      </c>
      <c r="J1218">
        <v>0</v>
      </c>
      <c r="K1218">
        <v>0</v>
      </c>
      <c r="L1218" s="22">
        <v>562.5</v>
      </c>
      <c r="M1218" s="22">
        <v>0</v>
      </c>
      <c r="N1218" s="22">
        <v>0</v>
      </c>
      <c r="O1218" s="22">
        <v>562.5</v>
      </c>
      <c r="P1218" s="22">
        <v>250</v>
      </c>
      <c r="Q1218" s="22">
        <v>312.5</v>
      </c>
      <c r="R1218">
        <v>0</v>
      </c>
      <c r="T1218" t="s">
        <v>2965</v>
      </c>
      <c r="U1218" t="s">
        <v>3055</v>
      </c>
      <c r="V1218" t="s">
        <v>3056</v>
      </c>
    </row>
    <row r="1219" spans="1:22">
      <c r="A1219">
        <v>1218</v>
      </c>
      <c r="B1219" t="s">
        <v>2699</v>
      </c>
      <c r="C1219" t="s">
        <v>2700</v>
      </c>
      <c r="D1219" t="s">
        <v>7</v>
      </c>
      <c r="E1219" t="s">
        <v>8</v>
      </c>
      <c r="F1219" s="22">
        <v>777.1</v>
      </c>
      <c r="G1219" s="22">
        <v>1112</v>
      </c>
      <c r="H1219" s="22">
        <v>267.60000000000002</v>
      </c>
      <c r="I1219" s="22">
        <v>1621.5</v>
      </c>
      <c r="J1219">
        <v>0</v>
      </c>
      <c r="K1219">
        <v>0</v>
      </c>
      <c r="L1219" s="22">
        <v>1621.5</v>
      </c>
      <c r="M1219" s="22">
        <v>0</v>
      </c>
      <c r="N1219" s="22">
        <v>0</v>
      </c>
      <c r="O1219" s="22">
        <v>1621.5</v>
      </c>
      <c r="P1219" s="22">
        <v>500</v>
      </c>
      <c r="Q1219" s="22">
        <v>1121.5</v>
      </c>
      <c r="R1219">
        <v>1000</v>
      </c>
      <c r="T1219" t="s">
        <v>2965</v>
      </c>
      <c r="U1219" t="s">
        <v>3055</v>
      </c>
      <c r="V1219" t="s">
        <v>3056</v>
      </c>
    </row>
    <row r="1220" spans="1:22">
      <c r="A1220">
        <v>1219</v>
      </c>
      <c r="B1220" t="s">
        <v>2701</v>
      </c>
      <c r="C1220" t="s">
        <v>2702</v>
      </c>
      <c r="D1220" t="s">
        <v>17</v>
      </c>
      <c r="E1220" t="s">
        <v>8</v>
      </c>
      <c r="F1220" s="22">
        <v>0</v>
      </c>
      <c r="G1220" s="22">
        <v>0</v>
      </c>
      <c r="H1220" s="22">
        <v>0</v>
      </c>
      <c r="I1220" s="22">
        <v>0</v>
      </c>
      <c r="J1220">
        <v>0</v>
      </c>
      <c r="K1220">
        <v>0</v>
      </c>
      <c r="L1220" s="22">
        <v>0</v>
      </c>
      <c r="M1220" s="22">
        <v>0</v>
      </c>
      <c r="N1220" s="22">
        <v>0</v>
      </c>
      <c r="O1220" s="22">
        <v>0</v>
      </c>
      <c r="P1220" s="22">
        <v>0</v>
      </c>
      <c r="Q1220" s="22">
        <v>0</v>
      </c>
      <c r="R1220">
        <v>0</v>
      </c>
      <c r="T1220" t="s">
        <v>2982</v>
      </c>
      <c r="U1220" t="s">
        <v>3060</v>
      </c>
      <c r="V1220" t="s">
        <v>3058</v>
      </c>
    </row>
    <row r="1221" spans="1:22">
      <c r="A1221">
        <v>1220</v>
      </c>
      <c r="B1221" t="s">
        <v>2703</v>
      </c>
      <c r="C1221" t="s">
        <v>2704</v>
      </c>
      <c r="D1221" t="s">
        <v>17</v>
      </c>
      <c r="E1221" t="s">
        <v>8</v>
      </c>
      <c r="F1221" s="22">
        <v>0</v>
      </c>
      <c r="G1221" s="22">
        <v>0</v>
      </c>
      <c r="H1221" s="22">
        <v>0</v>
      </c>
      <c r="I1221" s="22">
        <v>0</v>
      </c>
      <c r="J1221">
        <v>0</v>
      </c>
      <c r="K1221">
        <v>0</v>
      </c>
      <c r="L1221" s="22">
        <v>0</v>
      </c>
      <c r="M1221" s="22">
        <v>0</v>
      </c>
      <c r="N1221" s="22">
        <v>0</v>
      </c>
      <c r="O1221" s="22">
        <v>0</v>
      </c>
      <c r="P1221" s="22">
        <v>0</v>
      </c>
      <c r="Q1221" s="22">
        <v>0</v>
      </c>
      <c r="R1221">
        <v>0</v>
      </c>
      <c r="T1221" t="s">
        <v>2982</v>
      </c>
      <c r="U1221" t="s">
        <v>3060</v>
      </c>
      <c r="V1221" t="s">
        <v>3058</v>
      </c>
    </row>
    <row r="1222" spans="1:22">
      <c r="A1222">
        <v>1221</v>
      </c>
      <c r="B1222" t="s">
        <v>2705</v>
      </c>
      <c r="C1222" t="s">
        <v>2706</v>
      </c>
      <c r="D1222" t="s">
        <v>17</v>
      </c>
      <c r="E1222" t="s">
        <v>8</v>
      </c>
      <c r="F1222" s="22">
        <v>0</v>
      </c>
      <c r="G1222" s="22">
        <v>0</v>
      </c>
      <c r="H1222" s="22">
        <v>0</v>
      </c>
      <c r="I1222" s="22">
        <v>0</v>
      </c>
      <c r="J1222">
        <v>0</v>
      </c>
      <c r="K1222">
        <v>0</v>
      </c>
      <c r="L1222" s="22">
        <v>0</v>
      </c>
      <c r="M1222" s="22">
        <v>0</v>
      </c>
      <c r="N1222" s="22">
        <v>0</v>
      </c>
      <c r="O1222" s="22">
        <v>0</v>
      </c>
      <c r="P1222" s="22">
        <v>0</v>
      </c>
      <c r="Q1222" s="22">
        <v>0</v>
      </c>
      <c r="R1222">
        <v>0</v>
      </c>
      <c r="T1222" t="s">
        <v>2982</v>
      </c>
      <c r="U1222" t="s">
        <v>3060</v>
      </c>
      <c r="V1222" t="s">
        <v>3058</v>
      </c>
    </row>
    <row r="1223" spans="1:22">
      <c r="A1223">
        <v>1222</v>
      </c>
      <c r="B1223" t="s">
        <v>2707</v>
      </c>
      <c r="C1223" t="s">
        <v>2708</v>
      </c>
      <c r="D1223" t="s">
        <v>17</v>
      </c>
      <c r="E1223" t="s">
        <v>8</v>
      </c>
      <c r="F1223" s="22">
        <v>0</v>
      </c>
      <c r="G1223" s="22">
        <v>0</v>
      </c>
      <c r="H1223" s="22">
        <v>0</v>
      </c>
      <c r="I1223" s="22">
        <v>0</v>
      </c>
      <c r="J1223">
        <v>0</v>
      </c>
      <c r="K1223">
        <v>0</v>
      </c>
      <c r="L1223" s="22">
        <v>0</v>
      </c>
      <c r="M1223" s="22">
        <v>0</v>
      </c>
      <c r="N1223" s="22">
        <v>0</v>
      </c>
      <c r="O1223" s="22">
        <v>0</v>
      </c>
      <c r="P1223" s="22">
        <v>0</v>
      </c>
      <c r="Q1223" s="22">
        <v>0</v>
      </c>
      <c r="R1223">
        <v>0</v>
      </c>
      <c r="T1223" t="s">
        <v>2982</v>
      </c>
      <c r="U1223" t="s">
        <v>3060</v>
      </c>
      <c r="V1223" t="s">
        <v>3058</v>
      </c>
    </row>
    <row r="1224" spans="1:22">
      <c r="A1224">
        <v>1223</v>
      </c>
      <c r="B1224" t="s">
        <v>2709</v>
      </c>
      <c r="C1224" t="s">
        <v>2710</v>
      </c>
      <c r="D1224" t="s">
        <v>17</v>
      </c>
      <c r="E1224" t="s">
        <v>8</v>
      </c>
      <c r="F1224" s="22">
        <v>0</v>
      </c>
      <c r="G1224" s="22">
        <v>0</v>
      </c>
      <c r="H1224" s="22">
        <v>0</v>
      </c>
      <c r="I1224" s="22">
        <v>0</v>
      </c>
      <c r="J1224">
        <v>0</v>
      </c>
      <c r="K1224">
        <v>0</v>
      </c>
      <c r="L1224" s="22">
        <v>0</v>
      </c>
      <c r="M1224" s="22">
        <v>0</v>
      </c>
      <c r="N1224" s="22">
        <v>0</v>
      </c>
      <c r="O1224" s="22">
        <v>0</v>
      </c>
      <c r="P1224" s="22">
        <v>0</v>
      </c>
      <c r="Q1224" s="22">
        <v>0</v>
      </c>
      <c r="R1224">
        <v>0</v>
      </c>
      <c r="T1224" t="s">
        <v>2982</v>
      </c>
      <c r="U1224" t="s">
        <v>3060</v>
      </c>
      <c r="V1224" t="s">
        <v>3058</v>
      </c>
    </row>
    <row r="1225" spans="1:22">
      <c r="A1225">
        <v>1224</v>
      </c>
      <c r="B1225" t="s">
        <v>2711</v>
      </c>
      <c r="C1225" t="s">
        <v>2712</v>
      </c>
      <c r="D1225" t="s">
        <v>17</v>
      </c>
      <c r="E1225" t="s">
        <v>8</v>
      </c>
      <c r="F1225" s="22">
        <v>0</v>
      </c>
      <c r="G1225" s="22">
        <v>0</v>
      </c>
      <c r="H1225" s="22">
        <v>0</v>
      </c>
      <c r="I1225" s="22">
        <v>0</v>
      </c>
      <c r="J1225">
        <v>0</v>
      </c>
      <c r="K1225">
        <v>0</v>
      </c>
      <c r="L1225" s="22">
        <v>0</v>
      </c>
      <c r="M1225" s="22">
        <v>0</v>
      </c>
      <c r="N1225" s="22">
        <v>0</v>
      </c>
      <c r="O1225" s="22">
        <v>0</v>
      </c>
      <c r="P1225" s="22">
        <v>0</v>
      </c>
      <c r="Q1225" s="22">
        <v>0</v>
      </c>
      <c r="R1225">
        <v>0</v>
      </c>
      <c r="T1225" t="s">
        <v>2982</v>
      </c>
      <c r="U1225" t="s">
        <v>3060</v>
      </c>
      <c r="V1225" t="s">
        <v>3064</v>
      </c>
    </row>
    <row r="1226" spans="1:22">
      <c r="A1226">
        <v>1225</v>
      </c>
      <c r="B1226" t="s">
        <v>2713</v>
      </c>
      <c r="C1226" t="s">
        <v>2714</v>
      </c>
      <c r="D1226" t="s">
        <v>17</v>
      </c>
      <c r="E1226" t="s">
        <v>8</v>
      </c>
      <c r="F1226" s="22">
        <v>0</v>
      </c>
      <c r="G1226" s="22">
        <v>0</v>
      </c>
      <c r="H1226" s="22">
        <v>0</v>
      </c>
      <c r="I1226" s="22">
        <v>0</v>
      </c>
      <c r="J1226">
        <v>0</v>
      </c>
      <c r="K1226">
        <v>0</v>
      </c>
      <c r="L1226" s="22">
        <v>0</v>
      </c>
      <c r="M1226" s="22">
        <v>0</v>
      </c>
      <c r="N1226" s="22">
        <v>0</v>
      </c>
      <c r="O1226" s="22">
        <v>0</v>
      </c>
      <c r="P1226" s="22">
        <v>0</v>
      </c>
      <c r="Q1226" s="22">
        <v>0</v>
      </c>
      <c r="R1226">
        <v>0</v>
      </c>
      <c r="T1226" t="s">
        <v>3006</v>
      </c>
      <c r="U1226" t="s">
        <v>3060</v>
      </c>
      <c r="V1226" t="s">
        <v>3058</v>
      </c>
    </row>
    <row r="1227" spans="1:22">
      <c r="A1227">
        <v>1226</v>
      </c>
      <c r="B1227" t="s">
        <v>2715</v>
      </c>
      <c r="C1227" t="s">
        <v>2716</v>
      </c>
      <c r="D1227" t="s">
        <v>17</v>
      </c>
      <c r="E1227" t="s">
        <v>8</v>
      </c>
      <c r="F1227" s="22">
        <v>0</v>
      </c>
      <c r="G1227" s="22">
        <v>0</v>
      </c>
      <c r="H1227" s="22">
        <v>0</v>
      </c>
      <c r="I1227" s="22">
        <v>0</v>
      </c>
      <c r="J1227">
        <v>0</v>
      </c>
      <c r="K1227">
        <v>0</v>
      </c>
      <c r="L1227" s="22">
        <v>0</v>
      </c>
      <c r="M1227" s="22">
        <v>0</v>
      </c>
      <c r="N1227" s="22">
        <v>0</v>
      </c>
      <c r="O1227" s="22">
        <v>0</v>
      </c>
      <c r="P1227" s="22">
        <v>0</v>
      </c>
      <c r="Q1227" s="22">
        <v>0</v>
      </c>
      <c r="R1227">
        <v>0</v>
      </c>
      <c r="T1227" t="s">
        <v>3006</v>
      </c>
      <c r="U1227" t="s">
        <v>3060</v>
      </c>
      <c r="V1227" t="s">
        <v>3058</v>
      </c>
    </row>
    <row r="1228" spans="1:22">
      <c r="A1228">
        <v>1227</v>
      </c>
      <c r="B1228" t="s">
        <v>2717</v>
      </c>
      <c r="C1228" t="s">
        <v>2718</v>
      </c>
      <c r="D1228" t="s">
        <v>17</v>
      </c>
      <c r="E1228" t="s">
        <v>8</v>
      </c>
      <c r="F1228" s="22">
        <v>0</v>
      </c>
      <c r="G1228" s="22">
        <v>0</v>
      </c>
      <c r="H1228" s="22">
        <v>0</v>
      </c>
      <c r="I1228" s="22">
        <v>0</v>
      </c>
      <c r="J1228">
        <v>0</v>
      </c>
      <c r="K1228">
        <v>0</v>
      </c>
      <c r="L1228" s="22">
        <v>0</v>
      </c>
      <c r="M1228" s="22">
        <v>0</v>
      </c>
      <c r="N1228" s="22">
        <v>0</v>
      </c>
      <c r="O1228" s="22">
        <v>0</v>
      </c>
      <c r="P1228" s="22">
        <v>0</v>
      </c>
      <c r="Q1228" s="22">
        <v>0</v>
      </c>
      <c r="R1228">
        <v>0</v>
      </c>
      <c r="T1228" t="s">
        <v>3006</v>
      </c>
      <c r="U1228" t="s">
        <v>3060</v>
      </c>
      <c r="V1228" t="s">
        <v>3058</v>
      </c>
    </row>
    <row r="1229" spans="1:22">
      <c r="A1229">
        <v>1228</v>
      </c>
      <c r="B1229" t="s">
        <v>2719</v>
      </c>
      <c r="C1229" t="s">
        <v>2720</v>
      </c>
      <c r="D1229" t="s">
        <v>17</v>
      </c>
      <c r="E1229" t="s">
        <v>8</v>
      </c>
      <c r="F1229" s="22">
        <v>0</v>
      </c>
      <c r="G1229" s="22">
        <v>0</v>
      </c>
      <c r="H1229" s="22">
        <v>0</v>
      </c>
      <c r="I1229" s="22">
        <v>0</v>
      </c>
      <c r="J1229">
        <v>0</v>
      </c>
      <c r="K1229">
        <v>0</v>
      </c>
      <c r="L1229" s="22">
        <v>0</v>
      </c>
      <c r="M1229" s="22">
        <v>0</v>
      </c>
      <c r="N1229" s="22">
        <v>0</v>
      </c>
      <c r="O1229" s="22">
        <v>0</v>
      </c>
      <c r="P1229" s="22">
        <v>0</v>
      </c>
      <c r="Q1229" s="22">
        <v>0</v>
      </c>
      <c r="R1229">
        <v>0</v>
      </c>
      <c r="T1229" t="s">
        <v>3006</v>
      </c>
      <c r="U1229" t="s">
        <v>3060</v>
      </c>
      <c r="V1229" t="s">
        <v>3058</v>
      </c>
    </row>
    <row r="1230" spans="1:22">
      <c r="A1230">
        <v>1229</v>
      </c>
      <c r="B1230" t="s">
        <v>2721</v>
      </c>
      <c r="C1230" t="s">
        <v>2722</v>
      </c>
      <c r="D1230" t="s">
        <v>17</v>
      </c>
      <c r="E1230" t="s">
        <v>8</v>
      </c>
      <c r="F1230" s="22">
        <v>0</v>
      </c>
      <c r="G1230" s="22">
        <v>0</v>
      </c>
      <c r="H1230" s="22">
        <v>0</v>
      </c>
      <c r="I1230" s="22">
        <v>0</v>
      </c>
      <c r="J1230">
        <v>0</v>
      </c>
      <c r="K1230">
        <v>0</v>
      </c>
      <c r="L1230" s="22">
        <v>0</v>
      </c>
      <c r="M1230" s="22">
        <v>0</v>
      </c>
      <c r="N1230" s="22">
        <v>0</v>
      </c>
      <c r="O1230" s="22">
        <v>0</v>
      </c>
      <c r="P1230" s="22">
        <v>0</v>
      </c>
      <c r="Q1230" s="22">
        <v>0</v>
      </c>
      <c r="R1230">
        <v>0</v>
      </c>
      <c r="T1230" t="s">
        <v>3006</v>
      </c>
      <c r="U1230" t="s">
        <v>3060</v>
      </c>
      <c r="V1230" t="s">
        <v>3058</v>
      </c>
    </row>
    <row r="1231" spans="1:22">
      <c r="A1231">
        <v>1230</v>
      </c>
      <c r="B1231" t="s">
        <v>2723</v>
      </c>
      <c r="C1231" t="s">
        <v>2724</v>
      </c>
      <c r="D1231" t="s">
        <v>17</v>
      </c>
      <c r="E1231" t="s">
        <v>8</v>
      </c>
      <c r="F1231" s="22">
        <v>0</v>
      </c>
      <c r="G1231" s="22">
        <v>0</v>
      </c>
      <c r="H1231" s="22">
        <v>0</v>
      </c>
      <c r="I1231" s="22">
        <v>0</v>
      </c>
      <c r="J1231">
        <v>0</v>
      </c>
      <c r="K1231">
        <v>0</v>
      </c>
      <c r="L1231" s="22">
        <v>0</v>
      </c>
      <c r="M1231" s="22">
        <v>0</v>
      </c>
      <c r="N1231" s="22">
        <v>0</v>
      </c>
      <c r="O1231" s="22">
        <v>0</v>
      </c>
      <c r="P1231" s="22">
        <v>0</v>
      </c>
      <c r="Q1231" s="22">
        <v>0</v>
      </c>
      <c r="R1231">
        <v>0</v>
      </c>
      <c r="T1231" t="s">
        <v>3006</v>
      </c>
      <c r="U1231" t="s">
        <v>3060</v>
      </c>
      <c r="V1231" t="s">
        <v>3058</v>
      </c>
    </row>
    <row r="1232" spans="1:22">
      <c r="A1232">
        <v>1231</v>
      </c>
      <c r="B1232" t="s">
        <v>2903</v>
      </c>
      <c r="C1232" t="s">
        <v>2904</v>
      </c>
      <c r="D1232" t="s">
        <v>17</v>
      </c>
      <c r="E1232" t="s">
        <v>8</v>
      </c>
      <c r="F1232" s="22">
        <v>0</v>
      </c>
      <c r="G1232" s="22">
        <v>0</v>
      </c>
      <c r="H1232" s="22">
        <v>0</v>
      </c>
      <c r="I1232" s="22">
        <v>0</v>
      </c>
      <c r="J1232">
        <v>0</v>
      </c>
      <c r="K1232">
        <v>0</v>
      </c>
      <c r="L1232" s="22">
        <v>0</v>
      </c>
      <c r="M1232" s="22">
        <v>0</v>
      </c>
      <c r="N1232" s="22">
        <v>0</v>
      </c>
      <c r="O1232" s="22">
        <v>0</v>
      </c>
      <c r="P1232" s="22">
        <v>0</v>
      </c>
      <c r="Q1232" s="22">
        <v>0</v>
      </c>
      <c r="R1232">
        <v>0</v>
      </c>
      <c r="T1232" t="s">
        <v>3002</v>
      </c>
      <c r="U1232" t="s">
        <v>3055</v>
      </c>
      <c r="V1232" t="s">
        <v>3056</v>
      </c>
    </row>
    <row r="1233" spans="1:22">
      <c r="A1233">
        <v>1232</v>
      </c>
      <c r="B1233" t="s">
        <v>2725</v>
      </c>
      <c r="C1233" t="s">
        <v>2726</v>
      </c>
      <c r="D1233" t="s">
        <v>17</v>
      </c>
      <c r="E1233" t="s">
        <v>8</v>
      </c>
      <c r="F1233" s="22">
        <v>0</v>
      </c>
      <c r="G1233" s="22">
        <v>0</v>
      </c>
      <c r="H1233" s="22">
        <v>0</v>
      </c>
      <c r="I1233" s="22">
        <v>0</v>
      </c>
      <c r="J1233">
        <v>0</v>
      </c>
      <c r="K1233">
        <v>0</v>
      </c>
      <c r="L1233" s="22">
        <v>0</v>
      </c>
      <c r="M1233" s="22">
        <v>0</v>
      </c>
      <c r="N1233" s="22">
        <v>0</v>
      </c>
      <c r="O1233" s="22">
        <v>0</v>
      </c>
      <c r="P1233" s="22">
        <v>0</v>
      </c>
      <c r="Q1233" s="22">
        <v>0</v>
      </c>
      <c r="R1233">
        <v>0</v>
      </c>
      <c r="T1233" t="s">
        <v>2982</v>
      </c>
      <c r="U1233" t="s">
        <v>3060</v>
      </c>
      <c r="V1233" t="s">
        <v>3058</v>
      </c>
    </row>
    <row r="1234" spans="1:22">
      <c r="A1234">
        <v>1233</v>
      </c>
      <c r="B1234" t="s">
        <v>2727</v>
      </c>
      <c r="C1234" t="s">
        <v>2728</v>
      </c>
      <c r="D1234" t="s">
        <v>17</v>
      </c>
      <c r="E1234" t="s">
        <v>8</v>
      </c>
      <c r="F1234" s="22">
        <v>0</v>
      </c>
      <c r="G1234" s="22">
        <v>0</v>
      </c>
      <c r="H1234" s="22">
        <v>0</v>
      </c>
      <c r="I1234" s="22">
        <v>0</v>
      </c>
      <c r="J1234">
        <v>0</v>
      </c>
      <c r="K1234">
        <v>0</v>
      </c>
      <c r="L1234" s="22">
        <v>0</v>
      </c>
      <c r="M1234" s="22">
        <v>0</v>
      </c>
      <c r="N1234" s="22">
        <v>0</v>
      </c>
      <c r="O1234" s="22">
        <v>0</v>
      </c>
      <c r="P1234" s="22">
        <v>0</v>
      </c>
      <c r="Q1234" s="22">
        <v>0</v>
      </c>
      <c r="R1234">
        <v>0</v>
      </c>
      <c r="T1234" t="s">
        <v>2982</v>
      </c>
      <c r="U1234" t="s">
        <v>3060</v>
      </c>
      <c r="V1234" t="s">
        <v>3058</v>
      </c>
    </row>
    <row r="1235" spans="1:22">
      <c r="A1235">
        <v>1234</v>
      </c>
      <c r="B1235" t="s">
        <v>2729</v>
      </c>
      <c r="C1235" t="s">
        <v>2730</v>
      </c>
      <c r="D1235" t="s">
        <v>17</v>
      </c>
      <c r="E1235" t="s">
        <v>8</v>
      </c>
      <c r="F1235" s="22">
        <v>0</v>
      </c>
      <c r="G1235" s="22">
        <v>0</v>
      </c>
      <c r="H1235" s="22">
        <v>0</v>
      </c>
      <c r="I1235" s="22">
        <v>0</v>
      </c>
      <c r="J1235">
        <v>0</v>
      </c>
      <c r="K1235">
        <v>0</v>
      </c>
      <c r="L1235" s="22">
        <v>0</v>
      </c>
      <c r="M1235" s="22">
        <v>0</v>
      </c>
      <c r="N1235" s="22">
        <v>0</v>
      </c>
      <c r="O1235" s="22">
        <v>0</v>
      </c>
      <c r="P1235" s="22">
        <v>0</v>
      </c>
      <c r="Q1235" s="22">
        <v>0</v>
      </c>
      <c r="R1235">
        <v>0</v>
      </c>
      <c r="T1235" t="s">
        <v>2982</v>
      </c>
      <c r="U1235" t="s">
        <v>3060</v>
      </c>
      <c r="V1235" t="s">
        <v>3058</v>
      </c>
    </row>
    <row r="1236" spans="1:22">
      <c r="A1236">
        <v>1235</v>
      </c>
      <c r="B1236" t="s">
        <v>2731</v>
      </c>
      <c r="C1236" t="s">
        <v>2732</v>
      </c>
      <c r="D1236" t="s">
        <v>7</v>
      </c>
      <c r="E1236" t="s">
        <v>8</v>
      </c>
      <c r="F1236" s="22">
        <v>1337</v>
      </c>
      <c r="G1236" s="22">
        <v>760.7</v>
      </c>
      <c r="H1236" s="22">
        <v>329.5</v>
      </c>
      <c r="I1236" s="22">
        <v>1768.2</v>
      </c>
      <c r="J1236">
        <v>0</v>
      </c>
      <c r="K1236">
        <v>0</v>
      </c>
      <c r="L1236" s="22">
        <v>1768.2</v>
      </c>
      <c r="M1236" s="22">
        <v>0</v>
      </c>
      <c r="N1236" s="22">
        <v>0</v>
      </c>
      <c r="O1236" s="22">
        <v>1768.2</v>
      </c>
      <c r="P1236" s="22">
        <v>500</v>
      </c>
      <c r="Q1236" s="22">
        <v>1268.2</v>
      </c>
      <c r="R1236">
        <v>0</v>
      </c>
      <c r="T1236" t="s">
        <v>2965</v>
      </c>
      <c r="U1236" t="s">
        <v>3055</v>
      </c>
      <c r="V1236" t="s">
        <v>3056</v>
      </c>
    </row>
    <row r="1237" spans="1:22">
      <c r="A1237">
        <v>1236</v>
      </c>
      <c r="B1237" t="s">
        <v>2733</v>
      </c>
      <c r="C1237" t="s">
        <v>2734</v>
      </c>
      <c r="D1237" t="s">
        <v>7</v>
      </c>
      <c r="E1237" t="s">
        <v>8</v>
      </c>
      <c r="F1237" s="22">
        <v>1643.1</v>
      </c>
      <c r="G1237" s="22">
        <v>656.5</v>
      </c>
      <c r="H1237" s="22">
        <v>0</v>
      </c>
      <c r="I1237" s="22">
        <v>2299.6</v>
      </c>
      <c r="J1237">
        <v>0</v>
      </c>
      <c r="K1237">
        <v>0</v>
      </c>
      <c r="L1237" s="22">
        <v>2299.6</v>
      </c>
      <c r="M1237" s="22">
        <v>0</v>
      </c>
      <c r="N1237" s="22">
        <v>0</v>
      </c>
      <c r="O1237" s="22">
        <v>2299.6</v>
      </c>
      <c r="P1237" s="22">
        <v>500</v>
      </c>
      <c r="Q1237" s="22">
        <v>1799.6</v>
      </c>
      <c r="R1237">
        <v>0</v>
      </c>
      <c r="T1237" t="s">
        <v>2965</v>
      </c>
      <c r="U1237" t="s">
        <v>3055</v>
      </c>
      <c r="V1237" t="s">
        <v>3056</v>
      </c>
    </row>
    <row r="1238" spans="1:22">
      <c r="A1238">
        <v>1237</v>
      </c>
      <c r="B1238" t="s">
        <v>2735</v>
      </c>
      <c r="C1238" t="s">
        <v>2736</v>
      </c>
      <c r="D1238" t="s">
        <v>7</v>
      </c>
      <c r="E1238" t="s">
        <v>8</v>
      </c>
      <c r="F1238" s="22">
        <v>2259.6999999999998</v>
      </c>
      <c r="G1238" s="22">
        <v>218.6</v>
      </c>
      <c r="H1238" s="22">
        <v>0</v>
      </c>
      <c r="I1238" s="22">
        <v>2478.3000000000002</v>
      </c>
      <c r="J1238">
        <v>0</v>
      </c>
      <c r="K1238">
        <v>0</v>
      </c>
      <c r="L1238" s="22">
        <v>2478.3000000000002</v>
      </c>
      <c r="M1238" s="22">
        <v>0</v>
      </c>
      <c r="N1238" s="22">
        <v>0</v>
      </c>
      <c r="O1238" s="22">
        <v>2478.3000000000002</v>
      </c>
      <c r="P1238" s="22">
        <v>500</v>
      </c>
      <c r="Q1238" s="22">
        <v>1978.3000000000002</v>
      </c>
      <c r="R1238">
        <v>0</v>
      </c>
      <c r="T1238" t="s">
        <v>2965</v>
      </c>
      <c r="U1238" t="s">
        <v>3055</v>
      </c>
      <c r="V1238" t="s">
        <v>3056</v>
      </c>
    </row>
    <row r="1239" spans="1:22">
      <c r="A1239">
        <v>1238</v>
      </c>
      <c r="B1239" t="s">
        <v>2737</v>
      </c>
      <c r="C1239" t="s">
        <v>2738</v>
      </c>
      <c r="D1239" t="s">
        <v>7</v>
      </c>
      <c r="E1239" t="s">
        <v>8</v>
      </c>
      <c r="F1239" s="22">
        <v>2079</v>
      </c>
      <c r="G1239" s="22">
        <v>0</v>
      </c>
      <c r="H1239" s="22">
        <v>416</v>
      </c>
      <c r="I1239" s="22">
        <v>1663</v>
      </c>
      <c r="J1239">
        <v>0</v>
      </c>
      <c r="K1239">
        <v>0</v>
      </c>
      <c r="L1239" s="22">
        <v>1663</v>
      </c>
      <c r="M1239" s="22">
        <v>0</v>
      </c>
      <c r="N1239" s="22">
        <v>0</v>
      </c>
      <c r="O1239" s="22">
        <v>1663</v>
      </c>
      <c r="P1239" s="22">
        <v>500</v>
      </c>
      <c r="Q1239" s="22">
        <v>1163</v>
      </c>
      <c r="R1239">
        <v>0</v>
      </c>
      <c r="T1239" t="s">
        <v>2965</v>
      </c>
      <c r="U1239" t="s">
        <v>3055</v>
      </c>
      <c r="V1239" t="s">
        <v>3056</v>
      </c>
    </row>
    <row r="1240" spans="1:22">
      <c r="A1240">
        <v>1239</v>
      </c>
      <c r="B1240" t="s">
        <v>2739</v>
      </c>
      <c r="C1240" t="s">
        <v>2740</v>
      </c>
      <c r="D1240" t="s">
        <v>7</v>
      </c>
      <c r="E1240" t="s">
        <v>8</v>
      </c>
      <c r="F1240" s="22">
        <v>2214.6</v>
      </c>
      <c r="G1240" s="22">
        <v>0</v>
      </c>
      <c r="H1240" s="22">
        <v>50.7</v>
      </c>
      <c r="I1240" s="22">
        <v>2163.9</v>
      </c>
      <c r="J1240">
        <v>0</v>
      </c>
      <c r="K1240">
        <v>0</v>
      </c>
      <c r="L1240" s="22">
        <v>2163.9</v>
      </c>
      <c r="M1240" s="22">
        <v>0</v>
      </c>
      <c r="N1240" s="22">
        <v>0</v>
      </c>
      <c r="O1240" s="22">
        <v>2163.9</v>
      </c>
      <c r="P1240" s="22">
        <v>500</v>
      </c>
      <c r="Q1240" s="22">
        <v>1663.9</v>
      </c>
      <c r="R1240">
        <v>0</v>
      </c>
      <c r="T1240" t="s">
        <v>2965</v>
      </c>
      <c r="U1240" t="s">
        <v>3055</v>
      </c>
      <c r="V1240" t="s">
        <v>3056</v>
      </c>
    </row>
    <row r="1241" spans="1:22">
      <c r="A1241">
        <v>1240</v>
      </c>
      <c r="B1241" t="s">
        <v>2741</v>
      </c>
      <c r="C1241" t="s">
        <v>2742</v>
      </c>
      <c r="D1241" t="s">
        <v>7</v>
      </c>
      <c r="E1241" t="s">
        <v>8</v>
      </c>
      <c r="F1241" s="22">
        <v>1584.4</v>
      </c>
      <c r="G1241" s="22">
        <v>537.20000000000005</v>
      </c>
      <c r="H1241" s="22">
        <v>0</v>
      </c>
      <c r="I1241" s="22">
        <v>2121.6</v>
      </c>
      <c r="J1241">
        <v>0</v>
      </c>
      <c r="K1241">
        <v>0</v>
      </c>
      <c r="L1241" s="22">
        <v>2121.6</v>
      </c>
      <c r="M1241" s="22">
        <v>0</v>
      </c>
      <c r="N1241" s="22">
        <v>0</v>
      </c>
      <c r="O1241" s="22">
        <v>2121.6</v>
      </c>
      <c r="P1241" s="22">
        <v>500</v>
      </c>
      <c r="Q1241" s="22">
        <v>1621.6</v>
      </c>
      <c r="R1241">
        <v>0</v>
      </c>
      <c r="T1241" t="s">
        <v>2965</v>
      </c>
      <c r="U1241" t="s">
        <v>3055</v>
      </c>
      <c r="V1241" t="s">
        <v>3056</v>
      </c>
    </row>
    <row r="1242" spans="1:22">
      <c r="A1242">
        <v>1241</v>
      </c>
      <c r="B1242" t="s">
        <v>2743</v>
      </c>
      <c r="C1242" t="s">
        <v>2744</v>
      </c>
      <c r="D1242" t="s">
        <v>7</v>
      </c>
      <c r="E1242" t="s">
        <v>8</v>
      </c>
      <c r="F1242" s="22">
        <v>6561</v>
      </c>
      <c r="G1242" s="22">
        <v>0</v>
      </c>
      <c r="H1242" s="22">
        <v>1438</v>
      </c>
      <c r="I1242" s="22">
        <v>5123</v>
      </c>
      <c r="J1242">
        <v>0</v>
      </c>
      <c r="K1242">
        <v>0</v>
      </c>
      <c r="L1242" s="22">
        <v>5123</v>
      </c>
      <c r="M1242" s="22">
        <v>0</v>
      </c>
      <c r="N1242" s="22">
        <v>0</v>
      </c>
      <c r="O1242" s="22">
        <v>5123</v>
      </c>
      <c r="P1242" s="22">
        <v>2000</v>
      </c>
      <c r="Q1242" s="22">
        <v>3123</v>
      </c>
      <c r="R1242">
        <v>0</v>
      </c>
      <c r="T1242" t="s">
        <v>2965</v>
      </c>
      <c r="U1242" t="s">
        <v>3055</v>
      </c>
      <c r="V1242" t="s">
        <v>3056</v>
      </c>
    </row>
    <row r="1243" spans="1:22">
      <c r="A1243">
        <v>1242</v>
      </c>
      <c r="B1243" t="s">
        <v>2745</v>
      </c>
      <c r="C1243" t="s">
        <v>2746</v>
      </c>
      <c r="D1243" t="s">
        <v>7</v>
      </c>
      <c r="E1243" t="s">
        <v>8</v>
      </c>
      <c r="F1243" s="22">
        <v>1001</v>
      </c>
      <c r="G1243" s="22">
        <v>453</v>
      </c>
      <c r="H1243" s="22">
        <v>323</v>
      </c>
      <c r="I1243" s="22">
        <v>1131</v>
      </c>
      <c r="J1243">
        <v>0</v>
      </c>
      <c r="K1243">
        <v>0</v>
      </c>
      <c r="L1243" s="22">
        <v>1131</v>
      </c>
      <c r="M1243" s="22">
        <v>0</v>
      </c>
      <c r="N1243" s="22">
        <v>0</v>
      </c>
      <c r="O1243" s="22">
        <v>1131</v>
      </c>
      <c r="P1243" s="22">
        <v>2000</v>
      </c>
      <c r="Q1243" s="22">
        <v>-869</v>
      </c>
      <c r="R1243">
        <v>2000</v>
      </c>
      <c r="T1243" t="s">
        <v>2965</v>
      </c>
      <c r="U1243" t="s">
        <v>3055</v>
      </c>
      <c r="V1243" t="s">
        <v>3056</v>
      </c>
    </row>
    <row r="1244" spans="1:22">
      <c r="A1244">
        <v>1243</v>
      </c>
      <c r="B1244" t="s">
        <v>2747</v>
      </c>
      <c r="C1244" t="s">
        <v>2748</v>
      </c>
      <c r="D1244" t="s">
        <v>7</v>
      </c>
      <c r="E1244" t="s">
        <v>8</v>
      </c>
      <c r="F1244" s="22">
        <v>11773</v>
      </c>
      <c r="G1244" s="22">
        <v>1569</v>
      </c>
      <c r="H1244" s="22">
        <v>5047</v>
      </c>
      <c r="I1244" s="22">
        <v>8295</v>
      </c>
      <c r="J1244">
        <v>0</v>
      </c>
      <c r="K1244">
        <v>0</v>
      </c>
      <c r="L1244" s="22">
        <v>8295</v>
      </c>
      <c r="M1244" s="22">
        <v>0</v>
      </c>
      <c r="N1244" s="22">
        <v>0</v>
      </c>
      <c r="O1244" s="22">
        <v>8295</v>
      </c>
      <c r="P1244" s="22">
        <v>5000</v>
      </c>
      <c r="Q1244" s="22">
        <v>3295</v>
      </c>
      <c r="R1244">
        <v>8000</v>
      </c>
      <c r="T1244" t="s">
        <v>2965</v>
      </c>
      <c r="U1244" t="s">
        <v>3055</v>
      </c>
      <c r="V1244" t="s">
        <v>3056</v>
      </c>
    </row>
    <row r="1245" spans="1:22">
      <c r="A1245">
        <v>1244</v>
      </c>
      <c r="B1245" t="s">
        <v>2749</v>
      </c>
      <c r="C1245" t="s">
        <v>2750</v>
      </c>
      <c r="D1245" t="s">
        <v>7</v>
      </c>
      <c r="E1245" t="s">
        <v>8</v>
      </c>
      <c r="F1245" s="22">
        <v>373</v>
      </c>
      <c r="G1245" s="22">
        <v>2648.5</v>
      </c>
      <c r="H1245" s="22">
        <v>823.5</v>
      </c>
      <c r="I1245" s="22">
        <v>2198</v>
      </c>
      <c r="J1245">
        <v>0</v>
      </c>
      <c r="K1245">
        <v>0</v>
      </c>
      <c r="L1245" s="22">
        <v>2198</v>
      </c>
      <c r="M1245" s="22">
        <v>0</v>
      </c>
      <c r="N1245" s="22">
        <v>0</v>
      </c>
      <c r="O1245" s="22">
        <v>2198</v>
      </c>
      <c r="P1245" s="22">
        <v>4000</v>
      </c>
      <c r="Q1245" s="22">
        <v>-1802</v>
      </c>
      <c r="R1245">
        <v>8000</v>
      </c>
      <c r="T1245" t="s">
        <v>2965</v>
      </c>
      <c r="U1245" t="s">
        <v>3055</v>
      </c>
      <c r="V1245" t="s">
        <v>3056</v>
      </c>
    </row>
    <row r="1246" spans="1:22">
      <c r="A1246">
        <v>1245</v>
      </c>
      <c r="B1246" t="s">
        <v>2751</v>
      </c>
      <c r="C1246" t="s">
        <v>2752</v>
      </c>
      <c r="D1246" t="s">
        <v>7</v>
      </c>
      <c r="E1246" t="s">
        <v>8</v>
      </c>
      <c r="F1246" s="22">
        <v>896.1</v>
      </c>
      <c r="G1246" s="22">
        <v>716.6</v>
      </c>
      <c r="H1246" s="22">
        <v>147.5</v>
      </c>
      <c r="I1246" s="22">
        <v>1465.2</v>
      </c>
      <c r="J1246">
        <v>0</v>
      </c>
      <c r="K1246">
        <v>0</v>
      </c>
      <c r="L1246" s="22">
        <v>1465.2</v>
      </c>
      <c r="M1246" s="22">
        <v>0</v>
      </c>
      <c r="N1246" s="22">
        <v>0</v>
      </c>
      <c r="O1246" s="22">
        <v>1465.2</v>
      </c>
      <c r="P1246" s="22">
        <v>500</v>
      </c>
      <c r="Q1246" s="22">
        <v>965.2</v>
      </c>
      <c r="R1246">
        <v>500</v>
      </c>
      <c r="T1246" t="s">
        <v>2965</v>
      </c>
      <c r="U1246" t="s">
        <v>3055</v>
      </c>
      <c r="V1246" t="s">
        <v>3056</v>
      </c>
    </row>
    <row r="1247" spans="1:22">
      <c r="A1247">
        <v>1246</v>
      </c>
      <c r="B1247" t="s">
        <v>2753</v>
      </c>
      <c r="C1247" t="s">
        <v>2754</v>
      </c>
      <c r="D1247" t="s">
        <v>7</v>
      </c>
      <c r="E1247" t="s">
        <v>8</v>
      </c>
      <c r="F1247" s="22">
        <v>1545.9</v>
      </c>
      <c r="G1247" s="22">
        <v>520.1</v>
      </c>
      <c r="H1247" s="22">
        <v>0</v>
      </c>
      <c r="I1247" s="22">
        <v>2066</v>
      </c>
      <c r="J1247">
        <v>0</v>
      </c>
      <c r="K1247">
        <v>0</v>
      </c>
      <c r="L1247" s="22">
        <v>2066</v>
      </c>
      <c r="M1247" s="22">
        <v>0</v>
      </c>
      <c r="N1247" s="22">
        <v>0</v>
      </c>
      <c r="O1247" s="22">
        <v>2066</v>
      </c>
      <c r="P1247" s="22">
        <v>500</v>
      </c>
      <c r="Q1247" s="22">
        <v>1566</v>
      </c>
      <c r="R1247">
        <v>200</v>
      </c>
      <c r="T1247" t="s">
        <v>2965</v>
      </c>
      <c r="U1247" t="s">
        <v>3055</v>
      </c>
      <c r="V1247" t="s">
        <v>3056</v>
      </c>
    </row>
    <row r="1248" spans="1:22">
      <c r="A1248">
        <v>1247</v>
      </c>
      <c r="B1248" t="s">
        <v>2755</v>
      </c>
      <c r="C1248" t="s">
        <v>2756</v>
      </c>
      <c r="D1248" t="s">
        <v>7</v>
      </c>
      <c r="E1248" t="s">
        <v>8</v>
      </c>
      <c r="F1248" s="22">
        <v>1528.9</v>
      </c>
      <c r="G1248" s="22">
        <v>228.4</v>
      </c>
      <c r="H1248" s="22">
        <v>0</v>
      </c>
      <c r="I1248" s="22">
        <v>1757.3</v>
      </c>
      <c r="J1248">
        <v>0</v>
      </c>
      <c r="K1248">
        <v>0</v>
      </c>
      <c r="L1248" s="22">
        <v>1757.3</v>
      </c>
      <c r="M1248" s="22">
        <v>0</v>
      </c>
      <c r="N1248" s="22">
        <v>0</v>
      </c>
      <c r="O1248" s="22">
        <v>1757.3</v>
      </c>
      <c r="P1248" s="22">
        <v>500</v>
      </c>
      <c r="Q1248" s="22">
        <v>1257.3</v>
      </c>
      <c r="R1248">
        <v>200</v>
      </c>
      <c r="T1248" t="s">
        <v>2965</v>
      </c>
      <c r="U1248" t="s">
        <v>3055</v>
      </c>
      <c r="V1248" t="s">
        <v>3056</v>
      </c>
    </row>
    <row r="1249" spans="1:22">
      <c r="A1249">
        <v>1248</v>
      </c>
      <c r="B1249" t="s">
        <v>2757</v>
      </c>
      <c r="C1249" t="s">
        <v>2758</v>
      </c>
      <c r="D1249" t="s">
        <v>7</v>
      </c>
      <c r="E1249" t="s">
        <v>8</v>
      </c>
      <c r="F1249" s="22">
        <v>0</v>
      </c>
      <c r="G1249" s="22">
        <v>0</v>
      </c>
      <c r="H1249" s="22">
        <v>0</v>
      </c>
      <c r="I1249" s="22">
        <v>0</v>
      </c>
      <c r="J1249">
        <v>0</v>
      </c>
      <c r="K1249">
        <v>0</v>
      </c>
      <c r="L1249" s="22">
        <v>0</v>
      </c>
      <c r="M1249" s="22">
        <v>0</v>
      </c>
      <c r="N1249" s="22">
        <v>0</v>
      </c>
      <c r="O1249" s="22">
        <v>0</v>
      </c>
      <c r="P1249" s="22">
        <v>0</v>
      </c>
      <c r="Q1249" s="22">
        <v>0</v>
      </c>
      <c r="R1249">
        <v>0</v>
      </c>
      <c r="T1249" t="s">
        <v>2965</v>
      </c>
      <c r="U1249" t="s">
        <v>3055</v>
      </c>
      <c r="V1249" t="s">
        <v>3056</v>
      </c>
    </row>
    <row r="1250" spans="1:22">
      <c r="A1250">
        <v>1249</v>
      </c>
      <c r="B1250" t="s">
        <v>2759</v>
      </c>
      <c r="C1250" t="s">
        <v>2760</v>
      </c>
      <c r="D1250" t="s">
        <v>7</v>
      </c>
      <c r="E1250" t="s">
        <v>8</v>
      </c>
      <c r="F1250" s="22">
        <v>0</v>
      </c>
      <c r="G1250" s="22">
        <v>0</v>
      </c>
      <c r="H1250" s="22">
        <v>0</v>
      </c>
      <c r="I1250" s="22">
        <v>0</v>
      </c>
      <c r="J1250">
        <v>0</v>
      </c>
      <c r="K1250">
        <v>0</v>
      </c>
      <c r="L1250" s="22">
        <v>0</v>
      </c>
      <c r="M1250" s="22">
        <v>0</v>
      </c>
      <c r="N1250" s="22">
        <v>0</v>
      </c>
      <c r="O1250" s="22">
        <v>0</v>
      </c>
      <c r="P1250" s="22">
        <v>0</v>
      </c>
      <c r="Q1250" s="22">
        <v>0</v>
      </c>
      <c r="R1250">
        <v>0</v>
      </c>
      <c r="T1250" t="s">
        <v>2965</v>
      </c>
      <c r="U1250" t="s">
        <v>3055</v>
      </c>
      <c r="V1250" t="s">
        <v>3056</v>
      </c>
    </row>
    <row r="1251" spans="1:22">
      <c r="A1251">
        <v>1250</v>
      </c>
      <c r="B1251" t="s">
        <v>2761</v>
      </c>
      <c r="C1251" t="s">
        <v>2762</v>
      </c>
      <c r="D1251" t="s">
        <v>7</v>
      </c>
      <c r="E1251" t="s">
        <v>8</v>
      </c>
      <c r="F1251" s="22">
        <v>0</v>
      </c>
      <c r="G1251" s="22">
        <v>0</v>
      </c>
      <c r="H1251" s="22">
        <v>0</v>
      </c>
      <c r="I1251" s="22">
        <v>0</v>
      </c>
      <c r="J1251">
        <v>0</v>
      </c>
      <c r="K1251">
        <v>0</v>
      </c>
      <c r="L1251" s="22">
        <v>0</v>
      </c>
      <c r="M1251" s="22">
        <v>0</v>
      </c>
      <c r="N1251" s="22">
        <v>0</v>
      </c>
      <c r="O1251" s="22">
        <v>0</v>
      </c>
      <c r="P1251" s="22">
        <v>0</v>
      </c>
      <c r="Q1251" s="22">
        <v>0</v>
      </c>
      <c r="R1251">
        <v>0</v>
      </c>
      <c r="T1251" t="s">
        <v>2965</v>
      </c>
      <c r="U1251" t="s">
        <v>3055</v>
      </c>
      <c r="V1251" t="s">
        <v>3056</v>
      </c>
    </row>
    <row r="1252" spans="1:22">
      <c r="A1252">
        <v>1251</v>
      </c>
      <c r="B1252" t="s">
        <v>2763</v>
      </c>
      <c r="C1252" t="s">
        <v>2764</v>
      </c>
      <c r="D1252" t="s">
        <v>7</v>
      </c>
      <c r="E1252" t="s">
        <v>8</v>
      </c>
      <c r="F1252" s="22">
        <v>1152.9000000000001</v>
      </c>
      <c r="G1252" s="22">
        <v>340.6</v>
      </c>
      <c r="H1252" s="22">
        <v>417.7</v>
      </c>
      <c r="I1252" s="22">
        <v>1075.8</v>
      </c>
      <c r="J1252">
        <v>0</v>
      </c>
      <c r="K1252">
        <v>0</v>
      </c>
      <c r="L1252" s="22">
        <v>1075.8</v>
      </c>
      <c r="M1252" s="22">
        <v>0</v>
      </c>
      <c r="N1252" s="22">
        <v>0</v>
      </c>
      <c r="O1252" s="22">
        <v>1075.8</v>
      </c>
      <c r="P1252" s="22">
        <v>500</v>
      </c>
      <c r="Q1252" s="22">
        <v>575.79999999999995</v>
      </c>
      <c r="R1252">
        <v>500</v>
      </c>
      <c r="T1252" t="s">
        <v>2965</v>
      </c>
      <c r="U1252" t="s">
        <v>3055</v>
      </c>
      <c r="V1252" t="s">
        <v>3056</v>
      </c>
    </row>
    <row r="1253" spans="1:22">
      <c r="A1253">
        <v>1252</v>
      </c>
      <c r="B1253" t="s">
        <v>2765</v>
      </c>
      <c r="C1253" t="s">
        <v>2766</v>
      </c>
      <c r="D1253" t="s">
        <v>7</v>
      </c>
      <c r="E1253" t="s">
        <v>8</v>
      </c>
      <c r="F1253" s="22">
        <v>836.6</v>
      </c>
      <c r="G1253" s="22">
        <v>591.5</v>
      </c>
      <c r="H1253" s="22">
        <v>112.3</v>
      </c>
      <c r="I1253" s="22">
        <v>1315.8</v>
      </c>
      <c r="J1253">
        <v>0</v>
      </c>
      <c r="K1253">
        <v>0</v>
      </c>
      <c r="L1253" s="22">
        <v>1315.8</v>
      </c>
      <c r="M1253" s="22">
        <v>0</v>
      </c>
      <c r="N1253" s="22">
        <v>0</v>
      </c>
      <c r="O1253" s="22">
        <v>1315.8</v>
      </c>
      <c r="P1253" s="22">
        <v>500</v>
      </c>
      <c r="Q1253" s="22">
        <v>815.8</v>
      </c>
      <c r="R1253">
        <v>200</v>
      </c>
      <c r="T1253" t="s">
        <v>2965</v>
      </c>
      <c r="U1253" t="s">
        <v>3055</v>
      </c>
      <c r="V1253" t="s">
        <v>3056</v>
      </c>
    </row>
    <row r="1254" spans="1:22">
      <c r="A1254">
        <v>1253</v>
      </c>
      <c r="B1254" t="s">
        <v>2769</v>
      </c>
      <c r="C1254" t="s">
        <v>2770</v>
      </c>
      <c r="D1254" t="s">
        <v>7</v>
      </c>
      <c r="E1254" t="s">
        <v>8</v>
      </c>
      <c r="F1254" s="22">
        <v>3807.2</v>
      </c>
      <c r="G1254" s="22">
        <v>2821.7</v>
      </c>
      <c r="H1254" s="22">
        <v>524.9</v>
      </c>
      <c r="I1254" s="22">
        <v>6104</v>
      </c>
      <c r="J1254">
        <v>0</v>
      </c>
      <c r="K1254">
        <v>0</v>
      </c>
      <c r="L1254" s="22">
        <v>6104</v>
      </c>
      <c r="M1254" s="22">
        <v>0</v>
      </c>
      <c r="N1254" s="22">
        <v>0</v>
      </c>
      <c r="O1254" s="22">
        <v>6104</v>
      </c>
      <c r="P1254" s="22">
        <v>2000</v>
      </c>
      <c r="Q1254" s="22">
        <v>4104</v>
      </c>
      <c r="R1254">
        <v>3000</v>
      </c>
      <c r="T1254" t="s">
        <v>2965</v>
      </c>
      <c r="U1254" t="s">
        <v>3055</v>
      </c>
      <c r="V1254" t="s">
        <v>3056</v>
      </c>
    </row>
    <row r="1255" spans="1:22">
      <c r="A1255">
        <v>1254</v>
      </c>
      <c r="B1255" t="s">
        <v>2771</v>
      </c>
      <c r="C1255" t="s">
        <v>2772</v>
      </c>
      <c r="D1255" t="s">
        <v>7</v>
      </c>
      <c r="E1255" t="s">
        <v>8</v>
      </c>
      <c r="F1255" s="22">
        <v>233.3</v>
      </c>
      <c r="G1255" s="22">
        <v>0</v>
      </c>
      <c r="H1255" s="22">
        <v>0</v>
      </c>
      <c r="I1255" s="22">
        <v>233.3</v>
      </c>
      <c r="J1255">
        <v>0</v>
      </c>
      <c r="K1255">
        <v>0</v>
      </c>
      <c r="L1255" s="22">
        <v>233.3</v>
      </c>
      <c r="M1255" s="22">
        <v>0</v>
      </c>
      <c r="N1255" s="22">
        <v>0</v>
      </c>
      <c r="O1255" s="22">
        <v>233.3</v>
      </c>
      <c r="P1255" s="22">
        <v>0</v>
      </c>
      <c r="Q1255" s="22">
        <v>233.3</v>
      </c>
      <c r="R1255">
        <v>0</v>
      </c>
      <c r="T1255" t="s">
        <v>2965</v>
      </c>
      <c r="U1255" t="s">
        <v>3055</v>
      </c>
      <c r="V1255" t="s">
        <v>3056</v>
      </c>
    </row>
    <row r="1256" spans="1:22">
      <c r="A1256">
        <v>1255</v>
      </c>
      <c r="B1256" t="s">
        <v>2773</v>
      </c>
      <c r="C1256" t="s">
        <v>2774</v>
      </c>
      <c r="D1256" t="s">
        <v>7</v>
      </c>
      <c r="E1256" t="s">
        <v>8</v>
      </c>
      <c r="F1256" s="22">
        <v>3615</v>
      </c>
      <c r="G1256" s="22">
        <v>4905.8999999999996</v>
      </c>
      <c r="H1256" s="22">
        <v>642.29999999999995</v>
      </c>
      <c r="I1256" s="22">
        <v>7878.6</v>
      </c>
      <c r="J1256">
        <v>0</v>
      </c>
      <c r="K1256">
        <v>0</v>
      </c>
      <c r="L1256" s="22">
        <v>7878.6</v>
      </c>
      <c r="M1256" s="22">
        <v>0</v>
      </c>
      <c r="N1256" s="22">
        <v>0</v>
      </c>
      <c r="O1256" s="22">
        <v>7878.6</v>
      </c>
      <c r="P1256" s="22">
        <v>2000</v>
      </c>
      <c r="Q1256" s="22">
        <v>5878.6</v>
      </c>
      <c r="R1256">
        <v>4000</v>
      </c>
      <c r="T1256" t="s">
        <v>2965</v>
      </c>
      <c r="U1256" t="s">
        <v>3055</v>
      </c>
      <c r="V1256" t="s">
        <v>3056</v>
      </c>
    </row>
    <row r="1257" spans="1:22">
      <c r="A1257">
        <v>1256</v>
      </c>
      <c r="B1257" t="s">
        <v>2785</v>
      </c>
      <c r="C1257" t="s">
        <v>2786</v>
      </c>
      <c r="D1257" t="s">
        <v>17</v>
      </c>
      <c r="E1257" t="s">
        <v>8</v>
      </c>
      <c r="F1257" s="22">
        <v>1587</v>
      </c>
      <c r="G1257" s="22">
        <v>0</v>
      </c>
      <c r="H1257" s="22">
        <v>0</v>
      </c>
      <c r="I1257" s="22">
        <v>1587</v>
      </c>
      <c r="J1257">
        <v>0</v>
      </c>
      <c r="K1257">
        <v>0</v>
      </c>
      <c r="L1257" s="22">
        <v>1587</v>
      </c>
      <c r="M1257" s="22">
        <v>0</v>
      </c>
      <c r="N1257" s="22">
        <v>0</v>
      </c>
      <c r="O1257" s="22">
        <v>1587</v>
      </c>
      <c r="P1257" s="22">
        <v>500</v>
      </c>
      <c r="Q1257" s="22">
        <v>1087</v>
      </c>
      <c r="R1257">
        <v>0</v>
      </c>
      <c r="T1257" t="s">
        <v>2972</v>
      </c>
      <c r="U1257" t="s">
        <v>3055</v>
      </c>
      <c r="V1257" t="s">
        <v>3056</v>
      </c>
    </row>
    <row r="1258" spans="1:22">
      <c r="A1258">
        <v>1257</v>
      </c>
      <c r="B1258" t="s">
        <v>2575</v>
      </c>
      <c r="C1258" t="s">
        <v>2576</v>
      </c>
      <c r="D1258" t="s">
        <v>17</v>
      </c>
      <c r="E1258" t="s">
        <v>8</v>
      </c>
      <c r="F1258" s="22">
        <v>0</v>
      </c>
      <c r="G1258" s="22">
        <v>0</v>
      </c>
      <c r="H1258" s="22">
        <v>0</v>
      </c>
      <c r="I1258" s="22">
        <v>0</v>
      </c>
      <c r="J1258">
        <v>0</v>
      </c>
      <c r="K1258">
        <v>0</v>
      </c>
      <c r="L1258" s="22">
        <v>0</v>
      </c>
      <c r="M1258" s="22">
        <v>0</v>
      </c>
      <c r="N1258" s="22">
        <v>0</v>
      </c>
      <c r="O1258" s="22">
        <v>0</v>
      </c>
      <c r="P1258" s="22">
        <v>0</v>
      </c>
      <c r="Q1258" s="22">
        <v>0</v>
      </c>
      <c r="R1258">
        <v>0</v>
      </c>
      <c r="T1258" t="s">
        <v>2972</v>
      </c>
      <c r="U1258" t="s">
        <v>3057</v>
      </c>
      <c r="V1258" t="s">
        <v>3056</v>
      </c>
    </row>
    <row r="1259" spans="1:22">
      <c r="A1259">
        <v>1258</v>
      </c>
      <c r="B1259" t="s">
        <v>2789</v>
      </c>
      <c r="C1259" t="s">
        <v>2790</v>
      </c>
      <c r="D1259" t="s">
        <v>17</v>
      </c>
      <c r="E1259" t="s">
        <v>8</v>
      </c>
      <c r="F1259" s="22">
        <v>3490</v>
      </c>
      <c r="G1259" s="22">
        <v>0</v>
      </c>
      <c r="H1259" s="22">
        <v>200</v>
      </c>
      <c r="I1259" s="22">
        <v>3290</v>
      </c>
      <c r="J1259">
        <v>0</v>
      </c>
      <c r="K1259">
        <v>0</v>
      </c>
      <c r="L1259" s="22">
        <v>3290</v>
      </c>
      <c r="M1259" s="22">
        <v>0</v>
      </c>
      <c r="N1259" s="22">
        <v>0</v>
      </c>
      <c r="O1259" s="22">
        <v>3290</v>
      </c>
      <c r="P1259" s="22">
        <v>1000</v>
      </c>
      <c r="Q1259" s="22">
        <v>2290</v>
      </c>
      <c r="R1259">
        <v>0</v>
      </c>
      <c r="T1259" t="s">
        <v>2972</v>
      </c>
      <c r="U1259" t="s">
        <v>3055</v>
      </c>
      <c r="V1259" t="s">
        <v>3056</v>
      </c>
    </row>
    <row r="1260" spans="1:22">
      <c r="A1260">
        <v>1259</v>
      </c>
      <c r="B1260" t="s">
        <v>2585</v>
      </c>
      <c r="C1260" t="s">
        <v>2586</v>
      </c>
      <c r="D1260" t="s">
        <v>20</v>
      </c>
      <c r="E1260" t="s">
        <v>8</v>
      </c>
      <c r="F1260" s="22">
        <v>0</v>
      </c>
      <c r="G1260" s="22">
        <v>135.9</v>
      </c>
      <c r="H1260" s="22">
        <v>135.9</v>
      </c>
      <c r="I1260" s="22">
        <v>0</v>
      </c>
      <c r="J1260">
        <v>0</v>
      </c>
      <c r="K1260">
        <v>0</v>
      </c>
      <c r="L1260" s="22">
        <v>0</v>
      </c>
      <c r="M1260" s="22">
        <v>0</v>
      </c>
      <c r="N1260" s="22">
        <v>0</v>
      </c>
      <c r="O1260" s="22">
        <v>0</v>
      </c>
      <c r="P1260" s="22">
        <v>0</v>
      </c>
      <c r="Q1260" s="22">
        <v>0</v>
      </c>
      <c r="R1260">
        <v>0</v>
      </c>
      <c r="T1260" t="s">
        <v>2991</v>
      </c>
      <c r="U1260" t="s">
        <v>3057</v>
      </c>
      <c r="V1260" t="s">
        <v>3056</v>
      </c>
    </row>
    <row r="1261" spans="1:22">
      <c r="A1261">
        <v>1260</v>
      </c>
      <c r="B1261" t="s">
        <v>2793</v>
      </c>
      <c r="C1261" t="s">
        <v>2794</v>
      </c>
      <c r="D1261" t="s">
        <v>7</v>
      </c>
      <c r="E1261" t="s">
        <v>8</v>
      </c>
      <c r="F1261" s="22">
        <v>0</v>
      </c>
      <c r="G1261" s="22">
        <v>0</v>
      </c>
      <c r="H1261" s="22">
        <v>0</v>
      </c>
      <c r="I1261" s="22">
        <v>0</v>
      </c>
      <c r="J1261">
        <v>0</v>
      </c>
      <c r="K1261">
        <v>0</v>
      </c>
      <c r="L1261" s="22">
        <v>0</v>
      </c>
      <c r="M1261" s="22">
        <v>0</v>
      </c>
      <c r="N1261" s="22">
        <v>0</v>
      </c>
      <c r="O1261" s="22">
        <v>0</v>
      </c>
      <c r="P1261" s="22">
        <v>0</v>
      </c>
      <c r="Q1261" s="22">
        <v>0</v>
      </c>
      <c r="R1261">
        <v>0</v>
      </c>
      <c r="T1261" t="s">
        <v>2965</v>
      </c>
      <c r="U1261" t="s">
        <v>3055</v>
      </c>
      <c r="V1261" t="s">
        <v>3058</v>
      </c>
    </row>
    <row r="1262" spans="1:22">
      <c r="A1262">
        <v>1261</v>
      </c>
      <c r="B1262" t="s">
        <v>2795</v>
      </c>
      <c r="C1262" t="s">
        <v>2796</v>
      </c>
      <c r="D1262" t="s">
        <v>17</v>
      </c>
      <c r="E1262" t="s">
        <v>8</v>
      </c>
      <c r="F1262" s="22">
        <v>0</v>
      </c>
      <c r="G1262" s="22">
        <v>0</v>
      </c>
      <c r="H1262" s="22">
        <v>0</v>
      </c>
      <c r="I1262" s="22">
        <v>0</v>
      </c>
      <c r="J1262">
        <v>0</v>
      </c>
      <c r="K1262">
        <v>0</v>
      </c>
      <c r="L1262" s="22">
        <v>0</v>
      </c>
      <c r="M1262" s="22">
        <v>0</v>
      </c>
      <c r="N1262" s="22">
        <v>0</v>
      </c>
      <c r="O1262" s="22">
        <v>0</v>
      </c>
      <c r="P1262" s="22">
        <v>0</v>
      </c>
      <c r="Q1262" s="22">
        <v>0</v>
      </c>
      <c r="R1262">
        <v>0</v>
      </c>
      <c r="T1262" t="s">
        <v>3006</v>
      </c>
      <c r="U1262" t="s">
        <v>3060</v>
      </c>
      <c r="V1262" t="s">
        <v>3058</v>
      </c>
    </row>
    <row r="1263" spans="1:22">
      <c r="A1263">
        <v>1262</v>
      </c>
      <c r="B1263" t="s">
        <v>2591</v>
      </c>
      <c r="C1263" t="s">
        <v>2592</v>
      </c>
      <c r="D1263" t="s">
        <v>17</v>
      </c>
      <c r="E1263" t="s">
        <v>8</v>
      </c>
      <c r="F1263" s="22">
        <v>0</v>
      </c>
      <c r="G1263" s="22">
        <v>0</v>
      </c>
      <c r="H1263" s="22">
        <v>0</v>
      </c>
      <c r="I1263" s="22">
        <v>0</v>
      </c>
      <c r="J1263">
        <v>0</v>
      </c>
      <c r="K1263">
        <v>0</v>
      </c>
      <c r="L1263" s="22">
        <v>0</v>
      </c>
      <c r="M1263" s="22">
        <v>0</v>
      </c>
      <c r="N1263" s="22">
        <v>0</v>
      </c>
      <c r="O1263" s="22">
        <v>0</v>
      </c>
      <c r="P1263" s="22">
        <v>0</v>
      </c>
      <c r="Q1263" s="22">
        <v>0</v>
      </c>
      <c r="R1263">
        <v>0</v>
      </c>
      <c r="T1263" t="s">
        <v>2972</v>
      </c>
      <c r="U1263" t="s">
        <v>3057</v>
      </c>
      <c r="V1263" t="s">
        <v>3058</v>
      </c>
    </row>
    <row r="1264" spans="1:22">
      <c r="A1264">
        <v>1263</v>
      </c>
      <c r="B1264" t="s">
        <v>2799</v>
      </c>
      <c r="C1264" t="s">
        <v>2800</v>
      </c>
      <c r="D1264" t="s">
        <v>7</v>
      </c>
      <c r="E1264" t="s">
        <v>8</v>
      </c>
      <c r="F1264" s="22">
        <v>0</v>
      </c>
      <c r="G1264" s="22">
        <v>0</v>
      </c>
      <c r="H1264" s="22">
        <v>0</v>
      </c>
      <c r="I1264" s="22">
        <v>0</v>
      </c>
      <c r="J1264">
        <v>0</v>
      </c>
      <c r="K1264">
        <v>0</v>
      </c>
      <c r="L1264" s="22">
        <v>0</v>
      </c>
      <c r="M1264" s="22">
        <v>0</v>
      </c>
      <c r="N1264" s="22">
        <v>0</v>
      </c>
      <c r="O1264" s="22">
        <v>0</v>
      </c>
      <c r="P1264" s="22">
        <v>0</v>
      </c>
      <c r="Q1264" s="22">
        <v>0</v>
      </c>
      <c r="R1264">
        <v>0</v>
      </c>
      <c r="T1264" t="s">
        <v>2965</v>
      </c>
      <c r="U1264" t="s">
        <v>3055</v>
      </c>
      <c r="V1264" t="s">
        <v>3056</v>
      </c>
    </row>
    <row r="1265" spans="1:22">
      <c r="A1265">
        <v>1264</v>
      </c>
      <c r="B1265" t="s">
        <v>2801</v>
      </c>
      <c r="C1265" t="s">
        <v>2802</v>
      </c>
      <c r="D1265" t="s">
        <v>17</v>
      </c>
      <c r="E1265" t="s">
        <v>8</v>
      </c>
      <c r="F1265" s="22">
        <v>1300</v>
      </c>
      <c r="G1265" s="22">
        <v>0</v>
      </c>
      <c r="H1265" s="22">
        <v>75</v>
      </c>
      <c r="I1265" s="22">
        <v>1225</v>
      </c>
      <c r="J1265">
        <v>0</v>
      </c>
      <c r="K1265">
        <v>0</v>
      </c>
      <c r="L1265" s="22">
        <v>1225</v>
      </c>
      <c r="M1265" s="22">
        <v>0</v>
      </c>
      <c r="N1265" s="22">
        <v>0</v>
      </c>
      <c r="O1265" s="22">
        <v>1225</v>
      </c>
      <c r="P1265" s="22">
        <v>500</v>
      </c>
      <c r="Q1265" s="22">
        <v>725</v>
      </c>
      <c r="R1265">
        <v>0</v>
      </c>
      <c r="T1265" t="s">
        <v>2972</v>
      </c>
      <c r="U1265" t="s">
        <v>3055</v>
      </c>
      <c r="V1265" t="s">
        <v>3056</v>
      </c>
    </row>
    <row r="1266" spans="1:22">
      <c r="A1266">
        <v>1265</v>
      </c>
      <c r="B1266" t="s">
        <v>2621</v>
      </c>
      <c r="C1266" t="s">
        <v>2622</v>
      </c>
      <c r="D1266" t="s">
        <v>20</v>
      </c>
      <c r="E1266" t="s">
        <v>8</v>
      </c>
      <c r="F1266" s="22">
        <v>181.39</v>
      </c>
      <c r="G1266" s="22">
        <v>403.2</v>
      </c>
      <c r="H1266" s="22">
        <v>214</v>
      </c>
      <c r="I1266" s="22">
        <v>370.59</v>
      </c>
      <c r="J1266">
        <v>0</v>
      </c>
      <c r="K1266">
        <v>0</v>
      </c>
      <c r="L1266" s="22">
        <v>370.59</v>
      </c>
      <c r="M1266" s="22">
        <v>0</v>
      </c>
      <c r="N1266" s="22">
        <v>0</v>
      </c>
      <c r="O1266" s="22">
        <v>370.59</v>
      </c>
      <c r="P1266" s="22">
        <v>200</v>
      </c>
      <c r="Q1266" s="22">
        <v>170.58999999999997</v>
      </c>
      <c r="R1266">
        <v>400</v>
      </c>
      <c r="T1266" t="s">
        <v>3031</v>
      </c>
      <c r="U1266" t="s">
        <v>3057</v>
      </c>
      <c r="V1266" t="s">
        <v>3056</v>
      </c>
    </row>
    <row r="1267" spans="1:22">
      <c r="A1267">
        <v>1266</v>
      </c>
      <c r="B1267" t="s">
        <v>2805</v>
      </c>
      <c r="C1267" t="s">
        <v>2806</v>
      </c>
      <c r="D1267" t="s">
        <v>17</v>
      </c>
      <c r="E1267" t="s">
        <v>8</v>
      </c>
      <c r="F1267" s="22">
        <v>5500</v>
      </c>
      <c r="G1267" s="22">
        <v>0</v>
      </c>
      <c r="H1267" s="22">
        <v>100</v>
      </c>
      <c r="I1267" s="22">
        <v>5400</v>
      </c>
      <c r="J1267">
        <v>0</v>
      </c>
      <c r="K1267">
        <v>0</v>
      </c>
      <c r="L1267" s="22">
        <v>5400</v>
      </c>
      <c r="M1267" s="22">
        <v>0</v>
      </c>
      <c r="N1267" s="22">
        <v>0</v>
      </c>
      <c r="O1267" s="22">
        <v>5400</v>
      </c>
      <c r="P1267" s="22">
        <v>1000</v>
      </c>
      <c r="Q1267" s="22">
        <v>4400</v>
      </c>
      <c r="R1267">
        <v>0</v>
      </c>
      <c r="T1267" t="s">
        <v>2972</v>
      </c>
      <c r="U1267" t="s">
        <v>3055</v>
      </c>
      <c r="V1267" t="s">
        <v>3056</v>
      </c>
    </row>
    <row r="1268" spans="1:22">
      <c r="A1268">
        <v>1267</v>
      </c>
      <c r="B1268" t="s">
        <v>2627</v>
      </c>
      <c r="C1268" t="s">
        <v>2628</v>
      </c>
      <c r="D1268" t="s">
        <v>17</v>
      </c>
      <c r="E1268" t="s">
        <v>8</v>
      </c>
      <c r="F1268" s="22">
        <v>0</v>
      </c>
      <c r="G1268" s="22">
        <v>0</v>
      </c>
      <c r="H1268" s="22">
        <v>0</v>
      </c>
      <c r="I1268" s="22">
        <v>0</v>
      </c>
      <c r="J1268">
        <v>0</v>
      </c>
      <c r="K1268">
        <v>0</v>
      </c>
      <c r="L1268" s="22">
        <v>0</v>
      </c>
      <c r="M1268" s="22">
        <v>0</v>
      </c>
      <c r="N1268" s="22">
        <v>0</v>
      </c>
      <c r="O1268" s="22">
        <v>0</v>
      </c>
      <c r="P1268" s="22">
        <v>0</v>
      </c>
      <c r="Q1268" s="22">
        <v>0</v>
      </c>
      <c r="R1268">
        <v>0</v>
      </c>
      <c r="T1268" t="s">
        <v>2972</v>
      </c>
      <c r="U1268" t="s">
        <v>3057</v>
      </c>
      <c r="V1268" t="s">
        <v>3056</v>
      </c>
    </row>
    <row r="1269" spans="1:22">
      <c r="A1269">
        <v>1268</v>
      </c>
      <c r="B1269" t="s">
        <v>2629</v>
      </c>
      <c r="C1269" t="s">
        <v>2630</v>
      </c>
      <c r="D1269" t="s">
        <v>20</v>
      </c>
      <c r="E1269" t="s">
        <v>8</v>
      </c>
      <c r="F1269" s="22">
        <v>0</v>
      </c>
      <c r="G1269" s="22">
        <v>0</v>
      </c>
      <c r="H1269" s="22">
        <v>0</v>
      </c>
      <c r="I1269" s="22">
        <v>0</v>
      </c>
      <c r="J1269">
        <v>0</v>
      </c>
      <c r="K1269">
        <v>0</v>
      </c>
      <c r="L1269" s="22">
        <v>0</v>
      </c>
      <c r="M1269" s="22">
        <v>0</v>
      </c>
      <c r="N1269" s="22">
        <v>0</v>
      </c>
      <c r="O1269" s="22">
        <v>0</v>
      </c>
      <c r="P1269" s="22">
        <v>0</v>
      </c>
      <c r="Q1269" s="22">
        <v>0</v>
      </c>
      <c r="R1269">
        <v>0</v>
      </c>
      <c r="T1269" t="s">
        <v>2991</v>
      </c>
      <c r="U1269" t="s">
        <v>3057</v>
      </c>
      <c r="V1269" t="s">
        <v>3056</v>
      </c>
    </row>
    <row r="1270" spans="1:22">
      <c r="A1270">
        <v>1269</v>
      </c>
      <c r="B1270" t="s">
        <v>2631</v>
      </c>
      <c r="C1270" t="s">
        <v>2632</v>
      </c>
      <c r="D1270" t="s">
        <v>17</v>
      </c>
      <c r="E1270" t="s">
        <v>8</v>
      </c>
      <c r="F1270" s="22">
        <v>0</v>
      </c>
      <c r="G1270" s="22">
        <v>0</v>
      </c>
      <c r="H1270" s="22">
        <v>0</v>
      </c>
      <c r="I1270" s="22">
        <v>0</v>
      </c>
      <c r="J1270">
        <v>0</v>
      </c>
      <c r="K1270">
        <v>0</v>
      </c>
      <c r="L1270" s="22">
        <v>0</v>
      </c>
      <c r="M1270" s="22">
        <v>0</v>
      </c>
      <c r="N1270" s="22">
        <v>0</v>
      </c>
      <c r="O1270" s="22">
        <v>0</v>
      </c>
      <c r="P1270" s="22">
        <v>0</v>
      </c>
      <c r="Q1270" s="22">
        <v>0</v>
      </c>
      <c r="R1270">
        <v>0</v>
      </c>
      <c r="T1270" t="s">
        <v>2972</v>
      </c>
      <c r="U1270" t="s">
        <v>3057</v>
      </c>
      <c r="V1270" t="s">
        <v>3056</v>
      </c>
    </row>
    <row r="1271" spans="1:22">
      <c r="A1271">
        <v>1270</v>
      </c>
      <c r="B1271" t="s">
        <v>2633</v>
      </c>
      <c r="C1271" t="s">
        <v>2634</v>
      </c>
      <c r="D1271" t="s">
        <v>17</v>
      </c>
      <c r="E1271" t="s">
        <v>8</v>
      </c>
      <c r="F1271" s="22">
        <v>0</v>
      </c>
      <c r="G1271" s="22">
        <v>0</v>
      </c>
      <c r="H1271" s="22">
        <v>0</v>
      </c>
      <c r="I1271" s="22">
        <v>0</v>
      </c>
      <c r="J1271">
        <v>0</v>
      </c>
      <c r="K1271">
        <v>0</v>
      </c>
      <c r="L1271" s="22">
        <v>0</v>
      </c>
      <c r="M1271" s="22">
        <v>0</v>
      </c>
      <c r="N1271" s="22">
        <v>0</v>
      </c>
      <c r="O1271" s="22">
        <v>0</v>
      </c>
      <c r="P1271" s="22">
        <v>0</v>
      </c>
      <c r="Q1271" s="22">
        <v>0</v>
      </c>
      <c r="R1271">
        <v>0</v>
      </c>
      <c r="T1271" t="s">
        <v>2972</v>
      </c>
      <c r="U1271" t="s">
        <v>3057</v>
      </c>
      <c r="V1271" t="s">
        <v>3056</v>
      </c>
    </row>
    <row r="1272" spans="1:22">
      <c r="A1272">
        <v>1271</v>
      </c>
      <c r="B1272" t="s">
        <v>2635</v>
      </c>
      <c r="C1272" t="s">
        <v>2636</v>
      </c>
      <c r="D1272" t="s">
        <v>17</v>
      </c>
      <c r="E1272" t="s">
        <v>8</v>
      </c>
      <c r="F1272" s="22">
        <v>0</v>
      </c>
      <c r="G1272" s="22">
        <v>0</v>
      </c>
      <c r="H1272" s="22">
        <v>0</v>
      </c>
      <c r="I1272" s="22">
        <v>0</v>
      </c>
      <c r="J1272">
        <v>0</v>
      </c>
      <c r="K1272">
        <v>0</v>
      </c>
      <c r="L1272" s="22">
        <v>0</v>
      </c>
      <c r="M1272" s="22">
        <v>0</v>
      </c>
      <c r="N1272" s="22">
        <v>0</v>
      </c>
      <c r="O1272" s="22">
        <v>0</v>
      </c>
      <c r="P1272" s="22">
        <v>0</v>
      </c>
      <c r="Q1272" s="22">
        <v>0</v>
      </c>
      <c r="R1272">
        <v>0</v>
      </c>
      <c r="T1272" t="s">
        <v>2972</v>
      </c>
      <c r="U1272" t="s">
        <v>3057</v>
      </c>
      <c r="V1272" t="s">
        <v>3056</v>
      </c>
    </row>
    <row r="1273" spans="1:22">
      <c r="A1273">
        <v>1272</v>
      </c>
      <c r="B1273" t="s">
        <v>2791</v>
      </c>
      <c r="C1273" t="s">
        <v>2792</v>
      </c>
      <c r="D1273" t="s">
        <v>7</v>
      </c>
      <c r="E1273" t="s">
        <v>8</v>
      </c>
      <c r="F1273" s="22">
        <v>186700</v>
      </c>
      <c r="G1273" s="22">
        <v>0</v>
      </c>
      <c r="H1273" s="22">
        <v>66500</v>
      </c>
      <c r="I1273" s="22">
        <v>120200</v>
      </c>
      <c r="J1273">
        <v>0</v>
      </c>
      <c r="K1273">
        <v>0</v>
      </c>
      <c r="L1273" s="22">
        <v>120200</v>
      </c>
      <c r="M1273" s="22">
        <v>0</v>
      </c>
      <c r="N1273" s="22">
        <v>0</v>
      </c>
      <c r="O1273" s="22">
        <v>120200</v>
      </c>
      <c r="P1273" s="22">
        <v>40000</v>
      </c>
      <c r="Q1273" s="22">
        <v>80200</v>
      </c>
      <c r="R1273">
        <v>0</v>
      </c>
      <c r="T1273" t="s">
        <v>2972</v>
      </c>
      <c r="U1273" t="s">
        <v>3057</v>
      </c>
      <c r="V1273" t="s">
        <v>3056</v>
      </c>
    </row>
    <row r="1274" spans="1:22">
      <c r="A1274">
        <v>1273</v>
      </c>
      <c r="B1274" t="s">
        <v>2797</v>
      </c>
      <c r="C1274" t="s">
        <v>2798</v>
      </c>
      <c r="D1274" t="s">
        <v>17</v>
      </c>
      <c r="E1274" t="s">
        <v>8</v>
      </c>
      <c r="F1274" s="22">
        <v>121765</v>
      </c>
      <c r="G1274" s="22">
        <v>0</v>
      </c>
      <c r="H1274" s="22">
        <v>39984</v>
      </c>
      <c r="I1274" s="22">
        <v>81781</v>
      </c>
      <c r="J1274">
        <v>0</v>
      </c>
      <c r="K1274">
        <v>0</v>
      </c>
      <c r="L1274" s="22">
        <v>81781</v>
      </c>
      <c r="M1274" s="22">
        <v>0</v>
      </c>
      <c r="N1274" s="22">
        <v>0</v>
      </c>
      <c r="O1274" s="22">
        <v>81781</v>
      </c>
      <c r="P1274" s="22">
        <v>50000</v>
      </c>
      <c r="Q1274" s="22">
        <v>31781</v>
      </c>
      <c r="R1274">
        <v>0</v>
      </c>
      <c r="T1274" t="s">
        <v>2972</v>
      </c>
      <c r="U1274" t="s">
        <v>3057</v>
      </c>
      <c r="V1274" t="s">
        <v>3056</v>
      </c>
    </row>
    <row r="1275" spans="1:22">
      <c r="A1275">
        <v>1274</v>
      </c>
      <c r="B1275" t="s">
        <v>2807</v>
      </c>
      <c r="C1275" t="s">
        <v>2808</v>
      </c>
      <c r="D1275" t="s">
        <v>17</v>
      </c>
      <c r="E1275" t="s">
        <v>8</v>
      </c>
      <c r="F1275" s="22">
        <v>150</v>
      </c>
      <c r="G1275" s="22">
        <v>0</v>
      </c>
      <c r="H1275" s="22">
        <v>100</v>
      </c>
      <c r="I1275" s="22">
        <v>50</v>
      </c>
      <c r="J1275">
        <v>0</v>
      </c>
      <c r="K1275">
        <v>0</v>
      </c>
      <c r="L1275" s="22">
        <v>50</v>
      </c>
      <c r="M1275" s="22">
        <v>0</v>
      </c>
      <c r="N1275" s="22">
        <v>0</v>
      </c>
      <c r="O1275" s="22">
        <v>50</v>
      </c>
      <c r="P1275" s="22">
        <v>0</v>
      </c>
      <c r="Q1275" s="22">
        <v>50</v>
      </c>
      <c r="R1275">
        <v>0</v>
      </c>
      <c r="T1275" t="s">
        <v>2991</v>
      </c>
      <c r="U1275" t="s">
        <v>3057</v>
      </c>
      <c r="V1275" t="s">
        <v>3056</v>
      </c>
    </row>
    <row r="1276" spans="1:22">
      <c r="A1276">
        <v>1275</v>
      </c>
      <c r="B1276" t="s">
        <v>2809</v>
      </c>
      <c r="C1276" t="s">
        <v>2810</v>
      </c>
      <c r="D1276" t="s">
        <v>17</v>
      </c>
      <c r="E1276" t="s">
        <v>8</v>
      </c>
      <c r="F1276" s="22">
        <v>1000</v>
      </c>
      <c r="G1276" s="22">
        <v>0</v>
      </c>
      <c r="H1276" s="22">
        <v>0</v>
      </c>
      <c r="I1276" s="22">
        <v>1000</v>
      </c>
      <c r="J1276">
        <v>0</v>
      </c>
      <c r="K1276">
        <v>0</v>
      </c>
      <c r="L1276" s="22">
        <v>1000</v>
      </c>
      <c r="M1276" s="22">
        <v>0</v>
      </c>
      <c r="N1276" s="22">
        <v>0</v>
      </c>
      <c r="O1276" s="22">
        <v>1000</v>
      </c>
      <c r="P1276" s="22">
        <v>0</v>
      </c>
      <c r="Q1276" s="22">
        <v>1000</v>
      </c>
      <c r="R1276">
        <v>0</v>
      </c>
      <c r="T1276" t="s">
        <v>3052</v>
      </c>
      <c r="U1276" t="s">
        <v>3057</v>
      </c>
      <c r="V1276" t="s">
        <v>3056</v>
      </c>
    </row>
    <row r="1277" spans="1:22">
      <c r="A1277">
        <v>1276</v>
      </c>
      <c r="B1277" t="s">
        <v>2811</v>
      </c>
      <c r="C1277" t="s">
        <v>2812</v>
      </c>
      <c r="D1277" t="s">
        <v>17</v>
      </c>
      <c r="E1277" t="s">
        <v>8</v>
      </c>
      <c r="F1277" s="22">
        <v>250</v>
      </c>
      <c r="G1277" s="22">
        <v>0</v>
      </c>
      <c r="H1277" s="22">
        <v>100</v>
      </c>
      <c r="I1277" s="22">
        <v>150</v>
      </c>
      <c r="J1277">
        <v>0</v>
      </c>
      <c r="K1277">
        <v>0</v>
      </c>
      <c r="L1277" s="22">
        <v>150</v>
      </c>
      <c r="M1277" s="22">
        <v>0</v>
      </c>
      <c r="N1277" s="22">
        <v>0</v>
      </c>
      <c r="O1277" s="22">
        <v>150</v>
      </c>
      <c r="P1277" s="22">
        <v>250</v>
      </c>
      <c r="Q1277" s="22">
        <v>-100</v>
      </c>
      <c r="R1277">
        <v>0</v>
      </c>
      <c r="T1277" t="s">
        <v>3012</v>
      </c>
      <c r="U1277" t="s">
        <v>3057</v>
      </c>
      <c r="V1277" t="s">
        <v>3056</v>
      </c>
    </row>
    <row r="1278" spans="1:22">
      <c r="A1278">
        <v>1277</v>
      </c>
      <c r="B1278" t="s">
        <v>2813</v>
      </c>
      <c r="C1278" t="s">
        <v>2814</v>
      </c>
      <c r="D1278" t="s">
        <v>17</v>
      </c>
      <c r="E1278" t="s">
        <v>8</v>
      </c>
      <c r="F1278" s="22">
        <v>600</v>
      </c>
      <c r="G1278" s="22">
        <v>0</v>
      </c>
      <c r="H1278" s="22">
        <v>100</v>
      </c>
      <c r="I1278" s="22">
        <v>500</v>
      </c>
      <c r="J1278">
        <v>0</v>
      </c>
      <c r="K1278">
        <v>0</v>
      </c>
      <c r="L1278" s="22">
        <v>500</v>
      </c>
      <c r="M1278" s="22">
        <v>0</v>
      </c>
      <c r="N1278" s="22">
        <v>0</v>
      </c>
      <c r="O1278" s="22">
        <v>500</v>
      </c>
      <c r="P1278" s="22">
        <v>1000</v>
      </c>
      <c r="Q1278" s="22">
        <v>-500</v>
      </c>
      <c r="R1278">
        <v>0</v>
      </c>
      <c r="T1278" t="s">
        <v>3012</v>
      </c>
      <c r="U1278" t="s">
        <v>3057</v>
      </c>
      <c r="V1278" t="s">
        <v>3056</v>
      </c>
    </row>
    <row r="1279" spans="1:22">
      <c r="A1279">
        <v>1278</v>
      </c>
      <c r="B1279" t="s">
        <v>2817</v>
      </c>
      <c r="C1279" t="s">
        <v>2818</v>
      </c>
      <c r="D1279" t="s">
        <v>17</v>
      </c>
      <c r="E1279" t="s">
        <v>8</v>
      </c>
      <c r="F1279" s="22">
        <v>0</v>
      </c>
      <c r="G1279" s="22">
        <v>0</v>
      </c>
      <c r="H1279" s="22">
        <v>0</v>
      </c>
      <c r="I1279" s="22">
        <v>0</v>
      </c>
      <c r="J1279">
        <v>0</v>
      </c>
      <c r="K1279">
        <v>0</v>
      </c>
      <c r="L1279" s="22">
        <v>0</v>
      </c>
      <c r="M1279" s="22">
        <v>0</v>
      </c>
      <c r="N1279" s="22">
        <v>0</v>
      </c>
      <c r="O1279" s="22">
        <v>0</v>
      </c>
      <c r="P1279" s="22">
        <v>1000</v>
      </c>
      <c r="Q1279" s="22">
        <v>-1000</v>
      </c>
      <c r="R1279">
        <v>0</v>
      </c>
      <c r="T1279" t="s">
        <v>3012</v>
      </c>
      <c r="U1279" t="s">
        <v>3057</v>
      </c>
      <c r="V1279" t="s">
        <v>3056</v>
      </c>
    </row>
    <row r="1280" spans="1:22">
      <c r="A1280">
        <v>1279</v>
      </c>
      <c r="B1280" t="s">
        <v>2819</v>
      </c>
      <c r="C1280" t="s">
        <v>2820</v>
      </c>
      <c r="D1280" t="s">
        <v>17</v>
      </c>
      <c r="E1280" t="s">
        <v>8</v>
      </c>
      <c r="F1280" s="22">
        <v>300</v>
      </c>
      <c r="G1280" s="22">
        <v>0</v>
      </c>
      <c r="H1280" s="22">
        <v>0</v>
      </c>
      <c r="I1280" s="22">
        <v>300</v>
      </c>
      <c r="J1280">
        <v>0</v>
      </c>
      <c r="K1280">
        <v>0</v>
      </c>
      <c r="L1280" s="22">
        <v>300</v>
      </c>
      <c r="M1280" s="22">
        <v>0</v>
      </c>
      <c r="N1280" s="22">
        <v>0</v>
      </c>
      <c r="O1280" s="22">
        <v>300</v>
      </c>
      <c r="P1280" s="22">
        <v>200</v>
      </c>
      <c r="Q1280" s="22">
        <v>100</v>
      </c>
      <c r="R1280">
        <v>0</v>
      </c>
      <c r="T1280" t="s">
        <v>3012</v>
      </c>
      <c r="U1280" t="s">
        <v>3057</v>
      </c>
      <c r="V1280" t="s">
        <v>3056</v>
      </c>
    </row>
    <row r="1281" spans="1:22">
      <c r="A1281">
        <v>1280</v>
      </c>
      <c r="B1281" t="s">
        <v>2821</v>
      </c>
      <c r="C1281" t="s">
        <v>2822</v>
      </c>
      <c r="D1281" t="s">
        <v>17</v>
      </c>
      <c r="E1281" t="s">
        <v>8</v>
      </c>
      <c r="F1281" s="22">
        <v>0</v>
      </c>
      <c r="G1281" s="22">
        <v>300</v>
      </c>
      <c r="H1281" s="22">
        <v>300</v>
      </c>
      <c r="I1281" s="22">
        <v>0</v>
      </c>
      <c r="J1281">
        <v>0</v>
      </c>
      <c r="K1281">
        <v>0</v>
      </c>
      <c r="L1281" s="22">
        <v>0</v>
      </c>
      <c r="M1281" s="22">
        <v>0</v>
      </c>
      <c r="N1281" s="22">
        <v>0</v>
      </c>
      <c r="O1281" s="22">
        <v>0</v>
      </c>
      <c r="P1281" s="22">
        <v>1500</v>
      </c>
      <c r="Q1281" s="22">
        <v>-1500</v>
      </c>
      <c r="R1281">
        <v>0</v>
      </c>
      <c r="T1281" t="s">
        <v>3012</v>
      </c>
      <c r="U1281" t="s">
        <v>3057</v>
      </c>
      <c r="V1281" t="s">
        <v>3056</v>
      </c>
    </row>
    <row r="1282" spans="1:22">
      <c r="A1282">
        <v>1281</v>
      </c>
      <c r="B1282" t="s">
        <v>2825</v>
      </c>
      <c r="C1282" t="s">
        <v>2826</v>
      </c>
      <c r="D1282" t="s">
        <v>17</v>
      </c>
      <c r="E1282" t="s">
        <v>8</v>
      </c>
      <c r="F1282" s="22">
        <v>800</v>
      </c>
      <c r="G1282" s="22">
        <v>0</v>
      </c>
      <c r="H1282" s="22">
        <v>800</v>
      </c>
      <c r="I1282" s="22">
        <v>0</v>
      </c>
      <c r="J1282">
        <v>0</v>
      </c>
      <c r="K1282">
        <v>0</v>
      </c>
      <c r="L1282" s="22">
        <v>0</v>
      </c>
      <c r="M1282" s="22">
        <v>0</v>
      </c>
      <c r="N1282" s="22">
        <v>0</v>
      </c>
      <c r="O1282" s="22">
        <v>0</v>
      </c>
      <c r="P1282" s="22">
        <v>1000</v>
      </c>
      <c r="Q1282" s="22">
        <v>-1000</v>
      </c>
      <c r="R1282">
        <v>0</v>
      </c>
      <c r="T1282" t="s">
        <v>3012</v>
      </c>
      <c r="U1282" t="s">
        <v>3057</v>
      </c>
      <c r="V1282" t="s">
        <v>3056</v>
      </c>
    </row>
    <row r="1283" spans="1:22">
      <c r="A1283">
        <v>1282</v>
      </c>
      <c r="B1283" t="s">
        <v>2827</v>
      </c>
      <c r="C1283" t="s">
        <v>2828</v>
      </c>
      <c r="D1283" t="s">
        <v>17</v>
      </c>
      <c r="E1283" t="s">
        <v>8</v>
      </c>
      <c r="F1283" s="22">
        <v>300</v>
      </c>
      <c r="G1283" s="22">
        <v>0</v>
      </c>
      <c r="H1283" s="22">
        <v>100</v>
      </c>
      <c r="I1283" s="22">
        <v>200</v>
      </c>
      <c r="J1283">
        <v>0</v>
      </c>
      <c r="K1283">
        <v>0</v>
      </c>
      <c r="L1283" s="22">
        <v>200</v>
      </c>
      <c r="M1283" s="22">
        <v>0</v>
      </c>
      <c r="N1283" s="22">
        <v>0</v>
      </c>
      <c r="O1283" s="22">
        <v>200</v>
      </c>
      <c r="P1283" s="22">
        <v>400</v>
      </c>
      <c r="Q1283" s="22">
        <v>-200</v>
      </c>
      <c r="R1283">
        <v>0</v>
      </c>
      <c r="T1283" t="s">
        <v>3012</v>
      </c>
      <c r="U1283" t="s">
        <v>3057</v>
      </c>
      <c r="V1283" t="s">
        <v>3056</v>
      </c>
    </row>
    <row r="1284" spans="1:22">
      <c r="A1284">
        <v>1283</v>
      </c>
      <c r="B1284" t="s">
        <v>2829</v>
      </c>
      <c r="C1284" t="s">
        <v>2830</v>
      </c>
      <c r="D1284" t="s">
        <v>17</v>
      </c>
      <c r="E1284" t="s">
        <v>8</v>
      </c>
      <c r="F1284" s="22">
        <v>200</v>
      </c>
      <c r="G1284" s="22">
        <v>0</v>
      </c>
      <c r="H1284" s="22">
        <v>200</v>
      </c>
      <c r="I1284" s="22">
        <v>0</v>
      </c>
      <c r="J1284">
        <v>0</v>
      </c>
      <c r="K1284">
        <v>0</v>
      </c>
      <c r="L1284" s="22">
        <v>0</v>
      </c>
      <c r="M1284" s="22">
        <v>0</v>
      </c>
      <c r="N1284" s="22">
        <v>0</v>
      </c>
      <c r="O1284" s="22">
        <v>0</v>
      </c>
      <c r="P1284" s="22">
        <v>1500</v>
      </c>
      <c r="Q1284" s="22">
        <v>-1500</v>
      </c>
      <c r="R1284">
        <v>0</v>
      </c>
      <c r="T1284" t="s">
        <v>3012</v>
      </c>
      <c r="U1284" t="s">
        <v>3057</v>
      </c>
      <c r="V1284" t="s">
        <v>3056</v>
      </c>
    </row>
    <row r="1285" spans="1:22">
      <c r="A1285">
        <v>1284</v>
      </c>
      <c r="B1285" t="s">
        <v>2831</v>
      </c>
      <c r="C1285" t="s">
        <v>2832</v>
      </c>
      <c r="D1285" t="s">
        <v>17</v>
      </c>
      <c r="E1285" t="s">
        <v>8</v>
      </c>
      <c r="F1285" s="22">
        <v>15</v>
      </c>
      <c r="G1285" s="22">
        <v>0</v>
      </c>
      <c r="H1285" s="22">
        <v>0</v>
      </c>
      <c r="I1285" s="22">
        <v>15</v>
      </c>
      <c r="J1285">
        <v>0</v>
      </c>
      <c r="K1285">
        <v>0</v>
      </c>
      <c r="L1285" s="22">
        <v>15</v>
      </c>
      <c r="M1285" s="22">
        <v>0</v>
      </c>
      <c r="N1285" s="22">
        <v>0</v>
      </c>
      <c r="O1285" s="22">
        <v>15</v>
      </c>
      <c r="P1285" s="22">
        <v>15</v>
      </c>
      <c r="Q1285" s="22">
        <v>0</v>
      </c>
      <c r="R1285">
        <v>10</v>
      </c>
      <c r="T1285" t="s">
        <v>3012</v>
      </c>
      <c r="U1285" t="s">
        <v>3057</v>
      </c>
      <c r="V1285" t="s">
        <v>3056</v>
      </c>
    </row>
    <row r="1286" spans="1:22">
      <c r="A1286">
        <v>1285</v>
      </c>
      <c r="B1286" t="s">
        <v>2833</v>
      </c>
      <c r="C1286" t="s">
        <v>2834</v>
      </c>
      <c r="D1286" t="s">
        <v>17</v>
      </c>
      <c r="E1286" t="s">
        <v>8</v>
      </c>
      <c r="F1286" s="22">
        <v>0</v>
      </c>
      <c r="G1286" s="22">
        <v>0</v>
      </c>
      <c r="H1286" s="22">
        <v>0</v>
      </c>
      <c r="I1286" s="22">
        <v>0</v>
      </c>
      <c r="J1286">
        <v>0</v>
      </c>
      <c r="K1286">
        <v>0</v>
      </c>
      <c r="L1286" s="22">
        <v>0</v>
      </c>
      <c r="M1286" s="22">
        <v>0</v>
      </c>
      <c r="N1286" s="22">
        <v>0</v>
      </c>
      <c r="O1286" s="22">
        <v>0</v>
      </c>
      <c r="P1286" s="22">
        <v>0</v>
      </c>
      <c r="Q1286" s="22">
        <v>0</v>
      </c>
      <c r="R1286">
        <v>0</v>
      </c>
      <c r="T1286" t="s">
        <v>3012</v>
      </c>
      <c r="U1286" t="s">
        <v>3057</v>
      </c>
      <c r="V1286" t="s">
        <v>3056</v>
      </c>
    </row>
    <row r="1287" spans="1:22">
      <c r="A1287">
        <v>1286</v>
      </c>
      <c r="B1287" t="s">
        <v>2841</v>
      </c>
      <c r="C1287" t="s">
        <v>2842</v>
      </c>
      <c r="D1287" t="s">
        <v>17</v>
      </c>
      <c r="E1287" t="s">
        <v>8</v>
      </c>
      <c r="F1287" s="22">
        <v>9</v>
      </c>
      <c r="G1287" s="22">
        <v>0</v>
      </c>
      <c r="H1287" s="22">
        <v>0</v>
      </c>
      <c r="I1287" s="22">
        <v>9</v>
      </c>
      <c r="J1287">
        <v>0</v>
      </c>
      <c r="K1287">
        <v>0</v>
      </c>
      <c r="L1287" s="22">
        <v>9</v>
      </c>
      <c r="M1287" s="22">
        <v>0</v>
      </c>
      <c r="N1287" s="22">
        <v>0</v>
      </c>
      <c r="O1287" s="22">
        <v>9</v>
      </c>
      <c r="P1287" s="22">
        <v>0</v>
      </c>
      <c r="Q1287" s="22">
        <v>9</v>
      </c>
      <c r="R1287">
        <v>0</v>
      </c>
      <c r="T1287" t="s">
        <v>3012</v>
      </c>
      <c r="U1287" t="s">
        <v>3057</v>
      </c>
      <c r="V1287" t="s">
        <v>3056</v>
      </c>
    </row>
    <row r="1288" spans="1:22">
      <c r="A1288">
        <v>1287</v>
      </c>
      <c r="B1288" t="s">
        <v>2843</v>
      </c>
      <c r="C1288" t="s">
        <v>2844</v>
      </c>
      <c r="D1288" t="s">
        <v>20</v>
      </c>
      <c r="E1288" t="s">
        <v>8</v>
      </c>
      <c r="F1288" s="22">
        <v>0</v>
      </c>
      <c r="G1288" s="22">
        <v>0</v>
      </c>
      <c r="H1288" s="22">
        <v>0</v>
      </c>
      <c r="I1288" s="22">
        <v>0</v>
      </c>
      <c r="J1288">
        <v>0</v>
      </c>
      <c r="K1288">
        <v>0</v>
      </c>
      <c r="L1288" s="22">
        <v>0</v>
      </c>
      <c r="M1288" s="22">
        <v>0</v>
      </c>
      <c r="N1288" s="22">
        <v>0</v>
      </c>
      <c r="O1288" s="22">
        <v>0</v>
      </c>
      <c r="P1288" s="22">
        <v>0</v>
      </c>
      <c r="Q1288" s="22">
        <v>0</v>
      </c>
      <c r="R1288">
        <v>0</v>
      </c>
      <c r="T1288" t="s">
        <v>3012</v>
      </c>
      <c r="U1288" t="s">
        <v>3057</v>
      </c>
      <c r="V1288" t="s">
        <v>3056</v>
      </c>
    </row>
    <row r="1289" spans="1:22">
      <c r="A1289">
        <v>1288</v>
      </c>
      <c r="B1289" t="s">
        <v>2845</v>
      </c>
      <c r="C1289" t="s">
        <v>2846</v>
      </c>
      <c r="D1289" t="s">
        <v>17</v>
      </c>
      <c r="E1289" t="s">
        <v>8</v>
      </c>
      <c r="F1289" s="22">
        <v>0</v>
      </c>
      <c r="G1289" s="22">
        <v>0</v>
      </c>
      <c r="H1289" s="22">
        <v>0</v>
      </c>
      <c r="I1289" s="22">
        <v>0</v>
      </c>
      <c r="J1289">
        <v>0</v>
      </c>
      <c r="K1289">
        <v>0</v>
      </c>
      <c r="L1289" s="22">
        <v>0</v>
      </c>
      <c r="M1289" s="22">
        <v>0</v>
      </c>
      <c r="N1289" s="22">
        <v>0</v>
      </c>
      <c r="O1289" s="22">
        <v>0</v>
      </c>
      <c r="P1289" s="22">
        <v>0</v>
      </c>
      <c r="Q1289" s="22">
        <v>0</v>
      </c>
      <c r="R1289">
        <v>0</v>
      </c>
      <c r="T1289" t="s">
        <v>3012</v>
      </c>
      <c r="U1289" t="s">
        <v>3057</v>
      </c>
      <c r="V1289" t="s">
        <v>3056</v>
      </c>
    </row>
    <row r="1290" spans="1:22">
      <c r="A1290">
        <v>1289</v>
      </c>
      <c r="B1290" t="s">
        <v>2847</v>
      </c>
      <c r="C1290" t="s">
        <v>2848</v>
      </c>
      <c r="D1290" t="s">
        <v>7</v>
      </c>
      <c r="E1290" t="s">
        <v>8</v>
      </c>
      <c r="F1290" s="22">
        <v>0</v>
      </c>
      <c r="G1290" s="22">
        <v>0</v>
      </c>
      <c r="H1290" s="22">
        <v>0</v>
      </c>
      <c r="I1290" s="22">
        <v>0</v>
      </c>
      <c r="J1290">
        <v>0</v>
      </c>
      <c r="K1290">
        <v>0</v>
      </c>
      <c r="L1290" s="22">
        <v>0</v>
      </c>
      <c r="M1290" s="22">
        <v>0</v>
      </c>
      <c r="N1290" s="22">
        <v>0</v>
      </c>
      <c r="O1290" s="22">
        <v>0</v>
      </c>
      <c r="P1290" s="22">
        <v>0</v>
      </c>
      <c r="Q1290" s="22">
        <v>0</v>
      </c>
      <c r="R1290">
        <v>0</v>
      </c>
      <c r="T1290" t="s">
        <v>3012</v>
      </c>
      <c r="U1290" t="s">
        <v>3057</v>
      </c>
      <c r="V1290" t="s">
        <v>3056</v>
      </c>
    </row>
    <row r="1291" spans="1:22">
      <c r="A1291">
        <v>1290</v>
      </c>
      <c r="B1291" t="s">
        <v>2849</v>
      </c>
      <c r="C1291" t="s">
        <v>2850</v>
      </c>
      <c r="D1291" t="s">
        <v>17</v>
      </c>
      <c r="E1291" t="s">
        <v>8</v>
      </c>
      <c r="F1291" s="22">
        <v>150</v>
      </c>
      <c r="G1291" s="22">
        <v>0</v>
      </c>
      <c r="H1291" s="22">
        <v>0</v>
      </c>
      <c r="I1291" s="22">
        <v>150</v>
      </c>
      <c r="J1291">
        <v>0</v>
      </c>
      <c r="K1291">
        <v>0</v>
      </c>
      <c r="L1291" s="22">
        <v>150</v>
      </c>
      <c r="M1291" s="22">
        <v>0</v>
      </c>
      <c r="N1291" s="22">
        <v>0</v>
      </c>
      <c r="O1291" s="22">
        <v>150</v>
      </c>
      <c r="P1291" s="22">
        <v>200</v>
      </c>
      <c r="Q1291" s="22">
        <v>-50</v>
      </c>
      <c r="R1291">
        <v>0</v>
      </c>
      <c r="T1291" t="s">
        <v>3012</v>
      </c>
      <c r="U1291" t="s">
        <v>3057</v>
      </c>
      <c r="V1291" t="s">
        <v>3056</v>
      </c>
    </row>
    <row r="1292" spans="1:22">
      <c r="A1292">
        <v>1291</v>
      </c>
      <c r="B1292" t="s">
        <v>2857</v>
      </c>
      <c r="C1292" t="s">
        <v>2858</v>
      </c>
      <c r="D1292" t="s">
        <v>7</v>
      </c>
      <c r="E1292" t="s">
        <v>8</v>
      </c>
      <c r="F1292" s="22">
        <v>1563</v>
      </c>
      <c r="G1292" s="22">
        <v>2802.5</v>
      </c>
      <c r="H1292" s="22">
        <v>867.5</v>
      </c>
      <c r="I1292" s="22">
        <v>3498</v>
      </c>
      <c r="J1292">
        <v>0</v>
      </c>
      <c r="K1292">
        <v>0</v>
      </c>
      <c r="L1292" s="22">
        <v>3498</v>
      </c>
      <c r="M1292" s="22">
        <v>0</v>
      </c>
      <c r="N1292" s="22">
        <v>0</v>
      </c>
      <c r="O1292" s="22">
        <v>3498</v>
      </c>
      <c r="P1292" s="22">
        <v>2000</v>
      </c>
      <c r="Q1292" s="22">
        <v>1498</v>
      </c>
      <c r="R1292">
        <v>3500</v>
      </c>
      <c r="T1292" t="s">
        <v>2965</v>
      </c>
      <c r="U1292" t="s">
        <v>3055</v>
      </c>
      <c r="V1292" t="s">
        <v>3056</v>
      </c>
    </row>
    <row r="1293" spans="1:22">
      <c r="A1293">
        <v>1292</v>
      </c>
      <c r="B1293" t="s">
        <v>2861</v>
      </c>
      <c r="C1293" t="s">
        <v>2862</v>
      </c>
      <c r="D1293" t="s">
        <v>7</v>
      </c>
      <c r="E1293" t="s">
        <v>8</v>
      </c>
      <c r="F1293" s="22">
        <v>3479</v>
      </c>
      <c r="G1293" s="22">
        <v>2029</v>
      </c>
      <c r="H1293" s="22">
        <v>509</v>
      </c>
      <c r="I1293" s="22">
        <v>4999</v>
      </c>
      <c r="J1293">
        <v>0</v>
      </c>
      <c r="K1293">
        <v>0</v>
      </c>
      <c r="L1293" s="22">
        <v>4999</v>
      </c>
      <c r="M1293" s="22">
        <v>0</v>
      </c>
      <c r="N1293" s="22">
        <v>0</v>
      </c>
      <c r="O1293" s="22">
        <v>4999</v>
      </c>
      <c r="P1293" s="22">
        <v>2000</v>
      </c>
      <c r="Q1293" s="22">
        <v>2999</v>
      </c>
      <c r="R1293">
        <v>2500</v>
      </c>
      <c r="T1293" t="s">
        <v>2965</v>
      </c>
      <c r="U1293" t="s">
        <v>3055</v>
      </c>
      <c r="V1293" t="s">
        <v>3056</v>
      </c>
    </row>
    <row r="1294" spans="1:22">
      <c r="A1294">
        <v>1293</v>
      </c>
      <c r="B1294" t="s">
        <v>2875</v>
      </c>
      <c r="C1294" t="s">
        <v>2876</v>
      </c>
      <c r="D1294" t="s">
        <v>7</v>
      </c>
      <c r="E1294" t="s">
        <v>8</v>
      </c>
      <c r="F1294" s="22">
        <v>8392.5</v>
      </c>
      <c r="G1294" s="22">
        <v>0</v>
      </c>
      <c r="H1294" s="22">
        <v>888</v>
      </c>
      <c r="I1294" s="22">
        <v>7504.5</v>
      </c>
      <c r="J1294">
        <v>0</v>
      </c>
      <c r="K1294">
        <v>0</v>
      </c>
      <c r="L1294" s="22">
        <v>7504.5</v>
      </c>
      <c r="M1294" s="22">
        <v>0</v>
      </c>
      <c r="N1294" s="22">
        <v>0</v>
      </c>
      <c r="O1294" s="22">
        <v>7504.5</v>
      </c>
      <c r="P1294" s="22">
        <v>2000</v>
      </c>
      <c r="Q1294" s="22">
        <v>5504.5</v>
      </c>
      <c r="R1294">
        <v>200</v>
      </c>
      <c r="T1294" t="s">
        <v>2965</v>
      </c>
      <c r="U1294" t="s">
        <v>3055</v>
      </c>
      <c r="V1294" t="s">
        <v>3056</v>
      </c>
    </row>
    <row r="1295" spans="1:22">
      <c r="A1295">
        <v>1294</v>
      </c>
      <c r="B1295" t="s">
        <v>2863</v>
      </c>
      <c r="C1295" t="s">
        <v>2864</v>
      </c>
      <c r="D1295" t="s">
        <v>7</v>
      </c>
      <c r="E1295" t="s">
        <v>8</v>
      </c>
      <c r="F1295" s="22">
        <v>0</v>
      </c>
      <c r="G1295" s="22">
        <v>0</v>
      </c>
      <c r="H1295" s="22">
        <v>0</v>
      </c>
      <c r="I1295" s="22">
        <v>0</v>
      </c>
      <c r="J1295">
        <v>0</v>
      </c>
      <c r="K1295">
        <v>0</v>
      </c>
      <c r="L1295" s="22">
        <v>0</v>
      </c>
      <c r="M1295" s="22">
        <v>0</v>
      </c>
      <c r="N1295" s="22">
        <v>0</v>
      </c>
      <c r="O1295" s="22">
        <v>0</v>
      </c>
      <c r="P1295" s="22">
        <v>0</v>
      </c>
      <c r="Q1295" s="22">
        <v>0</v>
      </c>
      <c r="R1295">
        <v>0</v>
      </c>
      <c r="T1295" t="s">
        <v>2965</v>
      </c>
      <c r="U1295" t="s">
        <v>3055</v>
      </c>
      <c r="V1295" t="s">
        <v>3056</v>
      </c>
    </row>
    <row r="1296" spans="1:22">
      <c r="A1296">
        <v>1295</v>
      </c>
      <c r="B1296" t="s">
        <v>2867</v>
      </c>
      <c r="C1296" t="s">
        <v>2868</v>
      </c>
      <c r="D1296" t="s">
        <v>7</v>
      </c>
      <c r="E1296" t="s">
        <v>8</v>
      </c>
      <c r="F1296" s="22">
        <v>0</v>
      </c>
      <c r="G1296" s="22">
        <v>0</v>
      </c>
      <c r="H1296" s="22">
        <v>0</v>
      </c>
      <c r="I1296" s="22">
        <v>0</v>
      </c>
      <c r="J1296">
        <v>0</v>
      </c>
      <c r="K1296">
        <v>0</v>
      </c>
      <c r="L1296" s="22">
        <v>0</v>
      </c>
      <c r="M1296" s="22">
        <v>0</v>
      </c>
      <c r="N1296" s="22">
        <v>0</v>
      </c>
      <c r="O1296" s="22">
        <v>0</v>
      </c>
      <c r="P1296" s="22">
        <v>0</v>
      </c>
      <c r="Q1296" s="22">
        <v>0</v>
      </c>
      <c r="R1296">
        <v>0</v>
      </c>
      <c r="T1296" t="s">
        <v>2965</v>
      </c>
      <c r="U1296" t="s">
        <v>3055</v>
      </c>
      <c r="V1296" t="s">
        <v>3056</v>
      </c>
    </row>
    <row r="1297" spans="1:22">
      <c r="A1297">
        <v>1296</v>
      </c>
      <c r="B1297" t="s">
        <v>2878</v>
      </c>
      <c r="C1297" t="s">
        <v>2879</v>
      </c>
      <c r="D1297" t="s">
        <v>17</v>
      </c>
      <c r="E1297" t="s">
        <v>8</v>
      </c>
      <c r="F1297" s="22">
        <v>0</v>
      </c>
      <c r="G1297" s="22">
        <v>0</v>
      </c>
      <c r="H1297" s="22">
        <v>0</v>
      </c>
      <c r="I1297" s="22">
        <v>0</v>
      </c>
      <c r="J1297">
        <v>0</v>
      </c>
      <c r="K1297">
        <v>0</v>
      </c>
      <c r="L1297" s="22">
        <v>0</v>
      </c>
      <c r="M1297" s="22">
        <v>0</v>
      </c>
      <c r="N1297" s="22">
        <v>0</v>
      </c>
      <c r="O1297" s="22">
        <v>0</v>
      </c>
      <c r="P1297" s="22">
        <v>0</v>
      </c>
      <c r="Q1297" s="22">
        <v>0</v>
      </c>
      <c r="R1297">
        <v>0</v>
      </c>
      <c r="T1297" t="s">
        <v>2972</v>
      </c>
      <c r="U1297" t="s">
        <v>3055</v>
      </c>
      <c r="V1297" t="s">
        <v>3056</v>
      </c>
    </row>
    <row r="1298" spans="1:22">
      <c r="A1298">
        <v>1297</v>
      </c>
      <c r="B1298" t="s">
        <v>2865</v>
      </c>
      <c r="C1298" t="s">
        <v>2866</v>
      </c>
      <c r="D1298" t="s">
        <v>7</v>
      </c>
      <c r="E1298" t="s">
        <v>8</v>
      </c>
      <c r="F1298" s="22">
        <v>0</v>
      </c>
      <c r="G1298" s="22">
        <v>0</v>
      </c>
      <c r="H1298" s="22">
        <v>0</v>
      </c>
      <c r="I1298" s="22">
        <v>0</v>
      </c>
      <c r="J1298">
        <v>0</v>
      </c>
      <c r="K1298">
        <v>0</v>
      </c>
      <c r="L1298" s="22">
        <v>0</v>
      </c>
      <c r="M1298" s="22">
        <v>0</v>
      </c>
      <c r="N1298" s="22">
        <v>0</v>
      </c>
      <c r="O1298" s="22">
        <v>0</v>
      </c>
      <c r="P1298" s="22">
        <v>0</v>
      </c>
      <c r="Q1298" s="22">
        <v>0</v>
      </c>
      <c r="R1298">
        <v>0</v>
      </c>
      <c r="T1298" t="s">
        <v>2965</v>
      </c>
      <c r="U1298" t="s">
        <v>3055</v>
      </c>
      <c r="V1298" t="s">
        <v>3056</v>
      </c>
    </row>
    <row r="1299" spans="1:22">
      <c r="A1299">
        <v>1298</v>
      </c>
      <c r="B1299" t="s">
        <v>2880</v>
      </c>
      <c r="C1299" t="s">
        <v>2881</v>
      </c>
      <c r="D1299" t="s">
        <v>17</v>
      </c>
      <c r="E1299" t="s">
        <v>8</v>
      </c>
      <c r="F1299" s="22">
        <v>4200</v>
      </c>
      <c r="G1299" s="22">
        <v>0</v>
      </c>
      <c r="H1299" s="22">
        <v>300</v>
      </c>
      <c r="I1299" s="22">
        <v>3900</v>
      </c>
      <c r="J1299">
        <v>0</v>
      </c>
      <c r="K1299">
        <v>0</v>
      </c>
      <c r="L1299" s="22">
        <v>3900</v>
      </c>
      <c r="M1299" s="22">
        <v>0</v>
      </c>
      <c r="N1299" s="22">
        <v>0</v>
      </c>
      <c r="O1299" s="22">
        <v>3900</v>
      </c>
      <c r="P1299" s="22">
        <v>150</v>
      </c>
      <c r="Q1299" s="22">
        <v>3750</v>
      </c>
      <c r="R1299">
        <v>0</v>
      </c>
      <c r="T1299" t="s">
        <v>2972</v>
      </c>
      <c r="U1299" t="s">
        <v>3055</v>
      </c>
      <c r="V1299" t="s">
        <v>3056</v>
      </c>
    </row>
    <row r="1300" spans="1:22">
      <c r="A1300">
        <v>1299</v>
      </c>
      <c r="B1300" t="s">
        <v>2869</v>
      </c>
      <c r="C1300" t="s">
        <v>2870</v>
      </c>
      <c r="D1300" t="s">
        <v>7</v>
      </c>
      <c r="E1300" t="s">
        <v>8</v>
      </c>
      <c r="F1300" s="22">
        <v>0</v>
      </c>
      <c r="G1300" s="22">
        <v>0</v>
      </c>
      <c r="H1300" s="22">
        <v>0</v>
      </c>
      <c r="I1300" s="22">
        <v>0</v>
      </c>
      <c r="J1300">
        <v>0</v>
      </c>
      <c r="K1300">
        <v>0</v>
      </c>
      <c r="L1300" s="22">
        <v>0</v>
      </c>
      <c r="M1300" s="22">
        <v>0</v>
      </c>
      <c r="N1300" s="22">
        <v>0</v>
      </c>
      <c r="O1300" s="22">
        <v>0</v>
      </c>
      <c r="P1300" s="22">
        <v>0</v>
      </c>
      <c r="Q1300" s="22">
        <v>0</v>
      </c>
      <c r="R1300">
        <v>0</v>
      </c>
      <c r="T1300" t="s">
        <v>2965</v>
      </c>
      <c r="U1300" t="s">
        <v>3055</v>
      </c>
      <c r="V1300" t="s">
        <v>3056</v>
      </c>
    </row>
    <row r="1301" spans="1:22">
      <c r="A1301">
        <v>1300</v>
      </c>
      <c r="B1301" t="s">
        <v>2871</v>
      </c>
      <c r="C1301" t="s">
        <v>2872</v>
      </c>
      <c r="D1301" t="s">
        <v>7</v>
      </c>
      <c r="E1301" t="s">
        <v>8</v>
      </c>
      <c r="F1301" s="22">
        <v>0</v>
      </c>
      <c r="G1301" s="22">
        <v>0</v>
      </c>
      <c r="H1301" s="22">
        <v>0</v>
      </c>
      <c r="I1301" s="22">
        <v>0</v>
      </c>
      <c r="J1301">
        <v>0</v>
      </c>
      <c r="K1301">
        <v>0</v>
      </c>
      <c r="L1301" s="22">
        <v>0</v>
      </c>
      <c r="M1301" s="22">
        <v>0</v>
      </c>
      <c r="N1301" s="22">
        <v>0</v>
      </c>
      <c r="O1301" s="22">
        <v>0</v>
      </c>
      <c r="P1301" s="22">
        <v>0</v>
      </c>
      <c r="Q1301" s="22">
        <v>0</v>
      </c>
      <c r="R1301">
        <v>0</v>
      </c>
      <c r="T1301" t="s">
        <v>2965</v>
      </c>
      <c r="U1301" t="s">
        <v>3055</v>
      </c>
      <c r="V1301" t="s">
        <v>3056</v>
      </c>
    </row>
    <row r="1302" spans="1:22">
      <c r="A1302">
        <v>1301</v>
      </c>
      <c r="B1302" t="s">
        <v>2873</v>
      </c>
      <c r="C1302" t="s">
        <v>2874</v>
      </c>
      <c r="D1302" t="s">
        <v>7</v>
      </c>
      <c r="E1302" t="s">
        <v>8</v>
      </c>
      <c r="F1302" s="22">
        <v>0</v>
      </c>
      <c r="G1302" s="22">
        <v>0</v>
      </c>
      <c r="H1302" s="22">
        <v>0</v>
      </c>
      <c r="I1302" s="22">
        <v>0</v>
      </c>
      <c r="J1302">
        <v>0</v>
      </c>
      <c r="K1302">
        <v>0</v>
      </c>
      <c r="L1302" s="22">
        <v>0</v>
      </c>
      <c r="M1302" s="22">
        <v>0</v>
      </c>
      <c r="N1302" s="22">
        <v>0</v>
      </c>
      <c r="O1302" s="22">
        <v>0</v>
      </c>
      <c r="P1302" s="22">
        <v>0</v>
      </c>
      <c r="Q1302" s="22">
        <v>0</v>
      </c>
      <c r="R1302">
        <v>0</v>
      </c>
      <c r="T1302" t="s">
        <v>2965</v>
      </c>
      <c r="U1302" t="s">
        <v>3055</v>
      </c>
      <c r="V1302" t="s">
        <v>3056</v>
      </c>
    </row>
    <row r="1303" spans="1:22">
      <c r="A1303">
        <v>1302</v>
      </c>
      <c r="B1303" t="s">
        <v>2886</v>
      </c>
      <c r="C1303" t="s">
        <v>2887</v>
      </c>
      <c r="D1303" t="s">
        <v>17</v>
      </c>
      <c r="E1303" t="s">
        <v>8</v>
      </c>
      <c r="F1303" s="22">
        <v>3705</v>
      </c>
      <c r="G1303" s="22">
        <v>0</v>
      </c>
      <c r="H1303" s="22">
        <v>0</v>
      </c>
      <c r="I1303" s="22">
        <v>3705</v>
      </c>
      <c r="J1303">
        <v>0</v>
      </c>
      <c r="K1303">
        <v>0</v>
      </c>
      <c r="L1303" s="22">
        <v>3705</v>
      </c>
      <c r="M1303" s="22">
        <v>0</v>
      </c>
      <c r="N1303" s="22">
        <v>0</v>
      </c>
      <c r="O1303" s="22">
        <v>3705</v>
      </c>
      <c r="P1303" s="22">
        <v>1000</v>
      </c>
      <c r="Q1303" s="22">
        <v>2705</v>
      </c>
      <c r="R1303">
        <v>0</v>
      </c>
      <c r="T1303" t="s">
        <v>2972</v>
      </c>
      <c r="U1303" t="s">
        <v>3055</v>
      </c>
      <c r="V1303" t="s">
        <v>3056</v>
      </c>
    </row>
    <row r="1304" spans="1:22">
      <c r="A1304">
        <v>1303</v>
      </c>
      <c r="B1304" t="s">
        <v>2907</v>
      </c>
      <c r="C1304" t="s">
        <v>2908</v>
      </c>
      <c r="D1304" t="s">
        <v>7</v>
      </c>
      <c r="E1304" t="s">
        <v>8</v>
      </c>
      <c r="F1304" s="22">
        <v>1377.1</v>
      </c>
      <c r="G1304" s="22">
        <v>0</v>
      </c>
      <c r="H1304" s="22">
        <v>0</v>
      </c>
      <c r="I1304" s="22">
        <v>1377.1</v>
      </c>
      <c r="J1304">
        <v>0</v>
      </c>
      <c r="K1304">
        <v>0</v>
      </c>
      <c r="L1304" s="22">
        <v>1377.1</v>
      </c>
      <c r="M1304" s="22">
        <v>0</v>
      </c>
      <c r="N1304" s="22">
        <v>0</v>
      </c>
      <c r="O1304" s="22">
        <v>1377.1</v>
      </c>
      <c r="P1304" s="22">
        <v>250</v>
      </c>
      <c r="Q1304" s="22">
        <v>1127.0999999999999</v>
      </c>
      <c r="R1304">
        <v>0</v>
      </c>
      <c r="T1304" t="s">
        <v>2965</v>
      </c>
      <c r="U1304" t="s">
        <v>3055</v>
      </c>
      <c r="V1304" t="s">
        <v>3056</v>
      </c>
    </row>
    <row r="1305" spans="1:22">
      <c r="A1305">
        <v>1304</v>
      </c>
      <c r="B1305" t="s">
        <v>2909</v>
      </c>
      <c r="C1305" t="s">
        <v>2910</v>
      </c>
      <c r="D1305" t="s">
        <v>7</v>
      </c>
      <c r="E1305" t="s">
        <v>8</v>
      </c>
      <c r="F1305" s="22">
        <v>869.7</v>
      </c>
      <c r="G1305" s="22">
        <v>597.5</v>
      </c>
      <c r="H1305" s="22">
        <v>51</v>
      </c>
      <c r="I1305" s="22">
        <v>1416.2</v>
      </c>
      <c r="J1305">
        <v>0</v>
      </c>
      <c r="K1305">
        <v>0</v>
      </c>
      <c r="L1305" s="22">
        <v>1416.2</v>
      </c>
      <c r="M1305" s="22">
        <v>0</v>
      </c>
      <c r="N1305" s="22">
        <v>0</v>
      </c>
      <c r="O1305" s="22">
        <v>1416.2</v>
      </c>
      <c r="P1305" s="22">
        <v>250</v>
      </c>
      <c r="Q1305" s="22">
        <v>1166.2</v>
      </c>
      <c r="R1305">
        <v>0</v>
      </c>
      <c r="T1305" t="s">
        <v>2965</v>
      </c>
      <c r="U1305" t="s">
        <v>3055</v>
      </c>
      <c r="V1305" t="s">
        <v>3056</v>
      </c>
    </row>
    <row r="1306" spans="1:22">
      <c r="A1306">
        <v>1305</v>
      </c>
      <c r="B1306" t="s">
        <v>2911</v>
      </c>
      <c r="C1306" t="s">
        <v>2912</v>
      </c>
      <c r="D1306" t="s">
        <v>7</v>
      </c>
      <c r="E1306" t="s">
        <v>8</v>
      </c>
      <c r="F1306" s="22">
        <v>213.8</v>
      </c>
      <c r="G1306" s="22">
        <v>691.5</v>
      </c>
      <c r="H1306" s="22">
        <v>80.099999999999994</v>
      </c>
      <c r="I1306" s="22">
        <v>825.2</v>
      </c>
      <c r="J1306">
        <v>0</v>
      </c>
      <c r="K1306">
        <v>0</v>
      </c>
      <c r="L1306" s="22">
        <v>825.2</v>
      </c>
      <c r="M1306" s="22">
        <v>0</v>
      </c>
      <c r="N1306" s="22">
        <v>0</v>
      </c>
      <c r="O1306" s="22">
        <v>825.2</v>
      </c>
      <c r="P1306" s="22">
        <v>250</v>
      </c>
      <c r="Q1306" s="22">
        <v>575.20000000000005</v>
      </c>
      <c r="R1306">
        <v>500</v>
      </c>
      <c r="T1306" t="s">
        <v>2965</v>
      </c>
      <c r="U1306" t="s">
        <v>3055</v>
      </c>
      <c r="V1306" t="s">
        <v>3056</v>
      </c>
    </row>
    <row r="1307" spans="1:22">
      <c r="A1307">
        <v>1306</v>
      </c>
      <c r="B1307" t="s">
        <v>2892</v>
      </c>
      <c r="C1307" t="s">
        <v>2893</v>
      </c>
      <c r="D1307" t="s">
        <v>17</v>
      </c>
      <c r="E1307" t="s">
        <v>8</v>
      </c>
      <c r="F1307" s="22">
        <v>3917</v>
      </c>
      <c r="G1307" s="22">
        <v>0</v>
      </c>
      <c r="H1307" s="22">
        <v>1066</v>
      </c>
      <c r="I1307" s="22">
        <v>2851</v>
      </c>
      <c r="J1307">
        <v>0</v>
      </c>
      <c r="K1307">
        <v>0</v>
      </c>
      <c r="L1307" s="22">
        <v>2851</v>
      </c>
      <c r="M1307" s="22">
        <v>0</v>
      </c>
      <c r="N1307" s="22">
        <v>0</v>
      </c>
      <c r="O1307" s="22">
        <v>2851</v>
      </c>
      <c r="P1307" s="22">
        <v>2000</v>
      </c>
      <c r="Q1307" s="22">
        <v>851</v>
      </c>
      <c r="R1307">
        <v>0</v>
      </c>
      <c r="T1307" t="s">
        <v>2972</v>
      </c>
      <c r="U1307" t="s">
        <v>3055</v>
      </c>
      <c r="V1307" t="s">
        <v>3056</v>
      </c>
    </row>
    <row r="1308" spans="1:22">
      <c r="A1308">
        <v>1307</v>
      </c>
      <c r="B1308" t="s">
        <v>2851</v>
      </c>
      <c r="C1308" t="s">
        <v>2852</v>
      </c>
      <c r="D1308" t="s">
        <v>17</v>
      </c>
      <c r="E1308" t="s">
        <v>8</v>
      </c>
      <c r="F1308" s="22">
        <v>200</v>
      </c>
      <c r="G1308" s="22">
        <v>0</v>
      </c>
      <c r="H1308" s="22">
        <v>200</v>
      </c>
      <c r="I1308" s="22">
        <v>0</v>
      </c>
      <c r="J1308">
        <v>0</v>
      </c>
      <c r="K1308">
        <v>0</v>
      </c>
      <c r="L1308" s="22">
        <v>0</v>
      </c>
      <c r="M1308" s="22">
        <v>0</v>
      </c>
      <c r="N1308" s="22">
        <v>0</v>
      </c>
      <c r="O1308" s="22">
        <v>0</v>
      </c>
      <c r="P1308" s="22">
        <v>300</v>
      </c>
      <c r="Q1308" s="22">
        <v>-300</v>
      </c>
      <c r="R1308">
        <v>0</v>
      </c>
      <c r="T1308" t="s">
        <v>3012</v>
      </c>
      <c r="U1308" t="s">
        <v>3057</v>
      </c>
      <c r="V1308" t="s">
        <v>3056</v>
      </c>
    </row>
    <row r="1309" spans="1:22">
      <c r="A1309">
        <v>1308</v>
      </c>
      <c r="B1309" t="s">
        <v>2896</v>
      </c>
      <c r="C1309" t="s">
        <v>2897</v>
      </c>
      <c r="D1309" t="s">
        <v>17</v>
      </c>
      <c r="E1309" t="s">
        <v>8</v>
      </c>
      <c r="F1309" s="22">
        <v>3327</v>
      </c>
      <c r="G1309" s="22">
        <v>0</v>
      </c>
      <c r="H1309" s="22">
        <v>800</v>
      </c>
      <c r="I1309" s="22">
        <v>2527</v>
      </c>
      <c r="J1309">
        <v>0</v>
      </c>
      <c r="K1309">
        <v>0</v>
      </c>
      <c r="L1309" s="22">
        <v>2527</v>
      </c>
      <c r="M1309" s="22">
        <v>0</v>
      </c>
      <c r="N1309" s="22">
        <v>0</v>
      </c>
      <c r="O1309" s="22">
        <v>2527</v>
      </c>
      <c r="P1309" s="22">
        <v>2000</v>
      </c>
      <c r="Q1309" s="22">
        <v>527</v>
      </c>
      <c r="R1309">
        <v>0</v>
      </c>
      <c r="T1309" t="s">
        <v>2972</v>
      </c>
      <c r="U1309" t="s">
        <v>3055</v>
      </c>
      <c r="V1309" t="s">
        <v>3056</v>
      </c>
    </row>
    <row r="1310" spans="1:22">
      <c r="A1310">
        <v>1309</v>
      </c>
      <c r="B1310" t="s">
        <v>2855</v>
      </c>
      <c r="C1310" t="s">
        <v>2856</v>
      </c>
      <c r="D1310" t="s">
        <v>17</v>
      </c>
      <c r="E1310" t="s">
        <v>8</v>
      </c>
      <c r="F1310" s="22">
        <v>750</v>
      </c>
      <c r="G1310" s="22">
        <v>0</v>
      </c>
      <c r="H1310" s="22">
        <v>0</v>
      </c>
      <c r="I1310" s="22">
        <v>750</v>
      </c>
      <c r="J1310">
        <v>0</v>
      </c>
      <c r="K1310">
        <v>0</v>
      </c>
      <c r="L1310" s="22">
        <v>750</v>
      </c>
      <c r="M1310" s="22">
        <v>0</v>
      </c>
      <c r="N1310" s="22">
        <v>0</v>
      </c>
      <c r="O1310" s="22">
        <v>750</v>
      </c>
      <c r="P1310" s="22">
        <v>200</v>
      </c>
      <c r="Q1310" s="22">
        <v>550</v>
      </c>
      <c r="R1310">
        <v>0</v>
      </c>
      <c r="T1310" t="s">
        <v>3012</v>
      </c>
      <c r="U1310" t="s">
        <v>3057</v>
      </c>
      <c r="V1310" t="s">
        <v>3056</v>
      </c>
    </row>
    <row r="1311" spans="1:22">
      <c r="A1311">
        <v>1310</v>
      </c>
      <c r="B1311" t="s">
        <v>2958</v>
      </c>
      <c r="C1311" t="s">
        <v>2959</v>
      </c>
      <c r="D1311" t="s">
        <v>20</v>
      </c>
      <c r="E1311" t="s">
        <v>8</v>
      </c>
      <c r="F1311" s="22">
        <v>0</v>
      </c>
      <c r="G1311" s="22">
        <v>0</v>
      </c>
      <c r="H1311" s="22">
        <v>0</v>
      </c>
      <c r="I1311" s="22">
        <v>0</v>
      </c>
      <c r="J1311">
        <v>0</v>
      </c>
      <c r="K1311">
        <v>0</v>
      </c>
      <c r="L1311" s="22">
        <v>0</v>
      </c>
      <c r="M1311" s="22">
        <v>0</v>
      </c>
      <c r="N1311" s="22">
        <v>0</v>
      </c>
      <c r="O1311" s="22">
        <v>0</v>
      </c>
      <c r="P1311" s="22">
        <v>0</v>
      </c>
      <c r="Q1311" s="22">
        <v>0</v>
      </c>
      <c r="R1311">
        <v>0</v>
      </c>
      <c r="T1311" t="s">
        <v>2960</v>
      </c>
      <c r="U1311" t="s">
        <v>3057</v>
      </c>
      <c r="V1311" t="s">
        <v>3058</v>
      </c>
    </row>
    <row r="1312" spans="1:22">
      <c r="A1312">
        <v>1311</v>
      </c>
      <c r="B1312" t="s">
        <v>2913</v>
      </c>
      <c r="C1312" t="s">
        <v>2914</v>
      </c>
      <c r="D1312" t="s">
        <v>20</v>
      </c>
      <c r="E1312" t="s">
        <v>8</v>
      </c>
      <c r="F1312" s="22">
        <v>1189.4000000000001</v>
      </c>
      <c r="G1312" s="22">
        <v>593.20000000000005</v>
      </c>
      <c r="H1312" s="22">
        <v>1782.6</v>
      </c>
      <c r="I1312" s="22">
        <v>0</v>
      </c>
      <c r="J1312">
        <v>0</v>
      </c>
      <c r="K1312">
        <v>0</v>
      </c>
      <c r="L1312" s="22">
        <v>0</v>
      </c>
      <c r="M1312" s="22">
        <v>0</v>
      </c>
      <c r="N1312" s="22">
        <v>0</v>
      </c>
      <c r="O1312" s="22">
        <v>0</v>
      </c>
      <c r="P1312" s="22">
        <v>5000</v>
      </c>
      <c r="Q1312" s="22">
        <v>-5000</v>
      </c>
      <c r="R1312">
        <v>3000</v>
      </c>
      <c r="T1312" t="s">
        <v>3000</v>
      </c>
      <c r="U1312" t="s">
        <v>3059</v>
      </c>
      <c r="V1312" t="s">
        <v>3056</v>
      </c>
    </row>
    <row r="1313" spans="1:22">
      <c r="A1313">
        <v>1312</v>
      </c>
      <c r="B1313" t="s">
        <v>3070</v>
      </c>
      <c r="C1313" t="s">
        <v>3071</v>
      </c>
      <c r="D1313" t="s">
        <v>7</v>
      </c>
      <c r="E1313" t="s">
        <v>8</v>
      </c>
      <c r="F1313" s="22">
        <v>0</v>
      </c>
      <c r="G1313" s="22">
        <v>0</v>
      </c>
      <c r="H1313" s="22">
        <v>0</v>
      </c>
      <c r="I1313" s="22">
        <v>0</v>
      </c>
      <c r="J1313">
        <v>0</v>
      </c>
      <c r="K1313">
        <v>0</v>
      </c>
      <c r="L1313" s="22">
        <v>0</v>
      </c>
      <c r="M1313" s="22">
        <v>0</v>
      </c>
      <c r="N1313" s="22">
        <v>0</v>
      </c>
      <c r="O1313" s="22">
        <v>0</v>
      </c>
      <c r="P1313" s="22">
        <v>0</v>
      </c>
      <c r="Q1313" s="22">
        <v>0</v>
      </c>
      <c r="R1313">
        <v>0</v>
      </c>
      <c r="T1313" t="s">
        <v>3050</v>
      </c>
      <c r="U1313" t="s">
        <v>3057</v>
      </c>
      <c r="V1313" t="s">
        <v>3056</v>
      </c>
    </row>
    <row r="1314" spans="1:22">
      <c r="A1314">
        <v>1313</v>
      </c>
      <c r="B1314" t="s">
        <v>3079</v>
      </c>
      <c r="C1314" t="s">
        <v>3080</v>
      </c>
      <c r="D1314" t="s">
        <v>17</v>
      </c>
      <c r="E1314" t="s">
        <v>8</v>
      </c>
      <c r="F1314" s="22">
        <v>0</v>
      </c>
      <c r="G1314" s="22">
        <v>0</v>
      </c>
      <c r="H1314" s="22">
        <v>0</v>
      </c>
      <c r="I1314" s="22">
        <v>0</v>
      </c>
      <c r="J1314">
        <v>0</v>
      </c>
      <c r="K1314">
        <v>0</v>
      </c>
      <c r="L1314" s="22">
        <v>0</v>
      </c>
      <c r="M1314" s="22">
        <v>0</v>
      </c>
      <c r="N1314" s="22">
        <v>0</v>
      </c>
      <c r="O1314" s="22">
        <v>0</v>
      </c>
      <c r="P1314" s="22">
        <v>0</v>
      </c>
      <c r="Q1314" s="22">
        <v>0</v>
      </c>
      <c r="R1314">
        <v>0</v>
      </c>
      <c r="T1314" t="s">
        <v>2982</v>
      </c>
      <c r="U1314" t="s">
        <v>3060</v>
      </c>
      <c r="V1314" t="s">
        <v>3058</v>
      </c>
    </row>
    <row r="1315" spans="1:22">
      <c r="A1315">
        <v>1314</v>
      </c>
      <c r="B1315" t="s">
        <v>3081</v>
      </c>
      <c r="C1315" t="s">
        <v>3082</v>
      </c>
      <c r="D1315" t="s">
        <v>17</v>
      </c>
      <c r="E1315" t="s">
        <v>8</v>
      </c>
      <c r="F1315" s="22">
        <v>0</v>
      </c>
      <c r="G1315" s="22">
        <v>0</v>
      </c>
      <c r="H1315" s="22">
        <v>0</v>
      </c>
      <c r="I1315" s="22">
        <v>0</v>
      </c>
      <c r="J1315">
        <v>0</v>
      </c>
      <c r="K1315">
        <v>0</v>
      </c>
      <c r="L1315" s="22">
        <v>0</v>
      </c>
      <c r="M1315" s="22">
        <v>0</v>
      </c>
      <c r="N1315" s="22">
        <v>0</v>
      </c>
      <c r="O1315" s="22">
        <v>0</v>
      </c>
      <c r="P1315" s="22">
        <v>0</v>
      </c>
      <c r="Q1315" s="22">
        <v>0</v>
      </c>
      <c r="R1315">
        <v>0</v>
      </c>
      <c r="T1315" t="s">
        <v>2982</v>
      </c>
      <c r="U1315" t="s">
        <v>3060</v>
      </c>
      <c r="V1315" t="s">
        <v>3058</v>
      </c>
    </row>
    <row r="1316" spans="1:22">
      <c r="A1316">
        <v>1315</v>
      </c>
      <c r="B1316" t="s">
        <v>3072</v>
      </c>
      <c r="C1316" t="s">
        <v>3073</v>
      </c>
      <c r="D1316" t="s">
        <v>7</v>
      </c>
      <c r="E1316" t="s">
        <v>8</v>
      </c>
      <c r="F1316" s="22">
        <v>0</v>
      </c>
      <c r="G1316" s="22">
        <v>0</v>
      </c>
      <c r="H1316" s="22">
        <v>0</v>
      </c>
      <c r="I1316" s="22">
        <v>0</v>
      </c>
      <c r="J1316">
        <v>0</v>
      </c>
      <c r="K1316">
        <v>0</v>
      </c>
      <c r="L1316" s="22">
        <v>0</v>
      </c>
      <c r="M1316" s="22">
        <v>0</v>
      </c>
      <c r="N1316" s="22">
        <v>0</v>
      </c>
      <c r="O1316" s="22">
        <v>0</v>
      </c>
      <c r="P1316" s="22">
        <v>0</v>
      </c>
      <c r="Q1316" s="22">
        <v>0</v>
      </c>
      <c r="R1316">
        <v>0</v>
      </c>
      <c r="T1316" t="s">
        <v>3050</v>
      </c>
      <c r="U1316" t="s">
        <v>3057</v>
      </c>
      <c r="V1316" t="s">
        <v>3056</v>
      </c>
    </row>
    <row r="1317" spans="1:22">
      <c r="A1317">
        <v>1316</v>
      </c>
      <c r="B1317" t="s">
        <v>3074</v>
      </c>
      <c r="C1317" t="s">
        <v>3075</v>
      </c>
      <c r="D1317" t="s">
        <v>17</v>
      </c>
      <c r="E1317" t="s">
        <v>8</v>
      </c>
      <c r="F1317" s="22">
        <v>0</v>
      </c>
      <c r="G1317" s="22">
        <v>0</v>
      </c>
      <c r="H1317" s="22">
        <v>0</v>
      </c>
      <c r="I1317" s="22">
        <v>0</v>
      </c>
      <c r="J1317">
        <v>0</v>
      </c>
      <c r="K1317">
        <v>0</v>
      </c>
      <c r="L1317" s="22">
        <v>0</v>
      </c>
      <c r="M1317" s="22">
        <v>0</v>
      </c>
      <c r="N1317" s="22">
        <v>0</v>
      </c>
      <c r="O1317" s="22">
        <v>0</v>
      </c>
      <c r="P1317" s="22">
        <v>0</v>
      </c>
      <c r="Q1317" s="22">
        <v>0</v>
      </c>
      <c r="R1317">
        <v>0</v>
      </c>
      <c r="T1317" t="s">
        <v>3076</v>
      </c>
      <c r="U1317" t="s">
        <v>3057</v>
      </c>
      <c r="V1317" t="s">
        <v>3058</v>
      </c>
    </row>
    <row r="1318" spans="1:22">
      <c r="A1318">
        <v>1317</v>
      </c>
      <c r="B1318" t="s">
        <v>2975</v>
      </c>
      <c r="C1318" t="s">
        <v>2976</v>
      </c>
      <c r="D1318" t="s">
        <v>17</v>
      </c>
      <c r="E1318" t="s">
        <v>8</v>
      </c>
      <c r="F1318" s="22">
        <v>0</v>
      </c>
      <c r="G1318" s="22">
        <v>0</v>
      </c>
      <c r="H1318" s="22">
        <v>0</v>
      </c>
      <c r="I1318" s="22">
        <v>0</v>
      </c>
      <c r="J1318">
        <v>0</v>
      </c>
      <c r="K1318">
        <v>0</v>
      </c>
      <c r="L1318" s="22">
        <v>0</v>
      </c>
      <c r="M1318" s="22">
        <v>0</v>
      </c>
      <c r="N1318" s="22">
        <v>0</v>
      </c>
      <c r="O1318" s="22">
        <v>0</v>
      </c>
      <c r="P1318" s="22">
        <v>0</v>
      </c>
      <c r="Q1318" s="22">
        <v>0</v>
      </c>
      <c r="R1318">
        <v>0</v>
      </c>
      <c r="T1318" t="s">
        <v>2963</v>
      </c>
      <c r="U1318" t="s">
        <v>3057</v>
      </c>
      <c r="V1318" t="s">
        <v>3058</v>
      </c>
    </row>
    <row r="1319" spans="1:22">
      <c r="A1319">
        <v>1318</v>
      </c>
      <c r="B1319" t="s">
        <v>3087</v>
      </c>
      <c r="C1319" t="s">
        <v>3088</v>
      </c>
      <c r="D1319" t="s">
        <v>17</v>
      </c>
      <c r="E1319" t="s">
        <v>8</v>
      </c>
      <c r="F1319" s="22">
        <v>0</v>
      </c>
      <c r="G1319" s="22">
        <v>0</v>
      </c>
      <c r="H1319" s="22">
        <v>0</v>
      </c>
      <c r="I1319" s="22">
        <v>0</v>
      </c>
      <c r="J1319">
        <v>0</v>
      </c>
      <c r="K1319">
        <v>0</v>
      </c>
      <c r="L1319" s="22">
        <v>0</v>
      </c>
      <c r="M1319" s="22">
        <v>0</v>
      </c>
      <c r="N1319" s="22">
        <v>0</v>
      </c>
      <c r="O1319" s="22">
        <v>0</v>
      </c>
      <c r="P1319" s="22">
        <v>0</v>
      </c>
      <c r="Q1319" s="22">
        <v>0</v>
      </c>
      <c r="R1319">
        <v>0</v>
      </c>
      <c r="T1319" t="s">
        <v>2982</v>
      </c>
      <c r="U1319" t="s">
        <v>3060</v>
      </c>
      <c r="V1319" t="s">
        <v>3058</v>
      </c>
    </row>
    <row r="1320" spans="1:22">
      <c r="A1320">
        <v>1319</v>
      </c>
      <c r="B1320" t="s">
        <v>3089</v>
      </c>
      <c r="C1320" t="s">
        <v>3090</v>
      </c>
      <c r="D1320" t="s">
        <v>17</v>
      </c>
      <c r="E1320" t="s">
        <v>8</v>
      </c>
      <c r="F1320" s="22">
        <v>0</v>
      </c>
      <c r="G1320" s="22">
        <v>0</v>
      </c>
      <c r="H1320" s="22">
        <v>0</v>
      </c>
      <c r="I1320" s="22">
        <v>0</v>
      </c>
      <c r="J1320">
        <v>0</v>
      </c>
      <c r="K1320">
        <v>0</v>
      </c>
      <c r="L1320" s="22">
        <v>0</v>
      </c>
      <c r="M1320" s="22">
        <v>0</v>
      </c>
      <c r="N1320" s="22">
        <v>0</v>
      </c>
      <c r="O1320" s="22">
        <v>0</v>
      </c>
      <c r="P1320" s="22">
        <v>0</v>
      </c>
      <c r="Q1320" s="22">
        <v>0</v>
      </c>
      <c r="R1320">
        <v>0</v>
      </c>
      <c r="T1320" t="s">
        <v>2982</v>
      </c>
      <c r="U1320" t="s">
        <v>3060</v>
      </c>
      <c r="V1320" t="s">
        <v>3058</v>
      </c>
    </row>
    <row r="1321" spans="1:22">
      <c r="A1321">
        <v>1320</v>
      </c>
      <c r="B1321" t="s">
        <v>3091</v>
      </c>
      <c r="C1321" t="s">
        <v>3092</v>
      </c>
      <c r="D1321" t="s">
        <v>17</v>
      </c>
      <c r="E1321" t="s">
        <v>8</v>
      </c>
      <c r="F1321" s="22">
        <v>0</v>
      </c>
      <c r="G1321" s="22">
        <v>0</v>
      </c>
      <c r="H1321" s="22">
        <v>0</v>
      </c>
      <c r="I1321" s="22">
        <v>0</v>
      </c>
      <c r="J1321">
        <v>0</v>
      </c>
      <c r="K1321">
        <v>0</v>
      </c>
      <c r="L1321" s="22">
        <v>0</v>
      </c>
      <c r="M1321" s="22">
        <v>0</v>
      </c>
      <c r="N1321" s="22">
        <v>0</v>
      </c>
      <c r="O1321" s="22">
        <v>0</v>
      </c>
      <c r="P1321" s="22">
        <v>0</v>
      </c>
      <c r="Q1321" s="22">
        <v>0</v>
      </c>
      <c r="R1321">
        <v>0</v>
      </c>
      <c r="T1321" t="s">
        <v>2982</v>
      </c>
      <c r="U1321" t="s">
        <v>3060</v>
      </c>
      <c r="V1321" t="s">
        <v>3058</v>
      </c>
    </row>
    <row r="1322" spans="1:22">
      <c r="A1322">
        <v>1321</v>
      </c>
      <c r="B1322" t="s">
        <v>3093</v>
      </c>
      <c r="C1322" t="s">
        <v>3094</v>
      </c>
      <c r="D1322" t="s">
        <v>17</v>
      </c>
      <c r="E1322" t="s">
        <v>8</v>
      </c>
      <c r="F1322" s="22">
        <v>0</v>
      </c>
      <c r="G1322" s="22">
        <v>0</v>
      </c>
      <c r="H1322" s="22">
        <v>0</v>
      </c>
      <c r="I1322" s="22">
        <v>0</v>
      </c>
      <c r="J1322">
        <v>0</v>
      </c>
      <c r="K1322">
        <v>0</v>
      </c>
      <c r="L1322" s="22">
        <v>0</v>
      </c>
      <c r="M1322" s="22">
        <v>0</v>
      </c>
      <c r="N1322" s="22">
        <v>0</v>
      </c>
      <c r="O1322" s="22">
        <v>0</v>
      </c>
      <c r="P1322" s="22">
        <v>0</v>
      </c>
      <c r="Q1322" s="22">
        <v>0</v>
      </c>
      <c r="R1322">
        <v>0</v>
      </c>
      <c r="T1322" t="s">
        <v>2982</v>
      </c>
      <c r="U1322" t="s">
        <v>3060</v>
      </c>
      <c r="V1322" t="s">
        <v>3058</v>
      </c>
    </row>
    <row r="1323" spans="1:22">
      <c r="A1323">
        <v>1322</v>
      </c>
      <c r="B1323" t="s">
        <v>3095</v>
      </c>
      <c r="C1323" t="s">
        <v>3096</v>
      </c>
      <c r="D1323" t="s">
        <v>17</v>
      </c>
      <c r="E1323" t="s">
        <v>8</v>
      </c>
      <c r="F1323" s="22">
        <v>0</v>
      </c>
      <c r="G1323" s="22">
        <v>0</v>
      </c>
      <c r="H1323" s="22">
        <v>0</v>
      </c>
      <c r="I1323" s="22">
        <v>0</v>
      </c>
      <c r="J1323">
        <v>0</v>
      </c>
      <c r="K1323">
        <v>0</v>
      </c>
      <c r="L1323" s="22">
        <v>0</v>
      </c>
      <c r="M1323" s="22">
        <v>0</v>
      </c>
      <c r="N1323" s="22">
        <v>0</v>
      </c>
      <c r="O1323" s="22">
        <v>0</v>
      </c>
      <c r="P1323" s="22">
        <v>0</v>
      </c>
      <c r="Q1323" s="22">
        <v>0</v>
      </c>
      <c r="R1323">
        <v>0</v>
      </c>
      <c r="T1323" t="s">
        <v>2982</v>
      </c>
      <c r="U1323" t="s">
        <v>3060</v>
      </c>
      <c r="V1323" t="s">
        <v>3058</v>
      </c>
    </row>
    <row r="1324" spans="1:22">
      <c r="A1324">
        <v>1323</v>
      </c>
      <c r="B1324" t="s">
        <v>3097</v>
      </c>
      <c r="C1324" t="s">
        <v>3098</v>
      </c>
      <c r="D1324" t="s">
        <v>17</v>
      </c>
      <c r="E1324" t="s">
        <v>8</v>
      </c>
      <c r="F1324" s="22">
        <v>0</v>
      </c>
      <c r="G1324" s="22">
        <v>0</v>
      </c>
      <c r="H1324" s="22">
        <v>0</v>
      </c>
      <c r="I1324" s="22">
        <v>0</v>
      </c>
      <c r="J1324">
        <v>0</v>
      </c>
      <c r="K1324">
        <v>0</v>
      </c>
      <c r="L1324" s="22">
        <v>0</v>
      </c>
      <c r="M1324" s="22">
        <v>0</v>
      </c>
      <c r="N1324" s="22">
        <v>0</v>
      </c>
      <c r="O1324" s="22">
        <v>0</v>
      </c>
      <c r="P1324" s="22">
        <v>0</v>
      </c>
      <c r="Q1324" s="22">
        <v>0</v>
      </c>
      <c r="R1324">
        <v>0</v>
      </c>
      <c r="T1324" t="s">
        <v>2982</v>
      </c>
      <c r="U1324" t="s">
        <v>3060</v>
      </c>
      <c r="V1324" t="s">
        <v>3058</v>
      </c>
    </row>
    <row r="1325" spans="1:22">
      <c r="A1325">
        <v>1324</v>
      </c>
      <c r="B1325" t="s">
        <v>3100</v>
      </c>
      <c r="C1325" t="s">
        <v>3101</v>
      </c>
      <c r="D1325" t="s">
        <v>17</v>
      </c>
      <c r="E1325" t="s">
        <v>8</v>
      </c>
      <c r="F1325" s="22">
        <v>0</v>
      </c>
      <c r="G1325" s="22">
        <v>0</v>
      </c>
      <c r="H1325" s="22">
        <v>0</v>
      </c>
      <c r="I1325" s="22">
        <v>0</v>
      </c>
      <c r="J1325">
        <v>0</v>
      </c>
      <c r="K1325">
        <v>0</v>
      </c>
      <c r="L1325" s="22">
        <v>0</v>
      </c>
      <c r="M1325" s="22">
        <v>0</v>
      </c>
      <c r="N1325" s="22">
        <v>0</v>
      </c>
      <c r="O1325" s="22">
        <v>0</v>
      </c>
      <c r="P1325" s="22">
        <v>0</v>
      </c>
      <c r="Q1325" s="22">
        <v>0</v>
      </c>
      <c r="R1325">
        <v>0</v>
      </c>
      <c r="T1325" t="s">
        <v>2982</v>
      </c>
      <c r="U1325" t="s">
        <v>3060</v>
      </c>
      <c r="V1325" t="s">
        <v>3058</v>
      </c>
    </row>
    <row r="1326" spans="1:22">
      <c r="A1326">
        <v>1325</v>
      </c>
      <c r="B1326" t="s">
        <v>2977</v>
      </c>
      <c r="C1326" t="s">
        <v>2978</v>
      </c>
      <c r="D1326" t="s">
        <v>17</v>
      </c>
      <c r="E1326" t="s">
        <v>8</v>
      </c>
      <c r="F1326" s="22">
        <v>0</v>
      </c>
      <c r="G1326" s="22">
        <v>0</v>
      </c>
      <c r="H1326" s="22">
        <v>0</v>
      </c>
      <c r="I1326" s="22">
        <v>0</v>
      </c>
      <c r="J1326">
        <v>0</v>
      </c>
      <c r="K1326">
        <v>0</v>
      </c>
      <c r="L1326" s="22">
        <v>0</v>
      </c>
      <c r="M1326" s="22">
        <v>0</v>
      </c>
      <c r="N1326" s="22">
        <v>0</v>
      </c>
      <c r="O1326" s="22">
        <v>0</v>
      </c>
      <c r="P1326" s="22">
        <v>0</v>
      </c>
      <c r="Q1326" s="22">
        <v>0</v>
      </c>
      <c r="R1326">
        <v>0</v>
      </c>
      <c r="T1326" t="s">
        <v>2963</v>
      </c>
      <c r="U1326" t="s">
        <v>3057</v>
      </c>
      <c r="V1326" t="s">
        <v>3058</v>
      </c>
    </row>
    <row r="1327" spans="1:22">
      <c r="A1327">
        <v>1326</v>
      </c>
      <c r="B1327" t="s">
        <v>3104</v>
      </c>
      <c r="C1327" t="s">
        <v>3105</v>
      </c>
      <c r="D1327" t="s">
        <v>17</v>
      </c>
      <c r="E1327" t="s">
        <v>8</v>
      </c>
      <c r="F1327" s="22">
        <v>0</v>
      </c>
      <c r="G1327" s="22">
        <v>0</v>
      </c>
      <c r="H1327" s="22">
        <v>0</v>
      </c>
      <c r="I1327" s="22">
        <v>0</v>
      </c>
      <c r="J1327">
        <v>0</v>
      </c>
      <c r="K1327">
        <v>0</v>
      </c>
      <c r="L1327" s="22">
        <v>0</v>
      </c>
      <c r="M1327" s="22">
        <v>0</v>
      </c>
      <c r="N1327" s="22">
        <v>0</v>
      </c>
      <c r="O1327" s="22">
        <v>0</v>
      </c>
      <c r="P1327" s="22">
        <v>0</v>
      </c>
      <c r="Q1327" s="22">
        <v>0</v>
      </c>
      <c r="R1327">
        <v>0</v>
      </c>
      <c r="T1327" t="s">
        <v>3006</v>
      </c>
      <c r="U1327" t="s">
        <v>3060</v>
      </c>
      <c r="V1327" t="s">
        <v>3058</v>
      </c>
    </row>
    <row r="1328" spans="1:22">
      <c r="A1328">
        <v>1327</v>
      </c>
      <c r="B1328" t="s">
        <v>2915</v>
      </c>
      <c r="C1328" t="s">
        <v>2916</v>
      </c>
      <c r="D1328" t="s">
        <v>17</v>
      </c>
      <c r="E1328" t="s">
        <v>8</v>
      </c>
      <c r="F1328" s="22">
        <v>826</v>
      </c>
      <c r="G1328" s="22">
        <v>0</v>
      </c>
      <c r="H1328" s="22">
        <v>41</v>
      </c>
      <c r="I1328" s="22">
        <v>785</v>
      </c>
      <c r="J1328">
        <v>0</v>
      </c>
      <c r="K1328">
        <v>0</v>
      </c>
      <c r="L1328" s="22">
        <v>785</v>
      </c>
      <c r="M1328" s="22">
        <v>0</v>
      </c>
      <c r="N1328" s="22">
        <v>0</v>
      </c>
      <c r="O1328" s="22">
        <v>785</v>
      </c>
      <c r="P1328" s="22">
        <v>250</v>
      </c>
      <c r="Q1328" s="22">
        <v>535</v>
      </c>
      <c r="R1328">
        <v>0</v>
      </c>
      <c r="T1328" t="s">
        <v>2972</v>
      </c>
      <c r="U1328" t="s">
        <v>3060</v>
      </c>
      <c r="V1328" t="s">
        <v>3058</v>
      </c>
    </row>
    <row r="1329" spans="1:22">
      <c r="A1329">
        <v>1328</v>
      </c>
      <c r="B1329" t="s">
        <v>2992</v>
      </c>
      <c r="C1329" t="s">
        <v>2993</v>
      </c>
      <c r="D1329" t="s">
        <v>17</v>
      </c>
      <c r="E1329" t="s">
        <v>8</v>
      </c>
      <c r="F1329" s="22">
        <v>0</v>
      </c>
      <c r="G1329" s="22">
        <v>0</v>
      </c>
      <c r="H1329" s="22">
        <v>0</v>
      </c>
      <c r="I1329" s="22">
        <v>0</v>
      </c>
      <c r="J1329">
        <v>0</v>
      </c>
      <c r="K1329">
        <v>0</v>
      </c>
      <c r="L1329" s="22">
        <v>0</v>
      </c>
      <c r="M1329" s="22">
        <v>0</v>
      </c>
      <c r="N1329" s="22">
        <v>0</v>
      </c>
      <c r="O1329" s="22">
        <v>0</v>
      </c>
      <c r="P1329" s="22">
        <v>0</v>
      </c>
      <c r="Q1329" s="22">
        <v>0</v>
      </c>
      <c r="R1329">
        <v>0</v>
      </c>
      <c r="T1329" t="s">
        <v>2995</v>
      </c>
      <c r="U1329" t="s">
        <v>3057</v>
      </c>
      <c r="V1329" t="s">
        <v>3056</v>
      </c>
    </row>
    <row r="1330" spans="1:22">
      <c r="A1330">
        <v>1329</v>
      </c>
      <c r="B1330" t="s">
        <v>2919</v>
      </c>
      <c r="C1330" t="s">
        <v>2920</v>
      </c>
      <c r="D1330" t="s">
        <v>17</v>
      </c>
      <c r="E1330" t="s">
        <v>8</v>
      </c>
      <c r="F1330" s="22">
        <v>56</v>
      </c>
      <c r="G1330" s="22">
        <v>5</v>
      </c>
      <c r="H1330" s="22">
        <v>20</v>
      </c>
      <c r="I1330" s="22">
        <v>41</v>
      </c>
      <c r="J1330">
        <v>0</v>
      </c>
      <c r="K1330">
        <v>0</v>
      </c>
      <c r="L1330" s="22">
        <v>41</v>
      </c>
      <c r="M1330" s="22">
        <v>35</v>
      </c>
      <c r="N1330" s="22">
        <v>0</v>
      </c>
      <c r="O1330" s="22">
        <v>76</v>
      </c>
      <c r="P1330" s="22">
        <v>40</v>
      </c>
      <c r="Q1330" s="22">
        <v>36</v>
      </c>
      <c r="R1330">
        <v>20</v>
      </c>
      <c r="T1330" t="s">
        <v>3002</v>
      </c>
      <c r="U1330" t="s">
        <v>3055</v>
      </c>
      <c r="V1330" t="s">
        <v>3056</v>
      </c>
    </row>
    <row r="1331" spans="1:22">
      <c r="A1331">
        <v>1330</v>
      </c>
      <c r="B1331" t="s">
        <v>3077</v>
      </c>
      <c r="C1331" t="s">
        <v>3078</v>
      </c>
      <c r="D1331" t="s">
        <v>17</v>
      </c>
      <c r="E1331" t="s">
        <v>8</v>
      </c>
      <c r="F1331" s="22">
        <v>0</v>
      </c>
      <c r="G1331" s="22">
        <v>23</v>
      </c>
      <c r="H1331" s="22">
        <v>0</v>
      </c>
      <c r="I1331" s="22">
        <v>23</v>
      </c>
      <c r="J1331">
        <v>0</v>
      </c>
      <c r="K1331">
        <v>0</v>
      </c>
      <c r="L1331" s="22">
        <v>23</v>
      </c>
      <c r="M1331" s="22">
        <v>0</v>
      </c>
      <c r="N1331" s="22">
        <v>0</v>
      </c>
      <c r="O1331" s="22">
        <v>23</v>
      </c>
      <c r="P1331" s="22">
        <v>0</v>
      </c>
      <c r="Q1331" s="22">
        <v>23</v>
      </c>
      <c r="R1331">
        <v>0</v>
      </c>
      <c r="T1331" t="s">
        <v>2963</v>
      </c>
      <c r="U1331" t="s">
        <v>3057</v>
      </c>
      <c r="V1331" t="s">
        <v>3056</v>
      </c>
    </row>
    <row r="1332" spans="1:22">
      <c r="A1332">
        <v>1331</v>
      </c>
      <c r="B1332" t="s">
        <v>3106</v>
      </c>
      <c r="C1332" t="s">
        <v>3107</v>
      </c>
      <c r="D1332" t="s">
        <v>17</v>
      </c>
      <c r="E1332" t="s">
        <v>8</v>
      </c>
      <c r="F1332" s="22">
        <v>0</v>
      </c>
      <c r="G1332" s="22">
        <v>0</v>
      </c>
      <c r="H1332" s="22">
        <v>0</v>
      </c>
      <c r="I1332" s="22">
        <v>0</v>
      </c>
      <c r="J1332">
        <v>0</v>
      </c>
      <c r="K1332">
        <v>0</v>
      </c>
      <c r="L1332" s="22">
        <v>0</v>
      </c>
      <c r="M1332" s="22">
        <v>0</v>
      </c>
      <c r="N1332" s="22">
        <v>0</v>
      </c>
      <c r="O1332" s="22">
        <v>0</v>
      </c>
      <c r="P1332" s="22">
        <v>0</v>
      </c>
      <c r="Q1332" s="22">
        <v>0</v>
      </c>
      <c r="R1332">
        <v>0</v>
      </c>
      <c r="T1332" t="s">
        <v>2982</v>
      </c>
      <c r="U1332" t="s">
        <v>3060</v>
      </c>
      <c r="V1332" t="s">
        <v>3058</v>
      </c>
    </row>
    <row r="1333" spans="1:22">
      <c r="A1333">
        <v>1332</v>
      </c>
      <c r="B1333" t="s">
        <v>3083</v>
      </c>
      <c r="C1333" t="s">
        <v>3084</v>
      </c>
      <c r="D1333" t="s">
        <v>17</v>
      </c>
      <c r="E1333" t="s">
        <v>8</v>
      </c>
      <c r="F1333" s="22">
        <v>0</v>
      </c>
      <c r="G1333" s="22">
        <v>0</v>
      </c>
      <c r="H1333" s="22">
        <v>0</v>
      </c>
      <c r="I1333" s="22">
        <v>0</v>
      </c>
      <c r="J1333">
        <v>0</v>
      </c>
      <c r="K1333">
        <v>0</v>
      </c>
      <c r="L1333" s="22">
        <v>0</v>
      </c>
      <c r="M1333" s="22">
        <v>0</v>
      </c>
      <c r="N1333" s="22">
        <v>0</v>
      </c>
      <c r="O1333" s="22">
        <v>0</v>
      </c>
      <c r="P1333" s="22">
        <v>0</v>
      </c>
      <c r="Q1333" s="22">
        <v>0</v>
      </c>
      <c r="R1333">
        <v>0</v>
      </c>
      <c r="T1333" t="s">
        <v>2972</v>
      </c>
      <c r="U1333" t="s">
        <v>3057</v>
      </c>
      <c r="V1333" t="s">
        <v>3056</v>
      </c>
    </row>
    <row r="1334" spans="1:22">
      <c r="A1334">
        <v>1333</v>
      </c>
      <c r="B1334" t="s">
        <v>3009</v>
      </c>
      <c r="C1334" t="s">
        <v>3010</v>
      </c>
      <c r="D1334" t="s">
        <v>17</v>
      </c>
      <c r="E1334" t="s">
        <v>8</v>
      </c>
      <c r="F1334" s="22">
        <v>0</v>
      </c>
      <c r="G1334" s="22">
        <v>0</v>
      </c>
      <c r="H1334" s="22">
        <v>0</v>
      </c>
      <c r="I1334" s="22">
        <v>0</v>
      </c>
      <c r="J1334">
        <v>0</v>
      </c>
      <c r="K1334">
        <v>0</v>
      </c>
      <c r="L1334" s="22">
        <v>0</v>
      </c>
      <c r="M1334" s="22">
        <v>0</v>
      </c>
      <c r="N1334" s="22">
        <v>0</v>
      </c>
      <c r="O1334" s="22">
        <v>0</v>
      </c>
      <c r="P1334" s="22">
        <v>0</v>
      </c>
      <c r="Q1334" s="22">
        <v>0</v>
      </c>
      <c r="R1334">
        <v>0</v>
      </c>
      <c r="T1334" t="s">
        <v>3012</v>
      </c>
      <c r="U1334" t="s">
        <v>3057</v>
      </c>
      <c r="V1334" t="s">
        <v>3056</v>
      </c>
    </row>
    <row r="1335" spans="1:22">
      <c r="A1335">
        <v>1334</v>
      </c>
      <c r="B1335" t="s">
        <v>3170</v>
      </c>
      <c r="C1335" t="s">
        <v>3171</v>
      </c>
      <c r="D1335" t="s">
        <v>7</v>
      </c>
      <c r="E1335" t="s">
        <v>8</v>
      </c>
      <c r="F1335" s="22">
        <v>1813.2</v>
      </c>
      <c r="G1335" s="22">
        <v>0</v>
      </c>
      <c r="H1335" s="22">
        <v>60.3</v>
      </c>
      <c r="I1335" s="22">
        <v>1752.9</v>
      </c>
      <c r="J1335">
        <v>0</v>
      </c>
      <c r="K1335">
        <v>0</v>
      </c>
      <c r="L1335" s="22">
        <v>1752.9</v>
      </c>
      <c r="M1335" s="22">
        <v>0</v>
      </c>
      <c r="N1335" s="22">
        <v>0</v>
      </c>
      <c r="O1335" s="22">
        <v>1752.9</v>
      </c>
      <c r="P1335" s="22">
        <v>250</v>
      </c>
      <c r="Q1335" s="22">
        <v>1502.9</v>
      </c>
      <c r="R1335">
        <v>0</v>
      </c>
      <c r="T1335" t="s">
        <v>2965</v>
      </c>
      <c r="U1335" t="s">
        <v>3055</v>
      </c>
      <c r="V1335" t="s">
        <v>3056</v>
      </c>
    </row>
    <row r="1336" spans="1:22">
      <c r="A1336">
        <v>1335</v>
      </c>
      <c r="B1336" t="s">
        <v>2888</v>
      </c>
      <c r="C1336" t="s">
        <v>2889</v>
      </c>
      <c r="D1336" t="s">
        <v>17</v>
      </c>
      <c r="E1336" t="s">
        <v>8</v>
      </c>
      <c r="F1336" s="22">
        <v>0</v>
      </c>
      <c r="G1336" s="22">
        <v>0</v>
      </c>
      <c r="H1336" s="22">
        <v>0</v>
      </c>
      <c r="I1336" s="22">
        <v>0</v>
      </c>
      <c r="J1336">
        <v>0</v>
      </c>
      <c r="K1336">
        <v>0</v>
      </c>
      <c r="L1336" s="22">
        <v>0</v>
      </c>
      <c r="M1336" s="22">
        <v>0</v>
      </c>
      <c r="N1336" s="22">
        <v>0</v>
      </c>
      <c r="O1336" s="22">
        <v>0</v>
      </c>
      <c r="P1336" s="22">
        <v>0</v>
      </c>
      <c r="Q1336" s="22">
        <v>0</v>
      </c>
      <c r="R1336">
        <v>0</v>
      </c>
      <c r="T1336" t="s">
        <v>2972</v>
      </c>
      <c r="U1336" t="s">
        <v>3055</v>
      </c>
      <c r="V1336" t="s">
        <v>3056</v>
      </c>
    </row>
    <row r="1337" spans="1:22">
      <c r="A1337">
        <v>1336</v>
      </c>
      <c r="B1337" t="s">
        <v>3172</v>
      </c>
      <c r="C1337" t="s">
        <v>3173</v>
      </c>
      <c r="D1337" t="s">
        <v>7</v>
      </c>
      <c r="E1337" t="s">
        <v>8</v>
      </c>
      <c r="F1337" s="22">
        <v>1004.3</v>
      </c>
      <c r="G1337" s="22">
        <v>0</v>
      </c>
      <c r="H1337" s="22">
        <v>217.6</v>
      </c>
      <c r="I1337" s="22">
        <v>786.7</v>
      </c>
      <c r="J1337">
        <v>0</v>
      </c>
      <c r="K1337">
        <v>0</v>
      </c>
      <c r="L1337" s="22">
        <v>786.7</v>
      </c>
      <c r="M1337" s="22">
        <v>0</v>
      </c>
      <c r="N1337" s="22">
        <v>0</v>
      </c>
      <c r="O1337" s="22">
        <v>786.7</v>
      </c>
      <c r="P1337" s="22">
        <v>250</v>
      </c>
      <c r="Q1337" s="22">
        <v>536.70000000000005</v>
      </c>
      <c r="R1337">
        <v>0</v>
      </c>
      <c r="T1337" t="s">
        <v>2965</v>
      </c>
      <c r="U1337" t="s">
        <v>3055</v>
      </c>
      <c r="V1337" t="s">
        <v>3056</v>
      </c>
    </row>
    <row r="1338" spans="1:22">
      <c r="A1338">
        <v>1337</v>
      </c>
      <c r="B1338" t="s">
        <v>3085</v>
      </c>
      <c r="C1338" t="s">
        <v>3086</v>
      </c>
      <c r="D1338" t="s">
        <v>17</v>
      </c>
      <c r="E1338" t="s">
        <v>8</v>
      </c>
      <c r="F1338" s="22">
        <v>0</v>
      </c>
      <c r="G1338" s="22">
        <v>0</v>
      </c>
      <c r="H1338" s="22">
        <v>0</v>
      </c>
      <c r="I1338" s="22">
        <v>0</v>
      </c>
      <c r="J1338">
        <v>0</v>
      </c>
      <c r="K1338">
        <v>0</v>
      </c>
      <c r="L1338" s="22">
        <v>0</v>
      </c>
      <c r="M1338" s="22">
        <v>0</v>
      </c>
      <c r="N1338" s="22">
        <v>0</v>
      </c>
      <c r="O1338" s="22">
        <v>0</v>
      </c>
      <c r="P1338" s="22">
        <v>0</v>
      </c>
      <c r="Q1338" s="22">
        <v>0</v>
      </c>
      <c r="R1338">
        <v>0</v>
      </c>
      <c r="T1338" t="s">
        <v>3012</v>
      </c>
      <c r="U1338" t="s">
        <v>3057</v>
      </c>
      <c r="V1338" t="s">
        <v>3056</v>
      </c>
    </row>
    <row r="1339" spans="1:22">
      <c r="A1339">
        <v>1338</v>
      </c>
      <c r="B1339" t="s">
        <v>2900</v>
      </c>
      <c r="C1339" t="s">
        <v>2901</v>
      </c>
      <c r="D1339" t="s">
        <v>17</v>
      </c>
      <c r="E1339" t="s">
        <v>8</v>
      </c>
      <c r="F1339" s="22">
        <v>900</v>
      </c>
      <c r="G1339" s="22">
        <v>0</v>
      </c>
      <c r="H1339" s="22">
        <v>0</v>
      </c>
      <c r="I1339" s="22">
        <v>900</v>
      </c>
      <c r="J1339">
        <v>0</v>
      </c>
      <c r="K1339">
        <v>0</v>
      </c>
      <c r="L1339" s="22">
        <v>900</v>
      </c>
      <c r="M1339" s="22">
        <v>0</v>
      </c>
      <c r="N1339" s="22">
        <v>0</v>
      </c>
      <c r="O1339" s="22">
        <v>900</v>
      </c>
      <c r="P1339" s="22">
        <v>0</v>
      </c>
      <c r="Q1339" s="22">
        <v>900</v>
      </c>
      <c r="R1339">
        <v>0</v>
      </c>
      <c r="T1339" t="s">
        <v>2972</v>
      </c>
      <c r="U1339" t="s">
        <v>3055</v>
      </c>
      <c r="V1339" t="s">
        <v>3056</v>
      </c>
    </row>
    <row r="1340" spans="1:22">
      <c r="A1340">
        <v>1339</v>
      </c>
      <c r="B1340" t="s">
        <v>3102</v>
      </c>
      <c r="C1340" t="s">
        <v>3103</v>
      </c>
      <c r="D1340" t="s">
        <v>20</v>
      </c>
      <c r="E1340" t="s">
        <v>8</v>
      </c>
      <c r="F1340" s="22">
        <v>0</v>
      </c>
      <c r="G1340" s="22">
        <v>0</v>
      </c>
      <c r="H1340" s="22">
        <v>0</v>
      </c>
      <c r="I1340" s="22">
        <v>0</v>
      </c>
      <c r="J1340">
        <v>0</v>
      </c>
      <c r="K1340">
        <v>0</v>
      </c>
      <c r="L1340" s="22">
        <v>0</v>
      </c>
      <c r="M1340" s="22">
        <v>0</v>
      </c>
      <c r="N1340" s="22">
        <v>0</v>
      </c>
      <c r="O1340" s="22">
        <v>0</v>
      </c>
      <c r="P1340" s="22">
        <v>0</v>
      </c>
      <c r="Q1340" s="22">
        <v>0</v>
      </c>
      <c r="R1340">
        <v>0</v>
      </c>
      <c r="T1340" t="s">
        <v>2991</v>
      </c>
      <c r="U1340" t="s">
        <v>3057</v>
      </c>
      <c r="V1340" t="s">
        <v>3056</v>
      </c>
    </row>
    <row r="1341" spans="1:22">
      <c r="A1341">
        <v>1340</v>
      </c>
      <c r="B1341" t="s">
        <v>2917</v>
      </c>
      <c r="C1341" t="s">
        <v>2918</v>
      </c>
      <c r="D1341" t="s">
        <v>17</v>
      </c>
      <c r="E1341" t="s">
        <v>8</v>
      </c>
      <c r="F1341" s="22">
        <v>4100</v>
      </c>
      <c r="G1341" s="22">
        <v>0</v>
      </c>
      <c r="H1341" s="22">
        <v>225</v>
      </c>
      <c r="I1341" s="22">
        <v>3875</v>
      </c>
      <c r="J1341">
        <v>0</v>
      </c>
      <c r="K1341">
        <v>0</v>
      </c>
      <c r="L1341" s="22">
        <v>3875</v>
      </c>
      <c r="M1341" s="22">
        <v>0</v>
      </c>
      <c r="N1341" s="22">
        <v>0</v>
      </c>
      <c r="O1341" s="22">
        <v>3875</v>
      </c>
      <c r="P1341" s="22">
        <v>500</v>
      </c>
      <c r="Q1341" s="22">
        <v>3375</v>
      </c>
      <c r="R1341">
        <v>0</v>
      </c>
      <c r="T1341" t="s">
        <v>2991</v>
      </c>
      <c r="U1341" t="s">
        <v>3057</v>
      </c>
      <c r="V1341" t="s">
        <v>3056</v>
      </c>
    </row>
    <row r="1342" spans="1:22">
      <c r="A1342">
        <v>1341</v>
      </c>
      <c r="B1342" t="s">
        <v>3108</v>
      </c>
      <c r="C1342" t="s">
        <v>3109</v>
      </c>
      <c r="D1342" t="s">
        <v>17</v>
      </c>
      <c r="E1342" t="s">
        <v>8</v>
      </c>
      <c r="F1342" s="22">
        <v>0</v>
      </c>
      <c r="G1342" s="22">
        <v>0</v>
      </c>
      <c r="H1342" s="22">
        <v>0</v>
      </c>
      <c r="I1342" s="22">
        <v>0</v>
      </c>
      <c r="J1342">
        <v>0</v>
      </c>
      <c r="K1342">
        <v>0</v>
      </c>
      <c r="L1342" s="22">
        <v>0</v>
      </c>
      <c r="M1342" s="22">
        <v>0</v>
      </c>
      <c r="N1342" s="22">
        <v>0</v>
      </c>
      <c r="O1342" s="22">
        <v>0</v>
      </c>
      <c r="P1342" s="22">
        <v>0</v>
      </c>
      <c r="Q1342" s="22">
        <v>0</v>
      </c>
      <c r="R1342">
        <v>0</v>
      </c>
      <c r="T1342" t="s">
        <v>2982</v>
      </c>
      <c r="U1342" t="s">
        <v>3060</v>
      </c>
      <c r="V1342" t="s">
        <v>3058</v>
      </c>
    </row>
    <row r="1343" spans="1:22">
      <c r="A1343">
        <v>1342</v>
      </c>
      <c r="B1343" t="s">
        <v>2921</v>
      </c>
      <c r="C1343" t="s">
        <v>2922</v>
      </c>
      <c r="D1343" t="s">
        <v>17</v>
      </c>
      <c r="E1343" t="s">
        <v>8</v>
      </c>
      <c r="F1343" s="22">
        <v>0</v>
      </c>
      <c r="G1343" s="22">
        <v>0</v>
      </c>
      <c r="H1343" s="22">
        <v>0</v>
      </c>
      <c r="I1343" s="22">
        <v>0</v>
      </c>
      <c r="J1343">
        <v>0</v>
      </c>
      <c r="K1343">
        <v>0</v>
      </c>
      <c r="L1343" s="22">
        <v>0</v>
      </c>
      <c r="M1343" s="22">
        <v>0</v>
      </c>
      <c r="N1343" s="22">
        <v>0</v>
      </c>
      <c r="O1343" s="22">
        <v>0</v>
      </c>
      <c r="P1343" s="22">
        <v>0</v>
      </c>
      <c r="Q1343" s="22">
        <v>0</v>
      </c>
      <c r="R1343">
        <v>0</v>
      </c>
      <c r="T1343" t="s">
        <v>2972</v>
      </c>
      <c r="U1343" t="s">
        <v>3057</v>
      </c>
      <c r="V1343" t="s">
        <v>3058</v>
      </c>
    </row>
    <row r="1344" spans="1:22">
      <c r="A1344">
        <v>1343</v>
      </c>
      <c r="B1344" t="s">
        <v>2925</v>
      </c>
      <c r="C1344" t="s">
        <v>2926</v>
      </c>
      <c r="D1344" t="s">
        <v>17</v>
      </c>
      <c r="E1344" t="s">
        <v>8</v>
      </c>
      <c r="F1344" s="22">
        <v>0</v>
      </c>
      <c r="G1344" s="22">
        <v>0</v>
      </c>
      <c r="H1344" s="22">
        <v>0</v>
      </c>
      <c r="I1344" s="22">
        <v>0</v>
      </c>
      <c r="J1344">
        <v>0</v>
      </c>
      <c r="K1344">
        <v>0</v>
      </c>
      <c r="L1344" s="22">
        <v>0</v>
      </c>
      <c r="M1344" s="22">
        <v>0</v>
      </c>
      <c r="N1344" s="22">
        <v>0</v>
      </c>
      <c r="O1344" s="22">
        <v>0</v>
      </c>
      <c r="P1344" s="22">
        <v>0</v>
      </c>
      <c r="Q1344" s="22">
        <v>0</v>
      </c>
      <c r="R1344">
        <v>0</v>
      </c>
      <c r="T1344" t="s">
        <v>2972</v>
      </c>
      <c r="U1344" t="s">
        <v>3057</v>
      </c>
      <c r="V1344" t="s">
        <v>3058</v>
      </c>
    </row>
    <row r="1345" spans="1:22">
      <c r="A1345">
        <v>1344</v>
      </c>
      <c r="B1345" t="s">
        <v>2894</v>
      </c>
      <c r="C1345" t="s">
        <v>2895</v>
      </c>
      <c r="D1345" t="s">
        <v>17</v>
      </c>
      <c r="E1345" t="s">
        <v>8</v>
      </c>
      <c r="F1345" s="22">
        <v>5400</v>
      </c>
      <c r="G1345" s="22">
        <v>5020</v>
      </c>
      <c r="H1345" s="22">
        <v>3295</v>
      </c>
      <c r="I1345" s="22">
        <v>7125</v>
      </c>
      <c r="J1345">
        <v>0</v>
      </c>
      <c r="K1345">
        <v>0</v>
      </c>
      <c r="L1345" s="22">
        <v>7125</v>
      </c>
      <c r="M1345" s="22">
        <v>0</v>
      </c>
      <c r="N1345" s="22">
        <v>0</v>
      </c>
      <c r="O1345" s="22">
        <v>7125</v>
      </c>
      <c r="P1345" s="22">
        <v>5000</v>
      </c>
      <c r="Q1345" s="22">
        <v>2125</v>
      </c>
      <c r="R1345">
        <v>5000</v>
      </c>
      <c r="T1345" t="s">
        <v>2972</v>
      </c>
      <c r="U1345" t="s">
        <v>3055</v>
      </c>
      <c r="V1345" t="s">
        <v>3056</v>
      </c>
    </row>
    <row r="1346" spans="1:22">
      <c r="A1346">
        <v>1345</v>
      </c>
      <c r="B1346" t="s">
        <v>2890</v>
      </c>
      <c r="C1346" t="s">
        <v>2891</v>
      </c>
      <c r="D1346" t="s">
        <v>17</v>
      </c>
      <c r="E1346" t="s">
        <v>8</v>
      </c>
      <c r="F1346" s="22">
        <v>2150</v>
      </c>
      <c r="G1346" s="22">
        <v>0</v>
      </c>
      <c r="H1346" s="22">
        <v>0</v>
      </c>
      <c r="I1346" s="22">
        <v>2150</v>
      </c>
      <c r="J1346">
        <v>0</v>
      </c>
      <c r="K1346">
        <v>0</v>
      </c>
      <c r="L1346" s="22">
        <v>2150</v>
      </c>
      <c r="M1346" s="22">
        <v>0</v>
      </c>
      <c r="N1346" s="22">
        <v>0</v>
      </c>
      <c r="O1346" s="22">
        <v>2150</v>
      </c>
      <c r="P1346" s="22">
        <v>300</v>
      </c>
      <c r="Q1346" s="22">
        <v>1850</v>
      </c>
      <c r="R1346">
        <v>0</v>
      </c>
      <c r="T1346" t="s">
        <v>2972</v>
      </c>
      <c r="U1346" t="s">
        <v>3055</v>
      </c>
      <c r="V1346" t="s">
        <v>3056</v>
      </c>
    </row>
    <row r="1347" spans="1:22">
      <c r="A1347">
        <v>1346</v>
      </c>
      <c r="B1347" t="s">
        <v>2884</v>
      </c>
      <c r="C1347" t="s">
        <v>2885</v>
      </c>
      <c r="D1347" t="s">
        <v>17</v>
      </c>
      <c r="E1347" t="s">
        <v>8</v>
      </c>
      <c r="F1347" s="22">
        <v>3606</v>
      </c>
      <c r="G1347" s="22">
        <v>0</v>
      </c>
      <c r="H1347" s="22">
        <v>400</v>
      </c>
      <c r="I1347" s="22">
        <v>3206</v>
      </c>
      <c r="J1347">
        <v>780</v>
      </c>
      <c r="K1347">
        <v>0</v>
      </c>
      <c r="L1347" s="22">
        <v>2426</v>
      </c>
      <c r="M1347" s="22">
        <v>0</v>
      </c>
      <c r="N1347" s="22">
        <v>0</v>
      </c>
      <c r="O1347" s="22">
        <v>2426</v>
      </c>
      <c r="P1347" s="22">
        <v>500</v>
      </c>
      <c r="Q1347" s="22">
        <v>1926</v>
      </c>
      <c r="R1347">
        <v>0</v>
      </c>
      <c r="T1347" t="s">
        <v>2972</v>
      </c>
      <c r="U1347" t="s">
        <v>3055</v>
      </c>
      <c r="V1347" t="s">
        <v>3056</v>
      </c>
    </row>
    <row r="1348" spans="1:22">
      <c r="A1348">
        <v>1347</v>
      </c>
      <c r="B1348" t="s">
        <v>2898</v>
      </c>
      <c r="C1348" t="s">
        <v>2899</v>
      </c>
      <c r="D1348" t="s">
        <v>17</v>
      </c>
      <c r="E1348" t="s">
        <v>8</v>
      </c>
      <c r="F1348" s="22">
        <v>5300</v>
      </c>
      <c r="G1348" s="22">
        <v>5090</v>
      </c>
      <c r="H1348" s="22">
        <v>3240</v>
      </c>
      <c r="I1348" s="22">
        <v>7150</v>
      </c>
      <c r="J1348">
        <v>0</v>
      </c>
      <c r="K1348">
        <v>0</v>
      </c>
      <c r="L1348" s="22">
        <v>7150</v>
      </c>
      <c r="M1348" s="22">
        <v>0</v>
      </c>
      <c r="N1348" s="22">
        <v>0</v>
      </c>
      <c r="O1348" s="22">
        <v>7150</v>
      </c>
      <c r="P1348" s="22">
        <v>5000</v>
      </c>
      <c r="Q1348" s="22">
        <v>2150</v>
      </c>
      <c r="R1348">
        <v>5000</v>
      </c>
      <c r="T1348" t="s">
        <v>2972</v>
      </c>
      <c r="U1348" t="s">
        <v>3055</v>
      </c>
      <c r="V1348" t="s">
        <v>3056</v>
      </c>
    </row>
    <row r="1349" spans="1:22">
      <c r="A1349">
        <v>1348</v>
      </c>
      <c r="B1349" t="s">
        <v>3112</v>
      </c>
      <c r="C1349" t="s">
        <v>3113</v>
      </c>
      <c r="D1349" t="s">
        <v>17</v>
      </c>
      <c r="E1349" t="s">
        <v>8</v>
      </c>
      <c r="F1349" s="22">
        <v>0</v>
      </c>
      <c r="G1349" s="22">
        <v>0</v>
      </c>
      <c r="H1349" s="22">
        <v>0</v>
      </c>
      <c r="I1349" s="22">
        <v>0</v>
      </c>
      <c r="J1349">
        <v>0</v>
      </c>
      <c r="K1349">
        <v>0</v>
      </c>
      <c r="L1349" s="22">
        <v>0</v>
      </c>
      <c r="M1349" s="22">
        <v>0</v>
      </c>
      <c r="N1349" s="22">
        <v>0</v>
      </c>
      <c r="O1349" s="22">
        <v>0</v>
      </c>
      <c r="P1349" s="22">
        <v>0</v>
      </c>
      <c r="Q1349" s="22">
        <v>0</v>
      </c>
      <c r="R1349">
        <v>0</v>
      </c>
      <c r="T1349" t="s">
        <v>2982</v>
      </c>
      <c r="U1349" t="s">
        <v>3060</v>
      </c>
      <c r="V1349" t="s">
        <v>3058</v>
      </c>
    </row>
    <row r="1350" spans="1:22">
      <c r="A1350">
        <v>1349</v>
      </c>
      <c r="B1350" t="s">
        <v>3110</v>
      </c>
      <c r="C1350" t="s">
        <v>3111</v>
      </c>
      <c r="D1350" t="s">
        <v>20</v>
      </c>
      <c r="E1350" t="s">
        <v>8</v>
      </c>
      <c r="F1350" s="22">
        <v>0</v>
      </c>
      <c r="G1350" s="22">
        <v>0</v>
      </c>
      <c r="H1350" s="22">
        <v>0</v>
      </c>
      <c r="I1350" s="22">
        <v>0</v>
      </c>
      <c r="J1350">
        <v>0</v>
      </c>
      <c r="K1350">
        <v>0</v>
      </c>
      <c r="L1350" s="22">
        <v>0</v>
      </c>
      <c r="M1350" s="22">
        <v>0</v>
      </c>
      <c r="N1350" s="22">
        <v>0</v>
      </c>
      <c r="O1350" s="22">
        <v>0</v>
      </c>
      <c r="P1350" s="22">
        <v>0</v>
      </c>
      <c r="Q1350" s="22">
        <v>0</v>
      </c>
      <c r="R1350">
        <v>0</v>
      </c>
      <c r="T1350" t="s">
        <v>3000</v>
      </c>
      <c r="U1350" t="s">
        <v>3057</v>
      </c>
      <c r="V1350" t="s">
        <v>3056</v>
      </c>
    </row>
    <row r="1351" spans="1:22">
      <c r="A1351">
        <v>1350</v>
      </c>
      <c r="B1351" t="s">
        <v>2882</v>
      </c>
      <c r="C1351" t="s">
        <v>2883</v>
      </c>
      <c r="D1351" t="s">
        <v>17</v>
      </c>
      <c r="E1351" t="s">
        <v>8</v>
      </c>
      <c r="F1351" s="22">
        <v>23650</v>
      </c>
      <c r="G1351" s="22">
        <v>0</v>
      </c>
      <c r="H1351" s="22">
        <v>0</v>
      </c>
      <c r="I1351" s="22">
        <v>23650</v>
      </c>
      <c r="J1351">
        <v>0</v>
      </c>
      <c r="K1351">
        <v>0</v>
      </c>
      <c r="L1351" s="22">
        <v>23650</v>
      </c>
      <c r="M1351" s="22">
        <v>0</v>
      </c>
      <c r="N1351" s="22">
        <v>0</v>
      </c>
      <c r="O1351" s="22">
        <v>23650</v>
      </c>
      <c r="P1351" s="22">
        <v>5000</v>
      </c>
      <c r="Q1351" s="22">
        <v>18650</v>
      </c>
      <c r="R1351">
        <v>0</v>
      </c>
      <c r="T1351" t="s">
        <v>2972</v>
      </c>
      <c r="U1351" t="s">
        <v>3055</v>
      </c>
      <c r="V1351" t="s">
        <v>3056</v>
      </c>
    </row>
    <row r="1352" spans="1:22">
      <c r="A1352">
        <v>1351</v>
      </c>
      <c r="B1352" t="s">
        <v>3174</v>
      </c>
      <c r="C1352" t="s">
        <v>3175</v>
      </c>
      <c r="D1352" t="s">
        <v>7</v>
      </c>
      <c r="E1352" t="s">
        <v>8</v>
      </c>
      <c r="F1352" s="22">
        <v>1200</v>
      </c>
      <c r="G1352" s="22">
        <v>0</v>
      </c>
      <c r="H1352" s="22">
        <v>0</v>
      </c>
      <c r="I1352" s="22">
        <v>1200</v>
      </c>
      <c r="J1352">
        <v>0</v>
      </c>
      <c r="K1352">
        <v>0</v>
      </c>
      <c r="L1352" s="22">
        <v>1200</v>
      </c>
      <c r="M1352" s="22">
        <v>0</v>
      </c>
      <c r="N1352" s="22">
        <v>0</v>
      </c>
      <c r="O1352" s="22">
        <v>1200</v>
      </c>
      <c r="P1352" s="22">
        <v>7200</v>
      </c>
      <c r="Q1352" s="22">
        <v>-6000</v>
      </c>
      <c r="R1352">
        <v>0</v>
      </c>
      <c r="T1352" t="s">
        <v>2972</v>
      </c>
      <c r="U1352" t="s">
        <v>3057</v>
      </c>
      <c r="V1352" t="s">
        <v>3056</v>
      </c>
    </row>
    <row r="1353" spans="1:22">
      <c r="A1353">
        <v>1352</v>
      </c>
      <c r="B1353" t="s">
        <v>2932</v>
      </c>
      <c r="C1353" t="s">
        <v>2933</v>
      </c>
      <c r="D1353" t="s">
        <v>17</v>
      </c>
      <c r="E1353" t="s">
        <v>8</v>
      </c>
      <c r="F1353" s="22">
        <v>0</v>
      </c>
      <c r="G1353" s="22">
        <v>0</v>
      </c>
      <c r="H1353" s="22">
        <v>0</v>
      </c>
      <c r="I1353" s="22">
        <v>0</v>
      </c>
      <c r="J1353">
        <v>0</v>
      </c>
      <c r="K1353">
        <v>0</v>
      </c>
      <c r="L1353" s="22">
        <v>0</v>
      </c>
      <c r="M1353" s="22">
        <v>0</v>
      </c>
      <c r="N1353" s="22">
        <v>0</v>
      </c>
      <c r="O1353" s="22">
        <v>0</v>
      </c>
      <c r="P1353" s="22">
        <v>0</v>
      </c>
      <c r="Q1353" s="22">
        <v>0</v>
      </c>
      <c r="R1353">
        <v>0</v>
      </c>
      <c r="T1353" t="s">
        <v>2982</v>
      </c>
      <c r="U1353" t="s">
        <v>3060</v>
      </c>
      <c r="V1353" t="s">
        <v>3058</v>
      </c>
    </row>
    <row r="1354" spans="1:22">
      <c r="A1354">
        <v>1353</v>
      </c>
      <c r="B1354" t="s">
        <v>3176</v>
      </c>
      <c r="C1354" t="s">
        <v>3177</v>
      </c>
      <c r="D1354" t="s">
        <v>17</v>
      </c>
      <c r="E1354" t="s">
        <v>8</v>
      </c>
      <c r="F1354" s="22">
        <v>0</v>
      </c>
      <c r="G1354" s="22">
        <v>0</v>
      </c>
      <c r="H1354" s="22">
        <v>0</v>
      </c>
      <c r="I1354" s="22">
        <v>0</v>
      </c>
      <c r="J1354">
        <v>0</v>
      </c>
      <c r="K1354">
        <v>0</v>
      </c>
      <c r="L1354" s="22">
        <v>0</v>
      </c>
      <c r="M1354" s="22">
        <v>0</v>
      </c>
      <c r="N1354" s="22">
        <v>0</v>
      </c>
      <c r="O1354" s="22">
        <v>0</v>
      </c>
      <c r="P1354" s="22">
        <v>0</v>
      </c>
      <c r="Q1354" s="22">
        <v>0</v>
      </c>
      <c r="R1354">
        <v>0</v>
      </c>
      <c r="T1354" t="s">
        <v>2982</v>
      </c>
      <c r="U1354" t="s">
        <v>3060</v>
      </c>
      <c r="V1354" t="s">
        <v>3058</v>
      </c>
    </row>
    <row r="1355" spans="1:22">
      <c r="A1355">
        <v>1354</v>
      </c>
      <c r="B1355" t="s">
        <v>2928</v>
      </c>
      <c r="C1355" t="s">
        <v>2929</v>
      </c>
      <c r="D1355" t="s">
        <v>17</v>
      </c>
      <c r="E1355" t="s">
        <v>8</v>
      </c>
      <c r="F1355" s="22">
        <v>1120</v>
      </c>
      <c r="G1355" s="22">
        <v>0</v>
      </c>
      <c r="H1355" s="22">
        <v>0</v>
      </c>
      <c r="I1355" s="22">
        <v>1120</v>
      </c>
      <c r="J1355">
        <v>0</v>
      </c>
      <c r="K1355">
        <v>0</v>
      </c>
      <c r="L1355" s="22">
        <v>1120</v>
      </c>
      <c r="M1355" s="22">
        <v>0</v>
      </c>
      <c r="N1355" s="22">
        <v>0</v>
      </c>
      <c r="O1355" s="22">
        <v>1120</v>
      </c>
      <c r="P1355" s="22">
        <v>250</v>
      </c>
      <c r="Q1355" s="22">
        <v>870</v>
      </c>
      <c r="R1355">
        <v>0</v>
      </c>
      <c r="T1355" t="s">
        <v>2972</v>
      </c>
      <c r="U1355" t="s">
        <v>3057</v>
      </c>
      <c r="V1355" t="s">
        <v>3058</v>
      </c>
    </row>
    <row r="1356" spans="1:22">
      <c r="A1356">
        <v>1355</v>
      </c>
      <c r="B1356" t="s">
        <v>2930</v>
      </c>
      <c r="C1356" t="s">
        <v>2931</v>
      </c>
      <c r="D1356" t="s">
        <v>20</v>
      </c>
      <c r="E1356" t="s">
        <v>8</v>
      </c>
      <c r="F1356" s="22">
        <v>0</v>
      </c>
      <c r="G1356" s="22">
        <v>0</v>
      </c>
      <c r="H1356" s="22">
        <v>0</v>
      </c>
      <c r="I1356" s="22">
        <v>0</v>
      </c>
      <c r="J1356">
        <v>0</v>
      </c>
      <c r="K1356">
        <v>0</v>
      </c>
      <c r="L1356" s="22">
        <v>0</v>
      </c>
      <c r="M1356" s="22">
        <v>0</v>
      </c>
      <c r="N1356" s="22">
        <v>0</v>
      </c>
      <c r="O1356" s="22">
        <v>0</v>
      </c>
      <c r="P1356" s="22">
        <v>0</v>
      </c>
      <c r="Q1356" s="22">
        <v>0</v>
      </c>
      <c r="R1356">
        <v>0</v>
      </c>
      <c r="T1356" t="s">
        <v>3031</v>
      </c>
      <c r="U1356" t="s">
        <v>3057</v>
      </c>
      <c r="V1356" t="s">
        <v>3056</v>
      </c>
    </row>
    <row r="1357" spans="1:22">
      <c r="A1357">
        <v>1356</v>
      </c>
      <c r="B1357" t="s">
        <v>3178</v>
      </c>
      <c r="C1357" t="s">
        <v>3179</v>
      </c>
      <c r="D1357" t="s">
        <v>17</v>
      </c>
      <c r="E1357" t="s">
        <v>8</v>
      </c>
      <c r="F1357" s="22">
        <v>0</v>
      </c>
      <c r="G1357" s="22">
        <v>0</v>
      </c>
      <c r="H1357" s="22">
        <v>0</v>
      </c>
      <c r="I1357" s="22">
        <v>0</v>
      </c>
      <c r="J1357">
        <v>0</v>
      </c>
      <c r="K1357">
        <v>0</v>
      </c>
      <c r="L1357" s="22">
        <v>0</v>
      </c>
      <c r="M1357" s="22">
        <v>0</v>
      </c>
      <c r="N1357" s="22">
        <v>0</v>
      </c>
      <c r="O1357" s="22">
        <v>0</v>
      </c>
      <c r="P1357" s="22">
        <v>0</v>
      </c>
      <c r="Q1357" s="22">
        <v>0</v>
      </c>
      <c r="R1357">
        <v>0</v>
      </c>
      <c r="T1357" t="s">
        <v>2963</v>
      </c>
      <c r="U1357" t="s">
        <v>3057</v>
      </c>
      <c r="V1357" t="s">
        <v>3058</v>
      </c>
    </row>
    <row r="1358" spans="1:22">
      <c r="A1358">
        <v>1357</v>
      </c>
      <c r="B1358" t="s">
        <v>3180</v>
      </c>
      <c r="C1358" t="s">
        <v>3181</v>
      </c>
      <c r="D1358" t="s">
        <v>17</v>
      </c>
      <c r="E1358" t="s">
        <v>8</v>
      </c>
      <c r="F1358" s="22">
        <v>0</v>
      </c>
      <c r="G1358" s="22">
        <v>6590</v>
      </c>
      <c r="H1358" s="22">
        <v>5330</v>
      </c>
      <c r="I1358" s="22">
        <v>1260</v>
      </c>
      <c r="J1358">
        <v>0</v>
      </c>
      <c r="K1358">
        <v>0</v>
      </c>
      <c r="L1358" s="22">
        <v>1260</v>
      </c>
      <c r="M1358" s="22">
        <v>750</v>
      </c>
      <c r="N1358" s="22">
        <v>0</v>
      </c>
      <c r="O1358" s="22">
        <v>2010</v>
      </c>
      <c r="P1358" s="22">
        <v>0</v>
      </c>
      <c r="Q1358" s="22">
        <v>2010</v>
      </c>
      <c r="R1358">
        <v>8000</v>
      </c>
      <c r="T1358" t="s">
        <v>3006</v>
      </c>
      <c r="U1358" t="s">
        <v>3060</v>
      </c>
      <c r="V1358" t="s">
        <v>3064</v>
      </c>
    </row>
    <row r="1359" spans="1:22">
      <c r="A1359">
        <v>1358</v>
      </c>
      <c r="B1359" t="s">
        <v>3182</v>
      </c>
      <c r="C1359" t="s">
        <v>3183</v>
      </c>
      <c r="D1359" t="s">
        <v>17</v>
      </c>
      <c r="E1359" t="s">
        <v>8</v>
      </c>
      <c r="F1359" s="22">
        <v>127</v>
      </c>
      <c r="G1359" s="22">
        <v>0</v>
      </c>
      <c r="H1359" s="22">
        <v>0</v>
      </c>
      <c r="I1359" s="22">
        <v>127</v>
      </c>
      <c r="J1359">
        <v>0</v>
      </c>
      <c r="K1359">
        <v>0</v>
      </c>
      <c r="L1359" s="22">
        <v>127</v>
      </c>
      <c r="M1359" s="22">
        <v>0</v>
      </c>
      <c r="N1359" s="22">
        <v>0</v>
      </c>
      <c r="O1359" s="22">
        <v>127</v>
      </c>
      <c r="P1359" s="22">
        <v>50</v>
      </c>
      <c r="Q1359" s="22">
        <v>77</v>
      </c>
      <c r="R1359">
        <v>0</v>
      </c>
      <c r="T1359" t="s">
        <v>2972</v>
      </c>
      <c r="U1359" t="s">
        <v>3055</v>
      </c>
      <c r="V1359" t="s">
        <v>3056</v>
      </c>
    </row>
    <row r="1360" spans="1:22">
      <c r="A1360">
        <v>1359</v>
      </c>
      <c r="B1360" t="s">
        <v>3184</v>
      </c>
      <c r="C1360" t="s">
        <v>3185</v>
      </c>
      <c r="D1360" t="s">
        <v>17</v>
      </c>
      <c r="E1360" t="s">
        <v>8</v>
      </c>
      <c r="F1360" s="22">
        <v>166</v>
      </c>
      <c r="G1360" s="22">
        <v>0</v>
      </c>
      <c r="H1360" s="22">
        <v>20</v>
      </c>
      <c r="I1360" s="22">
        <v>146</v>
      </c>
      <c r="J1360">
        <v>0</v>
      </c>
      <c r="K1360">
        <v>0</v>
      </c>
      <c r="L1360" s="22">
        <v>146</v>
      </c>
      <c r="M1360" s="22">
        <v>0</v>
      </c>
      <c r="N1360" s="22">
        <v>0</v>
      </c>
      <c r="O1360" s="22">
        <v>146</v>
      </c>
      <c r="P1360" s="22">
        <v>50</v>
      </c>
      <c r="Q1360" s="22">
        <v>96</v>
      </c>
      <c r="R1360">
        <v>0</v>
      </c>
      <c r="T1360" t="s">
        <v>2972</v>
      </c>
      <c r="U1360" t="s">
        <v>3055</v>
      </c>
      <c r="V1360" t="s">
        <v>3056</v>
      </c>
    </row>
    <row r="1361" spans="1:22">
      <c r="A1361">
        <v>1360</v>
      </c>
      <c r="B1361" t="s">
        <v>3186</v>
      </c>
      <c r="C1361" t="s">
        <v>3187</v>
      </c>
      <c r="D1361" t="s">
        <v>17</v>
      </c>
      <c r="E1361" t="s">
        <v>8</v>
      </c>
      <c r="F1361" s="22">
        <v>140</v>
      </c>
      <c r="G1361" s="22">
        <v>0</v>
      </c>
      <c r="H1361" s="22">
        <v>50</v>
      </c>
      <c r="I1361" s="22">
        <v>90</v>
      </c>
      <c r="J1361">
        <v>0</v>
      </c>
      <c r="K1361">
        <v>0</v>
      </c>
      <c r="L1361" s="22">
        <v>90</v>
      </c>
      <c r="M1361" s="22">
        <v>0</v>
      </c>
      <c r="N1361" s="22">
        <v>0</v>
      </c>
      <c r="O1361" s="22">
        <v>90</v>
      </c>
      <c r="P1361" s="22">
        <v>250</v>
      </c>
      <c r="Q1361" s="22">
        <v>-160</v>
      </c>
      <c r="R1361">
        <v>0</v>
      </c>
      <c r="T1361" t="s">
        <v>2972</v>
      </c>
      <c r="U1361" t="s">
        <v>3055</v>
      </c>
      <c r="V1361" t="s">
        <v>3056</v>
      </c>
    </row>
    <row r="1362" spans="1:22">
      <c r="A1362">
        <v>1361</v>
      </c>
      <c r="B1362" t="s">
        <v>3188</v>
      </c>
      <c r="C1362" t="s">
        <v>3189</v>
      </c>
      <c r="D1362" t="s">
        <v>17</v>
      </c>
      <c r="E1362" t="s">
        <v>8</v>
      </c>
      <c r="F1362" s="22">
        <v>406</v>
      </c>
      <c r="G1362" s="22">
        <v>0</v>
      </c>
      <c r="H1362" s="22">
        <v>65</v>
      </c>
      <c r="I1362" s="22">
        <v>341</v>
      </c>
      <c r="J1362">
        <v>0</v>
      </c>
      <c r="K1362">
        <v>0</v>
      </c>
      <c r="L1362" s="22">
        <v>341</v>
      </c>
      <c r="M1362" s="22">
        <v>0</v>
      </c>
      <c r="N1362" s="22">
        <v>0</v>
      </c>
      <c r="O1362" s="22">
        <v>341</v>
      </c>
      <c r="P1362" s="22">
        <v>50</v>
      </c>
      <c r="Q1362" s="22">
        <v>291</v>
      </c>
      <c r="R1362">
        <v>0</v>
      </c>
      <c r="T1362" t="s">
        <v>2972</v>
      </c>
      <c r="U1362" t="s">
        <v>3055</v>
      </c>
      <c r="V1362" t="s">
        <v>3056</v>
      </c>
    </row>
    <row r="1363" spans="1:22">
      <c r="A1363">
        <v>1362</v>
      </c>
      <c r="B1363" t="s">
        <v>3190</v>
      </c>
      <c r="C1363" t="s">
        <v>3191</v>
      </c>
      <c r="D1363" t="s">
        <v>17</v>
      </c>
      <c r="E1363" t="s">
        <v>8</v>
      </c>
      <c r="F1363" s="22">
        <v>300</v>
      </c>
      <c r="G1363" s="22">
        <v>0</v>
      </c>
      <c r="H1363" s="22">
        <v>0</v>
      </c>
      <c r="I1363" s="22">
        <v>300</v>
      </c>
      <c r="J1363">
        <v>0</v>
      </c>
      <c r="K1363">
        <v>0</v>
      </c>
      <c r="L1363" s="22">
        <v>300</v>
      </c>
      <c r="M1363" s="22">
        <v>0</v>
      </c>
      <c r="N1363" s="22">
        <v>0</v>
      </c>
      <c r="O1363" s="22">
        <v>300</v>
      </c>
      <c r="P1363" s="22">
        <v>500</v>
      </c>
      <c r="Q1363" s="22">
        <v>-200</v>
      </c>
      <c r="R1363">
        <v>0</v>
      </c>
      <c r="T1363" t="s">
        <v>2972</v>
      </c>
      <c r="U1363" t="s">
        <v>3055</v>
      </c>
      <c r="V1363" t="s">
        <v>3056</v>
      </c>
    </row>
    <row r="1364" spans="1:22">
      <c r="A1364">
        <v>1363</v>
      </c>
      <c r="B1364" t="s">
        <v>3192</v>
      </c>
      <c r="C1364" t="s">
        <v>3193</v>
      </c>
      <c r="D1364" t="s">
        <v>17</v>
      </c>
      <c r="E1364" t="s">
        <v>8</v>
      </c>
      <c r="F1364" s="22">
        <v>564</v>
      </c>
      <c r="G1364" s="22">
        <v>0</v>
      </c>
      <c r="H1364" s="22">
        <v>45</v>
      </c>
      <c r="I1364" s="22">
        <v>519</v>
      </c>
      <c r="J1364">
        <v>0</v>
      </c>
      <c r="K1364">
        <v>0</v>
      </c>
      <c r="L1364" s="22">
        <v>519</v>
      </c>
      <c r="M1364" s="22">
        <v>0</v>
      </c>
      <c r="N1364" s="22">
        <v>0</v>
      </c>
      <c r="O1364" s="22">
        <v>519</v>
      </c>
      <c r="P1364" s="22">
        <v>100</v>
      </c>
      <c r="Q1364" s="22">
        <v>419</v>
      </c>
      <c r="R1364">
        <v>0</v>
      </c>
      <c r="T1364" t="s">
        <v>2972</v>
      </c>
      <c r="U1364" t="s">
        <v>3055</v>
      </c>
      <c r="V1364" t="s">
        <v>3056</v>
      </c>
    </row>
    <row r="1365" spans="1:22">
      <c r="A1365">
        <v>1364</v>
      </c>
      <c r="B1365" t="s">
        <v>3194</v>
      </c>
      <c r="C1365" t="s">
        <v>3195</v>
      </c>
      <c r="D1365" t="s">
        <v>17</v>
      </c>
      <c r="E1365" t="s">
        <v>8</v>
      </c>
      <c r="F1365" s="22">
        <v>419</v>
      </c>
      <c r="G1365" s="22">
        <v>0</v>
      </c>
      <c r="H1365" s="22">
        <v>220</v>
      </c>
      <c r="I1365" s="22">
        <v>199</v>
      </c>
      <c r="J1365">
        <v>0</v>
      </c>
      <c r="K1365">
        <v>0</v>
      </c>
      <c r="L1365" s="22">
        <v>199</v>
      </c>
      <c r="M1365" s="22">
        <v>0</v>
      </c>
      <c r="N1365" s="22">
        <v>0</v>
      </c>
      <c r="O1365" s="22">
        <v>199</v>
      </c>
      <c r="P1365" s="22">
        <v>260</v>
      </c>
      <c r="Q1365" s="22">
        <v>-61</v>
      </c>
      <c r="R1365">
        <v>0</v>
      </c>
      <c r="T1365" t="s">
        <v>2972</v>
      </c>
      <c r="U1365" t="s">
        <v>3055</v>
      </c>
      <c r="V1365" t="s">
        <v>3056</v>
      </c>
    </row>
    <row r="1366" spans="1:22">
      <c r="A1366">
        <v>1365</v>
      </c>
      <c r="B1366" t="s">
        <v>3196</v>
      </c>
      <c r="C1366" t="s">
        <v>3197</v>
      </c>
      <c r="D1366" t="s">
        <v>17</v>
      </c>
      <c r="E1366" t="s">
        <v>8</v>
      </c>
      <c r="F1366" s="22">
        <v>425</v>
      </c>
      <c r="G1366" s="22">
        <v>0</v>
      </c>
      <c r="H1366" s="22">
        <v>50</v>
      </c>
      <c r="I1366" s="22">
        <v>375</v>
      </c>
      <c r="J1366">
        <v>0</v>
      </c>
      <c r="K1366">
        <v>0</v>
      </c>
      <c r="L1366" s="22">
        <v>375</v>
      </c>
      <c r="M1366" s="22">
        <v>0</v>
      </c>
      <c r="N1366" s="22">
        <v>0</v>
      </c>
      <c r="O1366" s="22">
        <v>375</v>
      </c>
      <c r="P1366" s="22">
        <v>50</v>
      </c>
      <c r="Q1366" s="22">
        <v>325</v>
      </c>
      <c r="R1366">
        <v>0</v>
      </c>
      <c r="T1366" t="s">
        <v>2972</v>
      </c>
      <c r="U1366" t="s">
        <v>3055</v>
      </c>
      <c r="V1366" t="s">
        <v>3056</v>
      </c>
    </row>
    <row r="1367" spans="1:22">
      <c r="A1367">
        <v>1366</v>
      </c>
      <c r="B1367" t="s">
        <v>3198</v>
      </c>
      <c r="C1367" t="s">
        <v>3199</v>
      </c>
      <c r="D1367" t="s">
        <v>17</v>
      </c>
      <c r="E1367" t="s">
        <v>8</v>
      </c>
      <c r="F1367" s="22">
        <v>1000</v>
      </c>
      <c r="G1367" s="22">
        <v>0</v>
      </c>
      <c r="H1367" s="22">
        <v>0</v>
      </c>
      <c r="I1367" s="22">
        <v>1000</v>
      </c>
      <c r="J1367">
        <v>0</v>
      </c>
      <c r="K1367">
        <v>0</v>
      </c>
      <c r="L1367" s="22">
        <v>1000</v>
      </c>
      <c r="M1367" s="22">
        <v>0</v>
      </c>
      <c r="N1367" s="22">
        <v>0</v>
      </c>
      <c r="O1367" s="22">
        <v>1000</v>
      </c>
      <c r="P1367" s="22">
        <v>500</v>
      </c>
      <c r="Q1367" s="22">
        <v>500</v>
      </c>
      <c r="R1367">
        <v>0</v>
      </c>
      <c r="T1367" t="s">
        <v>2972</v>
      </c>
      <c r="U1367" t="s">
        <v>3055</v>
      </c>
      <c r="V1367" t="s">
        <v>3056</v>
      </c>
    </row>
    <row r="1368" spans="1:22">
      <c r="A1368">
        <v>1367</v>
      </c>
      <c r="B1368" t="s">
        <v>3200</v>
      </c>
      <c r="C1368" t="s">
        <v>3201</v>
      </c>
      <c r="D1368" t="s">
        <v>17</v>
      </c>
      <c r="E1368" t="s">
        <v>8</v>
      </c>
      <c r="F1368" s="22">
        <v>292</v>
      </c>
      <c r="G1368" s="22">
        <v>0</v>
      </c>
      <c r="H1368" s="22">
        <v>50</v>
      </c>
      <c r="I1368" s="22">
        <v>242</v>
      </c>
      <c r="J1368">
        <v>0</v>
      </c>
      <c r="K1368">
        <v>0</v>
      </c>
      <c r="L1368" s="22">
        <v>242</v>
      </c>
      <c r="M1368" s="22">
        <v>0</v>
      </c>
      <c r="N1368" s="22">
        <v>0</v>
      </c>
      <c r="O1368" s="22">
        <v>242</v>
      </c>
      <c r="P1368" s="22">
        <v>50</v>
      </c>
      <c r="Q1368" s="22">
        <v>192</v>
      </c>
      <c r="R1368">
        <v>0</v>
      </c>
      <c r="T1368" t="s">
        <v>2972</v>
      </c>
      <c r="U1368" t="s">
        <v>3055</v>
      </c>
      <c r="V1368" t="s">
        <v>3056</v>
      </c>
    </row>
    <row r="1369" spans="1:22">
      <c r="A1369">
        <v>1368</v>
      </c>
      <c r="B1369" t="s">
        <v>3202</v>
      </c>
      <c r="C1369" t="s">
        <v>3203</v>
      </c>
      <c r="D1369" t="s">
        <v>17</v>
      </c>
      <c r="E1369" t="s">
        <v>8</v>
      </c>
      <c r="F1369" s="22">
        <v>424</v>
      </c>
      <c r="G1369" s="22">
        <v>0</v>
      </c>
      <c r="H1369" s="22">
        <v>100</v>
      </c>
      <c r="I1369" s="22">
        <v>324</v>
      </c>
      <c r="J1369">
        <v>0</v>
      </c>
      <c r="K1369">
        <v>0</v>
      </c>
      <c r="L1369" s="22">
        <v>324</v>
      </c>
      <c r="M1369" s="22">
        <v>0</v>
      </c>
      <c r="N1369" s="22">
        <v>0</v>
      </c>
      <c r="O1369" s="22">
        <v>324</v>
      </c>
      <c r="P1369" s="22">
        <v>500</v>
      </c>
      <c r="Q1369" s="22">
        <v>-176</v>
      </c>
      <c r="R1369">
        <v>0</v>
      </c>
      <c r="T1369" t="s">
        <v>2972</v>
      </c>
      <c r="U1369" t="s">
        <v>3055</v>
      </c>
      <c r="V1369" t="s">
        <v>3056</v>
      </c>
    </row>
    <row r="1370" spans="1:22">
      <c r="A1370">
        <v>1369</v>
      </c>
      <c r="B1370" t="s">
        <v>3204</v>
      </c>
      <c r="C1370" t="s">
        <v>3205</v>
      </c>
      <c r="D1370" t="s">
        <v>17</v>
      </c>
      <c r="E1370" t="s">
        <v>8</v>
      </c>
      <c r="F1370" s="22">
        <v>2032</v>
      </c>
      <c r="G1370" s="22">
        <v>0</v>
      </c>
      <c r="H1370" s="22">
        <v>100</v>
      </c>
      <c r="I1370" s="22">
        <v>1932</v>
      </c>
      <c r="J1370">
        <v>0</v>
      </c>
      <c r="K1370">
        <v>0</v>
      </c>
      <c r="L1370" s="22">
        <v>1932</v>
      </c>
      <c r="M1370" s="22">
        <v>0</v>
      </c>
      <c r="N1370" s="22">
        <v>0</v>
      </c>
      <c r="O1370" s="22">
        <v>1932</v>
      </c>
      <c r="P1370" s="22">
        <v>500</v>
      </c>
      <c r="Q1370" s="22">
        <v>1432</v>
      </c>
      <c r="R1370">
        <v>0</v>
      </c>
      <c r="T1370" t="s">
        <v>2972</v>
      </c>
      <c r="U1370" t="s">
        <v>3055</v>
      </c>
      <c r="V1370" t="s">
        <v>3056</v>
      </c>
    </row>
    <row r="1371" spans="1:22">
      <c r="A1371">
        <v>1370</v>
      </c>
      <c r="B1371" t="s">
        <v>3206</v>
      </c>
      <c r="C1371" t="s">
        <v>3207</v>
      </c>
      <c r="D1371" t="s">
        <v>17</v>
      </c>
      <c r="E1371" t="s">
        <v>8</v>
      </c>
      <c r="F1371" s="22">
        <v>336</v>
      </c>
      <c r="G1371" s="22">
        <v>0</v>
      </c>
      <c r="H1371" s="22">
        <v>0</v>
      </c>
      <c r="I1371" s="22">
        <v>336</v>
      </c>
      <c r="J1371">
        <v>0</v>
      </c>
      <c r="K1371">
        <v>0</v>
      </c>
      <c r="L1371" s="22">
        <v>336</v>
      </c>
      <c r="M1371" s="22">
        <v>0</v>
      </c>
      <c r="N1371" s="22">
        <v>0</v>
      </c>
      <c r="O1371" s="22">
        <v>336</v>
      </c>
      <c r="P1371" s="22">
        <v>250</v>
      </c>
      <c r="Q1371" s="22">
        <v>86</v>
      </c>
      <c r="R1371">
        <v>200</v>
      </c>
      <c r="T1371" t="s">
        <v>2972</v>
      </c>
      <c r="U1371" t="s">
        <v>3055</v>
      </c>
      <c r="V1371" t="s">
        <v>3056</v>
      </c>
    </row>
    <row r="1372" spans="1:22">
      <c r="A1372">
        <v>1371</v>
      </c>
      <c r="B1372" t="s">
        <v>3208</v>
      </c>
      <c r="C1372" t="s">
        <v>3209</v>
      </c>
      <c r="D1372" t="s">
        <v>17</v>
      </c>
      <c r="E1372" t="s">
        <v>8</v>
      </c>
      <c r="F1372" s="22">
        <v>750</v>
      </c>
      <c r="G1372" s="22">
        <v>0</v>
      </c>
      <c r="H1372" s="22">
        <v>0</v>
      </c>
      <c r="I1372" s="22">
        <v>750</v>
      </c>
      <c r="J1372">
        <v>0</v>
      </c>
      <c r="K1372">
        <v>0</v>
      </c>
      <c r="L1372" s="22">
        <v>750</v>
      </c>
      <c r="M1372" s="22">
        <v>0</v>
      </c>
      <c r="N1372" s="22">
        <v>0</v>
      </c>
      <c r="O1372" s="22">
        <v>750</v>
      </c>
      <c r="P1372" s="22">
        <v>250</v>
      </c>
      <c r="Q1372" s="22">
        <v>500</v>
      </c>
      <c r="R1372">
        <v>0</v>
      </c>
      <c r="T1372" t="s">
        <v>2972</v>
      </c>
      <c r="U1372" t="s">
        <v>3055</v>
      </c>
      <c r="V1372" t="s">
        <v>3056</v>
      </c>
    </row>
    <row r="1373" spans="1:22">
      <c r="A1373">
        <v>1372</v>
      </c>
      <c r="B1373" t="s">
        <v>3210</v>
      </c>
      <c r="C1373" t="s">
        <v>3211</v>
      </c>
      <c r="D1373" t="s">
        <v>17</v>
      </c>
      <c r="E1373" t="s">
        <v>8</v>
      </c>
      <c r="F1373" s="22">
        <v>552</v>
      </c>
      <c r="G1373" s="22">
        <v>0</v>
      </c>
      <c r="H1373" s="22">
        <v>100</v>
      </c>
      <c r="I1373" s="22">
        <v>452</v>
      </c>
      <c r="J1373">
        <v>0</v>
      </c>
      <c r="K1373">
        <v>0</v>
      </c>
      <c r="L1373" s="22">
        <v>452</v>
      </c>
      <c r="M1373" s="22">
        <v>0</v>
      </c>
      <c r="N1373" s="22">
        <v>0</v>
      </c>
      <c r="O1373" s="22">
        <v>452</v>
      </c>
      <c r="P1373" s="22">
        <v>250</v>
      </c>
      <c r="Q1373" s="22">
        <v>202</v>
      </c>
      <c r="R1373">
        <v>0</v>
      </c>
      <c r="T1373" t="s">
        <v>2972</v>
      </c>
      <c r="U1373" t="s">
        <v>3055</v>
      </c>
      <c r="V1373" t="s">
        <v>3056</v>
      </c>
    </row>
    <row r="1374" spans="1:22">
      <c r="A1374">
        <v>1373</v>
      </c>
      <c r="B1374" t="s">
        <v>3212</v>
      </c>
      <c r="C1374" t="s">
        <v>3213</v>
      </c>
      <c r="D1374" t="s">
        <v>17</v>
      </c>
      <c r="E1374" t="s">
        <v>8</v>
      </c>
      <c r="F1374" s="22">
        <v>185</v>
      </c>
      <c r="G1374" s="22">
        <v>0</v>
      </c>
      <c r="H1374" s="22">
        <v>0</v>
      </c>
      <c r="I1374" s="22">
        <v>185</v>
      </c>
      <c r="J1374">
        <v>0</v>
      </c>
      <c r="K1374">
        <v>0</v>
      </c>
      <c r="L1374" s="22">
        <v>185</v>
      </c>
      <c r="M1374" s="22">
        <v>0</v>
      </c>
      <c r="N1374" s="22">
        <v>0</v>
      </c>
      <c r="O1374" s="22">
        <v>185</v>
      </c>
      <c r="P1374" s="22">
        <v>200</v>
      </c>
      <c r="Q1374" s="22">
        <v>-15</v>
      </c>
      <c r="R1374">
        <v>0</v>
      </c>
      <c r="T1374" t="s">
        <v>2972</v>
      </c>
      <c r="U1374" t="s">
        <v>3055</v>
      </c>
      <c r="V1374" t="s">
        <v>3056</v>
      </c>
    </row>
    <row r="1375" spans="1:22">
      <c r="A1375">
        <v>1374</v>
      </c>
      <c r="B1375" t="s">
        <v>3214</v>
      </c>
      <c r="C1375" t="s">
        <v>3215</v>
      </c>
      <c r="D1375" t="s">
        <v>17</v>
      </c>
      <c r="E1375" t="s">
        <v>8</v>
      </c>
      <c r="F1375" s="22">
        <v>0</v>
      </c>
      <c r="G1375" s="22">
        <v>0</v>
      </c>
      <c r="H1375" s="22">
        <v>0</v>
      </c>
      <c r="I1375" s="22">
        <v>0</v>
      </c>
      <c r="J1375">
        <v>0</v>
      </c>
      <c r="K1375">
        <v>0</v>
      </c>
      <c r="L1375" s="22">
        <v>0</v>
      </c>
      <c r="M1375" s="22">
        <v>0</v>
      </c>
      <c r="N1375" s="22">
        <v>0</v>
      </c>
      <c r="O1375" s="22">
        <v>0</v>
      </c>
      <c r="P1375" s="22">
        <v>0</v>
      </c>
      <c r="Q1375" s="22">
        <v>0</v>
      </c>
      <c r="R1375">
        <v>0</v>
      </c>
      <c r="T1375" t="s">
        <v>2972</v>
      </c>
      <c r="U1375" t="s">
        <v>3055</v>
      </c>
      <c r="V1375" t="s">
        <v>3056</v>
      </c>
    </row>
    <row r="1376" spans="1:22">
      <c r="A1376">
        <v>1375</v>
      </c>
      <c r="B1376" t="s">
        <v>3216</v>
      </c>
      <c r="C1376" t="s">
        <v>3217</v>
      </c>
      <c r="D1376" t="s">
        <v>17</v>
      </c>
      <c r="E1376" t="s">
        <v>8</v>
      </c>
      <c r="F1376" s="22">
        <v>7400</v>
      </c>
      <c r="G1376" s="22">
        <v>0</v>
      </c>
      <c r="H1376" s="22">
        <v>5000</v>
      </c>
      <c r="I1376" s="22">
        <v>2400</v>
      </c>
      <c r="J1376">
        <v>0</v>
      </c>
      <c r="K1376">
        <v>0</v>
      </c>
      <c r="L1376" s="22">
        <v>2400</v>
      </c>
      <c r="M1376" s="22">
        <v>0</v>
      </c>
      <c r="N1376" s="22">
        <v>0</v>
      </c>
      <c r="O1376" s="22">
        <v>2400</v>
      </c>
      <c r="P1376" s="22">
        <v>5000</v>
      </c>
      <c r="Q1376" s="22">
        <v>-2600</v>
      </c>
      <c r="R1376">
        <v>0</v>
      </c>
      <c r="T1376" t="s">
        <v>2972</v>
      </c>
      <c r="U1376" t="s">
        <v>3057</v>
      </c>
      <c r="V1376" t="s">
        <v>3056</v>
      </c>
    </row>
    <row r="1377" spans="1:22">
      <c r="A1377">
        <v>1376</v>
      </c>
      <c r="B1377" t="s">
        <v>3218</v>
      </c>
      <c r="C1377" t="s">
        <v>3219</v>
      </c>
      <c r="D1377" t="s">
        <v>17</v>
      </c>
      <c r="E1377" t="s">
        <v>8</v>
      </c>
      <c r="F1377" s="22">
        <v>4600</v>
      </c>
      <c r="G1377" s="22">
        <v>0</v>
      </c>
      <c r="H1377" s="22">
        <v>3500</v>
      </c>
      <c r="I1377" s="22">
        <v>1100</v>
      </c>
      <c r="J1377">
        <v>0</v>
      </c>
      <c r="K1377">
        <v>0</v>
      </c>
      <c r="L1377" s="22">
        <v>1100</v>
      </c>
      <c r="M1377" s="22">
        <v>0</v>
      </c>
      <c r="N1377" s="22">
        <v>0</v>
      </c>
      <c r="O1377" s="22">
        <v>1100</v>
      </c>
      <c r="P1377" s="22">
        <v>3000</v>
      </c>
      <c r="Q1377" s="22">
        <v>-1900</v>
      </c>
      <c r="R1377">
        <v>0</v>
      </c>
      <c r="T1377" t="s">
        <v>2972</v>
      </c>
      <c r="U1377" t="s">
        <v>3057</v>
      </c>
      <c r="V1377" t="s">
        <v>3056</v>
      </c>
    </row>
    <row r="1378" spans="1:22">
      <c r="A1378">
        <v>1377</v>
      </c>
      <c r="B1378" t="s">
        <v>3220</v>
      </c>
      <c r="C1378" t="s">
        <v>3221</v>
      </c>
      <c r="D1378" t="s">
        <v>17</v>
      </c>
      <c r="E1378" t="s">
        <v>8</v>
      </c>
      <c r="F1378" s="22">
        <v>1400</v>
      </c>
      <c r="G1378" s="22">
        <v>0</v>
      </c>
      <c r="H1378" s="22">
        <v>400</v>
      </c>
      <c r="I1378" s="22">
        <v>1000</v>
      </c>
      <c r="J1378">
        <v>0</v>
      </c>
      <c r="K1378">
        <v>0</v>
      </c>
      <c r="L1378" s="22">
        <v>1000</v>
      </c>
      <c r="M1378" s="22">
        <v>0</v>
      </c>
      <c r="N1378" s="22">
        <v>0</v>
      </c>
      <c r="O1378" s="22">
        <v>1000</v>
      </c>
      <c r="P1378" s="22">
        <v>1500</v>
      </c>
      <c r="Q1378" s="22">
        <v>-500</v>
      </c>
      <c r="R1378">
        <v>0</v>
      </c>
      <c r="T1378" t="s">
        <v>2972</v>
      </c>
      <c r="U1378" t="s">
        <v>3057</v>
      </c>
      <c r="V1378" t="s">
        <v>3056</v>
      </c>
    </row>
    <row r="1379" spans="1:22">
      <c r="A1379">
        <v>1378</v>
      </c>
      <c r="B1379" t="s">
        <v>3222</v>
      </c>
      <c r="C1379" t="s">
        <v>3223</v>
      </c>
      <c r="D1379" t="s">
        <v>17</v>
      </c>
      <c r="E1379" t="s">
        <v>8</v>
      </c>
      <c r="F1379" s="22">
        <v>7300</v>
      </c>
      <c r="G1379" s="22">
        <v>0</v>
      </c>
      <c r="H1379" s="22">
        <v>0</v>
      </c>
      <c r="I1379" s="22">
        <v>7300</v>
      </c>
      <c r="J1379">
        <v>0</v>
      </c>
      <c r="K1379">
        <v>0</v>
      </c>
      <c r="L1379" s="22">
        <v>7300</v>
      </c>
      <c r="M1379" s="22">
        <v>0</v>
      </c>
      <c r="N1379" s="22">
        <v>0</v>
      </c>
      <c r="O1379" s="22">
        <v>7300</v>
      </c>
      <c r="P1379" s="22">
        <v>5000</v>
      </c>
      <c r="Q1379" s="22">
        <v>2300</v>
      </c>
      <c r="R1379">
        <v>0</v>
      </c>
      <c r="T1379" t="s">
        <v>2972</v>
      </c>
      <c r="U1379" t="s">
        <v>3057</v>
      </c>
      <c r="V1379" t="s">
        <v>3056</v>
      </c>
    </row>
    <row r="1380" spans="1:22">
      <c r="A1380">
        <v>1379</v>
      </c>
      <c r="B1380" t="s">
        <v>3224</v>
      </c>
      <c r="C1380" t="s">
        <v>3225</v>
      </c>
      <c r="D1380" t="s">
        <v>17</v>
      </c>
      <c r="E1380" t="s">
        <v>8</v>
      </c>
      <c r="F1380" s="22">
        <v>0</v>
      </c>
      <c r="G1380" s="22">
        <v>0</v>
      </c>
      <c r="H1380" s="22">
        <v>0</v>
      </c>
      <c r="I1380" s="22">
        <v>0</v>
      </c>
      <c r="J1380">
        <v>0</v>
      </c>
      <c r="K1380">
        <v>0</v>
      </c>
      <c r="L1380" s="22">
        <v>0</v>
      </c>
      <c r="M1380" s="22">
        <v>0</v>
      </c>
      <c r="N1380" s="22">
        <v>0</v>
      </c>
      <c r="O1380" s="22">
        <v>0</v>
      </c>
      <c r="P1380" s="22">
        <v>0</v>
      </c>
      <c r="Q1380" s="22">
        <v>0</v>
      </c>
      <c r="R1380">
        <v>0</v>
      </c>
      <c r="T1380" t="s">
        <v>2972</v>
      </c>
      <c r="U1380" t="s">
        <v>3057</v>
      </c>
      <c r="V1380" t="s">
        <v>3056</v>
      </c>
    </row>
    <row r="1381" spans="1:22">
      <c r="A1381">
        <v>1380</v>
      </c>
      <c r="B1381" t="s">
        <v>3226</v>
      </c>
      <c r="C1381" t="s">
        <v>3227</v>
      </c>
      <c r="D1381" t="s">
        <v>17</v>
      </c>
      <c r="E1381" t="s">
        <v>8</v>
      </c>
      <c r="F1381" s="22">
        <v>0</v>
      </c>
      <c r="G1381" s="22">
        <v>0</v>
      </c>
      <c r="H1381" s="22">
        <v>0</v>
      </c>
      <c r="I1381" s="22">
        <v>0</v>
      </c>
      <c r="J1381">
        <v>0</v>
      </c>
      <c r="K1381">
        <v>0</v>
      </c>
      <c r="L1381" s="22">
        <v>0</v>
      </c>
      <c r="M1381" s="22">
        <v>0</v>
      </c>
      <c r="N1381" s="22">
        <v>0</v>
      </c>
      <c r="O1381" s="22">
        <v>0</v>
      </c>
      <c r="P1381" s="22">
        <v>0</v>
      </c>
      <c r="Q1381" s="22">
        <v>0</v>
      </c>
      <c r="R1381">
        <v>0</v>
      </c>
      <c r="T1381" t="s">
        <v>2972</v>
      </c>
      <c r="U1381" t="s">
        <v>3057</v>
      </c>
      <c r="V1381" t="s">
        <v>3056</v>
      </c>
    </row>
    <row r="1382" spans="1:22">
      <c r="A1382">
        <v>1381</v>
      </c>
      <c r="B1382" t="s">
        <v>3228</v>
      </c>
      <c r="C1382" t="s">
        <v>3229</v>
      </c>
      <c r="D1382" t="s">
        <v>17</v>
      </c>
      <c r="E1382" t="s">
        <v>8</v>
      </c>
      <c r="F1382" s="22">
        <v>0</v>
      </c>
      <c r="G1382" s="22">
        <v>0</v>
      </c>
      <c r="H1382" s="22">
        <v>0</v>
      </c>
      <c r="I1382" s="22">
        <v>0</v>
      </c>
      <c r="J1382">
        <v>0</v>
      </c>
      <c r="K1382">
        <v>0</v>
      </c>
      <c r="L1382" s="22">
        <v>0</v>
      </c>
      <c r="M1382" s="22">
        <v>0</v>
      </c>
      <c r="N1382" s="22">
        <v>0</v>
      </c>
      <c r="O1382" s="22">
        <v>0</v>
      </c>
      <c r="P1382" s="22">
        <v>0</v>
      </c>
      <c r="Q1382" s="22">
        <v>0</v>
      </c>
      <c r="R1382">
        <v>0</v>
      </c>
      <c r="T1382" t="s">
        <v>2972</v>
      </c>
      <c r="U1382" t="s">
        <v>3057</v>
      </c>
      <c r="V1382" t="s">
        <v>3056</v>
      </c>
    </row>
    <row r="1383" spans="1:22">
      <c r="A1383">
        <v>1382</v>
      </c>
      <c r="B1383" t="s">
        <v>3230</v>
      </c>
      <c r="C1383" t="s">
        <v>3231</v>
      </c>
      <c r="D1383" t="s">
        <v>17</v>
      </c>
      <c r="E1383" t="s">
        <v>8</v>
      </c>
      <c r="F1383" s="22">
        <v>0</v>
      </c>
      <c r="G1383" s="22">
        <v>0</v>
      </c>
      <c r="H1383" s="22">
        <v>0</v>
      </c>
      <c r="I1383" s="22">
        <v>0</v>
      </c>
      <c r="J1383">
        <v>0</v>
      </c>
      <c r="K1383">
        <v>0</v>
      </c>
      <c r="L1383" s="22">
        <v>0</v>
      </c>
      <c r="M1383" s="22">
        <v>0</v>
      </c>
      <c r="N1383" s="22">
        <v>0</v>
      </c>
      <c r="O1383" s="22">
        <v>0</v>
      </c>
      <c r="P1383" s="22">
        <v>0</v>
      </c>
      <c r="Q1383" s="22">
        <v>0</v>
      </c>
      <c r="R1383">
        <v>0</v>
      </c>
      <c r="T1383" t="s">
        <v>2972</v>
      </c>
      <c r="U1383" t="s">
        <v>3057</v>
      </c>
      <c r="V1383" t="s">
        <v>3056</v>
      </c>
    </row>
    <row r="1384" spans="1:22">
      <c r="A1384">
        <v>1383</v>
      </c>
      <c r="B1384" t="s">
        <v>3232</v>
      </c>
      <c r="C1384" t="s">
        <v>3233</v>
      </c>
      <c r="D1384" t="s">
        <v>17</v>
      </c>
      <c r="E1384" t="s">
        <v>8</v>
      </c>
      <c r="F1384" s="22">
        <v>0</v>
      </c>
      <c r="G1384" s="22">
        <v>0</v>
      </c>
      <c r="H1384" s="22">
        <v>0</v>
      </c>
      <c r="I1384" s="22">
        <v>0</v>
      </c>
      <c r="J1384">
        <v>0</v>
      </c>
      <c r="K1384">
        <v>0</v>
      </c>
      <c r="L1384" s="22">
        <v>0</v>
      </c>
      <c r="M1384" s="22">
        <v>0</v>
      </c>
      <c r="N1384" s="22">
        <v>0</v>
      </c>
      <c r="O1384" s="22">
        <v>0</v>
      </c>
      <c r="P1384" s="22">
        <v>0</v>
      </c>
      <c r="Q1384" s="22">
        <v>0</v>
      </c>
      <c r="R1384">
        <v>0</v>
      </c>
      <c r="T1384" t="s">
        <v>2972</v>
      </c>
      <c r="U1384" t="s">
        <v>3057</v>
      </c>
      <c r="V1384" t="s">
        <v>3056</v>
      </c>
    </row>
    <row r="1385" spans="1:22">
      <c r="A1385">
        <v>1384</v>
      </c>
      <c r="B1385" t="s">
        <v>3234</v>
      </c>
      <c r="C1385" t="s">
        <v>3235</v>
      </c>
      <c r="D1385" t="s">
        <v>17</v>
      </c>
      <c r="E1385" t="s">
        <v>8</v>
      </c>
      <c r="F1385" s="22">
        <v>0</v>
      </c>
      <c r="G1385" s="22">
        <v>0</v>
      </c>
      <c r="H1385" s="22">
        <v>0</v>
      </c>
      <c r="I1385" s="22">
        <v>0</v>
      </c>
      <c r="J1385">
        <v>0</v>
      </c>
      <c r="K1385">
        <v>0</v>
      </c>
      <c r="L1385" s="22">
        <v>0</v>
      </c>
      <c r="M1385" s="22">
        <v>0</v>
      </c>
      <c r="N1385" s="22">
        <v>0</v>
      </c>
      <c r="O1385" s="22">
        <v>0</v>
      </c>
      <c r="P1385" s="22">
        <v>0</v>
      </c>
      <c r="Q1385" s="22">
        <v>0</v>
      </c>
      <c r="R1385">
        <v>0</v>
      </c>
      <c r="T1385" t="s">
        <v>2972</v>
      </c>
      <c r="U1385" t="s">
        <v>3057</v>
      </c>
      <c r="V1385" t="s">
        <v>3056</v>
      </c>
    </row>
    <row r="1386" spans="1:22">
      <c r="A1386">
        <v>1385</v>
      </c>
      <c r="B1386" t="s">
        <v>3236</v>
      </c>
      <c r="C1386" t="s">
        <v>3237</v>
      </c>
      <c r="D1386" t="s">
        <v>17</v>
      </c>
      <c r="E1386" t="s">
        <v>8</v>
      </c>
      <c r="F1386" s="22">
        <v>0</v>
      </c>
      <c r="G1386" s="22">
        <v>0</v>
      </c>
      <c r="H1386" s="22">
        <v>0</v>
      </c>
      <c r="I1386" s="22">
        <v>0</v>
      </c>
      <c r="J1386">
        <v>0</v>
      </c>
      <c r="K1386">
        <v>0</v>
      </c>
      <c r="L1386" s="22">
        <v>0</v>
      </c>
      <c r="M1386" s="22">
        <v>0</v>
      </c>
      <c r="N1386" s="22">
        <v>0</v>
      </c>
      <c r="O1386" s="22">
        <v>0</v>
      </c>
      <c r="P1386" s="22">
        <v>0</v>
      </c>
      <c r="Q1386" s="22">
        <v>0</v>
      </c>
      <c r="R1386">
        <v>0</v>
      </c>
      <c r="T1386" t="s">
        <v>2972</v>
      </c>
      <c r="U1386" t="s">
        <v>3057</v>
      </c>
      <c r="V1386" t="s">
        <v>3056</v>
      </c>
    </row>
    <row r="1387" spans="1:22">
      <c r="A1387">
        <v>1386</v>
      </c>
      <c r="B1387" t="s">
        <v>3238</v>
      </c>
      <c r="C1387" t="s">
        <v>3239</v>
      </c>
      <c r="D1387" t="s">
        <v>17</v>
      </c>
      <c r="E1387" t="s">
        <v>8</v>
      </c>
      <c r="F1387" s="22">
        <v>259</v>
      </c>
      <c r="G1387" s="22">
        <v>0</v>
      </c>
      <c r="H1387" s="22">
        <v>15</v>
      </c>
      <c r="I1387" s="22">
        <v>244</v>
      </c>
      <c r="J1387">
        <v>0</v>
      </c>
      <c r="K1387">
        <v>0</v>
      </c>
      <c r="L1387" s="22">
        <v>244</v>
      </c>
      <c r="M1387" s="22">
        <v>0</v>
      </c>
      <c r="N1387" s="22">
        <v>0</v>
      </c>
      <c r="O1387" s="22">
        <v>244</v>
      </c>
      <c r="P1387" s="22">
        <v>50</v>
      </c>
      <c r="Q1387" s="22">
        <v>194</v>
      </c>
      <c r="R1387">
        <v>0</v>
      </c>
      <c r="T1387" t="s">
        <v>2972</v>
      </c>
      <c r="U1387" t="s">
        <v>3055</v>
      </c>
      <c r="V1387" t="s">
        <v>3056</v>
      </c>
    </row>
    <row r="1388" spans="1:22">
      <c r="A1388">
        <v>1387</v>
      </c>
      <c r="B1388" t="s">
        <v>3240</v>
      </c>
      <c r="C1388" t="s">
        <v>3241</v>
      </c>
      <c r="D1388" t="s">
        <v>17</v>
      </c>
      <c r="E1388" t="s">
        <v>8</v>
      </c>
      <c r="F1388" s="22">
        <v>271</v>
      </c>
      <c r="G1388" s="22">
        <v>0</v>
      </c>
      <c r="H1388" s="22">
        <v>45</v>
      </c>
      <c r="I1388" s="22">
        <v>226</v>
      </c>
      <c r="J1388">
        <v>0</v>
      </c>
      <c r="K1388">
        <v>0</v>
      </c>
      <c r="L1388" s="22">
        <v>226</v>
      </c>
      <c r="M1388" s="22">
        <v>0</v>
      </c>
      <c r="N1388" s="22">
        <v>0</v>
      </c>
      <c r="O1388" s="22">
        <v>226</v>
      </c>
      <c r="P1388" s="22">
        <v>50</v>
      </c>
      <c r="Q1388" s="22">
        <v>176</v>
      </c>
      <c r="R1388">
        <v>0</v>
      </c>
      <c r="T1388" t="s">
        <v>2972</v>
      </c>
      <c r="U1388" t="s">
        <v>3055</v>
      </c>
      <c r="V1388" t="s">
        <v>3056</v>
      </c>
    </row>
    <row r="1389" spans="1:22">
      <c r="A1389">
        <v>1388</v>
      </c>
      <c r="B1389" t="s">
        <v>3242</v>
      </c>
      <c r="C1389" t="s">
        <v>3243</v>
      </c>
      <c r="D1389" t="s">
        <v>17</v>
      </c>
      <c r="E1389" t="s">
        <v>8</v>
      </c>
      <c r="F1389" s="22">
        <v>281</v>
      </c>
      <c r="G1389" s="22">
        <v>0</v>
      </c>
      <c r="H1389" s="22">
        <v>0</v>
      </c>
      <c r="I1389" s="22">
        <v>281</v>
      </c>
      <c r="J1389">
        <v>0</v>
      </c>
      <c r="K1389">
        <v>0</v>
      </c>
      <c r="L1389" s="22">
        <v>281</v>
      </c>
      <c r="M1389" s="22">
        <v>0</v>
      </c>
      <c r="N1389" s="22">
        <v>0</v>
      </c>
      <c r="O1389" s="22">
        <v>281</v>
      </c>
      <c r="P1389" s="22">
        <v>70</v>
      </c>
      <c r="Q1389" s="22">
        <v>211</v>
      </c>
      <c r="R1389">
        <v>0</v>
      </c>
      <c r="T1389" t="s">
        <v>2972</v>
      </c>
      <c r="U1389" t="s">
        <v>3055</v>
      </c>
      <c r="V1389" t="s">
        <v>3056</v>
      </c>
    </row>
    <row r="1390" spans="1:22">
      <c r="A1390">
        <v>1389</v>
      </c>
      <c r="B1390" t="s">
        <v>3244</v>
      </c>
      <c r="C1390" t="s">
        <v>3245</v>
      </c>
      <c r="D1390" t="s">
        <v>17</v>
      </c>
      <c r="E1390" t="s">
        <v>8</v>
      </c>
      <c r="F1390" s="22">
        <v>2005</v>
      </c>
      <c r="G1390" s="22">
        <v>0</v>
      </c>
      <c r="H1390" s="22">
        <v>250</v>
      </c>
      <c r="I1390" s="22">
        <v>1755</v>
      </c>
      <c r="J1390">
        <v>0</v>
      </c>
      <c r="K1390">
        <v>0</v>
      </c>
      <c r="L1390" s="22">
        <v>1755</v>
      </c>
      <c r="M1390" s="22">
        <v>0</v>
      </c>
      <c r="N1390" s="22">
        <v>0</v>
      </c>
      <c r="O1390" s="22">
        <v>1755</v>
      </c>
      <c r="P1390" s="22">
        <v>800</v>
      </c>
      <c r="Q1390" s="22">
        <v>955</v>
      </c>
      <c r="R1390">
        <v>0</v>
      </c>
      <c r="T1390" t="s">
        <v>2972</v>
      </c>
      <c r="U1390" t="s">
        <v>3055</v>
      </c>
      <c r="V1390" t="s">
        <v>3056</v>
      </c>
    </row>
    <row r="1391" spans="1:22">
      <c r="A1391">
        <v>1390</v>
      </c>
      <c r="B1391" t="s">
        <v>3246</v>
      </c>
      <c r="C1391" t="s">
        <v>3247</v>
      </c>
      <c r="D1391" t="s">
        <v>17</v>
      </c>
      <c r="E1391" t="s">
        <v>8</v>
      </c>
      <c r="F1391" s="22">
        <v>0</v>
      </c>
      <c r="G1391" s="22">
        <v>8500</v>
      </c>
      <c r="H1391" s="22">
        <v>8000</v>
      </c>
      <c r="I1391" s="22">
        <v>500</v>
      </c>
      <c r="J1391">
        <v>0</v>
      </c>
      <c r="K1391">
        <v>0</v>
      </c>
      <c r="L1391" s="22">
        <v>500</v>
      </c>
      <c r="M1391" s="22">
        <v>0</v>
      </c>
      <c r="N1391" s="22">
        <v>0</v>
      </c>
      <c r="O1391" s="22">
        <v>500</v>
      </c>
      <c r="P1391" s="22">
        <v>0</v>
      </c>
      <c r="Q1391" s="22">
        <v>500</v>
      </c>
      <c r="R1391">
        <v>0</v>
      </c>
      <c r="T1391" t="s">
        <v>2972</v>
      </c>
      <c r="U1391" t="s">
        <v>3060</v>
      </c>
      <c r="V1391" t="s">
        <v>3058</v>
      </c>
    </row>
    <row r="1392" spans="1:22">
      <c r="A1392">
        <v>1391</v>
      </c>
      <c r="B1392" t="s">
        <v>3248</v>
      </c>
      <c r="C1392" t="s">
        <v>3249</v>
      </c>
      <c r="D1392" t="s">
        <v>17</v>
      </c>
      <c r="E1392" t="s">
        <v>8</v>
      </c>
      <c r="F1392" s="22">
        <v>0</v>
      </c>
      <c r="G1392" s="22">
        <v>2</v>
      </c>
      <c r="H1392" s="22">
        <v>2</v>
      </c>
      <c r="I1392" s="22">
        <v>0</v>
      </c>
      <c r="J1392">
        <v>0</v>
      </c>
      <c r="K1392">
        <v>0</v>
      </c>
      <c r="L1392" s="22">
        <v>0</v>
      </c>
      <c r="M1392" s="22">
        <v>0</v>
      </c>
      <c r="N1392" s="22">
        <v>0</v>
      </c>
      <c r="O1392" s="22">
        <v>0</v>
      </c>
      <c r="P1392" s="22">
        <v>0</v>
      </c>
      <c r="Q1392" s="22">
        <v>0</v>
      </c>
      <c r="R1392">
        <v>0</v>
      </c>
      <c r="T1392" t="s">
        <v>2982</v>
      </c>
      <c r="U1392" t="s">
        <v>3060</v>
      </c>
      <c r="V1392" t="s">
        <v>3058</v>
      </c>
    </row>
    <row r="1393" spans="1:22">
      <c r="A1393">
        <v>1392</v>
      </c>
      <c r="B1393" t="s">
        <v>3250</v>
      </c>
      <c r="C1393" t="s">
        <v>3251</v>
      </c>
      <c r="D1393" t="s">
        <v>17</v>
      </c>
      <c r="E1393" t="s">
        <v>8</v>
      </c>
      <c r="F1393" s="22">
        <v>0</v>
      </c>
      <c r="G1393" s="22">
        <v>0</v>
      </c>
      <c r="H1393" s="22">
        <v>0</v>
      </c>
      <c r="I1393" s="22">
        <v>0</v>
      </c>
      <c r="J1393">
        <v>0</v>
      </c>
      <c r="K1393">
        <v>0</v>
      </c>
      <c r="L1393" s="22">
        <v>0</v>
      </c>
      <c r="M1393" s="22">
        <v>0</v>
      </c>
      <c r="N1393" s="22">
        <v>0</v>
      </c>
      <c r="O1393" s="22">
        <v>0</v>
      </c>
      <c r="P1393" s="22">
        <v>0</v>
      </c>
      <c r="Q1393" s="22">
        <v>0</v>
      </c>
      <c r="R1393">
        <v>0</v>
      </c>
      <c r="T1393" t="s">
        <v>2972</v>
      </c>
      <c r="U1393" t="s">
        <v>3057</v>
      </c>
      <c r="V1393" t="s">
        <v>3056</v>
      </c>
    </row>
    <row r="1394" spans="1:22">
      <c r="A1394">
        <v>1393</v>
      </c>
      <c r="B1394" t="s">
        <v>3252</v>
      </c>
      <c r="C1394" t="s">
        <v>3253</v>
      </c>
      <c r="D1394" t="s">
        <v>17</v>
      </c>
      <c r="E1394" t="s">
        <v>8</v>
      </c>
      <c r="F1394" s="22">
        <v>0</v>
      </c>
      <c r="G1394" s="22">
        <v>0</v>
      </c>
      <c r="H1394" s="22">
        <v>0</v>
      </c>
      <c r="I1394" s="22">
        <v>0</v>
      </c>
      <c r="J1394">
        <v>0</v>
      </c>
      <c r="K1394">
        <v>0</v>
      </c>
      <c r="L1394" s="22">
        <v>0</v>
      </c>
      <c r="M1394" s="22">
        <v>0</v>
      </c>
      <c r="N1394" s="22">
        <v>0</v>
      </c>
      <c r="O1394" s="22">
        <v>0</v>
      </c>
      <c r="P1394" s="22">
        <v>0</v>
      </c>
      <c r="Q1394" s="22">
        <v>0</v>
      </c>
      <c r="R1394">
        <v>0</v>
      </c>
      <c r="T1394" t="s">
        <v>2972</v>
      </c>
      <c r="U1394" t="s">
        <v>3057</v>
      </c>
      <c r="V1394" t="s">
        <v>3058</v>
      </c>
    </row>
    <row r="1395" spans="1:22">
      <c r="A1395">
        <v>1394</v>
      </c>
      <c r="B1395" t="s">
        <v>3254</v>
      </c>
      <c r="C1395" t="s">
        <v>3255</v>
      </c>
      <c r="D1395" t="s">
        <v>17</v>
      </c>
      <c r="E1395" t="s">
        <v>8</v>
      </c>
      <c r="F1395" s="22">
        <v>0</v>
      </c>
      <c r="G1395" s="22">
        <v>0</v>
      </c>
      <c r="H1395" s="22">
        <v>0</v>
      </c>
      <c r="I1395" s="22">
        <v>0</v>
      </c>
      <c r="J1395">
        <v>0</v>
      </c>
      <c r="K1395">
        <v>0</v>
      </c>
      <c r="L1395" s="22">
        <v>0</v>
      </c>
      <c r="M1395" s="22">
        <v>0</v>
      </c>
      <c r="N1395" s="22">
        <v>0</v>
      </c>
      <c r="O1395" s="22">
        <v>0</v>
      </c>
      <c r="P1395" s="22">
        <v>0</v>
      </c>
      <c r="Q1395" s="22">
        <v>0</v>
      </c>
      <c r="R1395">
        <v>0</v>
      </c>
      <c r="T1395" t="s">
        <v>2972</v>
      </c>
      <c r="U1395" t="s">
        <v>3057</v>
      </c>
      <c r="V1395" t="s">
        <v>3056</v>
      </c>
    </row>
    <row r="1396" spans="1:22">
      <c r="A1396">
        <v>1395</v>
      </c>
      <c r="B1396" t="s">
        <v>3256</v>
      </c>
      <c r="C1396" t="s">
        <v>3257</v>
      </c>
      <c r="D1396" t="s">
        <v>17</v>
      </c>
      <c r="E1396" t="s">
        <v>8</v>
      </c>
      <c r="F1396" s="22">
        <v>0</v>
      </c>
      <c r="G1396" s="22">
        <v>0</v>
      </c>
      <c r="H1396" s="22">
        <v>0</v>
      </c>
      <c r="I1396" s="22">
        <v>0</v>
      </c>
      <c r="J1396">
        <v>0</v>
      </c>
      <c r="K1396">
        <v>0</v>
      </c>
      <c r="L1396" s="22">
        <v>0</v>
      </c>
      <c r="M1396" s="22">
        <v>0</v>
      </c>
      <c r="N1396" s="22">
        <v>0</v>
      </c>
      <c r="O1396" s="22">
        <v>0</v>
      </c>
      <c r="P1396" s="22">
        <v>0</v>
      </c>
      <c r="Q1396" s="22">
        <v>0</v>
      </c>
      <c r="R1396">
        <v>0</v>
      </c>
      <c r="T1396" t="s">
        <v>2982</v>
      </c>
      <c r="U1396" t="s">
        <v>3060</v>
      </c>
      <c r="V1396" t="s">
        <v>3064</v>
      </c>
    </row>
    <row r="1397" spans="1:22">
      <c r="A1397">
        <v>1396</v>
      </c>
      <c r="B1397" t="s">
        <v>3258</v>
      </c>
      <c r="C1397" t="s">
        <v>2877</v>
      </c>
      <c r="D1397" t="s">
        <v>17</v>
      </c>
      <c r="E1397" t="s">
        <v>8</v>
      </c>
      <c r="F1397" s="22">
        <v>7510</v>
      </c>
      <c r="G1397" s="22">
        <v>0</v>
      </c>
      <c r="H1397" s="22">
        <v>0</v>
      </c>
      <c r="I1397" s="22">
        <v>7510</v>
      </c>
      <c r="J1397">
        <v>0</v>
      </c>
      <c r="K1397">
        <v>0</v>
      </c>
      <c r="L1397" s="22">
        <v>7510</v>
      </c>
      <c r="M1397" s="22">
        <v>0</v>
      </c>
      <c r="N1397" s="22">
        <v>0</v>
      </c>
      <c r="O1397" s="22">
        <v>7510</v>
      </c>
      <c r="P1397" s="22">
        <v>1500</v>
      </c>
      <c r="Q1397" s="22">
        <v>6010</v>
      </c>
      <c r="R1397">
        <v>0</v>
      </c>
      <c r="T1397" t="s">
        <v>2972</v>
      </c>
      <c r="U1397" t="s">
        <v>3055</v>
      </c>
      <c r="V1397" t="s">
        <v>3056</v>
      </c>
    </row>
    <row r="1398" spans="1:22">
      <c r="A1398">
        <v>1397</v>
      </c>
      <c r="B1398" t="s">
        <v>3259</v>
      </c>
      <c r="C1398" t="s">
        <v>3260</v>
      </c>
      <c r="D1398" t="s">
        <v>17</v>
      </c>
      <c r="E1398" t="s">
        <v>8</v>
      </c>
      <c r="F1398" s="22">
        <v>1280</v>
      </c>
      <c r="G1398" s="22">
        <v>0</v>
      </c>
      <c r="H1398" s="22">
        <v>0</v>
      </c>
      <c r="I1398" s="22">
        <v>1280</v>
      </c>
      <c r="J1398">
        <v>0</v>
      </c>
      <c r="K1398">
        <v>0</v>
      </c>
      <c r="L1398" s="22">
        <v>1280</v>
      </c>
      <c r="M1398" s="22">
        <v>0</v>
      </c>
      <c r="N1398" s="22">
        <v>0</v>
      </c>
      <c r="O1398" s="22">
        <v>1280</v>
      </c>
      <c r="P1398" s="22">
        <v>250</v>
      </c>
      <c r="Q1398" s="22">
        <v>1030</v>
      </c>
      <c r="R1398">
        <v>0</v>
      </c>
      <c r="T1398" t="s">
        <v>2972</v>
      </c>
      <c r="U1398" t="s">
        <v>3055</v>
      </c>
      <c r="V1398" t="s">
        <v>3056</v>
      </c>
    </row>
    <row r="1399" spans="1:22">
      <c r="A1399">
        <v>1398</v>
      </c>
      <c r="B1399" t="s">
        <v>3261</v>
      </c>
      <c r="C1399" t="s">
        <v>3262</v>
      </c>
      <c r="D1399" t="s">
        <v>20</v>
      </c>
      <c r="E1399" t="s">
        <v>8</v>
      </c>
      <c r="F1399" s="22">
        <v>137.96</v>
      </c>
      <c r="G1399" s="22">
        <v>0</v>
      </c>
      <c r="H1399" s="22">
        <v>0</v>
      </c>
      <c r="I1399" s="22">
        <v>137.96</v>
      </c>
      <c r="J1399">
        <v>0</v>
      </c>
      <c r="K1399">
        <v>0</v>
      </c>
      <c r="L1399" s="22">
        <v>137.96</v>
      </c>
      <c r="M1399" s="22">
        <v>0</v>
      </c>
      <c r="N1399" s="22">
        <v>0</v>
      </c>
      <c r="O1399" s="22">
        <v>137.96</v>
      </c>
      <c r="P1399" s="22">
        <v>100</v>
      </c>
      <c r="Q1399" s="22">
        <v>37.960000000000008</v>
      </c>
      <c r="R1399">
        <v>0</v>
      </c>
      <c r="T1399" t="s">
        <v>2991</v>
      </c>
      <c r="U1399" t="s">
        <v>3057</v>
      </c>
      <c r="V1399" t="s">
        <v>3056</v>
      </c>
    </row>
    <row r="1400" spans="1:22">
      <c r="A1400">
        <v>1399</v>
      </c>
      <c r="B1400" t="s">
        <v>3263</v>
      </c>
      <c r="C1400" t="s">
        <v>3264</v>
      </c>
      <c r="D1400" t="s">
        <v>20</v>
      </c>
      <c r="E1400" t="s">
        <v>8</v>
      </c>
      <c r="F1400" s="22">
        <v>0</v>
      </c>
      <c r="G1400" s="22">
        <v>0</v>
      </c>
      <c r="H1400" s="22">
        <v>0</v>
      </c>
      <c r="I1400" s="22">
        <v>0</v>
      </c>
      <c r="J1400">
        <v>0</v>
      </c>
      <c r="K1400">
        <v>0</v>
      </c>
      <c r="L1400" s="22">
        <v>0</v>
      </c>
      <c r="M1400" s="22">
        <v>0</v>
      </c>
      <c r="N1400" s="22">
        <v>0</v>
      </c>
      <c r="O1400" s="22">
        <v>0</v>
      </c>
      <c r="P1400" s="22">
        <v>0</v>
      </c>
      <c r="Q1400" s="22">
        <v>0</v>
      </c>
      <c r="R1400">
        <v>0</v>
      </c>
      <c r="T1400" t="s">
        <v>3031</v>
      </c>
      <c r="U1400" t="s">
        <v>3057</v>
      </c>
      <c r="V1400" t="s">
        <v>3056</v>
      </c>
    </row>
    <row r="1401" spans="1:22">
      <c r="A1401">
        <v>1400</v>
      </c>
      <c r="B1401" t="s">
        <v>3265</v>
      </c>
      <c r="C1401" t="s">
        <v>3266</v>
      </c>
      <c r="D1401" t="s">
        <v>20</v>
      </c>
      <c r="E1401" t="s">
        <v>8</v>
      </c>
      <c r="F1401" s="22">
        <v>99.25</v>
      </c>
      <c r="G1401" s="22">
        <v>0</v>
      </c>
      <c r="H1401" s="22">
        <v>99.25</v>
      </c>
      <c r="I1401" s="22">
        <v>0</v>
      </c>
      <c r="J1401">
        <v>0</v>
      </c>
      <c r="K1401">
        <v>0</v>
      </c>
      <c r="L1401" s="22">
        <v>0</v>
      </c>
      <c r="M1401" s="22">
        <v>0</v>
      </c>
      <c r="N1401" s="22">
        <v>0</v>
      </c>
      <c r="O1401" s="22">
        <v>0</v>
      </c>
      <c r="P1401" s="22">
        <v>0</v>
      </c>
      <c r="Q1401" s="22">
        <v>0</v>
      </c>
      <c r="R1401">
        <v>0</v>
      </c>
      <c r="T1401" t="s">
        <v>3031</v>
      </c>
      <c r="U1401" t="s">
        <v>3057</v>
      </c>
      <c r="V1401" t="s">
        <v>3056</v>
      </c>
    </row>
    <row r="1402" spans="1:22">
      <c r="A1402">
        <v>1401</v>
      </c>
      <c r="B1402" t="s">
        <v>3039</v>
      </c>
      <c r="C1402" t="s">
        <v>3040</v>
      </c>
      <c r="D1402" t="s">
        <v>17</v>
      </c>
      <c r="E1402" t="s">
        <v>8</v>
      </c>
      <c r="F1402" s="22">
        <v>40</v>
      </c>
      <c r="G1402" s="22">
        <v>0</v>
      </c>
      <c r="H1402" s="22">
        <v>0</v>
      </c>
      <c r="I1402" s="22">
        <v>40</v>
      </c>
      <c r="J1402">
        <v>0</v>
      </c>
      <c r="K1402">
        <v>0</v>
      </c>
      <c r="L1402" s="22">
        <v>40</v>
      </c>
      <c r="M1402" s="22">
        <v>0</v>
      </c>
      <c r="N1402" s="22">
        <v>0</v>
      </c>
      <c r="O1402" s="22">
        <v>40</v>
      </c>
      <c r="P1402" s="22">
        <v>0</v>
      </c>
      <c r="Q1402" s="22">
        <v>40</v>
      </c>
      <c r="R1402">
        <v>0</v>
      </c>
      <c r="T1402" t="s">
        <v>2991</v>
      </c>
      <c r="U1402" t="s">
        <v>3057</v>
      </c>
      <c r="V1402" t="s">
        <v>3056</v>
      </c>
    </row>
    <row r="1403" spans="1:22">
      <c r="A1403">
        <v>1402</v>
      </c>
      <c r="B1403" t="s">
        <v>3267</v>
      </c>
      <c r="C1403" t="s">
        <v>3268</v>
      </c>
      <c r="D1403" t="s">
        <v>17</v>
      </c>
      <c r="E1403" t="s">
        <v>8</v>
      </c>
      <c r="F1403" s="22">
        <v>0</v>
      </c>
      <c r="G1403" s="22">
        <v>2</v>
      </c>
      <c r="H1403" s="22">
        <v>2</v>
      </c>
      <c r="I1403" s="22">
        <v>0</v>
      </c>
      <c r="J1403">
        <v>0</v>
      </c>
      <c r="K1403">
        <v>0</v>
      </c>
      <c r="L1403" s="22">
        <v>0</v>
      </c>
      <c r="M1403" s="22">
        <v>0</v>
      </c>
      <c r="N1403" s="22">
        <v>0</v>
      </c>
      <c r="O1403" s="22">
        <v>0</v>
      </c>
      <c r="P1403" s="22">
        <v>5</v>
      </c>
      <c r="Q1403" s="22">
        <v>-5</v>
      </c>
      <c r="R1403">
        <v>2</v>
      </c>
      <c r="T1403" t="s">
        <v>2963</v>
      </c>
      <c r="U1403" t="s">
        <v>3057</v>
      </c>
      <c r="V1403" t="s">
        <v>3056</v>
      </c>
    </row>
    <row r="1404" spans="1:22">
      <c r="A1404">
        <v>1403</v>
      </c>
      <c r="B1404" t="s">
        <v>3269</v>
      </c>
      <c r="C1404" t="s">
        <v>3270</v>
      </c>
      <c r="D1404" t="s">
        <v>17</v>
      </c>
      <c r="E1404" t="s">
        <v>8</v>
      </c>
      <c r="F1404" s="22">
        <v>71</v>
      </c>
      <c r="G1404" s="22">
        <v>0</v>
      </c>
      <c r="H1404" s="22">
        <v>10</v>
      </c>
      <c r="I1404" s="22">
        <v>61</v>
      </c>
      <c r="J1404">
        <v>0</v>
      </c>
      <c r="K1404">
        <v>0</v>
      </c>
      <c r="L1404" s="22">
        <v>61</v>
      </c>
      <c r="M1404" s="22">
        <v>0</v>
      </c>
      <c r="N1404" s="22">
        <v>0</v>
      </c>
      <c r="O1404" s="22">
        <v>61</v>
      </c>
      <c r="P1404" s="22">
        <v>30</v>
      </c>
      <c r="Q1404" s="22">
        <v>31</v>
      </c>
      <c r="R1404">
        <v>0</v>
      </c>
      <c r="T1404" t="s">
        <v>2991</v>
      </c>
      <c r="U1404" t="s">
        <v>3057</v>
      </c>
      <c r="V1404" t="s">
        <v>3056</v>
      </c>
    </row>
    <row r="1405" spans="1:22">
      <c r="A1405">
        <v>1404</v>
      </c>
      <c r="B1405" t="s">
        <v>3271</v>
      </c>
      <c r="C1405" t="s">
        <v>3272</v>
      </c>
      <c r="D1405" t="s">
        <v>17</v>
      </c>
      <c r="E1405" t="s">
        <v>8</v>
      </c>
      <c r="F1405" s="22">
        <v>1000</v>
      </c>
      <c r="G1405" s="22">
        <v>1500</v>
      </c>
      <c r="H1405" s="22">
        <v>1000</v>
      </c>
      <c r="I1405" s="22">
        <v>1500</v>
      </c>
      <c r="J1405">
        <v>0</v>
      </c>
      <c r="K1405">
        <v>0</v>
      </c>
      <c r="L1405" s="22">
        <v>1500</v>
      </c>
      <c r="M1405" s="22">
        <v>0</v>
      </c>
      <c r="N1405" s="22">
        <v>0</v>
      </c>
      <c r="O1405" s="22">
        <v>1500</v>
      </c>
      <c r="P1405" s="22">
        <v>2000</v>
      </c>
      <c r="Q1405" s="22">
        <v>-500</v>
      </c>
      <c r="R1405">
        <v>2000</v>
      </c>
      <c r="T1405" t="s">
        <v>2991</v>
      </c>
      <c r="U1405" t="s">
        <v>3057</v>
      </c>
      <c r="V1405" t="s">
        <v>3056</v>
      </c>
    </row>
    <row r="1406" spans="1:22">
      <c r="A1406">
        <v>1405</v>
      </c>
      <c r="B1406" t="s">
        <v>11</v>
      </c>
      <c r="C1406" t="s">
        <v>2970</v>
      </c>
      <c r="D1406" t="s">
        <v>7</v>
      </c>
      <c r="E1406" t="s">
        <v>8</v>
      </c>
      <c r="F1406" s="22">
        <v>455</v>
      </c>
      <c r="G1406" s="22">
        <v>0</v>
      </c>
      <c r="H1406" s="22">
        <v>70</v>
      </c>
      <c r="I1406" s="22">
        <v>385</v>
      </c>
      <c r="J1406">
        <v>0</v>
      </c>
      <c r="K1406">
        <v>0</v>
      </c>
      <c r="L1406" s="22">
        <v>385</v>
      </c>
      <c r="M1406" s="22">
        <v>0</v>
      </c>
      <c r="N1406" s="22">
        <v>0</v>
      </c>
      <c r="O1406" s="22">
        <v>385</v>
      </c>
      <c r="P1406" s="22">
        <v>300</v>
      </c>
      <c r="Q1406" s="22">
        <v>85</v>
      </c>
      <c r="R1406">
        <v>0</v>
      </c>
      <c r="T1406" t="s">
        <v>2965</v>
      </c>
      <c r="U1406" t="s">
        <v>3055</v>
      </c>
      <c r="V1406" t="s">
        <v>3056</v>
      </c>
    </row>
    <row r="1407" spans="1:22">
      <c r="A1407">
        <v>1406</v>
      </c>
      <c r="B1407" t="s">
        <v>12</v>
      </c>
      <c r="C1407" t="s">
        <v>13</v>
      </c>
      <c r="D1407" t="s">
        <v>7</v>
      </c>
      <c r="E1407" t="s">
        <v>8</v>
      </c>
      <c r="F1407" s="22">
        <v>0</v>
      </c>
      <c r="G1407" s="22">
        <v>0</v>
      </c>
      <c r="H1407" s="22">
        <v>0</v>
      </c>
      <c r="I1407" s="22">
        <v>0</v>
      </c>
      <c r="J1407">
        <v>0</v>
      </c>
      <c r="K1407">
        <v>0</v>
      </c>
      <c r="L1407" s="22">
        <v>0</v>
      </c>
      <c r="M1407" s="22">
        <v>0</v>
      </c>
      <c r="N1407" s="22">
        <v>0</v>
      </c>
      <c r="O1407" s="22">
        <v>0</v>
      </c>
      <c r="P1407" s="22">
        <v>0</v>
      </c>
      <c r="Q1407" s="22">
        <v>0</v>
      </c>
      <c r="R1407">
        <v>0</v>
      </c>
      <c r="T1407" t="s">
        <v>2965</v>
      </c>
      <c r="U1407" t="s">
        <v>3055</v>
      </c>
      <c r="V1407" t="s">
        <v>3056</v>
      </c>
    </row>
    <row r="1408" spans="1:22">
      <c r="A1408">
        <v>1407</v>
      </c>
      <c r="B1408" t="s">
        <v>23</v>
      </c>
      <c r="C1408" t="s">
        <v>24</v>
      </c>
      <c r="D1408" t="s">
        <v>20</v>
      </c>
      <c r="E1408" t="s">
        <v>8</v>
      </c>
      <c r="F1408" s="22">
        <v>2054.6999999999998</v>
      </c>
      <c r="G1408" s="22">
        <v>0</v>
      </c>
      <c r="H1408" s="22">
        <v>0</v>
      </c>
      <c r="I1408" s="22">
        <v>2054.6999999999998</v>
      </c>
      <c r="J1408">
        <v>0</v>
      </c>
      <c r="K1408">
        <v>0</v>
      </c>
      <c r="L1408" s="22">
        <v>2054.6999999999998</v>
      </c>
      <c r="M1408" s="22">
        <v>0</v>
      </c>
      <c r="N1408" s="22">
        <v>0</v>
      </c>
      <c r="O1408" s="22">
        <v>2054.6999999999998</v>
      </c>
      <c r="P1408" s="22">
        <v>0</v>
      </c>
      <c r="Q1408" s="22">
        <v>2054.6999999999998</v>
      </c>
      <c r="R1408">
        <v>0</v>
      </c>
      <c r="T1408" t="s">
        <v>3000</v>
      </c>
      <c r="U1408" t="s">
        <v>3059</v>
      </c>
      <c r="V1408" t="s">
        <v>3056</v>
      </c>
    </row>
    <row r="1409" spans="1:22">
      <c r="A1409">
        <v>1408</v>
      </c>
      <c r="B1409" t="s">
        <v>25</v>
      </c>
      <c r="C1409" t="s">
        <v>26</v>
      </c>
      <c r="D1409" t="s">
        <v>20</v>
      </c>
      <c r="E1409" t="s">
        <v>8</v>
      </c>
      <c r="F1409" s="22">
        <v>4719.8999999999996</v>
      </c>
      <c r="G1409" s="22">
        <v>0</v>
      </c>
      <c r="H1409" s="22">
        <v>710.4</v>
      </c>
      <c r="I1409" s="22">
        <v>4009.5</v>
      </c>
      <c r="J1409">
        <v>0</v>
      </c>
      <c r="K1409">
        <v>0</v>
      </c>
      <c r="L1409" s="22">
        <v>4009.5</v>
      </c>
      <c r="M1409" s="22">
        <v>0</v>
      </c>
      <c r="N1409" s="22">
        <v>0</v>
      </c>
      <c r="O1409" s="22">
        <v>4009.5</v>
      </c>
      <c r="P1409" s="22">
        <v>0</v>
      </c>
      <c r="Q1409" s="22">
        <v>4009.5</v>
      </c>
      <c r="R1409">
        <v>0</v>
      </c>
      <c r="T1409" t="s">
        <v>3000</v>
      </c>
      <c r="U1409" t="s">
        <v>3059</v>
      </c>
      <c r="V1409" t="s">
        <v>3056</v>
      </c>
    </row>
    <row r="1410" spans="1:22">
      <c r="A1410">
        <v>1409</v>
      </c>
      <c r="B1410" t="s">
        <v>167</v>
      </c>
      <c r="C1410" t="s">
        <v>168</v>
      </c>
      <c r="D1410" t="s">
        <v>7</v>
      </c>
      <c r="E1410" t="s">
        <v>8</v>
      </c>
      <c r="F1410" s="22">
        <v>116000</v>
      </c>
      <c r="G1410" s="22">
        <v>12000</v>
      </c>
      <c r="H1410" s="22">
        <v>28900</v>
      </c>
      <c r="I1410" s="22">
        <v>99100</v>
      </c>
      <c r="J1410">
        <v>7000</v>
      </c>
      <c r="K1410">
        <v>0</v>
      </c>
      <c r="L1410" s="22">
        <v>92100</v>
      </c>
      <c r="M1410" s="22">
        <v>0</v>
      </c>
      <c r="N1410" s="22">
        <v>0</v>
      </c>
      <c r="O1410" s="22">
        <v>92100</v>
      </c>
      <c r="P1410" s="22">
        <v>25000</v>
      </c>
      <c r="Q1410" s="22">
        <v>67100</v>
      </c>
      <c r="R1410">
        <v>14400</v>
      </c>
      <c r="T1410" t="s">
        <v>2972</v>
      </c>
      <c r="U1410" t="s">
        <v>3057</v>
      </c>
      <c r="V1410" t="s">
        <v>3056</v>
      </c>
    </row>
    <row r="1411" spans="1:22">
      <c r="A1411">
        <v>1410</v>
      </c>
      <c r="B1411" t="s">
        <v>177</v>
      </c>
      <c r="C1411" t="s">
        <v>178</v>
      </c>
      <c r="D1411" t="s">
        <v>7</v>
      </c>
      <c r="E1411" t="s">
        <v>8</v>
      </c>
      <c r="F1411" s="22">
        <v>27300</v>
      </c>
      <c r="G1411" s="22">
        <v>21600</v>
      </c>
      <c r="H1411" s="22">
        <v>19800</v>
      </c>
      <c r="I1411" s="22">
        <v>29100</v>
      </c>
      <c r="J1411">
        <v>9900</v>
      </c>
      <c r="K1411">
        <v>0</v>
      </c>
      <c r="L1411" s="22">
        <v>19200</v>
      </c>
      <c r="M1411" s="22">
        <v>0</v>
      </c>
      <c r="N1411" s="22">
        <v>0</v>
      </c>
      <c r="O1411" s="22">
        <v>19200</v>
      </c>
      <c r="P1411" s="22">
        <v>36000</v>
      </c>
      <c r="Q1411" s="22">
        <v>-16800</v>
      </c>
      <c r="R1411">
        <v>28800</v>
      </c>
      <c r="T1411" t="s">
        <v>2972</v>
      </c>
      <c r="U1411" t="s">
        <v>3057</v>
      </c>
      <c r="V1411" t="s">
        <v>3056</v>
      </c>
    </row>
    <row r="1412" spans="1:22">
      <c r="A1412">
        <v>1411</v>
      </c>
      <c r="B1412" t="s">
        <v>59</v>
      </c>
      <c r="C1412" t="s">
        <v>60</v>
      </c>
      <c r="D1412" t="s">
        <v>17</v>
      </c>
      <c r="E1412" t="s">
        <v>8</v>
      </c>
      <c r="F1412" s="22">
        <v>1475</v>
      </c>
      <c r="G1412" s="22">
        <v>0</v>
      </c>
      <c r="H1412" s="22">
        <v>0</v>
      </c>
      <c r="I1412" s="22">
        <v>1475</v>
      </c>
      <c r="J1412">
        <v>0</v>
      </c>
      <c r="K1412">
        <v>0</v>
      </c>
      <c r="L1412" s="22">
        <v>1475</v>
      </c>
      <c r="M1412" s="22">
        <v>0</v>
      </c>
      <c r="N1412" s="22">
        <v>0</v>
      </c>
      <c r="O1412" s="22">
        <v>1475</v>
      </c>
      <c r="P1412" s="22">
        <v>500</v>
      </c>
      <c r="Q1412" s="22">
        <v>975</v>
      </c>
      <c r="R1412">
        <v>0</v>
      </c>
      <c r="T1412" t="s">
        <v>2972</v>
      </c>
      <c r="U1412" t="s">
        <v>3055</v>
      </c>
      <c r="V1412" t="s">
        <v>3056</v>
      </c>
    </row>
    <row r="1413" spans="1:22">
      <c r="A1413">
        <v>1412</v>
      </c>
      <c r="B1413" t="s">
        <v>74</v>
      </c>
      <c r="C1413" t="s">
        <v>75</v>
      </c>
      <c r="D1413" t="s">
        <v>17</v>
      </c>
      <c r="E1413" t="s">
        <v>8</v>
      </c>
      <c r="F1413" s="22">
        <v>5590</v>
      </c>
      <c r="G1413" s="22">
        <v>0</v>
      </c>
      <c r="H1413" s="22">
        <v>0</v>
      </c>
      <c r="I1413" s="22">
        <v>5590</v>
      </c>
      <c r="J1413">
        <v>0</v>
      </c>
      <c r="K1413">
        <v>0</v>
      </c>
      <c r="L1413" s="22">
        <v>5590</v>
      </c>
      <c r="M1413" s="22">
        <v>0</v>
      </c>
      <c r="N1413" s="22">
        <v>0</v>
      </c>
      <c r="O1413" s="22">
        <v>5590</v>
      </c>
      <c r="P1413" s="22">
        <v>800</v>
      </c>
      <c r="Q1413" s="22">
        <v>4790</v>
      </c>
      <c r="R1413">
        <v>0</v>
      </c>
      <c r="T1413" t="s">
        <v>2991</v>
      </c>
      <c r="U1413" t="s">
        <v>3060</v>
      </c>
      <c r="V1413" t="s">
        <v>3058</v>
      </c>
    </row>
    <row r="1414" spans="1:22">
      <c r="A1414">
        <v>1413</v>
      </c>
      <c r="B1414" t="s">
        <v>641</v>
      </c>
      <c r="C1414" t="s">
        <v>3273</v>
      </c>
      <c r="D1414" t="s">
        <v>17</v>
      </c>
      <c r="E1414" t="s">
        <v>8</v>
      </c>
      <c r="F1414" s="22">
        <v>1100</v>
      </c>
      <c r="G1414" s="22">
        <v>0</v>
      </c>
      <c r="H1414" s="22">
        <v>800</v>
      </c>
      <c r="I1414" s="22">
        <v>300</v>
      </c>
      <c r="J1414">
        <v>0</v>
      </c>
      <c r="K1414">
        <v>0</v>
      </c>
      <c r="L1414" s="22">
        <v>300</v>
      </c>
      <c r="M1414" s="22">
        <v>1000</v>
      </c>
      <c r="N1414" s="22">
        <v>0</v>
      </c>
      <c r="O1414" s="22">
        <v>1300</v>
      </c>
      <c r="P1414" s="22">
        <v>800</v>
      </c>
      <c r="Q1414" s="22">
        <v>500</v>
      </c>
      <c r="R1414">
        <v>1000</v>
      </c>
      <c r="T1414" t="s">
        <v>2972</v>
      </c>
      <c r="U1414" t="s">
        <v>3057</v>
      </c>
      <c r="V1414" t="s">
        <v>3056</v>
      </c>
    </row>
    <row r="1415" spans="1:22">
      <c r="A1415">
        <v>1414</v>
      </c>
      <c r="B1415" t="s">
        <v>1504</v>
      </c>
      <c r="C1415" t="s">
        <v>1505</v>
      </c>
      <c r="D1415" t="s">
        <v>7</v>
      </c>
      <c r="E1415" t="s">
        <v>8</v>
      </c>
      <c r="F1415" s="22">
        <v>360</v>
      </c>
      <c r="G1415" s="22">
        <v>0</v>
      </c>
      <c r="H1415" s="22">
        <v>0</v>
      </c>
      <c r="I1415" s="22">
        <v>360</v>
      </c>
      <c r="J1415">
        <v>0</v>
      </c>
      <c r="K1415">
        <v>0</v>
      </c>
      <c r="L1415" s="22">
        <v>360</v>
      </c>
      <c r="M1415" s="22">
        <v>0</v>
      </c>
      <c r="N1415" s="22">
        <v>0</v>
      </c>
      <c r="O1415" s="22">
        <v>360</v>
      </c>
      <c r="P1415" s="22">
        <v>100</v>
      </c>
      <c r="Q1415" s="22">
        <v>260</v>
      </c>
      <c r="R1415">
        <v>0</v>
      </c>
      <c r="T1415" t="s">
        <v>2991</v>
      </c>
      <c r="U1415" t="s">
        <v>3057</v>
      </c>
      <c r="V1415" t="s">
        <v>3058</v>
      </c>
    </row>
    <row r="1416" spans="1:22">
      <c r="A1416">
        <v>1415</v>
      </c>
      <c r="B1416" t="s">
        <v>108</v>
      </c>
      <c r="C1416" t="s">
        <v>109</v>
      </c>
      <c r="D1416" t="s">
        <v>17</v>
      </c>
      <c r="E1416" t="s">
        <v>8</v>
      </c>
      <c r="F1416" s="22">
        <v>25000</v>
      </c>
      <c r="G1416" s="22">
        <v>0</v>
      </c>
      <c r="H1416" s="22">
        <v>8000</v>
      </c>
      <c r="I1416" s="22">
        <v>17000</v>
      </c>
      <c r="J1416">
        <v>0</v>
      </c>
      <c r="K1416">
        <v>0</v>
      </c>
      <c r="L1416" s="22">
        <v>17000</v>
      </c>
      <c r="M1416" s="22">
        <v>0</v>
      </c>
      <c r="N1416" s="22">
        <v>0</v>
      </c>
      <c r="O1416" s="22">
        <v>17000</v>
      </c>
      <c r="P1416" s="22">
        <v>15000</v>
      </c>
      <c r="Q1416" s="22">
        <v>2000</v>
      </c>
      <c r="R1416">
        <v>0</v>
      </c>
      <c r="T1416" t="s">
        <v>2972</v>
      </c>
      <c r="U1416" t="s">
        <v>3060</v>
      </c>
      <c r="V1416" t="s">
        <v>3058</v>
      </c>
    </row>
    <row r="1417" spans="1:22">
      <c r="A1417">
        <v>1416</v>
      </c>
      <c r="B1417" t="s">
        <v>1594</v>
      </c>
      <c r="C1417" t="s">
        <v>1595</v>
      </c>
      <c r="D1417" t="s">
        <v>17</v>
      </c>
      <c r="E1417" t="s">
        <v>8</v>
      </c>
      <c r="F1417" s="22">
        <v>288</v>
      </c>
      <c r="G1417" s="22">
        <v>97</v>
      </c>
      <c r="H1417" s="22">
        <v>162</v>
      </c>
      <c r="I1417" s="22">
        <v>223</v>
      </c>
      <c r="J1417">
        <v>0</v>
      </c>
      <c r="K1417">
        <v>0</v>
      </c>
      <c r="L1417" s="22">
        <v>223</v>
      </c>
      <c r="M1417" s="22">
        <v>0</v>
      </c>
      <c r="N1417" s="22">
        <v>0</v>
      </c>
      <c r="O1417" s="22">
        <v>223</v>
      </c>
      <c r="P1417" s="22">
        <v>150</v>
      </c>
      <c r="Q1417" s="22">
        <v>73</v>
      </c>
      <c r="R1417">
        <v>0</v>
      </c>
      <c r="T1417" t="s">
        <v>2972</v>
      </c>
      <c r="U1417" t="s">
        <v>3057</v>
      </c>
      <c r="V1417" t="s">
        <v>3058</v>
      </c>
    </row>
    <row r="1418" spans="1:22">
      <c r="A1418">
        <v>1417</v>
      </c>
      <c r="B1418" t="s">
        <v>1632</v>
      </c>
      <c r="C1418" t="s">
        <v>1633</v>
      </c>
      <c r="D1418" t="s">
        <v>17</v>
      </c>
      <c r="E1418" t="s">
        <v>8</v>
      </c>
      <c r="F1418" s="22">
        <v>1450</v>
      </c>
      <c r="G1418" s="22">
        <v>0</v>
      </c>
      <c r="H1418" s="22">
        <v>200</v>
      </c>
      <c r="I1418" s="22">
        <v>1250</v>
      </c>
      <c r="J1418">
        <v>0</v>
      </c>
      <c r="K1418">
        <v>0</v>
      </c>
      <c r="L1418" s="22">
        <v>1250</v>
      </c>
      <c r="M1418" s="22">
        <v>0</v>
      </c>
      <c r="N1418" s="22">
        <v>0</v>
      </c>
      <c r="O1418" s="22">
        <v>1250</v>
      </c>
      <c r="P1418" s="22">
        <v>500</v>
      </c>
      <c r="Q1418" s="22">
        <v>750</v>
      </c>
      <c r="R1418">
        <v>0</v>
      </c>
      <c r="T1418" t="s">
        <v>2972</v>
      </c>
      <c r="U1418" t="s">
        <v>3057</v>
      </c>
      <c r="V1418" t="s">
        <v>3056</v>
      </c>
    </row>
    <row r="1419" spans="1:22">
      <c r="A1419">
        <v>1418</v>
      </c>
      <c r="B1419" t="s">
        <v>1860</v>
      </c>
      <c r="C1419" t="s">
        <v>1861</v>
      </c>
      <c r="D1419" t="s">
        <v>20</v>
      </c>
      <c r="E1419" t="s">
        <v>8</v>
      </c>
      <c r="F1419" s="22">
        <v>2317.9</v>
      </c>
      <c r="G1419" s="22">
        <v>1532.9</v>
      </c>
      <c r="H1419" s="22">
        <v>2142.4</v>
      </c>
      <c r="I1419" s="22">
        <v>1708.4</v>
      </c>
      <c r="J1419">
        <v>0</v>
      </c>
      <c r="K1419">
        <v>0</v>
      </c>
      <c r="L1419" s="22">
        <v>1708.4</v>
      </c>
      <c r="M1419" s="22">
        <v>0</v>
      </c>
      <c r="N1419" s="22">
        <v>0</v>
      </c>
      <c r="O1419" s="22">
        <v>1708.4</v>
      </c>
      <c r="P1419" s="22">
        <v>1500</v>
      </c>
      <c r="Q1419" s="22">
        <v>208.40000000000009</v>
      </c>
      <c r="R1419">
        <v>5000</v>
      </c>
      <c r="T1419" t="s">
        <v>3031</v>
      </c>
      <c r="U1419" t="s">
        <v>3057</v>
      </c>
      <c r="V1419" t="s">
        <v>3056</v>
      </c>
    </row>
    <row r="1420" spans="1:22">
      <c r="A1420">
        <v>1419</v>
      </c>
      <c r="B1420" t="s">
        <v>1914</v>
      </c>
      <c r="C1420" t="s">
        <v>1915</v>
      </c>
      <c r="D1420" t="s">
        <v>17</v>
      </c>
      <c r="E1420" t="s">
        <v>8</v>
      </c>
      <c r="F1420" s="22">
        <v>8500</v>
      </c>
      <c r="G1420" s="22">
        <v>30000</v>
      </c>
      <c r="H1420" s="22">
        <v>12000</v>
      </c>
      <c r="I1420" s="22">
        <v>26500</v>
      </c>
      <c r="J1420">
        <v>0</v>
      </c>
      <c r="K1420">
        <v>0</v>
      </c>
      <c r="L1420" s="22">
        <v>26500</v>
      </c>
      <c r="M1420" s="22">
        <v>0</v>
      </c>
      <c r="N1420" s="22">
        <v>0</v>
      </c>
      <c r="O1420" s="22">
        <v>26500</v>
      </c>
      <c r="P1420" s="22">
        <v>15000</v>
      </c>
      <c r="Q1420" s="22">
        <v>11500</v>
      </c>
      <c r="R1420">
        <v>0</v>
      </c>
      <c r="T1420" t="s">
        <v>2972</v>
      </c>
      <c r="U1420" t="s">
        <v>3057</v>
      </c>
      <c r="V1420" t="s">
        <v>3056</v>
      </c>
    </row>
    <row r="1421" spans="1:22">
      <c r="A1421">
        <v>1420</v>
      </c>
      <c r="B1421" t="s">
        <v>195</v>
      </c>
      <c r="C1421" t="s">
        <v>196</v>
      </c>
      <c r="D1421" t="s">
        <v>20</v>
      </c>
      <c r="E1421" t="s">
        <v>8</v>
      </c>
      <c r="F1421" s="22">
        <v>475</v>
      </c>
      <c r="G1421" s="22">
        <v>0</v>
      </c>
      <c r="H1421" s="22">
        <v>40.700000000000003</v>
      </c>
      <c r="I1421" s="22">
        <v>434.3</v>
      </c>
      <c r="J1421">
        <v>0</v>
      </c>
      <c r="K1421">
        <v>0</v>
      </c>
      <c r="L1421" s="22">
        <v>434.3</v>
      </c>
      <c r="M1421" s="22">
        <v>139.4</v>
      </c>
      <c r="N1421" s="22">
        <v>0</v>
      </c>
      <c r="O1421" s="22">
        <v>573.70000000000005</v>
      </c>
      <c r="P1421" s="22">
        <v>200</v>
      </c>
      <c r="Q1421" s="22">
        <v>373.70000000000005</v>
      </c>
      <c r="R1421">
        <v>100</v>
      </c>
      <c r="T1421" t="s">
        <v>2965</v>
      </c>
      <c r="U1421" t="s">
        <v>3055</v>
      </c>
      <c r="V1421" t="s">
        <v>3058</v>
      </c>
    </row>
    <row r="1422" spans="1:22">
      <c r="A1422">
        <v>1421</v>
      </c>
      <c r="B1422" t="s">
        <v>199</v>
      </c>
      <c r="C1422" t="s">
        <v>200</v>
      </c>
      <c r="D1422" t="s">
        <v>20</v>
      </c>
      <c r="E1422" t="s">
        <v>8</v>
      </c>
      <c r="F1422" s="22">
        <v>446.79</v>
      </c>
      <c r="G1422" s="22">
        <v>2515.8000000000002</v>
      </c>
      <c r="H1422" s="22">
        <v>1020.89</v>
      </c>
      <c r="I1422" s="22">
        <v>1941.7</v>
      </c>
      <c r="J1422">
        <v>0</v>
      </c>
      <c r="K1422">
        <v>0</v>
      </c>
      <c r="L1422" s="22">
        <v>1941.7</v>
      </c>
      <c r="M1422" s="22">
        <v>0</v>
      </c>
      <c r="N1422" s="22">
        <v>0</v>
      </c>
      <c r="O1422" s="22">
        <v>1941.7</v>
      </c>
      <c r="P1422" s="22">
        <v>800</v>
      </c>
      <c r="Q1422" s="22">
        <v>1141.7</v>
      </c>
      <c r="R1422">
        <v>3250</v>
      </c>
      <c r="T1422" t="s">
        <v>2965</v>
      </c>
      <c r="U1422" t="s">
        <v>3055</v>
      </c>
      <c r="V1422" t="s">
        <v>3058</v>
      </c>
    </row>
    <row r="1423" spans="1:22">
      <c r="A1423">
        <v>1422</v>
      </c>
      <c r="B1423" t="s">
        <v>203</v>
      </c>
      <c r="C1423" t="s">
        <v>204</v>
      </c>
      <c r="D1423" t="s">
        <v>7</v>
      </c>
      <c r="E1423" t="s">
        <v>8</v>
      </c>
      <c r="F1423" s="22">
        <v>420</v>
      </c>
      <c r="G1423" s="22">
        <v>340</v>
      </c>
      <c r="H1423" s="22">
        <v>281</v>
      </c>
      <c r="I1423" s="22">
        <v>479</v>
      </c>
      <c r="J1423">
        <v>0</v>
      </c>
      <c r="K1423">
        <v>0</v>
      </c>
      <c r="L1423" s="22">
        <v>479</v>
      </c>
      <c r="M1423" s="22">
        <v>0</v>
      </c>
      <c r="N1423" s="22">
        <v>0</v>
      </c>
      <c r="O1423" s="22">
        <v>479</v>
      </c>
      <c r="P1423" s="22">
        <v>500</v>
      </c>
      <c r="Q1423" s="22">
        <v>-21</v>
      </c>
      <c r="R1423">
        <v>100</v>
      </c>
      <c r="T1423" t="s">
        <v>2965</v>
      </c>
      <c r="U1423" t="s">
        <v>3055</v>
      </c>
      <c r="V1423" t="s">
        <v>3058</v>
      </c>
    </row>
    <row r="1424" spans="1:22">
      <c r="A1424">
        <v>1423</v>
      </c>
      <c r="B1424" t="s">
        <v>209</v>
      </c>
      <c r="C1424" t="s">
        <v>210</v>
      </c>
      <c r="D1424" t="s">
        <v>7</v>
      </c>
      <c r="E1424" t="s">
        <v>8</v>
      </c>
      <c r="F1424" s="22">
        <v>450</v>
      </c>
      <c r="G1424" s="22">
        <v>727</v>
      </c>
      <c r="H1424" s="22">
        <v>155</v>
      </c>
      <c r="I1424" s="22">
        <v>1022</v>
      </c>
      <c r="J1424">
        <v>0</v>
      </c>
      <c r="K1424">
        <v>0</v>
      </c>
      <c r="L1424" s="22">
        <v>1022</v>
      </c>
      <c r="M1424" s="22">
        <v>0</v>
      </c>
      <c r="N1424" s="22">
        <v>0</v>
      </c>
      <c r="O1424" s="22">
        <v>1022</v>
      </c>
      <c r="P1424" s="22">
        <v>500</v>
      </c>
      <c r="Q1424" s="22">
        <v>522</v>
      </c>
      <c r="R1424">
        <v>500</v>
      </c>
      <c r="T1424" t="s">
        <v>2965</v>
      </c>
      <c r="U1424" t="s">
        <v>3055</v>
      </c>
      <c r="V1424" t="s">
        <v>3058</v>
      </c>
    </row>
    <row r="1425" spans="1:22">
      <c r="A1425">
        <v>1424</v>
      </c>
      <c r="B1425" t="s">
        <v>213</v>
      </c>
      <c r="C1425" t="s">
        <v>214</v>
      </c>
      <c r="D1425" t="s">
        <v>7</v>
      </c>
      <c r="E1425" t="s">
        <v>8</v>
      </c>
      <c r="F1425" s="22">
        <v>269</v>
      </c>
      <c r="G1425" s="22">
        <v>471</v>
      </c>
      <c r="H1425" s="22">
        <v>180</v>
      </c>
      <c r="I1425" s="22">
        <v>560</v>
      </c>
      <c r="J1425">
        <v>0</v>
      </c>
      <c r="K1425">
        <v>0</v>
      </c>
      <c r="L1425" s="22">
        <v>560</v>
      </c>
      <c r="M1425" s="22">
        <v>0</v>
      </c>
      <c r="N1425" s="22">
        <v>0</v>
      </c>
      <c r="O1425" s="22">
        <v>560</v>
      </c>
      <c r="P1425" s="22">
        <v>200</v>
      </c>
      <c r="Q1425" s="22">
        <v>360</v>
      </c>
      <c r="R1425">
        <v>500</v>
      </c>
      <c r="T1425" t="s">
        <v>2965</v>
      </c>
      <c r="U1425" t="s">
        <v>3055</v>
      </c>
      <c r="V1425" t="s">
        <v>3056</v>
      </c>
    </row>
    <row r="1426" spans="1:22">
      <c r="A1426">
        <v>1425</v>
      </c>
      <c r="B1426" t="s">
        <v>237</v>
      </c>
      <c r="C1426" t="s">
        <v>238</v>
      </c>
      <c r="D1426" t="s">
        <v>17</v>
      </c>
      <c r="E1426" t="s">
        <v>8</v>
      </c>
      <c r="F1426" s="22">
        <v>0</v>
      </c>
      <c r="G1426" s="22">
        <v>300</v>
      </c>
      <c r="H1426" s="22">
        <v>0</v>
      </c>
      <c r="I1426" s="22">
        <v>300</v>
      </c>
      <c r="J1426">
        <v>0</v>
      </c>
      <c r="K1426">
        <v>0</v>
      </c>
      <c r="L1426" s="22">
        <v>300</v>
      </c>
      <c r="M1426" s="22">
        <v>0</v>
      </c>
      <c r="N1426" s="22">
        <v>0</v>
      </c>
      <c r="O1426" s="22">
        <v>300</v>
      </c>
      <c r="P1426" s="22">
        <v>100</v>
      </c>
      <c r="Q1426" s="22">
        <v>200</v>
      </c>
      <c r="R1426">
        <v>250</v>
      </c>
      <c r="T1426" t="s">
        <v>2972</v>
      </c>
      <c r="U1426" t="s">
        <v>3060</v>
      </c>
      <c r="V1426" t="s">
        <v>3058</v>
      </c>
    </row>
    <row r="1427" spans="1:22">
      <c r="A1427">
        <v>1426</v>
      </c>
      <c r="B1427" t="s">
        <v>2319</v>
      </c>
      <c r="C1427" t="s">
        <v>2320</v>
      </c>
      <c r="D1427" t="s">
        <v>17</v>
      </c>
      <c r="E1427" t="s">
        <v>8</v>
      </c>
      <c r="F1427" s="22">
        <v>2</v>
      </c>
      <c r="G1427" s="22">
        <v>4</v>
      </c>
      <c r="H1427" s="22">
        <v>0</v>
      </c>
      <c r="I1427" s="22">
        <v>6</v>
      </c>
      <c r="J1427">
        <v>0</v>
      </c>
      <c r="K1427">
        <v>0</v>
      </c>
      <c r="L1427" s="22">
        <v>6</v>
      </c>
      <c r="M1427" s="22">
        <v>0</v>
      </c>
      <c r="N1427" s="22">
        <v>0</v>
      </c>
      <c r="O1427" s="22">
        <v>6</v>
      </c>
      <c r="P1427" s="22">
        <v>4</v>
      </c>
      <c r="Q1427" s="22">
        <v>2</v>
      </c>
      <c r="R1427">
        <v>4</v>
      </c>
      <c r="T1427" t="s">
        <v>3065</v>
      </c>
      <c r="U1427" t="s">
        <v>3057</v>
      </c>
      <c r="V1427" t="s">
        <v>3056</v>
      </c>
    </row>
    <row r="1428" spans="1:22">
      <c r="A1428">
        <v>1427</v>
      </c>
      <c r="B1428" t="s">
        <v>2803</v>
      </c>
      <c r="C1428" t="s">
        <v>2804</v>
      </c>
      <c r="D1428" t="s">
        <v>7</v>
      </c>
      <c r="E1428" t="s">
        <v>8</v>
      </c>
      <c r="F1428" s="22">
        <v>271000</v>
      </c>
      <c r="G1428" s="22">
        <v>0</v>
      </c>
      <c r="H1428" s="22">
        <v>58500</v>
      </c>
      <c r="I1428" s="22">
        <v>212500</v>
      </c>
      <c r="J1428">
        <v>0</v>
      </c>
      <c r="K1428">
        <v>0</v>
      </c>
      <c r="L1428" s="22">
        <v>212500</v>
      </c>
      <c r="M1428" s="22">
        <v>0</v>
      </c>
      <c r="N1428" s="22">
        <v>0</v>
      </c>
      <c r="O1428" s="22">
        <v>212500</v>
      </c>
      <c r="P1428" s="22">
        <v>30000</v>
      </c>
      <c r="Q1428" s="22">
        <v>182500</v>
      </c>
      <c r="R1428">
        <v>0</v>
      </c>
      <c r="T1428" t="s">
        <v>2972</v>
      </c>
      <c r="U1428" t="s">
        <v>3057</v>
      </c>
      <c r="V1428" t="s">
        <v>3056</v>
      </c>
    </row>
    <row r="1429" spans="1:22">
      <c r="A1429">
        <v>1428</v>
      </c>
      <c r="B1429" t="s">
        <v>2839</v>
      </c>
      <c r="C1429" t="s">
        <v>2840</v>
      </c>
      <c r="D1429" t="s">
        <v>17</v>
      </c>
      <c r="E1429" t="s">
        <v>8</v>
      </c>
      <c r="F1429" s="22">
        <v>19</v>
      </c>
      <c r="G1429" s="22">
        <v>0</v>
      </c>
      <c r="H1429" s="22">
        <v>5</v>
      </c>
      <c r="I1429" s="22">
        <v>14</v>
      </c>
      <c r="J1429">
        <v>0</v>
      </c>
      <c r="K1429">
        <v>0</v>
      </c>
      <c r="L1429" s="22">
        <v>14</v>
      </c>
      <c r="M1429" s="22">
        <v>0</v>
      </c>
      <c r="N1429" s="22">
        <v>0</v>
      </c>
      <c r="O1429" s="22">
        <v>14</v>
      </c>
      <c r="P1429" s="22">
        <v>15</v>
      </c>
      <c r="Q1429" s="22">
        <v>-1</v>
      </c>
      <c r="R1429">
        <v>10</v>
      </c>
      <c r="T1429" t="s">
        <v>3012</v>
      </c>
      <c r="U1429" t="s">
        <v>3057</v>
      </c>
      <c r="V1429" t="s">
        <v>3056</v>
      </c>
    </row>
    <row r="1430" spans="1:22">
      <c r="A1430">
        <v>1429</v>
      </c>
      <c r="B1430" t="s">
        <v>2859</v>
      </c>
      <c r="C1430" t="s">
        <v>2860</v>
      </c>
      <c r="D1430" t="s">
        <v>7</v>
      </c>
      <c r="E1430" t="s">
        <v>8</v>
      </c>
      <c r="F1430" s="22">
        <v>14500</v>
      </c>
      <c r="G1430" s="22">
        <v>0</v>
      </c>
      <c r="H1430" s="22">
        <v>7100</v>
      </c>
      <c r="I1430" s="22">
        <v>7400</v>
      </c>
      <c r="J1430">
        <v>900</v>
      </c>
      <c r="K1430">
        <v>0</v>
      </c>
      <c r="L1430" s="22">
        <v>6500</v>
      </c>
      <c r="M1430" s="22">
        <v>0</v>
      </c>
      <c r="N1430" s="22">
        <v>0</v>
      </c>
      <c r="O1430" s="22">
        <v>6500</v>
      </c>
      <c r="P1430" s="22">
        <v>10000</v>
      </c>
      <c r="Q1430" s="22">
        <v>-3500</v>
      </c>
      <c r="R1430">
        <v>25000</v>
      </c>
      <c r="T1430" t="s">
        <v>2972</v>
      </c>
      <c r="U1430" t="s">
        <v>3057</v>
      </c>
      <c r="V1430" t="s">
        <v>3056</v>
      </c>
    </row>
    <row r="1431" spans="1:22">
      <c r="A1431">
        <v>1430</v>
      </c>
      <c r="B1431" t="s">
        <v>263</v>
      </c>
      <c r="C1431" t="s">
        <v>264</v>
      </c>
      <c r="D1431" t="s">
        <v>17</v>
      </c>
      <c r="E1431" t="s">
        <v>8</v>
      </c>
      <c r="F1431" s="22">
        <v>354</v>
      </c>
      <c r="G1431" s="22">
        <v>0</v>
      </c>
      <c r="H1431" s="22">
        <v>0</v>
      </c>
      <c r="I1431" s="22">
        <v>354</v>
      </c>
      <c r="J1431">
        <v>0</v>
      </c>
      <c r="K1431">
        <v>0</v>
      </c>
      <c r="L1431" s="22">
        <v>354</v>
      </c>
      <c r="M1431" s="22">
        <v>0</v>
      </c>
      <c r="N1431" s="22">
        <v>0</v>
      </c>
      <c r="O1431" s="22">
        <v>354</v>
      </c>
      <c r="P1431" s="22">
        <v>100</v>
      </c>
      <c r="Q1431" s="22">
        <v>254</v>
      </c>
      <c r="R1431">
        <v>0</v>
      </c>
      <c r="T1431" t="s">
        <v>2982</v>
      </c>
      <c r="U1431" t="s">
        <v>3060</v>
      </c>
      <c r="V1431" t="s">
        <v>3058</v>
      </c>
    </row>
    <row r="1432" spans="1:22">
      <c r="A1432">
        <v>1431</v>
      </c>
      <c r="B1432" t="s">
        <v>267</v>
      </c>
      <c r="C1432" t="s">
        <v>268</v>
      </c>
      <c r="D1432" t="s">
        <v>17</v>
      </c>
      <c r="E1432" t="s">
        <v>8</v>
      </c>
      <c r="F1432" s="22">
        <v>316</v>
      </c>
      <c r="G1432" s="22">
        <v>0</v>
      </c>
      <c r="H1432" s="22">
        <v>0</v>
      </c>
      <c r="I1432" s="22">
        <v>316</v>
      </c>
      <c r="J1432">
        <v>0</v>
      </c>
      <c r="K1432">
        <v>0</v>
      </c>
      <c r="L1432" s="22">
        <v>316</v>
      </c>
      <c r="M1432" s="22">
        <v>0</v>
      </c>
      <c r="N1432" s="22">
        <v>0</v>
      </c>
      <c r="O1432" s="22">
        <v>316</v>
      </c>
      <c r="P1432" s="22">
        <v>100</v>
      </c>
      <c r="Q1432" s="22">
        <v>216</v>
      </c>
      <c r="R1432">
        <v>0</v>
      </c>
      <c r="T1432" t="s">
        <v>2982</v>
      </c>
      <c r="U1432" t="s">
        <v>3060</v>
      </c>
      <c r="V1432" t="s">
        <v>3058</v>
      </c>
    </row>
    <row r="1433" spans="1:22">
      <c r="A1433">
        <v>1432</v>
      </c>
      <c r="B1433" t="s">
        <v>16</v>
      </c>
      <c r="C1433" t="s">
        <v>2979</v>
      </c>
      <c r="D1433" t="s">
        <v>17</v>
      </c>
      <c r="E1433" t="s">
        <v>8</v>
      </c>
      <c r="F1433" s="22">
        <v>193</v>
      </c>
      <c r="G1433" s="22">
        <v>0</v>
      </c>
      <c r="H1433" s="22">
        <v>40</v>
      </c>
      <c r="I1433" s="22">
        <v>153</v>
      </c>
      <c r="J1433">
        <v>0</v>
      </c>
      <c r="K1433">
        <v>0</v>
      </c>
      <c r="L1433" s="22">
        <v>153</v>
      </c>
      <c r="M1433" s="22">
        <v>0</v>
      </c>
      <c r="N1433" s="22">
        <v>0</v>
      </c>
      <c r="O1433" s="22">
        <v>153</v>
      </c>
      <c r="P1433" s="22">
        <v>50</v>
      </c>
      <c r="Q1433" s="22">
        <v>103</v>
      </c>
      <c r="R1433">
        <v>0</v>
      </c>
      <c r="T1433" t="s">
        <v>2963</v>
      </c>
      <c r="U1433" t="s">
        <v>3057</v>
      </c>
      <c r="V1433" t="s">
        <v>3058</v>
      </c>
    </row>
    <row r="1434" spans="1:22">
      <c r="A1434">
        <v>1433</v>
      </c>
      <c r="B1434" t="s">
        <v>33</v>
      </c>
      <c r="C1434" t="s">
        <v>34</v>
      </c>
      <c r="D1434" t="s">
        <v>17</v>
      </c>
      <c r="E1434" t="s">
        <v>8</v>
      </c>
      <c r="F1434" s="22">
        <v>16</v>
      </c>
      <c r="G1434" s="22">
        <v>0</v>
      </c>
      <c r="H1434" s="22">
        <v>0</v>
      </c>
      <c r="I1434" s="22">
        <v>16</v>
      </c>
      <c r="J1434">
        <v>0</v>
      </c>
      <c r="K1434">
        <v>0</v>
      </c>
      <c r="L1434" s="22">
        <v>16</v>
      </c>
      <c r="M1434" s="22">
        <v>0</v>
      </c>
      <c r="N1434" s="22">
        <v>0</v>
      </c>
      <c r="O1434" s="22">
        <v>16</v>
      </c>
      <c r="P1434" s="22">
        <v>20</v>
      </c>
      <c r="Q1434" s="22">
        <v>-4</v>
      </c>
      <c r="R1434">
        <v>0</v>
      </c>
      <c r="T1434" t="s">
        <v>3002</v>
      </c>
      <c r="U1434" t="s">
        <v>3057</v>
      </c>
      <c r="V1434" t="s">
        <v>3056</v>
      </c>
    </row>
    <row r="1435" spans="1:22">
      <c r="A1435">
        <v>1434</v>
      </c>
      <c r="B1435" t="s">
        <v>35</v>
      </c>
      <c r="C1435" t="s">
        <v>36</v>
      </c>
      <c r="D1435" t="s">
        <v>17</v>
      </c>
      <c r="E1435" t="s">
        <v>8</v>
      </c>
      <c r="F1435" s="22">
        <v>12</v>
      </c>
      <c r="G1435" s="22">
        <v>0</v>
      </c>
      <c r="H1435" s="22">
        <v>4</v>
      </c>
      <c r="I1435" s="22">
        <v>8</v>
      </c>
      <c r="J1435">
        <v>0</v>
      </c>
      <c r="K1435">
        <v>2</v>
      </c>
      <c r="L1435" s="22">
        <v>6</v>
      </c>
      <c r="M1435" s="22">
        <v>0</v>
      </c>
      <c r="N1435" s="22">
        <v>0</v>
      </c>
      <c r="O1435" s="22">
        <v>6</v>
      </c>
      <c r="P1435" s="22">
        <v>20</v>
      </c>
      <c r="Q1435" s="22">
        <v>-14</v>
      </c>
      <c r="R1435">
        <v>0</v>
      </c>
      <c r="T1435" t="s">
        <v>3002</v>
      </c>
      <c r="U1435" t="s">
        <v>3057</v>
      </c>
      <c r="V1435" t="s">
        <v>3056</v>
      </c>
    </row>
    <row r="1436" spans="1:22">
      <c r="A1436">
        <v>1435</v>
      </c>
      <c r="B1436" t="s">
        <v>37</v>
      </c>
      <c r="C1436" t="s">
        <v>38</v>
      </c>
      <c r="D1436" t="s">
        <v>17</v>
      </c>
      <c r="E1436" t="s">
        <v>8</v>
      </c>
      <c r="F1436" s="22">
        <v>200</v>
      </c>
      <c r="G1436" s="22">
        <v>0</v>
      </c>
      <c r="H1436" s="22">
        <v>0</v>
      </c>
      <c r="I1436" s="22">
        <v>200</v>
      </c>
      <c r="J1436">
        <v>0</v>
      </c>
      <c r="K1436">
        <v>0</v>
      </c>
      <c r="L1436" s="22">
        <v>200</v>
      </c>
      <c r="M1436" s="22">
        <v>0</v>
      </c>
      <c r="N1436" s="22">
        <v>0</v>
      </c>
      <c r="O1436" s="22">
        <v>200</v>
      </c>
      <c r="P1436" s="22">
        <v>600</v>
      </c>
      <c r="Q1436" s="22">
        <v>-400</v>
      </c>
      <c r="R1436">
        <v>0</v>
      </c>
      <c r="T1436" t="s">
        <v>2991</v>
      </c>
      <c r="U1436" t="s">
        <v>3057</v>
      </c>
      <c r="V1436" t="s">
        <v>3056</v>
      </c>
    </row>
    <row r="1437" spans="1:22">
      <c r="A1437">
        <v>1436</v>
      </c>
      <c r="B1437" t="s">
        <v>294</v>
      </c>
      <c r="C1437" t="s">
        <v>295</v>
      </c>
      <c r="D1437" t="s">
        <v>17</v>
      </c>
      <c r="E1437" t="s">
        <v>8</v>
      </c>
      <c r="F1437" s="22">
        <v>550</v>
      </c>
      <c r="G1437" s="22">
        <v>800</v>
      </c>
      <c r="H1437" s="22">
        <v>700</v>
      </c>
      <c r="I1437" s="22">
        <v>650</v>
      </c>
      <c r="J1437">
        <v>0</v>
      </c>
      <c r="K1437">
        <v>0</v>
      </c>
      <c r="L1437" s="22">
        <v>650</v>
      </c>
      <c r="M1437" s="22">
        <v>0</v>
      </c>
      <c r="N1437" s="22">
        <v>0</v>
      </c>
      <c r="O1437" s="22">
        <v>650</v>
      </c>
      <c r="P1437" s="22">
        <v>450</v>
      </c>
      <c r="Q1437" s="22">
        <v>200</v>
      </c>
      <c r="R1437">
        <v>1000</v>
      </c>
      <c r="T1437" t="s">
        <v>2991</v>
      </c>
      <c r="U1437" t="s">
        <v>3060</v>
      </c>
      <c r="V1437" t="s">
        <v>3058</v>
      </c>
    </row>
    <row r="1438" spans="1:22">
      <c r="A1438">
        <v>1437</v>
      </c>
      <c r="B1438" t="s">
        <v>325</v>
      </c>
      <c r="C1438" t="s">
        <v>326</v>
      </c>
      <c r="D1438" t="s">
        <v>17</v>
      </c>
      <c r="E1438" t="s">
        <v>8</v>
      </c>
      <c r="F1438" s="22">
        <v>3000</v>
      </c>
      <c r="G1438" s="22">
        <v>0</v>
      </c>
      <c r="H1438" s="22">
        <v>1000</v>
      </c>
      <c r="I1438" s="22">
        <v>2000</v>
      </c>
      <c r="J1438">
        <v>0</v>
      </c>
      <c r="K1438">
        <v>0</v>
      </c>
      <c r="L1438" s="22">
        <v>2000</v>
      </c>
      <c r="M1438" s="22">
        <v>0</v>
      </c>
      <c r="N1438" s="22">
        <v>0</v>
      </c>
      <c r="O1438" s="22">
        <v>2000</v>
      </c>
      <c r="P1438" s="22">
        <v>2000</v>
      </c>
      <c r="Q1438" s="22">
        <v>0</v>
      </c>
      <c r="R1438">
        <v>1000</v>
      </c>
      <c r="T1438" t="s">
        <v>2991</v>
      </c>
      <c r="U1438" t="s">
        <v>3060</v>
      </c>
      <c r="V1438" t="s">
        <v>3058</v>
      </c>
    </row>
    <row r="1439" spans="1:22">
      <c r="A1439">
        <v>1438</v>
      </c>
      <c r="B1439" t="s">
        <v>339</v>
      </c>
      <c r="C1439" t="s">
        <v>340</v>
      </c>
      <c r="D1439" t="s">
        <v>20</v>
      </c>
      <c r="E1439" t="s">
        <v>8</v>
      </c>
      <c r="F1439" s="22">
        <v>53.84</v>
      </c>
      <c r="G1439" s="22">
        <v>0</v>
      </c>
      <c r="H1439" s="22">
        <v>7.74</v>
      </c>
      <c r="I1439" s="22">
        <v>46.1</v>
      </c>
      <c r="J1439">
        <v>0</v>
      </c>
      <c r="K1439">
        <v>0</v>
      </c>
      <c r="L1439" s="22">
        <v>46.1</v>
      </c>
      <c r="M1439" s="22">
        <v>0</v>
      </c>
      <c r="N1439" s="22">
        <v>0</v>
      </c>
      <c r="O1439" s="22">
        <v>46.1</v>
      </c>
      <c r="P1439" s="22">
        <v>10</v>
      </c>
      <c r="Q1439" s="22">
        <v>36.1</v>
      </c>
      <c r="R1439">
        <v>0</v>
      </c>
      <c r="T1439" t="s">
        <v>2972</v>
      </c>
      <c r="U1439" t="s">
        <v>3055</v>
      </c>
      <c r="V1439" t="s">
        <v>3056</v>
      </c>
    </row>
    <row r="1440" spans="1:22">
      <c r="A1440">
        <v>1439</v>
      </c>
      <c r="B1440" t="s">
        <v>94</v>
      </c>
      <c r="C1440" t="s">
        <v>95</v>
      </c>
      <c r="D1440" t="s">
        <v>17</v>
      </c>
      <c r="E1440" t="s">
        <v>8</v>
      </c>
      <c r="F1440" s="22">
        <v>16630</v>
      </c>
      <c r="G1440" s="22">
        <v>0</v>
      </c>
      <c r="H1440" s="22">
        <v>2000</v>
      </c>
      <c r="I1440" s="22">
        <v>14630</v>
      </c>
      <c r="J1440">
        <v>24</v>
      </c>
      <c r="K1440">
        <v>0</v>
      </c>
      <c r="L1440" s="22">
        <v>14606</v>
      </c>
      <c r="M1440" s="22">
        <v>0</v>
      </c>
      <c r="N1440" s="22">
        <v>0</v>
      </c>
      <c r="O1440" s="22">
        <v>14606</v>
      </c>
      <c r="P1440" s="22">
        <v>5000</v>
      </c>
      <c r="Q1440" s="22">
        <v>9606</v>
      </c>
      <c r="R1440">
        <v>0</v>
      </c>
      <c r="T1440" t="s">
        <v>2991</v>
      </c>
      <c r="U1440" t="s">
        <v>3057</v>
      </c>
      <c r="V1440" t="s">
        <v>3058</v>
      </c>
    </row>
    <row r="1441" spans="1:22">
      <c r="A1441">
        <v>1440</v>
      </c>
      <c r="B1441" t="s">
        <v>353</v>
      </c>
      <c r="C1441" t="s">
        <v>354</v>
      </c>
      <c r="D1441" t="s">
        <v>17</v>
      </c>
      <c r="E1441" t="s">
        <v>8</v>
      </c>
      <c r="F1441" s="22">
        <v>160</v>
      </c>
      <c r="G1441" s="22">
        <v>0</v>
      </c>
      <c r="H1441" s="22">
        <v>0</v>
      </c>
      <c r="I1441" s="22">
        <v>160</v>
      </c>
      <c r="J1441">
        <v>0</v>
      </c>
      <c r="K1441">
        <v>0</v>
      </c>
      <c r="L1441" s="22">
        <v>160</v>
      </c>
      <c r="M1441" s="22">
        <v>0</v>
      </c>
      <c r="N1441" s="22">
        <v>0</v>
      </c>
      <c r="O1441" s="22">
        <v>160</v>
      </c>
      <c r="P1441" s="22">
        <v>70</v>
      </c>
      <c r="Q1441" s="22">
        <v>90</v>
      </c>
      <c r="R1441">
        <v>0</v>
      </c>
      <c r="T1441" t="s">
        <v>2982</v>
      </c>
      <c r="U1441" t="s">
        <v>3060</v>
      </c>
      <c r="V1441" t="s">
        <v>3058</v>
      </c>
    </row>
    <row r="1442" spans="1:22">
      <c r="A1442">
        <v>1441</v>
      </c>
      <c r="B1442" t="s">
        <v>357</v>
      </c>
      <c r="C1442" t="s">
        <v>358</v>
      </c>
      <c r="D1442" t="s">
        <v>17</v>
      </c>
      <c r="E1442" t="s">
        <v>8</v>
      </c>
      <c r="F1442" s="22">
        <v>200</v>
      </c>
      <c r="G1442" s="22">
        <v>0</v>
      </c>
      <c r="H1442" s="22">
        <v>18</v>
      </c>
      <c r="I1442" s="22">
        <v>182</v>
      </c>
      <c r="J1442">
        <v>0</v>
      </c>
      <c r="K1442">
        <v>0</v>
      </c>
      <c r="L1442" s="22">
        <v>182</v>
      </c>
      <c r="M1442" s="22">
        <v>0</v>
      </c>
      <c r="N1442" s="22">
        <v>0</v>
      </c>
      <c r="O1442" s="22">
        <v>182</v>
      </c>
      <c r="P1442" s="22">
        <v>70</v>
      </c>
      <c r="Q1442" s="22">
        <v>112</v>
      </c>
      <c r="R1442">
        <v>0</v>
      </c>
      <c r="T1442" t="s">
        <v>2982</v>
      </c>
      <c r="U1442" t="s">
        <v>3060</v>
      </c>
      <c r="V1442" t="s">
        <v>3058</v>
      </c>
    </row>
    <row r="1443" spans="1:22">
      <c r="A1443">
        <v>1442</v>
      </c>
      <c r="B1443" t="s">
        <v>361</v>
      </c>
      <c r="C1443" t="s">
        <v>362</v>
      </c>
      <c r="D1443" t="s">
        <v>17</v>
      </c>
      <c r="E1443" t="s">
        <v>8</v>
      </c>
      <c r="F1443" s="22">
        <v>135</v>
      </c>
      <c r="G1443" s="22">
        <v>0</v>
      </c>
      <c r="H1443" s="22">
        <v>0</v>
      </c>
      <c r="I1443" s="22">
        <v>135</v>
      </c>
      <c r="J1443">
        <v>0</v>
      </c>
      <c r="K1443">
        <v>0</v>
      </c>
      <c r="L1443" s="22">
        <v>135</v>
      </c>
      <c r="M1443" s="22">
        <v>0</v>
      </c>
      <c r="N1443" s="22">
        <v>0</v>
      </c>
      <c r="O1443" s="22">
        <v>135</v>
      </c>
      <c r="P1443" s="22">
        <v>70</v>
      </c>
      <c r="Q1443" s="22">
        <v>65</v>
      </c>
      <c r="R1443">
        <v>0</v>
      </c>
      <c r="T1443" t="s">
        <v>2982</v>
      </c>
      <c r="U1443" t="s">
        <v>3060</v>
      </c>
      <c r="V1443" t="s">
        <v>3058</v>
      </c>
    </row>
    <row r="1444" spans="1:22">
      <c r="A1444">
        <v>1443</v>
      </c>
      <c r="B1444" t="s">
        <v>363</v>
      </c>
      <c r="C1444" t="s">
        <v>364</v>
      </c>
      <c r="D1444" t="s">
        <v>17</v>
      </c>
      <c r="E1444" t="s">
        <v>8</v>
      </c>
      <c r="F1444" s="22">
        <v>149</v>
      </c>
      <c r="G1444" s="22">
        <v>0</v>
      </c>
      <c r="H1444" s="22">
        <v>10</v>
      </c>
      <c r="I1444" s="22">
        <v>139</v>
      </c>
      <c r="J1444">
        <v>0</v>
      </c>
      <c r="K1444">
        <v>0</v>
      </c>
      <c r="L1444" s="22">
        <v>139</v>
      </c>
      <c r="M1444" s="22">
        <v>0</v>
      </c>
      <c r="N1444" s="22">
        <v>0</v>
      </c>
      <c r="O1444" s="22">
        <v>139</v>
      </c>
      <c r="P1444" s="22">
        <v>70</v>
      </c>
      <c r="Q1444" s="22">
        <v>69</v>
      </c>
      <c r="R1444">
        <v>0</v>
      </c>
      <c r="T1444" t="s">
        <v>2982</v>
      </c>
      <c r="U1444" t="s">
        <v>3060</v>
      </c>
      <c r="V1444" t="s">
        <v>3058</v>
      </c>
    </row>
    <row r="1445" spans="1:22">
      <c r="A1445">
        <v>1444</v>
      </c>
      <c r="B1445" t="s">
        <v>102</v>
      </c>
      <c r="C1445" t="s">
        <v>103</v>
      </c>
      <c r="D1445" t="s">
        <v>17</v>
      </c>
      <c r="E1445" t="s">
        <v>8</v>
      </c>
      <c r="F1445" s="22">
        <v>16000</v>
      </c>
      <c r="G1445" s="22">
        <v>0</v>
      </c>
      <c r="H1445" s="22">
        <v>2000</v>
      </c>
      <c r="I1445" s="22">
        <v>14000</v>
      </c>
      <c r="J1445">
        <v>0</v>
      </c>
      <c r="K1445">
        <v>0</v>
      </c>
      <c r="L1445" s="22">
        <v>14000</v>
      </c>
      <c r="M1445" s="22">
        <v>0</v>
      </c>
      <c r="N1445" s="22">
        <v>0</v>
      </c>
      <c r="O1445" s="22">
        <v>14000</v>
      </c>
      <c r="P1445" s="22">
        <v>4000</v>
      </c>
      <c r="Q1445" s="22">
        <v>10000</v>
      </c>
      <c r="R1445">
        <v>0</v>
      </c>
      <c r="T1445" t="s">
        <v>2972</v>
      </c>
      <c r="U1445" t="s">
        <v>3057</v>
      </c>
      <c r="V1445" t="s">
        <v>3058</v>
      </c>
    </row>
    <row r="1446" spans="1:22">
      <c r="A1446">
        <v>1445</v>
      </c>
      <c r="B1446" t="s">
        <v>104</v>
      </c>
      <c r="C1446" t="s">
        <v>105</v>
      </c>
      <c r="D1446" t="s">
        <v>17</v>
      </c>
      <c r="E1446" t="s">
        <v>8</v>
      </c>
      <c r="F1446" s="22">
        <v>4000</v>
      </c>
      <c r="G1446" s="22">
        <v>0</v>
      </c>
      <c r="H1446" s="22">
        <v>2500</v>
      </c>
      <c r="I1446" s="22">
        <v>1500</v>
      </c>
      <c r="J1446">
        <v>0</v>
      </c>
      <c r="K1446">
        <v>0</v>
      </c>
      <c r="L1446" s="22">
        <v>1500</v>
      </c>
      <c r="M1446" s="22">
        <v>0</v>
      </c>
      <c r="N1446" s="22">
        <v>0</v>
      </c>
      <c r="O1446" s="22">
        <v>1500</v>
      </c>
      <c r="P1446" s="22">
        <v>5000</v>
      </c>
      <c r="Q1446" s="22">
        <v>-3500</v>
      </c>
      <c r="R1446">
        <v>3000</v>
      </c>
      <c r="T1446" t="s">
        <v>2972</v>
      </c>
      <c r="U1446" t="s">
        <v>3057</v>
      </c>
      <c r="V1446" t="s">
        <v>3058</v>
      </c>
    </row>
    <row r="1447" spans="1:22">
      <c r="A1447">
        <v>1446</v>
      </c>
      <c r="B1447" t="s">
        <v>173</v>
      </c>
      <c r="C1447" t="s">
        <v>174</v>
      </c>
      <c r="D1447" t="s">
        <v>7</v>
      </c>
      <c r="E1447" t="s">
        <v>8</v>
      </c>
      <c r="F1447" s="22">
        <v>19200</v>
      </c>
      <c r="G1447" s="22">
        <v>14400</v>
      </c>
      <c r="H1447" s="22">
        <v>12000</v>
      </c>
      <c r="I1447" s="22">
        <v>21600</v>
      </c>
      <c r="J1447">
        <v>0</v>
      </c>
      <c r="K1447">
        <v>0</v>
      </c>
      <c r="L1447" s="22">
        <v>21600</v>
      </c>
      <c r="M1447" s="22">
        <v>0</v>
      </c>
      <c r="N1447" s="22">
        <v>0</v>
      </c>
      <c r="O1447" s="22">
        <v>21600</v>
      </c>
      <c r="P1447" s="22">
        <v>36000</v>
      </c>
      <c r="Q1447" s="22">
        <v>-14400</v>
      </c>
      <c r="R1447">
        <v>14400</v>
      </c>
      <c r="T1447" t="s">
        <v>2972</v>
      </c>
      <c r="U1447" t="s">
        <v>3057</v>
      </c>
      <c r="V1447" t="s">
        <v>3056</v>
      </c>
    </row>
    <row r="1448" spans="1:22">
      <c r="A1448">
        <v>1447</v>
      </c>
      <c r="B1448" t="s">
        <v>245</v>
      </c>
      <c r="C1448" t="s">
        <v>246</v>
      </c>
      <c r="D1448" t="s">
        <v>17</v>
      </c>
      <c r="E1448" t="s">
        <v>8</v>
      </c>
      <c r="F1448" s="22">
        <v>500</v>
      </c>
      <c r="G1448" s="22">
        <v>0</v>
      </c>
      <c r="H1448" s="22">
        <v>0</v>
      </c>
      <c r="I1448" s="22">
        <v>500</v>
      </c>
      <c r="J1448">
        <v>0</v>
      </c>
      <c r="K1448">
        <v>0</v>
      </c>
      <c r="L1448" s="22">
        <v>500</v>
      </c>
      <c r="M1448" s="22">
        <v>0</v>
      </c>
      <c r="N1448" s="22">
        <v>0</v>
      </c>
      <c r="O1448" s="22">
        <v>500</v>
      </c>
      <c r="P1448" s="22">
        <v>300</v>
      </c>
      <c r="Q1448" s="22">
        <v>200</v>
      </c>
      <c r="R1448">
        <v>0</v>
      </c>
      <c r="T1448" t="s">
        <v>2972</v>
      </c>
      <c r="U1448" t="s">
        <v>3057</v>
      </c>
      <c r="V1448" t="s">
        <v>3058</v>
      </c>
    </row>
    <row r="1449" spans="1:22">
      <c r="A1449">
        <v>1448</v>
      </c>
      <c r="B1449" t="s">
        <v>476</v>
      </c>
      <c r="C1449" t="s">
        <v>477</v>
      </c>
      <c r="D1449" t="s">
        <v>20</v>
      </c>
      <c r="E1449" t="s">
        <v>8</v>
      </c>
      <c r="F1449" s="22">
        <v>335.4</v>
      </c>
      <c r="G1449" s="22">
        <v>597.6</v>
      </c>
      <c r="H1449" s="22">
        <v>335.4</v>
      </c>
      <c r="I1449" s="22">
        <v>597.6</v>
      </c>
      <c r="J1449">
        <v>0</v>
      </c>
      <c r="K1449">
        <v>0</v>
      </c>
      <c r="L1449" s="22">
        <v>597.6</v>
      </c>
      <c r="M1449" s="22">
        <v>0</v>
      </c>
      <c r="N1449" s="22">
        <v>0</v>
      </c>
      <c r="O1449" s="22">
        <v>597.6</v>
      </c>
      <c r="P1449" s="22">
        <v>900</v>
      </c>
      <c r="Q1449" s="22">
        <v>-302.39999999999998</v>
      </c>
      <c r="R1449">
        <v>0</v>
      </c>
      <c r="T1449" t="s">
        <v>3006</v>
      </c>
      <c r="U1449" t="s">
        <v>3060</v>
      </c>
      <c r="V1449" t="s">
        <v>3058</v>
      </c>
    </row>
    <row r="1450" spans="1:22">
      <c r="A1450">
        <v>1449</v>
      </c>
      <c r="B1450" t="s">
        <v>279</v>
      </c>
      <c r="C1450" t="s">
        <v>280</v>
      </c>
      <c r="D1450" t="s">
        <v>17</v>
      </c>
      <c r="E1450" t="s">
        <v>8</v>
      </c>
      <c r="F1450" s="22">
        <v>4600</v>
      </c>
      <c r="G1450" s="22">
        <v>3050</v>
      </c>
      <c r="H1450" s="22">
        <v>775</v>
      </c>
      <c r="I1450" s="22">
        <v>6875</v>
      </c>
      <c r="J1450">
        <v>0</v>
      </c>
      <c r="K1450">
        <v>0</v>
      </c>
      <c r="L1450" s="22">
        <v>6875</v>
      </c>
      <c r="M1450" s="22">
        <v>0</v>
      </c>
      <c r="N1450" s="22">
        <v>0</v>
      </c>
      <c r="O1450" s="22">
        <v>6875</v>
      </c>
      <c r="P1450" s="22">
        <v>1500</v>
      </c>
      <c r="Q1450" s="22">
        <v>5375</v>
      </c>
      <c r="R1450">
        <v>0</v>
      </c>
      <c r="T1450" t="s">
        <v>2972</v>
      </c>
      <c r="U1450" t="s">
        <v>3057</v>
      </c>
      <c r="V1450" t="s">
        <v>3058</v>
      </c>
    </row>
    <row r="1451" spans="1:22">
      <c r="A1451">
        <v>1450</v>
      </c>
      <c r="B1451" t="s">
        <v>312</v>
      </c>
      <c r="C1451" t="s">
        <v>313</v>
      </c>
      <c r="D1451" t="s">
        <v>17</v>
      </c>
      <c r="E1451" t="s">
        <v>8</v>
      </c>
      <c r="F1451" s="22">
        <v>413</v>
      </c>
      <c r="G1451" s="22">
        <v>1054</v>
      </c>
      <c r="H1451" s="22">
        <v>454</v>
      </c>
      <c r="I1451" s="22">
        <v>1013</v>
      </c>
      <c r="J1451">
        <v>0</v>
      </c>
      <c r="K1451">
        <v>0</v>
      </c>
      <c r="L1451" s="22">
        <v>1013</v>
      </c>
      <c r="M1451" s="22">
        <v>0</v>
      </c>
      <c r="N1451" s="22">
        <v>0</v>
      </c>
      <c r="O1451" s="22">
        <v>1013</v>
      </c>
      <c r="P1451" s="22">
        <v>450</v>
      </c>
      <c r="Q1451" s="22">
        <v>563</v>
      </c>
      <c r="R1451">
        <v>1000</v>
      </c>
      <c r="T1451" t="s">
        <v>2963</v>
      </c>
      <c r="U1451" t="s">
        <v>3057</v>
      </c>
      <c r="V1451" t="s">
        <v>3056</v>
      </c>
    </row>
    <row r="1452" spans="1:22">
      <c r="A1452">
        <v>1451</v>
      </c>
      <c r="B1452" t="s">
        <v>337</v>
      </c>
      <c r="C1452" t="s">
        <v>338</v>
      </c>
      <c r="D1452" t="s">
        <v>17</v>
      </c>
      <c r="E1452" t="s">
        <v>8</v>
      </c>
      <c r="F1452" s="22">
        <v>61</v>
      </c>
      <c r="G1452" s="22">
        <v>128</v>
      </c>
      <c r="H1452" s="22">
        <v>90</v>
      </c>
      <c r="I1452" s="22">
        <v>99</v>
      </c>
      <c r="J1452">
        <v>0</v>
      </c>
      <c r="K1452">
        <v>0</v>
      </c>
      <c r="L1452" s="22">
        <v>99</v>
      </c>
      <c r="M1452" s="22">
        <v>0</v>
      </c>
      <c r="N1452" s="22">
        <v>0</v>
      </c>
      <c r="O1452" s="22">
        <v>99</v>
      </c>
      <c r="P1452" s="22">
        <v>128</v>
      </c>
      <c r="Q1452" s="22">
        <v>-29</v>
      </c>
      <c r="R1452">
        <v>128</v>
      </c>
      <c r="T1452" t="s">
        <v>2963</v>
      </c>
      <c r="U1452" t="s">
        <v>3057</v>
      </c>
      <c r="V1452" t="s">
        <v>3056</v>
      </c>
    </row>
    <row r="1453" spans="1:22">
      <c r="A1453">
        <v>1452</v>
      </c>
      <c r="B1453" t="s">
        <v>528</v>
      </c>
      <c r="C1453" t="s">
        <v>529</v>
      </c>
      <c r="D1453" t="s">
        <v>17</v>
      </c>
      <c r="E1453" t="s">
        <v>8</v>
      </c>
      <c r="F1453" s="22">
        <v>6360</v>
      </c>
      <c r="G1453" s="22">
        <v>1000</v>
      </c>
      <c r="H1453" s="22">
        <v>6200</v>
      </c>
      <c r="I1453" s="22">
        <v>1160</v>
      </c>
      <c r="J1453">
        <v>0</v>
      </c>
      <c r="K1453">
        <v>0</v>
      </c>
      <c r="L1453" s="22">
        <v>1160</v>
      </c>
      <c r="M1453" s="22">
        <v>0</v>
      </c>
      <c r="N1453" s="22">
        <v>0</v>
      </c>
      <c r="O1453" s="22">
        <v>1160</v>
      </c>
      <c r="P1453" s="22">
        <v>5000</v>
      </c>
      <c r="Q1453" s="22">
        <v>-3840</v>
      </c>
      <c r="R1453">
        <v>5000</v>
      </c>
      <c r="T1453" t="s">
        <v>2972</v>
      </c>
      <c r="U1453" t="s">
        <v>3060</v>
      </c>
      <c r="V1453" t="s">
        <v>3058</v>
      </c>
    </row>
    <row r="1454" spans="1:22">
      <c r="A1454">
        <v>1453</v>
      </c>
      <c r="B1454" t="s">
        <v>391</v>
      </c>
      <c r="C1454" t="s">
        <v>392</v>
      </c>
      <c r="D1454" t="s">
        <v>17</v>
      </c>
      <c r="E1454" t="s">
        <v>8</v>
      </c>
      <c r="F1454" s="22">
        <v>77</v>
      </c>
      <c r="G1454" s="22">
        <v>100</v>
      </c>
      <c r="H1454" s="22">
        <v>39</v>
      </c>
      <c r="I1454" s="22">
        <v>138</v>
      </c>
      <c r="J1454">
        <v>0</v>
      </c>
      <c r="K1454">
        <v>0</v>
      </c>
      <c r="L1454" s="22">
        <v>138</v>
      </c>
      <c r="M1454" s="22">
        <v>0</v>
      </c>
      <c r="N1454" s="22">
        <v>0</v>
      </c>
      <c r="O1454" s="22">
        <v>138</v>
      </c>
      <c r="P1454" s="22">
        <v>50</v>
      </c>
      <c r="Q1454" s="22">
        <v>88</v>
      </c>
      <c r="R1454">
        <v>0</v>
      </c>
      <c r="T1454" t="s">
        <v>2963</v>
      </c>
      <c r="U1454" t="s">
        <v>3057</v>
      </c>
      <c r="V1454" t="s">
        <v>3056</v>
      </c>
    </row>
    <row r="1455" spans="1:22">
      <c r="A1455">
        <v>1454</v>
      </c>
      <c r="B1455" t="s">
        <v>432</v>
      </c>
      <c r="C1455" t="s">
        <v>433</v>
      </c>
      <c r="D1455" t="s">
        <v>20</v>
      </c>
      <c r="E1455" t="s">
        <v>8</v>
      </c>
      <c r="F1455" s="22">
        <v>0</v>
      </c>
      <c r="G1455" s="22">
        <v>0</v>
      </c>
      <c r="H1455" s="22">
        <v>0</v>
      </c>
      <c r="I1455" s="22">
        <v>0</v>
      </c>
      <c r="J1455">
        <v>0</v>
      </c>
      <c r="K1455">
        <v>0</v>
      </c>
      <c r="L1455" s="22">
        <v>0</v>
      </c>
      <c r="M1455" s="22">
        <v>0</v>
      </c>
      <c r="N1455" s="22">
        <v>0</v>
      </c>
      <c r="O1455" s="22">
        <v>0</v>
      </c>
      <c r="P1455" s="22">
        <v>25</v>
      </c>
      <c r="Q1455" s="22">
        <v>-25</v>
      </c>
      <c r="R1455">
        <v>50</v>
      </c>
      <c r="T1455" t="s">
        <v>2991</v>
      </c>
      <c r="U1455" t="s">
        <v>3057</v>
      </c>
      <c r="V1455" t="s">
        <v>3056</v>
      </c>
    </row>
    <row r="1456" spans="1:22">
      <c r="A1456">
        <v>1455</v>
      </c>
      <c r="B1456" t="s">
        <v>472</v>
      </c>
      <c r="C1456" t="s">
        <v>473</v>
      </c>
      <c r="D1456" t="s">
        <v>116</v>
      </c>
      <c r="E1456" t="s">
        <v>8</v>
      </c>
      <c r="F1456" s="22">
        <v>139</v>
      </c>
      <c r="G1456" s="22">
        <v>0</v>
      </c>
      <c r="H1456" s="22">
        <v>35</v>
      </c>
      <c r="I1456" s="22">
        <v>104</v>
      </c>
      <c r="J1456">
        <v>0</v>
      </c>
      <c r="K1456">
        <v>0</v>
      </c>
      <c r="L1456" s="22">
        <v>104</v>
      </c>
      <c r="M1456" s="22">
        <v>0</v>
      </c>
      <c r="N1456" s="22">
        <v>0</v>
      </c>
      <c r="O1456" s="22">
        <v>104</v>
      </c>
      <c r="P1456" s="22">
        <v>150</v>
      </c>
      <c r="Q1456" s="22">
        <v>-46</v>
      </c>
      <c r="R1456">
        <v>0</v>
      </c>
      <c r="T1456" t="s">
        <v>2974</v>
      </c>
      <c r="U1456" t="s">
        <v>3057</v>
      </c>
      <c r="V1456" t="s">
        <v>3056</v>
      </c>
    </row>
    <row r="1457" spans="1:22">
      <c r="A1457">
        <v>1456</v>
      </c>
      <c r="B1457" t="s">
        <v>619</v>
      </c>
      <c r="C1457" t="s">
        <v>620</v>
      </c>
      <c r="D1457" t="s">
        <v>17</v>
      </c>
      <c r="E1457" t="s">
        <v>8</v>
      </c>
      <c r="F1457" s="22">
        <v>1359</v>
      </c>
      <c r="G1457" s="22">
        <v>820</v>
      </c>
      <c r="H1457" s="22">
        <v>1750</v>
      </c>
      <c r="I1457" s="22">
        <v>429</v>
      </c>
      <c r="J1457">
        <v>0</v>
      </c>
      <c r="K1457">
        <v>0</v>
      </c>
      <c r="L1457" s="22">
        <v>429</v>
      </c>
      <c r="M1457" s="22">
        <v>0</v>
      </c>
      <c r="N1457" s="22">
        <v>0</v>
      </c>
      <c r="O1457" s="22">
        <v>429</v>
      </c>
      <c r="P1457" s="22">
        <v>1250</v>
      </c>
      <c r="Q1457" s="22">
        <v>-821</v>
      </c>
      <c r="R1457">
        <v>2500</v>
      </c>
      <c r="T1457" t="s">
        <v>2982</v>
      </c>
      <c r="U1457" t="s">
        <v>3060</v>
      </c>
      <c r="V1457" t="s">
        <v>3064</v>
      </c>
    </row>
    <row r="1458" spans="1:22">
      <c r="A1458">
        <v>1457</v>
      </c>
      <c r="B1458" t="s">
        <v>621</v>
      </c>
      <c r="C1458" t="s">
        <v>622</v>
      </c>
      <c r="D1458" t="s">
        <v>17</v>
      </c>
      <c r="E1458" t="s">
        <v>8</v>
      </c>
      <c r="F1458" s="22">
        <v>1025</v>
      </c>
      <c r="G1458" s="22">
        <v>500</v>
      </c>
      <c r="H1458" s="22">
        <v>710</v>
      </c>
      <c r="I1458" s="22">
        <v>815</v>
      </c>
      <c r="J1458">
        <v>0</v>
      </c>
      <c r="K1458">
        <v>0</v>
      </c>
      <c r="L1458" s="22">
        <v>815</v>
      </c>
      <c r="M1458" s="22">
        <v>0</v>
      </c>
      <c r="N1458" s="22">
        <v>0</v>
      </c>
      <c r="O1458" s="22">
        <v>815</v>
      </c>
      <c r="P1458" s="22">
        <v>800</v>
      </c>
      <c r="Q1458" s="22">
        <v>15</v>
      </c>
      <c r="R1458">
        <v>1000</v>
      </c>
      <c r="T1458" t="s">
        <v>2982</v>
      </c>
      <c r="U1458" t="s">
        <v>3060</v>
      </c>
      <c r="V1458" t="s">
        <v>3061</v>
      </c>
    </row>
    <row r="1459" spans="1:22">
      <c r="A1459">
        <v>1458</v>
      </c>
      <c r="B1459" t="s">
        <v>631</v>
      </c>
      <c r="C1459" t="s">
        <v>632</v>
      </c>
      <c r="D1459" t="s">
        <v>20</v>
      </c>
      <c r="E1459" t="s">
        <v>8</v>
      </c>
      <c r="F1459" s="22">
        <v>11701</v>
      </c>
      <c r="G1459" s="22">
        <v>58063</v>
      </c>
      <c r="H1459" s="22">
        <v>8076</v>
      </c>
      <c r="I1459" s="22">
        <v>61688</v>
      </c>
      <c r="J1459">
        <v>0</v>
      </c>
      <c r="K1459">
        <v>0</v>
      </c>
      <c r="L1459" s="22">
        <v>61688</v>
      </c>
      <c r="M1459" s="22">
        <v>312</v>
      </c>
      <c r="N1459" s="22">
        <v>0</v>
      </c>
      <c r="O1459" s="22">
        <v>62000</v>
      </c>
      <c r="P1459" s="22">
        <v>12000</v>
      </c>
      <c r="Q1459" s="22">
        <v>50000</v>
      </c>
      <c r="R1459">
        <v>25000</v>
      </c>
      <c r="T1459" t="s">
        <v>3034</v>
      </c>
      <c r="U1459" t="s">
        <v>3059</v>
      </c>
      <c r="V1459" t="s">
        <v>3056</v>
      </c>
    </row>
    <row r="1460" spans="1:22">
      <c r="A1460">
        <v>1459</v>
      </c>
      <c r="B1460" t="s">
        <v>658</v>
      </c>
      <c r="C1460" t="s">
        <v>659</v>
      </c>
      <c r="D1460" t="s">
        <v>7</v>
      </c>
      <c r="E1460" t="s">
        <v>8</v>
      </c>
      <c r="F1460" s="22">
        <v>0</v>
      </c>
      <c r="G1460" s="22">
        <v>0</v>
      </c>
      <c r="H1460" s="22">
        <v>0</v>
      </c>
      <c r="I1460" s="22">
        <v>0</v>
      </c>
      <c r="J1460">
        <v>0</v>
      </c>
      <c r="K1460">
        <v>0</v>
      </c>
      <c r="L1460" s="22">
        <v>0</v>
      </c>
      <c r="M1460" s="22">
        <v>0</v>
      </c>
      <c r="N1460" s="22">
        <v>0</v>
      </c>
      <c r="O1460" s="22">
        <v>0</v>
      </c>
      <c r="P1460" s="22">
        <v>100</v>
      </c>
      <c r="Q1460" s="22">
        <v>-100</v>
      </c>
      <c r="R1460">
        <v>0</v>
      </c>
      <c r="T1460" t="s">
        <v>2965</v>
      </c>
      <c r="U1460" t="s">
        <v>3055</v>
      </c>
      <c r="V1460" t="s">
        <v>3056</v>
      </c>
    </row>
    <row r="1461" spans="1:22">
      <c r="A1461">
        <v>1460</v>
      </c>
      <c r="B1461" t="s">
        <v>676</v>
      </c>
      <c r="C1461" t="s">
        <v>677</v>
      </c>
      <c r="D1461" t="s">
        <v>7</v>
      </c>
      <c r="E1461" t="s">
        <v>8</v>
      </c>
      <c r="F1461" s="22">
        <v>295.5</v>
      </c>
      <c r="G1461" s="22">
        <v>0</v>
      </c>
      <c r="H1461" s="22">
        <v>0</v>
      </c>
      <c r="I1461" s="22">
        <v>295.5</v>
      </c>
      <c r="J1461">
        <v>0</v>
      </c>
      <c r="K1461">
        <v>0</v>
      </c>
      <c r="L1461" s="22">
        <v>295.5</v>
      </c>
      <c r="M1461" s="22">
        <v>0</v>
      </c>
      <c r="N1461" s="22">
        <v>0</v>
      </c>
      <c r="O1461" s="22">
        <v>295.5</v>
      </c>
      <c r="P1461" s="22">
        <v>250</v>
      </c>
      <c r="Q1461" s="22">
        <v>45.5</v>
      </c>
      <c r="R1461">
        <v>0</v>
      </c>
      <c r="T1461" t="s">
        <v>2965</v>
      </c>
      <c r="U1461" t="s">
        <v>3055</v>
      </c>
      <c r="V1461" t="s">
        <v>3058</v>
      </c>
    </row>
    <row r="1462" spans="1:22">
      <c r="A1462">
        <v>1461</v>
      </c>
      <c r="B1462" t="s">
        <v>678</v>
      </c>
      <c r="C1462" t="s">
        <v>679</v>
      </c>
      <c r="D1462" t="s">
        <v>7</v>
      </c>
      <c r="E1462" t="s">
        <v>8</v>
      </c>
      <c r="F1462" s="22">
        <v>585.5</v>
      </c>
      <c r="G1462" s="22">
        <v>86</v>
      </c>
      <c r="H1462" s="22">
        <v>81</v>
      </c>
      <c r="I1462" s="22">
        <v>590.5</v>
      </c>
      <c r="J1462">
        <v>0</v>
      </c>
      <c r="K1462">
        <v>0</v>
      </c>
      <c r="L1462" s="22">
        <v>590.5</v>
      </c>
      <c r="M1462" s="22">
        <v>0</v>
      </c>
      <c r="N1462" s="22">
        <v>0</v>
      </c>
      <c r="O1462" s="22">
        <v>590.5</v>
      </c>
      <c r="P1462" s="22">
        <v>300</v>
      </c>
      <c r="Q1462" s="22">
        <v>290.5</v>
      </c>
      <c r="R1462">
        <v>0</v>
      </c>
      <c r="T1462" t="s">
        <v>2965</v>
      </c>
      <c r="U1462" t="s">
        <v>3055</v>
      </c>
      <c r="V1462" t="s">
        <v>3058</v>
      </c>
    </row>
    <row r="1463" spans="1:22">
      <c r="A1463">
        <v>1462</v>
      </c>
      <c r="B1463" t="s">
        <v>686</v>
      </c>
      <c r="C1463" t="s">
        <v>687</v>
      </c>
      <c r="D1463" t="s">
        <v>7</v>
      </c>
      <c r="E1463" t="s">
        <v>8</v>
      </c>
      <c r="F1463" s="22">
        <v>555</v>
      </c>
      <c r="G1463" s="22">
        <v>207</v>
      </c>
      <c r="H1463" s="22">
        <v>82</v>
      </c>
      <c r="I1463" s="22">
        <v>680</v>
      </c>
      <c r="J1463">
        <v>0</v>
      </c>
      <c r="K1463">
        <v>0</v>
      </c>
      <c r="L1463" s="22">
        <v>680</v>
      </c>
      <c r="M1463" s="22">
        <v>0</v>
      </c>
      <c r="N1463" s="22">
        <v>0</v>
      </c>
      <c r="O1463" s="22">
        <v>680</v>
      </c>
      <c r="P1463" s="22">
        <v>500</v>
      </c>
      <c r="Q1463" s="22">
        <v>180</v>
      </c>
      <c r="R1463">
        <v>200</v>
      </c>
      <c r="T1463" t="s">
        <v>2965</v>
      </c>
      <c r="U1463" t="s">
        <v>3055</v>
      </c>
      <c r="V1463" t="s">
        <v>3058</v>
      </c>
    </row>
    <row r="1464" spans="1:22">
      <c r="A1464">
        <v>1463</v>
      </c>
      <c r="B1464" t="s">
        <v>734</v>
      </c>
      <c r="C1464" t="s">
        <v>735</v>
      </c>
      <c r="D1464" t="s">
        <v>7</v>
      </c>
      <c r="E1464" t="s">
        <v>8</v>
      </c>
      <c r="F1464" s="22">
        <v>330.5</v>
      </c>
      <c r="G1464" s="22">
        <v>268</v>
      </c>
      <c r="H1464" s="22">
        <v>0</v>
      </c>
      <c r="I1464" s="22">
        <v>598.5</v>
      </c>
      <c r="J1464">
        <v>0</v>
      </c>
      <c r="K1464">
        <v>0</v>
      </c>
      <c r="L1464" s="22">
        <v>598.5</v>
      </c>
      <c r="M1464" s="22">
        <v>0</v>
      </c>
      <c r="N1464" s="22">
        <v>0</v>
      </c>
      <c r="O1464" s="22">
        <v>598.5</v>
      </c>
      <c r="P1464" s="22">
        <v>300</v>
      </c>
      <c r="Q1464" s="22">
        <v>298.5</v>
      </c>
      <c r="R1464">
        <v>0</v>
      </c>
      <c r="T1464" t="s">
        <v>2965</v>
      </c>
      <c r="U1464" t="s">
        <v>3055</v>
      </c>
      <c r="V1464" t="s">
        <v>3056</v>
      </c>
    </row>
    <row r="1465" spans="1:22">
      <c r="A1465">
        <v>1464</v>
      </c>
      <c r="B1465" t="s">
        <v>736</v>
      </c>
      <c r="C1465" t="s">
        <v>737</v>
      </c>
      <c r="D1465" t="s">
        <v>7</v>
      </c>
      <c r="E1465" t="s">
        <v>8</v>
      </c>
      <c r="F1465" s="22">
        <v>670</v>
      </c>
      <c r="G1465" s="22">
        <v>93.9</v>
      </c>
      <c r="H1465" s="22">
        <v>40.299999999999997</v>
      </c>
      <c r="I1465" s="22">
        <v>723.6</v>
      </c>
      <c r="J1465">
        <v>247.1</v>
      </c>
      <c r="K1465">
        <v>0</v>
      </c>
      <c r="L1465" s="22">
        <v>476.5</v>
      </c>
      <c r="M1465" s="22">
        <v>0</v>
      </c>
      <c r="N1465" s="22">
        <v>0</v>
      </c>
      <c r="O1465" s="22">
        <v>476.5</v>
      </c>
      <c r="P1465" s="22">
        <v>300</v>
      </c>
      <c r="Q1465" s="22">
        <v>176.5</v>
      </c>
      <c r="R1465">
        <v>100</v>
      </c>
      <c r="T1465" t="s">
        <v>2965</v>
      </c>
      <c r="U1465" t="s">
        <v>3055</v>
      </c>
      <c r="V1465" t="s">
        <v>3056</v>
      </c>
    </row>
    <row r="1466" spans="1:22">
      <c r="A1466">
        <v>1465</v>
      </c>
      <c r="B1466" t="s">
        <v>738</v>
      </c>
      <c r="C1466" t="s">
        <v>739</v>
      </c>
      <c r="D1466" t="s">
        <v>7</v>
      </c>
      <c r="E1466" t="s">
        <v>8</v>
      </c>
      <c r="F1466" s="22">
        <v>871.64</v>
      </c>
      <c r="G1466" s="22">
        <v>0</v>
      </c>
      <c r="H1466" s="22">
        <v>0</v>
      </c>
      <c r="I1466" s="22">
        <v>871.64</v>
      </c>
      <c r="J1466">
        <v>0</v>
      </c>
      <c r="K1466">
        <v>13</v>
      </c>
      <c r="L1466" s="22">
        <v>858.64</v>
      </c>
      <c r="M1466" s="22">
        <v>0</v>
      </c>
      <c r="N1466" s="22">
        <v>0</v>
      </c>
      <c r="O1466" s="22">
        <v>858.64</v>
      </c>
      <c r="P1466" s="22">
        <v>500</v>
      </c>
      <c r="Q1466" s="22">
        <v>358.64</v>
      </c>
      <c r="R1466">
        <v>0</v>
      </c>
      <c r="T1466" t="s">
        <v>2965</v>
      </c>
      <c r="U1466" t="s">
        <v>3055</v>
      </c>
      <c r="V1466" t="s">
        <v>3056</v>
      </c>
    </row>
    <row r="1467" spans="1:22">
      <c r="A1467">
        <v>1466</v>
      </c>
      <c r="B1467" t="s">
        <v>794</v>
      </c>
      <c r="C1467" t="s">
        <v>795</v>
      </c>
      <c r="D1467" t="s">
        <v>7</v>
      </c>
      <c r="E1467" t="s">
        <v>8</v>
      </c>
      <c r="F1467" s="22">
        <v>1995.85</v>
      </c>
      <c r="G1467" s="22">
        <v>274.5</v>
      </c>
      <c r="H1467" s="22">
        <v>195.1</v>
      </c>
      <c r="I1467" s="22">
        <v>2075.25</v>
      </c>
      <c r="J1467">
        <v>0</v>
      </c>
      <c r="K1467">
        <v>0</v>
      </c>
      <c r="L1467" s="22">
        <v>2075.25</v>
      </c>
      <c r="M1467" s="22">
        <v>0</v>
      </c>
      <c r="N1467" s="22">
        <v>0</v>
      </c>
      <c r="O1467" s="22">
        <v>2075.25</v>
      </c>
      <c r="P1467" s="22">
        <v>1000</v>
      </c>
      <c r="Q1467" s="22">
        <v>1075.25</v>
      </c>
      <c r="R1467">
        <v>250</v>
      </c>
      <c r="T1467" t="s">
        <v>2965</v>
      </c>
      <c r="U1467" t="s">
        <v>3055</v>
      </c>
      <c r="V1467" t="s">
        <v>3056</v>
      </c>
    </row>
    <row r="1468" spans="1:22">
      <c r="A1468">
        <v>1467</v>
      </c>
      <c r="B1468" t="s">
        <v>812</v>
      </c>
      <c r="C1468" t="s">
        <v>813</v>
      </c>
      <c r="D1468" t="s">
        <v>7</v>
      </c>
      <c r="E1468" t="s">
        <v>8</v>
      </c>
      <c r="F1468" s="22">
        <v>265.39999999999998</v>
      </c>
      <c r="G1468" s="22">
        <v>0</v>
      </c>
      <c r="H1468" s="22">
        <v>70.5</v>
      </c>
      <c r="I1468" s="22">
        <v>194.9</v>
      </c>
      <c r="J1468">
        <v>0</v>
      </c>
      <c r="K1468">
        <v>0</v>
      </c>
      <c r="L1468" s="22">
        <v>194.9</v>
      </c>
      <c r="M1468" s="22">
        <v>0</v>
      </c>
      <c r="N1468" s="22">
        <v>0</v>
      </c>
      <c r="O1468" s="22">
        <v>194.9</v>
      </c>
      <c r="P1468" s="22">
        <v>100</v>
      </c>
      <c r="Q1468" s="22">
        <v>94.9</v>
      </c>
      <c r="R1468">
        <v>0</v>
      </c>
      <c r="T1468" t="s">
        <v>2965</v>
      </c>
      <c r="U1468" t="s">
        <v>3055</v>
      </c>
      <c r="V1468" t="s">
        <v>3056</v>
      </c>
    </row>
    <row r="1469" spans="1:22">
      <c r="A1469">
        <v>1468</v>
      </c>
      <c r="B1469" t="s">
        <v>832</v>
      </c>
      <c r="C1469" t="s">
        <v>833</v>
      </c>
      <c r="D1469" t="s">
        <v>7</v>
      </c>
      <c r="E1469" t="s">
        <v>8</v>
      </c>
      <c r="F1469" s="22">
        <v>2500</v>
      </c>
      <c r="G1469" s="22">
        <v>287</v>
      </c>
      <c r="H1469" s="22">
        <v>280</v>
      </c>
      <c r="I1469" s="22">
        <v>2507</v>
      </c>
      <c r="J1469">
        <v>0</v>
      </c>
      <c r="K1469">
        <v>0</v>
      </c>
      <c r="L1469" s="22">
        <v>2507</v>
      </c>
      <c r="M1469" s="22">
        <v>0</v>
      </c>
      <c r="N1469" s="22">
        <v>0</v>
      </c>
      <c r="O1469" s="22">
        <v>2507</v>
      </c>
      <c r="P1469" s="22">
        <v>500</v>
      </c>
      <c r="Q1469" s="22">
        <v>2007</v>
      </c>
      <c r="R1469">
        <v>2000</v>
      </c>
      <c r="T1469" t="s">
        <v>2965</v>
      </c>
      <c r="U1469" t="s">
        <v>3055</v>
      </c>
      <c r="V1469" t="s">
        <v>3056</v>
      </c>
    </row>
    <row r="1470" spans="1:22">
      <c r="A1470">
        <v>1469</v>
      </c>
      <c r="B1470" t="s">
        <v>842</v>
      </c>
      <c r="C1470" t="s">
        <v>843</v>
      </c>
      <c r="D1470" t="s">
        <v>17</v>
      </c>
      <c r="E1470" t="s">
        <v>8</v>
      </c>
      <c r="F1470" s="22">
        <v>9100</v>
      </c>
      <c r="G1470" s="22">
        <v>24000</v>
      </c>
      <c r="H1470" s="22">
        <v>14472</v>
      </c>
      <c r="I1470" s="22">
        <v>18628</v>
      </c>
      <c r="J1470">
        <v>0</v>
      </c>
      <c r="K1470">
        <v>0</v>
      </c>
      <c r="L1470" s="22">
        <v>18628</v>
      </c>
      <c r="M1470" s="22">
        <v>0</v>
      </c>
      <c r="N1470" s="22">
        <v>0</v>
      </c>
      <c r="O1470" s="22">
        <v>18628</v>
      </c>
      <c r="P1470" s="22">
        <v>12000</v>
      </c>
      <c r="Q1470" s="22">
        <v>6628</v>
      </c>
      <c r="R1470">
        <v>30000</v>
      </c>
      <c r="T1470" t="s">
        <v>2972</v>
      </c>
      <c r="U1470" t="s">
        <v>3060</v>
      </c>
      <c r="V1470" t="s">
        <v>3058</v>
      </c>
    </row>
    <row r="1471" spans="1:22">
      <c r="A1471">
        <v>1470</v>
      </c>
      <c r="B1471" t="s">
        <v>850</v>
      </c>
      <c r="C1471" t="s">
        <v>851</v>
      </c>
      <c r="D1471" t="s">
        <v>17</v>
      </c>
      <c r="E1471" t="s">
        <v>8</v>
      </c>
      <c r="F1471" s="22">
        <v>100</v>
      </c>
      <c r="G1471" s="22">
        <v>150</v>
      </c>
      <c r="H1471" s="22">
        <v>20</v>
      </c>
      <c r="I1471" s="22">
        <v>230</v>
      </c>
      <c r="J1471">
        <v>0</v>
      </c>
      <c r="K1471">
        <v>0</v>
      </c>
      <c r="L1471" s="22">
        <v>230</v>
      </c>
      <c r="M1471" s="22">
        <v>0</v>
      </c>
      <c r="N1471" s="22">
        <v>0</v>
      </c>
      <c r="O1471" s="22">
        <v>230</v>
      </c>
      <c r="P1471" s="22">
        <v>110</v>
      </c>
      <c r="Q1471" s="22">
        <v>120</v>
      </c>
      <c r="R1471">
        <v>150</v>
      </c>
      <c r="T1471" t="s">
        <v>2982</v>
      </c>
      <c r="U1471" t="s">
        <v>3060</v>
      </c>
      <c r="V1471" t="s">
        <v>3058</v>
      </c>
    </row>
    <row r="1472" spans="1:22">
      <c r="A1472">
        <v>1471</v>
      </c>
      <c r="B1472" t="s">
        <v>852</v>
      </c>
      <c r="C1472" t="s">
        <v>853</v>
      </c>
      <c r="D1472" t="s">
        <v>17</v>
      </c>
      <c r="E1472" t="s">
        <v>8</v>
      </c>
      <c r="F1472" s="22">
        <v>230</v>
      </c>
      <c r="G1472" s="22">
        <v>300</v>
      </c>
      <c r="H1472" s="22">
        <v>150</v>
      </c>
      <c r="I1472" s="22">
        <v>380</v>
      </c>
      <c r="J1472">
        <v>0</v>
      </c>
      <c r="K1472">
        <v>0</v>
      </c>
      <c r="L1472" s="22">
        <v>380</v>
      </c>
      <c r="M1472" s="22">
        <v>0</v>
      </c>
      <c r="N1472" s="22">
        <v>0</v>
      </c>
      <c r="O1472" s="22">
        <v>380</v>
      </c>
      <c r="P1472" s="22">
        <v>150</v>
      </c>
      <c r="Q1472" s="22">
        <v>230</v>
      </c>
      <c r="R1472">
        <v>300</v>
      </c>
      <c r="T1472" t="s">
        <v>2982</v>
      </c>
      <c r="U1472" t="s">
        <v>3060</v>
      </c>
      <c r="V1472" t="s">
        <v>3058</v>
      </c>
    </row>
    <row r="1473" spans="1:22">
      <c r="A1473">
        <v>1472</v>
      </c>
      <c r="B1473" t="s">
        <v>890</v>
      </c>
      <c r="C1473" t="s">
        <v>891</v>
      </c>
      <c r="D1473" t="s">
        <v>17</v>
      </c>
      <c r="E1473" t="s">
        <v>8</v>
      </c>
      <c r="F1473" s="22">
        <v>186</v>
      </c>
      <c r="G1473" s="22">
        <v>0</v>
      </c>
      <c r="H1473" s="22">
        <v>0</v>
      </c>
      <c r="I1473" s="22">
        <v>186</v>
      </c>
      <c r="J1473">
        <v>0</v>
      </c>
      <c r="K1473">
        <v>0</v>
      </c>
      <c r="L1473" s="22">
        <v>186</v>
      </c>
      <c r="M1473" s="22">
        <v>0</v>
      </c>
      <c r="N1473" s="22">
        <v>0</v>
      </c>
      <c r="O1473" s="22">
        <v>186</v>
      </c>
      <c r="P1473" s="22">
        <v>150</v>
      </c>
      <c r="Q1473" s="22">
        <v>36</v>
      </c>
      <c r="R1473">
        <v>0</v>
      </c>
      <c r="T1473" t="s">
        <v>2972</v>
      </c>
      <c r="U1473" t="s">
        <v>3060</v>
      </c>
      <c r="V1473" t="s">
        <v>3058</v>
      </c>
    </row>
    <row r="1474" spans="1:22">
      <c r="A1474">
        <v>1473</v>
      </c>
      <c r="B1474" t="s">
        <v>892</v>
      </c>
      <c r="C1474" t="s">
        <v>893</v>
      </c>
      <c r="D1474" t="s">
        <v>17</v>
      </c>
      <c r="E1474" t="s">
        <v>8</v>
      </c>
      <c r="F1474" s="22">
        <v>300</v>
      </c>
      <c r="G1474" s="22">
        <v>0</v>
      </c>
      <c r="H1474" s="22">
        <v>0</v>
      </c>
      <c r="I1474" s="22">
        <v>300</v>
      </c>
      <c r="J1474">
        <v>0</v>
      </c>
      <c r="K1474">
        <v>0</v>
      </c>
      <c r="L1474" s="22">
        <v>300</v>
      </c>
      <c r="M1474" s="22">
        <v>0</v>
      </c>
      <c r="N1474" s="22">
        <v>0</v>
      </c>
      <c r="O1474" s="22">
        <v>300</v>
      </c>
      <c r="P1474" s="22">
        <v>75</v>
      </c>
      <c r="Q1474" s="22">
        <v>225</v>
      </c>
      <c r="R1474">
        <v>0</v>
      </c>
      <c r="T1474" t="s">
        <v>2972</v>
      </c>
      <c r="U1474" t="s">
        <v>3060</v>
      </c>
      <c r="V1474" t="s">
        <v>3058</v>
      </c>
    </row>
    <row r="1475" spans="1:22">
      <c r="A1475">
        <v>1474</v>
      </c>
      <c r="B1475" t="s">
        <v>940</v>
      </c>
      <c r="C1475" t="s">
        <v>941</v>
      </c>
      <c r="D1475" t="s">
        <v>17</v>
      </c>
      <c r="E1475" t="s">
        <v>8</v>
      </c>
      <c r="F1475" s="22">
        <v>103</v>
      </c>
      <c r="G1475" s="22">
        <v>0</v>
      </c>
      <c r="H1475" s="22">
        <v>33</v>
      </c>
      <c r="I1475" s="22">
        <v>70</v>
      </c>
      <c r="J1475">
        <v>0</v>
      </c>
      <c r="K1475">
        <v>0</v>
      </c>
      <c r="L1475" s="22">
        <v>70</v>
      </c>
      <c r="M1475" s="22">
        <v>0</v>
      </c>
      <c r="N1475" s="22">
        <v>0</v>
      </c>
      <c r="O1475" s="22">
        <v>70</v>
      </c>
      <c r="P1475" s="22">
        <v>100</v>
      </c>
      <c r="Q1475" s="22">
        <v>-30</v>
      </c>
      <c r="R1475">
        <v>0</v>
      </c>
      <c r="T1475" t="s">
        <v>2982</v>
      </c>
      <c r="U1475" t="s">
        <v>3060</v>
      </c>
      <c r="V1475" t="s">
        <v>3058</v>
      </c>
    </row>
    <row r="1476" spans="1:22">
      <c r="A1476">
        <v>1475</v>
      </c>
      <c r="B1476" t="s">
        <v>950</v>
      </c>
      <c r="C1476" t="s">
        <v>951</v>
      </c>
      <c r="D1476" t="s">
        <v>7</v>
      </c>
      <c r="E1476" t="s">
        <v>8</v>
      </c>
      <c r="F1476" s="22">
        <v>1153</v>
      </c>
      <c r="G1476" s="22">
        <v>0</v>
      </c>
      <c r="H1476" s="22">
        <v>0</v>
      </c>
      <c r="I1476" s="22">
        <v>1153</v>
      </c>
      <c r="J1476">
        <v>0</v>
      </c>
      <c r="K1476">
        <v>0</v>
      </c>
      <c r="L1476" s="22">
        <v>1153</v>
      </c>
      <c r="M1476" s="22">
        <v>0</v>
      </c>
      <c r="N1476" s="22">
        <v>0</v>
      </c>
      <c r="O1476" s="22">
        <v>1153</v>
      </c>
      <c r="P1476" s="22">
        <v>1000</v>
      </c>
      <c r="Q1476" s="22">
        <v>153</v>
      </c>
      <c r="R1476">
        <v>0</v>
      </c>
      <c r="T1476" t="s">
        <v>2965</v>
      </c>
      <c r="U1476" t="s">
        <v>3055</v>
      </c>
      <c r="V1476" t="s">
        <v>3056</v>
      </c>
    </row>
    <row r="1477" spans="1:22">
      <c r="A1477">
        <v>1476</v>
      </c>
      <c r="B1477" t="s">
        <v>868</v>
      </c>
      <c r="C1477" t="s">
        <v>869</v>
      </c>
      <c r="D1477" t="s">
        <v>17</v>
      </c>
      <c r="E1477" t="s">
        <v>8</v>
      </c>
      <c r="F1477" s="22">
        <v>393</v>
      </c>
      <c r="G1477" s="22">
        <v>0</v>
      </c>
      <c r="H1477" s="22">
        <v>210</v>
      </c>
      <c r="I1477" s="22">
        <v>183</v>
      </c>
      <c r="J1477">
        <v>0</v>
      </c>
      <c r="K1477">
        <v>0</v>
      </c>
      <c r="L1477" s="22">
        <v>183</v>
      </c>
      <c r="M1477" s="22">
        <v>0</v>
      </c>
      <c r="N1477" s="22">
        <v>0</v>
      </c>
      <c r="O1477" s="22">
        <v>183</v>
      </c>
      <c r="P1477" s="22">
        <v>150</v>
      </c>
      <c r="Q1477" s="22">
        <v>33</v>
      </c>
      <c r="R1477">
        <v>0</v>
      </c>
      <c r="T1477" t="s">
        <v>2991</v>
      </c>
      <c r="U1477" t="s">
        <v>3057</v>
      </c>
      <c r="V1477" t="s">
        <v>3056</v>
      </c>
    </row>
    <row r="1478" spans="1:22">
      <c r="A1478">
        <v>1477</v>
      </c>
      <c r="B1478" t="s">
        <v>1054</v>
      </c>
      <c r="C1478" t="s">
        <v>1055</v>
      </c>
      <c r="D1478" t="s">
        <v>17</v>
      </c>
      <c r="E1478" t="s">
        <v>8</v>
      </c>
      <c r="F1478" s="22">
        <v>49</v>
      </c>
      <c r="G1478" s="22">
        <v>60</v>
      </c>
      <c r="H1478" s="22">
        <v>10</v>
      </c>
      <c r="I1478" s="22">
        <v>99</v>
      </c>
      <c r="J1478">
        <v>0</v>
      </c>
      <c r="K1478">
        <v>0</v>
      </c>
      <c r="L1478" s="22">
        <v>99</v>
      </c>
      <c r="M1478" s="22">
        <v>0</v>
      </c>
      <c r="N1478" s="22">
        <v>0</v>
      </c>
      <c r="O1478" s="22">
        <v>99</v>
      </c>
      <c r="P1478" s="22">
        <v>25</v>
      </c>
      <c r="Q1478" s="22">
        <v>74</v>
      </c>
      <c r="R1478">
        <v>25</v>
      </c>
      <c r="T1478" t="s">
        <v>2974</v>
      </c>
      <c r="U1478" t="s">
        <v>3060</v>
      </c>
      <c r="V1478" t="s">
        <v>3058</v>
      </c>
    </row>
    <row r="1479" spans="1:22">
      <c r="A1479">
        <v>1478</v>
      </c>
      <c r="B1479" t="s">
        <v>898</v>
      </c>
      <c r="C1479" t="s">
        <v>899</v>
      </c>
      <c r="D1479" t="s">
        <v>17</v>
      </c>
      <c r="E1479" t="s">
        <v>8</v>
      </c>
      <c r="F1479" s="22">
        <v>1200</v>
      </c>
      <c r="G1479" s="22">
        <v>0</v>
      </c>
      <c r="H1479" s="22">
        <v>800</v>
      </c>
      <c r="I1479" s="22">
        <v>400</v>
      </c>
      <c r="J1479">
        <v>0</v>
      </c>
      <c r="K1479">
        <v>0</v>
      </c>
      <c r="L1479" s="22">
        <v>400</v>
      </c>
      <c r="M1479" s="22">
        <v>0</v>
      </c>
      <c r="N1479" s="22">
        <v>0</v>
      </c>
      <c r="O1479" s="22">
        <v>400</v>
      </c>
      <c r="P1479" s="22">
        <v>500</v>
      </c>
      <c r="Q1479" s="22">
        <v>-100</v>
      </c>
      <c r="R1479">
        <v>0</v>
      </c>
      <c r="T1479" t="s">
        <v>2991</v>
      </c>
      <c r="U1479" t="s">
        <v>3057</v>
      </c>
      <c r="V1479" t="s">
        <v>3058</v>
      </c>
    </row>
    <row r="1480" spans="1:22">
      <c r="A1480">
        <v>1479</v>
      </c>
      <c r="B1480" t="s">
        <v>926</v>
      </c>
      <c r="C1480" t="s">
        <v>927</v>
      </c>
      <c r="D1480" t="s">
        <v>20</v>
      </c>
      <c r="E1480" t="s">
        <v>8</v>
      </c>
      <c r="F1480" s="22">
        <v>1468</v>
      </c>
      <c r="G1480" s="22">
        <v>0</v>
      </c>
      <c r="H1480" s="22">
        <v>112.9</v>
      </c>
      <c r="I1480" s="22">
        <v>1355.1</v>
      </c>
      <c r="J1480">
        <v>0</v>
      </c>
      <c r="K1480">
        <v>413.9</v>
      </c>
      <c r="L1480" s="22">
        <v>941.19999999999993</v>
      </c>
      <c r="M1480" s="22">
        <v>0</v>
      </c>
      <c r="N1480" s="22">
        <v>0</v>
      </c>
      <c r="O1480" s="22">
        <v>941.19999999999993</v>
      </c>
      <c r="P1480" s="22">
        <v>300</v>
      </c>
      <c r="Q1480" s="22">
        <v>641.19999999999993</v>
      </c>
      <c r="R1480">
        <v>0</v>
      </c>
      <c r="T1480" t="s">
        <v>2972</v>
      </c>
      <c r="U1480" t="s">
        <v>3057</v>
      </c>
      <c r="V1480" t="s">
        <v>3056</v>
      </c>
    </row>
    <row r="1481" spans="1:22">
      <c r="A1481">
        <v>1480</v>
      </c>
      <c r="B1481" t="s">
        <v>1231</v>
      </c>
      <c r="C1481" t="s">
        <v>1232</v>
      </c>
      <c r="D1481" t="s">
        <v>17</v>
      </c>
      <c r="E1481" t="s">
        <v>8</v>
      </c>
      <c r="F1481" s="22">
        <v>12</v>
      </c>
      <c r="G1481" s="22">
        <v>20</v>
      </c>
      <c r="H1481" s="22">
        <v>11</v>
      </c>
      <c r="I1481" s="22">
        <v>21</v>
      </c>
      <c r="J1481">
        <v>0</v>
      </c>
      <c r="K1481">
        <v>0</v>
      </c>
      <c r="L1481" s="22">
        <v>21</v>
      </c>
      <c r="M1481" s="22">
        <v>0</v>
      </c>
      <c r="N1481" s="22">
        <v>0</v>
      </c>
      <c r="O1481" s="22">
        <v>21</v>
      </c>
      <c r="P1481" s="22">
        <v>10</v>
      </c>
      <c r="Q1481" s="22">
        <v>11</v>
      </c>
      <c r="R1481">
        <v>15</v>
      </c>
      <c r="T1481" t="s">
        <v>3052</v>
      </c>
      <c r="U1481" t="s">
        <v>3062</v>
      </c>
      <c r="V1481" t="s">
        <v>3056</v>
      </c>
    </row>
    <row r="1482" spans="1:22">
      <c r="A1482">
        <v>1481</v>
      </c>
      <c r="B1482" t="s">
        <v>1275</v>
      </c>
      <c r="C1482" t="s">
        <v>1276</v>
      </c>
      <c r="D1482" t="s">
        <v>17</v>
      </c>
      <c r="E1482" t="s">
        <v>8</v>
      </c>
      <c r="F1482" s="22">
        <v>23</v>
      </c>
      <c r="G1482" s="22">
        <v>0</v>
      </c>
      <c r="H1482" s="22">
        <v>8</v>
      </c>
      <c r="I1482" s="22">
        <v>15</v>
      </c>
      <c r="J1482">
        <v>0</v>
      </c>
      <c r="K1482">
        <v>0</v>
      </c>
      <c r="L1482" s="22">
        <v>15</v>
      </c>
      <c r="M1482" s="22">
        <v>0</v>
      </c>
      <c r="N1482" s="22">
        <v>0</v>
      </c>
      <c r="O1482" s="22">
        <v>15</v>
      </c>
      <c r="P1482" s="22">
        <v>10</v>
      </c>
      <c r="Q1482" s="22">
        <v>5</v>
      </c>
      <c r="R1482">
        <v>0</v>
      </c>
      <c r="T1482" t="s">
        <v>3052</v>
      </c>
      <c r="U1482" t="s">
        <v>3062</v>
      </c>
      <c r="V1482" t="s">
        <v>3056</v>
      </c>
    </row>
    <row r="1483" spans="1:22">
      <c r="A1483">
        <v>1482</v>
      </c>
      <c r="B1483" t="s">
        <v>1281</v>
      </c>
      <c r="C1483" t="s">
        <v>1282</v>
      </c>
      <c r="D1483" t="s">
        <v>17</v>
      </c>
      <c r="E1483" t="s">
        <v>8</v>
      </c>
      <c r="F1483" s="22">
        <v>64</v>
      </c>
      <c r="G1483" s="22">
        <v>24</v>
      </c>
      <c r="H1483" s="22">
        <v>36</v>
      </c>
      <c r="I1483" s="22">
        <v>52</v>
      </c>
      <c r="J1483">
        <v>0</v>
      </c>
      <c r="K1483">
        <v>0</v>
      </c>
      <c r="L1483" s="22">
        <v>52</v>
      </c>
      <c r="M1483" s="22">
        <v>0</v>
      </c>
      <c r="N1483" s="22">
        <v>0</v>
      </c>
      <c r="O1483" s="22">
        <v>52</v>
      </c>
      <c r="P1483" s="22">
        <v>12</v>
      </c>
      <c r="Q1483" s="22">
        <v>40</v>
      </c>
      <c r="R1483">
        <v>24</v>
      </c>
      <c r="T1483" t="s">
        <v>3052</v>
      </c>
      <c r="U1483" t="s">
        <v>3062</v>
      </c>
      <c r="V1483" t="s">
        <v>3056</v>
      </c>
    </row>
    <row r="1484" spans="1:22">
      <c r="A1484">
        <v>1483</v>
      </c>
      <c r="B1484" t="s">
        <v>1289</v>
      </c>
      <c r="C1484" t="s">
        <v>3274</v>
      </c>
      <c r="D1484" t="s">
        <v>7</v>
      </c>
      <c r="E1484" t="s">
        <v>8</v>
      </c>
      <c r="F1484" s="22">
        <v>1956.7</v>
      </c>
      <c r="G1484" s="22">
        <v>445.9</v>
      </c>
      <c r="H1484" s="22">
        <v>637.29999999999995</v>
      </c>
      <c r="I1484" s="22">
        <v>1765.3</v>
      </c>
      <c r="J1484">
        <v>0</v>
      </c>
      <c r="K1484">
        <v>0</v>
      </c>
      <c r="L1484" s="22">
        <v>1765.3</v>
      </c>
      <c r="M1484" s="22">
        <v>0</v>
      </c>
      <c r="N1484" s="22">
        <v>0</v>
      </c>
      <c r="O1484" s="22">
        <v>1765.3</v>
      </c>
      <c r="P1484" s="22">
        <v>2000</v>
      </c>
      <c r="Q1484" s="22">
        <v>-234.70000000000005</v>
      </c>
      <c r="R1484">
        <v>500</v>
      </c>
      <c r="T1484" t="s">
        <v>2965</v>
      </c>
      <c r="U1484" t="s">
        <v>3055</v>
      </c>
      <c r="V1484" t="s">
        <v>3056</v>
      </c>
    </row>
    <row r="1485" spans="1:22">
      <c r="A1485">
        <v>1484</v>
      </c>
      <c r="B1485" t="s">
        <v>1300</v>
      </c>
      <c r="C1485" t="s">
        <v>1301</v>
      </c>
      <c r="D1485" t="s">
        <v>7</v>
      </c>
      <c r="E1485" t="s">
        <v>8</v>
      </c>
      <c r="F1485" s="22">
        <v>156</v>
      </c>
      <c r="G1485" s="22">
        <v>0</v>
      </c>
      <c r="H1485" s="22">
        <v>0</v>
      </c>
      <c r="I1485" s="22">
        <v>156</v>
      </c>
      <c r="J1485">
        <v>156</v>
      </c>
      <c r="K1485">
        <v>0</v>
      </c>
      <c r="L1485" s="22">
        <v>0</v>
      </c>
      <c r="M1485" s="22">
        <v>0</v>
      </c>
      <c r="N1485" s="22">
        <v>0</v>
      </c>
      <c r="O1485" s="22">
        <v>0</v>
      </c>
      <c r="P1485" s="22">
        <v>150</v>
      </c>
      <c r="Q1485" s="22">
        <v>-150</v>
      </c>
      <c r="R1485">
        <v>250</v>
      </c>
      <c r="T1485" t="s">
        <v>2965</v>
      </c>
      <c r="U1485" t="s">
        <v>3055</v>
      </c>
      <c r="V1485" t="s">
        <v>3056</v>
      </c>
    </row>
    <row r="1486" spans="1:22">
      <c r="A1486">
        <v>1485</v>
      </c>
      <c r="B1486" t="s">
        <v>1326</v>
      </c>
      <c r="C1486" t="s">
        <v>1327</v>
      </c>
      <c r="D1486" t="s">
        <v>7</v>
      </c>
      <c r="E1486" t="s">
        <v>8</v>
      </c>
      <c r="F1486" s="22">
        <v>4957.8</v>
      </c>
      <c r="G1486" s="22">
        <v>8197.7999999999993</v>
      </c>
      <c r="H1486" s="22">
        <v>9796.6</v>
      </c>
      <c r="I1486" s="22">
        <v>3359</v>
      </c>
      <c r="J1486">
        <v>0</v>
      </c>
      <c r="K1486">
        <v>0</v>
      </c>
      <c r="L1486" s="22">
        <v>3359</v>
      </c>
      <c r="M1486" s="22">
        <v>0</v>
      </c>
      <c r="N1486" s="22">
        <v>0</v>
      </c>
      <c r="O1486" s="22">
        <v>3359</v>
      </c>
      <c r="P1486" s="22">
        <v>8000</v>
      </c>
      <c r="Q1486" s="22">
        <v>-4641</v>
      </c>
      <c r="R1486">
        <v>10000</v>
      </c>
      <c r="T1486" t="s">
        <v>2965</v>
      </c>
      <c r="U1486" t="s">
        <v>3055</v>
      </c>
      <c r="V1486" t="s">
        <v>3056</v>
      </c>
    </row>
    <row r="1487" spans="1:22">
      <c r="A1487">
        <v>1486</v>
      </c>
      <c r="B1487" t="s">
        <v>1330</v>
      </c>
      <c r="C1487" t="s">
        <v>1331</v>
      </c>
      <c r="D1487" t="s">
        <v>7</v>
      </c>
      <c r="E1487" t="s">
        <v>8</v>
      </c>
      <c r="F1487" s="22">
        <v>4180</v>
      </c>
      <c r="G1487" s="22">
        <v>0</v>
      </c>
      <c r="H1487" s="22">
        <v>221</v>
      </c>
      <c r="I1487" s="22">
        <v>3959</v>
      </c>
      <c r="J1487">
        <v>0</v>
      </c>
      <c r="K1487">
        <v>0</v>
      </c>
      <c r="L1487" s="22">
        <v>3959</v>
      </c>
      <c r="M1487" s="22">
        <v>0</v>
      </c>
      <c r="N1487" s="22">
        <v>0</v>
      </c>
      <c r="O1487" s="22">
        <v>3959</v>
      </c>
      <c r="P1487" s="22">
        <v>1000</v>
      </c>
      <c r="Q1487" s="22">
        <v>2959</v>
      </c>
      <c r="R1487">
        <v>0</v>
      </c>
      <c r="T1487" t="s">
        <v>2965</v>
      </c>
      <c r="U1487" t="s">
        <v>3055</v>
      </c>
      <c r="V1487" t="s">
        <v>3056</v>
      </c>
    </row>
    <row r="1488" spans="1:22">
      <c r="A1488">
        <v>1487</v>
      </c>
      <c r="B1488" t="s">
        <v>1336</v>
      </c>
      <c r="C1488" t="s">
        <v>1337</v>
      </c>
      <c r="D1488" t="s">
        <v>7</v>
      </c>
      <c r="E1488" t="s">
        <v>8</v>
      </c>
      <c r="F1488" s="22">
        <v>0</v>
      </c>
      <c r="G1488" s="22">
        <v>297</v>
      </c>
      <c r="H1488" s="22">
        <v>0</v>
      </c>
      <c r="I1488" s="22">
        <v>297</v>
      </c>
      <c r="J1488">
        <v>0</v>
      </c>
      <c r="K1488">
        <v>0</v>
      </c>
      <c r="L1488" s="22">
        <v>297</v>
      </c>
      <c r="M1488" s="22">
        <v>0</v>
      </c>
      <c r="N1488" s="22">
        <v>0</v>
      </c>
      <c r="O1488" s="22">
        <v>297</v>
      </c>
      <c r="P1488" s="22">
        <v>300</v>
      </c>
      <c r="Q1488" s="22">
        <v>-3</v>
      </c>
      <c r="R1488">
        <v>300</v>
      </c>
      <c r="T1488" t="s">
        <v>2965</v>
      </c>
      <c r="U1488" t="s">
        <v>3055</v>
      </c>
      <c r="V1488" t="s">
        <v>3056</v>
      </c>
    </row>
    <row r="1489" spans="1:22">
      <c r="A1489">
        <v>1488</v>
      </c>
      <c r="B1489" t="s">
        <v>1340</v>
      </c>
      <c r="C1489" t="s">
        <v>1341</v>
      </c>
      <c r="D1489" t="s">
        <v>7</v>
      </c>
      <c r="E1489" t="s">
        <v>8</v>
      </c>
      <c r="F1489" s="22">
        <v>0</v>
      </c>
      <c r="G1489" s="22">
        <v>0</v>
      </c>
      <c r="H1489" s="22">
        <v>0</v>
      </c>
      <c r="I1489" s="22">
        <v>0</v>
      </c>
      <c r="J1489">
        <v>0</v>
      </c>
      <c r="K1489">
        <v>0</v>
      </c>
      <c r="L1489" s="22">
        <v>0</v>
      </c>
      <c r="M1489" s="22">
        <v>0</v>
      </c>
      <c r="N1489" s="22">
        <v>0</v>
      </c>
      <c r="O1489" s="22">
        <v>0</v>
      </c>
      <c r="P1489" s="22">
        <v>0</v>
      </c>
      <c r="Q1489" s="22">
        <v>0</v>
      </c>
      <c r="R1489">
        <v>0</v>
      </c>
      <c r="T1489" t="s">
        <v>2965</v>
      </c>
      <c r="U1489" t="s">
        <v>3055</v>
      </c>
      <c r="V1489" t="s">
        <v>3056</v>
      </c>
    </row>
    <row r="1490" spans="1:22">
      <c r="A1490">
        <v>1489</v>
      </c>
      <c r="B1490" t="s">
        <v>1352</v>
      </c>
      <c r="C1490" t="s">
        <v>1353</v>
      </c>
      <c r="D1490" t="s">
        <v>20</v>
      </c>
      <c r="E1490" t="s">
        <v>8</v>
      </c>
      <c r="F1490" s="22">
        <v>233.9</v>
      </c>
      <c r="G1490" s="22">
        <v>0</v>
      </c>
      <c r="H1490" s="22">
        <v>0</v>
      </c>
      <c r="I1490" s="22">
        <v>233.9</v>
      </c>
      <c r="J1490">
        <v>0</v>
      </c>
      <c r="K1490">
        <v>0</v>
      </c>
      <c r="L1490" s="22">
        <v>233.9</v>
      </c>
      <c r="M1490" s="22">
        <v>0</v>
      </c>
      <c r="N1490" s="22">
        <v>0</v>
      </c>
      <c r="O1490" s="22">
        <v>233.9</v>
      </c>
      <c r="P1490" s="22">
        <v>150</v>
      </c>
      <c r="Q1490" s="22">
        <v>83.9</v>
      </c>
      <c r="R1490">
        <v>0</v>
      </c>
      <c r="T1490" t="s">
        <v>2965</v>
      </c>
      <c r="U1490" t="s">
        <v>3055</v>
      </c>
      <c r="V1490" t="s">
        <v>3058</v>
      </c>
    </row>
    <row r="1491" spans="1:22">
      <c r="A1491">
        <v>1490</v>
      </c>
      <c r="B1491" t="s">
        <v>1354</v>
      </c>
      <c r="C1491" t="s">
        <v>1355</v>
      </c>
      <c r="D1491" t="s">
        <v>20</v>
      </c>
      <c r="E1491" t="s">
        <v>8</v>
      </c>
      <c r="F1491" s="22">
        <v>310.89999999999998</v>
      </c>
      <c r="G1491" s="22">
        <v>0</v>
      </c>
      <c r="H1491" s="22">
        <v>0</v>
      </c>
      <c r="I1491" s="22">
        <v>310.89999999999998</v>
      </c>
      <c r="J1491">
        <v>0</v>
      </c>
      <c r="K1491">
        <v>0</v>
      </c>
      <c r="L1491" s="22">
        <v>310.89999999999998</v>
      </c>
      <c r="M1491" s="22">
        <v>0</v>
      </c>
      <c r="N1491" s="22">
        <v>0</v>
      </c>
      <c r="O1491" s="22">
        <v>310.89999999999998</v>
      </c>
      <c r="P1491" s="22">
        <v>150</v>
      </c>
      <c r="Q1491" s="22">
        <v>160.89999999999998</v>
      </c>
      <c r="R1491">
        <v>0</v>
      </c>
      <c r="T1491" t="s">
        <v>2965</v>
      </c>
      <c r="U1491" t="s">
        <v>3055</v>
      </c>
      <c r="V1491" t="s">
        <v>3058</v>
      </c>
    </row>
    <row r="1492" spans="1:22">
      <c r="A1492">
        <v>1491</v>
      </c>
      <c r="B1492" t="s">
        <v>1372</v>
      </c>
      <c r="C1492" t="s">
        <v>1373</v>
      </c>
      <c r="D1492" t="s">
        <v>7</v>
      </c>
      <c r="E1492" t="s">
        <v>8</v>
      </c>
      <c r="F1492" s="22">
        <v>231</v>
      </c>
      <c r="G1492" s="22">
        <v>355</v>
      </c>
      <c r="H1492" s="22">
        <v>0</v>
      </c>
      <c r="I1492" s="22">
        <v>586</v>
      </c>
      <c r="J1492">
        <v>0</v>
      </c>
      <c r="K1492">
        <v>0</v>
      </c>
      <c r="L1492" s="22">
        <v>586</v>
      </c>
      <c r="M1492" s="22">
        <v>0</v>
      </c>
      <c r="N1492" s="22">
        <v>0</v>
      </c>
      <c r="O1492" s="22">
        <v>586</v>
      </c>
      <c r="P1492" s="22">
        <v>300</v>
      </c>
      <c r="Q1492" s="22">
        <v>286</v>
      </c>
      <c r="R1492">
        <v>0</v>
      </c>
      <c r="T1492" t="s">
        <v>2965</v>
      </c>
      <c r="U1492" t="s">
        <v>3055</v>
      </c>
      <c r="V1492" t="s">
        <v>3056</v>
      </c>
    </row>
    <row r="1493" spans="1:22">
      <c r="A1493">
        <v>1492</v>
      </c>
      <c r="B1493" t="s">
        <v>1378</v>
      </c>
      <c r="C1493" t="s">
        <v>1379</v>
      </c>
      <c r="D1493" t="s">
        <v>7</v>
      </c>
      <c r="E1493" t="s">
        <v>8</v>
      </c>
      <c r="F1493" s="22">
        <v>126.3</v>
      </c>
      <c r="G1493" s="22">
        <v>117.6</v>
      </c>
      <c r="H1493" s="22">
        <v>177.3</v>
      </c>
      <c r="I1493" s="22">
        <v>66.599999999999994</v>
      </c>
      <c r="J1493">
        <v>0</v>
      </c>
      <c r="K1493">
        <v>0</v>
      </c>
      <c r="L1493" s="22">
        <v>66.599999999999994</v>
      </c>
      <c r="M1493" s="22">
        <v>0</v>
      </c>
      <c r="N1493" s="22">
        <v>0</v>
      </c>
      <c r="O1493" s="22">
        <v>66.599999999999994</v>
      </c>
      <c r="P1493" s="22">
        <v>150</v>
      </c>
      <c r="Q1493" s="22">
        <v>-83.4</v>
      </c>
      <c r="R1493">
        <v>400</v>
      </c>
      <c r="T1493" t="s">
        <v>2965</v>
      </c>
      <c r="U1493" t="s">
        <v>3055</v>
      </c>
      <c r="V1493" t="s">
        <v>3056</v>
      </c>
    </row>
    <row r="1494" spans="1:22">
      <c r="A1494">
        <v>1493</v>
      </c>
      <c r="B1494" t="s">
        <v>1380</v>
      </c>
      <c r="C1494" t="s">
        <v>1381</v>
      </c>
      <c r="D1494" t="s">
        <v>7</v>
      </c>
      <c r="E1494" t="s">
        <v>8</v>
      </c>
      <c r="F1494" s="22">
        <v>359.4</v>
      </c>
      <c r="G1494" s="22">
        <v>0</v>
      </c>
      <c r="H1494" s="22">
        <v>45.6</v>
      </c>
      <c r="I1494" s="22">
        <v>313.8</v>
      </c>
      <c r="J1494">
        <v>0</v>
      </c>
      <c r="K1494">
        <v>0</v>
      </c>
      <c r="L1494" s="22">
        <v>313.8</v>
      </c>
      <c r="M1494" s="22">
        <v>0</v>
      </c>
      <c r="N1494" s="22">
        <v>0</v>
      </c>
      <c r="O1494" s="22">
        <v>313.8</v>
      </c>
      <c r="P1494" s="22">
        <v>200</v>
      </c>
      <c r="Q1494" s="22">
        <v>113.80000000000001</v>
      </c>
      <c r="R1494">
        <v>0</v>
      </c>
      <c r="T1494" t="s">
        <v>2965</v>
      </c>
      <c r="U1494" t="s">
        <v>3055</v>
      </c>
      <c r="V1494" t="s">
        <v>3056</v>
      </c>
    </row>
    <row r="1495" spans="1:22">
      <c r="A1495">
        <v>1494</v>
      </c>
      <c r="B1495" t="s">
        <v>1394</v>
      </c>
      <c r="C1495" t="s">
        <v>1395</v>
      </c>
      <c r="D1495" t="s">
        <v>7</v>
      </c>
      <c r="E1495" t="s">
        <v>8</v>
      </c>
      <c r="F1495" s="22">
        <v>3276</v>
      </c>
      <c r="G1495" s="22">
        <v>3279</v>
      </c>
      <c r="H1495" s="22">
        <v>1743</v>
      </c>
      <c r="I1495" s="22">
        <v>4812</v>
      </c>
      <c r="J1495">
        <v>1572</v>
      </c>
      <c r="K1495">
        <v>0</v>
      </c>
      <c r="L1495" s="22">
        <v>3240</v>
      </c>
      <c r="M1495" s="22">
        <v>0</v>
      </c>
      <c r="N1495" s="22">
        <v>0</v>
      </c>
      <c r="O1495" s="22">
        <v>3240</v>
      </c>
      <c r="P1495" s="22">
        <v>2500</v>
      </c>
      <c r="Q1495" s="22">
        <v>740</v>
      </c>
      <c r="R1495">
        <v>8000</v>
      </c>
      <c r="T1495" t="s">
        <v>2965</v>
      </c>
      <c r="U1495" t="s">
        <v>3055</v>
      </c>
      <c r="V1495" t="s">
        <v>3056</v>
      </c>
    </row>
    <row r="1496" spans="1:22">
      <c r="A1496">
        <v>1495</v>
      </c>
      <c r="B1496" t="s">
        <v>1440</v>
      </c>
      <c r="C1496" t="s">
        <v>1441</v>
      </c>
      <c r="D1496" t="s">
        <v>20</v>
      </c>
      <c r="E1496" t="s">
        <v>8</v>
      </c>
      <c r="F1496" s="22">
        <v>336.9</v>
      </c>
      <c r="G1496" s="22">
        <v>0</v>
      </c>
      <c r="H1496" s="22">
        <v>83.4</v>
      </c>
      <c r="I1496" s="22">
        <v>253.5</v>
      </c>
      <c r="J1496">
        <v>0</v>
      </c>
      <c r="K1496">
        <v>0</v>
      </c>
      <c r="L1496" s="22">
        <v>253.5</v>
      </c>
      <c r="M1496" s="22">
        <v>0</v>
      </c>
      <c r="N1496" s="22">
        <v>0</v>
      </c>
      <c r="O1496" s="22">
        <v>253.5</v>
      </c>
      <c r="P1496" s="22">
        <v>250</v>
      </c>
      <c r="Q1496" s="22">
        <v>3.5</v>
      </c>
      <c r="R1496">
        <v>100</v>
      </c>
      <c r="T1496" t="s">
        <v>2965</v>
      </c>
      <c r="U1496" t="s">
        <v>3055</v>
      </c>
      <c r="V1496" t="s">
        <v>3056</v>
      </c>
    </row>
    <row r="1497" spans="1:22">
      <c r="A1497">
        <v>1496</v>
      </c>
      <c r="B1497" t="s">
        <v>1510</v>
      </c>
      <c r="C1497" t="s">
        <v>1511</v>
      </c>
      <c r="D1497" t="s">
        <v>17</v>
      </c>
      <c r="E1497" t="s">
        <v>8</v>
      </c>
      <c r="F1497" s="22">
        <v>130</v>
      </c>
      <c r="G1497" s="22">
        <v>150</v>
      </c>
      <c r="H1497" s="22">
        <v>60</v>
      </c>
      <c r="I1497" s="22">
        <v>220</v>
      </c>
      <c r="J1497">
        <v>0</v>
      </c>
      <c r="K1497">
        <v>0</v>
      </c>
      <c r="L1497" s="22">
        <v>220</v>
      </c>
      <c r="M1497" s="22">
        <v>0</v>
      </c>
      <c r="N1497" s="22">
        <v>0</v>
      </c>
      <c r="O1497" s="22">
        <v>220</v>
      </c>
      <c r="P1497" s="22">
        <v>200</v>
      </c>
      <c r="Q1497" s="22">
        <v>20</v>
      </c>
      <c r="R1497">
        <v>150</v>
      </c>
      <c r="T1497" t="s">
        <v>2982</v>
      </c>
      <c r="U1497" t="s">
        <v>3060</v>
      </c>
      <c r="V1497" t="s">
        <v>3058</v>
      </c>
    </row>
    <row r="1498" spans="1:22">
      <c r="A1498">
        <v>1497</v>
      </c>
      <c r="B1498" t="s">
        <v>1546</v>
      </c>
      <c r="C1498" t="s">
        <v>1547</v>
      </c>
      <c r="D1498" t="s">
        <v>20</v>
      </c>
      <c r="E1498" t="s">
        <v>8</v>
      </c>
      <c r="F1498" s="22">
        <v>510.14</v>
      </c>
      <c r="G1498" s="22">
        <v>0</v>
      </c>
      <c r="H1498" s="22">
        <v>0</v>
      </c>
      <c r="I1498" s="22">
        <v>510.14</v>
      </c>
      <c r="J1498">
        <v>0</v>
      </c>
      <c r="K1498">
        <v>0</v>
      </c>
      <c r="L1498" s="22">
        <v>510.14</v>
      </c>
      <c r="M1498" s="22">
        <v>0</v>
      </c>
      <c r="N1498" s="22">
        <v>0</v>
      </c>
      <c r="O1498" s="22">
        <v>510.14</v>
      </c>
      <c r="P1498" s="22">
        <v>0</v>
      </c>
      <c r="Q1498" s="22">
        <v>510.14</v>
      </c>
      <c r="R1498">
        <v>0</v>
      </c>
      <c r="T1498" t="s">
        <v>3000</v>
      </c>
      <c r="U1498" t="s">
        <v>3059</v>
      </c>
      <c r="V1498" t="s">
        <v>3056</v>
      </c>
    </row>
    <row r="1499" spans="1:22">
      <c r="A1499">
        <v>1498</v>
      </c>
      <c r="B1499" t="s">
        <v>1121</v>
      </c>
      <c r="C1499" t="s">
        <v>1122</v>
      </c>
      <c r="D1499" t="s">
        <v>17</v>
      </c>
      <c r="E1499" t="s">
        <v>8</v>
      </c>
      <c r="F1499" s="22">
        <v>11100</v>
      </c>
      <c r="G1499" s="22">
        <v>0</v>
      </c>
      <c r="H1499" s="22">
        <v>1000</v>
      </c>
      <c r="I1499" s="22">
        <v>10100</v>
      </c>
      <c r="J1499">
        <v>0</v>
      </c>
      <c r="K1499">
        <v>0</v>
      </c>
      <c r="L1499" s="22">
        <v>10100</v>
      </c>
      <c r="M1499" s="22">
        <v>0</v>
      </c>
      <c r="N1499" s="22">
        <v>0</v>
      </c>
      <c r="O1499" s="22">
        <v>10100</v>
      </c>
      <c r="P1499" s="22">
        <v>2000</v>
      </c>
      <c r="Q1499" s="22">
        <v>8100</v>
      </c>
      <c r="R1499">
        <v>0</v>
      </c>
      <c r="T1499" t="s">
        <v>2972</v>
      </c>
      <c r="U1499" t="s">
        <v>3057</v>
      </c>
      <c r="V1499" t="s">
        <v>3058</v>
      </c>
    </row>
    <row r="1500" spans="1:22">
      <c r="A1500">
        <v>1499</v>
      </c>
      <c r="B1500" t="s">
        <v>1568</v>
      </c>
      <c r="C1500" t="s">
        <v>1569</v>
      </c>
      <c r="D1500" t="s">
        <v>20</v>
      </c>
      <c r="E1500" t="s">
        <v>8</v>
      </c>
      <c r="F1500" s="22">
        <v>5920.2</v>
      </c>
      <c r="G1500" s="22">
        <v>0</v>
      </c>
      <c r="H1500" s="22">
        <v>68.400000000000006</v>
      </c>
      <c r="I1500" s="22">
        <v>5851.8</v>
      </c>
      <c r="J1500">
        <v>0</v>
      </c>
      <c r="K1500">
        <v>0</v>
      </c>
      <c r="L1500" s="22">
        <v>5851.8</v>
      </c>
      <c r="M1500" s="22">
        <v>0</v>
      </c>
      <c r="N1500" s="22">
        <v>0</v>
      </c>
      <c r="O1500" s="22">
        <v>5851.8</v>
      </c>
      <c r="P1500" s="22">
        <v>0</v>
      </c>
      <c r="Q1500" s="22">
        <v>5851.8</v>
      </c>
      <c r="R1500">
        <v>0</v>
      </c>
      <c r="T1500" t="s">
        <v>3000</v>
      </c>
      <c r="U1500" t="s">
        <v>3059</v>
      </c>
      <c r="V1500" t="s">
        <v>3056</v>
      </c>
    </row>
    <row r="1501" spans="1:22">
      <c r="A1501">
        <v>1500</v>
      </c>
      <c r="B1501" t="s">
        <v>1570</v>
      </c>
      <c r="C1501" t="s">
        <v>1571</v>
      </c>
      <c r="D1501" t="s">
        <v>20</v>
      </c>
      <c r="E1501" t="s">
        <v>8</v>
      </c>
      <c r="F1501" s="22">
        <v>9521.7000000000007</v>
      </c>
      <c r="G1501" s="22">
        <v>0</v>
      </c>
      <c r="H1501" s="22">
        <v>1180</v>
      </c>
      <c r="I1501" s="22">
        <v>8341.7000000000007</v>
      </c>
      <c r="J1501">
        <v>0</v>
      </c>
      <c r="K1501">
        <v>0</v>
      </c>
      <c r="L1501" s="22">
        <v>8341.7000000000007</v>
      </c>
      <c r="M1501" s="22">
        <v>0</v>
      </c>
      <c r="N1501" s="22">
        <v>0</v>
      </c>
      <c r="O1501" s="22">
        <v>8341.7000000000007</v>
      </c>
      <c r="P1501" s="22">
        <v>0</v>
      </c>
      <c r="Q1501" s="22">
        <v>8341.7000000000007</v>
      </c>
      <c r="R1501">
        <v>0</v>
      </c>
      <c r="T1501" t="s">
        <v>3000</v>
      </c>
      <c r="U1501" t="s">
        <v>3059</v>
      </c>
      <c r="V1501" t="s">
        <v>3056</v>
      </c>
    </row>
    <row r="1502" spans="1:22">
      <c r="A1502">
        <v>1501</v>
      </c>
      <c r="B1502" t="s">
        <v>1582</v>
      </c>
      <c r="C1502" t="s">
        <v>1583</v>
      </c>
      <c r="D1502" t="s">
        <v>17</v>
      </c>
      <c r="E1502" t="s">
        <v>8</v>
      </c>
      <c r="F1502" s="22">
        <v>0</v>
      </c>
      <c r="G1502" s="22">
        <v>352</v>
      </c>
      <c r="H1502" s="22">
        <v>50</v>
      </c>
      <c r="I1502" s="22">
        <v>302</v>
      </c>
      <c r="J1502">
        <v>0</v>
      </c>
      <c r="K1502">
        <v>0</v>
      </c>
      <c r="L1502" s="22">
        <v>302</v>
      </c>
      <c r="M1502" s="22">
        <v>0</v>
      </c>
      <c r="N1502" s="22">
        <v>0</v>
      </c>
      <c r="O1502" s="22">
        <v>302</v>
      </c>
      <c r="P1502" s="22">
        <v>125</v>
      </c>
      <c r="Q1502" s="22">
        <v>177</v>
      </c>
      <c r="R1502">
        <v>250</v>
      </c>
      <c r="T1502" t="s">
        <v>2972</v>
      </c>
      <c r="U1502" t="s">
        <v>3060</v>
      </c>
      <c r="V1502" t="s">
        <v>3058</v>
      </c>
    </row>
    <row r="1503" spans="1:22">
      <c r="A1503">
        <v>1502</v>
      </c>
      <c r="B1503" t="s">
        <v>1596</v>
      </c>
      <c r="C1503" t="s">
        <v>1597</v>
      </c>
      <c r="D1503" t="s">
        <v>17</v>
      </c>
      <c r="E1503" t="s">
        <v>8</v>
      </c>
      <c r="F1503" s="22">
        <v>7500</v>
      </c>
      <c r="G1503" s="22">
        <v>0</v>
      </c>
      <c r="H1503" s="22">
        <v>250</v>
      </c>
      <c r="I1503" s="22">
        <v>7250</v>
      </c>
      <c r="J1503">
        <v>0</v>
      </c>
      <c r="K1503">
        <v>0</v>
      </c>
      <c r="L1503" s="22">
        <v>7250</v>
      </c>
      <c r="M1503" s="22">
        <v>0</v>
      </c>
      <c r="N1503" s="22">
        <v>0</v>
      </c>
      <c r="O1503" s="22">
        <v>7250</v>
      </c>
      <c r="P1503" s="22">
        <v>250</v>
      </c>
      <c r="Q1503" s="22">
        <v>7000</v>
      </c>
      <c r="R1503">
        <v>0</v>
      </c>
      <c r="T1503" t="s">
        <v>2972</v>
      </c>
      <c r="U1503" t="s">
        <v>3060</v>
      </c>
      <c r="V1503" t="s">
        <v>3056</v>
      </c>
    </row>
    <row r="1504" spans="1:22">
      <c r="A1504">
        <v>1503</v>
      </c>
      <c r="B1504" t="s">
        <v>1155</v>
      </c>
      <c r="C1504" t="s">
        <v>1156</v>
      </c>
      <c r="D1504" t="s">
        <v>17</v>
      </c>
      <c r="E1504" t="s">
        <v>8</v>
      </c>
      <c r="F1504" s="22">
        <v>94</v>
      </c>
      <c r="G1504" s="22">
        <v>100</v>
      </c>
      <c r="H1504" s="22">
        <v>63</v>
      </c>
      <c r="I1504" s="22">
        <v>131</v>
      </c>
      <c r="J1504">
        <v>0</v>
      </c>
      <c r="K1504">
        <v>0</v>
      </c>
      <c r="L1504" s="22">
        <v>131</v>
      </c>
      <c r="M1504" s="22">
        <v>0</v>
      </c>
      <c r="N1504" s="22">
        <v>0</v>
      </c>
      <c r="O1504" s="22">
        <v>131</v>
      </c>
      <c r="P1504" s="22">
        <v>50</v>
      </c>
      <c r="Q1504" s="22">
        <v>81</v>
      </c>
      <c r="R1504">
        <v>100</v>
      </c>
      <c r="T1504" t="s">
        <v>2963</v>
      </c>
      <c r="U1504" t="s">
        <v>3057</v>
      </c>
      <c r="V1504" t="s">
        <v>3056</v>
      </c>
    </row>
    <row r="1505" spans="1:22">
      <c r="A1505">
        <v>1504</v>
      </c>
      <c r="B1505" t="s">
        <v>1205</v>
      </c>
      <c r="C1505" t="s">
        <v>1206</v>
      </c>
      <c r="D1505" t="s">
        <v>17</v>
      </c>
      <c r="E1505" t="s">
        <v>8</v>
      </c>
      <c r="F1505" s="22">
        <v>83</v>
      </c>
      <c r="G1505" s="22">
        <v>0</v>
      </c>
      <c r="H1505" s="22">
        <v>65</v>
      </c>
      <c r="I1505" s="22">
        <v>18</v>
      </c>
      <c r="J1505">
        <v>0</v>
      </c>
      <c r="K1505">
        <v>0</v>
      </c>
      <c r="L1505" s="22">
        <v>18</v>
      </c>
      <c r="M1505" s="22">
        <v>0</v>
      </c>
      <c r="N1505" s="22">
        <v>0</v>
      </c>
      <c r="O1505" s="22">
        <v>18</v>
      </c>
      <c r="P1505" s="22">
        <v>100</v>
      </c>
      <c r="Q1505" s="22">
        <v>-82</v>
      </c>
      <c r="R1505">
        <v>0</v>
      </c>
      <c r="T1505" t="s">
        <v>3052</v>
      </c>
      <c r="U1505" t="s">
        <v>3057</v>
      </c>
      <c r="V1505" t="s">
        <v>3056</v>
      </c>
    </row>
    <row r="1506" spans="1:22">
      <c r="A1506">
        <v>1505</v>
      </c>
      <c r="B1506" t="s">
        <v>1512</v>
      </c>
      <c r="C1506" t="s">
        <v>1513</v>
      </c>
      <c r="D1506" t="s">
        <v>17</v>
      </c>
      <c r="E1506" t="s">
        <v>8</v>
      </c>
      <c r="F1506" s="22">
        <v>0</v>
      </c>
      <c r="G1506" s="22">
        <v>600</v>
      </c>
      <c r="H1506" s="22">
        <v>75</v>
      </c>
      <c r="I1506" s="22">
        <v>525</v>
      </c>
      <c r="J1506">
        <v>0</v>
      </c>
      <c r="K1506">
        <v>0</v>
      </c>
      <c r="L1506" s="22">
        <v>525</v>
      </c>
      <c r="M1506" s="22">
        <v>0</v>
      </c>
      <c r="N1506" s="22">
        <v>0</v>
      </c>
      <c r="O1506" s="22">
        <v>525</v>
      </c>
      <c r="P1506" s="22">
        <v>250</v>
      </c>
      <c r="Q1506" s="22">
        <v>275</v>
      </c>
      <c r="R1506">
        <v>1000</v>
      </c>
      <c r="T1506" t="s">
        <v>2974</v>
      </c>
      <c r="U1506" t="s">
        <v>3057</v>
      </c>
      <c r="V1506" t="s">
        <v>3056</v>
      </c>
    </row>
    <row r="1507" spans="1:22">
      <c r="A1507">
        <v>1506</v>
      </c>
      <c r="B1507" t="s">
        <v>1592</v>
      </c>
      <c r="C1507" t="s">
        <v>1593</v>
      </c>
      <c r="D1507" t="s">
        <v>20</v>
      </c>
      <c r="E1507" t="s">
        <v>8</v>
      </c>
      <c r="F1507" s="22">
        <v>426.78</v>
      </c>
      <c r="G1507" s="22">
        <v>991</v>
      </c>
      <c r="H1507" s="22">
        <v>464.28</v>
      </c>
      <c r="I1507" s="22">
        <v>953.5</v>
      </c>
      <c r="J1507">
        <v>0</v>
      </c>
      <c r="K1507">
        <v>0</v>
      </c>
      <c r="L1507" s="22">
        <v>953.5</v>
      </c>
      <c r="M1507" s="22">
        <v>0</v>
      </c>
      <c r="N1507" s="22">
        <v>0</v>
      </c>
      <c r="O1507" s="22">
        <v>953.5</v>
      </c>
      <c r="P1507" s="22">
        <v>1000</v>
      </c>
      <c r="Q1507" s="22">
        <v>-46.5</v>
      </c>
      <c r="R1507">
        <v>750</v>
      </c>
      <c r="T1507" t="s">
        <v>2972</v>
      </c>
      <c r="U1507" t="s">
        <v>3057</v>
      </c>
      <c r="V1507" t="s">
        <v>3056</v>
      </c>
    </row>
    <row r="1508" spans="1:22">
      <c r="A1508">
        <v>1507</v>
      </c>
      <c r="B1508" t="s">
        <v>1612</v>
      </c>
      <c r="C1508" t="s">
        <v>1613</v>
      </c>
      <c r="D1508" t="s">
        <v>17</v>
      </c>
      <c r="E1508" t="s">
        <v>8</v>
      </c>
      <c r="F1508" s="22">
        <v>2700</v>
      </c>
      <c r="G1508" s="22">
        <v>2900</v>
      </c>
      <c r="H1508" s="22">
        <v>4400</v>
      </c>
      <c r="I1508" s="22">
        <v>1200</v>
      </c>
      <c r="J1508">
        <v>0</v>
      </c>
      <c r="K1508">
        <v>0</v>
      </c>
      <c r="L1508" s="22">
        <v>1200</v>
      </c>
      <c r="M1508" s="22">
        <v>2100</v>
      </c>
      <c r="N1508" s="22">
        <v>0</v>
      </c>
      <c r="O1508" s="22">
        <v>3300</v>
      </c>
      <c r="P1508" s="22">
        <v>2500</v>
      </c>
      <c r="Q1508" s="22">
        <v>800</v>
      </c>
      <c r="R1508">
        <v>5000</v>
      </c>
      <c r="T1508" t="s">
        <v>2972</v>
      </c>
      <c r="U1508" t="s">
        <v>3057</v>
      </c>
      <c r="V1508" t="s">
        <v>3056</v>
      </c>
    </row>
    <row r="1509" spans="1:22">
      <c r="A1509">
        <v>1508</v>
      </c>
      <c r="B1509" t="s">
        <v>1644</v>
      </c>
      <c r="C1509" t="s">
        <v>1645</v>
      </c>
      <c r="D1509" t="s">
        <v>17</v>
      </c>
      <c r="E1509" t="s">
        <v>8</v>
      </c>
      <c r="F1509" s="22">
        <v>2700</v>
      </c>
      <c r="G1509" s="22">
        <v>0</v>
      </c>
      <c r="H1509" s="22">
        <v>2700</v>
      </c>
      <c r="I1509" s="22">
        <v>0</v>
      </c>
      <c r="J1509">
        <v>0</v>
      </c>
      <c r="K1509">
        <v>0</v>
      </c>
      <c r="L1509" s="22">
        <v>0</v>
      </c>
      <c r="M1509" s="22">
        <v>0</v>
      </c>
      <c r="N1509" s="22">
        <v>0</v>
      </c>
      <c r="O1509" s="22">
        <v>0</v>
      </c>
      <c r="P1509" s="22">
        <v>1000</v>
      </c>
      <c r="Q1509" s="22">
        <v>-1000</v>
      </c>
      <c r="R1509">
        <v>0</v>
      </c>
      <c r="T1509" t="s">
        <v>2972</v>
      </c>
      <c r="U1509" t="s">
        <v>3057</v>
      </c>
      <c r="V1509" t="s">
        <v>3056</v>
      </c>
    </row>
    <row r="1510" spans="1:22">
      <c r="A1510">
        <v>1509</v>
      </c>
      <c r="B1510" t="s">
        <v>1646</v>
      </c>
      <c r="C1510" t="s">
        <v>1647</v>
      </c>
      <c r="D1510" t="s">
        <v>17</v>
      </c>
      <c r="E1510" t="s">
        <v>8</v>
      </c>
      <c r="F1510" s="22">
        <v>1000</v>
      </c>
      <c r="G1510" s="22">
        <v>1600</v>
      </c>
      <c r="H1510" s="22">
        <v>1100</v>
      </c>
      <c r="I1510" s="22">
        <v>1500</v>
      </c>
      <c r="J1510">
        <v>0</v>
      </c>
      <c r="K1510">
        <v>0</v>
      </c>
      <c r="L1510" s="22">
        <v>1500</v>
      </c>
      <c r="M1510" s="22">
        <v>0</v>
      </c>
      <c r="N1510" s="22">
        <v>0</v>
      </c>
      <c r="O1510" s="22">
        <v>1500</v>
      </c>
      <c r="P1510" s="22">
        <v>1500</v>
      </c>
      <c r="Q1510" s="22">
        <v>0</v>
      </c>
      <c r="R1510">
        <v>1600</v>
      </c>
      <c r="T1510" t="s">
        <v>2972</v>
      </c>
      <c r="U1510" t="s">
        <v>3057</v>
      </c>
      <c r="V1510" t="s">
        <v>3056</v>
      </c>
    </row>
    <row r="1511" spans="1:22">
      <c r="A1511">
        <v>1510</v>
      </c>
      <c r="B1511" t="s">
        <v>1718</v>
      </c>
      <c r="C1511" t="s">
        <v>1719</v>
      </c>
      <c r="D1511" t="s">
        <v>17</v>
      </c>
      <c r="E1511" t="s">
        <v>8</v>
      </c>
      <c r="F1511" s="22">
        <v>270</v>
      </c>
      <c r="G1511" s="22">
        <v>0</v>
      </c>
      <c r="H1511" s="22">
        <v>0</v>
      </c>
      <c r="I1511" s="22">
        <v>270</v>
      </c>
      <c r="J1511">
        <v>0</v>
      </c>
      <c r="K1511">
        <v>0</v>
      </c>
      <c r="L1511" s="22">
        <v>270</v>
      </c>
      <c r="M1511" s="22">
        <v>0</v>
      </c>
      <c r="N1511" s="22">
        <v>0</v>
      </c>
      <c r="O1511" s="22">
        <v>270</v>
      </c>
      <c r="P1511" s="22">
        <v>250</v>
      </c>
      <c r="Q1511" s="22">
        <v>20</v>
      </c>
      <c r="R1511">
        <v>0</v>
      </c>
      <c r="T1511" t="s">
        <v>2972</v>
      </c>
      <c r="U1511" t="s">
        <v>3060</v>
      </c>
      <c r="V1511" t="s">
        <v>3058</v>
      </c>
    </row>
    <row r="1512" spans="1:22">
      <c r="A1512">
        <v>1511</v>
      </c>
      <c r="B1512" t="s">
        <v>1726</v>
      </c>
      <c r="C1512" t="s">
        <v>1727</v>
      </c>
      <c r="D1512" t="s">
        <v>17</v>
      </c>
      <c r="E1512" t="s">
        <v>8</v>
      </c>
      <c r="F1512" s="22">
        <v>1410</v>
      </c>
      <c r="G1512" s="22">
        <v>1340</v>
      </c>
      <c r="H1512" s="22">
        <v>930</v>
      </c>
      <c r="I1512" s="22">
        <v>1820</v>
      </c>
      <c r="J1512">
        <v>0</v>
      </c>
      <c r="K1512">
        <v>0</v>
      </c>
      <c r="L1512" s="22">
        <v>1820</v>
      </c>
      <c r="M1512" s="22">
        <v>0</v>
      </c>
      <c r="N1512" s="22">
        <v>0</v>
      </c>
      <c r="O1512" s="22">
        <v>1820</v>
      </c>
      <c r="P1512" s="22">
        <v>450</v>
      </c>
      <c r="Q1512" s="22">
        <v>1370</v>
      </c>
      <c r="R1512">
        <v>1000</v>
      </c>
      <c r="T1512" t="s">
        <v>3006</v>
      </c>
      <c r="U1512" t="s">
        <v>3060</v>
      </c>
      <c r="V1512" t="s">
        <v>3058</v>
      </c>
    </row>
    <row r="1513" spans="1:22">
      <c r="A1513">
        <v>1512</v>
      </c>
      <c r="B1513" t="s">
        <v>1730</v>
      </c>
      <c r="C1513" t="s">
        <v>1731</v>
      </c>
      <c r="D1513" t="s">
        <v>17</v>
      </c>
      <c r="E1513" t="s">
        <v>8</v>
      </c>
      <c r="F1513" s="22">
        <v>3720</v>
      </c>
      <c r="G1513" s="22">
        <v>640</v>
      </c>
      <c r="H1513" s="22">
        <v>2459</v>
      </c>
      <c r="I1513" s="22">
        <v>1901</v>
      </c>
      <c r="J1513">
        <v>0</v>
      </c>
      <c r="K1513">
        <v>0</v>
      </c>
      <c r="L1513" s="22">
        <v>1901</v>
      </c>
      <c r="M1513" s="22">
        <v>0</v>
      </c>
      <c r="N1513" s="22">
        <v>0</v>
      </c>
      <c r="O1513" s="22">
        <v>1901</v>
      </c>
      <c r="P1513" s="22">
        <v>2000</v>
      </c>
      <c r="Q1513" s="22">
        <v>-99</v>
      </c>
      <c r="R1513">
        <v>3000</v>
      </c>
      <c r="T1513" t="s">
        <v>3006</v>
      </c>
      <c r="U1513" t="s">
        <v>3060</v>
      </c>
      <c r="V1513" t="s">
        <v>3061</v>
      </c>
    </row>
    <row r="1514" spans="1:22">
      <c r="A1514">
        <v>1513</v>
      </c>
      <c r="B1514" t="s">
        <v>1732</v>
      </c>
      <c r="C1514" t="s">
        <v>1733</v>
      </c>
      <c r="D1514" t="s">
        <v>17</v>
      </c>
      <c r="E1514" t="s">
        <v>8</v>
      </c>
      <c r="F1514" s="22">
        <v>1770</v>
      </c>
      <c r="G1514" s="22">
        <v>6495</v>
      </c>
      <c r="H1514" s="22">
        <v>8238</v>
      </c>
      <c r="I1514" s="22">
        <v>27</v>
      </c>
      <c r="J1514">
        <v>2</v>
      </c>
      <c r="K1514">
        <v>0</v>
      </c>
      <c r="L1514" s="22">
        <v>25</v>
      </c>
      <c r="M1514" s="22">
        <v>735</v>
      </c>
      <c r="N1514" s="22">
        <v>0</v>
      </c>
      <c r="O1514" s="22">
        <v>760</v>
      </c>
      <c r="P1514" s="22">
        <v>2500</v>
      </c>
      <c r="Q1514" s="22">
        <v>-1740</v>
      </c>
      <c r="R1514">
        <v>12000</v>
      </c>
      <c r="T1514" t="s">
        <v>3006</v>
      </c>
      <c r="U1514" t="s">
        <v>3060</v>
      </c>
      <c r="V1514" t="s">
        <v>3061</v>
      </c>
    </row>
    <row r="1515" spans="1:22">
      <c r="A1515">
        <v>1514</v>
      </c>
      <c r="B1515" t="s">
        <v>1694</v>
      </c>
      <c r="C1515" t="s">
        <v>1695</v>
      </c>
      <c r="D1515" t="s">
        <v>17</v>
      </c>
      <c r="E1515" t="s">
        <v>8</v>
      </c>
      <c r="F1515" s="22">
        <v>900</v>
      </c>
      <c r="G1515" s="22">
        <v>0</v>
      </c>
      <c r="H1515" s="22">
        <v>200</v>
      </c>
      <c r="I1515" s="22">
        <v>700</v>
      </c>
      <c r="J1515">
        <v>0</v>
      </c>
      <c r="K1515">
        <v>0</v>
      </c>
      <c r="L1515" s="22">
        <v>700</v>
      </c>
      <c r="M1515" s="22">
        <v>0</v>
      </c>
      <c r="N1515" s="22">
        <v>0</v>
      </c>
      <c r="O1515" s="22">
        <v>700</v>
      </c>
      <c r="P1515" s="22">
        <v>500</v>
      </c>
      <c r="Q1515" s="22">
        <v>200</v>
      </c>
      <c r="R1515">
        <v>0</v>
      </c>
      <c r="T1515" t="s">
        <v>2972</v>
      </c>
      <c r="U1515" t="s">
        <v>3057</v>
      </c>
      <c r="V1515" t="s">
        <v>3056</v>
      </c>
    </row>
    <row r="1516" spans="1:22">
      <c r="A1516">
        <v>1515</v>
      </c>
      <c r="B1516" t="s">
        <v>1756</v>
      </c>
      <c r="C1516" t="s">
        <v>1757</v>
      </c>
      <c r="D1516" t="s">
        <v>20</v>
      </c>
      <c r="E1516" t="s">
        <v>8</v>
      </c>
      <c r="F1516" s="22">
        <v>514.6</v>
      </c>
      <c r="G1516" s="22">
        <v>0</v>
      </c>
      <c r="H1516" s="22">
        <v>314.60000000000002</v>
      </c>
      <c r="I1516" s="22">
        <v>200</v>
      </c>
      <c r="J1516">
        <v>0</v>
      </c>
      <c r="K1516">
        <v>0</v>
      </c>
      <c r="L1516" s="22">
        <v>200</v>
      </c>
      <c r="M1516" s="22">
        <v>0</v>
      </c>
      <c r="N1516" s="22">
        <v>0</v>
      </c>
      <c r="O1516" s="22">
        <v>200</v>
      </c>
      <c r="P1516" s="22">
        <v>200</v>
      </c>
      <c r="Q1516" s="22">
        <v>0</v>
      </c>
      <c r="R1516">
        <v>0</v>
      </c>
      <c r="T1516" t="s">
        <v>2991</v>
      </c>
      <c r="U1516" t="s">
        <v>3057</v>
      </c>
      <c r="V1516" t="s">
        <v>3056</v>
      </c>
    </row>
    <row r="1517" spans="1:22">
      <c r="A1517">
        <v>1516</v>
      </c>
      <c r="B1517" t="s">
        <v>1766</v>
      </c>
      <c r="C1517" t="s">
        <v>1767</v>
      </c>
      <c r="D1517" t="s">
        <v>289</v>
      </c>
      <c r="E1517" t="s">
        <v>8</v>
      </c>
      <c r="F1517" s="22">
        <v>420</v>
      </c>
      <c r="G1517" s="22">
        <v>0</v>
      </c>
      <c r="H1517" s="22">
        <v>210</v>
      </c>
      <c r="I1517" s="22">
        <v>210</v>
      </c>
      <c r="J1517">
        <v>0</v>
      </c>
      <c r="K1517">
        <v>0</v>
      </c>
      <c r="L1517" s="22">
        <v>210</v>
      </c>
      <c r="M1517" s="22">
        <v>0</v>
      </c>
      <c r="N1517" s="22">
        <v>0</v>
      </c>
      <c r="O1517" s="22">
        <v>210</v>
      </c>
      <c r="P1517" s="22">
        <v>210</v>
      </c>
      <c r="Q1517" s="22">
        <v>0</v>
      </c>
      <c r="R1517">
        <v>0</v>
      </c>
      <c r="T1517" t="s">
        <v>2963</v>
      </c>
      <c r="U1517" t="s">
        <v>3057</v>
      </c>
      <c r="V1517" t="s">
        <v>3056</v>
      </c>
    </row>
    <row r="1518" spans="1:22">
      <c r="A1518">
        <v>1517</v>
      </c>
      <c r="B1518" t="s">
        <v>1820</v>
      </c>
      <c r="C1518" t="s">
        <v>1821</v>
      </c>
      <c r="D1518" t="s">
        <v>7</v>
      </c>
      <c r="E1518" t="s">
        <v>8</v>
      </c>
      <c r="F1518" s="22">
        <v>1200</v>
      </c>
      <c r="G1518" s="22">
        <v>2400</v>
      </c>
      <c r="H1518" s="22">
        <v>3000</v>
      </c>
      <c r="I1518" s="22">
        <v>600</v>
      </c>
      <c r="J1518">
        <v>0</v>
      </c>
      <c r="K1518">
        <v>0</v>
      </c>
      <c r="L1518" s="22">
        <v>600</v>
      </c>
      <c r="M1518" s="22">
        <v>0</v>
      </c>
      <c r="N1518" s="22">
        <v>0</v>
      </c>
      <c r="O1518" s="22">
        <v>600</v>
      </c>
      <c r="P1518" s="22">
        <v>4800</v>
      </c>
      <c r="Q1518" s="22">
        <v>-4200</v>
      </c>
      <c r="R1518">
        <v>4800</v>
      </c>
      <c r="T1518" t="s">
        <v>2972</v>
      </c>
      <c r="U1518" t="s">
        <v>3057</v>
      </c>
      <c r="V1518" t="s">
        <v>3056</v>
      </c>
    </row>
    <row r="1519" spans="1:22">
      <c r="A1519">
        <v>1518</v>
      </c>
      <c r="B1519" t="s">
        <v>2094</v>
      </c>
      <c r="C1519" t="s">
        <v>2095</v>
      </c>
      <c r="D1519" t="s">
        <v>17</v>
      </c>
      <c r="E1519" t="s">
        <v>8</v>
      </c>
      <c r="F1519" s="22">
        <v>60</v>
      </c>
      <c r="G1519" s="22">
        <v>0</v>
      </c>
      <c r="H1519" s="22">
        <v>0</v>
      </c>
      <c r="I1519" s="22">
        <v>60</v>
      </c>
      <c r="J1519">
        <v>0</v>
      </c>
      <c r="K1519">
        <v>0</v>
      </c>
      <c r="L1519" s="22">
        <v>60</v>
      </c>
      <c r="M1519" s="22">
        <v>0</v>
      </c>
      <c r="N1519" s="22">
        <v>0</v>
      </c>
      <c r="O1519" s="22">
        <v>60</v>
      </c>
      <c r="P1519" s="22">
        <v>200</v>
      </c>
      <c r="Q1519" s="22">
        <v>-140</v>
      </c>
      <c r="R1519">
        <v>100</v>
      </c>
      <c r="T1519" t="s">
        <v>3006</v>
      </c>
      <c r="U1519" t="s">
        <v>3060</v>
      </c>
      <c r="V1519" t="s">
        <v>3058</v>
      </c>
    </row>
    <row r="1520" spans="1:22">
      <c r="A1520">
        <v>1519</v>
      </c>
      <c r="B1520" t="s">
        <v>2096</v>
      </c>
      <c r="C1520" t="s">
        <v>2097</v>
      </c>
      <c r="D1520" t="s">
        <v>17</v>
      </c>
      <c r="E1520" t="s">
        <v>8</v>
      </c>
      <c r="F1520" s="22">
        <v>20</v>
      </c>
      <c r="G1520" s="22">
        <v>75</v>
      </c>
      <c r="H1520" s="22">
        <v>0</v>
      </c>
      <c r="I1520" s="22">
        <v>95</v>
      </c>
      <c r="J1520">
        <v>0</v>
      </c>
      <c r="K1520">
        <v>0</v>
      </c>
      <c r="L1520" s="22">
        <v>95</v>
      </c>
      <c r="M1520" s="22">
        <v>0</v>
      </c>
      <c r="N1520" s="22">
        <v>0</v>
      </c>
      <c r="O1520" s="22">
        <v>95</v>
      </c>
      <c r="P1520" s="22">
        <v>100</v>
      </c>
      <c r="Q1520" s="22">
        <v>-5</v>
      </c>
      <c r="R1520">
        <v>100</v>
      </c>
      <c r="T1520" t="s">
        <v>3006</v>
      </c>
      <c r="U1520" t="s">
        <v>3060</v>
      </c>
      <c r="V1520" t="s">
        <v>3058</v>
      </c>
    </row>
    <row r="1521" spans="1:22">
      <c r="A1521">
        <v>1520</v>
      </c>
      <c r="B1521" t="s">
        <v>2062</v>
      </c>
      <c r="C1521" t="s">
        <v>2063</v>
      </c>
      <c r="D1521" t="s">
        <v>17</v>
      </c>
      <c r="E1521" t="s">
        <v>8</v>
      </c>
      <c r="F1521" s="22">
        <v>75</v>
      </c>
      <c r="G1521" s="22">
        <v>247</v>
      </c>
      <c r="H1521" s="22">
        <v>0</v>
      </c>
      <c r="I1521" s="22">
        <v>322</v>
      </c>
      <c r="J1521">
        <v>0</v>
      </c>
      <c r="K1521">
        <v>0</v>
      </c>
      <c r="L1521" s="22">
        <v>322</v>
      </c>
      <c r="M1521" s="22">
        <v>0</v>
      </c>
      <c r="N1521" s="22">
        <v>0</v>
      </c>
      <c r="O1521" s="22">
        <v>322</v>
      </c>
      <c r="P1521" s="22">
        <v>125</v>
      </c>
      <c r="Q1521" s="22">
        <v>197</v>
      </c>
      <c r="R1521">
        <v>150</v>
      </c>
      <c r="T1521" t="s">
        <v>2991</v>
      </c>
      <c r="U1521" t="s">
        <v>3057</v>
      </c>
      <c r="V1521" t="s">
        <v>3058</v>
      </c>
    </row>
    <row r="1522" spans="1:22">
      <c r="A1522">
        <v>1521</v>
      </c>
      <c r="B1522" t="s">
        <v>2066</v>
      </c>
      <c r="C1522" t="s">
        <v>2067</v>
      </c>
      <c r="D1522" t="s">
        <v>17</v>
      </c>
      <c r="E1522" t="s">
        <v>8</v>
      </c>
      <c r="F1522" s="22">
        <v>1820</v>
      </c>
      <c r="G1522" s="22">
        <v>0</v>
      </c>
      <c r="H1522" s="22">
        <v>0</v>
      </c>
      <c r="I1522" s="22">
        <v>1820</v>
      </c>
      <c r="J1522">
        <v>0</v>
      </c>
      <c r="K1522">
        <v>0</v>
      </c>
      <c r="L1522" s="22">
        <v>1820</v>
      </c>
      <c r="M1522" s="22">
        <v>0</v>
      </c>
      <c r="N1522" s="22">
        <v>0</v>
      </c>
      <c r="O1522" s="22">
        <v>1820</v>
      </c>
      <c r="P1522" s="22">
        <v>500</v>
      </c>
      <c r="Q1522" s="22">
        <v>1320</v>
      </c>
      <c r="R1522">
        <v>0</v>
      </c>
      <c r="T1522" t="s">
        <v>2972</v>
      </c>
      <c r="U1522" t="s">
        <v>3057</v>
      </c>
      <c r="V1522" t="s">
        <v>3058</v>
      </c>
    </row>
    <row r="1523" spans="1:22">
      <c r="A1523">
        <v>1522</v>
      </c>
      <c r="B1523" t="s">
        <v>2141</v>
      </c>
      <c r="C1523" t="s">
        <v>2142</v>
      </c>
      <c r="D1523" t="s">
        <v>7</v>
      </c>
      <c r="E1523" t="s">
        <v>8</v>
      </c>
      <c r="F1523" s="22">
        <v>1684</v>
      </c>
      <c r="G1523" s="22">
        <v>0</v>
      </c>
      <c r="H1523" s="22">
        <v>450</v>
      </c>
      <c r="I1523" s="22">
        <v>1234</v>
      </c>
      <c r="J1523">
        <v>0</v>
      </c>
      <c r="K1523">
        <v>0</v>
      </c>
      <c r="L1523" s="22">
        <v>1234</v>
      </c>
      <c r="M1523" s="22">
        <v>0</v>
      </c>
      <c r="N1523" s="22">
        <v>0</v>
      </c>
      <c r="O1523" s="22">
        <v>1234</v>
      </c>
      <c r="P1523" s="22">
        <v>1500</v>
      </c>
      <c r="Q1523" s="22">
        <v>-266</v>
      </c>
      <c r="R1523">
        <v>0</v>
      </c>
      <c r="T1523" t="s">
        <v>2965</v>
      </c>
      <c r="U1523" t="s">
        <v>3055</v>
      </c>
      <c r="V1523" t="s">
        <v>3056</v>
      </c>
    </row>
    <row r="1524" spans="1:22">
      <c r="A1524">
        <v>1523</v>
      </c>
      <c r="B1524" t="s">
        <v>316</v>
      </c>
      <c r="C1524" t="s">
        <v>3038</v>
      </c>
      <c r="D1524" t="s">
        <v>17</v>
      </c>
      <c r="E1524" t="s">
        <v>8</v>
      </c>
      <c r="F1524" s="22">
        <v>1762</v>
      </c>
      <c r="G1524" s="22">
        <v>744</v>
      </c>
      <c r="H1524" s="22">
        <v>898</v>
      </c>
      <c r="I1524" s="22">
        <v>1608</v>
      </c>
      <c r="J1524">
        <v>0</v>
      </c>
      <c r="K1524">
        <v>0</v>
      </c>
      <c r="L1524" s="22">
        <v>1608</v>
      </c>
      <c r="M1524" s="22">
        <v>0</v>
      </c>
      <c r="N1524" s="22">
        <v>0</v>
      </c>
      <c r="O1524" s="22">
        <v>1608</v>
      </c>
      <c r="P1524" s="22">
        <v>1000</v>
      </c>
      <c r="Q1524" s="22">
        <v>608</v>
      </c>
      <c r="R1524">
        <v>750</v>
      </c>
      <c r="T1524" t="s">
        <v>2991</v>
      </c>
      <c r="U1524" t="s">
        <v>3057</v>
      </c>
      <c r="V1524" t="s">
        <v>3056</v>
      </c>
    </row>
    <row r="1525" spans="1:22">
      <c r="A1525">
        <v>1524</v>
      </c>
      <c r="B1525" t="s">
        <v>2231</v>
      </c>
      <c r="C1525" t="s">
        <v>2232</v>
      </c>
      <c r="D1525" t="s">
        <v>7</v>
      </c>
      <c r="E1525" t="s">
        <v>8</v>
      </c>
      <c r="F1525" s="22">
        <v>120</v>
      </c>
      <c r="G1525" s="22">
        <v>0</v>
      </c>
      <c r="H1525" s="22">
        <v>0</v>
      </c>
      <c r="I1525" s="22">
        <v>120</v>
      </c>
      <c r="J1525">
        <v>0</v>
      </c>
      <c r="K1525">
        <v>0</v>
      </c>
      <c r="L1525" s="22">
        <v>120</v>
      </c>
      <c r="M1525" s="22">
        <v>0</v>
      </c>
      <c r="N1525" s="22">
        <v>0</v>
      </c>
      <c r="O1525" s="22">
        <v>120</v>
      </c>
      <c r="P1525" s="22">
        <v>100</v>
      </c>
      <c r="Q1525" s="22">
        <v>20</v>
      </c>
      <c r="R1525">
        <v>100</v>
      </c>
      <c r="T1525" t="s">
        <v>2965</v>
      </c>
      <c r="U1525" t="s">
        <v>3055</v>
      </c>
      <c r="V1525" t="s">
        <v>3056</v>
      </c>
    </row>
    <row r="1526" spans="1:22">
      <c r="A1526">
        <v>1525</v>
      </c>
      <c r="B1526" t="s">
        <v>2251</v>
      </c>
      <c r="C1526" t="s">
        <v>2252</v>
      </c>
      <c r="D1526" t="s">
        <v>7</v>
      </c>
      <c r="E1526" t="s">
        <v>8</v>
      </c>
      <c r="F1526" s="22">
        <v>1580</v>
      </c>
      <c r="G1526" s="22">
        <v>577</v>
      </c>
      <c r="H1526" s="22">
        <v>605</v>
      </c>
      <c r="I1526" s="22">
        <v>1552</v>
      </c>
      <c r="J1526">
        <v>0</v>
      </c>
      <c r="K1526">
        <v>0</v>
      </c>
      <c r="L1526" s="22">
        <v>1552</v>
      </c>
      <c r="M1526" s="22">
        <v>0</v>
      </c>
      <c r="N1526" s="22">
        <v>0</v>
      </c>
      <c r="O1526" s="22">
        <v>1552</v>
      </c>
      <c r="P1526" s="22">
        <v>1000</v>
      </c>
      <c r="Q1526" s="22">
        <v>552</v>
      </c>
      <c r="R1526">
        <v>500</v>
      </c>
      <c r="T1526" t="s">
        <v>2965</v>
      </c>
      <c r="U1526" t="s">
        <v>3055</v>
      </c>
      <c r="V1526" t="s">
        <v>3056</v>
      </c>
    </row>
    <row r="1527" spans="1:22">
      <c r="A1527">
        <v>1526</v>
      </c>
      <c r="B1527" t="s">
        <v>2379</v>
      </c>
      <c r="C1527" t="s">
        <v>2380</v>
      </c>
      <c r="D1527" t="s">
        <v>17</v>
      </c>
      <c r="E1527" t="s">
        <v>8</v>
      </c>
      <c r="F1527" s="22">
        <v>75</v>
      </c>
      <c r="G1527" s="22">
        <v>0</v>
      </c>
      <c r="H1527" s="22">
        <v>0</v>
      </c>
      <c r="I1527" s="22">
        <v>75</v>
      </c>
      <c r="J1527">
        <v>0</v>
      </c>
      <c r="K1527">
        <v>0</v>
      </c>
      <c r="L1527" s="22">
        <v>75</v>
      </c>
      <c r="M1527" s="22">
        <v>0</v>
      </c>
      <c r="N1527" s="22">
        <v>0</v>
      </c>
      <c r="O1527" s="22">
        <v>75</v>
      </c>
      <c r="P1527" s="22">
        <v>100</v>
      </c>
      <c r="Q1527" s="22">
        <v>-25</v>
      </c>
      <c r="R1527">
        <v>50</v>
      </c>
      <c r="T1527" t="s">
        <v>2972</v>
      </c>
      <c r="U1527" t="s">
        <v>3057</v>
      </c>
      <c r="V1527" t="s">
        <v>3056</v>
      </c>
    </row>
    <row r="1528" spans="1:22">
      <c r="A1528">
        <v>1527</v>
      </c>
      <c r="B1528" t="s">
        <v>2381</v>
      </c>
      <c r="C1528" t="s">
        <v>2382</v>
      </c>
      <c r="D1528" t="s">
        <v>17</v>
      </c>
      <c r="E1528" t="s">
        <v>8</v>
      </c>
      <c r="F1528" s="22">
        <v>133</v>
      </c>
      <c r="G1528" s="22">
        <v>0</v>
      </c>
      <c r="H1528" s="22">
        <v>0</v>
      </c>
      <c r="I1528" s="22">
        <v>133</v>
      </c>
      <c r="J1528">
        <v>0</v>
      </c>
      <c r="K1528">
        <v>0</v>
      </c>
      <c r="L1528" s="22">
        <v>133</v>
      </c>
      <c r="M1528" s="22">
        <v>0</v>
      </c>
      <c r="N1528" s="22">
        <v>0</v>
      </c>
      <c r="O1528" s="22">
        <v>133</v>
      </c>
      <c r="P1528" s="22">
        <v>100</v>
      </c>
      <c r="Q1528" s="22">
        <v>33</v>
      </c>
      <c r="R1528">
        <v>0</v>
      </c>
      <c r="T1528" t="s">
        <v>2972</v>
      </c>
      <c r="U1528" t="s">
        <v>3057</v>
      </c>
      <c r="V1528" t="s">
        <v>3056</v>
      </c>
    </row>
    <row r="1529" spans="1:22">
      <c r="A1529">
        <v>1528</v>
      </c>
      <c r="B1529" t="s">
        <v>2478</v>
      </c>
      <c r="C1529" t="s">
        <v>2479</v>
      </c>
      <c r="D1529" t="s">
        <v>7</v>
      </c>
      <c r="E1529" t="s">
        <v>8</v>
      </c>
      <c r="F1529" s="22">
        <v>1029</v>
      </c>
      <c r="G1529" s="22">
        <v>1244</v>
      </c>
      <c r="H1529" s="22">
        <v>1102.8</v>
      </c>
      <c r="I1529" s="22">
        <v>1170.2</v>
      </c>
      <c r="J1529">
        <v>0</v>
      </c>
      <c r="K1529">
        <v>0</v>
      </c>
      <c r="L1529" s="22">
        <v>1170.2</v>
      </c>
      <c r="M1529" s="22">
        <v>0</v>
      </c>
      <c r="N1529" s="22">
        <v>0</v>
      </c>
      <c r="O1529" s="22">
        <v>1170.2</v>
      </c>
      <c r="P1529" s="22">
        <v>1500</v>
      </c>
      <c r="Q1529" s="22">
        <v>-329.79999999999995</v>
      </c>
      <c r="R1529">
        <v>1500</v>
      </c>
      <c r="T1529" t="s">
        <v>2965</v>
      </c>
      <c r="U1529" t="s">
        <v>3055</v>
      </c>
      <c r="V1529" t="s">
        <v>3056</v>
      </c>
    </row>
    <row r="1530" spans="1:22">
      <c r="A1530">
        <v>1529</v>
      </c>
      <c r="B1530" t="s">
        <v>2455</v>
      </c>
      <c r="C1530" t="s">
        <v>2456</v>
      </c>
      <c r="D1530" t="s">
        <v>17</v>
      </c>
      <c r="E1530" t="s">
        <v>8</v>
      </c>
      <c r="F1530" s="22">
        <v>740</v>
      </c>
      <c r="G1530" s="22">
        <v>0</v>
      </c>
      <c r="H1530" s="22">
        <v>0</v>
      </c>
      <c r="I1530" s="22">
        <v>740</v>
      </c>
      <c r="J1530">
        <v>0</v>
      </c>
      <c r="K1530">
        <v>0</v>
      </c>
      <c r="L1530" s="22">
        <v>740</v>
      </c>
      <c r="M1530" s="22">
        <v>0</v>
      </c>
      <c r="N1530" s="22">
        <v>0</v>
      </c>
      <c r="O1530" s="22">
        <v>740</v>
      </c>
      <c r="P1530" s="22">
        <v>500</v>
      </c>
      <c r="Q1530" s="22">
        <v>240</v>
      </c>
      <c r="R1530">
        <v>0</v>
      </c>
      <c r="T1530" t="s">
        <v>2972</v>
      </c>
      <c r="U1530" t="s">
        <v>3057</v>
      </c>
      <c r="V1530" t="s">
        <v>3056</v>
      </c>
    </row>
    <row r="1531" spans="1:22">
      <c r="A1531">
        <v>1530</v>
      </c>
      <c r="B1531" t="s">
        <v>2573</v>
      </c>
      <c r="C1531" t="s">
        <v>2574</v>
      </c>
      <c r="D1531" t="s">
        <v>7</v>
      </c>
      <c r="E1531" t="s">
        <v>8</v>
      </c>
      <c r="F1531" s="22">
        <v>734</v>
      </c>
      <c r="G1531" s="22">
        <v>12977</v>
      </c>
      <c r="H1531" s="22">
        <v>5851</v>
      </c>
      <c r="I1531" s="22">
        <v>7860</v>
      </c>
      <c r="J1531">
        <v>1249</v>
      </c>
      <c r="K1531">
        <v>0</v>
      </c>
      <c r="L1531" s="22">
        <v>6611</v>
      </c>
      <c r="M1531" s="22">
        <v>0</v>
      </c>
      <c r="N1531" s="22">
        <v>0</v>
      </c>
      <c r="O1531" s="22">
        <v>6611</v>
      </c>
      <c r="P1531" s="22">
        <v>3500</v>
      </c>
      <c r="Q1531" s="22">
        <v>3111</v>
      </c>
      <c r="R1531">
        <v>15000</v>
      </c>
      <c r="T1531" t="s">
        <v>2965</v>
      </c>
      <c r="U1531" t="s">
        <v>3055</v>
      </c>
      <c r="V1531" t="s">
        <v>3056</v>
      </c>
    </row>
    <row r="1532" spans="1:22">
      <c r="A1532">
        <v>1531</v>
      </c>
      <c r="B1532" t="s">
        <v>2583</v>
      </c>
      <c r="C1532" t="s">
        <v>2584</v>
      </c>
      <c r="D1532" t="s">
        <v>20</v>
      </c>
      <c r="E1532" t="s">
        <v>8</v>
      </c>
      <c r="F1532" s="22">
        <v>567.4</v>
      </c>
      <c r="G1532" s="22">
        <v>6759.1</v>
      </c>
      <c r="H1532" s="22">
        <v>7326.5</v>
      </c>
      <c r="I1532" s="22">
        <v>0</v>
      </c>
      <c r="J1532">
        <v>0</v>
      </c>
      <c r="K1532">
        <v>0</v>
      </c>
      <c r="L1532" s="22">
        <v>0</v>
      </c>
      <c r="M1532" s="22">
        <v>0</v>
      </c>
      <c r="N1532" s="22">
        <v>0</v>
      </c>
      <c r="O1532" s="22">
        <v>0</v>
      </c>
      <c r="P1532" s="22">
        <v>12500</v>
      </c>
      <c r="Q1532" s="22">
        <v>-12500</v>
      </c>
      <c r="R1532">
        <v>16000</v>
      </c>
      <c r="T1532" t="s">
        <v>3000</v>
      </c>
      <c r="U1532" t="s">
        <v>3059</v>
      </c>
      <c r="V1532" t="s">
        <v>3056</v>
      </c>
    </row>
    <row r="1533" spans="1:22">
      <c r="A1533">
        <v>1532</v>
      </c>
      <c r="B1533" t="s">
        <v>2553</v>
      </c>
      <c r="C1533" t="s">
        <v>2554</v>
      </c>
      <c r="D1533" t="s">
        <v>17</v>
      </c>
      <c r="E1533" t="s">
        <v>8</v>
      </c>
      <c r="F1533" s="22">
        <v>6000</v>
      </c>
      <c r="G1533" s="22">
        <v>0</v>
      </c>
      <c r="H1533" s="22">
        <v>1000</v>
      </c>
      <c r="I1533" s="22">
        <v>5000</v>
      </c>
      <c r="J1533">
        <v>0</v>
      </c>
      <c r="K1533">
        <v>0</v>
      </c>
      <c r="L1533" s="22">
        <v>5000</v>
      </c>
      <c r="M1533" s="22">
        <v>0</v>
      </c>
      <c r="N1533" s="22">
        <v>0</v>
      </c>
      <c r="O1533" s="22">
        <v>5000</v>
      </c>
      <c r="P1533" s="22">
        <v>2500</v>
      </c>
      <c r="Q1533" s="22">
        <v>2500</v>
      </c>
      <c r="R1533">
        <v>0</v>
      </c>
      <c r="T1533" t="s">
        <v>2991</v>
      </c>
      <c r="U1533" t="s">
        <v>3057</v>
      </c>
      <c r="V1533" t="s">
        <v>3056</v>
      </c>
    </row>
    <row r="1534" spans="1:22">
      <c r="A1534">
        <v>1533</v>
      </c>
      <c r="B1534" t="s">
        <v>2767</v>
      </c>
      <c r="C1534" t="s">
        <v>2768</v>
      </c>
      <c r="D1534" t="s">
        <v>7</v>
      </c>
      <c r="E1534" t="s">
        <v>8</v>
      </c>
      <c r="F1534" s="22">
        <v>950.4</v>
      </c>
      <c r="G1534" s="22">
        <v>526</v>
      </c>
      <c r="H1534" s="22">
        <v>0</v>
      </c>
      <c r="I1534" s="22">
        <v>1476.4</v>
      </c>
      <c r="J1534">
        <v>0</v>
      </c>
      <c r="K1534">
        <v>0</v>
      </c>
      <c r="L1534" s="22">
        <v>1476.4</v>
      </c>
      <c r="M1534" s="22">
        <v>0</v>
      </c>
      <c r="N1534" s="22">
        <v>0</v>
      </c>
      <c r="O1534" s="22">
        <v>1476.4</v>
      </c>
      <c r="P1534" s="22">
        <v>500</v>
      </c>
      <c r="Q1534" s="22">
        <v>976.40000000000009</v>
      </c>
      <c r="R1534">
        <v>0</v>
      </c>
      <c r="T1534" t="s">
        <v>2965</v>
      </c>
      <c r="U1534" t="s">
        <v>3055</v>
      </c>
      <c r="V1534" t="s">
        <v>3056</v>
      </c>
    </row>
    <row r="1535" spans="1:22">
      <c r="A1535">
        <v>1534</v>
      </c>
      <c r="B1535" t="s">
        <v>2775</v>
      </c>
      <c r="C1535" t="s">
        <v>2776</v>
      </c>
      <c r="D1535" t="s">
        <v>7</v>
      </c>
      <c r="E1535" t="s">
        <v>8</v>
      </c>
      <c r="F1535" s="22">
        <v>1539.9</v>
      </c>
      <c r="G1535" s="22">
        <v>2395.1999999999998</v>
      </c>
      <c r="H1535" s="22">
        <v>2491.1</v>
      </c>
      <c r="I1535" s="22">
        <v>1444</v>
      </c>
      <c r="J1535">
        <v>0</v>
      </c>
      <c r="K1535">
        <v>0</v>
      </c>
      <c r="L1535" s="22">
        <v>1444</v>
      </c>
      <c r="M1535" s="22">
        <v>0</v>
      </c>
      <c r="N1535" s="22">
        <v>0</v>
      </c>
      <c r="O1535" s="22">
        <v>1444</v>
      </c>
      <c r="P1535" s="22">
        <v>2500</v>
      </c>
      <c r="Q1535" s="22">
        <v>-1056</v>
      </c>
      <c r="R1535">
        <v>5000</v>
      </c>
      <c r="T1535" t="s">
        <v>2965</v>
      </c>
      <c r="U1535" t="s">
        <v>3055</v>
      </c>
      <c r="V1535" t="s">
        <v>3056</v>
      </c>
    </row>
    <row r="1536" spans="1:22">
      <c r="A1536">
        <v>1535</v>
      </c>
      <c r="B1536" t="s">
        <v>2777</v>
      </c>
      <c r="C1536" t="s">
        <v>2778</v>
      </c>
      <c r="D1536" t="s">
        <v>7</v>
      </c>
      <c r="E1536" t="s">
        <v>8</v>
      </c>
      <c r="F1536" s="22">
        <v>1998.3</v>
      </c>
      <c r="G1536" s="22">
        <v>3653</v>
      </c>
      <c r="H1536" s="22">
        <v>2201.1</v>
      </c>
      <c r="I1536" s="22">
        <v>3450.2</v>
      </c>
      <c r="J1536">
        <v>0</v>
      </c>
      <c r="K1536">
        <v>0</v>
      </c>
      <c r="L1536" s="22">
        <v>3450.2</v>
      </c>
      <c r="M1536" s="22">
        <v>0</v>
      </c>
      <c r="N1536" s="22">
        <v>0</v>
      </c>
      <c r="O1536" s="22">
        <v>3450.2</v>
      </c>
      <c r="P1536" s="22">
        <v>2500</v>
      </c>
      <c r="Q1536" s="22">
        <v>950.19999999999982</v>
      </c>
      <c r="R1536">
        <v>5000</v>
      </c>
      <c r="T1536" t="s">
        <v>2965</v>
      </c>
      <c r="U1536" t="s">
        <v>3055</v>
      </c>
      <c r="V1536" t="s">
        <v>3056</v>
      </c>
    </row>
    <row r="1537" spans="1:22">
      <c r="A1537">
        <v>1536</v>
      </c>
      <c r="B1537" t="s">
        <v>2779</v>
      </c>
      <c r="C1537" t="s">
        <v>2780</v>
      </c>
      <c r="D1537" t="s">
        <v>7</v>
      </c>
      <c r="E1537" t="s">
        <v>8</v>
      </c>
      <c r="F1537" s="22">
        <v>4684</v>
      </c>
      <c r="G1537" s="22">
        <v>5629</v>
      </c>
      <c r="H1537" s="22">
        <v>3508.8</v>
      </c>
      <c r="I1537" s="22">
        <v>6804.2</v>
      </c>
      <c r="J1537">
        <v>2654</v>
      </c>
      <c r="K1537">
        <v>0</v>
      </c>
      <c r="L1537" s="22">
        <v>4150.2</v>
      </c>
      <c r="M1537" s="22">
        <v>0</v>
      </c>
      <c r="N1537" s="22">
        <v>0</v>
      </c>
      <c r="O1537" s="22">
        <v>4150.2</v>
      </c>
      <c r="P1537" s="22">
        <v>4000</v>
      </c>
      <c r="Q1537" s="22">
        <v>150.19999999999982</v>
      </c>
      <c r="R1537">
        <v>8000</v>
      </c>
      <c r="T1537" t="s">
        <v>2965</v>
      </c>
      <c r="U1537" t="s">
        <v>3055</v>
      </c>
      <c r="V1537" t="s">
        <v>3056</v>
      </c>
    </row>
    <row r="1538" spans="1:22">
      <c r="A1538">
        <v>1537</v>
      </c>
      <c r="B1538" t="s">
        <v>2781</v>
      </c>
      <c r="C1538" t="s">
        <v>2782</v>
      </c>
      <c r="D1538" t="s">
        <v>7</v>
      </c>
      <c r="E1538" t="s">
        <v>8</v>
      </c>
      <c r="F1538" s="22">
        <v>2681</v>
      </c>
      <c r="G1538" s="22">
        <v>12776.5</v>
      </c>
      <c r="H1538" s="22">
        <v>2832</v>
      </c>
      <c r="I1538" s="22">
        <v>12625.5</v>
      </c>
      <c r="J1538">
        <v>1093.5</v>
      </c>
      <c r="K1538">
        <v>0</v>
      </c>
      <c r="L1538" s="22">
        <v>11532</v>
      </c>
      <c r="M1538" s="22">
        <v>0</v>
      </c>
      <c r="N1538" s="22">
        <v>0</v>
      </c>
      <c r="O1538" s="22">
        <v>11532</v>
      </c>
      <c r="P1538" s="22">
        <v>4000</v>
      </c>
      <c r="Q1538" s="22">
        <v>7532</v>
      </c>
      <c r="R1538">
        <v>5500</v>
      </c>
      <c r="T1538" t="s">
        <v>2965</v>
      </c>
      <c r="U1538" t="s">
        <v>3055</v>
      </c>
      <c r="V1538" t="s">
        <v>3056</v>
      </c>
    </row>
    <row r="1539" spans="1:22">
      <c r="A1539">
        <v>1538</v>
      </c>
      <c r="B1539" t="s">
        <v>2571</v>
      </c>
      <c r="C1539" t="s">
        <v>2572</v>
      </c>
      <c r="D1539" t="s">
        <v>17</v>
      </c>
      <c r="E1539" t="s">
        <v>8</v>
      </c>
      <c r="F1539" s="22">
        <v>1500</v>
      </c>
      <c r="G1539" s="22">
        <v>0</v>
      </c>
      <c r="H1539" s="22">
        <v>0</v>
      </c>
      <c r="I1539" s="22">
        <v>1500</v>
      </c>
      <c r="J1539">
        <v>0</v>
      </c>
      <c r="K1539">
        <v>0</v>
      </c>
      <c r="L1539" s="22">
        <v>1500</v>
      </c>
      <c r="M1539" s="22">
        <v>0</v>
      </c>
      <c r="N1539" s="22">
        <v>0</v>
      </c>
      <c r="O1539" s="22">
        <v>1500</v>
      </c>
      <c r="P1539" s="22">
        <v>500</v>
      </c>
      <c r="Q1539" s="22">
        <v>1000</v>
      </c>
      <c r="R1539">
        <v>0</v>
      </c>
      <c r="T1539" t="s">
        <v>2972</v>
      </c>
      <c r="U1539" t="s">
        <v>3057</v>
      </c>
      <c r="V1539" t="s">
        <v>3058</v>
      </c>
    </row>
    <row r="1540" spans="1:22">
      <c r="A1540">
        <v>1543</v>
      </c>
      <c r="B1540" t="s">
        <v>2905</v>
      </c>
      <c r="C1540" t="s">
        <v>2906</v>
      </c>
      <c r="D1540" t="s">
        <v>7</v>
      </c>
      <c r="E1540" t="s">
        <v>8</v>
      </c>
      <c r="F1540" s="22">
        <v>9033</v>
      </c>
      <c r="G1540" s="22">
        <v>7607.5</v>
      </c>
      <c r="H1540" s="22">
        <v>3523.5</v>
      </c>
      <c r="I1540" s="22">
        <v>13117</v>
      </c>
      <c r="J1540">
        <v>0</v>
      </c>
      <c r="K1540">
        <v>0</v>
      </c>
      <c r="L1540" s="22">
        <v>13117</v>
      </c>
      <c r="M1540" s="22">
        <v>0</v>
      </c>
      <c r="N1540" s="22">
        <v>0</v>
      </c>
      <c r="O1540" s="22">
        <v>13117</v>
      </c>
      <c r="P1540" s="22">
        <v>5000</v>
      </c>
      <c r="Q1540" s="22">
        <v>8117</v>
      </c>
      <c r="R1540">
        <v>5000</v>
      </c>
      <c r="T1540" t="s">
        <v>2965</v>
      </c>
      <c r="U1540" t="s">
        <v>3055</v>
      </c>
      <c r="V1540" t="s">
        <v>3056</v>
      </c>
    </row>
    <row r="1541" spans="1:22">
      <c r="A1541">
        <v>1544</v>
      </c>
      <c r="B1541" t="s">
        <v>2853</v>
      </c>
      <c r="C1541" t="s">
        <v>2854</v>
      </c>
      <c r="D1541" t="s">
        <v>17</v>
      </c>
      <c r="E1541" t="s">
        <v>8</v>
      </c>
      <c r="F1541" s="22">
        <v>1000</v>
      </c>
      <c r="G1541" s="22">
        <v>0</v>
      </c>
      <c r="H1541" s="22">
        <v>100</v>
      </c>
      <c r="I1541" s="22">
        <v>900</v>
      </c>
      <c r="J1541">
        <v>0</v>
      </c>
      <c r="K1541">
        <v>0</v>
      </c>
      <c r="L1541" s="22">
        <v>900</v>
      </c>
      <c r="M1541" s="22">
        <v>0</v>
      </c>
      <c r="N1541" s="22">
        <v>0</v>
      </c>
      <c r="O1541" s="22">
        <v>900</v>
      </c>
      <c r="P1541" s="22">
        <v>700</v>
      </c>
      <c r="Q1541" s="22">
        <v>200</v>
      </c>
      <c r="R1541">
        <v>0</v>
      </c>
      <c r="T1541" t="s">
        <v>3012</v>
      </c>
      <c r="U1541" t="s">
        <v>3057</v>
      </c>
      <c r="V1541" t="s">
        <v>3056</v>
      </c>
    </row>
    <row r="1542" spans="1:22">
      <c r="A1542">
        <v>1545</v>
      </c>
      <c r="B1542" t="s">
        <v>2902</v>
      </c>
      <c r="C1542" t="s">
        <v>3275</v>
      </c>
      <c r="D1542" t="s">
        <v>17</v>
      </c>
      <c r="E1542" t="s">
        <v>8</v>
      </c>
      <c r="F1542" s="22">
        <v>3900</v>
      </c>
      <c r="G1542" s="22">
        <v>3308</v>
      </c>
      <c r="H1542" s="22">
        <v>0</v>
      </c>
      <c r="I1542" s="22">
        <v>7208</v>
      </c>
      <c r="J1542">
        <v>0</v>
      </c>
      <c r="K1542">
        <v>0</v>
      </c>
      <c r="L1542" s="22">
        <v>7208</v>
      </c>
      <c r="M1542" s="22">
        <v>0</v>
      </c>
      <c r="N1542" s="22">
        <v>0</v>
      </c>
      <c r="O1542" s="22">
        <v>7208</v>
      </c>
      <c r="P1542" s="22">
        <v>12000</v>
      </c>
      <c r="Q1542" s="22">
        <v>-4792</v>
      </c>
      <c r="R1542">
        <v>0</v>
      </c>
      <c r="T1542" t="s">
        <v>2972</v>
      </c>
      <c r="U1542" t="s">
        <v>3055</v>
      </c>
      <c r="V1542" t="s">
        <v>3056</v>
      </c>
    </row>
    <row r="1543" spans="1:22">
      <c r="A1543">
        <v>1546</v>
      </c>
      <c r="B1543" t="s">
        <v>3276</v>
      </c>
      <c r="C1543" t="s">
        <v>3277</v>
      </c>
      <c r="D1543" t="s">
        <v>7</v>
      </c>
      <c r="E1543" t="s">
        <v>8</v>
      </c>
      <c r="F1543" s="22">
        <v>66</v>
      </c>
      <c r="G1543" s="22">
        <v>0</v>
      </c>
      <c r="H1543" s="22">
        <v>0</v>
      </c>
      <c r="I1543" s="22">
        <v>66</v>
      </c>
      <c r="J1543">
        <v>0</v>
      </c>
      <c r="K1543">
        <v>0</v>
      </c>
      <c r="L1543" s="22">
        <v>66</v>
      </c>
      <c r="M1543" s="22">
        <v>0</v>
      </c>
      <c r="N1543" s="22">
        <v>0</v>
      </c>
      <c r="O1543" s="22">
        <v>66</v>
      </c>
      <c r="P1543" s="22">
        <v>1000</v>
      </c>
      <c r="Q1543" s="22">
        <v>-934</v>
      </c>
      <c r="R1543">
        <v>0</v>
      </c>
      <c r="T1543" t="s">
        <v>2965</v>
      </c>
      <c r="U1543" t="s">
        <v>3055</v>
      </c>
      <c r="V1543" t="s">
        <v>3056</v>
      </c>
    </row>
    <row r="1544" spans="1:22">
      <c r="A1544">
        <v>1547</v>
      </c>
      <c r="B1544" t="s">
        <v>3278</v>
      </c>
      <c r="C1544" t="s">
        <v>3279</v>
      </c>
      <c r="D1544" t="s">
        <v>7</v>
      </c>
      <c r="E1544" t="s">
        <v>8</v>
      </c>
      <c r="F1544" s="22">
        <v>3442.8</v>
      </c>
      <c r="G1544" s="22">
        <v>0</v>
      </c>
      <c r="H1544" s="22">
        <v>472</v>
      </c>
      <c r="I1544" s="22">
        <v>2970.8</v>
      </c>
      <c r="J1544">
        <v>0</v>
      </c>
      <c r="K1544">
        <v>0</v>
      </c>
      <c r="L1544" s="22">
        <v>2970.8</v>
      </c>
      <c r="M1544" s="22">
        <v>0</v>
      </c>
      <c r="N1544" s="22">
        <v>0</v>
      </c>
      <c r="O1544" s="22">
        <v>2970.8</v>
      </c>
      <c r="P1544" s="22">
        <v>1000</v>
      </c>
      <c r="Q1544" s="22">
        <v>1970.8000000000002</v>
      </c>
      <c r="R1544">
        <v>0</v>
      </c>
      <c r="T1544" t="s">
        <v>2965</v>
      </c>
      <c r="U1544" t="s">
        <v>3055</v>
      </c>
      <c r="V1544" t="s">
        <v>3056</v>
      </c>
    </row>
    <row r="1545" spans="1:22">
      <c r="A1545">
        <v>1548</v>
      </c>
      <c r="B1545" t="s">
        <v>2923</v>
      </c>
      <c r="C1545" t="s">
        <v>2924</v>
      </c>
      <c r="D1545" t="s">
        <v>17</v>
      </c>
      <c r="E1545" t="s">
        <v>8</v>
      </c>
      <c r="F1545" s="22">
        <v>673</v>
      </c>
      <c r="G1545" s="22">
        <v>0</v>
      </c>
      <c r="H1545" s="22">
        <v>41</v>
      </c>
      <c r="I1545" s="22">
        <v>632</v>
      </c>
      <c r="J1545">
        <v>0</v>
      </c>
      <c r="K1545">
        <v>0</v>
      </c>
      <c r="L1545" s="22">
        <v>632</v>
      </c>
      <c r="M1545" s="22">
        <v>0</v>
      </c>
      <c r="N1545" s="22">
        <v>0</v>
      </c>
      <c r="O1545" s="22">
        <v>632</v>
      </c>
      <c r="P1545" s="22">
        <v>150</v>
      </c>
      <c r="Q1545" s="22">
        <v>482</v>
      </c>
      <c r="R1545">
        <v>0</v>
      </c>
      <c r="T1545" t="s">
        <v>2991</v>
      </c>
      <c r="U1545" t="s">
        <v>3060</v>
      </c>
      <c r="V1545" t="s">
        <v>3058</v>
      </c>
    </row>
    <row r="1546" spans="1:22">
      <c r="A1546">
        <v>1549</v>
      </c>
      <c r="B1546" t="s">
        <v>3280</v>
      </c>
      <c r="C1546" t="s">
        <v>3281</v>
      </c>
      <c r="D1546" t="s">
        <v>17</v>
      </c>
      <c r="E1546" t="s">
        <v>8</v>
      </c>
      <c r="F1546" s="22">
        <v>500</v>
      </c>
      <c r="G1546" s="22">
        <v>20000</v>
      </c>
      <c r="H1546" s="22">
        <v>5049</v>
      </c>
      <c r="I1546" s="22">
        <v>15451</v>
      </c>
      <c r="J1546">
        <v>0</v>
      </c>
      <c r="K1546">
        <v>0</v>
      </c>
      <c r="L1546" s="22">
        <v>15451</v>
      </c>
      <c r="M1546" s="22">
        <v>0</v>
      </c>
      <c r="N1546" s="22">
        <v>0</v>
      </c>
      <c r="O1546" s="22">
        <v>15451</v>
      </c>
      <c r="P1546" s="22">
        <v>15000</v>
      </c>
      <c r="Q1546" s="22">
        <v>451</v>
      </c>
      <c r="R1546">
        <v>10000</v>
      </c>
      <c r="T1546" t="s">
        <v>2972</v>
      </c>
      <c r="U1546" t="s">
        <v>3057</v>
      </c>
      <c r="V1546" t="s">
        <v>3056</v>
      </c>
    </row>
    <row r="1547" spans="1:22">
      <c r="A1547">
        <v>1550</v>
      </c>
      <c r="B1547" t="s">
        <v>3282</v>
      </c>
      <c r="C1547" t="s">
        <v>3283</v>
      </c>
      <c r="D1547" t="s">
        <v>7</v>
      </c>
      <c r="E1547" t="s">
        <v>8</v>
      </c>
      <c r="F1547" s="22">
        <v>4100</v>
      </c>
      <c r="G1547" s="22">
        <v>0</v>
      </c>
      <c r="H1547" s="22">
        <v>0</v>
      </c>
      <c r="I1547" s="22">
        <v>4100</v>
      </c>
      <c r="J1547">
        <v>0</v>
      </c>
      <c r="K1547">
        <v>0</v>
      </c>
      <c r="L1547" s="22">
        <v>4100</v>
      </c>
      <c r="M1547" s="22">
        <v>0</v>
      </c>
      <c r="N1547" s="22">
        <v>0</v>
      </c>
      <c r="O1547" s="22">
        <v>4100</v>
      </c>
      <c r="P1547" s="22">
        <v>7200</v>
      </c>
      <c r="Q1547" s="22">
        <v>-3100</v>
      </c>
      <c r="R1547">
        <v>10000</v>
      </c>
      <c r="T1547" t="s">
        <v>2972</v>
      </c>
      <c r="U1547" t="s">
        <v>3057</v>
      </c>
      <c r="V1547" t="s">
        <v>3056</v>
      </c>
    </row>
    <row r="1548" spans="1:22">
      <c r="A1548">
        <v>1551</v>
      </c>
      <c r="B1548" t="s">
        <v>3284</v>
      </c>
      <c r="C1548" t="s">
        <v>3285</v>
      </c>
      <c r="D1548" t="s">
        <v>7</v>
      </c>
      <c r="E1548" t="s">
        <v>8</v>
      </c>
      <c r="F1548" s="22">
        <v>1200</v>
      </c>
      <c r="G1548" s="22">
        <v>0</v>
      </c>
      <c r="H1548" s="22">
        <v>0</v>
      </c>
      <c r="I1548" s="22">
        <v>1200</v>
      </c>
      <c r="J1548">
        <v>0</v>
      </c>
      <c r="K1548">
        <v>0</v>
      </c>
      <c r="L1548" s="22">
        <v>1200</v>
      </c>
      <c r="M1548" s="22">
        <v>0</v>
      </c>
      <c r="N1548" s="22">
        <v>0</v>
      </c>
      <c r="O1548" s="22">
        <v>1200</v>
      </c>
      <c r="P1548" s="22">
        <v>7200</v>
      </c>
      <c r="Q1548" s="22">
        <v>-6000</v>
      </c>
      <c r="R1548">
        <v>10000</v>
      </c>
      <c r="T1548" t="s">
        <v>2972</v>
      </c>
      <c r="U1548" t="s">
        <v>3057</v>
      </c>
      <c r="V1548" t="s">
        <v>3056</v>
      </c>
    </row>
    <row r="1549" spans="1:22">
      <c r="A1549">
        <v>1552</v>
      </c>
      <c r="B1549" t="s">
        <v>3286</v>
      </c>
      <c r="C1549" t="s">
        <v>3287</v>
      </c>
      <c r="D1549" t="s">
        <v>7</v>
      </c>
      <c r="E1549" t="s">
        <v>8</v>
      </c>
      <c r="F1549" s="22">
        <v>400</v>
      </c>
      <c r="G1549" s="22">
        <v>0</v>
      </c>
      <c r="H1549" s="22">
        <v>0</v>
      </c>
      <c r="I1549" s="22">
        <v>400</v>
      </c>
      <c r="J1549">
        <v>0</v>
      </c>
      <c r="K1549">
        <v>0</v>
      </c>
      <c r="L1549" s="22">
        <v>400</v>
      </c>
      <c r="M1549" s="22">
        <v>0</v>
      </c>
      <c r="N1549" s="22">
        <v>0</v>
      </c>
      <c r="O1549" s="22">
        <v>400</v>
      </c>
      <c r="P1549" s="22">
        <v>7200</v>
      </c>
      <c r="Q1549" s="22">
        <v>-6800</v>
      </c>
      <c r="R1549">
        <v>10000</v>
      </c>
      <c r="T1549" t="s">
        <v>2972</v>
      </c>
      <c r="U1549" t="s">
        <v>3057</v>
      </c>
      <c r="V1549" t="s">
        <v>3056</v>
      </c>
    </row>
    <row r="1550" spans="1:22">
      <c r="A1550">
        <v>1553</v>
      </c>
      <c r="B1550" t="s">
        <v>3288</v>
      </c>
      <c r="C1550" t="s">
        <v>3289</v>
      </c>
      <c r="D1550" t="s">
        <v>7</v>
      </c>
      <c r="E1550" t="s">
        <v>8</v>
      </c>
      <c r="F1550" s="22">
        <v>1100</v>
      </c>
      <c r="G1550" s="22">
        <v>0</v>
      </c>
      <c r="H1550" s="22">
        <v>0</v>
      </c>
      <c r="I1550" s="22">
        <v>1100</v>
      </c>
      <c r="J1550">
        <v>0</v>
      </c>
      <c r="K1550">
        <v>0</v>
      </c>
      <c r="L1550" s="22">
        <v>1100</v>
      </c>
      <c r="M1550" s="22">
        <v>0</v>
      </c>
      <c r="N1550" s="22">
        <v>0</v>
      </c>
      <c r="O1550" s="22">
        <v>1100</v>
      </c>
      <c r="P1550" s="22">
        <v>7200</v>
      </c>
      <c r="Q1550" s="22">
        <v>-6100</v>
      </c>
      <c r="R1550">
        <v>10000</v>
      </c>
      <c r="T1550" t="s">
        <v>2972</v>
      </c>
      <c r="U1550" t="s">
        <v>3057</v>
      </c>
      <c r="V1550" t="s">
        <v>3056</v>
      </c>
    </row>
    <row r="1551" spans="1:22">
      <c r="A1551">
        <v>1554</v>
      </c>
      <c r="B1551" t="s">
        <v>3290</v>
      </c>
      <c r="C1551" t="s">
        <v>3291</v>
      </c>
      <c r="D1551" t="s">
        <v>7</v>
      </c>
      <c r="E1551" t="s">
        <v>8</v>
      </c>
      <c r="F1551" s="22">
        <v>1000</v>
      </c>
      <c r="G1551" s="22">
        <v>0</v>
      </c>
      <c r="H1551" s="22">
        <v>0</v>
      </c>
      <c r="I1551" s="22">
        <v>1000</v>
      </c>
      <c r="J1551">
        <v>0</v>
      </c>
      <c r="K1551">
        <v>0</v>
      </c>
      <c r="L1551" s="22">
        <v>1000</v>
      </c>
      <c r="M1551" s="22">
        <v>0</v>
      </c>
      <c r="N1551" s="22">
        <v>0</v>
      </c>
      <c r="O1551" s="22">
        <v>1000</v>
      </c>
      <c r="P1551" s="22">
        <v>7200</v>
      </c>
      <c r="Q1551" s="22">
        <v>-6200</v>
      </c>
      <c r="R1551">
        <v>10000</v>
      </c>
      <c r="T1551" t="s">
        <v>2972</v>
      </c>
      <c r="U1551" t="s">
        <v>3057</v>
      </c>
      <c r="V1551" t="s">
        <v>3056</v>
      </c>
    </row>
    <row r="1552" spans="1:22">
      <c r="A1552">
        <v>1555</v>
      </c>
      <c r="B1552" t="s">
        <v>3292</v>
      </c>
      <c r="C1552" t="s">
        <v>3293</v>
      </c>
      <c r="D1552" t="s">
        <v>20</v>
      </c>
      <c r="E1552" t="s">
        <v>8</v>
      </c>
      <c r="F1552" s="22">
        <v>586.1</v>
      </c>
      <c r="G1552" s="22">
        <v>837.1</v>
      </c>
      <c r="H1552" s="22">
        <v>405.3</v>
      </c>
      <c r="I1552" s="22">
        <v>1017.9</v>
      </c>
      <c r="J1552">
        <v>0</v>
      </c>
      <c r="K1552">
        <v>0</v>
      </c>
      <c r="L1552" s="22">
        <v>1017.9</v>
      </c>
      <c r="M1552" s="22">
        <v>0</v>
      </c>
      <c r="N1552" s="22">
        <v>0</v>
      </c>
      <c r="O1552" s="22">
        <v>1017.9</v>
      </c>
      <c r="P1552" s="22">
        <v>600</v>
      </c>
      <c r="Q1552" s="22">
        <v>417.9</v>
      </c>
      <c r="R1552">
        <v>750</v>
      </c>
      <c r="T1552" t="s">
        <v>2972</v>
      </c>
      <c r="U1552" t="s">
        <v>3057</v>
      </c>
      <c r="V1552" t="s">
        <v>3056</v>
      </c>
    </row>
    <row r="1553" spans="1:22">
      <c r="A1553">
        <v>1556</v>
      </c>
      <c r="B1553" t="s">
        <v>3294</v>
      </c>
      <c r="C1553" t="s">
        <v>3295</v>
      </c>
      <c r="D1553" t="s">
        <v>17</v>
      </c>
      <c r="E1553" t="s">
        <v>8</v>
      </c>
      <c r="F1553" s="22">
        <v>18000</v>
      </c>
      <c r="G1553" s="22">
        <v>0</v>
      </c>
      <c r="H1553" s="22">
        <v>8500</v>
      </c>
      <c r="I1553" s="22">
        <v>9500</v>
      </c>
      <c r="J1553">
        <v>0</v>
      </c>
      <c r="K1553">
        <v>0</v>
      </c>
      <c r="L1553" s="22">
        <v>9500</v>
      </c>
      <c r="M1553" s="22">
        <v>0</v>
      </c>
      <c r="N1553" s="22">
        <v>0</v>
      </c>
      <c r="O1553" s="22">
        <v>9500</v>
      </c>
      <c r="P1553" s="22">
        <v>12000</v>
      </c>
      <c r="Q1553" s="22">
        <v>-2500</v>
      </c>
      <c r="R1553">
        <v>0</v>
      </c>
      <c r="T1553" t="s">
        <v>2972</v>
      </c>
      <c r="U1553" t="s">
        <v>3055</v>
      </c>
      <c r="V1553" t="s">
        <v>3056</v>
      </c>
    </row>
    <row r="1554" spans="1:22">
      <c r="A1554">
        <v>1557</v>
      </c>
      <c r="B1554" t="s">
        <v>3296</v>
      </c>
      <c r="C1554" t="s">
        <v>3297</v>
      </c>
      <c r="D1554" t="s">
        <v>17</v>
      </c>
      <c r="E1554" t="s">
        <v>8</v>
      </c>
      <c r="F1554" s="22">
        <v>114</v>
      </c>
      <c r="G1554" s="22">
        <v>0</v>
      </c>
      <c r="H1554" s="22">
        <v>50</v>
      </c>
      <c r="I1554" s="22">
        <v>64</v>
      </c>
      <c r="J1554">
        <v>0</v>
      </c>
      <c r="K1554">
        <v>0</v>
      </c>
      <c r="L1554" s="22">
        <v>64</v>
      </c>
      <c r="M1554" s="22">
        <v>0</v>
      </c>
      <c r="N1554" s="22">
        <v>0</v>
      </c>
      <c r="O1554" s="22">
        <v>64</v>
      </c>
      <c r="P1554" s="22">
        <v>500</v>
      </c>
      <c r="Q1554" s="22">
        <v>-436</v>
      </c>
      <c r="R1554">
        <v>100</v>
      </c>
      <c r="T1554" t="s">
        <v>2972</v>
      </c>
      <c r="U1554" t="s">
        <v>3055</v>
      </c>
      <c r="V1554" t="s">
        <v>3056</v>
      </c>
    </row>
    <row r="1555" spans="1:22">
      <c r="A1555">
        <v>1558</v>
      </c>
      <c r="B1555" t="s">
        <v>3298</v>
      </c>
      <c r="C1555" t="s">
        <v>3299</v>
      </c>
      <c r="D1555" t="s">
        <v>17</v>
      </c>
      <c r="E1555" t="s">
        <v>8</v>
      </c>
      <c r="F1555" s="22">
        <v>0</v>
      </c>
      <c r="G1555" s="22">
        <v>0</v>
      </c>
      <c r="H1555" s="22">
        <v>0</v>
      </c>
      <c r="I1555" s="22">
        <v>0</v>
      </c>
      <c r="J1555">
        <v>0</v>
      </c>
      <c r="K1555">
        <v>0</v>
      </c>
      <c r="L1555" s="22">
        <v>0</v>
      </c>
      <c r="M1555" s="22">
        <v>0</v>
      </c>
      <c r="N1555" s="22">
        <v>0</v>
      </c>
      <c r="O1555" s="22">
        <v>0</v>
      </c>
      <c r="P1555" s="22">
        <v>0</v>
      </c>
      <c r="Q1555" s="22">
        <v>0</v>
      </c>
      <c r="R1555">
        <v>0</v>
      </c>
      <c r="T1555" t="s">
        <v>2972</v>
      </c>
      <c r="U1555" t="s">
        <v>3057</v>
      </c>
      <c r="V1555" t="s">
        <v>3056</v>
      </c>
    </row>
    <row r="1556" spans="1:22">
      <c r="A1556">
        <v>1559</v>
      </c>
      <c r="B1556" t="s">
        <v>3300</v>
      </c>
      <c r="C1556" t="s">
        <v>3301</v>
      </c>
      <c r="D1556" t="s">
        <v>17</v>
      </c>
      <c r="E1556" t="s">
        <v>8</v>
      </c>
      <c r="F1556" s="22">
        <v>300</v>
      </c>
      <c r="G1556" s="22">
        <v>0</v>
      </c>
      <c r="H1556" s="22">
        <v>0</v>
      </c>
      <c r="I1556" s="22">
        <v>300</v>
      </c>
      <c r="J1556">
        <v>0</v>
      </c>
      <c r="K1556">
        <v>0</v>
      </c>
      <c r="L1556" s="22">
        <v>300</v>
      </c>
      <c r="M1556" s="22">
        <v>0</v>
      </c>
      <c r="N1556" s="22">
        <v>0</v>
      </c>
      <c r="O1556" s="22">
        <v>300</v>
      </c>
      <c r="P1556" s="22">
        <v>0</v>
      </c>
      <c r="Q1556" s="22">
        <v>300</v>
      </c>
      <c r="R1556">
        <v>0</v>
      </c>
      <c r="T1556" t="s">
        <v>2972</v>
      </c>
      <c r="U1556" t="s">
        <v>3057</v>
      </c>
      <c r="V1556" t="s">
        <v>3056</v>
      </c>
    </row>
    <row r="1557" spans="1:22">
      <c r="A1557">
        <v>1560</v>
      </c>
      <c r="B1557" t="s">
        <v>3302</v>
      </c>
      <c r="C1557" t="s">
        <v>3303</v>
      </c>
      <c r="D1557" t="s">
        <v>7</v>
      </c>
      <c r="E1557" t="s">
        <v>8</v>
      </c>
      <c r="F1557" s="22">
        <v>600</v>
      </c>
      <c r="G1557" s="22">
        <v>0</v>
      </c>
      <c r="H1557" s="22">
        <v>300</v>
      </c>
      <c r="I1557" s="22">
        <v>300</v>
      </c>
      <c r="J1557">
        <v>0</v>
      </c>
      <c r="K1557">
        <v>0</v>
      </c>
      <c r="L1557" s="22">
        <v>300</v>
      </c>
      <c r="M1557" s="22">
        <v>0</v>
      </c>
      <c r="N1557" s="22">
        <v>0</v>
      </c>
      <c r="O1557" s="22">
        <v>300</v>
      </c>
      <c r="P1557" s="22">
        <v>500</v>
      </c>
      <c r="Q1557" s="22">
        <v>-200</v>
      </c>
      <c r="R1557">
        <v>0</v>
      </c>
      <c r="T1557" t="s">
        <v>2991</v>
      </c>
      <c r="U1557" t="s">
        <v>3057</v>
      </c>
      <c r="V1557" t="s">
        <v>3056</v>
      </c>
    </row>
    <row r="1558" spans="1:22">
      <c r="A1558">
        <v>1561</v>
      </c>
      <c r="B1558" t="s">
        <v>3304</v>
      </c>
      <c r="C1558" t="s">
        <v>3305</v>
      </c>
      <c r="D1558" t="s">
        <v>17</v>
      </c>
      <c r="E1558" t="s">
        <v>8</v>
      </c>
      <c r="F1558" s="22">
        <v>25917</v>
      </c>
      <c r="G1558" s="22">
        <v>0</v>
      </c>
      <c r="H1558" s="22">
        <v>0</v>
      </c>
      <c r="I1558" s="22">
        <v>25917</v>
      </c>
      <c r="J1558">
        <v>0</v>
      </c>
      <c r="K1558">
        <v>0</v>
      </c>
      <c r="L1558" s="22">
        <v>25917</v>
      </c>
      <c r="M1558" s="22">
        <v>0</v>
      </c>
      <c r="N1558" s="22">
        <v>0</v>
      </c>
      <c r="O1558" s="22">
        <v>25917</v>
      </c>
      <c r="P1558" s="22">
        <v>10000</v>
      </c>
      <c r="Q1558" s="22">
        <v>15917</v>
      </c>
      <c r="R1558">
        <v>0</v>
      </c>
      <c r="T1558" t="s">
        <v>2972</v>
      </c>
      <c r="U1558" t="s">
        <v>3055</v>
      </c>
      <c r="V1558" t="s">
        <v>3056</v>
      </c>
    </row>
    <row r="1559" spans="1:22">
      <c r="A1559">
        <v>1562</v>
      </c>
      <c r="B1559" t="s">
        <v>3306</v>
      </c>
      <c r="C1559" t="s">
        <v>3307</v>
      </c>
      <c r="D1559" t="s">
        <v>17</v>
      </c>
      <c r="E1559" t="s">
        <v>8</v>
      </c>
      <c r="F1559" s="22">
        <v>8041</v>
      </c>
      <c r="G1559" s="22">
        <v>8241</v>
      </c>
      <c r="H1559" s="22">
        <v>3591</v>
      </c>
      <c r="I1559" s="22">
        <v>12691</v>
      </c>
      <c r="J1559">
        <v>0</v>
      </c>
      <c r="K1559">
        <v>0</v>
      </c>
      <c r="L1559" s="22">
        <v>12691</v>
      </c>
      <c r="M1559" s="22">
        <v>2350</v>
      </c>
      <c r="N1559" s="22">
        <v>0</v>
      </c>
      <c r="O1559" s="22">
        <v>15041</v>
      </c>
      <c r="P1559" s="22">
        <v>5000</v>
      </c>
      <c r="Q1559" s="22">
        <v>10041</v>
      </c>
      <c r="R1559">
        <v>10000</v>
      </c>
      <c r="T1559" t="s">
        <v>2972</v>
      </c>
      <c r="U1559" t="s">
        <v>3055</v>
      </c>
      <c r="V1559" t="s">
        <v>3056</v>
      </c>
    </row>
    <row r="1560" spans="1:22">
      <c r="A1560">
        <v>1563</v>
      </c>
      <c r="B1560" t="s">
        <v>3308</v>
      </c>
      <c r="C1560" t="s">
        <v>3309</v>
      </c>
      <c r="D1560" t="s">
        <v>17</v>
      </c>
      <c r="E1560" t="s">
        <v>8</v>
      </c>
      <c r="F1560" s="22">
        <v>1400</v>
      </c>
      <c r="G1560" s="22">
        <v>0</v>
      </c>
      <c r="H1560" s="22">
        <v>100</v>
      </c>
      <c r="I1560" s="22">
        <v>1300</v>
      </c>
      <c r="J1560">
        <v>0</v>
      </c>
      <c r="K1560">
        <v>0</v>
      </c>
      <c r="L1560" s="22">
        <v>1300</v>
      </c>
      <c r="M1560" s="22">
        <v>0</v>
      </c>
      <c r="N1560" s="22">
        <v>0</v>
      </c>
      <c r="O1560" s="22">
        <v>1300</v>
      </c>
      <c r="P1560" s="22">
        <v>500</v>
      </c>
      <c r="Q1560" s="22">
        <v>800</v>
      </c>
      <c r="R1560">
        <v>0</v>
      </c>
      <c r="T1560" t="s">
        <v>2972</v>
      </c>
      <c r="U1560" t="s">
        <v>3055</v>
      </c>
      <c r="V1560" t="s">
        <v>3056</v>
      </c>
    </row>
    <row r="1561" spans="1:22">
      <c r="A1561">
        <v>1564</v>
      </c>
      <c r="B1561" t="s">
        <v>3310</v>
      </c>
      <c r="C1561" t="s">
        <v>3311</v>
      </c>
      <c r="D1561" t="s">
        <v>17</v>
      </c>
      <c r="E1561" t="s">
        <v>8</v>
      </c>
      <c r="F1561" s="22">
        <v>2459</v>
      </c>
      <c r="G1561" s="22">
        <v>0</v>
      </c>
      <c r="H1561" s="22">
        <v>159</v>
      </c>
      <c r="I1561" s="22">
        <v>2300</v>
      </c>
      <c r="J1561">
        <v>0</v>
      </c>
      <c r="K1561">
        <v>0</v>
      </c>
      <c r="L1561" s="22">
        <v>2300</v>
      </c>
      <c r="M1561" s="22">
        <v>0</v>
      </c>
      <c r="N1561" s="22">
        <v>0</v>
      </c>
      <c r="O1561" s="22">
        <v>2300</v>
      </c>
      <c r="P1561" s="22">
        <v>500</v>
      </c>
      <c r="Q1561" s="22">
        <v>1800</v>
      </c>
      <c r="R1561">
        <v>0</v>
      </c>
      <c r="T1561" t="s">
        <v>2972</v>
      </c>
      <c r="U1561" t="s">
        <v>3055</v>
      </c>
      <c r="V1561" t="s">
        <v>3056</v>
      </c>
    </row>
    <row r="1562" spans="1:22">
      <c r="A1562">
        <v>1565</v>
      </c>
      <c r="B1562" t="s">
        <v>3312</v>
      </c>
      <c r="C1562" t="s">
        <v>3313</v>
      </c>
      <c r="D1562" t="s">
        <v>17</v>
      </c>
      <c r="E1562" t="s">
        <v>8</v>
      </c>
      <c r="F1562" s="22">
        <v>705</v>
      </c>
      <c r="G1562" s="22">
        <v>0</v>
      </c>
      <c r="H1562" s="22">
        <v>0</v>
      </c>
      <c r="I1562" s="22">
        <v>705</v>
      </c>
      <c r="J1562">
        <v>0</v>
      </c>
      <c r="K1562">
        <v>0</v>
      </c>
      <c r="L1562" s="22">
        <v>705</v>
      </c>
      <c r="M1562" s="22">
        <v>0</v>
      </c>
      <c r="N1562" s="22">
        <v>0</v>
      </c>
      <c r="O1562" s="22">
        <v>705</v>
      </c>
      <c r="P1562" s="22">
        <v>500</v>
      </c>
      <c r="Q1562" s="22">
        <v>205</v>
      </c>
      <c r="R1562">
        <v>0</v>
      </c>
      <c r="T1562" t="s">
        <v>2972</v>
      </c>
      <c r="U1562" t="s">
        <v>3055</v>
      </c>
      <c r="V1562" t="s">
        <v>3056</v>
      </c>
    </row>
    <row r="1563" spans="1:22">
      <c r="A1563">
        <v>1566</v>
      </c>
      <c r="B1563" t="s">
        <v>3314</v>
      </c>
      <c r="C1563" t="s">
        <v>3315</v>
      </c>
      <c r="D1563" t="s">
        <v>17</v>
      </c>
      <c r="E1563" t="s">
        <v>8</v>
      </c>
      <c r="F1563" s="22">
        <v>552</v>
      </c>
      <c r="G1563" s="22">
        <v>0</v>
      </c>
      <c r="H1563" s="22">
        <v>0</v>
      </c>
      <c r="I1563" s="22">
        <v>552</v>
      </c>
      <c r="J1563">
        <v>0</v>
      </c>
      <c r="K1563">
        <v>0</v>
      </c>
      <c r="L1563" s="22">
        <v>552</v>
      </c>
      <c r="M1563" s="22">
        <v>0</v>
      </c>
      <c r="N1563" s="22">
        <v>0</v>
      </c>
      <c r="O1563" s="22">
        <v>552</v>
      </c>
      <c r="P1563" s="22">
        <v>200</v>
      </c>
      <c r="Q1563" s="22">
        <v>352</v>
      </c>
      <c r="R1563">
        <v>0</v>
      </c>
      <c r="T1563" t="s">
        <v>2972</v>
      </c>
      <c r="U1563" t="s">
        <v>3055</v>
      </c>
      <c r="V1563" t="s">
        <v>3056</v>
      </c>
    </row>
    <row r="1564" spans="1:22">
      <c r="A1564">
        <v>1567</v>
      </c>
      <c r="B1564" t="s">
        <v>3316</v>
      </c>
      <c r="C1564" t="s">
        <v>3317</v>
      </c>
      <c r="D1564" t="s">
        <v>17</v>
      </c>
      <c r="E1564" t="s">
        <v>8</v>
      </c>
      <c r="F1564" s="22">
        <v>3956</v>
      </c>
      <c r="G1564" s="22">
        <v>106</v>
      </c>
      <c r="H1564" s="22">
        <v>0</v>
      </c>
      <c r="I1564" s="22">
        <v>4062</v>
      </c>
      <c r="J1564">
        <v>0</v>
      </c>
      <c r="K1564">
        <v>0</v>
      </c>
      <c r="L1564" s="22">
        <v>4062</v>
      </c>
      <c r="M1564" s="22">
        <v>0</v>
      </c>
      <c r="N1564" s="22">
        <v>0</v>
      </c>
      <c r="O1564" s="22">
        <v>4062</v>
      </c>
      <c r="P1564" s="22">
        <v>500</v>
      </c>
      <c r="Q1564" s="22">
        <v>3562</v>
      </c>
      <c r="R1564">
        <v>0</v>
      </c>
      <c r="T1564" t="s">
        <v>2972</v>
      </c>
      <c r="U1564" t="s">
        <v>3055</v>
      </c>
      <c r="V1564" t="s">
        <v>3056</v>
      </c>
    </row>
    <row r="1565" spans="1:22">
      <c r="A1565">
        <v>1568</v>
      </c>
      <c r="B1565" t="s">
        <v>3318</v>
      </c>
      <c r="C1565" t="s">
        <v>3319</v>
      </c>
      <c r="D1565" t="s">
        <v>17</v>
      </c>
      <c r="E1565" t="s">
        <v>8</v>
      </c>
      <c r="F1565" s="22">
        <v>2655</v>
      </c>
      <c r="G1565" s="22">
        <v>0</v>
      </c>
      <c r="H1565" s="22">
        <v>0</v>
      </c>
      <c r="I1565" s="22">
        <v>2655</v>
      </c>
      <c r="J1565">
        <v>0</v>
      </c>
      <c r="K1565">
        <v>0</v>
      </c>
      <c r="L1565" s="22">
        <v>2655</v>
      </c>
      <c r="M1565" s="22">
        <v>0</v>
      </c>
      <c r="N1565" s="22">
        <v>0</v>
      </c>
      <c r="O1565" s="22">
        <v>2655</v>
      </c>
      <c r="P1565" s="22">
        <v>500</v>
      </c>
      <c r="Q1565" s="22">
        <v>2155</v>
      </c>
      <c r="R1565">
        <v>0</v>
      </c>
      <c r="T1565" t="s">
        <v>2972</v>
      </c>
      <c r="U1565" t="s">
        <v>3055</v>
      </c>
      <c r="V1565" t="s">
        <v>3056</v>
      </c>
    </row>
    <row r="1566" spans="1:22">
      <c r="A1566">
        <v>1569</v>
      </c>
      <c r="B1566" t="s">
        <v>3320</v>
      </c>
      <c r="C1566" t="s">
        <v>3321</v>
      </c>
      <c r="D1566" t="s">
        <v>17</v>
      </c>
      <c r="E1566" t="s">
        <v>8</v>
      </c>
      <c r="F1566" s="22">
        <v>3027</v>
      </c>
      <c r="G1566" s="22">
        <v>204</v>
      </c>
      <c r="H1566" s="22">
        <v>100</v>
      </c>
      <c r="I1566" s="22">
        <v>3131</v>
      </c>
      <c r="J1566">
        <v>0</v>
      </c>
      <c r="K1566">
        <v>0</v>
      </c>
      <c r="L1566" s="22">
        <v>3131</v>
      </c>
      <c r="M1566" s="22">
        <v>0</v>
      </c>
      <c r="N1566" s="22">
        <v>0</v>
      </c>
      <c r="O1566" s="22">
        <v>3131</v>
      </c>
      <c r="P1566" s="22">
        <v>500</v>
      </c>
      <c r="Q1566" s="22">
        <v>2631</v>
      </c>
      <c r="R1566">
        <v>0</v>
      </c>
      <c r="T1566" t="s">
        <v>2972</v>
      </c>
      <c r="U1566" t="s">
        <v>3055</v>
      </c>
      <c r="V1566" t="s">
        <v>3056</v>
      </c>
    </row>
    <row r="1567" spans="1:22">
      <c r="A1567">
        <v>1570</v>
      </c>
      <c r="B1567" t="s">
        <v>3322</v>
      </c>
      <c r="C1567" t="s">
        <v>3323</v>
      </c>
      <c r="D1567" t="s">
        <v>17</v>
      </c>
      <c r="E1567" t="s">
        <v>8</v>
      </c>
      <c r="F1567" s="22">
        <v>2916</v>
      </c>
      <c r="G1567" s="22">
        <v>0</v>
      </c>
      <c r="H1567" s="22">
        <v>600</v>
      </c>
      <c r="I1567" s="22">
        <v>2316</v>
      </c>
      <c r="J1567">
        <v>0</v>
      </c>
      <c r="K1567">
        <v>0</v>
      </c>
      <c r="L1567" s="22">
        <v>2316</v>
      </c>
      <c r="M1567" s="22">
        <v>0</v>
      </c>
      <c r="N1567" s="22">
        <v>0</v>
      </c>
      <c r="O1567" s="22">
        <v>2316</v>
      </c>
      <c r="P1567" s="22">
        <v>1000</v>
      </c>
      <c r="Q1567" s="22">
        <v>1316</v>
      </c>
      <c r="R1567">
        <v>0</v>
      </c>
      <c r="T1567" t="s">
        <v>2972</v>
      </c>
      <c r="U1567" t="s">
        <v>3055</v>
      </c>
      <c r="V1567" t="s">
        <v>3056</v>
      </c>
    </row>
    <row r="1568" spans="1:22">
      <c r="A1568">
        <v>1571</v>
      </c>
      <c r="B1568" t="s">
        <v>3324</v>
      </c>
      <c r="C1568" t="s">
        <v>3325</v>
      </c>
      <c r="D1568" t="s">
        <v>17</v>
      </c>
      <c r="E1568" t="s">
        <v>8</v>
      </c>
      <c r="F1568" s="22">
        <v>1092</v>
      </c>
      <c r="G1568" s="22">
        <v>0</v>
      </c>
      <c r="H1568" s="22">
        <v>0</v>
      </c>
      <c r="I1568" s="22">
        <v>1092</v>
      </c>
      <c r="J1568">
        <v>0</v>
      </c>
      <c r="K1568">
        <v>0</v>
      </c>
      <c r="L1568" s="22">
        <v>1092</v>
      </c>
      <c r="M1568" s="22">
        <v>0</v>
      </c>
      <c r="N1568" s="22">
        <v>0</v>
      </c>
      <c r="O1568" s="22">
        <v>1092</v>
      </c>
      <c r="P1568" s="22">
        <v>250</v>
      </c>
      <c r="Q1568" s="22">
        <v>842</v>
      </c>
      <c r="R1568">
        <v>0</v>
      </c>
      <c r="T1568" t="s">
        <v>2972</v>
      </c>
      <c r="U1568" t="s">
        <v>3055</v>
      </c>
      <c r="V1568" t="s">
        <v>3056</v>
      </c>
    </row>
    <row r="1569" spans="1:22">
      <c r="A1569">
        <v>1572</v>
      </c>
      <c r="B1569" t="s">
        <v>3326</v>
      </c>
      <c r="C1569" t="s">
        <v>3327</v>
      </c>
      <c r="D1569" t="s">
        <v>17</v>
      </c>
      <c r="E1569" t="s">
        <v>8</v>
      </c>
      <c r="F1569" s="22">
        <v>8081</v>
      </c>
      <c r="G1569" s="22">
        <v>1130</v>
      </c>
      <c r="H1569" s="22">
        <v>1904</v>
      </c>
      <c r="I1569" s="22">
        <v>7307</v>
      </c>
      <c r="J1569">
        <v>0</v>
      </c>
      <c r="K1569">
        <v>0</v>
      </c>
      <c r="L1569" s="22">
        <v>7307</v>
      </c>
      <c r="M1569" s="22">
        <v>1172</v>
      </c>
      <c r="N1569" s="22">
        <v>0</v>
      </c>
      <c r="O1569" s="22">
        <v>8479</v>
      </c>
      <c r="P1569" s="22">
        <v>2000</v>
      </c>
      <c r="Q1569" s="22">
        <v>6479</v>
      </c>
      <c r="R1569">
        <v>5000</v>
      </c>
      <c r="T1569" t="s">
        <v>2972</v>
      </c>
      <c r="U1569" t="s">
        <v>3055</v>
      </c>
      <c r="V1569" t="s">
        <v>3056</v>
      </c>
    </row>
    <row r="1570" spans="1:22">
      <c r="A1570">
        <v>1573</v>
      </c>
      <c r="B1570" t="s">
        <v>3328</v>
      </c>
      <c r="C1570" t="s">
        <v>3329</v>
      </c>
      <c r="D1570" t="s">
        <v>17</v>
      </c>
      <c r="E1570" t="s">
        <v>8</v>
      </c>
      <c r="F1570" s="22">
        <v>1211</v>
      </c>
      <c r="G1570" s="22">
        <v>0</v>
      </c>
      <c r="H1570" s="22">
        <v>0</v>
      </c>
      <c r="I1570" s="22">
        <v>1211</v>
      </c>
      <c r="J1570">
        <v>0</v>
      </c>
      <c r="K1570">
        <v>0</v>
      </c>
      <c r="L1570" s="22">
        <v>1211</v>
      </c>
      <c r="M1570" s="22">
        <v>0</v>
      </c>
      <c r="N1570" s="22">
        <v>0</v>
      </c>
      <c r="O1570" s="22">
        <v>1211</v>
      </c>
      <c r="P1570" s="22">
        <v>250</v>
      </c>
      <c r="Q1570" s="22">
        <v>961</v>
      </c>
      <c r="R1570">
        <v>0</v>
      </c>
      <c r="T1570" t="s">
        <v>2972</v>
      </c>
      <c r="U1570" t="s">
        <v>3055</v>
      </c>
      <c r="V1570" t="s">
        <v>3056</v>
      </c>
    </row>
    <row r="1571" spans="1:22">
      <c r="A1571">
        <v>1574</v>
      </c>
      <c r="B1571" t="s">
        <v>3330</v>
      </c>
      <c r="C1571" t="s">
        <v>3331</v>
      </c>
      <c r="D1571" t="s">
        <v>17</v>
      </c>
      <c r="E1571" t="s">
        <v>8</v>
      </c>
      <c r="F1571" s="22">
        <v>1631</v>
      </c>
      <c r="G1571" s="22">
        <v>0</v>
      </c>
      <c r="H1571" s="22">
        <v>100</v>
      </c>
      <c r="I1571" s="22">
        <v>1531</v>
      </c>
      <c r="J1571">
        <v>0</v>
      </c>
      <c r="K1571">
        <v>0</v>
      </c>
      <c r="L1571" s="22">
        <v>1531</v>
      </c>
      <c r="M1571" s="22">
        <v>0</v>
      </c>
      <c r="N1571" s="22">
        <v>0</v>
      </c>
      <c r="O1571" s="22">
        <v>1531</v>
      </c>
      <c r="P1571" s="22">
        <v>230</v>
      </c>
      <c r="Q1571" s="22">
        <v>1301</v>
      </c>
      <c r="R1571">
        <v>0</v>
      </c>
      <c r="T1571" t="s">
        <v>2972</v>
      </c>
      <c r="U1571" t="s">
        <v>3055</v>
      </c>
      <c r="V1571" t="s">
        <v>3056</v>
      </c>
    </row>
    <row r="1572" spans="1:22">
      <c r="A1572">
        <v>1575</v>
      </c>
      <c r="B1572" t="s">
        <v>3332</v>
      </c>
      <c r="C1572" t="s">
        <v>3333</v>
      </c>
      <c r="D1572" t="s">
        <v>17</v>
      </c>
      <c r="E1572" t="s">
        <v>8</v>
      </c>
      <c r="F1572" s="22">
        <v>9</v>
      </c>
      <c r="G1572" s="22">
        <v>0</v>
      </c>
      <c r="H1572" s="22">
        <v>0</v>
      </c>
      <c r="I1572" s="22">
        <v>9</v>
      </c>
      <c r="J1572">
        <v>0</v>
      </c>
      <c r="K1572">
        <v>0</v>
      </c>
      <c r="L1572" s="22">
        <v>9</v>
      </c>
      <c r="M1572" s="22">
        <v>0</v>
      </c>
      <c r="N1572" s="22">
        <v>0</v>
      </c>
      <c r="O1572" s="22">
        <v>9</v>
      </c>
      <c r="P1572" s="22">
        <v>5</v>
      </c>
      <c r="Q1572" s="22">
        <v>4</v>
      </c>
      <c r="R1572">
        <v>0</v>
      </c>
      <c r="T1572" t="s">
        <v>3052</v>
      </c>
      <c r="U1572" t="s">
        <v>3062</v>
      </c>
      <c r="V1572" t="s">
        <v>3056</v>
      </c>
    </row>
    <row r="1573" spans="1:22">
      <c r="A1573">
        <v>1576</v>
      </c>
      <c r="B1573" t="s">
        <v>3334</v>
      </c>
      <c r="C1573" t="s">
        <v>3335</v>
      </c>
      <c r="D1573" t="s">
        <v>17</v>
      </c>
      <c r="E1573" t="s">
        <v>8</v>
      </c>
      <c r="F1573" s="22">
        <v>0</v>
      </c>
      <c r="G1573" s="22">
        <v>0</v>
      </c>
      <c r="H1573" s="22">
        <v>0</v>
      </c>
      <c r="I1573" s="22">
        <v>0</v>
      </c>
      <c r="J1573">
        <v>0</v>
      </c>
      <c r="K1573">
        <v>0</v>
      </c>
      <c r="L1573" s="22">
        <v>0</v>
      </c>
      <c r="M1573" s="22">
        <v>0</v>
      </c>
      <c r="N1573" s="22">
        <v>0</v>
      </c>
      <c r="O1573" s="22">
        <v>0</v>
      </c>
      <c r="P1573" s="22">
        <v>0</v>
      </c>
      <c r="Q1573" s="22">
        <v>0</v>
      </c>
      <c r="R1573">
        <v>0</v>
      </c>
      <c r="T1573" t="s">
        <v>2998</v>
      </c>
      <c r="U1573" t="s">
        <v>3057</v>
      </c>
      <c r="V1573" t="s">
        <v>3056</v>
      </c>
    </row>
    <row r="1574" spans="1:22">
      <c r="A1574">
        <v>1577</v>
      </c>
      <c r="B1574" t="s">
        <v>920</v>
      </c>
      <c r="C1574" t="s">
        <v>921</v>
      </c>
      <c r="D1574" t="s">
        <v>20</v>
      </c>
      <c r="E1574" t="s">
        <v>8</v>
      </c>
      <c r="F1574" s="22">
        <v>54</v>
      </c>
      <c r="G1574" s="22">
        <v>0</v>
      </c>
      <c r="H1574" s="22">
        <v>0</v>
      </c>
      <c r="I1574" s="22">
        <v>54</v>
      </c>
      <c r="J1574">
        <v>0</v>
      </c>
      <c r="K1574">
        <v>0</v>
      </c>
      <c r="L1574" s="22">
        <v>54</v>
      </c>
      <c r="M1574" s="22">
        <v>0</v>
      </c>
      <c r="N1574" s="22">
        <v>0</v>
      </c>
      <c r="O1574" s="22">
        <v>54</v>
      </c>
      <c r="P1574" s="22">
        <v>0</v>
      </c>
      <c r="Q1574" s="22">
        <v>54</v>
      </c>
      <c r="R1574">
        <v>0</v>
      </c>
      <c r="T1574" t="s">
        <v>2972</v>
      </c>
      <c r="U1574" t="s">
        <v>3057</v>
      </c>
      <c r="V1574" t="s">
        <v>3056</v>
      </c>
    </row>
    <row r="1575" spans="1:22">
      <c r="A1575">
        <v>1578</v>
      </c>
      <c r="B1575" t="s">
        <v>3336</v>
      </c>
      <c r="C1575" t="s">
        <v>3337</v>
      </c>
      <c r="D1575" t="s">
        <v>17</v>
      </c>
      <c r="E1575" t="s">
        <v>8</v>
      </c>
      <c r="F1575" s="22">
        <v>6028</v>
      </c>
      <c r="G1575" s="22">
        <v>0</v>
      </c>
      <c r="H1575" s="22">
        <v>0</v>
      </c>
      <c r="I1575" s="22">
        <v>6028</v>
      </c>
      <c r="J1575">
        <v>0</v>
      </c>
      <c r="K1575">
        <v>0</v>
      </c>
      <c r="L1575" s="22">
        <v>6028</v>
      </c>
      <c r="M1575" s="22">
        <v>0</v>
      </c>
      <c r="N1575" s="22">
        <v>0</v>
      </c>
      <c r="O1575" s="22">
        <v>6028</v>
      </c>
      <c r="P1575" s="22">
        <v>2000</v>
      </c>
      <c r="Q1575" s="22">
        <v>4028</v>
      </c>
      <c r="R1575">
        <v>0</v>
      </c>
      <c r="T1575" t="s">
        <v>2972</v>
      </c>
      <c r="U1575" t="s">
        <v>3057</v>
      </c>
      <c r="V1575" t="s">
        <v>3056</v>
      </c>
    </row>
    <row r="1576" spans="1:22">
      <c r="A1576">
        <v>1579</v>
      </c>
      <c r="B1576" t="s">
        <v>3338</v>
      </c>
      <c r="C1576" t="s">
        <v>3339</v>
      </c>
      <c r="D1576" t="s">
        <v>17</v>
      </c>
      <c r="E1576" t="s">
        <v>8</v>
      </c>
      <c r="F1576" s="22">
        <v>0</v>
      </c>
      <c r="G1576" s="22">
        <v>0</v>
      </c>
      <c r="H1576" s="22">
        <v>0</v>
      </c>
      <c r="I1576" s="22">
        <v>0</v>
      </c>
      <c r="J1576">
        <v>0</v>
      </c>
      <c r="K1576">
        <v>0</v>
      </c>
      <c r="L1576" s="22">
        <v>0</v>
      </c>
      <c r="M1576" s="22">
        <v>0</v>
      </c>
      <c r="N1576" s="22">
        <v>0</v>
      </c>
      <c r="O1576" s="22">
        <v>0</v>
      </c>
      <c r="P1576" s="22">
        <v>0</v>
      </c>
      <c r="Q1576" s="22">
        <v>0</v>
      </c>
      <c r="R1576">
        <v>0</v>
      </c>
      <c r="T1576" t="s">
        <v>2972</v>
      </c>
      <c r="U1576" t="s">
        <v>3057</v>
      </c>
      <c r="V1576" t="s">
        <v>3056</v>
      </c>
    </row>
    <row r="1577" spans="1:22">
      <c r="A1577">
        <v>1580</v>
      </c>
      <c r="B1577" t="s">
        <v>3340</v>
      </c>
      <c r="C1577" t="s">
        <v>3341</v>
      </c>
      <c r="D1577" t="s">
        <v>17</v>
      </c>
      <c r="E1577" t="s">
        <v>8</v>
      </c>
      <c r="F1577" s="22">
        <v>0</v>
      </c>
      <c r="G1577" s="22">
        <v>0</v>
      </c>
      <c r="H1577" s="22">
        <v>0</v>
      </c>
      <c r="I1577" s="22">
        <v>0</v>
      </c>
      <c r="J1577">
        <v>0</v>
      </c>
      <c r="K1577">
        <v>0</v>
      </c>
      <c r="L1577" s="22">
        <v>0</v>
      </c>
      <c r="M1577" s="22">
        <v>0</v>
      </c>
      <c r="N1577" s="22">
        <v>0</v>
      </c>
      <c r="O1577" s="22">
        <v>0</v>
      </c>
      <c r="P1577" s="22">
        <v>0</v>
      </c>
      <c r="Q1577" s="22">
        <v>0</v>
      </c>
      <c r="R1577">
        <v>0</v>
      </c>
      <c r="T1577" t="s">
        <v>2972</v>
      </c>
      <c r="U1577" t="s">
        <v>3057</v>
      </c>
      <c r="V1577" t="s">
        <v>3056</v>
      </c>
    </row>
    <row r="1578" spans="1:22">
      <c r="A1578">
        <v>1581</v>
      </c>
      <c r="B1578" t="s">
        <v>3342</v>
      </c>
      <c r="C1578" t="s">
        <v>3343</v>
      </c>
      <c r="D1578" t="s">
        <v>17</v>
      </c>
      <c r="E1578" t="s">
        <v>8</v>
      </c>
      <c r="F1578" s="22">
        <v>0</v>
      </c>
      <c r="G1578" s="22">
        <v>0</v>
      </c>
      <c r="H1578" s="22">
        <v>0</v>
      </c>
      <c r="I1578" s="22">
        <v>0</v>
      </c>
      <c r="J1578">
        <v>0</v>
      </c>
      <c r="K1578">
        <v>0</v>
      </c>
      <c r="L1578" s="22">
        <v>0</v>
      </c>
      <c r="M1578" s="22">
        <v>0</v>
      </c>
      <c r="N1578" s="22">
        <v>0</v>
      </c>
      <c r="O1578" s="22">
        <v>0</v>
      </c>
      <c r="P1578" s="22">
        <v>0</v>
      </c>
      <c r="Q1578" s="22">
        <v>0</v>
      </c>
      <c r="R1578">
        <v>0</v>
      </c>
      <c r="T1578" t="s">
        <v>2972</v>
      </c>
      <c r="U1578" t="s">
        <v>3057</v>
      </c>
      <c r="V1578" t="s">
        <v>3056</v>
      </c>
    </row>
    <row r="1579" spans="1:22">
      <c r="A1579">
        <v>1582</v>
      </c>
      <c r="B1579" t="s">
        <v>3344</v>
      </c>
      <c r="C1579" t="s">
        <v>3345</v>
      </c>
      <c r="D1579" t="s">
        <v>17</v>
      </c>
      <c r="E1579" t="s">
        <v>8</v>
      </c>
      <c r="F1579" s="22">
        <v>0</v>
      </c>
      <c r="G1579" s="22">
        <v>0</v>
      </c>
      <c r="H1579" s="22">
        <v>0</v>
      </c>
      <c r="I1579" s="22">
        <v>0</v>
      </c>
      <c r="J1579">
        <v>0</v>
      </c>
      <c r="K1579">
        <v>0</v>
      </c>
      <c r="L1579" s="22">
        <v>0</v>
      </c>
      <c r="M1579" s="22">
        <v>0</v>
      </c>
      <c r="N1579" s="22">
        <v>0</v>
      </c>
      <c r="O1579" s="22">
        <v>0</v>
      </c>
      <c r="P1579" s="22">
        <v>0</v>
      </c>
      <c r="Q1579" s="22">
        <v>0</v>
      </c>
      <c r="R1579">
        <v>0</v>
      </c>
      <c r="T1579" t="s">
        <v>2972</v>
      </c>
      <c r="U1579" t="s">
        <v>3057</v>
      </c>
      <c r="V1579" t="s">
        <v>3056</v>
      </c>
    </row>
    <row r="1580" spans="1:22">
      <c r="A1580">
        <v>1583</v>
      </c>
      <c r="B1580" t="s">
        <v>3346</v>
      </c>
      <c r="C1580" t="s">
        <v>3347</v>
      </c>
      <c r="D1580" t="s">
        <v>17</v>
      </c>
      <c r="E1580" t="s">
        <v>8</v>
      </c>
      <c r="F1580" s="22">
        <v>0</v>
      </c>
      <c r="G1580" s="22">
        <v>0</v>
      </c>
      <c r="H1580" s="22">
        <v>0</v>
      </c>
      <c r="I1580" s="22">
        <v>0</v>
      </c>
      <c r="J1580">
        <v>0</v>
      </c>
      <c r="K1580">
        <v>0</v>
      </c>
      <c r="L1580" s="22">
        <v>0</v>
      </c>
      <c r="M1580" s="22">
        <v>0</v>
      </c>
      <c r="N1580" s="22">
        <v>0</v>
      </c>
      <c r="O1580" s="22">
        <v>0</v>
      </c>
      <c r="P1580" s="22">
        <v>0</v>
      </c>
      <c r="Q1580" s="22">
        <v>0</v>
      </c>
      <c r="R1580">
        <v>0</v>
      </c>
      <c r="T1580" t="s">
        <v>2972</v>
      </c>
      <c r="U1580" t="s">
        <v>3057</v>
      </c>
      <c r="V1580" t="s">
        <v>3056</v>
      </c>
    </row>
    <row r="1581" spans="1:22">
      <c r="A1581">
        <v>1584</v>
      </c>
      <c r="B1581" t="s">
        <v>3348</v>
      </c>
      <c r="C1581" t="s">
        <v>3349</v>
      </c>
      <c r="D1581" t="s">
        <v>17</v>
      </c>
      <c r="E1581" t="s">
        <v>8</v>
      </c>
      <c r="F1581" s="22">
        <v>0</v>
      </c>
      <c r="G1581" s="22">
        <v>0</v>
      </c>
      <c r="H1581" s="22">
        <v>0</v>
      </c>
      <c r="I1581" s="22">
        <v>0</v>
      </c>
      <c r="J1581">
        <v>0</v>
      </c>
      <c r="K1581">
        <v>0</v>
      </c>
      <c r="L1581" s="22">
        <v>0</v>
      </c>
      <c r="M1581" s="22">
        <v>0</v>
      </c>
      <c r="N1581" s="22">
        <v>0</v>
      </c>
      <c r="O1581" s="22">
        <v>0</v>
      </c>
      <c r="P1581" s="22">
        <v>0</v>
      </c>
      <c r="Q1581" s="22">
        <v>0</v>
      </c>
      <c r="R1581">
        <v>0</v>
      </c>
      <c r="T1581" t="s">
        <v>2972</v>
      </c>
      <c r="U1581" t="s">
        <v>3057</v>
      </c>
      <c r="V1581" t="s">
        <v>3056</v>
      </c>
    </row>
    <row r="1582" spans="1:22">
      <c r="A1582">
        <v>1585</v>
      </c>
      <c r="B1582" t="s">
        <v>3350</v>
      </c>
      <c r="C1582" t="s">
        <v>3351</v>
      </c>
      <c r="D1582" t="s">
        <v>17</v>
      </c>
      <c r="E1582" t="s">
        <v>8</v>
      </c>
      <c r="F1582" s="22">
        <v>0</v>
      </c>
      <c r="G1582" s="22">
        <v>0</v>
      </c>
      <c r="H1582" s="22">
        <v>0</v>
      </c>
      <c r="I1582" s="22">
        <v>0</v>
      </c>
      <c r="J1582">
        <v>0</v>
      </c>
      <c r="K1582">
        <v>0</v>
      </c>
      <c r="L1582" s="22">
        <v>0</v>
      </c>
      <c r="M1582" s="22">
        <v>0</v>
      </c>
      <c r="N1582" s="22">
        <v>0</v>
      </c>
      <c r="O1582" s="22">
        <v>0</v>
      </c>
      <c r="P1582" s="22">
        <v>0</v>
      </c>
      <c r="Q1582" s="22">
        <v>0</v>
      </c>
      <c r="R1582">
        <v>0</v>
      </c>
      <c r="T1582" t="s">
        <v>2982</v>
      </c>
      <c r="U1582" t="s">
        <v>3060</v>
      </c>
      <c r="V1582" t="s">
        <v>3061</v>
      </c>
    </row>
    <row r="1583" spans="1:22">
      <c r="A1583">
        <v>1586</v>
      </c>
      <c r="B1583" t="s">
        <v>3352</v>
      </c>
      <c r="C1583" t="s">
        <v>3353</v>
      </c>
      <c r="D1583" t="s">
        <v>17</v>
      </c>
      <c r="E1583" t="s">
        <v>8</v>
      </c>
      <c r="F1583" s="22">
        <v>0</v>
      </c>
      <c r="G1583" s="22">
        <v>0</v>
      </c>
      <c r="H1583" s="22">
        <v>0</v>
      </c>
      <c r="I1583" s="22">
        <v>0</v>
      </c>
      <c r="J1583">
        <v>0</v>
      </c>
      <c r="K1583">
        <v>0</v>
      </c>
      <c r="L1583" s="22">
        <v>0</v>
      </c>
      <c r="M1583" s="22">
        <v>0</v>
      </c>
      <c r="N1583" s="22">
        <v>0</v>
      </c>
      <c r="O1583" s="22">
        <v>0</v>
      </c>
      <c r="P1583" s="22">
        <v>0</v>
      </c>
      <c r="Q1583" s="22">
        <v>0</v>
      </c>
      <c r="R1583">
        <v>0</v>
      </c>
      <c r="T1583" t="s">
        <v>3002</v>
      </c>
      <c r="U1583" t="s">
        <v>3057</v>
      </c>
      <c r="V1583" t="s">
        <v>3056</v>
      </c>
    </row>
    <row r="1584" spans="1:22">
      <c r="A1584">
        <v>1587</v>
      </c>
      <c r="B1584" t="s">
        <v>3354</v>
      </c>
      <c r="C1584" t="s">
        <v>3355</v>
      </c>
      <c r="D1584" t="s">
        <v>17</v>
      </c>
      <c r="E1584" t="s">
        <v>8</v>
      </c>
      <c r="F1584" s="22">
        <v>11</v>
      </c>
      <c r="G1584" s="22">
        <v>0</v>
      </c>
      <c r="H1584" s="22">
        <v>0</v>
      </c>
      <c r="I1584" s="22">
        <v>11</v>
      </c>
      <c r="J1584">
        <v>0</v>
      </c>
      <c r="K1584">
        <v>0</v>
      </c>
      <c r="L1584" s="22">
        <v>11</v>
      </c>
      <c r="M1584" s="22">
        <v>0</v>
      </c>
      <c r="N1584" s="22">
        <v>0</v>
      </c>
      <c r="O1584" s="22">
        <v>11</v>
      </c>
      <c r="P1584" s="22">
        <v>10</v>
      </c>
      <c r="Q1584" s="22">
        <v>1</v>
      </c>
      <c r="R1584">
        <v>0</v>
      </c>
      <c r="T1584" t="s">
        <v>2974</v>
      </c>
      <c r="U1584" t="s">
        <v>3060</v>
      </c>
      <c r="V1584" t="s">
        <v>3056</v>
      </c>
    </row>
    <row r="1585" spans="1:22">
      <c r="A1585">
        <v>1588</v>
      </c>
      <c r="B1585" t="s">
        <v>3356</v>
      </c>
      <c r="C1585" t="s">
        <v>3357</v>
      </c>
      <c r="D1585" t="s">
        <v>17</v>
      </c>
      <c r="E1585" t="s">
        <v>8</v>
      </c>
      <c r="F1585" s="22">
        <v>20</v>
      </c>
      <c r="G1585" s="22">
        <v>99</v>
      </c>
      <c r="H1585" s="22">
        <v>20</v>
      </c>
      <c r="I1585" s="22">
        <v>99</v>
      </c>
      <c r="J1585">
        <v>0</v>
      </c>
      <c r="K1585">
        <v>0</v>
      </c>
      <c r="L1585" s="22">
        <v>99</v>
      </c>
      <c r="M1585" s="22">
        <v>0</v>
      </c>
      <c r="N1585" s="22">
        <v>0</v>
      </c>
      <c r="O1585" s="22">
        <v>99</v>
      </c>
      <c r="P1585" s="22">
        <v>10</v>
      </c>
      <c r="Q1585" s="22">
        <v>89</v>
      </c>
      <c r="R1585">
        <v>0</v>
      </c>
      <c r="T1585" t="s">
        <v>2974</v>
      </c>
      <c r="U1585" t="s">
        <v>3060</v>
      </c>
      <c r="V1585" t="s">
        <v>3056</v>
      </c>
    </row>
    <row r="1586" spans="1:22">
      <c r="A1586">
        <v>1589</v>
      </c>
      <c r="B1586" t="s">
        <v>3358</v>
      </c>
      <c r="C1586" t="s">
        <v>3359</v>
      </c>
      <c r="D1586" t="s">
        <v>20</v>
      </c>
      <c r="E1586" t="s">
        <v>8</v>
      </c>
      <c r="F1586" s="22">
        <v>275.8</v>
      </c>
      <c r="G1586" s="22">
        <v>1009.8</v>
      </c>
      <c r="H1586" s="22">
        <v>389.7</v>
      </c>
      <c r="I1586" s="22">
        <v>895.9</v>
      </c>
      <c r="J1586">
        <v>0</v>
      </c>
      <c r="K1586">
        <v>0</v>
      </c>
      <c r="L1586" s="22">
        <v>895.9</v>
      </c>
      <c r="M1586" s="22">
        <v>0</v>
      </c>
      <c r="N1586" s="22">
        <v>0</v>
      </c>
      <c r="O1586" s="22">
        <v>895.9</v>
      </c>
      <c r="P1586" s="22">
        <v>1500</v>
      </c>
      <c r="Q1586" s="22">
        <v>-604.1</v>
      </c>
      <c r="R1586">
        <v>1000</v>
      </c>
      <c r="T1586" t="s">
        <v>3000</v>
      </c>
      <c r="U1586" t="s">
        <v>3059</v>
      </c>
      <c r="V1586" t="s">
        <v>3056</v>
      </c>
    </row>
    <row r="1587" spans="1:22">
      <c r="A1587">
        <v>1590</v>
      </c>
      <c r="B1587" t="s">
        <v>3360</v>
      </c>
      <c r="C1587" t="s">
        <v>3361</v>
      </c>
      <c r="D1587" t="s">
        <v>20</v>
      </c>
      <c r="E1587" t="s">
        <v>8</v>
      </c>
      <c r="F1587" s="22">
        <v>0</v>
      </c>
      <c r="G1587" s="22">
        <v>2687.5</v>
      </c>
      <c r="H1587" s="22">
        <v>2596.1</v>
      </c>
      <c r="I1587" s="22">
        <v>91.4</v>
      </c>
      <c r="J1587">
        <v>0</v>
      </c>
      <c r="K1587">
        <v>0</v>
      </c>
      <c r="L1587" s="22">
        <v>91.4</v>
      </c>
      <c r="M1587" s="22">
        <v>0</v>
      </c>
      <c r="N1587" s="22">
        <v>0</v>
      </c>
      <c r="O1587" s="22">
        <v>91.4</v>
      </c>
      <c r="P1587" s="22">
        <v>2500</v>
      </c>
      <c r="Q1587" s="22">
        <v>-2408.6</v>
      </c>
      <c r="R1587">
        <v>3000</v>
      </c>
      <c r="T1587" t="s">
        <v>3000</v>
      </c>
      <c r="U1587" t="s">
        <v>3059</v>
      </c>
      <c r="V1587" t="s">
        <v>3056</v>
      </c>
    </row>
    <row r="1588" spans="1:22">
      <c r="A1588">
        <v>1591</v>
      </c>
      <c r="B1588" t="s">
        <v>3362</v>
      </c>
      <c r="C1588" t="s">
        <v>3363</v>
      </c>
      <c r="D1588" t="s">
        <v>20</v>
      </c>
      <c r="E1588" t="s">
        <v>8</v>
      </c>
      <c r="F1588" s="22">
        <v>467.3</v>
      </c>
      <c r="G1588" s="22">
        <v>515</v>
      </c>
      <c r="H1588" s="22">
        <v>982.3</v>
      </c>
      <c r="I1588" s="22">
        <v>0</v>
      </c>
      <c r="J1588">
        <v>0</v>
      </c>
      <c r="K1588">
        <v>0</v>
      </c>
      <c r="L1588" s="22">
        <v>0</v>
      </c>
      <c r="M1588" s="22">
        <v>0</v>
      </c>
      <c r="N1588" s="22">
        <v>0</v>
      </c>
      <c r="O1588" s="22">
        <v>0</v>
      </c>
      <c r="P1588" s="22">
        <v>1500</v>
      </c>
      <c r="Q1588" s="22">
        <v>-1500</v>
      </c>
      <c r="R1588">
        <v>2000</v>
      </c>
      <c r="T1588" t="s">
        <v>3000</v>
      </c>
      <c r="U1588" t="s">
        <v>3059</v>
      </c>
      <c r="V1588" t="s">
        <v>3056</v>
      </c>
    </row>
    <row r="1589" spans="1:22">
      <c r="A1589">
        <v>1592</v>
      </c>
      <c r="B1589" t="s">
        <v>3364</v>
      </c>
      <c r="C1589" t="s">
        <v>3365</v>
      </c>
      <c r="D1589" t="s">
        <v>20</v>
      </c>
      <c r="E1589" t="s">
        <v>8</v>
      </c>
      <c r="F1589" s="22">
        <v>500.5</v>
      </c>
      <c r="G1589" s="22">
        <v>0</v>
      </c>
      <c r="H1589" s="22">
        <v>0</v>
      </c>
      <c r="I1589" s="22">
        <v>500.5</v>
      </c>
      <c r="J1589">
        <v>0</v>
      </c>
      <c r="K1589">
        <v>0</v>
      </c>
      <c r="L1589" s="22">
        <v>500.5</v>
      </c>
      <c r="M1589" s="22">
        <v>0</v>
      </c>
      <c r="N1589" s="22">
        <v>0</v>
      </c>
      <c r="O1589" s="22">
        <v>500.5</v>
      </c>
      <c r="P1589" s="22">
        <v>500</v>
      </c>
      <c r="Q1589" s="22">
        <v>0.5</v>
      </c>
      <c r="R1589">
        <v>500</v>
      </c>
      <c r="T1589" t="s">
        <v>3000</v>
      </c>
      <c r="U1589" t="s">
        <v>3059</v>
      </c>
      <c r="V1589" t="s">
        <v>3056</v>
      </c>
    </row>
    <row r="1590" spans="1:22">
      <c r="A1590">
        <v>1593</v>
      </c>
      <c r="B1590" t="s">
        <v>3366</v>
      </c>
      <c r="C1590" t="s">
        <v>3367</v>
      </c>
      <c r="D1590" t="s">
        <v>20</v>
      </c>
      <c r="E1590" t="s">
        <v>8</v>
      </c>
      <c r="F1590" s="22">
        <v>3648.6</v>
      </c>
      <c r="G1590" s="22">
        <v>0</v>
      </c>
      <c r="H1590" s="22">
        <v>814.5</v>
      </c>
      <c r="I1590" s="22">
        <v>2834.1</v>
      </c>
      <c r="J1590">
        <v>0</v>
      </c>
      <c r="K1590">
        <v>0</v>
      </c>
      <c r="L1590" s="22">
        <v>2834.1</v>
      </c>
      <c r="M1590" s="22">
        <v>0</v>
      </c>
      <c r="N1590" s="22">
        <v>0</v>
      </c>
      <c r="O1590" s="22">
        <v>2834.1</v>
      </c>
      <c r="P1590" s="22">
        <v>1500</v>
      </c>
      <c r="Q1590" s="22">
        <v>1334.1</v>
      </c>
      <c r="R1590">
        <v>0</v>
      </c>
      <c r="T1590" t="s">
        <v>3000</v>
      </c>
      <c r="U1590" t="s">
        <v>3059</v>
      </c>
      <c r="V1590" t="s">
        <v>3056</v>
      </c>
    </row>
    <row r="1591" spans="1:22">
      <c r="A1591">
        <v>1594</v>
      </c>
      <c r="B1591" t="s">
        <v>3368</v>
      </c>
      <c r="C1591" t="s">
        <v>3369</v>
      </c>
      <c r="D1591" t="s">
        <v>20</v>
      </c>
      <c r="E1591" t="s">
        <v>8</v>
      </c>
      <c r="F1591" s="22">
        <v>897.2</v>
      </c>
      <c r="G1591" s="22">
        <v>0</v>
      </c>
      <c r="H1591" s="22">
        <v>0</v>
      </c>
      <c r="I1591" s="22">
        <v>897.2</v>
      </c>
      <c r="J1591">
        <v>0</v>
      </c>
      <c r="K1591">
        <v>0</v>
      </c>
      <c r="L1591" s="22">
        <v>897.2</v>
      </c>
      <c r="M1591" s="22">
        <v>0</v>
      </c>
      <c r="N1591" s="22">
        <v>0</v>
      </c>
      <c r="O1591" s="22">
        <v>897.2</v>
      </c>
      <c r="P1591" s="22">
        <v>550</v>
      </c>
      <c r="Q1591" s="22">
        <v>347.20000000000005</v>
      </c>
      <c r="R1591">
        <v>0</v>
      </c>
      <c r="T1591" t="s">
        <v>3000</v>
      </c>
      <c r="U1591" t="s">
        <v>3059</v>
      </c>
      <c r="V1591" t="s">
        <v>3056</v>
      </c>
    </row>
    <row r="1592" spans="1:22">
      <c r="A1592">
        <v>1595</v>
      </c>
      <c r="B1592" t="s">
        <v>3370</v>
      </c>
      <c r="C1592" t="s">
        <v>3371</v>
      </c>
      <c r="D1592" t="s">
        <v>20</v>
      </c>
      <c r="E1592" t="s">
        <v>8</v>
      </c>
      <c r="F1592" s="22">
        <v>1549.9</v>
      </c>
      <c r="G1592" s="22">
        <v>0</v>
      </c>
      <c r="H1592" s="22">
        <v>772.5</v>
      </c>
      <c r="I1592" s="22">
        <v>777.4</v>
      </c>
      <c r="J1592">
        <v>0</v>
      </c>
      <c r="K1592">
        <v>0</v>
      </c>
      <c r="L1592" s="22">
        <v>777.4</v>
      </c>
      <c r="M1592" s="22">
        <v>0</v>
      </c>
      <c r="N1592" s="22">
        <v>0</v>
      </c>
      <c r="O1592" s="22">
        <v>777.4</v>
      </c>
      <c r="P1592" s="22">
        <v>500</v>
      </c>
      <c r="Q1592" s="22">
        <v>277.39999999999998</v>
      </c>
      <c r="R1592">
        <v>0</v>
      </c>
      <c r="T1592" t="s">
        <v>3000</v>
      </c>
      <c r="U1592" t="s">
        <v>3059</v>
      </c>
      <c r="V1592" t="s">
        <v>3056</v>
      </c>
    </row>
    <row r="1593" spans="1:22">
      <c r="A1593">
        <v>1596</v>
      </c>
      <c r="B1593" t="s">
        <v>3372</v>
      </c>
      <c r="C1593" t="s">
        <v>3373</v>
      </c>
      <c r="D1593" t="s">
        <v>20</v>
      </c>
      <c r="E1593" t="s">
        <v>8</v>
      </c>
      <c r="F1593" s="22">
        <v>2844.2</v>
      </c>
      <c r="G1593" s="22">
        <v>0</v>
      </c>
      <c r="H1593" s="22">
        <v>0.7</v>
      </c>
      <c r="I1593" s="22">
        <v>2843.5</v>
      </c>
      <c r="J1593">
        <v>0</v>
      </c>
      <c r="K1593">
        <v>0</v>
      </c>
      <c r="L1593" s="22">
        <v>2843.5</v>
      </c>
      <c r="M1593" s="22">
        <v>0</v>
      </c>
      <c r="N1593" s="22">
        <v>0</v>
      </c>
      <c r="O1593" s="22">
        <v>2843.5</v>
      </c>
      <c r="P1593" s="22">
        <v>1000</v>
      </c>
      <c r="Q1593" s="22">
        <v>1843.5</v>
      </c>
      <c r="R1593">
        <v>0</v>
      </c>
      <c r="T1593" t="s">
        <v>3000</v>
      </c>
      <c r="U1593" t="s">
        <v>3059</v>
      </c>
      <c r="V1593" t="s">
        <v>3056</v>
      </c>
    </row>
    <row r="1594" spans="1:22">
      <c r="A1594">
        <v>1597</v>
      </c>
      <c r="B1594" t="s">
        <v>3374</v>
      </c>
      <c r="C1594" t="s">
        <v>3375</v>
      </c>
      <c r="D1594" t="s">
        <v>17</v>
      </c>
      <c r="E1594" t="s">
        <v>8</v>
      </c>
      <c r="F1594" s="22">
        <v>154</v>
      </c>
      <c r="G1594" s="22">
        <v>2002</v>
      </c>
      <c r="H1594" s="22">
        <v>200</v>
      </c>
      <c r="I1594" s="22">
        <v>1956</v>
      </c>
      <c r="J1594">
        <v>0</v>
      </c>
      <c r="K1594">
        <v>0</v>
      </c>
      <c r="L1594" s="22">
        <v>1956</v>
      </c>
      <c r="M1594" s="22">
        <v>0</v>
      </c>
      <c r="N1594" s="22">
        <v>0</v>
      </c>
      <c r="O1594" s="22">
        <v>1956</v>
      </c>
      <c r="P1594" s="22">
        <v>150</v>
      </c>
      <c r="Q1594" s="22">
        <v>1806</v>
      </c>
      <c r="R1594">
        <v>1000</v>
      </c>
      <c r="T1594" t="s">
        <v>2972</v>
      </c>
      <c r="U1594" t="s">
        <v>3057</v>
      </c>
      <c r="V1594" t="s">
        <v>3056</v>
      </c>
    </row>
    <row r="1595" spans="1:22">
      <c r="A1595">
        <v>1598</v>
      </c>
      <c r="B1595" t="s">
        <v>3376</v>
      </c>
      <c r="C1595" t="s">
        <v>3377</v>
      </c>
      <c r="D1595" t="s">
        <v>17</v>
      </c>
      <c r="E1595" t="s">
        <v>8</v>
      </c>
      <c r="F1595" s="22">
        <v>776</v>
      </c>
      <c r="G1595" s="22">
        <v>0</v>
      </c>
      <c r="H1595" s="22">
        <v>0</v>
      </c>
      <c r="I1595" s="22">
        <v>776</v>
      </c>
      <c r="J1595">
        <v>0</v>
      </c>
      <c r="K1595">
        <v>0</v>
      </c>
      <c r="L1595" s="22">
        <v>776</v>
      </c>
      <c r="M1595" s="22">
        <v>0</v>
      </c>
      <c r="N1595" s="22">
        <v>0</v>
      </c>
      <c r="O1595" s="22">
        <v>776</v>
      </c>
      <c r="P1595" s="22">
        <v>500</v>
      </c>
      <c r="Q1595" s="22">
        <v>276</v>
      </c>
      <c r="R1595">
        <v>0</v>
      </c>
      <c r="T1595" t="s">
        <v>2972</v>
      </c>
      <c r="U1595" t="s">
        <v>3057</v>
      </c>
      <c r="V1595" t="s">
        <v>3056</v>
      </c>
    </row>
    <row r="1596" spans="1:22">
      <c r="A1596">
        <v>1599</v>
      </c>
      <c r="B1596" t="s">
        <v>3378</v>
      </c>
      <c r="C1596" t="s">
        <v>3379</v>
      </c>
      <c r="D1596" t="s">
        <v>17</v>
      </c>
      <c r="E1596" t="s">
        <v>8</v>
      </c>
      <c r="F1596" s="22">
        <v>1200</v>
      </c>
      <c r="G1596" s="22">
        <v>0</v>
      </c>
      <c r="H1596" s="22">
        <v>0</v>
      </c>
      <c r="I1596" s="22">
        <v>1200</v>
      </c>
      <c r="J1596">
        <v>0</v>
      </c>
      <c r="K1596">
        <v>0</v>
      </c>
      <c r="L1596" s="22">
        <v>1200</v>
      </c>
      <c r="M1596" s="22">
        <v>0</v>
      </c>
      <c r="N1596" s="22">
        <v>0</v>
      </c>
      <c r="O1596" s="22">
        <v>1200</v>
      </c>
      <c r="P1596" s="22">
        <v>500</v>
      </c>
      <c r="Q1596" s="22">
        <v>700</v>
      </c>
      <c r="R1596">
        <v>0</v>
      </c>
      <c r="T1596" t="s">
        <v>2972</v>
      </c>
      <c r="U1596" t="s">
        <v>3057</v>
      </c>
      <c r="V1596" t="s">
        <v>3056</v>
      </c>
    </row>
    <row r="1597" spans="1:22">
      <c r="A1597">
        <v>1600</v>
      </c>
      <c r="B1597" t="s">
        <v>3380</v>
      </c>
      <c r="C1597" t="s">
        <v>3381</v>
      </c>
      <c r="D1597" t="s">
        <v>17</v>
      </c>
      <c r="E1597" t="s">
        <v>8</v>
      </c>
      <c r="F1597" s="22">
        <v>1065</v>
      </c>
      <c r="G1597" s="22">
        <v>0</v>
      </c>
      <c r="H1597" s="22">
        <v>1065</v>
      </c>
      <c r="I1597" s="22">
        <v>0</v>
      </c>
      <c r="J1597">
        <v>0</v>
      </c>
      <c r="K1597">
        <v>0</v>
      </c>
      <c r="L1597" s="22">
        <v>0</v>
      </c>
      <c r="M1597" s="22">
        <v>0</v>
      </c>
      <c r="N1597" s="22">
        <v>0</v>
      </c>
      <c r="O1597" s="22">
        <v>0</v>
      </c>
      <c r="P1597" s="22">
        <v>500</v>
      </c>
      <c r="Q1597" s="22">
        <v>-500</v>
      </c>
      <c r="R1597">
        <v>0</v>
      </c>
      <c r="T1597" t="s">
        <v>2972</v>
      </c>
      <c r="U1597" t="s">
        <v>3057</v>
      </c>
      <c r="V1597" t="s">
        <v>3056</v>
      </c>
    </row>
    <row r="1598" spans="1:22">
      <c r="A1598">
        <v>1601</v>
      </c>
      <c r="B1598" t="s">
        <v>3382</v>
      </c>
      <c r="C1598" t="s">
        <v>3383</v>
      </c>
      <c r="D1598" t="s">
        <v>17</v>
      </c>
      <c r="E1598" t="s">
        <v>8</v>
      </c>
      <c r="F1598" s="22">
        <v>1080</v>
      </c>
      <c r="G1598" s="22">
        <v>0</v>
      </c>
      <c r="H1598" s="22">
        <v>520</v>
      </c>
      <c r="I1598" s="22">
        <v>560</v>
      </c>
      <c r="J1598">
        <v>0</v>
      </c>
      <c r="K1598">
        <v>0</v>
      </c>
      <c r="L1598" s="22">
        <v>560</v>
      </c>
      <c r="M1598" s="22">
        <v>0</v>
      </c>
      <c r="N1598" s="22">
        <v>0</v>
      </c>
      <c r="O1598" s="22">
        <v>560</v>
      </c>
      <c r="P1598" s="22">
        <v>500</v>
      </c>
      <c r="Q1598" s="22">
        <v>60</v>
      </c>
      <c r="R1598">
        <v>0</v>
      </c>
      <c r="T1598" t="s">
        <v>2972</v>
      </c>
      <c r="U1598" t="s">
        <v>3057</v>
      </c>
      <c r="V1598" t="s">
        <v>3056</v>
      </c>
    </row>
    <row r="1599" spans="1:22">
      <c r="A1599">
        <v>1602</v>
      </c>
      <c r="B1599" t="s">
        <v>3384</v>
      </c>
      <c r="C1599" t="s">
        <v>3385</v>
      </c>
      <c r="D1599" t="s">
        <v>17</v>
      </c>
      <c r="E1599" t="s">
        <v>8</v>
      </c>
      <c r="F1599" s="22">
        <v>0</v>
      </c>
      <c r="G1599" s="22">
        <v>78</v>
      </c>
      <c r="H1599" s="22">
        <v>78</v>
      </c>
      <c r="I1599" s="22">
        <v>0</v>
      </c>
      <c r="J1599">
        <v>0</v>
      </c>
      <c r="K1599">
        <v>0</v>
      </c>
      <c r="L1599" s="22">
        <v>0</v>
      </c>
      <c r="M1599" s="22">
        <v>0</v>
      </c>
      <c r="N1599" s="22">
        <v>0</v>
      </c>
      <c r="O1599" s="22">
        <v>0</v>
      </c>
      <c r="P1599" s="22">
        <v>0</v>
      </c>
      <c r="Q1599" s="22">
        <v>0</v>
      </c>
      <c r="R1599">
        <v>0</v>
      </c>
      <c r="T1599" t="s">
        <v>2982</v>
      </c>
      <c r="U1599" t="s">
        <v>3060</v>
      </c>
      <c r="V1599" t="s">
        <v>3061</v>
      </c>
    </row>
    <row r="1600" spans="1:22">
      <c r="A1600">
        <v>1603</v>
      </c>
      <c r="B1600" t="s">
        <v>3386</v>
      </c>
      <c r="C1600" t="s">
        <v>3387</v>
      </c>
      <c r="D1600" t="s">
        <v>17</v>
      </c>
      <c r="E1600" t="s">
        <v>8</v>
      </c>
      <c r="F1600" s="22">
        <v>1055</v>
      </c>
      <c r="G1600" s="22">
        <v>0</v>
      </c>
      <c r="H1600" s="22">
        <v>1055</v>
      </c>
      <c r="I1600" s="22">
        <v>0</v>
      </c>
      <c r="J1600">
        <v>0</v>
      </c>
      <c r="K1600">
        <v>0</v>
      </c>
      <c r="L1600" s="22">
        <v>0</v>
      </c>
      <c r="M1600" s="22">
        <v>0</v>
      </c>
      <c r="N1600" s="22">
        <v>0</v>
      </c>
      <c r="O1600" s="22">
        <v>0</v>
      </c>
      <c r="P1600" s="22">
        <v>500</v>
      </c>
      <c r="Q1600" s="22">
        <v>-500</v>
      </c>
      <c r="R1600">
        <v>0</v>
      </c>
      <c r="T1600" t="s">
        <v>2972</v>
      </c>
      <c r="U1600" t="s">
        <v>3057</v>
      </c>
      <c r="V1600" t="s">
        <v>3056</v>
      </c>
    </row>
    <row r="1601" spans="1:22">
      <c r="A1601">
        <v>1604</v>
      </c>
      <c r="B1601" t="s">
        <v>3388</v>
      </c>
      <c r="C1601" t="s">
        <v>3389</v>
      </c>
      <c r="D1601" t="s">
        <v>17</v>
      </c>
      <c r="E1601" t="s">
        <v>8</v>
      </c>
      <c r="F1601" s="22">
        <v>250</v>
      </c>
      <c r="G1601" s="22">
        <v>0</v>
      </c>
      <c r="H1601" s="22">
        <v>0</v>
      </c>
      <c r="I1601" s="22">
        <v>250</v>
      </c>
      <c r="J1601">
        <v>0</v>
      </c>
      <c r="K1601">
        <v>0</v>
      </c>
      <c r="L1601" s="22">
        <v>250</v>
      </c>
      <c r="M1601" s="22">
        <v>0</v>
      </c>
      <c r="N1601" s="22">
        <v>0</v>
      </c>
      <c r="O1601" s="22">
        <v>250</v>
      </c>
      <c r="P1601" s="22">
        <v>200</v>
      </c>
      <c r="Q1601" s="22">
        <v>50</v>
      </c>
      <c r="R1601">
        <v>0</v>
      </c>
      <c r="T1601" t="s">
        <v>2972</v>
      </c>
      <c r="U1601" t="s">
        <v>3057</v>
      </c>
      <c r="V1601" t="s">
        <v>3056</v>
      </c>
    </row>
    <row r="1602" spans="1:22">
      <c r="A1602">
        <v>1605</v>
      </c>
      <c r="B1602" t="s">
        <v>3390</v>
      </c>
      <c r="C1602" t="s">
        <v>3391</v>
      </c>
      <c r="D1602" t="s">
        <v>17</v>
      </c>
      <c r="E1602" t="s">
        <v>8</v>
      </c>
      <c r="F1602" s="22">
        <v>250</v>
      </c>
      <c r="G1602" s="22">
        <v>0</v>
      </c>
      <c r="H1602" s="22">
        <v>20</v>
      </c>
      <c r="I1602" s="22">
        <v>230</v>
      </c>
      <c r="J1602">
        <v>0</v>
      </c>
      <c r="K1602">
        <v>0</v>
      </c>
      <c r="L1602" s="22">
        <v>230</v>
      </c>
      <c r="M1602" s="22">
        <v>0</v>
      </c>
      <c r="N1602" s="22">
        <v>0</v>
      </c>
      <c r="O1602" s="22">
        <v>230</v>
      </c>
      <c r="P1602" s="22">
        <v>200</v>
      </c>
      <c r="Q1602" s="22">
        <v>30</v>
      </c>
      <c r="R1602">
        <v>0</v>
      </c>
      <c r="T1602" t="s">
        <v>2972</v>
      </c>
      <c r="U1602" t="s">
        <v>3057</v>
      </c>
      <c r="V1602" t="s">
        <v>3056</v>
      </c>
    </row>
    <row r="1603" spans="1:22">
      <c r="A1603">
        <v>1606</v>
      </c>
      <c r="B1603" t="s">
        <v>3392</v>
      </c>
      <c r="C1603" t="s">
        <v>3393</v>
      </c>
      <c r="D1603" t="s">
        <v>17</v>
      </c>
      <c r="E1603" t="s">
        <v>8</v>
      </c>
      <c r="F1603" s="22">
        <v>1020</v>
      </c>
      <c r="G1603" s="22">
        <v>0</v>
      </c>
      <c r="H1603" s="22">
        <v>0</v>
      </c>
      <c r="I1603" s="22">
        <v>1020</v>
      </c>
      <c r="J1603">
        <v>0</v>
      </c>
      <c r="K1603">
        <v>0</v>
      </c>
      <c r="L1603" s="22">
        <v>1020</v>
      </c>
      <c r="M1603" s="22">
        <v>0</v>
      </c>
      <c r="N1603" s="22">
        <v>0</v>
      </c>
      <c r="O1603" s="22">
        <v>1020</v>
      </c>
      <c r="P1603" s="22">
        <v>500</v>
      </c>
      <c r="Q1603" s="22">
        <v>520</v>
      </c>
      <c r="R1603">
        <v>0</v>
      </c>
      <c r="T1603" t="s">
        <v>2972</v>
      </c>
      <c r="U1603" t="s">
        <v>3057</v>
      </c>
      <c r="V1603" t="s">
        <v>3056</v>
      </c>
    </row>
    <row r="1604" spans="1:22">
      <c r="A1604">
        <v>1607</v>
      </c>
      <c r="B1604" t="s">
        <v>3394</v>
      </c>
      <c r="C1604" t="s">
        <v>3395</v>
      </c>
      <c r="D1604" t="s">
        <v>17</v>
      </c>
      <c r="E1604" t="s">
        <v>8</v>
      </c>
      <c r="F1604" s="22">
        <v>250</v>
      </c>
      <c r="G1604" s="22">
        <v>0</v>
      </c>
      <c r="H1604" s="22">
        <v>50</v>
      </c>
      <c r="I1604" s="22">
        <v>200</v>
      </c>
      <c r="J1604">
        <v>0</v>
      </c>
      <c r="K1604">
        <v>0</v>
      </c>
      <c r="L1604" s="22">
        <v>200</v>
      </c>
      <c r="M1604" s="22">
        <v>0</v>
      </c>
      <c r="N1604" s="22">
        <v>0</v>
      </c>
      <c r="O1604" s="22">
        <v>200</v>
      </c>
      <c r="P1604" s="22">
        <v>200</v>
      </c>
      <c r="Q1604" s="22">
        <v>0</v>
      </c>
      <c r="R1604">
        <v>0</v>
      </c>
      <c r="T1604" t="s">
        <v>2972</v>
      </c>
      <c r="U1604" t="s">
        <v>3057</v>
      </c>
      <c r="V1604" t="s">
        <v>3056</v>
      </c>
    </row>
    <row r="1605" spans="1:22">
      <c r="A1605">
        <v>1608</v>
      </c>
      <c r="B1605" t="s">
        <v>3396</v>
      </c>
      <c r="C1605" t="s">
        <v>3397</v>
      </c>
      <c r="D1605" t="s">
        <v>17</v>
      </c>
      <c r="E1605" t="s">
        <v>8</v>
      </c>
      <c r="F1605" s="22">
        <v>250</v>
      </c>
      <c r="G1605" s="22">
        <v>0</v>
      </c>
      <c r="H1605" s="22">
        <v>25</v>
      </c>
      <c r="I1605" s="22">
        <v>225</v>
      </c>
      <c r="J1605">
        <v>0</v>
      </c>
      <c r="K1605">
        <v>0</v>
      </c>
      <c r="L1605" s="22">
        <v>225</v>
      </c>
      <c r="M1605" s="22">
        <v>0</v>
      </c>
      <c r="N1605" s="22">
        <v>0</v>
      </c>
      <c r="O1605" s="22">
        <v>225</v>
      </c>
      <c r="P1605" s="22">
        <v>200</v>
      </c>
      <c r="Q1605" s="22">
        <v>25</v>
      </c>
      <c r="R1605">
        <v>0</v>
      </c>
      <c r="T1605" t="s">
        <v>2972</v>
      </c>
      <c r="U1605" t="s">
        <v>3057</v>
      </c>
      <c r="V1605" t="s">
        <v>3056</v>
      </c>
    </row>
    <row r="1606" spans="1:22">
      <c r="A1606">
        <v>1609</v>
      </c>
      <c r="B1606" t="s">
        <v>3398</v>
      </c>
      <c r="C1606" t="s">
        <v>3399</v>
      </c>
      <c r="D1606" t="s">
        <v>17</v>
      </c>
      <c r="E1606" t="s">
        <v>8</v>
      </c>
      <c r="F1606" s="22">
        <v>250</v>
      </c>
      <c r="G1606" s="22">
        <v>0</v>
      </c>
      <c r="H1606" s="22">
        <v>0</v>
      </c>
      <c r="I1606" s="22">
        <v>250</v>
      </c>
      <c r="J1606">
        <v>0</v>
      </c>
      <c r="K1606">
        <v>0</v>
      </c>
      <c r="L1606" s="22">
        <v>250</v>
      </c>
      <c r="M1606" s="22">
        <v>0</v>
      </c>
      <c r="N1606" s="22">
        <v>0</v>
      </c>
      <c r="O1606" s="22">
        <v>250</v>
      </c>
      <c r="P1606" s="22">
        <v>200</v>
      </c>
      <c r="Q1606" s="22">
        <v>50</v>
      </c>
      <c r="R1606">
        <v>0</v>
      </c>
      <c r="T1606" t="s">
        <v>2972</v>
      </c>
      <c r="U1606" t="s">
        <v>3057</v>
      </c>
      <c r="V1606" t="s">
        <v>3056</v>
      </c>
    </row>
    <row r="1607" spans="1:22">
      <c r="A1607">
        <v>1610</v>
      </c>
      <c r="B1607" t="s">
        <v>3400</v>
      </c>
      <c r="C1607" t="s">
        <v>3401</v>
      </c>
      <c r="D1607" t="s">
        <v>17</v>
      </c>
      <c r="E1607" t="s">
        <v>8</v>
      </c>
      <c r="F1607" s="22">
        <v>3000</v>
      </c>
      <c r="G1607" s="22">
        <v>0</v>
      </c>
      <c r="H1607" s="22">
        <v>500</v>
      </c>
      <c r="I1607" s="22">
        <v>2500</v>
      </c>
      <c r="J1607">
        <v>0</v>
      </c>
      <c r="K1607">
        <v>0</v>
      </c>
      <c r="L1607" s="22">
        <v>2500</v>
      </c>
      <c r="M1607" s="22">
        <v>0</v>
      </c>
      <c r="N1607" s="22">
        <v>0</v>
      </c>
      <c r="O1607" s="22">
        <v>2500</v>
      </c>
      <c r="P1607" s="22">
        <v>2600</v>
      </c>
      <c r="Q1607" s="22">
        <v>-100</v>
      </c>
      <c r="R1607">
        <v>0</v>
      </c>
      <c r="T1607" t="s">
        <v>2972</v>
      </c>
      <c r="U1607" t="s">
        <v>3057</v>
      </c>
      <c r="V1607" t="s">
        <v>3056</v>
      </c>
    </row>
    <row r="1608" spans="1:22">
      <c r="A1608">
        <v>1611</v>
      </c>
      <c r="B1608" t="s">
        <v>3402</v>
      </c>
      <c r="C1608" t="s">
        <v>3403</v>
      </c>
      <c r="D1608" t="s">
        <v>17</v>
      </c>
      <c r="E1608" t="s">
        <v>8</v>
      </c>
      <c r="F1608" s="22">
        <v>750</v>
      </c>
      <c r="G1608" s="22">
        <v>0</v>
      </c>
      <c r="H1608" s="22">
        <v>200</v>
      </c>
      <c r="I1608" s="22">
        <v>550</v>
      </c>
      <c r="J1608">
        <v>0</v>
      </c>
      <c r="K1608">
        <v>0</v>
      </c>
      <c r="L1608" s="22">
        <v>550</v>
      </c>
      <c r="M1608" s="22">
        <v>0</v>
      </c>
      <c r="N1608" s="22">
        <v>0</v>
      </c>
      <c r="O1608" s="22">
        <v>550</v>
      </c>
      <c r="P1608" s="22">
        <v>700</v>
      </c>
      <c r="Q1608" s="22">
        <v>-150</v>
      </c>
      <c r="R1608">
        <v>0</v>
      </c>
      <c r="T1608" t="s">
        <v>2972</v>
      </c>
      <c r="U1608" t="s">
        <v>3057</v>
      </c>
      <c r="V1608" t="s">
        <v>3056</v>
      </c>
    </row>
    <row r="1609" spans="1:22">
      <c r="A1609">
        <v>1612</v>
      </c>
      <c r="B1609" t="s">
        <v>3404</v>
      </c>
      <c r="C1609" t="s">
        <v>3405</v>
      </c>
      <c r="D1609" t="s">
        <v>17</v>
      </c>
      <c r="E1609" t="s">
        <v>8</v>
      </c>
      <c r="F1609" s="22">
        <v>250</v>
      </c>
      <c r="G1609" s="22">
        <v>0</v>
      </c>
      <c r="H1609" s="22">
        <v>50</v>
      </c>
      <c r="I1609" s="22">
        <v>200</v>
      </c>
      <c r="J1609">
        <v>0</v>
      </c>
      <c r="K1609">
        <v>0</v>
      </c>
      <c r="L1609" s="22">
        <v>200</v>
      </c>
      <c r="M1609" s="22">
        <v>0</v>
      </c>
      <c r="N1609" s="22">
        <v>0</v>
      </c>
      <c r="O1609" s="22">
        <v>200</v>
      </c>
      <c r="P1609" s="22">
        <v>200</v>
      </c>
      <c r="Q1609" s="22">
        <v>0</v>
      </c>
      <c r="R1609">
        <v>0</v>
      </c>
      <c r="T1609" t="s">
        <v>2972</v>
      </c>
      <c r="U1609" t="s">
        <v>3057</v>
      </c>
      <c r="V1609" t="s">
        <v>3056</v>
      </c>
    </row>
    <row r="1610" spans="1:22">
      <c r="A1610">
        <v>1613</v>
      </c>
      <c r="B1610" t="s">
        <v>3406</v>
      </c>
      <c r="C1610" t="s">
        <v>3407</v>
      </c>
      <c r="D1610" t="s">
        <v>17</v>
      </c>
      <c r="E1610" t="s">
        <v>8</v>
      </c>
      <c r="F1610" s="22">
        <v>876</v>
      </c>
      <c r="G1610" s="22">
        <v>0</v>
      </c>
      <c r="H1610" s="22">
        <v>0</v>
      </c>
      <c r="I1610" s="22">
        <v>876</v>
      </c>
      <c r="J1610">
        <v>0</v>
      </c>
      <c r="K1610">
        <v>0</v>
      </c>
      <c r="L1610" s="22">
        <v>876</v>
      </c>
      <c r="M1610" s="22">
        <v>0</v>
      </c>
      <c r="N1610" s="22">
        <v>0</v>
      </c>
      <c r="O1610" s="22">
        <v>876</v>
      </c>
      <c r="P1610" s="22">
        <v>500</v>
      </c>
      <c r="Q1610" s="22">
        <v>376</v>
      </c>
      <c r="R1610">
        <v>0</v>
      </c>
      <c r="T1610" t="s">
        <v>2972</v>
      </c>
      <c r="U1610" t="s">
        <v>3057</v>
      </c>
      <c r="V1610" t="s">
        <v>3056</v>
      </c>
    </row>
    <row r="1611" spans="1:22">
      <c r="A1611">
        <v>1614</v>
      </c>
      <c r="B1611" t="s">
        <v>3408</v>
      </c>
      <c r="C1611" t="s">
        <v>3409</v>
      </c>
      <c r="D1611" t="s">
        <v>17</v>
      </c>
      <c r="E1611" t="s">
        <v>8</v>
      </c>
      <c r="F1611" s="22">
        <v>1180</v>
      </c>
      <c r="G1611" s="22">
        <v>0</v>
      </c>
      <c r="H1611" s="22">
        <v>0</v>
      </c>
      <c r="I1611" s="22">
        <v>1180</v>
      </c>
      <c r="J1611">
        <v>0</v>
      </c>
      <c r="K1611">
        <v>0</v>
      </c>
      <c r="L1611" s="22">
        <v>1180</v>
      </c>
      <c r="M1611" s="22">
        <v>0</v>
      </c>
      <c r="N1611" s="22">
        <v>0</v>
      </c>
      <c r="O1611" s="22">
        <v>1180</v>
      </c>
      <c r="P1611" s="22">
        <v>500</v>
      </c>
      <c r="Q1611" s="22">
        <v>680</v>
      </c>
      <c r="R1611">
        <v>0</v>
      </c>
      <c r="T1611" t="s">
        <v>2972</v>
      </c>
      <c r="U1611" t="s">
        <v>3057</v>
      </c>
      <c r="V1611" t="s">
        <v>3056</v>
      </c>
    </row>
    <row r="1612" spans="1:22">
      <c r="A1612">
        <v>1615</v>
      </c>
      <c r="B1612" t="s">
        <v>3410</v>
      </c>
      <c r="C1612" t="s">
        <v>3411</v>
      </c>
      <c r="D1612" t="s">
        <v>17</v>
      </c>
      <c r="E1612" t="s">
        <v>8</v>
      </c>
      <c r="F1612" s="22">
        <v>1000</v>
      </c>
      <c r="G1612" s="22">
        <v>0</v>
      </c>
      <c r="H1612" s="22">
        <v>0</v>
      </c>
      <c r="I1612" s="22">
        <v>1000</v>
      </c>
      <c r="J1612">
        <v>0</v>
      </c>
      <c r="K1612">
        <v>0</v>
      </c>
      <c r="L1612" s="22">
        <v>1000</v>
      </c>
      <c r="M1612" s="22">
        <v>0</v>
      </c>
      <c r="N1612" s="22">
        <v>0</v>
      </c>
      <c r="O1612" s="22">
        <v>1000</v>
      </c>
      <c r="P1612" s="22">
        <v>500</v>
      </c>
      <c r="Q1612" s="22">
        <v>500</v>
      </c>
      <c r="R1612">
        <v>0</v>
      </c>
      <c r="T1612" t="s">
        <v>2972</v>
      </c>
      <c r="U1612" t="s">
        <v>3057</v>
      </c>
      <c r="V1612" t="s">
        <v>3056</v>
      </c>
    </row>
    <row r="1613" spans="1:22">
      <c r="A1613">
        <v>1616</v>
      </c>
      <c r="B1613" t="s">
        <v>3412</v>
      </c>
      <c r="C1613" t="s">
        <v>3413</v>
      </c>
      <c r="D1613" t="s">
        <v>17</v>
      </c>
      <c r="E1613" t="s">
        <v>8</v>
      </c>
      <c r="F1613" s="22">
        <v>1090</v>
      </c>
      <c r="G1613" s="22">
        <v>0</v>
      </c>
      <c r="H1613" s="22">
        <v>1090</v>
      </c>
      <c r="I1613" s="22">
        <v>0</v>
      </c>
      <c r="J1613">
        <v>0</v>
      </c>
      <c r="K1613">
        <v>0</v>
      </c>
      <c r="L1613" s="22">
        <v>0</v>
      </c>
      <c r="M1613" s="22">
        <v>0</v>
      </c>
      <c r="N1613" s="22">
        <v>0</v>
      </c>
      <c r="O1613" s="22">
        <v>0</v>
      </c>
      <c r="P1613" s="22">
        <v>500</v>
      </c>
      <c r="Q1613" s="22">
        <v>-500</v>
      </c>
      <c r="R1613">
        <v>0</v>
      </c>
      <c r="T1613" t="s">
        <v>2972</v>
      </c>
      <c r="U1613" t="s">
        <v>3057</v>
      </c>
      <c r="V1613" t="s">
        <v>3056</v>
      </c>
    </row>
    <row r="1614" spans="1:22">
      <c r="A1614">
        <v>1617</v>
      </c>
      <c r="B1614" t="s">
        <v>3414</v>
      </c>
      <c r="C1614" t="s">
        <v>3415</v>
      </c>
      <c r="D1614" t="s">
        <v>17</v>
      </c>
      <c r="E1614" t="s">
        <v>8</v>
      </c>
      <c r="F1614" s="22">
        <v>1135</v>
      </c>
      <c r="G1614" s="22">
        <v>0</v>
      </c>
      <c r="H1614" s="22">
        <v>0</v>
      </c>
      <c r="I1614" s="22">
        <v>1135</v>
      </c>
      <c r="J1614">
        <v>0</v>
      </c>
      <c r="K1614">
        <v>0</v>
      </c>
      <c r="L1614" s="22">
        <v>1135</v>
      </c>
      <c r="M1614" s="22">
        <v>0</v>
      </c>
      <c r="N1614" s="22">
        <v>0</v>
      </c>
      <c r="O1614" s="22">
        <v>1135</v>
      </c>
      <c r="P1614" s="22">
        <v>500</v>
      </c>
      <c r="Q1614" s="22">
        <v>635</v>
      </c>
      <c r="R1614">
        <v>0</v>
      </c>
      <c r="T1614" t="s">
        <v>2972</v>
      </c>
      <c r="U1614" t="s">
        <v>3057</v>
      </c>
      <c r="V1614" t="s">
        <v>3056</v>
      </c>
    </row>
    <row r="1615" spans="1:22">
      <c r="A1615">
        <v>1618</v>
      </c>
      <c r="B1615" t="s">
        <v>3416</v>
      </c>
      <c r="C1615" t="s">
        <v>3417</v>
      </c>
      <c r="D1615" t="s">
        <v>17</v>
      </c>
      <c r="E1615" t="s">
        <v>8</v>
      </c>
      <c r="F1615" s="22">
        <v>1075</v>
      </c>
      <c r="G1615" s="22">
        <v>0</v>
      </c>
      <c r="H1615" s="22">
        <v>0</v>
      </c>
      <c r="I1615" s="22">
        <v>1075</v>
      </c>
      <c r="J1615">
        <v>0</v>
      </c>
      <c r="K1615">
        <v>0</v>
      </c>
      <c r="L1615" s="22">
        <v>1075</v>
      </c>
      <c r="M1615" s="22">
        <v>0</v>
      </c>
      <c r="N1615" s="22">
        <v>0</v>
      </c>
      <c r="O1615" s="22">
        <v>1075</v>
      </c>
      <c r="P1615" s="22">
        <v>500</v>
      </c>
      <c r="Q1615" s="22">
        <v>575</v>
      </c>
      <c r="R1615">
        <v>0</v>
      </c>
      <c r="T1615" t="s">
        <v>2972</v>
      </c>
      <c r="U1615" t="s">
        <v>3057</v>
      </c>
      <c r="V1615" t="s">
        <v>3056</v>
      </c>
    </row>
    <row r="1616" spans="1:22">
      <c r="A1616">
        <v>1619</v>
      </c>
      <c r="B1616" t="s">
        <v>3418</v>
      </c>
      <c r="C1616" t="s">
        <v>3419</v>
      </c>
      <c r="D1616" t="s">
        <v>17</v>
      </c>
      <c r="E1616" t="s">
        <v>8</v>
      </c>
      <c r="F1616" s="22">
        <v>750</v>
      </c>
      <c r="G1616" s="22">
        <v>0</v>
      </c>
      <c r="H1616" s="22">
        <v>0</v>
      </c>
      <c r="I1616" s="22">
        <v>750</v>
      </c>
      <c r="J1616">
        <v>0</v>
      </c>
      <c r="K1616">
        <v>0</v>
      </c>
      <c r="L1616" s="22">
        <v>750</v>
      </c>
      <c r="M1616" s="22">
        <v>0</v>
      </c>
      <c r="N1616" s="22">
        <v>0</v>
      </c>
      <c r="O1616" s="22">
        <v>750</v>
      </c>
      <c r="P1616" s="22">
        <v>700</v>
      </c>
      <c r="Q1616" s="22">
        <v>50</v>
      </c>
      <c r="R1616">
        <v>0</v>
      </c>
      <c r="T1616" t="s">
        <v>2972</v>
      </c>
      <c r="U1616" t="s">
        <v>3057</v>
      </c>
      <c r="V1616" t="s">
        <v>3056</v>
      </c>
    </row>
    <row r="1617" spans="1:22">
      <c r="A1617">
        <v>1620</v>
      </c>
      <c r="B1617" t="s">
        <v>3420</v>
      </c>
      <c r="C1617" t="s">
        <v>3421</v>
      </c>
      <c r="D1617" t="s">
        <v>17</v>
      </c>
      <c r="E1617" t="s">
        <v>8</v>
      </c>
      <c r="F1617" s="22">
        <v>1110</v>
      </c>
      <c r="G1617" s="22">
        <v>0</v>
      </c>
      <c r="H1617" s="22">
        <v>0</v>
      </c>
      <c r="I1617" s="22">
        <v>1110</v>
      </c>
      <c r="J1617">
        <v>0</v>
      </c>
      <c r="K1617">
        <v>0</v>
      </c>
      <c r="L1617" s="22">
        <v>1110</v>
      </c>
      <c r="M1617" s="22">
        <v>0</v>
      </c>
      <c r="N1617" s="22">
        <v>0</v>
      </c>
      <c r="O1617" s="22">
        <v>1110</v>
      </c>
      <c r="P1617" s="22">
        <v>500</v>
      </c>
      <c r="Q1617" s="22">
        <v>610</v>
      </c>
      <c r="R1617">
        <v>0</v>
      </c>
      <c r="T1617" t="s">
        <v>2972</v>
      </c>
      <c r="U1617" t="s">
        <v>3057</v>
      </c>
      <c r="V1617" t="s">
        <v>3056</v>
      </c>
    </row>
    <row r="1618" spans="1:22">
      <c r="A1618">
        <v>1621</v>
      </c>
      <c r="B1618" t="s">
        <v>3422</v>
      </c>
      <c r="C1618" t="s">
        <v>3423</v>
      </c>
      <c r="D1618" t="s">
        <v>17</v>
      </c>
      <c r="E1618" t="s">
        <v>8</v>
      </c>
      <c r="F1618" s="22">
        <v>1090</v>
      </c>
      <c r="G1618" s="22">
        <v>0</v>
      </c>
      <c r="H1618" s="22">
        <v>0</v>
      </c>
      <c r="I1618" s="22">
        <v>1090</v>
      </c>
      <c r="J1618">
        <v>0</v>
      </c>
      <c r="K1618">
        <v>0</v>
      </c>
      <c r="L1618" s="22">
        <v>1090</v>
      </c>
      <c r="M1618" s="22">
        <v>0</v>
      </c>
      <c r="N1618" s="22">
        <v>0</v>
      </c>
      <c r="O1618" s="22">
        <v>1090</v>
      </c>
      <c r="P1618" s="22">
        <v>500</v>
      </c>
      <c r="Q1618" s="22">
        <v>590</v>
      </c>
      <c r="R1618">
        <v>0</v>
      </c>
      <c r="T1618" t="s">
        <v>2972</v>
      </c>
      <c r="U1618" t="s">
        <v>3057</v>
      </c>
      <c r="V1618" t="s">
        <v>3056</v>
      </c>
    </row>
    <row r="1619" spans="1:22">
      <c r="A1619">
        <v>1622</v>
      </c>
      <c r="B1619" t="s">
        <v>3424</v>
      </c>
      <c r="C1619" t="s">
        <v>3425</v>
      </c>
      <c r="D1619" t="s">
        <v>20</v>
      </c>
      <c r="E1619" t="s">
        <v>8</v>
      </c>
      <c r="F1619" s="22">
        <v>0</v>
      </c>
      <c r="G1619" s="22">
        <v>0</v>
      </c>
      <c r="H1619" s="22">
        <v>0</v>
      </c>
      <c r="I1619" s="22">
        <v>0</v>
      </c>
      <c r="J1619">
        <v>0</v>
      </c>
      <c r="K1619">
        <v>0</v>
      </c>
      <c r="L1619" s="22">
        <v>0</v>
      </c>
      <c r="M1619" s="22">
        <v>0</v>
      </c>
      <c r="N1619" s="22">
        <v>0</v>
      </c>
      <c r="O1619" s="22">
        <v>0</v>
      </c>
      <c r="P1619" s="22">
        <v>0</v>
      </c>
      <c r="Q1619" s="22">
        <v>0</v>
      </c>
      <c r="R1619">
        <v>0</v>
      </c>
      <c r="T1619" t="s">
        <v>2991</v>
      </c>
      <c r="U1619" t="s">
        <v>3057</v>
      </c>
      <c r="V1619" t="s">
        <v>3056</v>
      </c>
    </row>
    <row r="1620" spans="1:22">
      <c r="A1620">
        <v>1623</v>
      </c>
      <c r="B1620" t="s">
        <v>3426</v>
      </c>
      <c r="C1620" t="s">
        <v>3427</v>
      </c>
      <c r="D1620" t="s">
        <v>20</v>
      </c>
      <c r="E1620" t="s">
        <v>8</v>
      </c>
      <c r="F1620" s="22">
        <v>14.7</v>
      </c>
      <c r="G1620" s="22">
        <v>0</v>
      </c>
      <c r="H1620" s="22">
        <v>0</v>
      </c>
      <c r="I1620" s="22">
        <v>14.7</v>
      </c>
      <c r="J1620">
        <v>0</v>
      </c>
      <c r="K1620">
        <v>0</v>
      </c>
      <c r="L1620" s="22">
        <v>14.7</v>
      </c>
      <c r="M1620" s="22">
        <v>0</v>
      </c>
      <c r="N1620" s="22">
        <v>0</v>
      </c>
      <c r="O1620" s="22">
        <v>14.7</v>
      </c>
      <c r="P1620" s="22">
        <v>0</v>
      </c>
      <c r="Q1620" s="22">
        <v>14.7</v>
      </c>
      <c r="R1620">
        <v>0</v>
      </c>
      <c r="T1620" t="s">
        <v>2991</v>
      </c>
      <c r="U1620" t="s">
        <v>3057</v>
      </c>
      <c r="V1620" t="s">
        <v>3056</v>
      </c>
    </row>
    <row r="1621" spans="1:22">
      <c r="A1621">
        <v>1624</v>
      </c>
      <c r="B1621" t="s">
        <v>3428</v>
      </c>
      <c r="C1621" t="s">
        <v>3429</v>
      </c>
      <c r="D1621" t="s">
        <v>20</v>
      </c>
      <c r="E1621" t="s">
        <v>8</v>
      </c>
      <c r="F1621" s="22">
        <v>0</v>
      </c>
      <c r="G1621" s="22">
        <v>0</v>
      </c>
      <c r="H1621" s="22">
        <v>0</v>
      </c>
      <c r="I1621" s="22">
        <v>0</v>
      </c>
      <c r="J1621">
        <v>0</v>
      </c>
      <c r="K1621">
        <v>0</v>
      </c>
      <c r="L1621" s="22">
        <v>0</v>
      </c>
      <c r="M1621" s="22">
        <v>0</v>
      </c>
      <c r="N1621" s="22">
        <v>0</v>
      </c>
      <c r="O1621" s="22">
        <v>0</v>
      </c>
      <c r="P1621" s="22">
        <v>0</v>
      </c>
      <c r="Q1621" s="22">
        <v>0</v>
      </c>
      <c r="R1621">
        <v>0</v>
      </c>
      <c r="T1621" t="s">
        <v>2991</v>
      </c>
      <c r="U1621" t="s">
        <v>3057</v>
      </c>
      <c r="V1621" t="s">
        <v>3056</v>
      </c>
    </row>
    <row r="1622" spans="1:22">
      <c r="A1622">
        <v>1625</v>
      </c>
      <c r="B1622" t="s">
        <v>3430</v>
      </c>
      <c r="C1622" t="s">
        <v>3431</v>
      </c>
      <c r="D1622" t="s">
        <v>17</v>
      </c>
      <c r="E1622" t="s">
        <v>8</v>
      </c>
      <c r="F1622" s="22">
        <v>1140</v>
      </c>
      <c r="G1622" s="22">
        <v>0</v>
      </c>
      <c r="H1622" s="22">
        <v>1140</v>
      </c>
      <c r="I1622" s="22">
        <v>0</v>
      </c>
      <c r="J1622">
        <v>0</v>
      </c>
      <c r="K1622">
        <v>0</v>
      </c>
      <c r="L1622" s="22">
        <v>0</v>
      </c>
      <c r="M1622" s="22">
        <v>0</v>
      </c>
      <c r="N1622" s="22">
        <v>0</v>
      </c>
      <c r="O1622" s="22">
        <v>0</v>
      </c>
      <c r="P1622" s="22">
        <v>500</v>
      </c>
      <c r="Q1622" s="22">
        <v>-500</v>
      </c>
      <c r="R1622">
        <v>0</v>
      </c>
      <c r="T1622" t="s">
        <v>2972</v>
      </c>
      <c r="U1622" t="s">
        <v>3057</v>
      </c>
      <c r="V1622" t="s">
        <v>3056</v>
      </c>
    </row>
    <row r="1623" spans="1:22">
      <c r="A1623">
        <v>1626</v>
      </c>
      <c r="B1623" t="s">
        <v>3432</v>
      </c>
      <c r="C1623" t="s">
        <v>3433</v>
      </c>
      <c r="D1623" t="s">
        <v>17</v>
      </c>
      <c r="E1623" t="s">
        <v>8</v>
      </c>
      <c r="F1623" s="22">
        <v>250</v>
      </c>
      <c r="G1623" s="22">
        <v>0</v>
      </c>
      <c r="H1623" s="22">
        <v>0</v>
      </c>
      <c r="I1623" s="22">
        <v>250</v>
      </c>
      <c r="J1623">
        <v>0</v>
      </c>
      <c r="K1623">
        <v>0</v>
      </c>
      <c r="L1623" s="22">
        <v>250</v>
      </c>
      <c r="M1623" s="22">
        <v>0</v>
      </c>
      <c r="N1623" s="22">
        <v>0</v>
      </c>
      <c r="O1623" s="22">
        <v>250</v>
      </c>
      <c r="P1623" s="22">
        <v>200</v>
      </c>
      <c r="Q1623" s="22">
        <v>50</v>
      </c>
      <c r="R1623">
        <v>0</v>
      </c>
      <c r="T1623" t="s">
        <v>2972</v>
      </c>
      <c r="U1623" t="s">
        <v>3057</v>
      </c>
      <c r="V1623" t="s">
        <v>3056</v>
      </c>
    </row>
    <row r="1624" spans="1:22">
      <c r="A1624">
        <v>1627</v>
      </c>
      <c r="B1624" t="s">
        <v>3434</v>
      </c>
      <c r="C1624" t="s">
        <v>3435</v>
      </c>
      <c r="D1624" t="s">
        <v>17</v>
      </c>
      <c r="E1624" t="s">
        <v>8</v>
      </c>
      <c r="F1624" s="22">
        <v>250</v>
      </c>
      <c r="G1624" s="22">
        <v>0</v>
      </c>
      <c r="H1624" s="22">
        <v>0</v>
      </c>
      <c r="I1624" s="22">
        <v>250</v>
      </c>
      <c r="J1624">
        <v>0</v>
      </c>
      <c r="K1624">
        <v>0</v>
      </c>
      <c r="L1624" s="22">
        <v>250</v>
      </c>
      <c r="M1624" s="22">
        <v>0</v>
      </c>
      <c r="N1624" s="22">
        <v>0</v>
      </c>
      <c r="O1624" s="22">
        <v>250</v>
      </c>
      <c r="P1624" s="22">
        <v>200</v>
      </c>
      <c r="Q1624" s="22">
        <v>50</v>
      </c>
      <c r="R1624">
        <v>0</v>
      </c>
      <c r="T1624" t="s">
        <v>2972</v>
      </c>
      <c r="U1624" t="s">
        <v>3057</v>
      </c>
      <c r="V1624" t="s">
        <v>3056</v>
      </c>
    </row>
    <row r="1625" spans="1:22">
      <c r="A1625">
        <v>1628</v>
      </c>
      <c r="B1625" t="s">
        <v>3436</v>
      </c>
      <c r="C1625" t="s">
        <v>3437</v>
      </c>
      <c r="D1625" t="s">
        <v>17</v>
      </c>
      <c r="E1625" t="s">
        <v>8</v>
      </c>
      <c r="F1625" s="22">
        <v>1030</v>
      </c>
      <c r="G1625" s="22">
        <v>0</v>
      </c>
      <c r="H1625" s="22">
        <v>0</v>
      </c>
      <c r="I1625" s="22">
        <v>1030</v>
      </c>
      <c r="J1625">
        <v>0</v>
      </c>
      <c r="K1625">
        <v>0</v>
      </c>
      <c r="L1625" s="22">
        <v>1030</v>
      </c>
      <c r="M1625" s="22">
        <v>0</v>
      </c>
      <c r="N1625" s="22">
        <v>0</v>
      </c>
      <c r="O1625" s="22">
        <v>1030</v>
      </c>
      <c r="P1625" s="22">
        <v>500</v>
      </c>
      <c r="Q1625" s="22">
        <v>530</v>
      </c>
      <c r="R1625">
        <v>0</v>
      </c>
      <c r="T1625" t="s">
        <v>2972</v>
      </c>
      <c r="U1625" t="s">
        <v>3057</v>
      </c>
      <c r="V1625" t="s">
        <v>3056</v>
      </c>
    </row>
    <row r="1626" spans="1:22">
      <c r="A1626">
        <v>1629</v>
      </c>
      <c r="B1626" t="s">
        <v>3438</v>
      </c>
      <c r="C1626" t="s">
        <v>3439</v>
      </c>
      <c r="D1626" t="s">
        <v>17</v>
      </c>
      <c r="E1626" t="s">
        <v>8</v>
      </c>
      <c r="F1626" s="22">
        <v>250</v>
      </c>
      <c r="G1626" s="22">
        <v>0</v>
      </c>
      <c r="H1626" s="22">
        <v>0</v>
      </c>
      <c r="I1626" s="22">
        <v>250</v>
      </c>
      <c r="J1626">
        <v>0</v>
      </c>
      <c r="K1626">
        <v>0</v>
      </c>
      <c r="L1626" s="22">
        <v>250</v>
      </c>
      <c r="M1626" s="22">
        <v>0</v>
      </c>
      <c r="N1626" s="22">
        <v>0</v>
      </c>
      <c r="O1626" s="22">
        <v>250</v>
      </c>
      <c r="P1626" s="22">
        <v>200</v>
      </c>
      <c r="Q1626" s="22">
        <v>50</v>
      </c>
      <c r="R1626">
        <v>0</v>
      </c>
      <c r="T1626" t="s">
        <v>2972</v>
      </c>
      <c r="U1626" t="s">
        <v>3057</v>
      </c>
      <c r="V1626" t="s">
        <v>3056</v>
      </c>
    </row>
    <row r="1627" spans="1:22">
      <c r="A1627">
        <v>1630</v>
      </c>
      <c r="B1627" t="s">
        <v>3440</v>
      </c>
      <c r="C1627" t="s">
        <v>3441</v>
      </c>
      <c r="D1627" t="s">
        <v>17</v>
      </c>
      <c r="E1627" t="s">
        <v>8</v>
      </c>
      <c r="F1627" s="22">
        <v>250</v>
      </c>
      <c r="G1627" s="22">
        <v>0</v>
      </c>
      <c r="H1627" s="22">
        <v>50</v>
      </c>
      <c r="I1627" s="22">
        <v>200</v>
      </c>
      <c r="J1627">
        <v>0</v>
      </c>
      <c r="K1627">
        <v>0</v>
      </c>
      <c r="L1627" s="22">
        <v>200</v>
      </c>
      <c r="M1627" s="22">
        <v>0</v>
      </c>
      <c r="N1627" s="22">
        <v>0</v>
      </c>
      <c r="O1627" s="22">
        <v>200</v>
      </c>
      <c r="P1627" s="22">
        <v>200</v>
      </c>
      <c r="Q1627" s="22">
        <v>0</v>
      </c>
      <c r="R1627">
        <v>0</v>
      </c>
      <c r="T1627" t="s">
        <v>2972</v>
      </c>
      <c r="U1627" t="s">
        <v>3057</v>
      </c>
      <c r="V1627" t="s">
        <v>3056</v>
      </c>
    </row>
    <row r="1628" spans="1:22">
      <c r="A1628">
        <v>1631</v>
      </c>
      <c r="B1628" t="s">
        <v>3442</v>
      </c>
      <c r="C1628" t="s">
        <v>3443</v>
      </c>
      <c r="D1628" t="s">
        <v>17</v>
      </c>
      <c r="E1628" t="s">
        <v>8</v>
      </c>
      <c r="F1628" s="22">
        <v>414</v>
      </c>
      <c r="G1628" s="22">
        <v>2034</v>
      </c>
      <c r="H1628" s="22">
        <v>240</v>
      </c>
      <c r="I1628" s="22">
        <v>2208</v>
      </c>
      <c r="J1628">
        <v>0</v>
      </c>
      <c r="K1628">
        <v>0</v>
      </c>
      <c r="L1628" s="22">
        <v>2208</v>
      </c>
      <c r="M1628" s="22">
        <v>0</v>
      </c>
      <c r="N1628" s="22">
        <v>0</v>
      </c>
      <c r="O1628" s="22">
        <v>2208</v>
      </c>
      <c r="P1628" s="22">
        <v>150</v>
      </c>
      <c r="Q1628" s="22">
        <v>2058</v>
      </c>
      <c r="R1628">
        <v>1000</v>
      </c>
      <c r="T1628" t="s">
        <v>2972</v>
      </c>
      <c r="U1628" t="s">
        <v>3055</v>
      </c>
      <c r="V1628" t="s">
        <v>3056</v>
      </c>
    </row>
    <row r="1629" spans="1:22">
      <c r="A1629">
        <v>1632</v>
      </c>
      <c r="B1629" t="s">
        <v>3444</v>
      </c>
      <c r="C1629" t="s">
        <v>3445</v>
      </c>
      <c r="D1629" t="s">
        <v>17</v>
      </c>
      <c r="E1629" t="s">
        <v>8</v>
      </c>
      <c r="F1629" s="22">
        <v>250</v>
      </c>
      <c r="G1629" s="22">
        <v>0</v>
      </c>
      <c r="H1629" s="22">
        <v>0</v>
      </c>
      <c r="I1629" s="22">
        <v>250</v>
      </c>
      <c r="J1629">
        <v>0</v>
      </c>
      <c r="K1629">
        <v>0</v>
      </c>
      <c r="L1629" s="22">
        <v>250</v>
      </c>
      <c r="M1629" s="22">
        <v>0</v>
      </c>
      <c r="N1629" s="22">
        <v>0</v>
      </c>
      <c r="O1629" s="22">
        <v>250</v>
      </c>
      <c r="P1629" s="22">
        <v>200</v>
      </c>
      <c r="Q1629" s="22">
        <v>50</v>
      </c>
      <c r="R1629">
        <v>0</v>
      </c>
      <c r="T1629" t="s">
        <v>2972</v>
      </c>
      <c r="U1629" t="s">
        <v>3057</v>
      </c>
      <c r="V1629" t="s">
        <v>3056</v>
      </c>
    </row>
    <row r="1630" spans="1:22">
      <c r="A1630">
        <v>1633</v>
      </c>
      <c r="B1630" t="s">
        <v>3446</v>
      </c>
      <c r="C1630" t="s">
        <v>3447</v>
      </c>
      <c r="D1630" t="s">
        <v>17</v>
      </c>
      <c r="E1630" t="s">
        <v>8</v>
      </c>
      <c r="F1630" s="22">
        <v>1115</v>
      </c>
      <c r="G1630" s="22">
        <v>0</v>
      </c>
      <c r="H1630" s="22">
        <v>0</v>
      </c>
      <c r="I1630" s="22">
        <v>1115</v>
      </c>
      <c r="J1630">
        <v>0</v>
      </c>
      <c r="K1630">
        <v>0</v>
      </c>
      <c r="L1630" s="22">
        <v>1115</v>
      </c>
      <c r="M1630" s="22">
        <v>0</v>
      </c>
      <c r="N1630" s="22">
        <v>0</v>
      </c>
      <c r="O1630" s="22">
        <v>1115</v>
      </c>
      <c r="P1630" s="22">
        <v>500</v>
      </c>
      <c r="Q1630" s="22">
        <v>615</v>
      </c>
      <c r="R1630">
        <v>0</v>
      </c>
      <c r="T1630" t="s">
        <v>2972</v>
      </c>
      <c r="U1630" t="s">
        <v>3057</v>
      </c>
      <c r="V1630" t="s">
        <v>3056</v>
      </c>
    </row>
    <row r="1631" spans="1:22">
      <c r="A1631">
        <v>1634</v>
      </c>
      <c r="B1631" t="s">
        <v>3448</v>
      </c>
      <c r="C1631" t="s">
        <v>3449</v>
      </c>
      <c r="D1631" t="s">
        <v>17</v>
      </c>
      <c r="E1631" t="s">
        <v>8</v>
      </c>
      <c r="F1631" s="22">
        <v>250</v>
      </c>
      <c r="G1631" s="22">
        <v>0</v>
      </c>
      <c r="H1631" s="22">
        <v>0</v>
      </c>
      <c r="I1631" s="22">
        <v>250</v>
      </c>
      <c r="J1631">
        <v>0</v>
      </c>
      <c r="K1631">
        <v>0</v>
      </c>
      <c r="L1631" s="22">
        <v>250</v>
      </c>
      <c r="M1631" s="22">
        <v>0</v>
      </c>
      <c r="N1631" s="22">
        <v>0</v>
      </c>
      <c r="O1631" s="22">
        <v>250</v>
      </c>
      <c r="P1631" s="22">
        <v>200</v>
      </c>
      <c r="Q1631" s="22">
        <v>50</v>
      </c>
      <c r="R1631">
        <v>0</v>
      </c>
      <c r="T1631" t="s">
        <v>2972</v>
      </c>
      <c r="U1631" t="s">
        <v>3057</v>
      </c>
      <c r="V1631" t="s">
        <v>3056</v>
      </c>
    </row>
    <row r="1632" spans="1:22">
      <c r="A1632">
        <v>1635</v>
      </c>
      <c r="B1632" t="s">
        <v>3450</v>
      </c>
      <c r="C1632" t="s">
        <v>3451</v>
      </c>
      <c r="D1632" t="s">
        <v>17</v>
      </c>
      <c r="E1632" t="s">
        <v>8</v>
      </c>
      <c r="F1632" s="22">
        <v>1808</v>
      </c>
      <c r="G1632" s="22">
        <v>0</v>
      </c>
      <c r="H1632" s="22">
        <v>0</v>
      </c>
      <c r="I1632" s="22">
        <v>1808</v>
      </c>
      <c r="J1632">
        <v>0</v>
      </c>
      <c r="K1632">
        <v>0</v>
      </c>
      <c r="L1632" s="22">
        <v>1808</v>
      </c>
      <c r="M1632" s="22">
        <v>0</v>
      </c>
      <c r="N1632" s="22">
        <v>0</v>
      </c>
      <c r="O1632" s="22">
        <v>1808</v>
      </c>
      <c r="P1632" s="22">
        <v>500</v>
      </c>
      <c r="Q1632" s="22">
        <v>1308</v>
      </c>
      <c r="R1632">
        <v>0</v>
      </c>
      <c r="T1632" t="s">
        <v>2972</v>
      </c>
      <c r="U1632" t="s">
        <v>3057</v>
      </c>
      <c r="V1632" t="s">
        <v>3056</v>
      </c>
    </row>
    <row r="1633" spans="1:22">
      <c r="A1633">
        <v>1636</v>
      </c>
      <c r="B1633" t="s">
        <v>3452</v>
      </c>
      <c r="C1633" t="s">
        <v>3453</v>
      </c>
      <c r="D1633" t="s">
        <v>17</v>
      </c>
      <c r="E1633" t="s">
        <v>8</v>
      </c>
      <c r="F1633" s="22">
        <v>1050</v>
      </c>
      <c r="G1633" s="22">
        <v>0</v>
      </c>
      <c r="H1633" s="22">
        <v>0</v>
      </c>
      <c r="I1633" s="22">
        <v>1050</v>
      </c>
      <c r="J1633">
        <v>0</v>
      </c>
      <c r="K1633">
        <v>0</v>
      </c>
      <c r="L1633" s="22">
        <v>1050</v>
      </c>
      <c r="M1633" s="22">
        <v>0</v>
      </c>
      <c r="N1633" s="22">
        <v>0</v>
      </c>
      <c r="O1633" s="22">
        <v>1050</v>
      </c>
      <c r="P1633" s="22">
        <v>500</v>
      </c>
      <c r="Q1633" s="22">
        <v>550</v>
      </c>
      <c r="R1633">
        <v>0</v>
      </c>
      <c r="T1633" t="s">
        <v>2972</v>
      </c>
      <c r="U1633" t="s">
        <v>3057</v>
      </c>
      <c r="V1633" t="s">
        <v>3056</v>
      </c>
    </row>
    <row r="1634" spans="1:22">
      <c r="A1634">
        <v>1637</v>
      </c>
      <c r="B1634" t="s">
        <v>3454</v>
      </c>
      <c r="C1634" t="s">
        <v>3455</v>
      </c>
      <c r="D1634" t="s">
        <v>17</v>
      </c>
      <c r="E1634" t="s">
        <v>8</v>
      </c>
      <c r="F1634" s="22">
        <v>1080</v>
      </c>
      <c r="G1634" s="22">
        <v>0</v>
      </c>
      <c r="H1634" s="22">
        <v>0</v>
      </c>
      <c r="I1634" s="22">
        <v>1080</v>
      </c>
      <c r="J1634">
        <v>0</v>
      </c>
      <c r="K1634">
        <v>0</v>
      </c>
      <c r="L1634" s="22">
        <v>1080</v>
      </c>
      <c r="M1634" s="22">
        <v>0</v>
      </c>
      <c r="N1634" s="22">
        <v>0</v>
      </c>
      <c r="O1634" s="22">
        <v>1080</v>
      </c>
      <c r="P1634" s="22">
        <v>500</v>
      </c>
      <c r="Q1634" s="22">
        <v>580</v>
      </c>
      <c r="R1634">
        <v>0</v>
      </c>
      <c r="T1634" t="s">
        <v>2972</v>
      </c>
      <c r="U1634" t="s">
        <v>3057</v>
      </c>
      <c r="V1634" t="s">
        <v>3056</v>
      </c>
    </row>
    <row r="1635" spans="1:22">
      <c r="A1635">
        <v>1638</v>
      </c>
      <c r="B1635" t="s">
        <v>3456</v>
      </c>
      <c r="C1635" t="s">
        <v>3457</v>
      </c>
      <c r="D1635" t="s">
        <v>17</v>
      </c>
      <c r="E1635" t="s">
        <v>8</v>
      </c>
      <c r="F1635" s="22">
        <v>0</v>
      </c>
      <c r="G1635" s="22">
        <v>62</v>
      </c>
      <c r="H1635" s="22">
        <v>62</v>
      </c>
      <c r="I1635" s="22">
        <v>0</v>
      </c>
      <c r="J1635">
        <v>0</v>
      </c>
      <c r="K1635">
        <v>0</v>
      </c>
      <c r="L1635" s="22">
        <v>0</v>
      </c>
      <c r="M1635" s="22">
        <v>0</v>
      </c>
      <c r="N1635" s="22">
        <v>0</v>
      </c>
      <c r="O1635" s="22">
        <v>0</v>
      </c>
      <c r="P1635" s="22">
        <v>0</v>
      </c>
      <c r="Q1635" s="22">
        <v>0</v>
      </c>
      <c r="R1635">
        <v>0</v>
      </c>
      <c r="T1635" t="s">
        <v>2982</v>
      </c>
      <c r="U1635" t="s">
        <v>3060</v>
      </c>
      <c r="V1635" t="s">
        <v>3061</v>
      </c>
    </row>
    <row r="1636" spans="1:22">
      <c r="A1636">
        <v>1639</v>
      </c>
      <c r="B1636" t="s">
        <v>3458</v>
      </c>
      <c r="C1636" t="s">
        <v>3459</v>
      </c>
      <c r="D1636" t="s">
        <v>17</v>
      </c>
      <c r="E1636" t="s">
        <v>8</v>
      </c>
      <c r="F1636" s="22">
        <v>700</v>
      </c>
      <c r="G1636" s="22">
        <v>0</v>
      </c>
      <c r="H1636" s="22">
        <v>0</v>
      </c>
      <c r="I1636" s="22">
        <v>700</v>
      </c>
      <c r="J1636">
        <v>0</v>
      </c>
      <c r="K1636">
        <v>0</v>
      </c>
      <c r="L1636" s="22">
        <v>700</v>
      </c>
      <c r="M1636" s="22">
        <v>0</v>
      </c>
      <c r="N1636" s="22">
        <v>0</v>
      </c>
      <c r="O1636" s="22">
        <v>700</v>
      </c>
      <c r="P1636" s="22">
        <v>500</v>
      </c>
      <c r="Q1636" s="22">
        <v>200</v>
      </c>
      <c r="R1636">
        <v>0</v>
      </c>
      <c r="T1636" t="s">
        <v>2972</v>
      </c>
      <c r="U1636" t="s">
        <v>3057</v>
      </c>
      <c r="V1636" t="s">
        <v>3056</v>
      </c>
    </row>
    <row r="1637" spans="1:22">
      <c r="A1637">
        <v>1640</v>
      </c>
      <c r="B1637" t="s">
        <v>3460</v>
      </c>
      <c r="C1637" t="s">
        <v>3461</v>
      </c>
      <c r="D1637" t="s">
        <v>20</v>
      </c>
      <c r="E1637" t="s">
        <v>8</v>
      </c>
      <c r="F1637" s="22">
        <v>100.8</v>
      </c>
      <c r="G1637" s="22">
        <v>0</v>
      </c>
      <c r="H1637" s="22">
        <v>0</v>
      </c>
      <c r="I1637" s="22">
        <v>100.8</v>
      </c>
      <c r="J1637">
        <v>0</v>
      </c>
      <c r="K1637">
        <v>0</v>
      </c>
      <c r="L1637" s="22">
        <v>100.8</v>
      </c>
      <c r="M1637" s="22">
        <v>0</v>
      </c>
      <c r="N1637" s="22">
        <v>0</v>
      </c>
      <c r="O1637" s="22">
        <v>100.8</v>
      </c>
      <c r="P1637" s="22">
        <v>60</v>
      </c>
      <c r="Q1637" s="22">
        <v>40.799999999999997</v>
      </c>
      <c r="R1637">
        <v>0</v>
      </c>
      <c r="T1637" t="s">
        <v>2991</v>
      </c>
      <c r="U1637" t="s">
        <v>3057</v>
      </c>
      <c r="V1637" t="s">
        <v>3056</v>
      </c>
    </row>
    <row r="1638" spans="1:22">
      <c r="A1638">
        <v>1641</v>
      </c>
      <c r="B1638" t="s">
        <v>3462</v>
      </c>
      <c r="C1638" t="s">
        <v>3463</v>
      </c>
      <c r="D1638" t="s">
        <v>20</v>
      </c>
      <c r="E1638" t="s">
        <v>8</v>
      </c>
      <c r="F1638" s="22">
        <v>78.88</v>
      </c>
      <c r="G1638" s="22">
        <v>0</v>
      </c>
      <c r="H1638" s="22">
        <v>0</v>
      </c>
      <c r="I1638" s="22">
        <v>78.88</v>
      </c>
      <c r="J1638">
        <v>0</v>
      </c>
      <c r="K1638">
        <v>0</v>
      </c>
      <c r="L1638" s="22">
        <v>78.88</v>
      </c>
      <c r="M1638" s="22">
        <v>0</v>
      </c>
      <c r="N1638" s="22">
        <v>0</v>
      </c>
      <c r="O1638" s="22">
        <v>78.88</v>
      </c>
      <c r="P1638" s="22">
        <v>60</v>
      </c>
      <c r="Q1638" s="22">
        <v>18.879999999999995</v>
      </c>
      <c r="R1638">
        <v>0</v>
      </c>
      <c r="T1638" t="s">
        <v>2991</v>
      </c>
      <c r="U1638" t="s">
        <v>3057</v>
      </c>
      <c r="V1638" t="s">
        <v>3056</v>
      </c>
    </row>
    <row r="1639" spans="1:22">
      <c r="A1639">
        <v>1642</v>
      </c>
      <c r="B1639" t="s">
        <v>3464</v>
      </c>
      <c r="C1639" t="s">
        <v>3465</v>
      </c>
      <c r="D1639" t="s">
        <v>20</v>
      </c>
      <c r="E1639" t="s">
        <v>8</v>
      </c>
      <c r="F1639" s="22">
        <v>108.32</v>
      </c>
      <c r="G1639" s="22">
        <v>0</v>
      </c>
      <c r="H1639" s="22">
        <v>0</v>
      </c>
      <c r="I1639" s="22">
        <v>108.32</v>
      </c>
      <c r="J1639">
        <v>0</v>
      </c>
      <c r="K1639">
        <v>0</v>
      </c>
      <c r="L1639" s="22">
        <v>108.32</v>
      </c>
      <c r="M1639" s="22">
        <v>0</v>
      </c>
      <c r="N1639" s="22">
        <v>0</v>
      </c>
      <c r="O1639" s="22">
        <v>108.32</v>
      </c>
      <c r="P1639" s="22">
        <v>60</v>
      </c>
      <c r="Q1639" s="22">
        <v>48.319999999999993</v>
      </c>
      <c r="R1639">
        <v>0</v>
      </c>
      <c r="T1639" t="s">
        <v>2991</v>
      </c>
      <c r="U1639" t="s">
        <v>3057</v>
      </c>
      <c r="V1639" t="s">
        <v>3056</v>
      </c>
    </row>
    <row r="1640" spans="1:22">
      <c r="A1640">
        <v>1643</v>
      </c>
      <c r="B1640" t="s">
        <v>3466</v>
      </c>
      <c r="C1640" t="s">
        <v>3467</v>
      </c>
      <c r="D1640" t="s">
        <v>20</v>
      </c>
      <c r="E1640" t="s">
        <v>8</v>
      </c>
      <c r="F1640" s="22">
        <v>48.4</v>
      </c>
      <c r="G1640" s="22">
        <v>0</v>
      </c>
      <c r="H1640" s="22">
        <v>0</v>
      </c>
      <c r="I1640" s="22">
        <v>48.4</v>
      </c>
      <c r="J1640">
        <v>0</v>
      </c>
      <c r="K1640">
        <v>0</v>
      </c>
      <c r="L1640" s="22">
        <v>48.4</v>
      </c>
      <c r="M1640" s="22">
        <v>0</v>
      </c>
      <c r="N1640" s="22">
        <v>0</v>
      </c>
      <c r="O1640" s="22">
        <v>48.4</v>
      </c>
      <c r="P1640" s="22">
        <v>60</v>
      </c>
      <c r="Q1640" s="22">
        <v>-11.600000000000001</v>
      </c>
      <c r="R1640">
        <v>0</v>
      </c>
      <c r="T1640" t="s">
        <v>2991</v>
      </c>
      <c r="U1640" t="s">
        <v>3057</v>
      </c>
      <c r="V1640" t="s">
        <v>3056</v>
      </c>
    </row>
    <row r="1641" spans="1:22">
      <c r="A1641">
        <v>1644</v>
      </c>
      <c r="B1641" t="s">
        <v>3468</v>
      </c>
      <c r="C1641" t="s">
        <v>3469</v>
      </c>
      <c r="D1641" t="s">
        <v>20</v>
      </c>
      <c r="E1641" t="s">
        <v>8</v>
      </c>
      <c r="F1641" s="22">
        <v>98.32</v>
      </c>
      <c r="G1641" s="22">
        <v>0</v>
      </c>
      <c r="H1641" s="22">
        <v>0</v>
      </c>
      <c r="I1641" s="22">
        <v>98.32</v>
      </c>
      <c r="J1641">
        <v>0</v>
      </c>
      <c r="K1641">
        <v>0</v>
      </c>
      <c r="L1641" s="22">
        <v>98.32</v>
      </c>
      <c r="M1641" s="22">
        <v>0</v>
      </c>
      <c r="N1641" s="22">
        <v>0</v>
      </c>
      <c r="O1641" s="22">
        <v>98.32</v>
      </c>
      <c r="P1641" s="22">
        <v>60</v>
      </c>
      <c r="Q1641" s="22">
        <v>38.319999999999993</v>
      </c>
      <c r="R1641">
        <v>0</v>
      </c>
      <c r="T1641" t="s">
        <v>2991</v>
      </c>
      <c r="U1641" t="s">
        <v>3057</v>
      </c>
      <c r="V1641" t="s">
        <v>3056</v>
      </c>
    </row>
    <row r="1642" spans="1:22">
      <c r="A1642">
        <v>1645</v>
      </c>
      <c r="B1642" t="s">
        <v>3470</v>
      </c>
      <c r="C1642" t="s">
        <v>3471</v>
      </c>
      <c r="D1642" t="s">
        <v>20</v>
      </c>
      <c r="E1642" t="s">
        <v>8</v>
      </c>
      <c r="F1642" s="22">
        <v>55.66</v>
      </c>
      <c r="G1642" s="22">
        <v>0</v>
      </c>
      <c r="H1642" s="22">
        <v>0</v>
      </c>
      <c r="I1642" s="22">
        <v>55.66</v>
      </c>
      <c r="J1642">
        <v>0</v>
      </c>
      <c r="K1642">
        <v>0</v>
      </c>
      <c r="L1642" s="22">
        <v>55.66</v>
      </c>
      <c r="M1642" s="22">
        <v>0</v>
      </c>
      <c r="N1642" s="22">
        <v>0</v>
      </c>
      <c r="O1642" s="22">
        <v>55.66</v>
      </c>
      <c r="P1642" s="22">
        <v>60</v>
      </c>
      <c r="Q1642" s="22">
        <v>-4.3400000000000034</v>
      </c>
      <c r="R1642">
        <v>0</v>
      </c>
      <c r="T1642" t="s">
        <v>2991</v>
      </c>
      <c r="U1642" t="s">
        <v>3057</v>
      </c>
      <c r="V1642" t="s">
        <v>3056</v>
      </c>
    </row>
    <row r="1643" spans="1:22">
      <c r="A1643">
        <v>1646</v>
      </c>
      <c r="B1643" t="s">
        <v>3472</v>
      </c>
      <c r="C1643" t="s">
        <v>3473</v>
      </c>
      <c r="D1643" t="s">
        <v>20</v>
      </c>
      <c r="E1643" t="s">
        <v>8</v>
      </c>
      <c r="F1643" s="22">
        <v>103.66</v>
      </c>
      <c r="G1643" s="22">
        <v>0</v>
      </c>
      <c r="H1643" s="22">
        <v>0</v>
      </c>
      <c r="I1643" s="22">
        <v>103.66</v>
      </c>
      <c r="J1643">
        <v>0</v>
      </c>
      <c r="K1643">
        <v>0</v>
      </c>
      <c r="L1643" s="22">
        <v>103.66</v>
      </c>
      <c r="M1643" s="22">
        <v>0</v>
      </c>
      <c r="N1643" s="22">
        <v>0</v>
      </c>
      <c r="O1643" s="22">
        <v>103.66</v>
      </c>
      <c r="P1643" s="22">
        <v>60</v>
      </c>
      <c r="Q1643" s="22">
        <v>43.66</v>
      </c>
      <c r="R1643">
        <v>0</v>
      </c>
      <c r="T1643" t="s">
        <v>2991</v>
      </c>
      <c r="U1643" t="s">
        <v>3057</v>
      </c>
      <c r="V1643" t="s">
        <v>3056</v>
      </c>
    </row>
    <row r="1644" spans="1:22">
      <c r="A1644">
        <v>1647</v>
      </c>
      <c r="B1644" t="s">
        <v>3474</v>
      </c>
      <c r="C1644" t="s">
        <v>3475</v>
      </c>
      <c r="D1644" t="s">
        <v>20</v>
      </c>
      <c r="E1644" t="s">
        <v>8</v>
      </c>
      <c r="F1644" s="22">
        <v>43.08</v>
      </c>
      <c r="G1644" s="22">
        <v>0</v>
      </c>
      <c r="H1644" s="22">
        <v>0</v>
      </c>
      <c r="I1644" s="22">
        <v>43.08</v>
      </c>
      <c r="J1644">
        <v>0</v>
      </c>
      <c r="K1644">
        <v>0</v>
      </c>
      <c r="L1644" s="22">
        <v>43.08</v>
      </c>
      <c r="M1644" s="22">
        <v>0</v>
      </c>
      <c r="N1644" s="22">
        <v>0</v>
      </c>
      <c r="O1644" s="22">
        <v>43.08</v>
      </c>
      <c r="P1644" s="22">
        <v>60</v>
      </c>
      <c r="Q1644" s="22">
        <v>-16.920000000000002</v>
      </c>
      <c r="R1644">
        <v>0</v>
      </c>
      <c r="T1644" t="s">
        <v>2991</v>
      </c>
      <c r="U1644" t="s">
        <v>3057</v>
      </c>
      <c r="V1644" t="s">
        <v>3056</v>
      </c>
    </row>
    <row r="1645" spans="1:22">
      <c r="A1645">
        <v>1648</v>
      </c>
      <c r="B1645" t="s">
        <v>3476</v>
      </c>
      <c r="C1645" t="s">
        <v>3477</v>
      </c>
      <c r="D1645" t="s">
        <v>20</v>
      </c>
      <c r="E1645" t="s">
        <v>8</v>
      </c>
      <c r="F1645" s="22">
        <v>216</v>
      </c>
      <c r="G1645" s="22">
        <v>0</v>
      </c>
      <c r="H1645" s="22">
        <v>0</v>
      </c>
      <c r="I1645" s="22">
        <v>216</v>
      </c>
      <c r="J1645">
        <v>0</v>
      </c>
      <c r="K1645">
        <v>0</v>
      </c>
      <c r="L1645" s="22">
        <v>216</v>
      </c>
      <c r="M1645" s="22">
        <v>0</v>
      </c>
      <c r="N1645" s="22">
        <v>0</v>
      </c>
      <c r="O1645" s="22">
        <v>216</v>
      </c>
      <c r="P1645" s="22">
        <v>350</v>
      </c>
      <c r="Q1645" s="22">
        <v>-134</v>
      </c>
      <c r="R1645">
        <v>0</v>
      </c>
      <c r="T1645" t="s">
        <v>3031</v>
      </c>
      <c r="U1645" t="s">
        <v>3057</v>
      </c>
      <c r="V1645" t="s">
        <v>3056</v>
      </c>
    </row>
    <row r="1646" spans="1:22">
      <c r="A1646">
        <v>1649</v>
      </c>
      <c r="B1646" t="s">
        <v>3478</v>
      </c>
      <c r="C1646" t="s">
        <v>3479</v>
      </c>
      <c r="D1646" t="s">
        <v>17</v>
      </c>
      <c r="E1646" t="s">
        <v>8</v>
      </c>
      <c r="F1646" s="22">
        <v>6</v>
      </c>
      <c r="G1646" s="22">
        <v>0</v>
      </c>
      <c r="H1646" s="22">
        <v>0</v>
      </c>
      <c r="I1646" s="22">
        <v>6</v>
      </c>
      <c r="J1646">
        <v>0</v>
      </c>
      <c r="K1646">
        <v>0</v>
      </c>
      <c r="L1646" s="22">
        <v>6</v>
      </c>
      <c r="M1646" s="22">
        <v>0</v>
      </c>
      <c r="N1646" s="22">
        <v>0</v>
      </c>
      <c r="O1646" s="22">
        <v>6</v>
      </c>
      <c r="P1646" s="22">
        <v>5</v>
      </c>
      <c r="Q1646" s="22">
        <v>1</v>
      </c>
      <c r="R1646">
        <v>0</v>
      </c>
      <c r="T1646" t="s">
        <v>3052</v>
      </c>
      <c r="U1646" t="s">
        <v>3062</v>
      </c>
      <c r="V1646" t="s">
        <v>3056</v>
      </c>
    </row>
    <row r="1647" spans="1:22">
      <c r="A1647">
        <v>1650</v>
      </c>
      <c r="B1647" t="s">
        <v>3480</v>
      </c>
      <c r="C1647" t="s">
        <v>3481</v>
      </c>
      <c r="D1647" t="s">
        <v>20</v>
      </c>
      <c r="E1647" t="s">
        <v>8</v>
      </c>
      <c r="F1647" s="22">
        <v>667</v>
      </c>
      <c r="G1647" s="22">
        <v>241.7</v>
      </c>
      <c r="H1647" s="22">
        <v>142</v>
      </c>
      <c r="I1647" s="22">
        <v>766.7</v>
      </c>
      <c r="J1647">
        <v>0</v>
      </c>
      <c r="K1647">
        <v>0</v>
      </c>
      <c r="L1647" s="22">
        <v>766.7</v>
      </c>
      <c r="M1647" s="22">
        <v>0</v>
      </c>
      <c r="N1647" s="22">
        <v>0</v>
      </c>
      <c r="O1647" s="22">
        <v>766.7</v>
      </c>
      <c r="P1647" s="22">
        <v>1250</v>
      </c>
      <c r="Q1647" s="22">
        <v>-483.29999999999995</v>
      </c>
      <c r="R1647">
        <v>0</v>
      </c>
      <c r="T1647" t="s">
        <v>3000</v>
      </c>
      <c r="U1647" t="s">
        <v>3059</v>
      </c>
      <c r="V1647" t="s">
        <v>3056</v>
      </c>
    </row>
    <row r="1648" spans="1:22">
      <c r="A1648">
        <v>1651</v>
      </c>
      <c r="B1648" t="s">
        <v>3482</v>
      </c>
      <c r="C1648" t="s">
        <v>3483</v>
      </c>
      <c r="D1648" t="s">
        <v>20</v>
      </c>
      <c r="E1648" t="s">
        <v>8</v>
      </c>
      <c r="F1648" s="22">
        <v>133.19999999999999</v>
      </c>
      <c r="G1648" s="22">
        <v>306.7</v>
      </c>
      <c r="H1648" s="22">
        <v>0</v>
      </c>
      <c r="I1648" s="22">
        <v>439.9</v>
      </c>
      <c r="J1648">
        <v>0</v>
      </c>
      <c r="K1648">
        <v>0</v>
      </c>
      <c r="L1648" s="22">
        <v>439.9</v>
      </c>
      <c r="M1648" s="22">
        <v>0</v>
      </c>
      <c r="N1648" s="22">
        <v>0</v>
      </c>
      <c r="O1648" s="22">
        <v>439.9</v>
      </c>
      <c r="P1648" s="22">
        <v>600</v>
      </c>
      <c r="Q1648" s="22">
        <v>-160.10000000000002</v>
      </c>
      <c r="R1648">
        <v>500</v>
      </c>
      <c r="T1648" t="s">
        <v>3000</v>
      </c>
      <c r="U1648" t="s">
        <v>3059</v>
      </c>
      <c r="V1648" t="s">
        <v>3056</v>
      </c>
    </row>
    <row r="1649" spans="1:22">
      <c r="A1649">
        <v>1652</v>
      </c>
      <c r="B1649" t="s">
        <v>3484</v>
      </c>
      <c r="C1649" t="s">
        <v>3485</v>
      </c>
      <c r="D1649" t="s">
        <v>20</v>
      </c>
      <c r="E1649" t="s">
        <v>8</v>
      </c>
      <c r="F1649" s="22">
        <v>552.29999999999995</v>
      </c>
      <c r="G1649" s="22">
        <v>1058.9000000000001</v>
      </c>
      <c r="H1649" s="22">
        <v>584.5</v>
      </c>
      <c r="I1649" s="22">
        <v>1026.7</v>
      </c>
      <c r="J1649">
        <v>0</v>
      </c>
      <c r="K1649">
        <v>0</v>
      </c>
      <c r="L1649" s="22">
        <v>1026.7</v>
      </c>
      <c r="M1649" s="22">
        <v>0</v>
      </c>
      <c r="N1649" s="22">
        <v>0</v>
      </c>
      <c r="O1649" s="22">
        <v>1026.7</v>
      </c>
      <c r="P1649" s="22">
        <v>1250</v>
      </c>
      <c r="Q1649" s="22">
        <v>-223.29999999999995</v>
      </c>
      <c r="R1649">
        <v>0</v>
      </c>
      <c r="T1649" t="s">
        <v>3000</v>
      </c>
      <c r="U1649" t="s">
        <v>3059</v>
      </c>
      <c r="V1649" t="s">
        <v>3056</v>
      </c>
    </row>
    <row r="1650" spans="1:22">
      <c r="A1650">
        <v>1653</v>
      </c>
      <c r="B1650" t="s">
        <v>3486</v>
      </c>
      <c r="C1650" t="s">
        <v>3487</v>
      </c>
      <c r="D1650" t="s">
        <v>7</v>
      </c>
      <c r="E1650" t="s">
        <v>8</v>
      </c>
      <c r="F1650" s="22">
        <v>277</v>
      </c>
      <c r="G1650" s="22">
        <v>0</v>
      </c>
      <c r="H1650" s="22">
        <v>0</v>
      </c>
      <c r="I1650" s="22">
        <v>277</v>
      </c>
      <c r="J1650">
        <v>0</v>
      </c>
      <c r="K1650">
        <v>0</v>
      </c>
      <c r="L1650" s="22">
        <v>277</v>
      </c>
      <c r="M1650" s="22">
        <v>0</v>
      </c>
      <c r="N1650" s="22">
        <v>0</v>
      </c>
      <c r="O1650" s="22">
        <v>277</v>
      </c>
      <c r="P1650" s="22">
        <v>500</v>
      </c>
      <c r="Q1650" s="22">
        <v>-223</v>
      </c>
      <c r="R1650">
        <v>0</v>
      </c>
      <c r="T1650" t="s">
        <v>2965</v>
      </c>
      <c r="U1650" t="s">
        <v>3055</v>
      </c>
      <c r="V1650" t="s">
        <v>3056</v>
      </c>
    </row>
    <row r="1651" spans="1:22">
      <c r="A1651">
        <v>1654</v>
      </c>
      <c r="B1651" t="s">
        <v>3488</v>
      </c>
      <c r="C1651" t="s">
        <v>3489</v>
      </c>
      <c r="D1651" t="s">
        <v>17</v>
      </c>
      <c r="E1651" t="s">
        <v>8</v>
      </c>
      <c r="F1651" s="22">
        <v>1200</v>
      </c>
      <c r="G1651" s="22">
        <v>100</v>
      </c>
      <c r="H1651" s="22">
        <v>0</v>
      </c>
      <c r="I1651" s="22">
        <v>1300</v>
      </c>
      <c r="J1651">
        <v>0</v>
      </c>
      <c r="K1651">
        <v>0</v>
      </c>
      <c r="L1651" s="22">
        <v>1300</v>
      </c>
      <c r="M1651" s="22">
        <v>0</v>
      </c>
      <c r="N1651" s="22">
        <v>0</v>
      </c>
      <c r="O1651" s="22">
        <v>1300</v>
      </c>
      <c r="P1651" s="22">
        <v>600</v>
      </c>
      <c r="Q1651" s="22">
        <v>700</v>
      </c>
      <c r="R1651">
        <v>0</v>
      </c>
      <c r="T1651" t="s">
        <v>3012</v>
      </c>
      <c r="U1651" t="s">
        <v>3057</v>
      </c>
      <c r="V1651" t="s">
        <v>3056</v>
      </c>
    </row>
    <row r="1652" spans="1:22">
      <c r="A1652">
        <v>1655</v>
      </c>
      <c r="B1652" t="s">
        <v>3490</v>
      </c>
      <c r="C1652" t="s">
        <v>3491</v>
      </c>
      <c r="D1652" t="s">
        <v>17</v>
      </c>
      <c r="E1652" t="s">
        <v>8</v>
      </c>
      <c r="F1652" s="22">
        <v>1800</v>
      </c>
      <c r="G1652" s="22">
        <v>0</v>
      </c>
      <c r="H1652" s="22">
        <v>200</v>
      </c>
      <c r="I1652" s="22">
        <v>1600</v>
      </c>
      <c r="J1652">
        <v>0</v>
      </c>
      <c r="K1652">
        <v>0</v>
      </c>
      <c r="L1652" s="22">
        <v>1600</v>
      </c>
      <c r="M1652" s="22">
        <v>0</v>
      </c>
      <c r="N1652" s="22">
        <v>0</v>
      </c>
      <c r="O1652" s="22">
        <v>1600</v>
      </c>
      <c r="P1652" s="22">
        <v>900</v>
      </c>
      <c r="Q1652" s="22">
        <v>700</v>
      </c>
      <c r="R1652">
        <v>0</v>
      </c>
      <c r="T1652" t="s">
        <v>3012</v>
      </c>
      <c r="U1652" t="s">
        <v>3057</v>
      </c>
      <c r="V1652" t="s">
        <v>3056</v>
      </c>
    </row>
    <row r="1653" spans="1:22">
      <c r="A1653">
        <v>1656</v>
      </c>
      <c r="B1653" t="s">
        <v>3492</v>
      </c>
      <c r="C1653" t="s">
        <v>3493</v>
      </c>
      <c r="D1653" t="s">
        <v>17</v>
      </c>
      <c r="E1653" t="s">
        <v>8</v>
      </c>
      <c r="F1653" s="22">
        <v>0</v>
      </c>
      <c r="G1653" s="22">
        <v>1800</v>
      </c>
      <c r="H1653" s="22">
        <v>150</v>
      </c>
      <c r="I1653" s="22">
        <v>1650</v>
      </c>
      <c r="J1653">
        <v>0</v>
      </c>
      <c r="K1653">
        <v>0</v>
      </c>
      <c r="L1653" s="22">
        <v>1650</v>
      </c>
      <c r="M1653" s="22">
        <v>0</v>
      </c>
      <c r="N1653" s="22">
        <v>0</v>
      </c>
      <c r="O1653" s="22">
        <v>1650</v>
      </c>
      <c r="P1653" s="22">
        <v>900</v>
      </c>
      <c r="Q1653" s="22">
        <v>750</v>
      </c>
      <c r="R1653">
        <v>0</v>
      </c>
      <c r="T1653" t="s">
        <v>3012</v>
      </c>
      <c r="U1653" t="s">
        <v>3057</v>
      </c>
      <c r="V1653" t="s">
        <v>3056</v>
      </c>
    </row>
    <row r="1654" spans="1:22">
      <c r="A1654">
        <v>1657</v>
      </c>
      <c r="B1654" t="s">
        <v>3494</v>
      </c>
      <c r="C1654" t="s">
        <v>3495</v>
      </c>
      <c r="D1654" t="s">
        <v>17</v>
      </c>
      <c r="E1654" t="s">
        <v>8</v>
      </c>
      <c r="F1654" s="22">
        <v>1200</v>
      </c>
      <c r="G1654" s="22">
        <v>0</v>
      </c>
      <c r="H1654" s="22">
        <v>0</v>
      </c>
      <c r="I1654" s="22">
        <v>1200</v>
      </c>
      <c r="J1654">
        <v>0</v>
      </c>
      <c r="K1654">
        <v>0</v>
      </c>
      <c r="L1654" s="22">
        <v>1200</v>
      </c>
      <c r="M1654" s="22">
        <v>0</v>
      </c>
      <c r="N1654" s="22">
        <v>0</v>
      </c>
      <c r="O1654" s="22">
        <v>1200</v>
      </c>
      <c r="P1654" s="22">
        <v>600</v>
      </c>
      <c r="Q1654" s="22">
        <v>600</v>
      </c>
      <c r="R1654">
        <v>0</v>
      </c>
      <c r="T1654" t="s">
        <v>3012</v>
      </c>
      <c r="U1654" t="s">
        <v>3057</v>
      </c>
      <c r="V1654" t="s">
        <v>3056</v>
      </c>
    </row>
    <row r="1655" spans="1:22">
      <c r="A1655">
        <v>1658</v>
      </c>
      <c r="B1655" t="s">
        <v>3496</v>
      </c>
      <c r="C1655" t="s">
        <v>3497</v>
      </c>
      <c r="D1655" t="s">
        <v>17</v>
      </c>
      <c r="E1655" t="s">
        <v>8</v>
      </c>
      <c r="F1655" s="22">
        <v>1200</v>
      </c>
      <c r="G1655" s="22">
        <v>0</v>
      </c>
      <c r="H1655" s="22">
        <v>0</v>
      </c>
      <c r="I1655" s="22">
        <v>1200</v>
      </c>
      <c r="J1655">
        <v>0</v>
      </c>
      <c r="K1655">
        <v>0</v>
      </c>
      <c r="L1655" s="22">
        <v>1200</v>
      </c>
      <c r="M1655" s="22">
        <v>0</v>
      </c>
      <c r="N1655" s="22">
        <v>0</v>
      </c>
      <c r="O1655" s="22">
        <v>1200</v>
      </c>
      <c r="P1655" s="22">
        <v>600</v>
      </c>
      <c r="Q1655" s="22">
        <v>600</v>
      </c>
      <c r="R1655">
        <v>0</v>
      </c>
      <c r="T1655" t="s">
        <v>3012</v>
      </c>
      <c r="U1655" t="s">
        <v>3057</v>
      </c>
      <c r="V1655" t="s">
        <v>3056</v>
      </c>
    </row>
    <row r="1656" spans="1:22">
      <c r="A1656">
        <v>1659</v>
      </c>
      <c r="B1656" t="s">
        <v>3498</v>
      </c>
      <c r="C1656" t="s">
        <v>3499</v>
      </c>
      <c r="D1656" t="s">
        <v>17</v>
      </c>
      <c r="E1656" t="s">
        <v>8</v>
      </c>
      <c r="F1656" s="22">
        <v>3000</v>
      </c>
      <c r="G1656" s="22">
        <v>0</v>
      </c>
      <c r="H1656" s="22">
        <v>0</v>
      </c>
      <c r="I1656" s="22">
        <v>3000</v>
      </c>
      <c r="J1656">
        <v>0</v>
      </c>
      <c r="K1656">
        <v>0</v>
      </c>
      <c r="L1656" s="22">
        <v>3000</v>
      </c>
      <c r="M1656" s="22">
        <v>0</v>
      </c>
      <c r="N1656" s="22">
        <v>0</v>
      </c>
      <c r="O1656" s="22">
        <v>3000</v>
      </c>
      <c r="P1656" s="22">
        <v>1500</v>
      </c>
      <c r="Q1656" s="22">
        <v>1500</v>
      </c>
      <c r="R1656">
        <v>0</v>
      </c>
      <c r="T1656" t="s">
        <v>3012</v>
      </c>
      <c r="U1656" t="s">
        <v>3057</v>
      </c>
      <c r="V1656" t="s">
        <v>3056</v>
      </c>
    </row>
    <row r="1657" spans="1:22">
      <c r="A1657">
        <v>1660</v>
      </c>
      <c r="B1657" t="s">
        <v>3500</v>
      </c>
      <c r="C1657" t="s">
        <v>3501</v>
      </c>
      <c r="D1657" t="s">
        <v>17</v>
      </c>
      <c r="E1657" t="s">
        <v>8</v>
      </c>
      <c r="F1657" s="22">
        <v>0</v>
      </c>
      <c r="G1657" s="22">
        <v>3000</v>
      </c>
      <c r="H1657" s="22">
        <v>0</v>
      </c>
      <c r="I1657" s="22">
        <v>3000</v>
      </c>
      <c r="J1657">
        <v>0</v>
      </c>
      <c r="K1657">
        <v>0</v>
      </c>
      <c r="L1657" s="22">
        <v>3000</v>
      </c>
      <c r="M1657" s="22">
        <v>0</v>
      </c>
      <c r="N1657" s="22">
        <v>0</v>
      </c>
      <c r="O1657" s="22">
        <v>3000</v>
      </c>
      <c r="P1657" s="22">
        <v>1500</v>
      </c>
      <c r="Q1657" s="22">
        <v>1500</v>
      </c>
      <c r="R1657">
        <v>0</v>
      </c>
      <c r="T1657" t="s">
        <v>3012</v>
      </c>
      <c r="U1657" t="s">
        <v>3057</v>
      </c>
      <c r="V1657" t="s">
        <v>3056</v>
      </c>
    </row>
    <row r="1658" spans="1:22">
      <c r="A1658">
        <v>1661</v>
      </c>
      <c r="B1658" t="s">
        <v>3502</v>
      </c>
      <c r="C1658" t="s">
        <v>3503</v>
      </c>
      <c r="D1658" t="s">
        <v>17</v>
      </c>
      <c r="E1658" t="s">
        <v>8</v>
      </c>
      <c r="F1658" s="22">
        <v>200</v>
      </c>
      <c r="G1658" s="22">
        <v>100</v>
      </c>
      <c r="H1658" s="22">
        <v>0</v>
      </c>
      <c r="I1658" s="22">
        <v>300</v>
      </c>
      <c r="J1658">
        <v>0</v>
      </c>
      <c r="K1658">
        <v>0</v>
      </c>
      <c r="L1658" s="22">
        <v>300</v>
      </c>
      <c r="M1658" s="22">
        <v>0</v>
      </c>
      <c r="N1658" s="22">
        <v>0</v>
      </c>
      <c r="O1658" s="22">
        <v>300</v>
      </c>
      <c r="P1658" s="22">
        <v>150</v>
      </c>
      <c r="Q1658" s="22">
        <v>150</v>
      </c>
      <c r="R1658">
        <v>0</v>
      </c>
      <c r="T1658" t="s">
        <v>3012</v>
      </c>
      <c r="U1658" t="s">
        <v>3057</v>
      </c>
      <c r="V1658" t="s">
        <v>3056</v>
      </c>
    </row>
    <row r="1659" spans="1:22">
      <c r="A1659">
        <v>1662</v>
      </c>
      <c r="B1659" t="s">
        <v>3504</v>
      </c>
      <c r="C1659" t="s">
        <v>3505</v>
      </c>
      <c r="D1659" t="s">
        <v>17</v>
      </c>
      <c r="E1659" t="s">
        <v>8</v>
      </c>
      <c r="F1659" s="22">
        <v>0</v>
      </c>
      <c r="G1659" s="22">
        <v>200</v>
      </c>
      <c r="H1659" s="22">
        <v>0</v>
      </c>
      <c r="I1659" s="22">
        <v>200</v>
      </c>
      <c r="J1659">
        <v>0</v>
      </c>
      <c r="K1659">
        <v>0</v>
      </c>
      <c r="L1659" s="22">
        <v>200</v>
      </c>
      <c r="M1659" s="22">
        <v>0</v>
      </c>
      <c r="N1659" s="22">
        <v>0</v>
      </c>
      <c r="O1659" s="22">
        <v>200</v>
      </c>
      <c r="P1659" s="22">
        <v>100</v>
      </c>
      <c r="Q1659" s="22">
        <v>100</v>
      </c>
      <c r="R1659">
        <v>0</v>
      </c>
      <c r="T1659" t="s">
        <v>3012</v>
      </c>
      <c r="U1659" t="s">
        <v>3057</v>
      </c>
      <c r="V1659" t="s">
        <v>3056</v>
      </c>
    </row>
    <row r="1660" spans="1:22">
      <c r="A1660">
        <v>1663</v>
      </c>
      <c r="B1660" t="s">
        <v>3506</v>
      </c>
      <c r="C1660" t="s">
        <v>3507</v>
      </c>
      <c r="D1660" t="s">
        <v>17</v>
      </c>
      <c r="E1660" t="s">
        <v>8</v>
      </c>
      <c r="F1660" s="22">
        <v>0</v>
      </c>
      <c r="G1660" s="22">
        <v>200</v>
      </c>
      <c r="H1660" s="22">
        <v>150</v>
      </c>
      <c r="I1660" s="22">
        <v>50</v>
      </c>
      <c r="J1660">
        <v>0</v>
      </c>
      <c r="K1660">
        <v>0</v>
      </c>
      <c r="L1660" s="22">
        <v>50</v>
      </c>
      <c r="M1660" s="22">
        <v>0</v>
      </c>
      <c r="N1660" s="22">
        <v>0</v>
      </c>
      <c r="O1660" s="22">
        <v>50</v>
      </c>
      <c r="P1660" s="22">
        <v>100</v>
      </c>
      <c r="Q1660" s="22">
        <v>-50</v>
      </c>
      <c r="R1660">
        <v>0</v>
      </c>
      <c r="T1660" t="s">
        <v>3012</v>
      </c>
      <c r="U1660" t="s">
        <v>3057</v>
      </c>
      <c r="V1660" t="s">
        <v>3056</v>
      </c>
    </row>
    <row r="1661" spans="1:22">
      <c r="A1661">
        <v>1664</v>
      </c>
      <c r="B1661" t="s">
        <v>3508</v>
      </c>
      <c r="C1661" t="s">
        <v>3509</v>
      </c>
      <c r="D1661" t="s">
        <v>17</v>
      </c>
      <c r="E1661" t="s">
        <v>8</v>
      </c>
      <c r="F1661" s="22">
        <v>0</v>
      </c>
      <c r="G1661" s="22">
        <v>20</v>
      </c>
      <c r="H1661" s="22">
        <v>0</v>
      </c>
      <c r="I1661" s="22">
        <v>20</v>
      </c>
      <c r="J1661">
        <v>0</v>
      </c>
      <c r="K1661">
        <v>0</v>
      </c>
      <c r="L1661" s="22">
        <v>20</v>
      </c>
      <c r="M1661" s="22">
        <v>0</v>
      </c>
      <c r="N1661" s="22">
        <v>0</v>
      </c>
      <c r="O1661" s="22">
        <v>20</v>
      </c>
      <c r="P1661" s="22">
        <v>10</v>
      </c>
      <c r="Q1661" s="22">
        <v>10</v>
      </c>
      <c r="R1661">
        <v>0</v>
      </c>
      <c r="T1661" t="s">
        <v>3012</v>
      </c>
      <c r="U1661" t="s">
        <v>3057</v>
      </c>
      <c r="V1661" t="s">
        <v>3056</v>
      </c>
    </row>
    <row r="1662" spans="1:22">
      <c r="A1662">
        <v>1665</v>
      </c>
      <c r="B1662" t="s">
        <v>3510</v>
      </c>
      <c r="C1662" t="s">
        <v>3511</v>
      </c>
      <c r="D1662" t="s">
        <v>17</v>
      </c>
      <c r="E1662" t="s">
        <v>8</v>
      </c>
      <c r="F1662" s="22">
        <v>0</v>
      </c>
      <c r="G1662" s="22">
        <v>20</v>
      </c>
      <c r="H1662" s="22">
        <v>0</v>
      </c>
      <c r="I1662" s="22">
        <v>20</v>
      </c>
      <c r="J1662">
        <v>0</v>
      </c>
      <c r="K1662">
        <v>0</v>
      </c>
      <c r="L1662" s="22">
        <v>20</v>
      </c>
      <c r="M1662" s="22">
        <v>0</v>
      </c>
      <c r="N1662" s="22">
        <v>0</v>
      </c>
      <c r="O1662" s="22">
        <v>20</v>
      </c>
      <c r="P1662" s="22">
        <v>10</v>
      </c>
      <c r="Q1662" s="22">
        <v>10</v>
      </c>
      <c r="R1662">
        <v>0</v>
      </c>
      <c r="T1662" t="s">
        <v>3012</v>
      </c>
      <c r="U1662" t="s">
        <v>3057</v>
      </c>
      <c r="V1662" t="s">
        <v>3056</v>
      </c>
    </row>
    <row r="1663" spans="1:22">
      <c r="A1663">
        <v>1666</v>
      </c>
      <c r="B1663" t="s">
        <v>3512</v>
      </c>
      <c r="C1663" t="s">
        <v>3513</v>
      </c>
      <c r="D1663" t="s">
        <v>17</v>
      </c>
      <c r="E1663" t="s">
        <v>8</v>
      </c>
      <c r="F1663" s="22">
        <v>0</v>
      </c>
      <c r="G1663" s="22">
        <v>20</v>
      </c>
      <c r="H1663" s="22">
        <v>0</v>
      </c>
      <c r="I1663" s="22">
        <v>20</v>
      </c>
      <c r="J1663">
        <v>0</v>
      </c>
      <c r="K1663">
        <v>0</v>
      </c>
      <c r="L1663" s="22">
        <v>20</v>
      </c>
      <c r="M1663" s="22">
        <v>0</v>
      </c>
      <c r="N1663" s="22">
        <v>0</v>
      </c>
      <c r="O1663" s="22">
        <v>20</v>
      </c>
      <c r="P1663" s="22">
        <v>10</v>
      </c>
      <c r="Q1663" s="22">
        <v>10</v>
      </c>
      <c r="R1663">
        <v>0</v>
      </c>
      <c r="T1663" t="s">
        <v>3012</v>
      </c>
      <c r="U1663" t="s">
        <v>3057</v>
      </c>
      <c r="V1663" t="s">
        <v>3056</v>
      </c>
    </row>
    <row r="1664" spans="1:22">
      <c r="A1664">
        <v>1667</v>
      </c>
      <c r="B1664" t="s">
        <v>3514</v>
      </c>
      <c r="C1664" t="s">
        <v>3515</v>
      </c>
      <c r="D1664" t="s">
        <v>17</v>
      </c>
      <c r="E1664" t="s">
        <v>8</v>
      </c>
      <c r="F1664" s="22">
        <v>0</v>
      </c>
      <c r="G1664" s="22">
        <v>20</v>
      </c>
      <c r="H1664" s="22">
        <v>0</v>
      </c>
      <c r="I1664" s="22">
        <v>20</v>
      </c>
      <c r="J1664">
        <v>0</v>
      </c>
      <c r="K1664">
        <v>0</v>
      </c>
      <c r="L1664" s="22">
        <v>20</v>
      </c>
      <c r="M1664" s="22">
        <v>0</v>
      </c>
      <c r="N1664" s="22">
        <v>0</v>
      </c>
      <c r="O1664" s="22">
        <v>20</v>
      </c>
      <c r="P1664" s="22">
        <v>10</v>
      </c>
      <c r="Q1664" s="22">
        <v>10</v>
      </c>
      <c r="R1664">
        <v>0</v>
      </c>
      <c r="T1664" t="s">
        <v>3012</v>
      </c>
      <c r="U1664" t="s">
        <v>3057</v>
      </c>
      <c r="V1664" t="s">
        <v>3056</v>
      </c>
    </row>
    <row r="1665" spans="1:22">
      <c r="A1665">
        <v>1668</v>
      </c>
      <c r="B1665" t="s">
        <v>3516</v>
      </c>
      <c r="C1665" t="s">
        <v>3517</v>
      </c>
      <c r="D1665" t="s">
        <v>17</v>
      </c>
      <c r="E1665" t="s">
        <v>8</v>
      </c>
      <c r="F1665" s="22">
        <v>6100</v>
      </c>
      <c r="G1665" s="22">
        <v>10100</v>
      </c>
      <c r="H1665" s="22">
        <v>5600</v>
      </c>
      <c r="I1665" s="22">
        <v>10600</v>
      </c>
      <c r="J1665">
        <v>0</v>
      </c>
      <c r="K1665">
        <v>0</v>
      </c>
      <c r="L1665" s="22">
        <v>10600</v>
      </c>
      <c r="M1665" s="22">
        <v>0</v>
      </c>
      <c r="N1665" s="22">
        <v>0</v>
      </c>
      <c r="O1665" s="22">
        <v>10600</v>
      </c>
      <c r="P1665" s="22">
        <v>7000</v>
      </c>
      <c r="Q1665" s="22">
        <v>3600</v>
      </c>
      <c r="R1665">
        <v>10000</v>
      </c>
      <c r="T1665" t="s">
        <v>2991</v>
      </c>
      <c r="U1665" t="s">
        <v>3057</v>
      </c>
      <c r="V1665" t="s">
        <v>3056</v>
      </c>
    </row>
    <row r="1666" spans="1:22">
      <c r="A1666">
        <v>1669</v>
      </c>
      <c r="B1666" t="s">
        <v>3518</v>
      </c>
      <c r="C1666" t="s">
        <v>3519</v>
      </c>
      <c r="D1666" t="s">
        <v>17</v>
      </c>
      <c r="E1666" t="s">
        <v>8</v>
      </c>
      <c r="F1666" s="22">
        <v>0</v>
      </c>
      <c r="G1666" s="22">
        <v>0</v>
      </c>
      <c r="H1666" s="22">
        <v>0</v>
      </c>
      <c r="I1666" s="22">
        <v>0</v>
      </c>
      <c r="J1666">
        <v>0</v>
      </c>
      <c r="K1666">
        <v>0</v>
      </c>
      <c r="L1666" s="22">
        <v>0</v>
      </c>
      <c r="M1666" s="22">
        <v>0</v>
      </c>
      <c r="N1666" s="22">
        <v>0</v>
      </c>
      <c r="O1666" s="22">
        <v>0</v>
      </c>
      <c r="P1666" s="22">
        <v>1000</v>
      </c>
      <c r="Q1666" s="22">
        <v>-1000</v>
      </c>
      <c r="R1666">
        <v>2000</v>
      </c>
      <c r="T1666" t="s">
        <v>2972</v>
      </c>
      <c r="U1666" t="s">
        <v>3057</v>
      </c>
      <c r="V1666" t="s">
        <v>3056</v>
      </c>
    </row>
    <row r="1667" spans="1:22">
      <c r="A1667">
        <v>1670</v>
      </c>
      <c r="B1667" t="s">
        <v>3520</v>
      </c>
      <c r="C1667" t="s">
        <v>3521</v>
      </c>
      <c r="D1667" t="s">
        <v>7</v>
      </c>
      <c r="E1667" t="s">
        <v>8</v>
      </c>
      <c r="F1667" s="22">
        <v>14956.05</v>
      </c>
      <c r="G1667" s="22">
        <v>0</v>
      </c>
      <c r="H1667" s="22">
        <v>1246.3699999999999</v>
      </c>
      <c r="I1667" s="22">
        <v>13709.68</v>
      </c>
      <c r="J1667">
        <v>0</v>
      </c>
      <c r="K1667">
        <v>0</v>
      </c>
      <c r="L1667" s="22">
        <v>13709.68</v>
      </c>
      <c r="M1667" s="22">
        <v>0</v>
      </c>
      <c r="N1667" s="22">
        <v>0</v>
      </c>
      <c r="O1667" s="22">
        <v>13709.68</v>
      </c>
      <c r="P1667" s="22">
        <v>2000</v>
      </c>
      <c r="Q1667" s="22">
        <v>11709.68</v>
      </c>
      <c r="R1667">
        <v>0</v>
      </c>
      <c r="T1667" t="s">
        <v>2965</v>
      </c>
      <c r="U1667" t="s">
        <v>3060</v>
      </c>
      <c r="V1667" t="s">
        <v>3058</v>
      </c>
    </row>
    <row r="1668" spans="1:22">
      <c r="A1668">
        <v>1671</v>
      </c>
      <c r="B1668" t="s">
        <v>3522</v>
      </c>
      <c r="C1668" t="s">
        <v>3523</v>
      </c>
      <c r="D1668" t="s">
        <v>17</v>
      </c>
      <c r="E1668" t="s">
        <v>8</v>
      </c>
      <c r="F1668" s="22">
        <v>10100</v>
      </c>
      <c r="G1668" s="22">
        <v>500</v>
      </c>
      <c r="H1668" s="22">
        <v>8500</v>
      </c>
      <c r="I1668" s="22">
        <v>2100</v>
      </c>
      <c r="J1668">
        <v>0</v>
      </c>
      <c r="K1668">
        <v>0</v>
      </c>
      <c r="L1668" s="22">
        <v>2100</v>
      </c>
      <c r="M1668" s="22">
        <v>0</v>
      </c>
      <c r="N1668" s="22">
        <v>0</v>
      </c>
      <c r="O1668" s="22">
        <v>2100</v>
      </c>
      <c r="P1668" s="22">
        <v>0</v>
      </c>
      <c r="Q1668" s="22">
        <v>2100</v>
      </c>
      <c r="R1668">
        <v>0</v>
      </c>
      <c r="T1668" t="s">
        <v>2991</v>
      </c>
      <c r="U1668" t="s">
        <v>3057</v>
      </c>
      <c r="V1668" t="s">
        <v>3056</v>
      </c>
    </row>
    <row r="1669" spans="1:22">
      <c r="A1669">
        <v>1672</v>
      </c>
      <c r="B1669" t="s">
        <v>3524</v>
      </c>
      <c r="C1669" t="s">
        <v>3525</v>
      </c>
      <c r="D1669" t="s">
        <v>17</v>
      </c>
      <c r="E1669" t="s">
        <v>8</v>
      </c>
      <c r="F1669" s="22">
        <v>2000</v>
      </c>
      <c r="G1669" s="22">
        <v>5000</v>
      </c>
      <c r="H1669" s="22">
        <v>0</v>
      </c>
      <c r="I1669" s="22">
        <v>7000</v>
      </c>
      <c r="J1669">
        <v>0</v>
      </c>
      <c r="K1669">
        <v>0</v>
      </c>
      <c r="L1669" s="22">
        <v>7000</v>
      </c>
      <c r="M1669" s="22">
        <v>0</v>
      </c>
      <c r="N1669" s="22">
        <v>0</v>
      </c>
      <c r="O1669" s="22">
        <v>7000</v>
      </c>
      <c r="P1669" s="22">
        <v>7000</v>
      </c>
      <c r="Q1669" s="22">
        <v>0</v>
      </c>
      <c r="R1669">
        <v>0</v>
      </c>
      <c r="T1669" t="s">
        <v>2972</v>
      </c>
      <c r="U1669" t="s">
        <v>3057</v>
      </c>
      <c r="V1669" t="s">
        <v>3056</v>
      </c>
    </row>
    <row r="1670" spans="1:22">
      <c r="A1670">
        <v>1673</v>
      </c>
      <c r="B1670" t="s">
        <v>3526</v>
      </c>
      <c r="C1670" t="s">
        <v>3527</v>
      </c>
      <c r="D1670" t="s">
        <v>7</v>
      </c>
      <c r="E1670" t="s">
        <v>8</v>
      </c>
      <c r="F1670" s="22">
        <v>116</v>
      </c>
      <c r="G1670" s="22">
        <v>0</v>
      </c>
      <c r="H1670" s="22">
        <v>0</v>
      </c>
      <c r="I1670" s="22">
        <v>116</v>
      </c>
      <c r="J1670">
        <v>0</v>
      </c>
      <c r="K1670">
        <v>0</v>
      </c>
      <c r="L1670" s="22">
        <v>116</v>
      </c>
      <c r="M1670" s="22">
        <v>0</v>
      </c>
      <c r="N1670" s="22">
        <v>0</v>
      </c>
      <c r="O1670" s="22">
        <v>116</v>
      </c>
      <c r="P1670" s="22">
        <v>100</v>
      </c>
      <c r="Q1670" s="22">
        <v>16</v>
      </c>
      <c r="R1670">
        <v>0</v>
      </c>
      <c r="T1670" t="s">
        <v>2965</v>
      </c>
      <c r="U1670" t="s">
        <v>3060</v>
      </c>
      <c r="V1670" t="s">
        <v>3058</v>
      </c>
    </row>
    <row r="1671" spans="1:22">
      <c r="A1671">
        <v>1674</v>
      </c>
      <c r="B1671" t="s">
        <v>3528</v>
      </c>
      <c r="C1671" t="s">
        <v>3529</v>
      </c>
      <c r="D1671" t="s">
        <v>17</v>
      </c>
      <c r="E1671" t="s">
        <v>8</v>
      </c>
      <c r="F1671" s="22">
        <v>3000</v>
      </c>
      <c r="G1671" s="22">
        <v>0</v>
      </c>
      <c r="H1671" s="22">
        <v>900</v>
      </c>
      <c r="I1671" s="22">
        <v>2100</v>
      </c>
      <c r="J1671">
        <v>0</v>
      </c>
      <c r="K1671">
        <v>0</v>
      </c>
      <c r="L1671" s="22">
        <v>2100</v>
      </c>
      <c r="M1671" s="22">
        <v>0</v>
      </c>
      <c r="N1671" s="22">
        <v>0</v>
      </c>
      <c r="O1671" s="22">
        <v>2100</v>
      </c>
      <c r="P1671" s="22">
        <v>1500</v>
      </c>
      <c r="Q1671" s="22">
        <v>600</v>
      </c>
      <c r="R1671">
        <v>0</v>
      </c>
      <c r="T1671" t="s">
        <v>3012</v>
      </c>
      <c r="U1671" t="s">
        <v>3057</v>
      </c>
      <c r="V1671" t="s">
        <v>3056</v>
      </c>
    </row>
    <row r="1672" spans="1:22">
      <c r="A1672">
        <v>1675</v>
      </c>
      <c r="B1672" t="s">
        <v>3530</v>
      </c>
      <c r="C1672" t="s">
        <v>3531</v>
      </c>
      <c r="D1672" t="s">
        <v>17</v>
      </c>
      <c r="E1672" t="s">
        <v>8</v>
      </c>
      <c r="F1672" s="22">
        <v>0</v>
      </c>
      <c r="G1672" s="22">
        <v>20</v>
      </c>
      <c r="H1672" s="22">
        <v>0</v>
      </c>
      <c r="I1672" s="22">
        <v>20</v>
      </c>
      <c r="J1672">
        <v>0</v>
      </c>
      <c r="K1672">
        <v>0</v>
      </c>
      <c r="L1672" s="22">
        <v>20</v>
      </c>
      <c r="M1672" s="22">
        <v>0</v>
      </c>
      <c r="N1672" s="22">
        <v>0</v>
      </c>
      <c r="O1672" s="22">
        <v>20</v>
      </c>
      <c r="P1672" s="22">
        <v>10</v>
      </c>
      <c r="Q1672" s="22">
        <v>10</v>
      </c>
      <c r="R1672">
        <v>0</v>
      </c>
      <c r="T1672" t="s">
        <v>3012</v>
      </c>
      <c r="U1672" t="s">
        <v>3057</v>
      </c>
      <c r="V1672" t="s">
        <v>3056</v>
      </c>
    </row>
    <row r="1673" spans="1:22">
      <c r="A1673">
        <v>1676</v>
      </c>
      <c r="B1673" t="s">
        <v>3532</v>
      </c>
      <c r="C1673" t="s">
        <v>2816</v>
      </c>
      <c r="D1673" t="s">
        <v>17</v>
      </c>
      <c r="E1673" t="s">
        <v>8</v>
      </c>
      <c r="F1673" s="22">
        <v>0</v>
      </c>
      <c r="G1673" s="22">
        <v>20</v>
      </c>
      <c r="H1673" s="22">
        <v>0</v>
      </c>
      <c r="I1673" s="22">
        <v>20</v>
      </c>
      <c r="J1673">
        <v>0</v>
      </c>
      <c r="K1673">
        <v>0</v>
      </c>
      <c r="L1673" s="22">
        <v>20</v>
      </c>
      <c r="M1673" s="22">
        <v>0</v>
      </c>
      <c r="N1673" s="22">
        <v>0</v>
      </c>
      <c r="O1673" s="22">
        <v>20</v>
      </c>
      <c r="P1673" s="22">
        <v>10</v>
      </c>
      <c r="Q1673" s="22">
        <v>10</v>
      </c>
      <c r="R1673">
        <v>0</v>
      </c>
      <c r="T1673" t="s">
        <v>3012</v>
      </c>
      <c r="U1673" t="s">
        <v>3057</v>
      </c>
      <c r="V1673" t="s">
        <v>3056</v>
      </c>
    </row>
    <row r="1674" spans="1:22">
      <c r="A1674">
        <v>1677</v>
      </c>
      <c r="B1674" t="s">
        <v>3533</v>
      </c>
      <c r="C1674" t="s">
        <v>3534</v>
      </c>
      <c r="D1674" t="s">
        <v>17</v>
      </c>
      <c r="E1674" t="s">
        <v>8</v>
      </c>
      <c r="F1674" s="22">
        <v>0</v>
      </c>
      <c r="G1674" s="22">
        <v>3000</v>
      </c>
      <c r="H1674" s="22">
        <v>150</v>
      </c>
      <c r="I1674" s="22">
        <v>2850</v>
      </c>
      <c r="J1674">
        <v>0</v>
      </c>
      <c r="K1674">
        <v>0</v>
      </c>
      <c r="L1674" s="22">
        <v>2850</v>
      </c>
      <c r="M1674" s="22">
        <v>0</v>
      </c>
      <c r="N1674" s="22">
        <v>0</v>
      </c>
      <c r="O1674" s="22">
        <v>2850</v>
      </c>
      <c r="P1674" s="22">
        <v>1500</v>
      </c>
      <c r="Q1674" s="22">
        <v>1350</v>
      </c>
      <c r="R1674">
        <v>0</v>
      </c>
      <c r="T1674" t="s">
        <v>3012</v>
      </c>
      <c r="U1674" t="s">
        <v>3057</v>
      </c>
      <c r="V1674" t="s">
        <v>3056</v>
      </c>
    </row>
    <row r="1675" spans="1:22">
      <c r="A1675">
        <v>1678</v>
      </c>
      <c r="B1675" t="s">
        <v>3535</v>
      </c>
      <c r="C1675" t="s">
        <v>3536</v>
      </c>
      <c r="D1675" t="s">
        <v>17</v>
      </c>
      <c r="E1675" t="s">
        <v>8</v>
      </c>
      <c r="F1675" s="22">
        <v>0</v>
      </c>
      <c r="G1675" s="22">
        <v>20</v>
      </c>
      <c r="H1675" s="22">
        <v>0</v>
      </c>
      <c r="I1675" s="22">
        <v>20</v>
      </c>
      <c r="J1675">
        <v>0</v>
      </c>
      <c r="K1675">
        <v>0</v>
      </c>
      <c r="L1675" s="22">
        <v>20</v>
      </c>
      <c r="M1675" s="22">
        <v>0</v>
      </c>
      <c r="N1675" s="22">
        <v>0</v>
      </c>
      <c r="O1675" s="22">
        <v>20</v>
      </c>
      <c r="P1675" s="22">
        <v>10</v>
      </c>
      <c r="Q1675" s="22">
        <v>10</v>
      </c>
      <c r="R1675">
        <v>0</v>
      </c>
      <c r="T1675" t="s">
        <v>3012</v>
      </c>
      <c r="U1675" t="s">
        <v>3057</v>
      </c>
      <c r="V1675" t="s">
        <v>3056</v>
      </c>
    </row>
    <row r="1676" spans="1:22">
      <c r="A1676">
        <v>1679</v>
      </c>
      <c r="B1676" t="s">
        <v>3537</v>
      </c>
      <c r="C1676" t="s">
        <v>2824</v>
      </c>
      <c r="D1676" t="s">
        <v>17</v>
      </c>
      <c r="E1676" t="s">
        <v>8</v>
      </c>
      <c r="F1676" s="22">
        <v>0</v>
      </c>
      <c r="G1676" s="22">
        <v>20</v>
      </c>
      <c r="H1676" s="22">
        <v>0</v>
      </c>
      <c r="I1676" s="22">
        <v>20</v>
      </c>
      <c r="J1676">
        <v>0</v>
      </c>
      <c r="K1676">
        <v>0</v>
      </c>
      <c r="L1676" s="22">
        <v>20</v>
      </c>
      <c r="M1676" s="22">
        <v>0</v>
      </c>
      <c r="N1676" s="22">
        <v>0</v>
      </c>
      <c r="O1676" s="22">
        <v>20</v>
      </c>
      <c r="P1676" s="22">
        <v>10</v>
      </c>
      <c r="Q1676" s="22">
        <v>10</v>
      </c>
      <c r="R1676">
        <v>0</v>
      </c>
      <c r="T1676" t="s">
        <v>3012</v>
      </c>
      <c r="U1676" t="s">
        <v>3057</v>
      </c>
      <c r="V1676" t="s">
        <v>3056</v>
      </c>
    </row>
    <row r="1677" spans="1:22">
      <c r="A1677">
        <v>1680</v>
      </c>
      <c r="B1677" t="s">
        <v>3538</v>
      </c>
      <c r="C1677" t="s">
        <v>3539</v>
      </c>
      <c r="D1677" t="s">
        <v>17</v>
      </c>
      <c r="E1677" t="s">
        <v>8</v>
      </c>
      <c r="F1677" s="22">
        <v>0</v>
      </c>
      <c r="G1677" s="22">
        <v>20</v>
      </c>
      <c r="H1677" s="22">
        <v>0</v>
      </c>
      <c r="I1677" s="22">
        <v>20</v>
      </c>
      <c r="J1677">
        <v>0</v>
      </c>
      <c r="K1677">
        <v>0</v>
      </c>
      <c r="L1677" s="22">
        <v>20</v>
      </c>
      <c r="M1677" s="22">
        <v>0</v>
      </c>
      <c r="N1677" s="22">
        <v>0</v>
      </c>
      <c r="O1677" s="22">
        <v>20</v>
      </c>
      <c r="P1677" s="22">
        <v>10</v>
      </c>
      <c r="Q1677" s="22">
        <v>10</v>
      </c>
      <c r="R1677">
        <v>0</v>
      </c>
      <c r="T1677" t="s">
        <v>3012</v>
      </c>
      <c r="U1677" t="s">
        <v>3057</v>
      </c>
      <c r="V1677" t="s">
        <v>3056</v>
      </c>
    </row>
    <row r="1678" spans="1:22">
      <c r="A1678">
        <v>1681</v>
      </c>
      <c r="B1678" t="s">
        <v>3540</v>
      </c>
      <c r="C1678" t="s">
        <v>2836</v>
      </c>
      <c r="D1678" t="s">
        <v>17</v>
      </c>
      <c r="E1678" t="s">
        <v>8</v>
      </c>
      <c r="F1678" s="22">
        <v>0</v>
      </c>
      <c r="G1678" s="22">
        <v>20</v>
      </c>
      <c r="H1678" s="22">
        <v>0</v>
      </c>
      <c r="I1678" s="22">
        <v>20</v>
      </c>
      <c r="J1678">
        <v>0</v>
      </c>
      <c r="K1678">
        <v>0</v>
      </c>
      <c r="L1678" s="22">
        <v>20</v>
      </c>
      <c r="M1678" s="22">
        <v>0</v>
      </c>
      <c r="N1678" s="22">
        <v>0</v>
      </c>
      <c r="O1678" s="22">
        <v>20</v>
      </c>
      <c r="P1678" s="22">
        <v>10</v>
      </c>
      <c r="Q1678" s="22">
        <v>10</v>
      </c>
      <c r="R1678">
        <v>0</v>
      </c>
      <c r="T1678" t="s">
        <v>3012</v>
      </c>
      <c r="U1678" t="s">
        <v>3057</v>
      </c>
      <c r="V1678" t="s">
        <v>3056</v>
      </c>
    </row>
    <row r="1679" spans="1:22">
      <c r="A1679">
        <v>1682</v>
      </c>
      <c r="B1679" t="s">
        <v>3541</v>
      </c>
      <c r="C1679" t="s">
        <v>3542</v>
      </c>
      <c r="D1679" t="s">
        <v>17</v>
      </c>
      <c r="E1679" t="s">
        <v>8</v>
      </c>
      <c r="F1679" s="22">
        <v>0</v>
      </c>
      <c r="G1679" s="22">
        <v>20</v>
      </c>
      <c r="H1679" s="22">
        <v>0</v>
      </c>
      <c r="I1679" s="22">
        <v>20</v>
      </c>
      <c r="J1679">
        <v>0</v>
      </c>
      <c r="K1679">
        <v>0</v>
      </c>
      <c r="L1679" s="22">
        <v>20</v>
      </c>
      <c r="M1679" s="22">
        <v>0</v>
      </c>
      <c r="N1679" s="22">
        <v>0</v>
      </c>
      <c r="O1679" s="22">
        <v>20</v>
      </c>
      <c r="P1679" s="22">
        <v>10</v>
      </c>
      <c r="Q1679" s="22">
        <v>10</v>
      </c>
      <c r="R1679">
        <v>0</v>
      </c>
      <c r="T1679" t="s">
        <v>3012</v>
      </c>
      <c r="U1679" t="s">
        <v>3057</v>
      </c>
      <c r="V1679" t="s">
        <v>3056</v>
      </c>
    </row>
    <row r="1680" spans="1:22">
      <c r="A1680">
        <v>1683</v>
      </c>
      <c r="B1680" t="s">
        <v>3543</v>
      </c>
      <c r="C1680" t="s">
        <v>2838</v>
      </c>
      <c r="D1680" t="s">
        <v>17</v>
      </c>
      <c r="E1680" t="s">
        <v>8</v>
      </c>
      <c r="F1680" s="22">
        <v>0</v>
      </c>
      <c r="G1680" s="22">
        <v>20</v>
      </c>
      <c r="H1680" s="22">
        <v>0</v>
      </c>
      <c r="I1680" s="22">
        <v>20</v>
      </c>
      <c r="J1680">
        <v>0</v>
      </c>
      <c r="K1680">
        <v>0</v>
      </c>
      <c r="L1680" s="22">
        <v>20</v>
      </c>
      <c r="M1680" s="22">
        <v>0</v>
      </c>
      <c r="N1680" s="22">
        <v>0</v>
      </c>
      <c r="O1680" s="22">
        <v>20</v>
      </c>
      <c r="P1680" s="22">
        <v>10</v>
      </c>
      <c r="Q1680" s="22">
        <v>10</v>
      </c>
      <c r="R1680">
        <v>0</v>
      </c>
      <c r="T1680" t="s">
        <v>3012</v>
      </c>
      <c r="U1680" t="s">
        <v>3057</v>
      </c>
      <c r="V1680" t="s">
        <v>3056</v>
      </c>
    </row>
    <row r="1681" spans="1:22">
      <c r="A1681">
        <v>1684</v>
      </c>
      <c r="B1681" t="s">
        <v>3544</v>
      </c>
      <c r="C1681" t="s">
        <v>3545</v>
      </c>
      <c r="D1681" t="s">
        <v>17</v>
      </c>
      <c r="E1681" t="s">
        <v>8</v>
      </c>
      <c r="F1681" s="22">
        <v>2125</v>
      </c>
      <c r="G1681" s="22">
        <v>1051</v>
      </c>
      <c r="H1681" s="22">
        <v>1051</v>
      </c>
      <c r="I1681" s="22">
        <v>2125</v>
      </c>
      <c r="J1681">
        <v>0</v>
      </c>
      <c r="K1681">
        <v>0</v>
      </c>
      <c r="L1681" s="22">
        <v>2125</v>
      </c>
      <c r="M1681" s="22">
        <v>0</v>
      </c>
      <c r="N1681" s="22">
        <v>0</v>
      </c>
      <c r="O1681" s="22">
        <v>2125</v>
      </c>
      <c r="P1681" s="22">
        <v>2000</v>
      </c>
      <c r="Q1681" s="22">
        <v>125</v>
      </c>
      <c r="R1681">
        <v>0</v>
      </c>
      <c r="T1681" t="s">
        <v>2972</v>
      </c>
      <c r="U1681" t="s">
        <v>3057</v>
      </c>
      <c r="V1681" t="s">
        <v>3058</v>
      </c>
    </row>
    <row r="1682" spans="1:22">
      <c r="A1682">
        <v>1685</v>
      </c>
      <c r="B1682" t="s">
        <v>3546</v>
      </c>
      <c r="C1682" t="s">
        <v>3547</v>
      </c>
      <c r="D1682" t="s">
        <v>17</v>
      </c>
      <c r="E1682" t="s">
        <v>8</v>
      </c>
      <c r="F1682" s="22">
        <v>2450</v>
      </c>
      <c r="G1682" s="22">
        <v>0</v>
      </c>
      <c r="H1682" s="22">
        <v>1000</v>
      </c>
      <c r="I1682" s="22">
        <v>1450</v>
      </c>
      <c r="J1682">
        <v>0</v>
      </c>
      <c r="K1682">
        <v>0</v>
      </c>
      <c r="L1682" s="22">
        <v>1450</v>
      </c>
      <c r="M1682" s="22">
        <v>0</v>
      </c>
      <c r="N1682" s="22">
        <v>0</v>
      </c>
      <c r="O1682" s="22">
        <v>1450</v>
      </c>
      <c r="P1682" s="22">
        <v>2000</v>
      </c>
      <c r="Q1682" s="22">
        <v>-550</v>
      </c>
      <c r="R1682">
        <v>0</v>
      </c>
      <c r="T1682" t="s">
        <v>2991</v>
      </c>
      <c r="U1682" t="s">
        <v>3057</v>
      </c>
      <c r="V1682" t="s">
        <v>3058</v>
      </c>
    </row>
    <row r="1683" spans="1:22">
      <c r="A1683">
        <v>1686</v>
      </c>
      <c r="B1683" t="s">
        <v>2552</v>
      </c>
      <c r="C1683" t="s">
        <v>2549</v>
      </c>
      <c r="D1683" t="s">
        <v>17</v>
      </c>
      <c r="E1683" t="s">
        <v>8</v>
      </c>
      <c r="F1683" s="22">
        <v>650</v>
      </c>
      <c r="G1683" s="22">
        <v>0</v>
      </c>
      <c r="H1683" s="22">
        <v>0</v>
      </c>
      <c r="I1683" s="22">
        <v>650</v>
      </c>
      <c r="J1683">
        <v>0</v>
      </c>
      <c r="K1683">
        <v>0</v>
      </c>
      <c r="L1683" s="22">
        <v>650</v>
      </c>
      <c r="M1683" s="22">
        <v>0</v>
      </c>
      <c r="N1683" s="22">
        <v>0</v>
      </c>
      <c r="O1683" s="22">
        <v>650</v>
      </c>
      <c r="P1683" s="22">
        <v>300</v>
      </c>
      <c r="Q1683" s="22">
        <v>350</v>
      </c>
      <c r="R1683">
        <v>0</v>
      </c>
      <c r="T1683" t="s">
        <v>2991</v>
      </c>
      <c r="U1683" t="s">
        <v>3060</v>
      </c>
      <c r="V1683" t="s">
        <v>3058</v>
      </c>
    </row>
    <row r="1684" spans="1:22">
      <c r="A1684">
        <v>1687</v>
      </c>
      <c r="B1684" t="s">
        <v>3548</v>
      </c>
      <c r="C1684" t="s">
        <v>3549</v>
      </c>
      <c r="D1684" t="s">
        <v>17</v>
      </c>
      <c r="E1684" t="s">
        <v>8</v>
      </c>
      <c r="F1684" s="22">
        <v>0</v>
      </c>
      <c r="G1684" s="22">
        <v>3600</v>
      </c>
      <c r="H1684" s="22">
        <v>0</v>
      </c>
      <c r="I1684" s="22">
        <v>3600</v>
      </c>
      <c r="J1684">
        <v>0</v>
      </c>
      <c r="K1684">
        <v>0</v>
      </c>
      <c r="L1684" s="22">
        <v>3600</v>
      </c>
      <c r="M1684" s="22">
        <v>0</v>
      </c>
      <c r="N1684" s="22">
        <v>0</v>
      </c>
      <c r="O1684" s="22">
        <v>3600</v>
      </c>
      <c r="P1684" s="22">
        <v>5000</v>
      </c>
      <c r="Q1684" s="22">
        <v>-1400</v>
      </c>
      <c r="R1684">
        <v>3000</v>
      </c>
      <c r="T1684" t="s">
        <v>2972</v>
      </c>
      <c r="U1684" t="s">
        <v>3057</v>
      </c>
      <c r="V1684" t="s">
        <v>3056</v>
      </c>
    </row>
    <row r="1685" spans="1:22">
      <c r="A1685">
        <v>1688</v>
      </c>
      <c r="B1685" t="s">
        <v>3500</v>
      </c>
      <c r="C1685" t="s">
        <v>3501</v>
      </c>
      <c r="D1685" t="s">
        <v>17</v>
      </c>
      <c r="E1685" t="s">
        <v>8</v>
      </c>
      <c r="F1685" s="22">
        <v>0</v>
      </c>
      <c r="G1685" s="22">
        <v>3000</v>
      </c>
      <c r="H1685" s="22">
        <v>0</v>
      </c>
      <c r="I1685" s="22">
        <v>3000</v>
      </c>
      <c r="J1685">
        <v>0</v>
      </c>
      <c r="K1685">
        <v>0</v>
      </c>
      <c r="L1685" s="22">
        <v>3000</v>
      </c>
      <c r="M1685" s="22">
        <v>0</v>
      </c>
      <c r="N1685" s="22">
        <v>0</v>
      </c>
      <c r="O1685" s="22">
        <v>3000</v>
      </c>
      <c r="P1685" s="22">
        <v>1500</v>
      </c>
      <c r="Q1685" s="22">
        <v>1500</v>
      </c>
      <c r="R1685">
        <v>0</v>
      </c>
      <c r="T1685" t="s">
        <v>3012</v>
      </c>
      <c r="U1685" t="s">
        <v>3057</v>
      </c>
      <c r="V1685" t="s">
        <v>3056</v>
      </c>
    </row>
    <row r="1686" spans="1:22">
      <c r="A1686">
        <v>1689</v>
      </c>
      <c r="B1686" t="s">
        <v>3649</v>
      </c>
      <c r="C1686" t="s">
        <v>3650</v>
      </c>
      <c r="D1686" t="s">
        <v>7</v>
      </c>
      <c r="E1686" t="s">
        <v>8</v>
      </c>
      <c r="F1686" s="22">
        <v>0</v>
      </c>
      <c r="G1686" s="22">
        <v>1897.5</v>
      </c>
      <c r="H1686" s="22">
        <v>616.75</v>
      </c>
      <c r="I1686" s="22">
        <v>1280.75</v>
      </c>
      <c r="J1686">
        <v>0</v>
      </c>
      <c r="K1686">
        <v>0</v>
      </c>
      <c r="L1686" s="22">
        <v>1280.75</v>
      </c>
      <c r="M1686" s="22">
        <v>0</v>
      </c>
      <c r="N1686" s="22">
        <v>0</v>
      </c>
      <c r="O1686" s="22">
        <v>1280.75</v>
      </c>
      <c r="P1686" s="22">
        <v>700</v>
      </c>
      <c r="Q1686" s="22">
        <v>580.75</v>
      </c>
      <c r="R1686">
        <v>0</v>
      </c>
      <c r="T1686" t="s">
        <v>2965</v>
      </c>
      <c r="U1686" t="s">
        <v>3055</v>
      </c>
      <c r="V1686" t="s">
        <v>3056</v>
      </c>
    </row>
    <row r="1687" spans="1:22">
      <c r="A1687">
        <v>1690</v>
      </c>
      <c r="B1687" t="s">
        <v>3651</v>
      </c>
      <c r="C1687" t="s">
        <v>3652</v>
      </c>
      <c r="D1687" t="s">
        <v>17</v>
      </c>
      <c r="E1687" t="s">
        <v>8</v>
      </c>
      <c r="F1687" s="22">
        <v>0</v>
      </c>
      <c r="G1687" s="22">
        <v>500</v>
      </c>
      <c r="H1687" s="22">
        <v>500</v>
      </c>
      <c r="I1687" s="22">
        <v>0</v>
      </c>
      <c r="J1687">
        <v>0</v>
      </c>
      <c r="K1687">
        <v>0</v>
      </c>
      <c r="L1687" s="22">
        <v>0</v>
      </c>
      <c r="M1687" s="22">
        <v>0</v>
      </c>
      <c r="N1687" s="22">
        <v>0</v>
      </c>
      <c r="O1687" s="22">
        <v>0</v>
      </c>
      <c r="P1687" s="22">
        <v>100</v>
      </c>
      <c r="Q1687" s="22">
        <v>-100</v>
      </c>
      <c r="R1687">
        <v>0</v>
      </c>
      <c r="T1687" t="s">
        <v>2982</v>
      </c>
      <c r="U1687" t="s">
        <v>3060</v>
      </c>
      <c r="V1687" t="s">
        <v>3061</v>
      </c>
    </row>
    <row r="1688" spans="1:22">
      <c r="A1688" s="5">
        <v>1691</v>
      </c>
      <c r="B1688" t="s">
        <v>3579</v>
      </c>
      <c r="C1688" t="s">
        <v>3580</v>
      </c>
      <c r="D1688" t="s">
        <v>17</v>
      </c>
      <c r="E1688" t="s">
        <v>8</v>
      </c>
      <c r="F1688" s="22">
        <v>0</v>
      </c>
      <c r="G1688" s="22">
        <v>120</v>
      </c>
      <c r="H1688" s="22">
        <v>75</v>
      </c>
      <c r="I1688" s="22">
        <v>45</v>
      </c>
      <c r="J1688">
        <v>0</v>
      </c>
      <c r="K1688">
        <v>0</v>
      </c>
      <c r="L1688" s="22">
        <v>45</v>
      </c>
      <c r="M1688" s="22">
        <v>0</v>
      </c>
      <c r="N1688" s="22">
        <v>0</v>
      </c>
      <c r="O1688" s="22">
        <v>45</v>
      </c>
      <c r="P1688" s="22">
        <v>30</v>
      </c>
      <c r="Q1688" s="22">
        <v>15</v>
      </c>
      <c r="R1688">
        <v>30</v>
      </c>
      <c r="T1688" t="s">
        <v>3002</v>
      </c>
      <c r="U1688" t="s">
        <v>3057</v>
      </c>
      <c r="V1688" t="s">
        <v>3674</v>
      </c>
    </row>
    <row r="1689" spans="1:22">
      <c r="A1689" s="5">
        <v>1692</v>
      </c>
      <c r="B1689" t="s">
        <v>3581</v>
      </c>
      <c r="C1689" t="s">
        <v>3582</v>
      </c>
      <c r="D1689" t="s">
        <v>17</v>
      </c>
      <c r="E1689" t="s">
        <v>8</v>
      </c>
      <c r="F1689" s="22">
        <v>0</v>
      </c>
      <c r="G1689" s="22">
        <v>80</v>
      </c>
      <c r="H1689" s="22">
        <v>70</v>
      </c>
      <c r="I1689" s="22">
        <v>10</v>
      </c>
      <c r="J1689">
        <v>0</v>
      </c>
      <c r="K1689">
        <v>0</v>
      </c>
      <c r="L1689" s="22">
        <v>10</v>
      </c>
      <c r="M1689" s="22">
        <v>0</v>
      </c>
      <c r="N1689" s="22">
        <v>0</v>
      </c>
      <c r="O1689" s="22">
        <v>10</v>
      </c>
      <c r="P1689" s="22">
        <v>30</v>
      </c>
      <c r="Q1689" s="22">
        <v>-20</v>
      </c>
      <c r="R1689">
        <v>30</v>
      </c>
      <c r="T1689" t="s">
        <v>3002</v>
      </c>
      <c r="U1689" t="s">
        <v>3057</v>
      </c>
      <c r="V1689" t="s">
        <v>3674</v>
      </c>
    </row>
    <row r="1690" spans="1:22">
      <c r="A1690" s="5">
        <v>1693</v>
      </c>
      <c r="B1690" t="s">
        <v>3675</v>
      </c>
      <c r="C1690" t="s">
        <v>3676</v>
      </c>
      <c r="D1690" t="s">
        <v>17</v>
      </c>
      <c r="E1690" t="s">
        <v>8</v>
      </c>
      <c r="F1690" s="22">
        <v>0</v>
      </c>
      <c r="G1690" s="22">
        <v>0</v>
      </c>
      <c r="H1690" s="22">
        <v>0</v>
      </c>
      <c r="I1690" s="22">
        <v>0</v>
      </c>
      <c r="J1690">
        <v>0</v>
      </c>
      <c r="K1690">
        <v>0</v>
      </c>
      <c r="L1690" s="22">
        <v>0</v>
      </c>
      <c r="M1690" s="22">
        <v>0</v>
      </c>
      <c r="N1690" s="22">
        <v>0</v>
      </c>
      <c r="O1690" s="22">
        <v>0</v>
      </c>
      <c r="P1690" s="22">
        <v>0</v>
      </c>
      <c r="Q1690" s="22">
        <v>0</v>
      </c>
      <c r="R1690">
        <v>30</v>
      </c>
      <c r="T1690" t="s">
        <v>3002</v>
      </c>
      <c r="U1690" t="s">
        <v>3057</v>
      </c>
      <c r="V1690" t="s">
        <v>3674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wstock">
                <anchor moveWithCells="1" sizeWithCells="1">
                  <from>
                    <xdr:col>2</xdr:col>
                    <xdr:colOff>2476500</xdr:colOff>
                    <xdr:row>2</xdr:row>
                    <xdr:rowOff>85725</xdr:rowOff>
                  </from>
                  <to>
                    <xdr:col>3</xdr:col>
                    <xdr:colOff>295275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1690"/>
  <sheetViews>
    <sheetView workbookViewId="0">
      <pane ySplit="1" topLeftCell="A2" activePane="bottomLeft" state="frozen"/>
      <selection pane="bottomLeft" sqref="A1:R1514"/>
    </sheetView>
  </sheetViews>
  <sheetFormatPr defaultRowHeight="15"/>
  <cols>
    <col min="1" max="1" width="5.7109375" style="5" bestFit="1" customWidth="1"/>
    <col min="2" max="2" width="37" bestFit="1" customWidth="1"/>
    <col min="3" max="3" width="62" customWidth="1"/>
    <col min="4" max="4" width="5.7109375" bestFit="1" customWidth="1"/>
    <col min="5" max="5" width="11.28515625" bestFit="1" customWidth="1"/>
    <col min="6" max="6" width="13.28515625" hidden="1" customWidth="1"/>
    <col min="7" max="7" width="8.85546875" hidden="1" customWidth="1"/>
    <col min="8" max="8" width="10.140625" hidden="1" customWidth="1"/>
    <col min="9" max="9" width="16.28515625" hidden="1" customWidth="1"/>
    <col min="10" max="10" width="9.28515625" hidden="1" customWidth="1"/>
    <col min="11" max="11" width="14.42578125" hidden="1" customWidth="1"/>
    <col min="12" max="12" width="10" hidden="1" customWidth="1"/>
    <col min="13" max="13" width="12.7109375" hidden="1" customWidth="1"/>
    <col min="14" max="14" width="11.7109375" hidden="1" customWidth="1"/>
    <col min="15" max="15" width="14.7109375" customWidth="1"/>
    <col min="16" max="16" width="10.85546875" hidden="1" customWidth="1"/>
    <col min="17" max="17" width="12" hidden="1" customWidth="1"/>
    <col min="18" max="18" width="10" customWidth="1"/>
    <col min="19" max="19" width="23.42578125" bestFit="1" customWidth="1"/>
    <col min="20" max="20" width="40.5703125" bestFit="1" customWidth="1"/>
    <col min="21" max="21" width="20.85546875" bestFit="1" customWidth="1"/>
    <col min="22" max="22" width="15.7109375" bestFit="1" customWidth="1"/>
    <col min="23" max="23" width="16" bestFit="1" customWidth="1"/>
    <col min="24" max="24" width="23.42578125" bestFit="1" customWidth="1"/>
  </cols>
  <sheetData>
    <row r="1" spans="1:24" s="39" customFormat="1" ht="37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2934</v>
      </c>
      <c r="G1" s="1" t="s">
        <v>2935</v>
      </c>
      <c r="H1" s="1" t="s">
        <v>2936</v>
      </c>
      <c r="I1" s="1" t="s">
        <v>2937</v>
      </c>
      <c r="J1" s="23" t="s">
        <v>2940</v>
      </c>
      <c r="K1" s="36" t="s">
        <v>2939</v>
      </c>
      <c r="L1" s="24" t="s">
        <v>2938</v>
      </c>
      <c r="M1" s="37" t="s">
        <v>3155</v>
      </c>
      <c r="N1" s="37" t="s">
        <v>2941</v>
      </c>
      <c r="O1" s="38" t="s">
        <v>2942</v>
      </c>
      <c r="P1" s="1" t="s">
        <v>3066</v>
      </c>
      <c r="Q1" s="1" t="s">
        <v>3067</v>
      </c>
      <c r="R1" s="1" t="s">
        <v>2943</v>
      </c>
      <c r="S1" s="1" t="s">
        <v>2944</v>
      </c>
      <c r="T1" s="1" t="s">
        <v>2956</v>
      </c>
      <c r="U1" s="1" t="s">
        <v>2945</v>
      </c>
      <c r="V1" s="1" t="s">
        <v>2946</v>
      </c>
      <c r="W1" s="1" t="s">
        <v>3054</v>
      </c>
      <c r="X1" s="1" t="s">
        <v>3154</v>
      </c>
    </row>
    <row r="2" spans="1:24" hidden="1">
      <c r="A2" s="18">
        <v>1</v>
      </c>
      <c r="B2" s="17" t="s">
        <v>5</v>
      </c>
      <c r="C2" s="17" t="s">
        <v>6</v>
      </c>
      <c r="D2" s="17" t="s">
        <v>7</v>
      </c>
      <c r="E2" s="17" t="s">
        <v>8</v>
      </c>
      <c r="F2" s="17">
        <v>433</v>
      </c>
      <c r="G2" s="17">
        <v>247</v>
      </c>
      <c r="H2" s="17">
        <v>0</v>
      </c>
      <c r="I2" s="17">
        <v>680</v>
      </c>
      <c r="J2" s="17">
        <v>0</v>
      </c>
      <c r="K2" s="17">
        <v>0</v>
      </c>
      <c r="L2" s="17">
        <v>680</v>
      </c>
      <c r="M2" s="17">
        <v>0</v>
      </c>
      <c r="N2" s="17">
        <v>0</v>
      </c>
      <c r="O2" s="17">
        <v>680</v>
      </c>
      <c r="P2" s="17">
        <v>100</v>
      </c>
      <c r="Q2" s="17">
        <v>580</v>
      </c>
      <c r="R2" s="17">
        <v>0</v>
      </c>
      <c r="S2" s="17"/>
      <c r="T2" s="17" t="s">
        <v>2965</v>
      </c>
      <c r="U2" s="17" t="s">
        <v>3055</v>
      </c>
      <c r="V2" s="17" t="s">
        <v>3056</v>
      </c>
      <c r="W2" s="17"/>
      <c r="X2" s="17"/>
    </row>
    <row r="3" spans="1:24" hidden="1">
      <c r="A3" s="18">
        <v>2</v>
      </c>
      <c r="B3" s="17" t="s">
        <v>9</v>
      </c>
      <c r="C3" s="17" t="s">
        <v>10</v>
      </c>
      <c r="D3" s="17" t="s">
        <v>7</v>
      </c>
      <c r="E3" s="17" t="s">
        <v>8</v>
      </c>
      <c r="F3" s="17">
        <v>0</v>
      </c>
      <c r="G3" s="17">
        <v>0</v>
      </c>
      <c r="H3" s="17">
        <v>0</v>
      </c>
      <c r="I3" s="17">
        <v>0</v>
      </c>
      <c r="J3" s="17">
        <v>0</v>
      </c>
      <c r="K3" s="17">
        <v>0</v>
      </c>
      <c r="L3" s="17">
        <v>0</v>
      </c>
      <c r="M3" s="17">
        <v>0</v>
      </c>
      <c r="N3" s="17">
        <v>0</v>
      </c>
      <c r="O3" s="17">
        <v>0</v>
      </c>
      <c r="P3" s="17">
        <v>0</v>
      </c>
      <c r="Q3" s="17">
        <v>0</v>
      </c>
      <c r="R3" s="17">
        <v>0</v>
      </c>
      <c r="S3" s="17"/>
      <c r="T3" s="17" t="s">
        <v>2965</v>
      </c>
      <c r="U3" s="17" t="s">
        <v>3055</v>
      </c>
      <c r="V3" s="17" t="s">
        <v>3056</v>
      </c>
      <c r="W3" s="17"/>
      <c r="X3" s="17"/>
    </row>
    <row r="4" spans="1:24" hidden="1">
      <c r="A4" s="18">
        <v>3</v>
      </c>
      <c r="B4" s="17" t="s">
        <v>14</v>
      </c>
      <c r="C4" s="17" t="s">
        <v>15</v>
      </c>
      <c r="D4" s="17" t="s">
        <v>7</v>
      </c>
      <c r="E4" s="17" t="s">
        <v>8</v>
      </c>
      <c r="F4" s="17">
        <v>696.4</v>
      </c>
      <c r="G4" s="17">
        <v>0</v>
      </c>
      <c r="H4" s="17">
        <v>230.8</v>
      </c>
      <c r="I4" s="17">
        <v>465.6</v>
      </c>
      <c r="J4" s="17">
        <v>0</v>
      </c>
      <c r="K4" s="17">
        <v>0</v>
      </c>
      <c r="L4" s="17">
        <v>465.6</v>
      </c>
      <c r="M4" s="17">
        <v>0</v>
      </c>
      <c r="N4" s="17">
        <v>0</v>
      </c>
      <c r="O4" s="17">
        <v>465.6</v>
      </c>
      <c r="P4" s="17">
        <v>300</v>
      </c>
      <c r="Q4" s="17">
        <v>165.60000000000002</v>
      </c>
      <c r="R4" s="17">
        <v>0</v>
      </c>
      <c r="S4" s="17"/>
      <c r="T4" s="17" t="s">
        <v>2965</v>
      </c>
      <c r="U4" s="17" t="s">
        <v>3055</v>
      </c>
      <c r="V4" s="17" t="s">
        <v>3056</v>
      </c>
      <c r="W4" s="17"/>
      <c r="X4" s="17"/>
    </row>
    <row r="5" spans="1:24" hidden="1">
      <c r="A5" s="18">
        <v>4</v>
      </c>
      <c r="B5" s="17" t="s">
        <v>51</v>
      </c>
      <c r="C5" s="17" t="s">
        <v>52</v>
      </c>
      <c r="D5" s="17" t="s">
        <v>20</v>
      </c>
      <c r="E5" s="17" t="s">
        <v>8</v>
      </c>
      <c r="F5" s="17">
        <v>1119.8</v>
      </c>
      <c r="G5" s="17">
        <v>5821.6</v>
      </c>
      <c r="H5" s="17">
        <v>2691.3</v>
      </c>
      <c r="I5" s="17">
        <v>4250.1000000000004</v>
      </c>
      <c r="J5" s="17">
        <v>0</v>
      </c>
      <c r="K5" s="17">
        <v>0</v>
      </c>
      <c r="L5" s="17">
        <v>4250.1000000000004</v>
      </c>
      <c r="M5" s="17">
        <v>0</v>
      </c>
      <c r="N5" s="17">
        <v>0</v>
      </c>
      <c r="O5" s="17">
        <v>4250.1000000000004</v>
      </c>
      <c r="P5" s="17">
        <v>4000</v>
      </c>
      <c r="Q5" s="17">
        <v>250.10000000000036</v>
      </c>
      <c r="R5" s="17">
        <v>0</v>
      </c>
      <c r="S5" s="17"/>
      <c r="T5" s="17" t="s">
        <v>2991</v>
      </c>
      <c r="U5" s="17" t="s">
        <v>3057</v>
      </c>
      <c r="V5" s="17" t="s">
        <v>3056</v>
      </c>
      <c r="W5" s="17"/>
      <c r="X5" s="17"/>
    </row>
    <row r="6" spans="1:24" hidden="1">
      <c r="A6" s="18">
        <v>5</v>
      </c>
      <c r="B6" s="17" t="s">
        <v>18</v>
      </c>
      <c r="C6" s="17" t="s">
        <v>19</v>
      </c>
      <c r="D6" s="17" t="s">
        <v>20</v>
      </c>
      <c r="E6" s="17" t="s">
        <v>8</v>
      </c>
      <c r="F6" s="17">
        <v>3486</v>
      </c>
      <c r="G6" s="17">
        <v>0</v>
      </c>
      <c r="H6" s="17">
        <v>2207.8000000000002</v>
      </c>
      <c r="I6" s="17">
        <v>1278.2</v>
      </c>
      <c r="J6" s="17">
        <v>0</v>
      </c>
      <c r="K6" s="17">
        <v>0</v>
      </c>
      <c r="L6" s="17">
        <v>1278.2</v>
      </c>
      <c r="M6" s="17">
        <v>0</v>
      </c>
      <c r="N6" s="17">
        <v>0</v>
      </c>
      <c r="O6" s="17">
        <v>1278.2</v>
      </c>
      <c r="P6" s="17">
        <v>0</v>
      </c>
      <c r="Q6" s="17">
        <v>1278.2</v>
      </c>
      <c r="R6" s="17">
        <v>0</v>
      </c>
      <c r="S6" s="17"/>
      <c r="T6" s="17" t="s">
        <v>3000</v>
      </c>
      <c r="U6" s="17" t="s">
        <v>3059</v>
      </c>
      <c r="V6" s="17" t="s">
        <v>3056</v>
      </c>
      <c r="W6" s="17"/>
      <c r="X6" s="17"/>
    </row>
    <row r="7" spans="1:24" hidden="1">
      <c r="A7" s="18">
        <v>6</v>
      </c>
      <c r="B7" s="17" t="s">
        <v>21</v>
      </c>
      <c r="C7" s="17" t="s">
        <v>22</v>
      </c>
      <c r="D7" s="17" t="s">
        <v>20</v>
      </c>
      <c r="E7" s="17" t="s">
        <v>8</v>
      </c>
      <c r="F7" s="17">
        <v>3214.63</v>
      </c>
      <c r="G7" s="17">
        <v>0</v>
      </c>
      <c r="H7" s="17">
        <v>316.8</v>
      </c>
      <c r="I7" s="17">
        <v>2897.83</v>
      </c>
      <c r="J7" s="17">
        <v>0</v>
      </c>
      <c r="K7" s="17">
        <v>0</v>
      </c>
      <c r="L7" s="17">
        <v>2897.83</v>
      </c>
      <c r="M7" s="17">
        <v>0</v>
      </c>
      <c r="N7" s="17">
        <v>0</v>
      </c>
      <c r="O7" s="17">
        <v>2897.83</v>
      </c>
      <c r="P7" s="17">
        <v>0</v>
      </c>
      <c r="Q7" s="17">
        <v>2897.83</v>
      </c>
      <c r="R7" s="17">
        <v>0</v>
      </c>
      <c r="S7" s="17"/>
      <c r="T7" s="17" t="s">
        <v>3000</v>
      </c>
      <c r="U7" s="17" t="s">
        <v>3059</v>
      </c>
      <c r="V7" s="17" t="s">
        <v>3056</v>
      </c>
      <c r="W7" s="17"/>
      <c r="X7" s="17"/>
    </row>
    <row r="8" spans="1:24" hidden="1">
      <c r="A8" s="18">
        <v>7</v>
      </c>
      <c r="B8" s="17" t="s">
        <v>27</v>
      </c>
      <c r="C8" s="17" t="s">
        <v>28</v>
      </c>
      <c r="D8" s="17" t="s">
        <v>20</v>
      </c>
      <c r="E8" s="17" t="s">
        <v>8</v>
      </c>
      <c r="F8" s="17">
        <v>9228.14</v>
      </c>
      <c r="G8" s="17">
        <v>0</v>
      </c>
      <c r="H8" s="17">
        <v>2316.6</v>
      </c>
      <c r="I8" s="17">
        <v>6911.54</v>
      </c>
      <c r="J8" s="17">
        <v>0</v>
      </c>
      <c r="K8" s="17">
        <v>0</v>
      </c>
      <c r="L8" s="17">
        <v>6911.54</v>
      </c>
      <c r="M8" s="17">
        <v>0</v>
      </c>
      <c r="N8" s="17">
        <v>0</v>
      </c>
      <c r="O8" s="17">
        <v>6911.54</v>
      </c>
      <c r="P8" s="17">
        <v>0</v>
      </c>
      <c r="Q8" s="17">
        <v>6911.54</v>
      </c>
      <c r="R8" s="17">
        <v>0</v>
      </c>
      <c r="S8" s="17"/>
      <c r="T8" s="17" t="s">
        <v>3000</v>
      </c>
      <c r="U8" s="17" t="s">
        <v>3059</v>
      </c>
      <c r="V8" s="17" t="s">
        <v>3056</v>
      </c>
      <c r="W8" s="17"/>
      <c r="X8" s="17"/>
    </row>
    <row r="9" spans="1:24" hidden="1">
      <c r="A9" s="18">
        <v>8</v>
      </c>
      <c r="B9" s="17" t="s">
        <v>29</v>
      </c>
      <c r="C9" s="17" t="s">
        <v>30</v>
      </c>
      <c r="D9" s="17" t="s">
        <v>17</v>
      </c>
      <c r="E9" s="17" t="s">
        <v>8</v>
      </c>
      <c r="F9" s="17">
        <v>2000</v>
      </c>
      <c r="G9" s="17">
        <v>0</v>
      </c>
      <c r="H9" s="17">
        <v>400</v>
      </c>
      <c r="I9" s="17">
        <v>1600</v>
      </c>
      <c r="J9" s="17">
        <v>0</v>
      </c>
      <c r="K9" s="17">
        <v>0</v>
      </c>
      <c r="L9" s="17">
        <v>1600</v>
      </c>
      <c r="M9" s="17">
        <v>0</v>
      </c>
      <c r="N9" s="17">
        <v>0</v>
      </c>
      <c r="O9" s="17">
        <v>1600</v>
      </c>
      <c r="P9" s="17">
        <v>1000</v>
      </c>
      <c r="Q9" s="17">
        <v>600</v>
      </c>
      <c r="R9" s="17">
        <v>0</v>
      </c>
      <c r="S9" s="17"/>
      <c r="T9" s="17" t="s">
        <v>2972</v>
      </c>
      <c r="U9" s="17" t="s">
        <v>3055</v>
      </c>
      <c r="V9" s="17" t="s">
        <v>3056</v>
      </c>
      <c r="W9" s="17"/>
      <c r="X9" s="17"/>
    </row>
    <row r="10" spans="1:24" hidden="1">
      <c r="A10" s="18">
        <v>9</v>
      </c>
      <c r="B10" s="17" t="s">
        <v>57</v>
      </c>
      <c r="C10" s="17" t="s">
        <v>58</v>
      </c>
      <c r="D10" s="17" t="s">
        <v>17</v>
      </c>
      <c r="E10" s="17" t="s">
        <v>8</v>
      </c>
      <c r="F10" s="17">
        <v>26086</v>
      </c>
      <c r="G10" s="17">
        <v>0</v>
      </c>
      <c r="H10" s="17">
        <v>4250</v>
      </c>
      <c r="I10" s="17">
        <v>21836</v>
      </c>
      <c r="J10" s="17">
        <v>0</v>
      </c>
      <c r="K10" s="17">
        <v>0</v>
      </c>
      <c r="L10" s="17">
        <v>21836</v>
      </c>
      <c r="M10" s="17">
        <v>0</v>
      </c>
      <c r="N10" s="17">
        <v>0</v>
      </c>
      <c r="O10" s="17">
        <v>21836</v>
      </c>
      <c r="P10" s="17">
        <v>10000</v>
      </c>
      <c r="Q10" s="17">
        <v>11836</v>
      </c>
      <c r="R10" s="17">
        <v>0</v>
      </c>
      <c r="S10" s="17"/>
      <c r="T10" s="17" t="s">
        <v>2991</v>
      </c>
      <c r="U10" s="17" t="s">
        <v>3057</v>
      </c>
      <c r="V10" s="17" t="s">
        <v>3056</v>
      </c>
      <c r="W10" s="17"/>
      <c r="X10" s="17"/>
    </row>
    <row r="11" spans="1:24" hidden="1">
      <c r="A11" s="18">
        <v>10</v>
      </c>
      <c r="B11" s="17" t="s">
        <v>68</v>
      </c>
      <c r="C11" s="17" t="s">
        <v>69</v>
      </c>
      <c r="D11" s="17" t="s">
        <v>17</v>
      </c>
      <c r="E11" s="17" t="s">
        <v>8</v>
      </c>
      <c r="F11" s="17">
        <v>32903</v>
      </c>
      <c r="G11" s="17">
        <v>0</v>
      </c>
      <c r="H11" s="17">
        <v>3200</v>
      </c>
      <c r="I11" s="17">
        <v>29703</v>
      </c>
      <c r="J11" s="17">
        <v>0</v>
      </c>
      <c r="K11" s="17">
        <v>0</v>
      </c>
      <c r="L11" s="17">
        <v>29703</v>
      </c>
      <c r="M11" s="17">
        <v>0</v>
      </c>
      <c r="N11" s="17">
        <v>0</v>
      </c>
      <c r="O11" s="17">
        <v>29703</v>
      </c>
      <c r="P11" s="17">
        <v>8000</v>
      </c>
      <c r="Q11" s="17">
        <v>21703</v>
      </c>
      <c r="R11" s="17">
        <v>0</v>
      </c>
      <c r="S11" s="17"/>
      <c r="T11" s="17" t="s">
        <v>2991</v>
      </c>
      <c r="U11" s="17" t="s">
        <v>3057</v>
      </c>
      <c r="V11" s="17" t="s">
        <v>3056</v>
      </c>
      <c r="W11" s="17"/>
      <c r="X11" s="17"/>
    </row>
    <row r="12" spans="1:24" hidden="1">
      <c r="A12" s="18">
        <v>11</v>
      </c>
      <c r="B12" s="17" t="s">
        <v>96</v>
      </c>
      <c r="C12" s="17" t="s">
        <v>97</v>
      </c>
      <c r="D12" s="17" t="s">
        <v>17</v>
      </c>
      <c r="E12" s="17" t="s">
        <v>8</v>
      </c>
      <c r="F12" s="17">
        <v>13000</v>
      </c>
      <c r="G12" s="17">
        <v>0</v>
      </c>
      <c r="H12" s="17">
        <v>2000</v>
      </c>
      <c r="I12" s="17">
        <v>11000</v>
      </c>
      <c r="J12" s="17">
        <v>0</v>
      </c>
      <c r="K12" s="17">
        <v>0</v>
      </c>
      <c r="L12" s="17">
        <v>11000</v>
      </c>
      <c r="M12" s="17">
        <v>0</v>
      </c>
      <c r="N12" s="17">
        <v>0</v>
      </c>
      <c r="O12" s="17">
        <v>11000</v>
      </c>
      <c r="P12" s="17">
        <v>7000</v>
      </c>
      <c r="Q12" s="17">
        <v>4000</v>
      </c>
      <c r="R12" s="17">
        <v>0</v>
      </c>
      <c r="S12" s="17"/>
      <c r="T12" s="17" t="s">
        <v>2991</v>
      </c>
      <c r="U12" s="17" t="s">
        <v>3057</v>
      </c>
      <c r="V12" s="17" t="s">
        <v>3058</v>
      </c>
      <c r="W12" s="17"/>
      <c r="X12" s="17"/>
    </row>
    <row r="13" spans="1:24" hidden="1">
      <c r="A13" s="18">
        <v>12</v>
      </c>
      <c r="B13" s="17" t="s">
        <v>125</v>
      </c>
      <c r="C13" s="17" t="s">
        <v>126</v>
      </c>
      <c r="D13" s="17" t="s">
        <v>17</v>
      </c>
      <c r="E13" s="17" t="s">
        <v>8</v>
      </c>
      <c r="F13" s="17">
        <v>2000</v>
      </c>
      <c r="G13" s="17">
        <v>0</v>
      </c>
      <c r="H13" s="17">
        <v>0</v>
      </c>
      <c r="I13" s="17">
        <v>2000</v>
      </c>
      <c r="J13" s="17">
        <v>0</v>
      </c>
      <c r="K13" s="17">
        <v>0</v>
      </c>
      <c r="L13" s="17">
        <v>2000</v>
      </c>
      <c r="M13" s="17">
        <v>0</v>
      </c>
      <c r="N13" s="17">
        <v>0</v>
      </c>
      <c r="O13" s="17">
        <v>2000</v>
      </c>
      <c r="P13" s="17">
        <v>1100</v>
      </c>
      <c r="Q13" s="17">
        <v>900</v>
      </c>
      <c r="R13" s="17">
        <v>0</v>
      </c>
      <c r="S13" s="17"/>
      <c r="T13" s="17" t="s">
        <v>2972</v>
      </c>
      <c r="U13" s="17" t="s">
        <v>3057</v>
      </c>
      <c r="V13" s="17" t="s">
        <v>3058</v>
      </c>
      <c r="W13" s="17"/>
      <c r="X13" s="17"/>
    </row>
    <row r="14" spans="1:24" hidden="1">
      <c r="A14" s="18">
        <v>13</v>
      </c>
      <c r="B14" s="17" t="s">
        <v>39</v>
      </c>
      <c r="C14" s="17" t="s">
        <v>40</v>
      </c>
      <c r="D14" s="17" t="s">
        <v>17</v>
      </c>
      <c r="E14" s="17" t="s">
        <v>8</v>
      </c>
      <c r="F14" s="17">
        <v>6100</v>
      </c>
      <c r="G14" s="17">
        <v>0</v>
      </c>
      <c r="H14" s="17">
        <v>600</v>
      </c>
      <c r="I14" s="17">
        <v>5500</v>
      </c>
      <c r="J14" s="17">
        <v>0</v>
      </c>
      <c r="K14" s="17">
        <v>0</v>
      </c>
      <c r="L14" s="17">
        <v>5500</v>
      </c>
      <c r="M14" s="17">
        <v>0</v>
      </c>
      <c r="N14" s="17">
        <v>0</v>
      </c>
      <c r="O14" s="17">
        <v>5500</v>
      </c>
      <c r="P14" s="17">
        <v>1000</v>
      </c>
      <c r="Q14" s="17">
        <v>4500</v>
      </c>
      <c r="R14" s="17">
        <v>0</v>
      </c>
      <c r="S14" s="17"/>
      <c r="T14" s="17" t="s">
        <v>2972</v>
      </c>
      <c r="U14" s="17" t="s">
        <v>3055</v>
      </c>
      <c r="V14" s="17" t="s">
        <v>3056</v>
      </c>
      <c r="W14" s="17"/>
      <c r="X14" s="17"/>
    </row>
    <row r="15" spans="1:24" hidden="1">
      <c r="A15" s="18">
        <v>14</v>
      </c>
      <c r="B15" s="17" t="s">
        <v>41</v>
      </c>
      <c r="C15" s="17" t="s">
        <v>42</v>
      </c>
      <c r="D15" s="17" t="s">
        <v>17</v>
      </c>
      <c r="E15" s="17" t="s">
        <v>8</v>
      </c>
      <c r="F15" s="17">
        <v>0</v>
      </c>
      <c r="G15" s="17">
        <v>0</v>
      </c>
      <c r="H15" s="17">
        <v>0</v>
      </c>
      <c r="I15" s="17">
        <v>0</v>
      </c>
      <c r="J15" s="17">
        <v>0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/>
      <c r="T15" s="17" t="s">
        <v>2972</v>
      </c>
      <c r="U15" s="17" t="s">
        <v>3055</v>
      </c>
      <c r="V15" s="17" t="s">
        <v>3056</v>
      </c>
      <c r="W15" s="17"/>
      <c r="X15" s="17"/>
    </row>
    <row r="16" spans="1:24" hidden="1">
      <c r="A16" s="18">
        <v>15</v>
      </c>
      <c r="B16" s="17" t="s">
        <v>43</v>
      </c>
      <c r="C16" s="17" t="s">
        <v>44</v>
      </c>
      <c r="D16" s="17" t="s">
        <v>17</v>
      </c>
      <c r="E16" s="17" t="s">
        <v>8</v>
      </c>
      <c r="F16" s="17">
        <v>9127</v>
      </c>
      <c r="G16" s="17">
        <v>0</v>
      </c>
      <c r="H16" s="17">
        <v>0</v>
      </c>
      <c r="I16" s="17">
        <v>9127</v>
      </c>
      <c r="J16" s="17">
        <v>0</v>
      </c>
      <c r="K16" s="17">
        <v>0</v>
      </c>
      <c r="L16" s="17">
        <v>9127</v>
      </c>
      <c r="M16" s="17">
        <v>0</v>
      </c>
      <c r="N16" s="17">
        <v>0</v>
      </c>
      <c r="O16" s="17">
        <v>9127</v>
      </c>
      <c r="P16" s="17">
        <v>0</v>
      </c>
      <c r="Q16" s="17">
        <v>9127</v>
      </c>
      <c r="R16" s="17">
        <v>0</v>
      </c>
      <c r="S16" s="17"/>
      <c r="T16" s="17" t="s">
        <v>2972</v>
      </c>
      <c r="U16" s="17" t="s">
        <v>3055</v>
      </c>
      <c r="V16" s="17" t="s">
        <v>3056</v>
      </c>
      <c r="W16" s="17"/>
      <c r="X16" s="17"/>
    </row>
    <row r="17" spans="1:24" hidden="1">
      <c r="A17" s="18">
        <v>16</v>
      </c>
      <c r="B17" s="17" t="s">
        <v>243</v>
      </c>
      <c r="C17" s="17" t="s">
        <v>244</v>
      </c>
      <c r="D17" s="17" t="s">
        <v>20</v>
      </c>
      <c r="E17" s="17" t="s">
        <v>8</v>
      </c>
      <c r="F17" s="17">
        <v>9.8000000000000007</v>
      </c>
      <c r="G17" s="17">
        <v>0</v>
      </c>
      <c r="H17" s="17">
        <v>0</v>
      </c>
      <c r="I17" s="17">
        <v>9.8000000000000007</v>
      </c>
      <c r="J17" s="17">
        <v>0</v>
      </c>
      <c r="K17" s="17">
        <v>0</v>
      </c>
      <c r="L17" s="17">
        <v>9.8000000000000007</v>
      </c>
      <c r="M17" s="17">
        <v>0</v>
      </c>
      <c r="N17" s="17">
        <v>0</v>
      </c>
      <c r="O17" s="17">
        <v>9.8000000000000007</v>
      </c>
      <c r="P17" s="17">
        <v>5</v>
      </c>
      <c r="Q17" s="17">
        <v>4.8000000000000007</v>
      </c>
      <c r="R17" s="17">
        <v>0</v>
      </c>
      <c r="S17" s="17"/>
      <c r="T17" s="17" t="s">
        <v>2972</v>
      </c>
      <c r="U17" s="17" t="s">
        <v>3057</v>
      </c>
      <c r="V17" s="17" t="s">
        <v>3058</v>
      </c>
      <c r="W17" s="17"/>
      <c r="X17" s="17"/>
    </row>
    <row r="18" spans="1:24" hidden="1">
      <c r="A18" s="18">
        <v>17</v>
      </c>
      <c r="B18" s="17" t="s">
        <v>247</v>
      </c>
      <c r="C18" s="17" t="s">
        <v>248</v>
      </c>
      <c r="D18" s="17" t="s">
        <v>17</v>
      </c>
      <c r="E18" s="17" t="s">
        <v>8</v>
      </c>
      <c r="F18" s="17">
        <v>500</v>
      </c>
      <c r="G18" s="17">
        <v>0</v>
      </c>
      <c r="H18" s="17">
        <v>0</v>
      </c>
      <c r="I18" s="17">
        <v>500</v>
      </c>
      <c r="J18" s="17">
        <v>0</v>
      </c>
      <c r="K18" s="17">
        <v>0</v>
      </c>
      <c r="L18" s="17">
        <v>500</v>
      </c>
      <c r="M18" s="17">
        <v>0</v>
      </c>
      <c r="N18" s="17">
        <v>0</v>
      </c>
      <c r="O18" s="17">
        <v>500</v>
      </c>
      <c r="P18" s="17">
        <v>400</v>
      </c>
      <c r="Q18" s="17">
        <v>100</v>
      </c>
      <c r="R18" s="17">
        <v>0</v>
      </c>
      <c r="S18" s="17"/>
      <c r="T18" s="17" t="s">
        <v>2991</v>
      </c>
      <c r="U18" s="17" t="s">
        <v>3057</v>
      </c>
      <c r="V18" s="17" t="s">
        <v>3058</v>
      </c>
      <c r="W18" s="17"/>
      <c r="X18" s="17"/>
    </row>
    <row r="19" spans="1:24" hidden="1">
      <c r="A19" s="18">
        <v>18</v>
      </c>
      <c r="B19" s="17" t="s">
        <v>287</v>
      </c>
      <c r="C19" s="17" t="s">
        <v>288</v>
      </c>
      <c r="D19" s="17" t="s">
        <v>289</v>
      </c>
      <c r="E19" s="17" t="s">
        <v>8</v>
      </c>
      <c r="F19" s="17">
        <v>630</v>
      </c>
      <c r="G19" s="17">
        <v>20565</v>
      </c>
      <c r="H19" s="17">
        <v>16090</v>
      </c>
      <c r="I19" s="17">
        <v>5105</v>
      </c>
      <c r="J19" s="17">
        <v>0</v>
      </c>
      <c r="K19" s="17">
        <v>0</v>
      </c>
      <c r="L19" s="17">
        <v>5105</v>
      </c>
      <c r="M19" s="17">
        <v>0</v>
      </c>
      <c r="N19" s="17">
        <v>0</v>
      </c>
      <c r="O19" s="17">
        <v>5105</v>
      </c>
      <c r="P19" s="17">
        <v>5000</v>
      </c>
      <c r="Q19" s="17">
        <v>105</v>
      </c>
      <c r="R19" s="17">
        <v>22000</v>
      </c>
      <c r="S19" s="17"/>
      <c r="T19" s="17" t="s">
        <v>2974</v>
      </c>
      <c r="U19" s="17" t="s">
        <v>3057</v>
      </c>
      <c r="V19" s="17" t="s">
        <v>3056</v>
      </c>
      <c r="W19" s="17"/>
      <c r="X19" s="17"/>
    </row>
    <row r="20" spans="1:24" hidden="1">
      <c r="A20" s="18">
        <v>19</v>
      </c>
      <c r="B20" s="17" t="s">
        <v>55</v>
      </c>
      <c r="C20" s="17" t="s">
        <v>56</v>
      </c>
      <c r="D20" s="17" t="s">
        <v>7</v>
      </c>
      <c r="E20" s="17" t="s">
        <v>8</v>
      </c>
      <c r="F20" s="17">
        <v>133.16</v>
      </c>
      <c r="G20" s="17">
        <v>0</v>
      </c>
      <c r="H20" s="17">
        <v>7</v>
      </c>
      <c r="I20" s="17">
        <v>126.16</v>
      </c>
      <c r="J20" s="17">
        <v>0</v>
      </c>
      <c r="K20" s="17">
        <v>0</v>
      </c>
      <c r="L20" s="17">
        <v>126.16</v>
      </c>
      <c r="M20" s="17">
        <v>0</v>
      </c>
      <c r="N20" s="17">
        <v>0</v>
      </c>
      <c r="O20" s="17">
        <v>126.16</v>
      </c>
      <c r="P20" s="17">
        <v>60</v>
      </c>
      <c r="Q20" s="17">
        <v>66.16</v>
      </c>
      <c r="R20" s="17">
        <v>0</v>
      </c>
      <c r="S20" s="17"/>
      <c r="T20" s="17" t="s">
        <v>2965</v>
      </c>
      <c r="U20" s="17" t="s">
        <v>3055</v>
      </c>
      <c r="V20" s="17" t="s">
        <v>3056</v>
      </c>
      <c r="W20" s="17"/>
      <c r="X20" s="17"/>
    </row>
    <row r="21" spans="1:24" hidden="1">
      <c r="A21" s="18">
        <v>20</v>
      </c>
      <c r="B21" s="17" t="s">
        <v>292</v>
      </c>
      <c r="C21" s="17" t="s">
        <v>293</v>
      </c>
      <c r="D21" s="17" t="s">
        <v>17</v>
      </c>
      <c r="E21" s="17" t="s">
        <v>8</v>
      </c>
      <c r="F21" s="17">
        <v>2550</v>
      </c>
      <c r="G21" s="17">
        <v>0</v>
      </c>
      <c r="H21" s="17">
        <v>350</v>
      </c>
      <c r="I21" s="17">
        <v>2200</v>
      </c>
      <c r="J21" s="17">
        <v>0</v>
      </c>
      <c r="K21" s="17">
        <v>0</v>
      </c>
      <c r="L21" s="17">
        <v>2200</v>
      </c>
      <c r="M21" s="17">
        <v>0</v>
      </c>
      <c r="N21" s="17">
        <v>0</v>
      </c>
      <c r="O21" s="17">
        <v>2200</v>
      </c>
      <c r="P21" s="17">
        <v>500</v>
      </c>
      <c r="Q21" s="17">
        <v>1700</v>
      </c>
      <c r="R21" s="17">
        <v>0</v>
      </c>
      <c r="S21" s="17"/>
      <c r="T21" s="17" t="s">
        <v>2972</v>
      </c>
      <c r="U21" s="17" t="s">
        <v>3057</v>
      </c>
      <c r="V21" s="17" t="s">
        <v>3056</v>
      </c>
      <c r="W21" s="17"/>
      <c r="X21" s="17"/>
    </row>
    <row r="22" spans="1:24" hidden="1">
      <c r="A22" s="18">
        <v>21</v>
      </c>
      <c r="B22" s="17" t="s">
        <v>377</v>
      </c>
      <c r="C22" s="17" t="s">
        <v>378</v>
      </c>
      <c r="D22" s="17" t="s">
        <v>17</v>
      </c>
      <c r="E22" s="17" t="s">
        <v>8</v>
      </c>
      <c r="F22" s="17">
        <v>750</v>
      </c>
      <c r="G22" s="17">
        <v>0</v>
      </c>
      <c r="H22" s="17">
        <v>0</v>
      </c>
      <c r="I22" s="17">
        <v>750</v>
      </c>
      <c r="J22" s="17">
        <v>0</v>
      </c>
      <c r="K22" s="17">
        <v>0</v>
      </c>
      <c r="L22" s="17">
        <v>750</v>
      </c>
      <c r="M22" s="17">
        <v>0</v>
      </c>
      <c r="N22" s="17">
        <v>0</v>
      </c>
      <c r="O22" s="17">
        <v>750</v>
      </c>
      <c r="P22" s="17">
        <v>500</v>
      </c>
      <c r="Q22" s="17">
        <v>250</v>
      </c>
      <c r="R22" s="17">
        <v>0</v>
      </c>
      <c r="S22" s="17"/>
      <c r="T22" s="17" t="s">
        <v>2991</v>
      </c>
      <c r="U22" s="17" t="s">
        <v>3057</v>
      </c>
      <c r="V22" s="17" t="s">
        <v>3058</v>
      </c>
      <c r="W22" s="17"/>
      <c r="X22" s="17"/>
    </row>
    <row r="23" spans="1:24" hidden="1">
      <c r="A23" s="18">
        <v>22</v>
      </c>
      <c r="B23" s="17" t="s">
        <v>379</v>
      </c>
      <c r="C23" s="17" t="s">
        <v>380</v>
      </c>
      <c r="D23" s="17" t="s">
        <v>17</v>
      </c>
      <c r="E23" s="17" t="s">
        <v>8</v>
      </c>
      <c r="F23" s="17">
        <v>2000</v>
      </c>
      <c r="G23" s="17">
        <v>0</v>
      </c>
      <c r="H23" s="17">
        <v>0</v>
      </c>
      <c r="I23" s="17">
        <v>2000</v>
      </c>
      <c r="J23" s="17">
        <v>0</v>
      </c>
      <c r="K23" s="17">
        <v>0</v>
      </c>
      <c r="L23" s="17">
        <v>2000</v>
      </c>
      <c r="M23" s="17">
        <v>0</v>
      </c>
      <c r="N23" s="17">
        <v>0</v>
      </c>
      <c r="O23" s="17">
        <v>2000</v>
      </c>
      <c r="P23" s="17">
        <v>500</v>
      </c>
      <c r="Q23" s="17">
        <v>1500</v>
      </c>
      <c r="R23" s="17">
        <v>0</v>
      </c>
      <c r="S23" s="17"/>
      <c r="T23" s="17" t="s">
        <v>2972</v>
      </c>
      <c r="U23" s="17" t="s">
        <v>3057</v>
      </c>
      <c r="V23" s="17" t="s">
        <v>3058</v>
      </c>
      <c r="W23" s="17"/>
      <c r="X23" s="17"/>
    </row>
    <row r="24" spans="1:24" hidden="1">
      <c r="A24" s="18">
        <v>23</v>
      </c>
      <c r="B24" s="17" t="s">
        <v>65</v>
      </c>
      <c r="C24" s="17" t="s">
        <v>66</v>
      </c>
      <c r="D24" s="17" t="s">
        <v>17</v>
      </c>
      <c r="E24" s="17" t="s">
        <v>8</v>
      </c>
      <c r="F24" s="17">
        <v>4000</v>
      </c>
      <c r="G24" s="17">
        <v>0</v>
      </c>
      <c r="H24" s="17">
        <v>1500</v>
      </c>
      <c r="I24" s="17">
        <v>2500</v>
      </c>
      <c r="J24" s="17">
        <v>0</v>
      </c>
      <c r="K24" s="17">
        <v>0</v>
      </c>
      <c r="L24" s="17">
        <v>2500</v>
      </c>
      <c r="M24" s="17">
        <v>0</v>
      </c>
      <c r="N24" s="17">
        <v>0</v>
      </c>
      <c r="O24" s="17">
        <v>2500</v>
      </c>
      <c r="P24" s="17">
        <v>2000</v>
      </c>
      <c r="Q24" s="17">
        <v>500</v>
      </c>
      <c r="R24" s="17">
        <v>10000</v>
      </c>
      <c r="S24" s="17"/>
      <c r="T24" s="17" t="s">
        <v>2972</v>
      </c>
      <c r="U24" s="17" t="s">
        <v>3055</v>
      </c>
      <c r="V24" s="17" t="s">
        <v>3056</v>
      </c>
      <c r="W24" s="17"/>
      <c r="X24" s="17"/>
    </row>
    <row r="25" spans="1:24" hidden="1">
      <c r="A25" s="18">
        <v>24</v>
      </c>
      <c r="B25" s="17" t="s">
        <v>506</v>
      </c>
      <c r="C25" s="17" t="s">
        <v>507</v>
      </c>
      <c r="D25" s="17" t="s">
        <v>17</v>
      </c>
      <c r="E25" s="17" t="s">
        <v>8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1500</v>
      </c>
      <c r="Q25" s="17">
        <v>-1500</v>
      </c>
      <c r="R25" s="17">
        <v>0</v>
      </c>
      <c r="S25" s="17"/>
      <c r="T25" s="17" t="s">
        <v>2972</v>
      </c>
      <c r="U25" s="17" t="s">
        <v>3057</v>
      </c>
      <c r="V25" s="17" t="s">
        <v>3056</v>
      </c>
      <c r="W25" s="17"/>
      <c r="X25" s="17"/>
    </row>
    <row r="26" spans="1:24" hidden="1">
      <c r="A26" s="18">
        <v>25</v>
      </c>
      <c r="B26" s="17" t="s">
        <v>70</v>
      </c>
      <c r="C26" s="17" t="s">
        <v>71</v>
      </c>
      <c r="D26" s="17" t="s">
        <v>17</v>
      </c>
      <c r="E26" s="17" t="s">
        <v>8</v>
      </c>
      <c r="F26" s="17">
        <v>42</v>
      </c>
      <c r="G26" s="17">
        <v>0</v>
      </c>
      <c r="H26" s="17">
        <v>12</v>
      </c>
      <c r="I26" s="17">
        <v>30</v>
      </c>
      <c r="J26" s="17">
        <v>0</v>
      </c>
      <c r="K26" s="17">
        <v>0</v>
      </c>
      <c r="L26" s="17">
        <v>30</v>
      </c>
      <c r="M26" s="17">
        <v>0</v>
      </c>
      <c r="N26" s="17">
        <v>0</v>
      </c>
      <c r="O26" s="17">
        <v>30</v>
      </c>
      <c r="P26" s="17">
        <v>50</v>
      </c>
      <c r="Q26" s="17">
        <v>-20</v>
      </c>
      <c r="R26" s="17">
        <v>0</v>
      </c>
      <c r="S26" s="17"/>
      <c r="T26" s="17" t="s">
        <v>2972</v>
      </c>
      <c r="U26" s="17" t="s">
        <v>3055</v>
      </c>
      <c r="V26" s="17" t="s">
        <v>3056</v>
      </c>
      <c r="W26" s="17"/>
      <c r="X26" s="17"/>
    </row>
    <row r="27" spans="1:24" hidden="1">
      <c r="A27" s="18">
        <v>26</v>
      </c>
      <c r="B27" s="17" t="s">
        <v>72</v>
      </c>
      <c r="C27" s="17" t="s">
        <v>73</v>
      </c>
      <c r="D27" s="17" t="s">
        <v>17</v>
      </c>
      <c r="E27" s="17" t="s">
        <v>8</v>
      </c>
      <c r="F27" s="17">
        <v>258</v>
      </c>
      <c r="G27" s="17">
        <v>0</v>
      </c>
      <c r="H27" s="17">
        <v>40</v>
      </c>
      <c r="I27" s="17">
        <v>218</v>
      </c>
      <c r="J27" s="17">
        <v>0</v>
      </c>
      <c r="K27" s="17">
        <v>0</v>
      </c>
      <c r="L27" s="17">
        <v>218</v>
      </c>
      <c r="M27" s="17">
        <v>0</v>
      </c>
      <c r="N27" s="17">
        <v>0</v>
      </c>
      <c r="O27" s="17">
        <v>218</v>
      </c>
      <c r="P27" s="17">
        <v>110</v>
      </c>
      <c r="Q27" s="17">
        <v>108</v>
      </c>
      <c r="R27" s="17">
        <v>0</v>
      </c>
      <c r="S27" s="17"/>
      <c r="T27" s="17" t="s">
        <v>2982</v>
      </c>
      <c r="U27" s="17" t="s">
        <v>3060</v>
      </c>
      <c r="V27" s="17" t="s">
        <v>3061</v>
      </c>
      <c r="W27" s="17"/>
      <c r="X27" s="17"/>
    </row>
    <row r="28" spans="1:24" hidden="1">
      <c r="A28" s="18">
        <v>27</v>
      </c>
      <c r="B28" s="17" t="s">
        <v>76</v>
      </c>
      <c r="C28" s="17" t="s">
        <v>77</v>
      </c>
      <c r="D28" s="17" t="s">
        <v>17</v>
      </c>
      <c r="E28" s="17" t="s">
        <v>8</v>
      </c>
      <c r="F28" s="17">
        <v>400</v>
      </c>
      <c r="G28" s="17">
        <v>0</v>
      </c>
      <c r="H28" s="17">
        <v>0</v>
      </c>
      <c r="I28" s="17">
        <v>400</v>
      </c>
      <c r="J28" s="17">
        <v>0</v>
      </c>
      <c r="K28" s="17">
        <v>0</v>
      </c>
      <c r="L28" s="17">
        <v>400</v>
      </c>
      <c r="M28" s="17">
        <v>0</v>
      </c>
      <c r="N28" s="17">
        <v>0</v>
      </c>
      <c r="O28" s="17">
        <v>400</v>
      </c>
      <c r="P28" s="17">
        <v>150</v>
      </c>
      <c r="Q28" s="17">
        <v>250</v>
      </c>
      <c r="R28" s="17">
        <v>0</v>
      </c>
      <c r="S28" s="17"/>
      <c r="T28" s="17" t="s">
        <v>2991</v>
      </c>
      <c r="U28" s="17" t="s">
        <v>3060</v>
      </c>
      <c r="V28" s="17" t="s">
        <v>3058</v>
      </c>
      <c r="W28" s="17"/>
      <c r="X28" s="17"/>
    </row>
    <row r="29" spans="1:24" hidden="1">
      <c r="A29" s="18">
        <v>28</v>
      </c>
      <c r="B29" s="17" t="s">
        <v>569</v>
      </c>
      <c r="C29" s="17" t="s">
        <v>570</v>
      </c>
      <c r="D29" s="17" t="s">
        <v>17</v>
      </c>
      <c r="E29" s="17" t="s">
        <v>8</v>
      </c>
      <c r="F29" s="17">
        <v>2000</v>
      </c>
      <c r="G29" s="17">
        <v>0</v>
      </c>
      <c r="H29" s="17">
        <v>0</v>
      </c>
      <c r="I29" s="17">
        <v>2000</v>
      </c>
      <c r="J29" s="17">
        <v>0</v>
      </c>
      <c r="K29" s="17">
        <v>0</v>
      </c>
      <c r="L29" s="17">
        <v>2000</v>
      </c>
      <c r="M29" s="17">
        <v>0</v>
      </c>
      <c r="N29" s="17">
        <v>0</v>
      </c>
      <c r="O29" s="17">
        <v>2000</v>
      </c>
      <c r="P29" s="17">
        <v>1000</v>
      </c>
      <c r="Q29" s="17">
        <v>1000</v>
      </c>
      <c r="R29" s="17">
        <v>0</v>
      </c>
      <c r="S29" s="17"/>
      <c r="T29" s="17" t="s">
        <v>2998</v>
      </c>
      <c r="U29" s="17" t="s">
        <v>3057</v>
      </c>
      <c r="V29" s="17" t="s">
        <v>3056</v>
      </c>
      <c r="W29" s="17"/>
      <c r="X29" s="17"/>
    </row>
    <row r="30" spans="1:24" hidden="1">
      <c r="A30" s="18">
        <v>29</v>
      </c>
      <c r="B30" s="17" t="s">
        <v>80</v>
      </c>
      <c r="C30" s="17" t="s">
        <v>81</v>
      </c>
      <c r="D30" s="17" t="s">
        <v>17</v>
      </c>
      <c r="E30" s="17" t="s">
        <v>8</v>
      </c>
      <c r="F30" s="17">
        <v>3786</v>
      </c>
      <c r="G30" s="17">
        <v>0</v>
      </c>
      <c r="H30" s="17">
        <v>0</v>
      </c>
      <c r="I30" s="17">
        <v>3786</v>
      </c>
      <c r="J30" s="17">
        <v>0</v>
      </c>
      <c r="K30" s="17">
        <v>0</v>
      </c>
      <c r="L30" s="17">
        <v>3786</v>
      </c>
      <c r="M30" s="17">
        <v>0</v>
      </c>
      <c r="N30" s="17">
        <v>0</v>
      </c>
      <c r="O30" s="17">
        <v>3786</v>
      </c>
      <c r="P30" s="17">
        <v>5000</v>
      </c>
      <c r="Q30" s="17">
        <v>-1214</v>
      </c>
      <c r="R30" s="17">
        <v>0</v>
      </c>
      <c r="S30" s="17"/>
      <c r="T30" s="17" t="s">
        <v>2972</v>
      </c>
      <c r="U30" s="17" t="s">
        <v>3060</v>
      </c>
      <c r="V30" s="17" t="s">
        <v>3058</v>
      </c>
      <c r="W30" s="17"/>
      <c r="X30" s="17"/>
    </row>
    <row r="31" spans="1:24" hidden="1">
      <c r="A31" s="18">
        <v>30</v>
      </c>
      <c r="B31" s="17" t="s">
        <v>1092</v>
      </c>
      <c r="C31" s="17" t="s">
        <v>1093</v>
      </c>
      <c r="D31" s="17" t="s">
        <v>20</v>
      </c>
      <c r="E31" s="17" t="s">
        <v>8</v>
      </c>
      <c r="F31" s="17">
        <v>389.34</v>
      </c>
      <c r="G31" s="17">
        <v>335.04</v>
      </c>
      <c r="H31" s="17">
        <v>268.89999999999998</v>
      </c>
      <c r="I31" s="17">
        <v>455.48</v>
      </c>
      <c r="J31" s="17">
        <v>0</v>
      </c>
      <c r="K31" s="17">
        <v>0</v>
      </c>
      <c r="L31" s="17">
        <v>455.48</v>
      </c>
      <c r="M31" s="17">
        <v>0</v>
      </c>
      <c r="N31" s="17">
        <v>0</v>
      </c>
      <c r="O31" s="17">
        <v>455.48</v>
      </c>
      <c r="P31" s="17">
        <v>300</v>
      </c>
      <c r="Q31" s="17">
        <v>155.48000000000002</v>
      </c>
      <c r="R31" s="17">
        <v>250</v>
      </c>
      <c r="S31" s="17"/>
      <c r="T31" s="17" t="s">
        <v>2991</v>
      </c>
      <c r="U31" s="17" t="s">
        <v>3057</v>
      </c>
      <c r="V31" s="17" t="s">
        <v>3056</v>
      </c>
      <c r="W31" s="17"/>
      <c r="X31" s="17"/>
    </row>
    <row r="32" spans="1:24" hidden="1">
      <c r="A32" s="18">
        <v>31</v>
      </c>
      <c r="B32" s="17" t="s">
        <v>86</v>
      </c>
      <c r="C32" s="17" t="s">
        <v>87</v>
      </c>
      <c r="D32" s="17" t="s">
        <v>17</v>
      </c>
      <c r="E32" s="17" t="s">
        <v>8</v>
      </c>
      <c r="F32" s="17">
        <v>8439</v>
      </c>
      <c r="G32" s="17">
        <v>0</v>
      </c>
      <c r="H32" s="17">
        <v>1000</v>
      </c>
      <c r="I32" s="17">
        <v>7439</v>
      </c>
      <c r="J32" s="17">
        <v>0</v>
      </c>
      <c r="K32" s="17">
        <v>0</v>
      </c>
      <c r="L32" s="17">
        <v>7439</v>
      </c>
      <c r="M32" s="17">
        <v>0</v>
      </c>
      <c r="N32" s="17">
        <v>0</v>
      </c>
      <c r="O32" s="17">
        <v>7439</v>
      </c>
      <c r="P32" s="17">
        <v>2500</v>
      </c>
      <c r="Q32" s="17">
        <v>4939</v>
      </c>
      <c r="R32" s="17">
        <v>0</v>
      </c>
      <c r="S32" s="17"/>
      <c r="T32" s="17" t="s">
        <v>2972</v>
      </c>
      <c r="U32" s="17" t="s">
        <v>3060</v>
      </c>
      <c r="V32" s="17" t="s">
        <v>3058</v>
      </c>
      <c r="W32" s="17"/>
      <c r="X32" s="17"/>
    </row>
    <row r="33" spans="1:24" hidden="1">
      <c r="A33" s="18">
        <v>32</v>
      </c>
      <c r="B33" s="17" t="s">
        <v>88</v>
      </c>
      <c r="C33" s="17" t="s">
        <v>89</v>
      </c>
      <c r="D33" s="17" t="s">
        <v>17</v>
      </c>
      <c r="E33" s="17" t="s">
        <v>8</v>
      </c>
      <c r="F33" s="17">
        <v>5070</v>
      </c>
      <c r="G33" s="17">
        <v>11470</v>
      </c>
      <c r="H33" s="17">
        <v>6929</v>
      </c>
      <c r="I33" s="17">
        <v>9611</v>
      </c>
      <c r="J33" s="17">
        <v>0</v>
      </c>
      <c r="K33" s="17">
        <v>0</v>
      </c>
      <c r="L33" s="17">
        <v>9611</v>
      </c>
      <c r="M33" s="17">
        <v>0</v>
      </c>
      <c r="N33" s="17">
        <v>0</v>
      </c>
      <c r="O33" s="17">
        <v>9611</v>
      </c>
      <c r="P33" s="17">
        <v>7000</v>
      </c>
      <c r="Q33" s="17">
        <v>2611</v>
      </c>
      <c r="R33" s="17">
        <v>10000</v>
      </c>
      <c r="S33" s="17"/>
      <c r="T33" s="17" t="s">
        <v>2972</v>
      </c>
      <c r="U33" s="17" t="s">
        <v>3060</v>
      </c>
      <c r="V33" s="17" t="s">
        <v>3058</v>
      </c>
      <c r="W33" s="17"/>
      <c r="X33" s="17"/>
    </row>
    <row r="34" spans="1:24" hidden="1">
      <c r="A34" s="18">
        <v>33</v>
      </c>
      <c r="B34" s="17" t="s">
        <v>90</v>
      </c>
      <c r="C34" s="17" t="s">
        <v>91</v>
      </c>
      <c r="D34" s="17" t="s">
        <v>17</v>
      </c>
      <c r="E34" s="17" t="s">
        <v>8</v>
      </c>
      <c r="F34" s="17">
        <v>7040</v>
      </c>
      <c r="G34" s="17">
        <v>0</v>
      </c>
      <c r="H34" s="17">
        <v>0</v>
      </c>
      <c r="I34" s="17">
        <v>7040</v>
      </c>
      <c r="J34" s="17">
        <v>0</v>
      </c>
      <c r="K34" s="17">
        <v>0</v>
      </c>
      <c r="L34" s="17">
        <v>7040</v>
      </c>
      <c r="M34" s="17">
        <v>0</v>
      </c>
      <c r="N34" s="17">
        <v>0</v>
      </c>
      <c r="O34" s="17">
        <v>7040</v>
      </c>
      <c r="P34" s="17">
        <v>5000</v>
      </c>
      <c r="Q34" s="17">
        <v>2040</v>
      </c>
      <c r="R34" s="17">
        <v>0</v>
      </c>
      <c r="S34" s="17"/>
      <c r="T34" s="17" t="s">
        <v>2991</v>
      </c>
      <c r="U34" s="17" t="s">
        <v>3060</v>
      </c>
      <c r="V34" s="17" t="s">
        <v>3058</v>
      </c>
      <c r="W34" s="17"/>
      <c r="X34" s="17"/>
    </row>
    <row r="35" spans="1:24" hidden="1">
      <c r="A35" s="18">
        <v>34</v>
      </c>
      <c r="B35" s="17" t="s">
        <v>1104</v>
      </c>
      <c r="C35" s="17" t="s">
        <v>1105</v>
      </c>
      <c r="D35" s="17" t="s">
        <v>20</v>
      </c>
      <c r="E35" s="17" t="s">
        <v>8</v>
      </c>
      <c r="F35" s="17">
        <v>784.64</v>
      </c>
      <c r="G35" s="17">
        <v>1037.9000000000001</v>
      </c>
      <c r="H35" s="17">
        <v>1145.3399999999999</v>
      </c>
      <c r="I35" s="17">
        <v>677.2</v>
      </c>
      <c r="J35" s="17">
        <v>0</v>
      </c>
      <c r="K35" s="17">
        <v>0</v>
      </c>
      <c r="L35" s="17">
        <v>677.2</v>
      </c>
      <c r="M35" s="17">
        <v>0</v>
      </c>
      <c r="N35" s="17">
        <v>0</v>
      </c>
      <c r="O35" s="17">
        <v>677.2</v>
      </c>
      <c r="P35" s="17">
        <v>600</v>
      </c>
      <c r="Q35" s="17">
        <v>77.200000000000045</v>
      </c>
      <c r="R35" s="17">
        <v>1800</v>
      </c>
      <c r="S35" s="17"/>
      <c r="T35" s="17" t="s">
        <v>2991</v>
      </c>
      <c r="U35" s="17" t="s">
        <v>3057</v>
      </c>
      <c r="V35" s="17" t="s">
        <v>3056</v>
      </c>
      <c r="W35" s="17"/>
      <c r="X35" s="17"/>
    </row>
    <row r="36" spans="1:24" hidden="1">
      <c r="A36" s="18">
        <v>35</v>
      </c>
      <c r="B36" s="17" t="s">
        <v>1119</v>
      </c>
      <c r="C36" s="17" t="s">
        <v>1120</v>
      </c>
      <c r="D36" s="17" t="s">
        <v>17</v>
      </c>
      <c r="E36" s="17" t="s">
        <v>8</v>
      </c>
      <c r="F36" s="17">
        <v>4000</v>
      </c>
      <c r="G36" s="17">
        <v>0</v>
      </c>
      <c r="H36" s="17">
        <v>1000</v>
      </c>
      <c r="I36" s="17">
        <v>3000</v>
      </c>
      <c r="J36" s="17">
        <v>0</v>
      </c>
      <c r="K36" s="17">
        <v>0</v>
      </c>
      <c r="L36" s="17">
        <v>3000</v>
      </c>
      <c r="M36" s="17">
        <v>0</v>
      </c>
      <c r="N36" s="17">
        <v>0</v>
      </c>
      <c r="O36" s="17">
        <v>3000</v>
      </c>
      <c r="P36" s="17">
        <v>2000</v>
      </c>
      <c r="Q36" s="17">
        <v>1000</v>
      </c>
      <c r="R36" s="17">
        <v>0</v>
      </c>
      <c r="S36" s="17"/>
      <c r="T36" s="17" t="s">
        <v>2972</v>
      </c>
      <c r="U36" s="17" t="s">
        <v>3057</v>
      </c>
      <c r="V36" s="17" t="s">
        <v>3058</v>
      </c>
      <c r="W36" s="17"/>
      <c r="X36" s="17"/>
    </row>
    <row r="37" spans="1:24" hidden="1">
      <c r="A37" s="18">
        <v>36</v>
      </c>
      <c r="B37" s="17" t="s">
        <v>1125</v>
      </c>
      <c r="C37" s="17" t="s">
        <v>1126</v>
      </c>
      <c r="D37" s="17" t="s">
        <v>17</v>
      </c>
      <c r="E37" s="17" t="s">
        <v>8</v>
      </c>
      <c r="F37" s="17">
        <v>3100</v>
      </c>
      <c r="G37" s="17">
        <v>0</v>
      </c>
      <c r="H37" s="17">
        <v>0</v>
      </c>
      <c r="I37" s="17">
        <v>3100</v>
      </c>
      <c r="J37" s="17">
        <v>0</v>
      </c>
      <c r="K37" s="17">
        <v>0</v>
      </c>
      <c r="L37" s="17">
        <v>3100</v>
      </c>
      <c r="M37" s="17">
        <v>0</v>
      </c>
      <c r="N37" s="17">
        <v>0</v>
      </c>
      <c r="O37" s="17">
        <v>3100</v>
      </c>
      <c r="P37" s="17">
        <v>2000</v>
      </c>
      <c r="Q37" s="17">
        <v>1100</v>
      </c>
      <c r="R37" s="17">
        <v>0</v>
      </c>
      <c r="S37" s="17"/>
      <c r="T37" s="17" t="s">
        <v>2972</v>
      </c>
      <c r="U37" s="17" t="s">
        <v>3057</v>
      </c>
      <c r="V37" s="17" t="s">
        <v>3058</v>
      </c>
      <c r="W37" s="17"/>
      <c r="X37" s="17"/>
    </row>
    <row r="38" spans="1:24" hidden="1">
      <c r="A38" s="18">
        <v>37</v>
      </c>
      <c r="B38" s="17" t="s">
        <v>98</v>
      </c>
      <c r="C38" s="17" t="s">
        <v>99</v>
      </c>
      <c r="D38" s="17" t="s">
        <v>20</v>
      </c>
      <c r="E38" s="17" t="s">
        <v>8</v>
      </c>
      <c r="F38" s="17">
        <v>942.6</v>
      </c>
      <c r="G38" s="17">
        <v>450</v>
      </c>
      <c r="H38" s="17">
        <v>50</v>
      </c>
      <c r="I38" s="17">
        <v>1342.6</v>
      </c>
      <c r="J38" s="17">
        <v>0</v>
      </c>
      <c r="K38" s="17">
        <v>0</v>
      </c>
      <c r="L38" s="17">
        <v>1342.6</v>
      </c>
      <c r="M38" s="17">
        <v>0</v>
      </c>
      <c r="N38" s="17">
        <v>0</v>
      </c>
      <c r="O38" s="17">
        <v>1342.6</v>
      </c>
      <c r="P38" s="17">
        <v>250</v>
      </c>
      <c r="Q38" s="17">
        <v>1092.5999999999999</v>
      </c>
      <c r="R38" s="17">
        <v>0</v>
      </c>
      <c r="S38" s="17"/>
      <c r="T38" s="17" t="s">
        <v>2991</v>
      </c>
      <c r="U38" s="17" t="s">
        <v>3060</v>
      </c>
      <c r="V38" s="17" t="s">
        <v>3058</v>
      </c>
      <c r="W38" s="17"/>
      <c r="X38" s="17"/>
    </row>
    <row r="39" spans="1:24" hidden="1">
      <c r="A39" s="18">
        <v>38</v>
      </c>
      <c r="B39" s="17" t="s">
        <v>100</v>
      </c>
      <c r="C39" s="17" t="s">
        <v>101</v>
      </c>
      <c r="D39" s="17" t="s">
        <v>20</v>
      </c>
      <c r="E39" s="17" t="s">
        <v>8</v>
      </c>
      <c r="F39" s="17">
        <v>2015.83</v>
      </c>
      <c r="G39" s="17">
        <v>1500.5</v>
      </c>
      <c r="H39" s="17">
        <v>1000</v>
      </c>
      <c r="I39" s="17">
        <v>2516.33</v>
      </c>
      <c r="J39" s="17">
        <v>0</v>
      </c>
      <c r="K39" s="17">
        <v>0</v>
      </c>
      <c r="L39" s="17">
        <v>2516.33</v>
      </c>
      <c r="M39" s="17">
        <v>0</v>
      </c>
      <c r="N39" s="17">
        <v>0</v>
      </c>
      <c r="O39" s="17">
        <v>2516.33</v>
      </c>
      <c r="P39" s="17">
        <v>500</v>
      </c>
      <c r="Q39" s="17">
        <v>2016.33</v>
      </c>
      <c r="R39" s="17">
        <v>0</v>
      </c>
      <c r="S39" s="17"/>
      <c r="T39" s="17" t="s">
        <v>2991</v>
      </c>
      <c r="U39" s="17" t="s">
        <v>3060</v>
      </c>
      <c r="V39" s="17" t="s">
        <v>3058</v>
      </c>
      <c r="W39" s="17"/>
      <c r="X39" s="17"/>
    </row>
    <row r="40" spans="1:24" hidden="1">
      <c r="A40" s="18">
        <v>39</v>
      </c>
      <c r="B40" s="17" t="s">
        <v>1141</v>
      </c>
      <c r="C40" s="17" t="s">
        <v>1142</v>
      </c>
      <c r="D40" s="17" t="s">
        <v>17</v>
      </c>
      <c r="E40" s="17" t="s">
        <v>8</v>
      </c>
      <c r="F40" s="17">
        <v>300</v>
      </c>
      <c r="G40" s="17">
        <v>1000</v>
      </c>
      <c r="H40" s="17">
        <v>0</v>
      </c>
      <c r="I40" s="17">
        <v>1300</v>
      </c>
      <c r="J40" s="17">
        <v>0</v>
      </c>
      <c r="K40" s="17">
        <v>0</v>
      </c>
      <c r="L40" s="17">
        <v>1300</v>
      </c>
      <c r="M40" s="17">
        <v>0</v>
      </c>
      <c r="N40" s="17">
        <v>0</v>
      </c>
      <c r="O40" s="17">
        <v>1300</v>
      </c>
      <c r="P40" s="17">
        <v>500</v>
      </c>
      <c r="Q40" s="17">
        <v>800</v>
      </c>
      <c r="R40" s="17">
        <v>1000</v>
      </c>
      <c r="S40" s="17"/>
      <c r="T40" s="17" t="s">
        <v>2991</v>
      </c>
      <c r="U40" s="17" t="s">
        <v>3057</v>
      </c>
      <c r="V40" s="17" t="s">
        <v>3056</v>
      </c>
      <c r="W40" s="17"/>
      <c r="X40" s="17"/>
    </row>
    <row r="41" spans="1:24" hidden="1">
      <c r="A41" s="18">
        <v>40</v>
      </c>
      <c r="B41" s="17" t="s">
        <v>1506</v>
      </c>
      <c r="C41" s="17" t="s">
        <v>1507</v>
      </c>
      <c r="D41" s="17" t="s">
        <v>17</v>
      </c>
      <c r="E41" s="17" t="s">
        <v>8</v>
      </c>
      <c r="F41" s="17">
        <v>450</v>
      </c>
      <c r="G41" s="17">
        <v>0</v>
      </c>
      <c r="H41" s="17">
        <v>0</v>
      </c>
      <c r="I41" s="17">
        <v>450</v>
      </c>
      <c r="J41" s="17">
        <v>0</v>
      </c>
      <c r="K41" s="17">
        <v>0</v>
      </c>
      <c r="L41" s="17">
        <v>450</v>
      </c>
      <c r="M41" s="17">
        <v>0</v>
      </c>
      <c r="N41" s="17">
        <v>0</v>
      </c>
      <c r="O41" s="17">
        <v>450</v>
      </c>
      <c r="P41" s="17">
        <v>200</v>
      </c>
      <c r="Q41" s="17">
        <v>250</v>
      </c>
      <c r="R41" s="17">
        <v>0</v>
      </c>
      <c r="S41" s="17"/>
      <c r="T41" s="17" t="s">
        <v>2991</v>
      </c>
      <c r="U41" s="17" t="s">
        <v>3057</v>
      </c>
      <c r="V41" s="17" t="s">
        <v>3058</v>
      </c>
      <c r="W41" s="17"/>
      <c r="X41" s="17"/>
    </row>
    <row r="42" spans="1:24" hidden="1">
      <c r="A42" s="18">
        <v>41</v>
      </c>
      <c r="B42" s="17" t="s">
        <v>110</v>
      </c>
      <c r="C42" s="17" t="s">
        <v>111</v>
      </c>
      <c r="D42" s="17" t="s">
        <v>7</v>
      </c>
      <c r="E42" s="17" t="s">
        <v>8</v>
      </c>
      <c r="F42" s="17">
        <v>2500</v>
      </c>
      <c r="G42" s="17">
        <v>0</v>
      </c>
      <c r="H42" s="17">
        <v>0</v>
      </c>
      <c r="I42" s="17">
        <v>2500</v>
      </c>
      <c r="J42" s="17">
        <v>0</v>
      </c>
      <c r="K42" s="17">
        <v>0</v>
      </c>
      <c r="L42" s="17">
        <v>2500</v>
      </c>
      <c r="M42" s="17">
        <v>0</v>
      </c>
      <c r="N42" s="17">
        <v>0</v>
      </c>
      <c r="O42" s="17">
        <v>2500</v>
      </c>
      <c r="P42" s="17">
        <v>0</v>
      </c>
      <c r="Q42" s="17">
        <v>2500</v>
      </c>
      <c r="R42" s="17">
        <v>0</v>
      </c>
      <c r="S42" s="17"/>
      <c r="T42" s="17" t="s">
        <v>2972</v>
      </c>
      <c r="U42" s="17" t="s">
        <v>3060</v>
      </c>
      <c r="V42" s="17" t="s">
        <v>3056</v>
      </c>
      <c r="W42" s="17"/>
      <c r="X42" s="17"/>
    </row>
    <row r="43" spans="1:24" hidden="1">
      <c r="A43" s="18">
        <v>42</v>
      </c>
      <c r="B43" s="17" t="s">
        <v>112</v>
      </c>
      <c r="C43" s="17" t="s">
        <v>113</v>
      </c>
      <c r="D43" s="17" t="s">
        <v>7</v>
      </c>
      <c r="E43" s="17" t="s">
        <v>8</v>
      </c>
      <c r="F43" s="17">
        <v>1130</v>
      </c>
      <c r="G43" s="17">
        <v>2780</v>
      </c>
      <c r="H43" s="17">
        <v>2930</v>
      </c>
      <c r="I43" s="17">
        <v>980</v>
      </c>
      <c r="J43" s="17">
        <v>0</v>
      </c>
      <c r="K43" s="17">
        <v>0</v>
      </c>
      <c r="L43" s="17">
        <v>980</v>
      </c>
      <c r="M43" s="17">
        <v>5000</v>
      </c>
      <c r="N43" s="17">
        <v>0</v>
      </c>
      <c r="O43" s="17">
        <v>5980</v>
      </c>
      <c r="P43" s="17">
        <v>3000</v>
      </c>
      <c r="Q43" s="17">
        <v>2980</v>
      </c>
      <c r="R43" s="17">
        <v>5000</v>
      </c>
      <c r="S43" s="17"/>
      <c r="T43" s="17" t="s">
        <v>3006</v>
      </c>
      <c r="U43" s="17" t="s">
        <v>3060</v>
      </c>
      <c r="V43" s="17" t="s">
        <v>3058</v>
      </c>
      <c r="W43" s="17"/>
      <c r="X43" s="17"/>
    </row>
    <row r="44" spans="1:24" s="40" customFormat="1" hidden="1">
      <c r="A44" s="26">
        <v>43</v>
      </c>
      <c r="B44" s="25" t="s">
        <v>1586</v>
      </c>
      <c r="C44" s="25" t="s">
        <v>1587</v>
      </c>
      <c r="D44" s="25" t="s">
        <v>17</v>
      </c>
      <c r="E44" s="25" t="s">
        <v>8</v>
      </c>
      <c r="F44" s="25">
        <v>450</v>
      </c>
      <c r="G44" s="25">
        <v>400</v>
      </c>
      <c r="H44" s="25">
        <v>550</v>
      </c>
      <c r="I44" s="17">
        <v>300</v>
      </c>
      <c r="J44" s="17">
        <v>0</v>
      </c>
      <c r="K44" s="17">
        <v>0</v>
      </c>
      <c r="L44" s="17">
        <v>300</v>
      </c>
      <c r="M44" s="17">
        <v>0</v>
      </c>
      <c r="N44" s="17">
        <v>0</v>
      </c>
      <c r="O44" s="25">
        <v>300</v>
      </c>
      <c r="P44" s="25">
        <v>450</v>
      </c>
      <c r="Q44" s="25">
        <v>-150</v>
      </c>
      <c r="R44" s="25">
        <v>400</v>
      </c>
      <c r="S44" s="25"/>
      <c r="T44" s="25" t="s">
        <v>2972</v>
      </c>
      <c r="U44" s="25" t="s">
        <v>3057</v>
      </c>
      <c r="V44" s="25" t="s">
        <v>3058</v>
      </c>
      <c r="W44" s="25"/>
      <c r="X44" s="25"/>
    </row>
    <row r="45" spans="1:24" hidden="1">
      <c r="A45" s="18">
        <v>44</v>
      </c>
      <c r="B45" s="17" t="s">
        <v>117</v>
      </c>
      <c r="C45" s="17" t="s">
        <v>118</v>
      </c>
      <c r="D45" s="17" t="s">
        <v>7</v>
      </c>
      <c r="E45" s="17" t="s">
        <v>8</v>
      </c>
      <c r="F45" s="17">
        <v>700</v>
      </c>
      <c r="G45" s="17">
        <v>0</v>
      </c>
      <c r="H45" s="17">
        <v>0</v>
      </c>
      <c r="I45" s="17">
        <v>700</v>
      </c>
      <c r="J45" s="17">
        <v>0</v>
      </c>
      <c r="K45" s="17">
        <v>0</v>
      </c>
      <c r="L45" s="17">
        <v>700</v>
      </c>
      <c r="M45" s="17">
        <v>2380</v>
      </c>
      <c r="N45" s="17">
        <v>0</v>
      </c>
      <c r="O45" s="17">
        <v>3080</v>
      </c>
      <c r="P45" s="17">
        <v>1000</v>
      </c>
      <c r="Q45" s="17">
        <v>2080</v>
      </c>
      <c r="R45" s="17">
        <v>2500</v>
      </c>
      <c r="S45" s="17"/>
      <c r="T45" s="17" t="s">
        <v>3006</v>
      </c>
      <c r="U45" s="17" t="s">
        <v>3060</v>
      </c>
      <c r="V45" s="17" t="s">
        <v>3058</v>
      </c>
      <c r="W45" s="17"/>
      <c r="X45" s="17"/>
    </row>
    <row r="46" spans="1:24" hidden="1">
      <c r="A46" s="18">
        <v>45</v>
      </c>
      <c r="B46" s="17" t="s">
        <v>119</v>
      </c>
      <c r="C46" s="17" t="s">
        <v>120</v>
      </c>
      <c r="D46" s="17" t="s">
        <v>17</v>
      </c>
      <c r="E46" s="17" t="s">
        <v>8</v>
      </c>
      <c r="F46" s="17">
        <v>51</v>
      </c>
      <c r="G46" s="17">
        <v>0</v>
      </c>
      <c r="H46" s="17">
        <v>0</v>
      </c>
      <c r="I46" s="17">
        <v>51</v>
      </c>
      <c r="J46" s="17">
        <v>0</v>
      </c>
      <c r="K46" s="17">
        <v>0</v>
      </c>
      <c r="L46" s="17">
        <v>51</v>
      </c>
      <c r="M46" s="17">
        <v>0</v>
      </c>
      <c r="N46" s="17">
        <v>0</v>
      </c>
      <c r="O46" s="17">
        <v>51</v>
      </c>
      <c r="P46" s="17">
        <v>25</v>
      </c>
      <c r="Q46" s="17">
        <v>26</v>
      </c>
      <c r="R46" s="17">
        <v>0</v>
      </c>
      <c r="S46" s="17"/>
      <c r="T46" s="17" t="s">
        <v>2991</v>
      </c>
      <c r="U46" s="17" t="s">
        <v>3060</v>
      </c>
      <c r="V46" s="17" t="s">
        <v>3058</v>
      </c>
      <c r="W46" s="17"/>
      <c r="X46" s="17"/>
    </row>
    <row r="47" spans="1:24" hidden="1">
      <c r="A47" s="18">
        <v>46</v>
      </c>
      <c r="B47" s="17" t="s">
        <v>121</v>
      </c>
      <c r="C47" s="17" t="s">
        <v>122</v>
      </c>
      <c r="D47" s="17" t="s">
        <v>17</v>
      </c>
      <c r="E47" s="17" t="s">
        <v>8</v>
      </c>
      <c r="F47" s="17">
        <v>541</v>
      </c>
      <c r="G47" s="17">
        <v>0</v>
      </c>
      <c r="H47" s="17">
        <v>0</v>
      </c>
      <c r="I47" s="17">
        <v>541</v>
      </c>
      <c r="J47" s="17">
        <v>0</v>
      </c>
      <c r="K47" s="17">
        <v>0</v>
      </c>
      <c r="L47" s="17">
        <v>541</v>
      </c>
      <c r="M47" s="17">
        <v>0</v>
      </c>
      <c r="N47" s="17">
        <v>0</v>
      </c>
      <c r="O47" s="17">
        <v>541</v>
      </c>
      <c r="P47" s="17">
        <v>100</v>
      </c>
      <c r="Q47" s="17">
        <v>441</v>
      </c>
      <c r="R47" s="17">
        <v>0</v>
      </c>
      <c r="S47" s="17"/>
      <c r="T47" s="17" t="s">
        <v>2991</v>
      </c>
      <c r="U47" s="17" t="s">
        <v>3062</v>
      </c>
      <c r="V47" s="17" t="s">
        <v>3056</v>
      </c>
      <c r="W47" s="17"/>
      <c r="X47" s="17"/>
    </row>
    <row r="48" spans="1:24" hidden="1">
      <c r="A48" s="18">
        <v>47</v>
      </c>
      <c r="B48" s="17" t="s">
        <v>1598</v>
      </c>
      <c r="C48" s="17" t="s">
        <v>1599</v>
      </c>
      <c r="D48" s="17" t="s">
        <v>17</v>
      </c>
      <c r="E48" s="17" t="s">
        <v>8</v>
      </c>
      <c r="F48" s="17">
        <v>500</v>
      </c>
      <c r="G48" s="17">
        <v>300</v>
      </c>
      <c r="H48" s="17">
        <v>200</v>
      </c>
      <c r="I48" s="17">
        <v>600</v>
      </c>
      <c r="J48" s="17">
        <v>0</v>
      </c>
      <c r="K48" s="17">
        <v>0</v>
      </c>
      <c r="L48" s="17">
        <v>600</v>
      </c>
      <c r="M48" s="17">
        <v>0</v>
      </c>
      <c r="N48" s="17">
        <v>0</v>
      </c>
      <c r="O48" s="17">
        <v>600</v>
      </c>
      <c r="P48" s="17">
        <v>500</v>
      </c>
      <c r="Q48" s="17">
        <v>100</v>
      </c>
      <c r="R48" s="17">
        <v>300</v>
      </c>
      <c r="S48" s="17"/>
      <c r="T48" s="17" t="s">
        <v>2972</v>
      </c>
      <c r="U48" s="17" t="s">
        <v>3057</v>
      </c>
      <c r="V48" s="17" t="s">
        <v>3056</v>
      </c>
      <c r="W48" s="17"/>
      <c r="X48" s="17"/>
    </row>
    <row r="49" spans="1:24" hidden="1">
      <c r="A49" s="18">
        <v>48</v>
      </c>
      <c r="B49" s="17" t="s">
        <v>1606</v>
      </c>
      <c r="C49" s="17" t="s">
        <v>1607</v>
      </c>
      <c r="D49" s="17" t="s">
        <v>17</v>
      </c>
      <c r="E49" s="17" t="s">
        <v>8</v>
      </c>
      <c r="F49" s="17">
        <v>5600</v>
      </c>
      <c r="G49" s="17">
        <v>0</v>
      </c>
      <c r="H49" s="17">
        <v>0</v>
      </c>
      <c r="I49" s="17">
        <v>5600</v>
      </c>
      <c r="J49" s="17">
        <v>0</v>
      </c>
      <c r="K49" s="17">
        <v>0</v>
      </c>
      <c r="L49" s="17">
        <v>5600</v>
      </c>
      <c r="M49" s="17">
        <v>0</v>
      </c>
      <c r="N49" s="17">
        <v>0</v>
      </c>
      <c r="O49" s="17">
        <v>5600</v>
      </c>
      <c r="P49" s="17">
        <v>2000</v>
      </c>
      <c r="Q49" s="17">
        <v>3600</v>
      </c>
      <c r="R49" s="17">
        <v>0</v>
      </c>
      <c r="S49" s="17"/>
      <c r="T49" s="17" t="s">
        <v>2972</v>
      </c>
      <c r="U49" s="17" t="s">
        <v>3057</v>
      </c>
      <c r="V49" s="17" t="s">
        <v>3056</v>
      </c>
      <c r="W49" s="17"/>
      <c r="X49" s="17"/>
    </row>
    <row r="50" spans="1:24" hidden="1">
      <c r="A50" s="18">
        <v>49</v>
      </c>
      <c r="B50" s="17" t="s">
        <v>1618</v>
      </c>
      <c r="C50" s="17" t="s">
        <v>1619</v>
      </c>
      <c r="D50" s="17" t="s">
        <v>17</v>
      </c>
      <c r="E50" s="17" t="s">
        <v>8</v>
      </c>
      <c r="F50" s="17">
        <v>1926</v>
      </c>
      <c r="G50" s="17">
        <v>0</v>
      </c>
      <c r="H50" s="17">
        <v>1926</v>
      </c>
      <c r="I50" s="17">
        <v>0</v>
      </c>
      <c r="J50" s="17">
        <v>0</v>
      </c>
      <c r="K50" s="17">
        <v>0</v>
      </c>
      <c r="L50" s="17">
        <v>0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7">
        <v>0</v>
      </c>
      <c r="S50" s="17"/>
      <c r="T50" s="17" t="s">
        <v>2972</v>
      </c>
      <c r="U50" s="17" t="s">
        <v>3057</v>
      </c>
      <c r="V50" s="17" t="s">
        <v>3056</v>
      </c>
      <c r="W50" s="17"/>
      <c r="X50" s="17"/>
    </row>
    <row r="51" spans="1:24" hidden="1">
      <c r="A51" s="18">
        <v>50</v>
      </c>
      <c r="B51" s="17" t="s">
        <v>1620</v>
      </c>
      <c r="C51" s="17" t="s">
        <v>1621</v>
      </c>
      <c r="D51" s="17" t="s">
        <v>17</v>
      </c>
      <c r="E51" s="17" t="s">
        <v>8</v>
      </c>
      <c r="F51" s="17">
        <v>2029</v>
      </c>
      <c r="G51" s="17">
        <v>0</v>
      </c>
      <c r="H51" s="17">
        <v>2029</v>
      </c>
      <c r="I51" s="17">
        <v>0</v>
      </c>
      <c r="J51" s="17">
        <v>0</v>
      </c>
      <c r="K51" s="17">
        <v>0</v>
      </c>
      <c r="L51" s="17">
        <v>0</v>
      </c>
      <c r="M51" s="17">
        <v>0</v>
      </c>
      <c r="N51" s="17">
        <v>0</v>
      </c>
      <c r="O51" s="17">
        <v>0</v>
      </c>
      <c r="P51" s="17">
        <v>0</v>
      </c>
      <c r="Q51" s="17">
        <v>0</v>
      </c>
      <c r="R51" s="17">
        <v>0</v>
      </c>
      <c r="S51" s="17"/>
      <c r="T51" s="17" t="s">
        <v>2972</v>
      </c>
      <c r="U51" s="17" t="s">
        <v>3057</v>
      </c>
      <c r="V51" s="17" t="s">
        <v>3056</v>
      </c>
      <c r="W51" s="17"/>
      <c r="X51" s="17"/>
    </row>
    <row r="52" spans="1:24" hidden="1">
      <c r="A52" s="18">
        <v>51</v>
      </c>
      <c r="B52" s="17" t="s">
        <v>1622</v>
      </c>
      <c r="C52" s="17" t="s">
        <v>1623</v>
      </c>
      <c r="D52" s="17" t="s">
        <v>17</v>
      </c>
      <c r="E52" s="17" t="s">
        <v>8</v>
      </c>
      <c r="F52" s="17">
        <v>1758</v>
      </c>
      <c r="G52" s="17">
        <v>0</v>
      </c>
      <c r="H52" s="17">
        <v>1758</v>
      </c>
      <c r="I52" s="17">
        <v>0</v>
      </c>
      <c r="J52" s="17">
        <v>0</v>
      </c>
      <c r="K52" s="17">
        <v>0</v>
      </c>
      <c r="L52" s="17">
        <v>0</v>
      </c>
      <c r="M52" s="17">
        <v>0</v>
      </c>
      <c r="N52" s="17">
        <v>0</v>
      </c>
      <c r="O52" s="17">
        <v>0</v>
      </c>
      <c r="P52" s="17">
        <v>0</v>
      </c>
      <c r="Q52" s="17">
        <v>0</v>
      </c>
      <c r="R52" s="17">
        <v>0</v>
      </c>
      <c r="S52" s="17"/>
      <c r="T52" s="17" t="s">
        <v>2972</v>
      </c>
      <c r="U52" s="17" t="s">
        <v>3057</v>
      </c>
      <c r="V52" s="17" t="s">
        <v>3056</v>
      </c>
      <c r="W52" s="17"/>
      <c r="X52" s="17"/>
    </row>
    <row r="53" spans="1:24" hidden="1">
      <c r="A53" s="18">
        <v>52</v>
      </c>
      <c r="B53" s="17" t="s">
        <v>136</v>
      </c>
      <c r="C53" s="17" t="s">
        <v>137</v>
      </c>
      <c r="D53" s="17" t="s">
        <v>17</v>
      </c>
      <c r="E53" s="17" t="s">
        <v>8</v>
      </c>
      <c r="F53" s="17">
        <v>38</v>
      </c>
      <c r="G53" s="17">
        <v>0</v>
      </c>
      <c r="H53" s="17">
        <v>0</v>
      </c>
      <c r="I53" s="17">
        <v>38</v>
      </c>
      <c r="J53" s="17">
        <v>0</v>
      </c>
      <c r="K53" s="17">
        <v>0</v>
      </c>
      <c r="L53" s="17">
        <v>38</v>
      </c>
      <c r="M53" s="17">
        <v>0</v>
      </c>
      <c r="N53" s="17">
        <v>0</v>
      </c>
      <c r="O53" s="17">
        <v>38</v>
      </c>
      <c r="P53" s="17">
        <v>20</v>
      </c>
      <c r="Q53" s="17">
        <v>18</v>
      </c>
      <c r="R53" s="17">
        <v>0</v>
      </c>
      <c r="S53" s="17"/>
      <c r="T53" s="17" t="s">
        <v>2991</v>
      </c>
      <c r="U53" s="17" t="s">
        <v>3060</v>
      </c>
      <c r="V53" s="17" t="s">
        <v>3058</v>
      </c>
      <c r="W53" s="17"/>
      <c r="X53" s="17"/>
    </row>
    <row r="54" spans="1:24" hidden="1">
      <c r="A54" s="18">
        <v>53</v>
      </c>
      <c r="B54" s="17" t="s">
        <v>138</v>
      </c>
      <c r="C54" s="17" t="s">
        <v>139</v>
      </c>
      <c r="D54" s="17" t="s">
        <v>17</v>
      </c>
      <c r="E54" s="17" t="s">
        <v>8</v>
      </c>
      <c r="F54" s="17">
        <v>92</v>
      </c>
      <c r="G54" s="17">
        <v>0</v>
      </c>
      <c r="H54" s="17">
        <v>0</v>
      </c>
      <c r="I54" s="17">
        <v>92</v>
      </c>
      <c r="J54" s="17">
        <v>0</v>
      </c>
      <c r="K54" s="17">
        <v>0</v>
      </c>
      <c r="L54" s="17">
        <v>92</v>
      </c>
      <c r="M54" s="17">
        <v>0</v>
      </c>
      <c r="N54" s="17">
        <v>0</v>
      </c>
      <c r="O54" s="17">
        <v>92</v>
      </c>
      <c r="P54" s="17">
        <v>0</v>
      </c>
      <c r="Q54" s="17">
        <v>92</v>
      </c>
      <c r="R54" s="17">
        <v>0</v>
      </c>
      <c r="S54" s="17"/>
      <c r="T54" s="17" t="s">
        <v>2991</v>
      </c>
      <c r="U54" s="17" t="s">
        <v>3060</v>
      </c>
      <c r="V54" s="17" t="s">
        <v>3058</v>
      </c>
      <c r="W54" s="17"/>
      <c r="X54" s="17"/>
    </row>
    <row r="55" spans="1:24" hidden="1">
      <c r="A55" s="18">
        <v>54</v>
      </c>
      <c r="B55" s="17" t="s">
        <v>140</v>
      </c>
      <c r="C55" s="17" t="s">
        <v>141</v>
      </c>
      <c r="D55" s="17" t="s">
        <v>17</v>
      </c>
      <c r="E55" s="17" t="s">
        <v>8</v>
      </c>
      <c r="F55" s="17">
        <v>11600</v>
      </c>
      <c r="G55" s="17">
        <v>0</v>
      </c>
      <c r="H55" s="17">
        <v>0</v>
      </c>
      <c r="I55" s="17">
        <v>11600</v>
      </c>
      <c r="J55" s="17">
        <v>0</v>
      </c>
      <c r="K55" s="17">
        <v>0</v>
      </c>
      <c r="L55" s="17">
        <v>11600</v>
      </c>
      <c r="M55" s="17">
        <v>0</v>
      </c>
      <c r="N55" s="17">
        <v>0</v>
      </c>
      <c r="O55" s="17">
        <v>11600</v>
      </c>
      <c r="P55" s="17">
        <v>1000</v>
      </c>
      <c r="Q55" s="17">
        <v>10600</v>
      </c>
      <c r="R55" s="17">
        <v>0</v>
      </c>
      <c r="S55" s="17"/>
      <c r="T55" s="17" t="s">
        <v>2991</v>
      </c>
      <c r="U55" s="17" t="s">
        <v>3060</v>
      </c>
      <c r="V55" s="17" t="s">
        <v>3058</v>
      </c>
      <c r="W55" s="17"/>
      <c r="X55" s="17"/>
    </row>
    <row r="56" spans="1:24" hidden="1">
      <c r="A56" s="18">
        <v>55</v>
      </c>
      <c r="B56" s="17" t="s">
        <v>142</v>
      </c>
      <c r="C56" s="17" t="s">
        <v>143</v>
      </c>
      <c r="D56" s="17" t="s">
        <v>17</v>
      </c>
      <c r="E56" s="17" t="s">
        <v>8</v>
      </c>
      <c r="F56" s="17">
        <v>300</v>
      </c>
      <c r="G56" s="17">
        <v>0</v>
      </c>
      <c r="H56" s="17">
        <v>45</v>
      </c>
      <c r="I56" s="17">
        <v>255</v>
      </c>
      <c r="J56" s="17">
        <v>0</v>
      </c>
      <c r="K56" s="17">
        <v>0</v>
      </c>
      <c r="L56" s="17">
        <v>255</v>
      </c>
      <c r="M56" s="17">
        <v>0</v>
      </c>
      <c r="N56" s="17">
        <v>0</v>
      </c>
      <c r="O56" s="17">
        <v>255</v>
      </c>
      <c r="P56" s="17">
        <v>100</v>
      </c>
      <c r="Q56" s="17">
        <v>155</v>
      </c>
      <c r="R56" s="17">
        <v>0</v>
      </c>
      <c r="S56" s="17"/>
      <c r="T56" s="17" t="s">
        <v>2972</v>
      </c>
      <c r="U56" s="17" t="s">
        <v>3060</v>
      </c>
      <c r="V56" s="17" t="s">
        <v>3058</v>
      </c>
      <c r="W56" s="17"/>
      <c r="X56" s="17"/>
    </row>
    <row r="57" spans="1:24" hidden="1">
      <c r="A57" s="18">
        <v>56</v>
      </c>
      <c r="B57" s="17" t="s">
        <v>144</v>
      </c>
      <c r="C57" s="17" t="s">
        <v>145</v>
      </c>
      <c r="D57" s="17" t="s">
        <v>17</v>
      </c>
      <c r="E57" s="17" t="s">
        <v>8</v>
      </c>
      <c r="F57" s="17">
        <v>290</v>
      </c>
      <c r="G57" s="17">
        <v>0</v>
      </c>
      <c r="H57" s="17">
        <v>97</v>
      </c>
      <c r="I57" s="17">
        <v>193</v>
      </c>
      <c r="J57" s="17">
        <v>0</v>
      </c>
      <c r="K57" s="17">
        <v>0</v>
      </c>
      <c r="L57" s="17">
        <v>193</v>
      </c>
      <c r="M57" s="17">
        <v>0</v>
      </c>
      <c r="N57" s="17">
        <v>0</v>
      </c>
      <c r="O57" s="17">
        <v>193</v>
      </c>
      <c r="P57" s="17">
        <v>125</v>
      </c>
      <c r="Q57" s="17">
        <v>68</v>
      </c>
      <c r="R57" s="17">
        <v>0</v>
      </c>
      <c r="S57" s="17"/>
      <c r="T57" s="17" t="s">
        <v>2982</v>
      </c>
      <c r="U57" s="17" t="s">
        <v>3060</v>
      </c>
      <c r="V57" s="17" t="s">
        <v>3061</v>
      </c>
      <c r="W57" s="17"/>
      <c r="X57" s="17"/>
    </row>
    <row r="58" spans="1:24" hidden="1">
      <c r="A58" s="18">
        <v>57</v>
      </c>
      <c r="B58" s="17" t="s">
        <v>149</v>
      </c>
      <c r="C58" s="17" t="s">
        <v>150</v>
      </c>
      <c r="D58" s="17" t="s">
        <v>17</v>
      </c>
      <c r="E58" s="17" t="s">
        <v>8</v>
      </c>
      <c r="F58" s="17">
        <v>1256</v>
      </c>
      <c r="G58" s="17">
        <v>0</v>
      </c>
      <c r="H58" s="17">
        <v>6</v>
      </c>
      <c r="I58" s="17">
        <v>1250</v>
      </c>
      <c r="J58" s="17">
        <v>0</v>
      </c>
      <c r="K58" s="17">
        <v>0</v>
      </c>
      <c r="L58" s="17">
        <v>1250</v>
      </c>
      <c r="M58" s="17">
        <v>0</v>
      </c>
      <c r="N58" s="17">
        <v>0</v>
      </c>
      <c r="O58" s="17">
        <v>1250</v>
      </c>
      <c r="P58" s="17">
        <v>100</v>
      </c>
      <c r="Q58" s="17">
        <v>1150</v>
      </c>
      <c r="R58" s="17">
        <v>0</v>
      </c>
      <c r="S58" s="17"/>
      <c r="T58" s="17" t="s">
        <v>2972</v>
      </c>
      <c r="U58" s="17" t="s">
        <v>3055</v>
      </c>
      <c r="V58" s="17" t="s">
        <v>3056</v>
      </c>
      <c r="W58" s="17"/>
      <c r="X58" s="17"/>
    </row>
    <row r="59" spans="1:24" hidden="1">
      <c r="A59" s="18">
        <v>58</v>
      </c>
      <c r="B59" s="17" t="s">
        <v>1636</v>
      </c>
      <c r="C59" s="17" t="s">
        <v>1637</v>
      </c>
      <c r="D59" s="17" t="s">
        <v>17</v>
      </c>
      <c r="E59" s="17" t="s">
        <v>8</v>
      </c>
      <c r="F59" s="17">
        <v>5300</v>
      </c>
      <c r="G59" s="17">
        <v>5000</v>
      </c>
      <c r="H59" s="17">
        <v>4900</v>
      </c>
      <c r="I59" s="17">
        <v>5400</v>
      </c>
      <c r="J59" s="17">
        <v>0</v>
      </c>
      <c r="K59" s="17">
        <v>0</v>
      </c>
      <c r="L59" s="17">
        <v>5400</v>
      </c>
      <c r="M59" s="17">
        <v>0</v>
      </c>
      <c r="N59" s="17">
        <v>0</v>
      </c>
      <c r="O59" s="17">
        <v>5400</v>
      </c>
      <c r="P59" s="17">
        <v>5000</v>
      </c>
      <c r="Q59" s="17">
        <v>400</v>
      </c>
      <c r="R59" s="17">
        <v>5000</v>
      </c>
      <c r="S59" s="17"/>
      <c r="T59" s="17" t="s">
        <v>2972</v>
      </c>
      <c r="U59" s="17" t="s">
        <v>3057</v>
      </c>
      <c r="V59" s="17" t="s">
        <v>3056</v>
      </c>
      <c r="W59" s="17"/>
      <c r="X59" s="17"/>
    </row>
    <row r="60" spans="1:24" hidden="1">
      <c r="A60" s="18">
        <v>59</v>
      </c>
      <c r="B60" s="17" t="s">
        <v>153</v>
      </c>
      <c r="C60" s="17" t="s">
        <v>154</v>
      </c>
      <c r="D60" s="17" t="s">
        <v>20</v>
      </c>
      <c r="E60" s="17" t="s">
        <v>8</v>
      </c>
      <c r="F60" s="17">
        <v>418.4</v>
      </c>
      <c r="G60" s="17">
        <v>222.8</v>
      </c>
      <c r="H60" s="17">
        <v>89.2</v>
      </c>
      <c r="I60" s="17">
        <v>552</v>
      </c>
      <c r="J60" s="17">
        <v>0</v>
      </c>
      <c r="K60" s="17">
        <v>0</v>
      </c>
      <c r="L60" s="17">
        <v>552</v>
      </c>
      <c r="M60" s="17">
        <v>0</v>
      </c>
      <c r="N60" s="17">
        <v>0</v>
      </c>
      <c r="O60" s="17">
        <v>552</v>
      </c>
      <c r="P60" s="17">
        <v>300</v>
      </c>
      <c r="Q60" s="17">
        <v>252</v>
      </c>
      <c r="R60" s="17">
        <v>250</v>
      </c>
      <c r="S60" s="17"/>
      <c r="T60" s="17" t="s">
        <v>2991</v>
      </c>
      <c r="U60" s="17" t="s">
        <v>3055</v>
      </c>
      <c r="V60" s="17" t="s">
        <v>3056</v>
      </c>
      <c r="W60" s="17"/>
      <c r="X60" s="17"/>
    </row>
    <row r="61" spans="1:24" hidden="1">
      <c r="A61" s="18">
        <v>60</v>
      </c>
      <c r="B61" s="17" t="s">
        <v>1638</v>
      </c>
      <c r="C61" s="17" t="s">
        <v>1639</v>
      </c>
      <c r="D61" s="17" t="s">
        <v>17</v>
      </c>
      <c r="E61" s="17" t="s">
        <v>8</v>
      </c>
      <c r="F61" s="17">
        <v>500</v>
      </c>
      <c r="G61" s="17">
        <v>0</v>
      </c>
      <c r="H61" s="17">
        <v>100</v>
      </c>
      <c r="I61" s="17">
        <v>400</v>
      </c>
      <c r="J61" s="17">
        <v>0</v>
      </c>
      <c r="K61" s="17">
        <v>0</v>
      </c>
      <c r="L61" s="17">
        <v>400</v>
      </c>
      <c r="M61" s="17">
        <v>0</v>
      </c>
      <c r="N61" s="17">
        <v>0</v>
      </c>
      <c r="O61" s="17">
        <v>400</v>
      </c>
      <c r="P61" s="17">
        <v>300</v>
      </c>
      <c r="Q61" s="17">
        <v>100</v>
      </c>
      <c r="R61" s="17">
        <v>0</v>
      </c>
      <c r="S61" s="17"/>
      <c r="T61" s="17" t="s">
        <v>2972</v>
      </c>
      <c r="U61" s="17" t="s">
        <v>3057</v>
      </c>
      <c r="V61" s="17" t="s">
        <v>3056</v>
      </c>
      <c r="W61" s="17"/>
      <c r="X61" s="17"/>
    </row>
    <row r="62" spans="1:24" hidden="1">
      <c r="A62" s="18">
        <v>61</v>
      </c>
      <c r="B62" s="17" t="s">
        <v>157</v>
      </c>
      <c r="C62" s="17" t="s">
        <v>158</v>
      </c>
      <c r="D62" s="17" t="s">
        <v>17</v>
      </c>
      <c r="E62" s="17" t="s">
        <v>8</v>
      </c>
      <c r="F62" s="17">
        <v>7500</v>
      </c>
      <c r="G62" s="17">
        <v>0</v>
      </c>
      <c r="H62" s="17">
        <v>2000</v>
      </c>
      <c r="I62" s="17">
        <v>5500</v>
      </c>
      <c r="J62" s="17">
        <v>0</v>
      </c>
      <c r="K62" s="17">
        <v>0</v>
      </c>
      <c r="L62" s="17">
        <v>5500</v>
      </c>
      <c r="M62" s="17">
        <v>0</v>
      </c>
      <c r="N62" s="17">
        <v>0</v>
      </c>
      <c r="O62" s="17">
        <v>5500</v>
      </c>
      <c r="P62" s="17">
        <v>5000</v>
      </c>
      <c r="Q62" s="17">
        <v>500</v>
      </c>
      <c r="R62" s="17">
        <v>0</v>
      </c>
      <c r="S62" s="17"/>
      <c r="T62" s="17" t="s">
        <v>2972</v>
      </c>
      <c r="U62" s="17" t="s">
        <v>3055</v>
      </c>
      <c r="V62" s="17" t="s">
        <v>3056</v>
      </c>
      <c r="W62" s="17"/>
      <c r="X62" s="17"/>
    </row>
    <row r="63" spans="1:24" hidden="1">
      <c r="A63" s="18">
        <v>62</v>
      </c>
      <c r="B63" s="17" t="s">
        <v>1648</v>
      </c>
      <c r="C63" s="17" t="s">
        <v>1649</v>
      </c>
      <c r="D63" s="17" t="s">
        <v>17</v>
      </c>
      <c r="E63" s="17" t="s">
        <v>8</v>
      </c>
      <c r="F63" s="17">
        <v>2000</v>
      </c>
      <c r="G63" s="17">
        <v>0</v>
      </c>
      <c r="H63" s="17">
        <v>300</v>
      </c>
      <c r="I63" s="17">
        <v>1700</v>
      </c>
      <c r="J63" s="17">
        <v>0</v>
      </c>
      <c r="K63" s="17">
        <v>0</v>
      </c>
      <c r="L63" s="17">
        <v>1700</v>
      </c>
      <c r="M63" s="17">
        <v>0</v>
      </c>
      <c r="N63" s="17">
        <v>0</v>
      </c>
      <c r="O63" s="17">
        <v>1700</v>
      </c>
      <c r="P63" s="17">
        <v>1000</v>
      </c>
      <c r="Q63" s="17">
        <v>700</v>
      </c>
      <c r="R63" s="17">
        <v>0</v>
      </c>
      <c r="S63" s="17"/>
      <c r="T63" s="17" t="s">
        <v>2972</v>
      </c>
      <c r="U63" s="17" t="s">
        <v>3057</v>
      </c>
      <c r="V63" s="17" t="s">
        <v>3056</v>
      </c>
      <c r="W63" s="17"/>
      <c r="X63" s="17"/>
    </row>
    <row r="64" spans="1:24" s="40" customFormat="1" hidden="1">
      <c r="A64" s="26">
        <v>63</v>
      </c>
      <c r="B64" s="25" t="s">
        <v>1658</v>
      </c>
      <c r="C64" s="25" t="s">
        <v>1659</v>
      </c>
      <c r="D64" s="25" t="s">
        <v>17</v>
      </c>
      <c r="E64" s="25" t="s">
        <v>8</v>
      </c>
      <c r="F64" s="25">
        <v>900</v>
      </c>
      <c r="G64" s="25">
        <v>900</v>
      </c>
      <c r="H64" s="25">
        <v>900</v>
      </c>
      <c r="I64" s="17">
        <v>900</v>
      </c>
      <c r="J64" s="17">
        <v>0</v>
      </c>
      <c r="K64" s="17">
        <v>0</v>
      </c>
      <c r="L64" s="17">
        <v>900</v>
      </c>
      <c r="M64" s="17">
        <v>0</v>
      </c>
      <c r="N64" s="17">
        <v>0</v>
      </c>
      <c r="O64" s="25">
        <v>900</v>
      </c>
      <c r="P64" s="25">
        <v>1000</v>
      </c>
      <c r="Q64" s="25">
        <v>-100</v>
      </c>
      <c r="R64" s="25">
        <v>1000</v>
      </c>
      <c r="S64" s="25"/>
      <c r="T64" s="25" t="s">
        <v>2972</v>
      </c>
      <c r="U64" s="25" t="s">
        <v>3057</v>
      </c>
      <c r="V64" s="25" t="s">
        <v>3056</v>
      </c>
      <c r="W64" s="25"/>
      <c r="X64" s="25"/>
    </row>
    <row r="65" spans="1:24" hidden="1">
      <c r="A65" s="18">
        <v>64</v>
      </c>
      <c r="B65" s="17" t="s">
        <v>1696</v>
      </c>
      <c r="C65" s="17" t="s">
        <v>1697</v>
      </c>
      <c r="D65" s="17" t="s">
        <v>17</v>
      </c>
      <c r="E65" s="17" t="s">
        <v>8</v>
      </c>
      <c r="F65" s="17">
        <v>550</v>
      </c>
      <c r="G65" s="17">
        <v>0</v>
      </c>
      <c r="H65" s="17">
        <v>100</v>
      </c>
      <c r="I65" s="17">
        <v>450</v>
      </c>
      <c r="J65" s="17">
        <v>0</v>
      </c>
      <c r="K65" s="17">
        <v>0</v>
      </c>
      <c r="L65" s="17">
        <v>450</v>
      </c>
      <c r="M65" s="17">
        <v>0</v>
      </c>
      <c r="N65" s="17">
        <v>0</v>
      </c>
      <c r="O65" s="17">
        <v>450</v>
      </c>
      <c r="P65" s="17">
        <v>300</v>
      </c>
      <c r="Q65" s="17">
        <v>150</v>
      </c>
      <c r="R65" s="17">
        <v>0</v>
      </c>
      <c r="S65" s="17"/>
      <c r="T65" s="17" t="s">
        <v>2972</v>
      </c>
      <c r="U65" s="17" t="s">
        <v>3057</v>
      </c>
      <c r="V65" s="17" t="s">
        <v>3056</v>
      </c>
      <c r="W65" s="17"/>
      <c r="X65" s="17"/>
    </row>
    <row r="66" spans="1:24" hidden="1">
      <c r="A66" s="18">
        <v>65</v>
      </c>
      <c r="B66" s="17" t="s">
        <v>1714</v>
      </c>
      <c r="C66" s="17" t="s">
        <v>1715</v>
      </c>
      <c r="D66" s="17" t="s">
        <v>17</v>
      </c>
      <c r="E66" s="17" t="s">
        <v>8</v>
      </c>
      <c r="F66" s="17">
        <v>800</v>
      </c>
      <c r="G66" s="17">
        <v>0</v>
      </c>
      <c r="H66" s="17">
        <v>200</v>
      </c>
      <c r="I66" s="17">
        <v>600</v>
      </c>
      <c r="J66" s="17">
        <v>0</v>
      </c>
      <c r="K66" s="17">
        <v>0</v>
      </c>
      <c r="L66" s="17">
        <v>600</v>
      </c>
      <c r="M66" s="17">
        <v>0</v>
      </c>
      <c r="N66" s="17">
        <v>0</v>
      </c>
      <c r="O66" s="17">
        <v>600</v>
      </c>
      <c r="P66" s="17">
        <v>400</v>
      </c>
      <c r="Q66" s="17">
        <v>200</v>
      </c>
      <c r="R66" s="17">
        <v>0</v>
      </c>
      <c r="S66" s="17"/>
      <c r="T66" s="17" t="s">
        <v>2972</v>
      </c>
      <c r="U66" s="17" t="s">
        <v>3057</v>
      </c>
      <c r="V66" s="17" t="s">
        <v>3056</v>
      </c>
      <c r="W66" s="17"/>
      <c r="X66" s="17"/>
    </row>
    <row r="67" spans="1:24" hidden="1">
      <c r="A67" s="18">
        <v>66</v>
      </c>
      <c r="B67" s="17" t="s">
        <v>1774</v>
      </c>
      <c r="C67" s="17" t="s">
        <v>1775</v>
      </c>
      <c r="D67" s="17" t="s">
        <v>17</v>
      </c>
      <c r="E67" s="17" t="s">
        <v>8</v>
      </c>
      <c r="F67" s="17">
        <v>475</v>
      </c>
      <c r="G67" s="17">
        <v>375</v>
      </c>
      <c r="H67" s="17">
        <v>200</v>
      </c>
      <c r="I67" s="17">
        <v>650</v>
      </c>
      <c r="J67" s="17">
        <v>0</v>
      </c>
      <c r="K67" s="17">
        <v>0</v>
      </c>
      <c r="L67" s="17">
        <v>650</v>
      </c>
      <c r="M67" s="17">
        <v>0</v>
      </c>
      <c r="N67" s="17">
        <v>0</v>
      </c>
      <c r="O67" s="17">
        <v>650</v>
      </c>
      <c r="P67" s="17">
        <v>450</v>
      </c>
      <c r="Q67" s="17">
        <v>200</v>
      </c>
      <c r="R67" s="17">
        <v>400</v>
      </c>
      <c r="S67" s="17"/>
      <c r="T67" s="17" t="s">
        <v>2991</v>
      </c>
      <c r="U67" s="17" t="s">
        <v>3057</v>
      </c>
      <c r="V67" s="17" t="s">
        <v>3058</v>
      </c>
      <c r="W67" s="17"/>
      <c r="X67" s="17"/>
    </row>
    <row r="68" spans="1:24" hidden="1">
      <c r="A68" s="18">
        <v>67</v>
      </c>
      <c r="B68" s="17" t="s">
        <v>1810</v>
      </c>
      <c r="C68" s="17" t="s">
        <v>1811</v>
      </c>
      <c r="D68" s="17" t="s">
        <v>17</v>
      </c>
      <c r="E68" s="17" t="s">
        <v>8</v>
      </c>
      <c r="F68" s="17">
        <v>5210</v>
      </c>
      <c r="G68" s="17">
        <v>1125</v>
      </c>
      <c r="H68" s="17">
        <v>400</v>
      </c>
      <c r="I68" s="17">
        <v>5935</v>
      </c>
      <c r="J68" s="17">
        <v>0</v>
      </c>
      <c r="K68" s="17">
        <v>0</v>
      </c>
      <c r="L68" s="17">
        <v>5935</v>
      </c>
      <c r="M68" s="17">
        <v>0</v>
      </c>
      <c r="N68" s="17">
        <v>0</v>
      </c>
      <c r="O68" s="17">
        <v>5935</v>
      </c>
      <c r="P68" s="17">
        <v>1000</v>
      </c>
      <c r="Q68" s="17">
        <v>4935</v>
      </c>
      <c r="R68" s="17">
        <v>0</v>
      </c>
      <c r="S68" s="17"/>
      <c r="T68" s="17" t="s">
        <v>2974</v>
      </c>
      <c r="U68" s="17" t="s">
        <v>3057</v>
      </c>
      <c r="V68" s="17" t="s">
        <v>3056</v>
      </c>
      <c r="W68" s="17"/>
      <c r="X68" s="17"/>
    </row>
    <row r="69" spans="1:24" hidden="1">
      <c r="A69" s="18">
        <v>68</v>
      </c>
      <c r="B69" s="17" t="s">
        <v>1846</v>
      </c>
      <c r="C69" s="17" t="s">
        <v>1847</v>
      </c>
      <c r="D69" s="17" t="s">
        <v>20</v>
      </c>
      <c r="E69" s="17" t="s">
        <v>8</v>
      </c>
      <c r="F69" s="17">
        <v>316.2</v>
      </c>
      <c r="G69" s="17">
        <v>321.3</v>
      </c>
      <c r="H69" s="17">
        <v>254.5</v>
      </c>
      <c r="I69" s="17">
        <v>383</v>
      </c>
      <c r="J69" s="17">
        <v>0</v>
      </c>
      <c r="K69" s="17">
        <v>0</v>
      </c>
      <c r="L69" s="17">
        <v>383</v>
      </c>
      <c r="M69" s="17">
        <v>0</v>
      </c>
      <c r="N69" s="17">
        <v>0</v>
      </c>
      <c r="O69" s="17">
        <v>383</v>
      </c>
      <c r="P69" s="17">
        <v>350</v>
      </c>
      <c r="Q69" s="17">
        <v>33</v>
      </c>
      <c r="R69" s="17">
        <v>300</v>
      </c>
      <c r="S69" s="17"/>
      <c r="T69" s="17" t="s">
        <v>3031</v>
      </c>
      <c r="U69" s="17" t="s">
        <v>3057</v>
      </c>
      <c r="V69" s="17" t="s">
        <v>3056</v>
      </c>
      <c r="W69" s="17"/>
      <c r="X69" s="17"/>
    </row>
    <row r="70" spans="1:24" hidden="1">
      <c r="A70" s="18">
        <v>69</v>
      </c>
      <c r="B70" s="17" t="s">
        <v>1850</v>
      </c>
      <c r="C70" s="17" t="s">
        <v>1851</v>
      </c>
      <c r="D70" s="17" t="s">
        <v>20</v>
      </c>
      <c r="E70" s="17" t="s">
        <v>8</v>
      </c>
      <c r="F70" s="17">
        <v>2108.3000000000002</v>
      </c>
      <c r="G70" s="17">
        <v>0</v>
      </c>
      <c r="H70" s="17">
        <v>608.04999999999995</v>
      </c>
      <c r="I70" s="17">
        <v>1500.25</v>
      </c>
      <c r="J70" s="17">
        <v>0</v>
      </c>
      <c r="K70" s="17">
        <v>0</v>
      </c>
      <c r="L70" s="17">
        <v>1500.25</v>
      </c>
      <c r="M70" s="17">
        <v>0</v>
      </c>
      <c r="N70" s="17">
        <v>0</v>
      </c>
      <c r="O70" s="17">
        <v>1500.25</v>
      </c>
      <c r="P70" s="17">
        <v>1800</v>
      </c>
      <c r="Q70" s="17">
        <v>-299.75</v>
      </c>
      <c r="R70" s="17">
        <v>500</v>
      </c>
      <c r="S70" s="17"/>
      <c r="T70" s="17" t="s">
        <v>3031</v>
      </c>
      <c r="U70" s="17" t="s">
        <v>3057</v>
      </c>
      <c r="V70" s="17" t="s">
        <v>3056</v>
      </c>
      <c r="W70" s="17"/>
      <c r="X70" s="17"/>
    </row>
    <row r="71" spans="1:24" hidden="1">
      <c r="A71" s="18">
        <v>70</v>
      </c>
      <c r="B71" s="17" t="s">
        <v>1854</v>
      </c>
      <c r="C71" s="17" t="s">
        <v>1855</v>
      </c>
      <c r="D71" s="17" t="s">
        <v>20</v>
      </c>
      <c r="E71" s="17" t="s">
        <v>8</v>
      </c>
      <c r="F71" s="17">
        <v>2299</v>
      </c>
      <c r="G71" s="17">
        <v>7146</v>
      </c>
      <c r="H71" s="17">
        <v>6386.2</v>
      </c>
      <c r="I71" s="17">
        <v>3058.8</v>
      </c>
      <c r="J71" s="17">
        <v>0</v>
      </c>
      <c r="K71" s="17">
        <v>0</v>
      </c>
      <c r="L71" s="17">
        <v>3058.8</v>
      </c>
      <c r="M71" s="17">
        <v>0</v>
      </c>
      <c r="N71" s="17">
        <v>0</v>
      </c>
      <c r="O71" s="17">
        <v>3058.8</v>
      </c>
      <c r="P71" s="17">
        <v>2500</v>
      </c>
      <c r="Q71" s="17">
        <v>558.80000000000018</v>
      </c>
      <c r="R71" s="17">
        <v>8000</v>
      </c>
      <c r="S71" s="17"/>
      <c r="T71" s="17" t="s">
        <v>3031</v>
      </c>
      <c r="U71" s="17" t="s">
        <v>3057</v>
      </c>
      <c r="V71" s="17" t="s">
        <v>3056</v>
      </c>
      <c r="W71" s="17"/>
      <c r="X71" s="17"/>
    </row>
    <row r="72" spans="1:24" hidden="1">
      <c r="A72" s="18">
        <v>71</v>
      </c>
      <c r="B72" s="17" t="s">
        <v>181</v>
      </c>
      <c r="C72" s="17" t="s">
        <v>182</v>
      </c>
      <c r="D72" s="17" t="s">
        <v>17</v>
      </c>
      <c r="E72" s="17" t="s">
        <v>8</v>
      </c>
      <c r="F72" s="17">
        <v>404</v>
      </c>
      <c r="G72" s="17">
        <v>0</v>
      </c>
      <c r="H72" s="17">
        <v>6</v>
      </c>
      <c r="I72" s="17">
        <v>398</v>
      </c>
      <c r="J72" s="17">
        <v>0</v>
      </c>
      <c r="K72" s="17">
        <v>0</v>
      </c>
      <c r="L72" s="17">
        <v>398</v>
      </c>
      <c r="M72" s="17">
        <v>0</v>
      </c>
      <c r="N72" s="17">
        <v>0</v>
      </c>
      <c r="O72" s="17">
        <v>398</v>
      </c>
      <c r="P72" s="17">
        <v>200</v>
      </c>
      <c r="Q72" s="17">
        <v>198</v>
      </c>
      <c r="R72" s="17">
        <v>0</v>
      </c>
      <c r="S72" s="17"/>
      <c r="T72" s="17" t="s">
        <v>2982</v>
      </c>
      <c r="U72" s="17" t="s">
        <v>3060</v>
      </c>
      <c r="V72" s="17" t="s">
        <v>3058</v>
      </c>
      <c r="W72" s="17"/>
      <c r="X72" s="17"/>
    </row>
    <row r="73" spans="1:24" hidden="1">
      <c r="A73" s="18">
        <v>72</v>
      </c>
      <c r="B73" s="17" t="s">
        <v>183</v>
      </c>
      <c r="C73" s="17" t="s">
        <v>184</v>
      </c>
      <c r="D73" s="17" t="s">
        <v>17</v>
      </c>
      <c r="E73" s="17" t="s">
        <v>8</v>
      </c>
      <c r="F73" s="17">
        <v>0</v>
      </c>
      <c r="G73" s="17">
        <v>0</v>
      </c>
      <c r="H73" s="17">
        <v>0</v>
      </c>
      <c r="I73" s="17">
        <v>0</v>
      </c>
      <c r="J73" s="17">
        <v>0</v>
      </c>
      <c r="K73" s="17">
        <v>0</v>
      </c>
      <c r="L73" s="17">
        <v>0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7">
        <v>0</v>
      </c>
      <c r="S73" s="17"/>
      <c r="T73" s="17" t="s">
        <v>2982</v>
      </c>
      <c r="U73" s="17" t="s">
        <v>3060</v>
      </c>
      <c r="V73" s="17" t="s">
        <v>3058</v>
      </c>
      <c r="W73" s="17"/>
      <c r="X73" s="17"/>
    </row>
    <row r="74" spans="1:24" hidden="1">
      <c r="A74" s="18">
        <v>73</v>
      </c>
      <c r="B74" s="17" t="s">
        <v>2223</v>
      </c>
      <c r="C74" s="17" t="s">
        <v>2224</v>
      </c>
      <c r="D74" s="17" t="s">
        <v>17</v>
      </c>
      <c r="E74" s="17" t="s">
        <v>8</v>
      </c>
      <c r="F74" s="17">
        <v>575</v>
      </c>
      <c r="G74" s="17">
        <v>1000</v>
      </c>
      <c r="H74" s="17">
        <v>700</v>
      </c>
      <c r="I74" s="17">
        <v>875</v>
      </c>
      <c r="J74" s="17">
        <v>0</v>
      </c>
      <c r="K74" s="17">
        <v>0</v>
      </c>
      <c r="L74" s="17">
        <v>875</v>
      </c>
      <c r="M74" s="17">
        <v>0</v>
      </c>
      <c r="N74" s="17">
        <v>0</v>
      </c>
      <c r="O74" s="17">
        <v>875</v>
      </c>
      <c r="P74" s="17">
        <v>500</v>
      </c>
      <c r="Q74" s="17">
        <v>375</v>
      </c>
      <c r="R74" s="17">
        <v>750</v>
      </c>
      <c r="S74" s="17"/>
      <c r="T74" s="17" t="s">
        <v>2991</v>
      </c>
      <c r="U74" s="17" t="s">
        <v>3057</v>
      </c>
      <c r="V74" s="17" t="s">
        <v>3056</v>
      </c>
      <c r="W74" s="17"/>
      <c r="X74" s="17"/>
    </row>
    <row r="75" spans="1:24" hidden="1">
      <c r="A75" s="18">
        <v>74</v>
      </c>
      <c r="B75" s="17" t="s">
        <v>187</v>
      </c>
      <c r="C75" s="17" t="s">
        <v>188</v>
      </c>
      <c r="D75" s="17" t="s">
        <v>7</v>
      </c>
      <c r="E75" s="17" t="s">
        <v>8</v>
      </c>
      <c r="F75" s="17">
        <v>0</v>
      </c>
      <c r="G75" s="17">
        <v>0</v>
      </c>
      <c r="H75" s="17">
        <v>0</v>
      </c>
      <c r="I75" s="17">
        <v>0</v>
      </c>
      <c r="J75" s="17">
        <v>0</v>
      </c>
      <c r="K75" s="17">
        <v>0</v>
      </c>
      <c r="L75" s="17">
        <v>0</v>
      </c>
      <c r="M75" s="17">
        <v>0</v>
      </c>
      <c r="N75" s="17">
        <v>0</v>
      </c>
      <c r="O75" s="17">
        <v>0</v>
      </c>
      <c r="P75" s="17">
        <v>0</v>
      </c>
      <c r="Q75" s="17">
        <v>0</v>
      </c>
      <c r="R75" s="17">
        <v>0</v>
      </c>
      <c r="S75" s="17"/>
      <c r="T75" s="17" t="s">
        <v>2965</v>
      </c>
      <c r="U75" s="17" t="s">
        <v>3060</v>
      </c>
      <c r="V75" s="17" t="s">
        <v>3058</v>
      </c>
      <c r="W75" s="17"/>
      <c r="X75" s="17"/>
    </row>
    <row r="76" spans="1:24" hidden="1">
      <c r="A76" s="18">
        <v>75</v>
      </c>
      <c r="B76" s="17" t="s">
        <v>189</v>
      </c>
      <c r="C76" s="17" t="s">
        <v>190</v>
      </c>
      <c r="D76" s="17" t="s">
        <v>7</v>
      </c>
      <c r="E76" s="17" t="s">
        <v>8</v>
      </c>
      <c r="F76" s="17">
        <v>0</v>
      </c>
      <c r="G76" s="17">
        <v>0</v>
      </c>
      <c r="H76" s="17">
        <v>0</v>
      </c>
      <c r="I76" s="17">
        <v>0</v>
      </c>
      <c r="J76" s="17">
        <v>0</v>
      </c>
      <c r="K76" s="17">
        <v>0</v>
      </c>
      <c r="L76" s="17">
        <v>0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17">
        <v>0</v>
      </c>
      <c r="S76" s="17"/>
      <c r="T76" s="17" t="s">
        <v>2965</v>
      </c>
      <c r="U76" s="17" t="s">
        <v>3060</v>
      </c>
      <c r="V76" s="17" t="s">
        <v>3058</v>
      </c>
      <c r="W76" s="17"/>
      <c r="X76" s="17"/>
    </row>
    <row r="77" spans="1:24" hidden="1">
      <c r="A77" s="18">
        <v>76</v>
      </c>
      <c r="B77" s="17" t="s">
        <v>191</v>
      </c>
      <c r="C77" s="17" t="s">
        <v>192</v>
      </c>
      <c r="D77" s="17" t="s">
        <v>20</v>
      </c>
      <c r="E77" s="17" t="s">
        <v>8</v>
      </c>
      <c r="F77" s="17">
        <v>400</v>
      </c>
      <c r="G77" s="17">
        <v>0</v>
      </c>
      <c r="H77" s="17">
        <v>88.6</v>
      </c>
      <c r="I77" s="17">
        <v>311.39999999999998</v>
      </c>
      <c r="J77" s="17">
        <v>0</v>
      </c>
      <c r="K77" s="17">
        <v>0</v>
      </c>
      <c r="L77" s="17">
        <v>311.39999999999998</v>
      </c>
      <c r="M77" s="17">
        <v>148.9</v>
      </c>
      <c r="N77" s="17">
        <v>0</v>
      </c>
      <c r="O77" s="17">
        <v>460.29999999999995</v>
      </c>
      <c r="P77" s="17">
        <v>200</v>
      </c>
      <c r="Q77" s="17">
        <v>260.29999999999995</v>
      </c>
      <c r="R77" s="17">
        <v>100</v>
      </c>
      <c r="S77" s="17"/>
      <c r="T77" s="17" t="s">
        <v>2965</v>
      </c>
      <c r="U77" s="17" t="s">
        <v>3055</v>
      </c>
      <c r="V77" s="17" t="s">
        <v>3058</v>
      </c>
      <c r="W77" s="17"/>
      <c r="X77" s="17"/>
    </row>
    <row r="78" spans="1:24" hidden="1">
      <c r="A78" s="18">
        <v>77</v>
      </c>
      <c r="B78" s="17" t="s">
        <v>193</v>
      </c>
      <c r="C78" s="17" t="s">
        <v>194</v>
      </c>
      <c r="D78" s="17" t="s">
        <v>20</v>
      </c>
      <c r="E78" s="17" t="s">
        <v>8</v>
      </c>
      <c r="F78" s="17">
        <v>547.79999999999995</v>
      </c>
      <c r="G78" s="17">
        <v>0</v>
      </c>
      <c r="H78" s="17">
        <v>52.5</v>
      </c>
      <c r="I78" s="17">
        <v>495.3</v>
      </c>
      <c r="J78" s="17">
        <v>0</v>
      </c>
      <c r="K78" s="17">
        <v>0</v>
      </c>
      <c r="L78" s="17">
        <v>495.3</v>
      </c>
      <c r="M78" s="17">
        <v>267.89999999999998</v>
      </c>
      <c r="N78" s="17">
        <v>0</v>
      </c>
      <c r="O78" s="17">
        <v>763.2</v>
      </c>
      <c r="P78" s="17">
        <v>200</v>
      </c>
      <c r="Q78" s="17">
        <v>563.20000000000005</v>
      </c>
      <c r="R78" s="17">
        <v>100</v>
      </c>
      <c r="S78" s="17"/>
      <c r="T78" s="17" t="s">
        <v>2965</v>
      </c>
      <c r="U78" s="17" t="s">
        <v>3055</v>
      </c>
      <c r="V78" s="17" t="s">
        <v>3058</v>
      </c>
      <c r="W78" s="17"/>
      <c r="X78" s="17"/>
    </row>
    <row r="79" spans="1:24" hidden="1">
      <c r="A79" s="18">
        <v>78</v>
      </c>
      <c r="B79" s="17" t="s">
        <v>197</v>
      </c>
      <c r="C79" s="17" t="s">
        <v>198</v>
      </c>
      <c r="D79" s="17" t="s">
        <v>20</v>
      </c>
      <c r="E79" s="17" t="s">
        <v>8</v>
      </c>
      <c r="F79" s="17">
        <v>544.1</v>
      </c>
      <c r="G79" s="17">
        <v>0</v>
      </c>
      <c r="H79" s="17">
        <v>74.099999999999994</v>
      </c>
      <c r="I79" s="17">
        <v>470</v>
      </c>
      <c r="J79" s="17">
        <v>0</v>
      </c>
      <c r="K79" s="17">
        <v>0</v>
      </c>
      <c r="L79" s="17">
        <v>470</v>
      </c>
      <c r="M79" s="17">
        <v>139.80000000000001</v>
      </c>
      <c r="N79" s="17">
        <v>0</v>
      </c>
      <c r="O79" s="17">
        <v>609.79999999999995</v>
      </c>
      <c r="P79" s="17">
        <v>200</v>
      </c>
      <c r="Q79" s="17">
        <v>409.79999999999995</v>
      </c>
      <c r="R79" s="17">
        <v>100</v>
      </c>
      <c r="S79" s="17"/>
      <c r="T79" s="17" t="s">
        <v>2965</v>
      </c>
      <c r="U79" s="17" t="s">
        <v>3055</v>
      </c>
      <c r="V79" s="17" t="s">
        <v>3058</v>
      </c>
      <c r="W79" s="17"/>
      <c r="X79" s="17"/>
    </row>
    <row r="80" spans="1:24" hidden="1">
      <c r="A80" s="18">
        <v>79</v>
      </c>
      <c r="B80" s="17" t="s">
        <v>201</v>
      </c>
      <c r="C80" s="17" t="s">
        <v>202</v>
      </c>
      <c r="D80" s="17" t="s">
        <v>20</v>
      </c>
      <c r="E80" s="17" t="s">
        <v>8</v>
      </c>
      <c r="F80" s="17">
        <v>232</v>
      </c>
      <c r="G80" s="17">
        <v>0</v>
      </c>
      <c r="H80" s="17">
        <v>0</v>
      </c>
      <c r="I80" s="17">
        <v>232</v>
      </c>
      <c r="J80" s="17">
        <v>0</v>
      </c>
      <c r="K80" s="17">
        <v>0</v>
      </c>
      <c r="L80" s="17">
        <v>232</v>
      </c>
      <c r="M80" s="17">
        <v>0</v>
      </c>
      <c r="N80" s="17">
        <v>0</v>
      </c>
      <c r="O80" s="17">
        <v>232</v>
      </c>
      <c r="P80" s="17">
        <v>150</v>
      </c>
      <c r="Q80" s="17">
        <v>82</v>
      </c>
      <c r="R80" s="17">
        <v>0</v>
      </c>
      <c r="S80" s="17"/>
      <c r="T80" s="17" t="s">
        <v>2965</v>
      </c>
      <c r="U80" s="17" t="s">
        <v>3055</v>
      </c>
      <c r="V80" s="17" t="s">
        <v>3058</v>
      </c>
      <c r="W80" s="17"/>
      <c r="X80" s="17"/>
    </row>
    <row r="81" spans="1:24" hidden="1">
      <c r="A81" s="18">
        <v>80</v>
      </c>
      <c r="B81" s="17" t="s">
        <v>205</v>
      </c>
      <c r="C81" s="17" t="s">
        <v>206</v>
      </c>
      <c r="D81" s="17" t="s">
        <v>7</v>
      </c>
      <c r="E81" s="17" t="s">
        <v>8</v>
      </c>
      <c r="F81" s="17">
        <v>387</v>
      </c>
      <c r="G81" s="17">
        <v>969</v>
      </c>
      <c r="H81" s="17">
        <v>388</v>
      </c>
      <c r="I81" s="17">
        <v>968</v>
      </c>
      <c r="J81" s="17">
        <v>0</v>
      </c>
      <c r="K81" s="17">
        <v>0</v>
      </c>
      <c r="L81" s="17">
        <v>968</v>
      </c>
      <c r="M81" s="17">
        <v>0</v>
      </c>
      <c r="N81" s="17">
        <v>0</v>
      </c>
      <c r="O81" s="17">
        <v>968</v>
      </c>
      <c r="P81" s="17">
        <v>300</v>
      </c>
      <c r="Q81" s="17">
        <v>668</v>
      </c>
      <c r="R81" s="17">
        <v>500</v>
      </c>
      <c r="S81" s="17"/>
      <c r="T81" s="17" t="s">
        <v>2965</v>
      </c>
      <c r="U81" s="17" t="s">
        <v>3055</v>
      </c>
      <c r="V81" s="17" t="s">
        <v>3058</v>
      </c>
      <c r="W81" s="17"/>
      <c r="X81" s="17"/>
    </row>
    <row r="82" spans="1:24" hidden="1">
      <c r="A82" s="18">
        <v>81</v>
      </c>
      <c r="B82" s="17" t="s">
        <v>207</v>
      </c>
      <c r="C82" s="17" t="s">
        <v>208</v>
      </c>
      <c r="D82" s="17" t="s">
        <v>7</v>
      </c>
      <c r="E82" s="17" t="s">
        <v>8</v>
      </c>
      <c r="F82" s="17">
        <v>1022</v>
      </c>
      <c r="G82" s="17">
        <v>0</v>
      </c>
      <c r="H82" s="17">
        <v>158</v>
      </c>
      <c r="I82" s="17">
        <v>864</v>
      </c>
      <c r="J82" s="17">
        <v>0</v>
      </c>
      <c r="K82" s="17">
        <v>0</v>
      </c>
      <c r="L82" s="17">
        <v>864</v>
      </c>
      <c r="M82" s="17">
        <v>0</v>
      </c>
      <c r="N82" s="17">
        <v>0</v>
      </c>
      <c r="O82" s="17">
        <v>864</v>
      </c>
      <c r="P82" s="17">
        <v>300</v>
      </c>
      <c r="Q82" s="17">
        <v>564</v>
      </c>
      <c r="R82" s="17">
        <v>200</v>
      </c>
      <c r="S82" s="17"/>
      <c r="T82" s="17" t="s">
        <v>2965</v>
      </c>
      <c r="U82" s="17" t="s">
        <v>3055</v>
      </c>
      <c r="V82" s="17" t="s">
        <v>3058</v>
      </c>
      <c r="W82" s="17"/>
      <c r="X82" s="17"/>
    </row>
    <row r="83" spans="1:24" hidden="1">
      <c r="A83" s="18">
        <v>82</v>
      </c>
      <c r="B83" s="17" t="s">
        <v>211</v>
      </c>
      <c r="C83" s="17" t="s">
        <v>212</v>
      </c>
      <c r="D83" s="17" t="s">
        <v>7</v>
      </c>
      <c r="E83" s="17" t="s">
        <v>8</v>
      </c>
      <c r="F83" s="17">
        <v>824</v>
      </c>
      <c r="G83" s="17">
        <v>0</v>
      </c>
      <c r="H83" s="17">
        <v>315</v>
      </c>
      <c r="I83" s="17">
        <v>509</v>
      </c>
      <c r="J83" s="17">
        <v>0</v>
      </c>
      <c r="K83" s="17">
        <v>0</v>
      </c>
      <c r="L83" s="17">
        <v>509</v>
      </c>
      <c r="M83" s="17">
        <v>0</v>
      </c>
      <c r="N83" s="17">
        <v>0</v>
      </c>
      <c r="O83" s="17">
        <v>509</v>
      </c>
      <c r="P83" s="17">
        <v>300</v>
      </c>
      <c r="Q83" s="17">
        <v>209</v>
      </c>
      <c r="R83" s="17">
        <v>200</v>
      </c>
      <c r="S83" s="17"/>
      <c r="T83" s="17" t="s">
        <v>2965</v>
      </c>
      <c r="U83" s="17" t="s">
        <v>3055</v>
      </c>
      <c r="V83" s="17" t="s">
        <v>3058</v>
      </c>
      <c r="W83" s="17"/>
      <c r="X83" s="17"/>
    </row>
    <row r="84" spans="1:24" hidden="1">
      <c r="A84" s="18">
        <v>83</v>
      </c>
      <c r="B84" s="17" t="s">
        <v>215</v>
      </c>
      <c r="C84" s="17" t="s">
        <v>216</v>
      </c>
      <c r="D84" s="17" t="s">
        <v>7</v>
      </c>
      <c r="E84" s="17" t="s">
        <v>8</v>
      </c>
      <c r="F84" s="17">
        <v>0</v>
      </c>
      <c r="G84" s="17">
        <v>0</v>
      </c>
      <c r="H84" s="17">
        <v>0</v>
      </c>
      <c r="I84" s="17">
        <v>0</v>
      </c>
      <c r="J84" s="17">
        <v>0</v>
      </c>
      <c r="K84" s="17">
        <v>0</v>
      </c>
      <c r="L84" s="17">
        <v>0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7">
        <v>0</v>
      </c>
      <c r="S84" s="17"/>
      <c r="T84" s="17" t="s">
        <v>2965</v>
      </c>
      <c r="U84" s="17" t="s">
        <v>3060</v>
      </c>
      <c r="V84" s="17" t="s">
        <v>3058</v>
      </c>
      <c r="W84" s="17"/>
      <c r="X84" s="17"/>
    </row>
    <row r="85" spans="1:24" s="40" customFormat="1" hidden="1">
      <c r="A85" s="26">
        <v>84</v>
      </c>
      <c r="B85" s="25" t="s">
        <v>217</v>
      </c>
      <c r="C85" s="25" t="s">
        <v>218</v>
      </c>
      <c r="D85" s="25" t="s">
        <v>7</v>
      </c>
      <c r="E85" s="25" t="s">
        <v>8</v>
      </c>
      <c r="F85" s="25">
        <v>12143.5</v>
      </c>
      <c r="G85" s="25">
        <v>5016</v>
      </c>
      <c r="H85" s="25">
        <v>12782.2</v>
      </c>
      <c r="I85" s="17">
        <v>4377.3</v>
      </c>
      <c r="J85" s="17">
        <v>0</v>
      </c>
      <c r="K85" s="17">
        <v>0</v>
      </c>
      <c r="L85" s="17">
        <v>4377.3</v>
      </c>
      <c r="M85" s="17">
        <v>2099</v>
      </c>
      <c r="N85" s="17">
        <v>0</v>
      </c>
      <c r="O85" s="25">
        <v>6476.3</v>
      </c>
      <c r="P85" s="25">
        <v>8000</v>
      </c>
      <c r="Q85" s="25">
        <v>-1523.6999999999998</v>
      </c>
      <c r="R85" s="25">
        <v>15000</v>
      </c>
      <c r="S85" s="25"/>
      <c r="T85" s="25" t="s">
        <v>2965</v>
      </c>
      <c r="U85" s="25" t="s">
        <v>3060</v>
      </c>
      <c r="V85" s="25" t="s">
        <v>3058</v>
      </c>
      <c r="W85" s="25"/>
      <c r="X85" s="25"/>
    </row>
    <row r="86" spans="1:24" hidden="1">
      <c r="A86" s="18">
        <v>85</v>
      </c>
      <c r="B86" s="17" t="s">
        <v>219</v>
      </c>
      <c r="C86" s="17" t="s">
        <v>220</v>
      </c>
      <c r="D86" s="17" t="s">
        <v>7</v>
      </c>
      <c r="E86" s="17" t="s">
        <v>8</v>
      </c>
      <c r="F86" s="17">
        <v>0</v>
      </c>
      <c r="G86" s="17">
        <v>0</v>
      </c>
      <c r="H86" s="17">
        <v>0</v>
      </c>
      <c r="I86" s="17">
        <v>0</v>
      </c>
      <c r="J86" s="17">
        <v>0</v>
      </c>
      <c r="K86" s="17">
        <v>0</v>
      </c>
      <c r="L86" s="17">
        <v>0</v>
      </c>
      <c r="M86" s="17">
        <v>0</v>
      </c>
      <c r="N86" s="17">
        <v>0</v>
      </c>
      <c r="O86" s="17">
        <v>0</v>
      </c>
      <c r="P86" s="17">
        <v>0</v>
      </c>
      <c r="Q86" s="17">
        <v>0</v>
      </c>
      <c r="R86" s="17">
        <v>0</v>
      </c>
      <c r="S86" s="17"/>
      <c r="T86" s="17" t="s">
        <v>2965</v>
      </c>
      <c r="U86" s="17" t="s">
        <v>3060</v>
      </c>
      <c r="V86" s="17" t="s">
        <v>3058</v>
      </c>
      <c r="W86" s="17"/>
      <c r="X86" s="17"/>
    </row>
    <row r="87" spans="1:24" hidden="1">
      <c r="A87" s="18">
        <v>86</v>
      </c>
      <c r="B87" s="17" t="s">
        <v>221</v>
      </c>
      <c r="C87" s="17" t="s">
        <v>222</v>
      </c>
      <c r="D87" s="17" t="s">
        <v>7</v>
      </c>
      <c r="E87" s="17" t="s">
        <v>8</v>
      </c>
      <c r="F87" s="17">
        <v>100</v>
      </c>
      <c r="G87" s="17">
        <v>0</v>
      </c>
      <c r="H87" s="17">
        <v>0</v>
      </c>
      <c r="I87" s="17">
        <v>100</v>
      </c>
      <c r="J87" s="17">
        <v>0</v>
      </c>
      <c r="K87" s="17">
        <v>0</v>
      </c>
      <c r="L87" s="17">
        <v>100</v>
      </c>
      <c r="M87" s="17">
        <v>0</v>
      </c>
      <c r="N87" s="17">
        <v>0</v>
      </c>
      <c r="O87" s="17">
        <v>100</v>
      </c>
      <c r="P87" s="17">
        <v>50</v>
      </c>
      <c r="Q87" s="17">
        <v>50</v>
      </c>
      <c r="R87" s="17">
        <v>0</v>
      </c>
      <c r="S87" s="17"/>
      <c r="T87" s="17" t="s">
        <v>2965</v>
      </c>
      <c r="U87" s="17" t="s">
        <v>3055</v>
      </c>
      <c r="V87" s="17" t="s">
        <v>3056</v>
      </c>
      <c r="W87" s="17"/>
      <c r="X87" s="17"/>
    </row>
    <row r="88" spans="1:24" hidden="1">
      <c r="A88" s="18">
        <v>87</v>
      </c>
      <c r="B88" s="17" t="s">
        <v>223</v>
      </c>
      <c r="C88" s="17" t="s">
        <v>224</v>
      </c>
      <c r="D88" s="17" t="s">
        <v>7</v>
      </c>
      <c r="E88" s="17" t="s">
        <v>8</v>
      </c>
      <c r="F88" s="17">
        <v>2622.5</v>
      </c>
      <c r="G88" s="17">
        <v>0</v>
      </c>
      <c r="H88" s="17">
        <v>1047.75</v>
      </c>
      <c r="I88" s="17">
        <v>1574.75</v>
      </c>
      <c r="J88" s="17">
        <v>0</v>
      </c>
      <c r="K88" s="17">
        <v>0</v>
      </c>
      <c r="L88" s="17">
        <v>1574.75</v>
      </c>
      <c r="M88" s="17">
        <v>0</v>
      </c>
      <c r="N88" s="17">
        <v>0</v>
      </c>
      <c r="O88" s="17">
        <v>1574.75</v>
      </c>
      <c r="P88" s="17">
        <v>3500</v>
      </c>
      <c r="Q88" s="17">
        <v>-1925.25</v>
      </c>
      <c r="R88" s="17">
        <v>0</v>
      </c>
      <c r="S88" s="17"/>
      <c r="T88" s="17" t="s">
        <v>2965</v>
      </c>
      <c r="U88" s="17" t="s">
        <v>3060</v>
      </c>
      <c r="V88" s="17" t="s">
        <v>3058</v>
      </c>
      <c r="W88" s="17"/>
      <c r="X88" s="17"/>
    </row>
    <row r="89" spans="1:24" hidden="1">
      <c r="A89" s="18">
        <v>88</v>
      </c>
      <c r="B89" s="17" t="s">
        <v>225</v>
      </c>
      <c r="C89" s="17" t="s">
        <v>226</v>
      </c>
      <c r="D89" s="17" t="s">
        <v>7</v>
      </c>
      <c r="E89" s="17" t="s">
        <v>8</v>
      </c>
      <c r="F89" s="17">
        <v>4468.75</v>
      </c>
      <c r="G89" s="17">
        <v>0</v>
      </c>
      <c r="H89" s="17">
        <v>0</v>
      </c>
      <c r="I89" s="17">
        <v>4468.75</v>
      </c>
      <c r="J89" s="17">
        <v>0</v>
      </c>
      <c r="K89" s="17">
        <v>0</v>
      </c>
      <c r="L89" s="17">
        <v>4468.75</v>
      </c>
      <c r="M89" s="17">
        <v>0</v>
      </c>
      <c r="N89" s="17">
        <v>0</v>
      </c>
      <c r="O89" s="17">
        <v>4468.75</v>
      </c>
      <c r="P89" s="17">
        <v>3500</v>
      </c>
      <c r="Q89" s="17">
        <v>968.75</v>
      </c>
      <c r="R89" s="17">
        <v>0</v>
      </c>
      <c r="S89" s="17"/>
      <c r="T89" s="17" t="s">
        <v>2965</v>
      </c>
      <c r="U89" s="17" t="s">
        <v>3060</v>
      </c>
      <c r="V89" s="17" t="s">
        <v>3058</v>
      </c>
      <c r="W89" s="17"/>
      <c r="X89" s="17"/>
    </row>
    <row r="90" spans="1:24" hidden="1">
      <c r="A90" s="18">
        <v>89</v>
      </c>
      <c r="B90" s="17" t="s">
        <v>227</v>
      </c>
      <c r="C90" s="17" t="s">
        <v>228</v>
      </c>
      <c r="D90" s="17" t="s">
        <v>7</v>
      </c>
      <c r="E90" s="17" t="s">
        <v>8</v>
      </c>
      <c r="F90" s="17">
        <v>251.9</v>
      </c>
      <c r="G90" s="17">
        <v>5271.55</v>
      </c>
      <c r="H90" s="17">
        <v>0</v>
      </c>
      <c r="I90" s="17">
        <v>5523.45</v>
      </c>
      <c r="J90" s="17">
        <v>0</v>
      </c>
      <c r="K90" s="17">
        <v>0</v>
      </c>
      <c r="L90" s="17">
        <v>5523.45</v>
      </c>
      <c r="M90" s="17">
        <v>0</v>
      </c>
      <c r="N90" s="17">
        <v>0</v>
      </c>
      <c r="O90" s="17">
        <v>5523.45</v>
      </c>
      <c r="P90" s="17">
        <v>1000</v>
      </c>
      <c r="Q90" s="17">
        <v>4523.45</v>
      </c>
      <c r="R90" s="17">
        <v>3000</v>
      </c>
      <c r="S90" s="17"/>
      <c r="T90" s="17" t="s">
        <v>2965</v>
      </c>
      <c r="U90" s="17" t="s">
        <v>3060</v>
      </c>
      <c r="V90" s="17" t="s">
        <v>3058</v>
      </c>
      <c r="W90" s="17"/>
      <c r="X90" s="17"/>
    </row>
    <row r="91" spans="1:24" hidden="1">
      <c r="A91" s="18">
        <v>90</v>
      </c>
      <c r="B91" s="17" t="s">
        <v>229</v>
      </c>
      <c r="C91" s="17" t="s">
        <v>230</v>
      </c>
      <c r="D91" s="17" t="s">
        <v>7</v>
      </c>
      <c r="E91" s="17" t="s">
        <v>8</v>
      </c>
      <c r="F91" s="17">
        <v>0</v>
      </c>
      <c r="G91" s="17">
        <v>0</v>
      </c>
      <c r="H91" s="17">
        <v>0</v>
      </c>
      <c r="I91" s="17">
        <v>0</v>
      </c>
      <c r="J91" s="17">
        <v>0</v>
      </c>
      <c r="K91" s="17">
        <v>0</v>
      </c>
      <c r="L91" s="17">
        <v>0</v>
      </c>
      <c r="M91" s="17">
        <v>0</v>
      </c>
      <c r="N91" s="17">
        <v>0</v>
      </c>
      <c r="O91" s="17">
        <v>0</v>
      </c>
      <c r="P91" s="17">
        <v>0</v>
      </c>
      <c r="Q91" s="17">
        <v>0</v>
      </c>
      <c r="R91" s="17">
        <v>0</v>
      </c>
      <c r="S91" s="17"/>
      <c r="T91" s="17" t="s">
        <v>2965</v>
      </c>
      <c r="U91" s="17" t="s">
        <v>3060</v>
      </c>
      <c r="V91" s="17" t="s">
        <v>3058</v>
      </c>
      <c r="W91" s="17"/>
      <c r="X91" s="17"/>
    </row>
    <row r="92" spans="1:24" s="40" customFormat="1" hidden="1">
      <c r="A92" s="26">
        <v>91</v>
      </c>
      <c r="B92" s="25" t="s">
        <v>231</v>
      </c>
      <c r="C92" s="25" t="s">
        <v>232</v>
      </c>
      <c r="D92" s="25" t="s">
        <v>7</v>
      </c>
      <c r="E92" s="25" t="s">
        <v>8</v>
      </c>
      <c r="F92" s="25">
        <v>624.20000000000005</v>
      </c>
      <c r="G92" s="25">
        <v>0</v>
      </c>
      <c r="H92" s="25">
        <v>624.20000000000005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25">
        <v>0</v>
      </c>
      <c r="P92" s="25">
        <v>500</v>
      </c>
      <c r="Q92" s="25">
        <v>-500</v>
      </c>
      <c r="R92" s="25">
        <v>0</v>
      </c>
      <c r="S92" s="25"/>
      <c r="T92" s="25" t="s">
        <v>2965</v>
      </c>
      <c r="U92" s="25" t="s">
        <v>3060</v>
      </c>
      <c r="V92" s="25" t="s">
        <v>3058</v>
      </c>
      <c r="W92" s="25"/>
      <c r="X92" s="25"/>
    </row>
    <row r="93" spans="1:24" hidden="1">
      <c r="A93" s="18">
        <v>92</v>
      </c>
      <c r="B93" s="17" t="s">
        <v>2225</v>
      </c>
      <c r="C93" s="17" t="s">
        <v>2226</v>
      </c>
      <c r="D93" s="17" t="s">
        <v>17</v>
      </c>
      <c r="E93" s="17" t="s">
        <v>8</v>
      </c>
      <c r="F93" s="17">
        <v>685</v>
      </c>
      <c r="G93" s="17">
        <v>1000</v>
      </c>
      <c r="H93" s="17">
        <v>675</v>
      </c>
      <c r="I93" s="17">
        <v>1010</v>
      </c>
      <c r="J93" s="17">
        <v>0</v>
      </c>
      <c r="K93" s="17">
        <v>0</v>
      </c>
      <c r="L93" s="17">
        <v>1010</v>
      </c>
      <c r="M93" s="17">
        <v>0</v>
      </c>
      <c r="N93" s="17">
        <v>0</v>
      </c>
      <c r="O93" s="17">
        <v>1010</v>
      </c>
      <c r="P93" s="17">
        <v>500</v>
      </c>
      <c r="Q93" s="17">
        <v>510</v>
      </c>
      <c r="R93" s="17">
        <v>1000</v>
      </c>
      <c r="S93" s="17"/>
      <c r="T93" s="17" t="s">
        <v>2991</v>
      </c>
      <c r="U93" s="17" t="s">
        <v>3057</v>
      </c>
      <c r="V93" s="17" t="s">
        <v>3056</v>
      </c>
      <c r="W93" s="17"/>
      <c r="X93" s="17"/>
    </row>
    <row r="94" spans="1:24" hidden="1">
      <c r="A94" s="18">
        <v>93</v>
      </c>
      <c r="B94" s="17" t="s">
        <v>235</v>
      </c>
      <c r="C94" s="17" t="s">
        <v>236</v>
      </c>
      <c r="D94" s="17" t="s">
        <v>17</v>
      </c>
      <c r="E94" s="17" t="s">
        <v>8</v>
      </c>
      <c r="F94" s="17">
        <v>246</v>
      </c>
      <c r="G94" s="17">
        <v>0</v>
      </c>
      <c r="H94" s="17">
        <v>0</v>
      </c>
      <c r="I94" s="17">
        <v>246</v>
      </c>
      <c r="J94" s="17">
        <v>0</v>
      </c>
      <c r="K94" s="17">
        <v>0</v>
      </c>
      <c r="L94" s="17">
        <v>246</v>
      </c>
      <c r="M94" s="17">
        <v>0</v>
      </c>
      <c r="N94" s="17">
        <v>0</v>
      </c>
      <c r="O94" s="17">
        <v>246</v>
      </c>
      <c r="P94" s="17">
        <v>100</v>
      </c>
      <c r="Q94" s="17">
        <v>146</v>
      </c>
      <c r="R94" s="17">
        <v>0</v>
      </c>
      <c r="S94" s="17"/>
      <c r="T94" s="17" t="s">
        <v>2972</v>
      </c>
      <c r="U94" s="17" t="s">
        <v>3060</v>
      </c>
      <c r="V94" s="17" t="s">
        <v>3058</v>
      </c>
      <c r="W94" s="17"/>
      <c r="X94" s="17"/>
    </row>
    <row r="95" spans="1:24" hidden="1">
      <c r="A95" s="18">
        <v>94</v>
      </c>
      <c r="B95" s="17" t="s">
        <v>241</v>
      </c>
      <c r="C95" s="17" t="s">
        <v>242</v>
      </c>
      <c r="D95" s="17" t="s">
        <v>17</v>
      </c>
      <c r="E95" s="17" t="s">
        <v>8</v>
      </c>
      <c r="F95" s="17">
        <v>7</v>
      </c>
      <c r="G95" s="17">
        <v>0</v>
      </c>
      <c r="H95" s="17">
        <v>0</v>
      </c>
      <c r="I95" s="17">
        <v>7</v>
      </c>
      <c r="J95" s="17">
        <v>0</v>
      </c>
      <c r="K95" s="17">
        <v>0</v>
      </c>
      <c r="L95" s="17">
        <v>7</v>
      </c>
      <c r="M95" s="17">
        <v>0</v>
      </c>
      <c r="N95" s="17">
        <v>0</v>
      </c>
      <c r="O95" s="17">
        <v>7</v>
      </c>
      <c r="P95" s="17">
        <v>0</v>
      </c>
      <c r="Q95" s="17">
        <v>7</v>
      </c>
      <c r="R95" s="17">
        <v>0</v>
      </c>
      <c r="S95" s="17"/>
      <c r="T95" s="17" t="s">
        <v>2982</v>
      </c>
      <c r="U95" s="17" t="s">
        <v>3060</v>
      </c>
      <c r="V95" s="17" t="s">
        <v>3058</v>
      </c>
      <c r="W95" s="17"/>
      <c r="X95" s="17"/>
    </row>
    <row r="96" spans="1:24" hidden="1">
      <c r="A96" s="18">
        <v>95</v>
      </c>
      <c r="B96" s="17" t="s">
        <v>2783</v>
      </c>
      <c r="C96" s="17" t="s">
        <v>2784</v>
      </c>
      <c r="D96" s="17" t="s">
        <v>7</v>
      </c>
      <c r="E96" s="17" t="s">
        <v>8</v>
      </c>
      <c r="F96" s="17">
        <v>85400</v>
      </c>
      <c r="G96" s="17">
        <v>0</v>
      </c>
      <c r="H96" s="17">
        <v>11400</v>
      </c>
      <c r="I96" s="17">
        <v>74000</v>
      </c>
      <c r="J96" s="17">
        <v>0</v>
      </c>
      <c r="K96" s="17">
        <v>0</v>
      </c>
      <c r="L96" s="17">
        <v>74000</v>
      </c>
      <c r="M96" s="17">
        <v>0</v>
      </c>
      <c r="N96" s="17">
        <v>0</v>
      </c>
      <c r="O96" s="17">
        <v>74000</v>
      </c>
      <c r="P96" s="17">
        <v>10000</v>
      </c>
      <c r="Q96" s="17">
        <v>64000</v>
      </c>
      <c r="R96" s="17">
        <v>0</v>
      </c>
      <c r="S96" s="17"/>
      <c r="T96" s="17" t="s">
        <v>2972</v>
      </c>
      <c r="U96" s="17" t="s">
        <v>3057</v>
      </c>
      <c r="V96" s="17" t="s">
        <v>3056</v>
      </c>
      <c r="W96" s="17"/>
      <c r="X96" s="17"/>
    </row>
    <row r="97" spans="1:24" hidden="1">
      <c r="A97" s="18">
        <v>96</v>
      </c>
      <c r="B97" s="17" t="s">
        <v>2787</v>
      </c>
      <c r="C97" s="17" t="s">
        <v>2788</v>
      </c>
      <c r="D97" s="17" t="s">
        <v>7</v>
      </c>
      <c r="E97" s="17" t="s">
        <v>8</v>
      </c>
      <c r="F97" s="17">
        <v>23900</v>
      </c>
      <c r="G97" s="17">
        <v>15000</v>
      </c>
      <c r="H97" s="17">
        <v>5500</v>
      </c>
      <c r="I97" s="17">
        <v>33400</v>
      </c>
      <c r="J97" s="17">
        <v>0</v>
      </c>
      <c r="K97" s="17">
        <v>0</v>
      </c>
      <c r="L97" s="17">
        <v>33400</v>
      </c>
      <c r="M97" s="17">
        <v>0</v>
      </c>
      <c r="N97" s="17">
        <v>0</v>
      </c>
      <c r="O97" s="17">
        <v>33400</v>
      </c>
      <c r="P97" s="17">
        <v>20000</v>
      </c>
      <c r="Q97" s="17">
        <v>13400</v>
      </c>
      <c r="R97" s="17">
        <v>25000</v>
      </c>
      <c r="S97" s="17"/>
      <c r="T97" s="17" t="s">
        <v>2972</v>
      </c>
      <c r="U97" s="17" t="s">
        <v>3057</v>
      </c>
      <c r="V97" s="17" t="s">
        <v>3056</v>
      </c>
      <c r="W97" s="17"/>
      <c r="X97" s="17"/>
    </row>
    <row r="98" spans="1:24" hidden="1">
      <c r="A98" s="18">
        <v>97</v>
      </c>
      <c r="B98" s="17" t="s">
        <v>3156</v>
      </c>
      <c r="C98" s="17" t="s">
        <v>3157</v>
      </c>
      <c r="D98" s="17" t="s">
        <v>7</v>
      </c>
      <c r="E98" s="17" t="s">
        <v>8</v>
      </c>
      <c r="F98" s="17">
        <v>1440</v>
      </c>
      <c r="G98" s="17">
        <v>900</v>
      </c>
      <c r="H98" s="17">
        <v>1440</v>
      </c>
      <c r="I98" s="17">
        <v>900</v>
      </c>
      <c r="J98" s="17">
        <v>0</v>
      </c>
      <c r="K98" s="17">
        <v>0</v>
      </c>
      <c r="L98" s="17">
        <v>900</v>
      </c>
      <c r="M98" s="17">
        <v>0</v>
      </c>
      <c r="N98" s="17">
        <v>0</v>
      </c>
      <c r="O98" s="17">
        <v>900</v>
      </c>
      <c r="P98" s="17">
        <v>540</v>
      </c>
      <c r="Q98" s="17">
        <v>360</v>
      </c>
      <c r="R98" s="17">
        <v>0</v>
      </c>
      <c r="S98" s="17"/>
      <c r="T98" s="17" t="s">
        <v>2972</v>
      </c>
      <c r="U98" s="17" t="s">
        <v>3057</v>
      </c>
      <c r="V98" s="17" t="s">
        <v>3056</v>
      </c>
      <c r="W98" s="17"/>
      <c r="X98" s="17"/>
    </row>
    <row r="99" spans="1:24" hidden="1">
      <c r="A99" s="18">
        <v>98</v>
      </c>
      <c r="B99" s="17" t="s">
        <v>3158</v>
      </c>
      <c r="C99" s="17" t="s">
        <v>3159</v>
      </c>
      <c r="D99" s="17" t="s">
        <v>7</v>
      </c>
      <c r="E99" s="17" t="s">
        <v>8</v>
      </c>
      <c r="F99" s="17">
        <v>1620</v>
      </c>
      <c r="G99" s="17">
        <v>2160</v>
      </c>
      <c r="H99" s="17">
        <v>1440</v>
      </c>
      <c r="I99" s="17">
        <v>2340</v>
      </c>
      <c r="J99" s="17">
        <v>0</v>
      </c>
      <c r="K99" s="17">
        <v>0</v>
      </c>
      <c r="L99" s="17">
        <v>2340</v>
      </c>
      <c r="M99" s="17">
        <v>0</v>
      </c>
      <c r="N99" s="17">
        <v>0</v>
      </c>
      <c r="O99" s="17">
        <v>2340</v>
      </c>
      <c r="P99" s="17">
        <v>540</v>
      </c>
      <c r="Q99" s="17">
        <v>1800</v>
      </c>
      <c r="R99" s="17">
        <v>2160</v>
      </c>
      <c r="S99" s="17"/>
      <c r="T99" s="17" t="s">
        <v>2972</v>
      </c>
      <c r="U99" s="17" t="s">
        <v>3057</v>
      </c>
      <c r="V99" s="17" t="s">
        <v>3056</v>
      </c>
      <c r="W99" s="17"/>
      <c r="X99" s="17"/>
    </row>
    <row r="100" spans="1:24" hidden="1">
      <c r="A100" s="18">
        <v>99</v>
      </c>
      <c r="B100" s="17" t="s">
        <v>2927</v>
      </c>
      <c r="C100" s="17" t="s">
        <v>3037</v>
      </c>
      <c r="D100" s="17" t="s">
        <v>17</v>
      </c>
      <c r="E100" s="17" t="s">
        <v>8</v>
      </c>
      <c r="F100" s="17">
        <v>595</v>
      </c>
      <c r="G100" s="17">
        <v>0</v>
      </c>
      <c r="H100" s="17">
        <v>0</v>
      </c>
      <c r="I100" s="17">
        <v>595</v>
      </c>
      <c r="J100" s="17">
        <v>0</v>
      </c>
      <c r="K100" s="17">
        <v>0</v>
      </c>
      <c r="L100" s="17">
        <v>595</v>
      </c>
      <c r="M100" s="17">
        <v>0</v>
      </c>
      <c r="N100" s="17">
        <v>0</v>
      </c>
      <c r="O100" s="17">
        <v>595</v>
      </c>
      <c r="P100" s="17">
        <v>200</v>
      </c>
      <c r="Q100" s="17">
        <v>395</v>
      </c>
      <c r="R100" s="17">
        <v>0</v>
      </c>
      <c r="S100" s="17"/>
      <c r="T100" s="17" t="s">
        <v>2972</v>
      </c>
      <c r="U100" s="17" t="s">
        <v>3057</v>
      </c>
      <c r="V100" s="17" t="s">
        <v>3058</v>
      </c>
      <c r="W100" s="17"/>
      <c r="X100" s="17"/>
    </row>
    <row r="101" spans="1:24" hidden="1">
      <c r="A101" s="18">
        <v>100</v>
      </c>
      <c r="B101" s="17" t="s">
        <v>3160</v>
      </c>
      <c r="C101" s="17" t="s">
        <v>3161</v>
      </c>
      <c r="D101" s="17" t="s">
        <v>17</v>
      </c>
      <c r="E101" s="17" t="s">
        <v>8</v>
      </c>
      <c r="F101" s="17">
        <v>49</v>
      </c>
      <c r="G101" s="17">
        <v>0</v>
      </c>
      <c r="H101" s="17">
        <v>0</v>
      </c>
      <c r="I101" s="17">
        <v>49</v>
      </c>
      <c r="J101" s="17">
        <v>0</v>
      </c>
      <c r="K101" s="17">
        <v>0</v>
      </c>
      <c r="L101" s="17">
        <v>49</v>
      </c>
      <c r="M101" s="17">
        <v>0</v>
      </c>
      <c r="N101" s="17">
        <v>0</v>
      </c>
      <c r="O101" s="17">
        <v>49</v>
      </c>
      <c r="P101" s="17">
        <v>20</v>
      </c>
      <c r="Q101" s="17">
        <v>29</v>
      </c>
      <c r="R101" s="17">
        <v>0</v>
      </c>
      <c r="S101" s="17"/>
      <c r="T101" s="17" t="s">
        <v>2974</v>
      </c>
      <c r="U101" s="17" t="s">
        <v>3057</v>
      </c>
      <c r="V101" s="17" t="s">
        <v>3056</v>
      </c>
      <c r="W101" s="17"/>
      <c r="X101" s="17"/>
    </row>
    <row r="102" spans="1:24" hidden="1">
      <c r="A102" s="18">
        <v>101</v>
      </c>
      <c r="B102" s="17" t="s">
        <v>261</v>
      </c>
      <c r="C102" s="17" t="s">
        <v>262</v>
      </c>
      <c r="D102" s="17" t="s">
        <v>17</v>
      </c>
      <c r="E102" s="17" t="s">
        <v>8</v>
      </c>
      <c r="F102" s="17">
        <v>228</v>
      </c>
      <c r="G102" s="17">
        <v>0</v>
      </c>
      <c r="H102" s="17">
        <v>46</v>
      </c>
      <c r="I102" s="17">
        <v>182</v>
      </c>
      <c r="J102" s="17">
        <v>0</v>
      </c>
      <c r="K102" s="17">
        <v>0</v>
      </c>
      <c r="L102" s="17">
        <v>182</v>
      </c>
      <c r="M102" s="17">
        <v>0</v>
      </c>
      <c r="N102" s="17">
        <v>0</v>
      </c>
      <c r="O102" s="17">
        <v>182</v>
      </c>
      <c r="P102" s="17">
        <v>100</v>
      </c>
      <c r="Q102" s="17">
        <v>82</v>
      </c>
      <c r="R102" s="17">
        <v>0</v>
      </c>
      <c r="S102" s="17"/>
      <c r="T102" s="17" t="s">
        <v>2972</v>
      </c>
      <c r="U102" s="17" t="s">
        <v>3060</v>
      </c>
      <c r="V102" s="17" t="s">
        <v>3058</v>
      </c>
      <c r="W102" s="17"/>
      <c r="X102" s="17"/>
    </row>
    <row r="103" spans="1:24" hidden="1">
      <c r="A103" s="18">
        <v>102</v>
      </c>
      <c r="B103" s="17" t="s">
        <v>265</v>
      </c>
      <c r="C103" s="17" t="s">
        <v>266</v>
      </c>
      <c r="D103" s="17" t="s">
        <v>17</v>
      </c>
      <c r="E103" s="17" t="s">
        <v>8</v>
      </c>
      <c r="F103" s="17">
        <v>296</v>
      </c>
      <c r="G103" s="17">
        <v>0</v>
      </c>
      <c r="H103" s="17">
        <v>0</v>
      </c>
      <c r="I103" s="17">
        <v>296</v>
      </c>
      <c r="J103" s="17">
        <v>0</v>
      </c>
      <c r="K103" s="17">
        <v>0</v>
      </c>
      <c r="L103" s="17">
        <v>296</v>
      </c>
      <c r="M103" s="17">
        <v>0</v>
      </c>
      <c r="N103" s="17">
        <v>0</v>
      </c>
      <c r="O103" s="17">
        <v>296</v>
      </c>
      <c r="P103" s="17">
        <v>100</v>
      </c>
      <c r="Q103" s="17">
        <v>196</v>
      </c>
      <c r="R103" s="17">
        <v>0</v>
      </c>
      <c r="S103" s="17"/>
      <c r="T103" s="17" t="s">
        <v>2982</v>
      </c>
      <c r="U103" s="17" t="s">
        <v>3060</v>
      </c>
      <c r="V103" s="17" t="s">
        <v>3058</v>
      </c>
      <c r="W103" s="17"/>
      <c r="X103" s="17"/>
    </row>
    <row r="104" spans="1:24" hidden="1">
      <c r="A104" s="18">
        <v>103</v>
      </c>
      <c r="B104" s="17" t="s">
        <v>269</v>
      </c>
      <c r="C104" s="17" t="s">
        <v>270</v>
      </c>
      <c r="D104" s="17" t="s">
        <v>17</v>
      </c>
      <c r="E104" s="17" t="s">
        <v>8</v>
      </c>
      <c r="F104" s="17">
        <v>221</v>
      </c>
      <c r="G104" s="17">
        <v>0</v>
      </c>
      <c r="H104" s="17">
        <v>0</v>
      </c>
      <c r="I104" s="17">
        <v>221</v>
      </c>
      <c r="J104" s="17">
        <v>0</v>
      </c>
      <c r="K104" s="17">
        <v>0</v>
      </c>
      <c r="L104" s="17">
        <v>221</v>
      </c>
      <c r="M104" s="17">
        <v>0</v>
      </c>
      <c r="N104" s="17">
        <v>0</v>
      </c>
      <c r="O104" s="17">
        <v>221</v>
      </c>
      <c r="P104" s="17">
        <v>100</v>
      </c>
      <c r="Q104" s="17">
        <v>121</v>
      </c>
      <c r="R104" s="17">
        <v>0</v>
      </c>
      <c r="S104" s="17"/>
      <c r="T104" s="17" t="s">
        <v>2982</v>
      </c>
      <c r="U104" s="17" t="s">
        <v>3060</v>
      </c>
      <c r="V104" s="17" t="s">
        <v>3058</v>
      </c>
      <c r="W104" s="17"/>
      <c r="X104" s="17"/>
    </row>
    <row r="105" spans="1:24" hidden="1">
      <c r="A105" s="18">
        <v>104</v>
      </c>
      <c r="B105" s="17" t="s">
        <v>271</v>
      </c>
      <c r="C105" s="17" t="s">
        <v>272</v>
      </c>
      <c r="D105" s="17" t="s">
        <v>17</v>
      </c>
      <c r="E105" s="17" t="s">
        <v>8</v>
      </c>
      <c r="F105" s="17">
        <v>283</v>
      </c>
      <c r="G105" s="17">
        <v>0</v>
      </c>
      <c r="H105" s="17">
        <v>0</v>
      </c>
      <c r="I105" s="17">
        <v>283</v>
      </c>
      <c r="J105" s="17">
        <v>0</v>
      </c>
      <c r="K105" s="17">
        <v>0</v>
      </c>
      <c r="L105" s="17">
        <v>283</v>
      </c>
      <c r="M105" s="17">
        <v>0</v>
      </c>
      <c r="N105" s="17">
        <v>0</v>
      </c>
      <c r="O105" s="17">
        <v>283</v>
      </c>
      <c r="P105" s="17">
        <v>100</v>
      </c>
      <c r="Q105" s="17">
        <v>183</v>
      </c>
      <c r="R105" s="17">
        <v>0</v>
      </c>
      <c r="S105" s="17"/>
      <c r="T105" s="17" t="s">
        <v>2982</v>
      </c>
      <c r="U105" s="17" t="s">
        <v>3060</v>
      </c>
      <c r="V105" s="17" t="s">
        <v>3058</v>
      </c>
      <c r="W105" s="17"/>
      <c r="X105" s="17"/>
    </row>
    <row r="106" spans="1:24" hidden="1">
      <c r="A106" s="18">
        <v>105</v>
      </c>
      <c r="B106" s="17" t="s">
        <v>273</v>
      </c>
      <c r="C106" s="17" t="s">
        <v>274</v>
      </c>
      <c r="D106" s="17" t="s">
        <v>17</v>
      </c>
      <c r="E106" s="17" t="s">
        <v>8</v>
      </c>
      <c r="F106" s="17">
        <v>282</v>
      </c>
      <c r="G106" s="17">
        <v>0</v>
      </c>
      <c r="H106" s="17">
        <v>0</v>
      </c>
      <c r="I106" s="17">
        <v>282</v>
      </c>
      <c r="J106" s="17">
        <v>0</v>
      </c>
      <c r="K106" s="17">
        <v>0</v>
      </c>
      <c r="L106" s="17">
        <v>282</v>
      </c>
      <c r="M106" s="17">
        <v>0</v>
      </c>
      <c r="N106" s="17">
        <v>0</v>
      </c>
      <c r="O106" s="17">
        <v>282</v>
      </c>
      <c r="P106" s="17">
        <v>100</v>
      </c>
      <c r="Q106" s="17">
        <v>182</v>
      </c>
      <c r="R106" s="17">
        <v>0</v>
      </c>
      <c r="S106" s="17"/>
      <c r="T106" s="17" t="s">
        <v>2982</v>
      </c>
      <c r="U106" s="17" t="s">
        <v>3060</v>
      </c>
      <c r="V106" s="17" t="s">
        <v>3058</v>
      </c>
      <c r="W106" s="17"/>
      <c r="X106" s="17"/>
    </row>
    <row r="107" spans="1:24" hidden="1">
      <c r="A107" s="18">
        <v>106</v>
      </c>
      <c r="B107" s="17" t="s">
        <v>3162</v>
      </c>
      <c r="C107" s="17" t="s">
        <v>3163</v>
      </c>
      <c r="D107" s="17" t="s">
        <v>17</v>
      </c>
      <c r="E107" s="17" t="s">
        <v>8</v>
      </c>
      <c r="F107" s="17">
        <v>54</v>
      </c>
      <c r="G107" s="17">
        <v>34</v>
      </c>
      <c r="H107" s="17">
        <v>4</v>
      </c>
      <c r="I107" s="17">
        <v>84</v>
      </c>
      <c r="J107" s="17">
        <v>0</v>
      </c>
      <c r="K107" s="17">
        <v>0</v>
      </c>
      <c r="L107" s="17">
        <v>84</v>
      </c>
      <c r="M107" s="17">
        <v>0</v>
      </c>
      <c r="N107" s="17">
        <v>0</v>
      </c>
      <c r="O107" s="17">
        <v>84</v>
      </c>
      <c r="P107" s="17">
        <v>20</v>
      </c>
      <c r="Q107" s="17">
        <v>64</v>
      </c>
      <c r="R107" s="17">
        <v>0</v>
      </c>
      <c r="S107" s="17"/>
      <c r="T107" s="17" t="s">
        <v>2974</v>
      </c>
      <c r="U107" s="17" t="s">
        <v>3057</v>
      </c>
      <c r="V107" s="17" t="s">
        <v>3056</v>
      </c>
      <c r="W107" s="17"/>
      <c r="X107" s="17"/>
    </row>
    <row r="108" spans="1:24" hidden="1">
      <c r="A108" s="18">
        <v>107</v>
      </c>
      <c r="B108" s="17" t="s">
        <v>31</v>
      </c>
      <c r="C108" s="17" t="s">
        <v>32</v>
      </c>
      <c r="D108" s="17" t="s">
        <v>20</v>
      </c>
      <c r="E108" s="17" t="s">
        <v>8</v>
      </c>
      <c r="F108" s="17">
        <v>1936</v>
      </c>
      <c r="G108" s="17">
        <v>1270</v>
      </c>
      <c r="H108" s="17">
        <v>1527</v>
      </c>
      <c r="I108" s="17">
        <v>1679</v>
      </c>
      <c r="J108" s="17">
        <v>0</v>
      </c>
      <c r="K108" s="17">
        <v>0</v>
      </c>
      <c r="L108" s="17">
        <v>1679</v>
      </c>
      <c r="M108" s="17">
        <v>0</v>
      </c>
      <c r="N108" s="17">
        <v>0</v>
      </c>
      <c r="O108" s="17">
        <v>1679</v>
      </c>
      <c r="P108" s="17">
        <v>1500</v>
      </c>
      <c r="Q108" s="17">
        <v>179</v>
      </c>
      <c r="R108" s="17">
        <v>1250</v>
      </c>
      <c r="S108" s="17"/>
      <c r="T108" s="17" t="s">
        <v>2974</v>
      </c>
      <c r="U108" s="17" t="s">
        <v>3057</v>
      </c>
      <c r="V108" s="17" t="s">
        <v>3056</v>
      </c>
      <c r="W108" s="17"/>
      <c r="X108" s="17"/>
    </row>
    <row r="109" spans="1:24" hidden="1">
      <c r="A109" s="18">
        <v>108</v>
      </c>
      <c r="B109" s="17" t="s">
        <v>283</v>
      </c>
      <c r="C109" s="17" t="s">
        <v>284</v>
      </c>
      <c r="D109" s="17" t="s">
        <v>17</v>
      </c>
      <c r="E109" s="17" t="s">
        <v>8</v>
      </c>
      <c r="F109" s="17">
        <v>310</v>
      </c>
      <c r="G109" s="17">
        <v>102</v>
      </c>
      <c r="H109" s="17">
        <v>175</v>
      </c>
      <c r="I109" s="17">
        <v>237</v>
      </c>
      <c r="J109" s="17">
        <v>0</v>
      </c>
      <c r="K109" s="17">
        <v>0</v>
      </c>
      <c r="L109" s="17">
        <v>237</v>
      </c>
      <c r="M109" s="17">
        <v>0</v>
      </c>
      <c r="N109" s="17">
        <v>0</v>
      </c>
      <c r="O109" s="17">
        <v>237</v>
      </c>
      <c r="P109" s="17">
        <v>100</v>
      </c>
      <c r="Q109" s="17">
        <v>137</v>
      </c>
      <c r="R109" s="17">
        <v>0</v>
      </c>
      <c r="S109" s="17"/>
      <c r="T109" s="17" t="s">
        <v>2972</v>
      </c>
      <c r="U109" s="17" t="s">
        <v>3060</v>
      </c>
      <c r="V109" s="17" t="s">
        <v>3058</v>
      </c>
      <c r="W109" s="17"/>
      <c r="X109" s="17"/>
    </row>
    <row r="110" spans="1:24" hidden="1">
      <c r="A110" s="18">
        <v>109</v>
      </c>
      <c r="B110" s="17" t="s">
        <v>285</v>
      </c>
      <c r="C110" s="17" t="s">
        <v>286</v>
      </c>
      <c r="D110" s="17" t="s">
        <v>17</v>
      </c>
      <c r="E110" s="17" t="s">
        <v>8</v>
      </c>
      <c r="F110" s="17">
        <v>1900</v>
      </c>
      <c r="G110" s="17">
        <v>578</v>
      </c>
      <c r="H110" s="17">
        <v>1400</v>
      </c>
      <c r="I110" s="17">
        <v>1078</v>
      </c>
      <c r="J110" s="17">
        <v>0</v>
      </c>
      <c r="K110" s="17">
        <v>0</v>
      </c>
      <c r="L110" s="17">
        <v>1078</v>
      </c>
      <c r="M110" s="17">
        <v>0</v>
      </c>
      <c r="N110" s="17">
        <v>0</v>
      </c>
      <c r="O110" s="17">
        <v>1078</v>
      </c>
      <c r="P110" s="17">
        <v>750</v>
      </c>
      <c r="Q110" s="17">
        <v>328</v>
      </c>
      <c r="R110" s="17">
        <v>500</v>
      </c>
      <c r="S110" s="17"/>
      <c r="T110" s="17" t="s">
        <v>2998</v>
      </c>
      <c r="U110" s="17" t="s">
        <v>3060</v>
      </c>
      <c r="V110" s="17" t="s">
        <v>3058</v>
      </c>
      <c r="W110" s="17"/>
      <c r="X110" s="17"/>
    </row>
    <row r="111" spans="1:24" hidden="1">
      <c r="A111" s="18">
        <v>110</v>
      </c>
      <c r="B111" s="17" t="s">
        <v>290</v>
      </c>
      <c r="C111" s="17" t="s">
        <v>291</v>
      </c>
      <c r="D111" s="17" t="s">
        <v>17</v>
      </c>
      <c r="E111" s="17" t="s">
        <v>8</v>
      </c>
      <c r="F111" s="17">
        <v>73</v>
      </c>
      <c r="G111" s="17">
        <v>150</v>
      </c>
      <c r="H111" s="17">
        <v>40</v>
      </c>
      <c r="I111" s="17">
        <v>183</v>
      </c>
      <c r="J111" s="17">
        <v>0</v>
      </c>
      <c r="K111" s="17">
        <v>0</v>
      </c>
      <c r="L111" s="17">
        <v>183</v>
      </c>
      <c r="M111" s="17">
        <v>0</v>
      </c>
      <c r="N111" s="17">
        <v>0</v>
      </c>
      <c r="O111" s="17">
        <v>183</v>
      </c>
      <c r="P111" s="17">
        <v>30</v>
      </c>
      <c r="Q111" s="17">
        <v>153</v>
      </c>
      <c r="R111" s="17">
        <v>150</v>
      </c>
      <c r="S111" s="17"/>
      <c r="T111" s="17" t="s">
        <v>2982</v>
      </c>
      <c r="U111" s="17" t="s">
        <v>3060</v>
      </c>
      <c r="V111" s="17" t="s">
        <v>3058</v>
      </c>
      <c r="W111" s="17"/>
      <c r="X111" s="17"/>
    </row>
    <row r="112" spans="1:24" hidden="1">
      <c r="A112" s="18">
        <v>111</v>
      </c>
      <c r="B112" s="17" t="s">
        <v>296</v>
      </c>
      <c r="C112" s="17" t="s">
        <v>297</v>
      </c>
      <c r="D112" s="17" t="s">
        <v>7</v>
      </c>
      <c r="E112" s="17" t="s">
        <v>8</v>
      </c>
      <c r="F112" s="17">
        <v>50</v>
      </c>
      <c r="G112" s="17">
        <v>0</v>
      </c>
      <c r="H112" s="17">
        <v>0</v>
      </c>
      <c r="I112" s="17">
        <v>50</v>
      </c>
      <c r="J112" s="17">
        <v>0</v>
      </c>
      <c r="K112" s="17">
        <v>0</v>
      </c>
      <c r="L112" s="17">
        <v>50</v>
      </c>
      <c r="M112" s="17">
        <v>0</v>
      </c>
      <c r="N112" s="17">
        <v>0</v>
      </c>
      <c r="O112" s="17">
        <v>50</v>
      </c>
      <c r="P112" s="17">
        <v>100</v>
      </c>
      <c r="Q112" s="17">
        <v>-50</v>
      </c>
      <c r="R112" s="17">
        <v>0</v>
      </c>
      <c r="S112" s="17"/>
      <c r="T112" s="17" t="s">
        <v>2965</v>
      </c>
      <c r="U112" s="17" t="s">
        <v>3060</v>
      </c>
      <c r="V112" s="17" t="s">
        <v>3058</v>
      </c>
      <c r="W112" s="17"/>
      <c r="X112" s="17"/>
    </row>
    <row r="113" spans="1:24" hidden="1">
      <c r="A113" s="18">
        <v>112</v>
      </c>
      <c r="B113" s="17" t="s">
        <v>298</v>
      </c>
      <c r="C113" s="17" t="s">
        <v>299</v>
      </c>
      <c r="D113" s="17" t="s">
        <v>7</v>
      </c>
      <c r="E113" s="17" t="s">
        <v>8</v>
      </c>
      <c r="F113" s="17">
        <v>340</v>
      </c>
      <c r="G113" s="17">
        <v>0</v>
      </c>
      <c r="H113" s="17">
        <v>0</v>
      </c>
      <c r="I113" s="17">
        <v>340</v>
      </c>
      <c r="J113" s="17">
        <v>0</v>
      </c>
      <c r="K113" s="17">
        <v>0</v>
      </c>
      <c r="L113" s="17">
        <v>340</v>
      </c>
      <c r="M113" s="17">
        <v>0</v>
      </c>
      <c r="N113" s="17">
        <v>0</v>
      </c>
      <c r="O113" s="17">
        <v>340</v>
      </c>
      <c r="P113" s="17">
        <v>100</v>
      </c>
      <c r="Q113" s="17">
        <v>240</v>
      </c>
      <c r="R113" s="17">
        <v>0</v>
      </c>
      <c r="S113" s="17"/>
      <c r="T113" s="17" t="s">
        <v>2965</v>
      </c>
      <c r="U113" s="17" t="s">
        <v>3060</v>
      </c>
      <c r="V113" s="17" t="s">
        <v>3058</v>
      </c>
      <c r="W113" s="17"/>
      <c r="X113" s="17"/>
    </row>
    <row r="114" spans="1:24" hidden="1">
      <c r="A114" s="18">
        <v>113</v>
      </c>
      <c r="B114" s="17" t="s">
        <v>300</v>
      </c>
      <c r="C114" s="17" t="s">
        <v>301</v>
      </c>
      <c r="D114" s="17" t="s">
        <v>17</v>
      </c>
      <c r="E114" s="17" t="s">
        <v>8</v>
      </c>
      <c r="F114" s="17">
        <v>40</v>
      </c>
      <c r="G114" s="17">
        <v>0</v>
      </c>
      <c r="H114" s="17">
        <v>10</v>
      </c>
      <c r="I114" s="17">
        <v>30</v>
      </c>
      <c r="J114" s="17">
        <v>0</v>
      </c>
      <c r="K114" s="17">
        <v>0</v>
      </c>
      <c r="L114" s="17">
        <v>30</v>
      </c>
      <c r="M114" s="17">
        <v>0</v>
      </c>
      <c r="N114" s="17">
        <v>0</v>
      </c>
      <c r="O114" s="17">
        <v>30</v>
      </c>
      <c r="P114" s="17">
        <v>50</v>
      </c>
      <c r="Q114" s="17">
        <v>-20</v>
      </c>
      <c r="R114" s="17">
        <v>0</v>
      </c>
      <c r="S114" s="17"/>
      <c r="T114" s="17" t="s">
        <v>2982</v>
      </c>
      <c r="U114" s="17" t="s">
        <v>3060</v>
      </c>
      <c r="V114" s="17" t="s">
        <v>3058</v>
      </c>
      <c r="W114" s="17"/>
      <c r="X114" s="17"/>
    </row>
    <row r="115" spans="1:24" hidden="1">
      <c r="A115" s="18">
        <v>114</v>
      </c>
      <c r="B115" s="17" t="s">
        <v>45</v>
      </c>
      <c r="C115" s="17" t="s">
        <v>46</v>
      </c>
      <c r="D115" s="17" t="s">
        <v>17</v>
      </c>
      <c r="E115" s="17" t="s">
        <v>8</v>
      </c>
      <c r="F115" s="17">
        <v>100</v>
      </c>
      <c r="G115" s="17">
        <v>0</v>
      </c>
      <c r="H115" s="17">
        <v>0</v>
      </c>
      <c r="I115" s="17">
        <v>100</v>
      </c>
      <c r="J115" s="17">
        <v>0</v>
      </c>
      <c r="K115" s="17">
        <v>0</v>
      </c>
      <c r="L115" s="17">
        <v>100</v>
      </c>
      <c r="M115" s="17">
        <v>0</v>
      </c>
      <c r="N115" s="17">
        <v>0</v>
      </c>
      <c r="O115" s="17">
        <v>100</v>
      </c>
      <c r="P115" s="17">
        <v>0</v>
      </c>
      <c r="Q115" s="17">
        <v>100</v>
      </c>
      <c r="R115" s="17">
        <v>0</v>
      </c>
      <c r="S115" s="17"/>
      <c r="T115" s="17" t="s">
        <v>2991</v>
      </c>
      <c r="U115" s="17" t="s">
        <v>3057</v>
      </c>
      <c r="V115" s="17" t="s">
        <v>3056</v>
      </c>
      <c r="W115" s="17"/>
      <c r="X115" s="17"/>
    </row>
    <row r="116" spans="1:24" hidden="1">
      <c r="A116" s="18">
        <v>115</v>
      </c>
      <c r="B116" s="17" t="s">
        <v>304</v>
      </c>
      <c r="C116" s="17" t="s">
        <v>305</v>
      </c>
      <c r="D116" s="17" t="s">
        <v>7</v>
      </c>
      <c r="E116" s="17" t="s">
        <v>8</v>
      </c>
      <c r="F116" s="17">
        <v>0</v>
      </c>
      <c r="G116" s="17">
        <v>0</v>
      </c>
      <c r="H116" s="17">
        <v>0</v>
      </c>
      <c r="I116" s="17">
        <v>0</v>
      </c>
      <c r="J116" s="17">
        <v>0</v>
      </c>
      <c r="K116" s="17">
        <v>0</v>
      </c>
      <c r="L116" s="17">
        <v>0</v>
      </c>
      <c r="M116" s="17">
        <v>0</v>
      </c>
      <c r="N116" s="17">
        <v>0</v>
      </c>
      <c r="O116" s="17">
        <v>0</v>
      </c>
      <c r="P116" s="17">
        <v>0</v>
      </c>
      <c r="Q116" s="17">
        <v>0</v>
      </c>
      <c r="R116" s="17">
        <v>0</v>
      </c>
      <c r="S116" s="17"/>
      <c r="T116" s="17" t="s">
        <v>2972</v>
      </c>
      <c r="U116" s="17" t="s">
        <v>3055</v>
      </c>
      <c r="V116" s="17" t="s">
        <v>3056</v>
      </c>
      <c r="W116" s="17"/>
      <c r="X116" s="17"/>
    </row>
    <row r="117" spans="1:24" hidden="1">
      <c r="A117" s="18">
        <v>116</v>
      </c>
      <c r="B117" s="17" t="s">
        <v>306</v>
      </c>
      <c r="C117" s="17" t="s">
        <v>307</v>
      </c>
      <c r="D117" s="17" t="s">
        <v>17</v>
      </c>
      <c r="E117" s="17" t="s">
        <v>8</v>
      </c>
      <c r="F117" s="17">
        <v>230</v>
      </c>
      <c r="G117" s="17">
        <v>0</v>
      </c>
      <c r="H117" s="17">
        <v>0</v>
      </c>
      <c r="I117" s="17">
        <v>230</v>
      </c>
      <c r="J117" s="17">
        <v>0</v>
      </c>
      <c r="K117" s="17">
        <v>0</v>
      </c>
      <c r="L117" s="17">
        <v>230</v>
      </c>
      <c r="M117" s="17">
        <v>0</v>
      </c>
      <c r="N117" s="17">
        <v>0</v>
      </c>
      <c r="O117" s="17">
        <v>230</v>
      </c>
      <c r="P117" s="17">
        <v>100</v>
      </c>
      <c r="Q117" s="17">
        <v>130</v>
      </c>
      <c r="R117" s="17">
        <v>0</v>
      </c>
      <c r="S117" s="17"/>
      <c r="T117" s="17" t="s">
        <v>2972</v>
      </c>
      <c r="U117" s="17" t="s">
        <v>3055</v>
      </c>
      <c r="V117" s="17" t="s">
        <v>3056</v>
      </c>
      <c r="W117" s="17"/>
      <c r="X117" s="17"/>
    </row>
    <row r="118" spans="1:24" hidden="1">
      <c r="A118" s="18">
        <v>117</v>
      </c>
      <c r="B118" s="17" t="s">
        <v>308</v>
      </c>
      <c r="C118" s="17" t="s">
        <v>309</v>
      </c>
      <c r="D118" s="17" t="s">
        <v>17</v>
      </c>
      <c r="E118" s="17" t="s">
        <v>8</v>
      </c>
      <c r="F118" s="17">
        <v>694</v>
      </c>
      <c r="G118" s="17">
        <v>0</v>
      </c>
      <c r="H118" s="17">
        <v>0</v>
      </c>
      <c r="I118" s="17">
        <v>694</v>
      </c>
      <c r="J118" s="17">
        <v>0</v>
      </c>
      <c r="K118" s="17">
        <v>0</v>
      </c>
      <c r="L118" s="17">
        <v>694</v>
      </c>
      <c r="M118" s="17">
        <v>0</v>
      </c>
      <c r="N118" s="17">
        <v>0</v>
      </c>
      <c r="O118" s="17">
        <v>694</v>
      </c>
      <c r="P118" s="17">
        <v>100</v>
      </c>
      <c r="Q118" s="17">
        <v>594</v>
      </c>
      <c r="R118" s="17">
        <v>0</v>
      </c>
      <c r="S118" s="17"/>
      <c r="T118" s="17" t="s">
        <v>2972</v>
      </c>
      <c r="U118" s="17" t="s">
        <v>3055</v>
      </c>
      <c r="V118" s="17" t="s">
        <v>3056</v>
      </c>
      <c r="W118" s="17"/>
      <c r="X118" s="17"/>
    </row>
    <row r="119" spans="1:24" hidden="1">
      <c r="A119" s="18">
        <v>118</v>
      </c>
      <c r="B119" s="17" t="s">
        <v>310</v>
      </c>
      <c r="C119" s="17" t="s">
        <v>311</v>
      </c>
      <c r="D119" s="17" t="s">
        <v>17</v>
      </c>
      <c r="E119" s="17" t="s">
        <v>8</v>
      </c>
      <c r="F119" s="17">
        <v>0</v>
      </c>
      <c r="G119" s="17">
        <v>0</v>
      </c>
      <c r="H119" s="17">
        <v>0</v>
      </c>
      <c r="I119" s="17">
        <v>0</v>
      </c>
      <c r="J119" s="17">
        <v>0</v>
      </c>
      <c r="K119" s="17">
        <v>0</v>
      </c>
      <c r="L119" s="17">
        <v>0</v>
      </c>
      <c r="M119" s="17">
        <v>0</v>
      </c>
      <c r="N119" s="17">
        <v>0</v>
      </c>
      <c r="O119" s="17">
        <v>0</v>
      </c>
      <c r="P119" s="17">
        <v>0</v>
      </c>
      <c r="Q119" s="17">
        <v>0</v>
      </c>
      <c r="R119" s="17">
        <v>0</v>
      </c>
      <c r="S119" s="17"/>
      <c r="T119" s="17" t="s">
        <v>2972</v>
      </c>
      <c r="U119" s="17" t="s">
        <v>3055</v>
      </c>
      <c r="V119" s="17" t="s">
        <v>3056</v>
      </c>
      <c r="W119" s="17"/>
      <c r="X119" s="17"/>
    </row>
    <row r="120" spans="1:24" hidden="1">
      <c r="A120" s="18">
        <v>119</v>
      </c>
      <c r="B120" s="17" t="s">
        <v>47</v>
      </c>
      <c r="C120" s="17" t="s">
        <v>48</v>
      </c>
      <c r="D120" s="17" t="s">
        <v>20</v>
      </c>
      <c r="E120" s="17" t="s">
        <v>8</v>
      </c>
      <c r="F120" s="17">
        <v>4414.3999999999996</v>
      </c>
      <c r="G120" s="17">
        <v>0</v>
      </c>
      <c r="H120" s="17">
        <v>322.3</v>
      </c>
      <c r="I120" s="17">
        <v>4092.1</v>
      </c>
      <c r="J120" s="17">
        <v>0</v>
      </c>
      <c r="K120" s="17">
        <v>0</v>
      </c>
      <c r="L120" s="17">
        <v>4092.1</v>
      </c>
      <c r="M120" s="17">
        <v>0</v>
      </c>
      <c r="N120" s="17">
        <v>0</v>
      </c>
      <c r="O120" s="17">
        <v>4092.1</v>
      </c>
      <c r="P120" s="17">
        <v>1500</v>
      </c>
      <c r="Q120" s="17">
        <v>2592.1</v>
      </c>
      <c r="R120" s="17">
        <v>0</v>
      </c>
      <c r="S120" s="17"/>
      <c r="T120" s="17" t="s">
        <v>2991</v>
      </c>
      <c r="U120" s="17" t="s">
        <v>3057</v>
      </c>
      <c r="V120" s="17" t="s">
        <v>3056</v>
      </c>
      <c r="W120" s="17"/>
      <c r="X120" s="17"/>
    </row>
    <row r="121" spans="1:24" hidden="1">
      <c r="A121" s="18">
        <v>120</v>
      </c>
      <c r="B121" s="17" t="s">
        <v>314</v>
      </c>
      <c r="C121" s="17" t="s">
        <v>315</v>
      </c>
      <c r="D121" s="17" t="s">
        <v>17</v>
      </c>
      <c r="E121" s="17" t="s">
        <v>8</v>
      </c>
      <c r="F121" s="17">
        <v>7089</v>
      </c>
      <c r="G121" s="17">
        <v>0</v>
      </c>
      <c r="H121" s="17">
        <v>0</v>
      </c>
      <c r="I121" s="17">
        <v>7089</v>
      </c>
      <c r="J121" s="17">
        <v>0</v>
      </c>
      <c r="K121" s="17">
        <v>0</v>
      </c>
      <c r="L121" s="17">
        <v>7089</v>
      </c>
      <c r="M121" s="17">
        <v>0</v>
      </c>
      <c r="N121" s="17">
        <v>0</v>
      </c>
      <c r="O121" s="17">
        <v>7089</v>
      </c>
      <c r="P121" s="17">
        <v>1000</v>
      </c>
      <c r="Q121" s="17">
        <v>6089</v>
      </c>
      <c r="R121" s="17">
        <v>0</v>
      </c>
      <c r="S121" s="17"/>
      <c r="T121" s="17" t="s">
        <v>2991</v>
      </c>
      <c r="U121" s="17" t="s">
        <v>3060</v>
      </c>
      <c r="V121" s="17" t="s">
        <v>3058</v>
      </c>
      <c r="W121" s="17"/>
      <c r="X121" s="17"/>
    </row>
    <row r="122" spans="1:24" hidden="1">
      <c r="A122" s="18">
        <v>121</v>
      </c>
      <c r="B122" s="17" t="s">
        <v>49</v>
      </c>
      <c r="C122" s="17" t="s">
        <v>50</v>
      </c>
      <c r="D122" s="17" t="s">
        <v>20</v>
      </c>
      <c r="E122" s="17" t="s">
        <v>8</v>
      </c>
      <c r="F122" s="17">
        <v>1899.2</v>
      </c>
      <c r="G122" s="17">
        <v>0</v>
      </c>
      <c r="H122" s="17">
        <v>40</v>
      </c>
      <c r="I122" s="17">
        <v>1859.2</v>
      </c>
      <c r="J122" s="17">
        <v>0</v>
      </c>
      <c r="K122" s="17">
        <v>0</v>
      </c>
      <c r="L122" s="17">
        <v>1859.2</v>
      </c>
      <c r="M122" s="17">
        <v>0</v>
      </c>
      <c r="N122" s="17">
        <v>0</v>
      </c>
      <c r="O122" s="17">
        <v>1859.2</v>
      </c>
      <c r="P122" s="17">
        <v>1000</v>
      </c>
      <c r="Q122" s="17">
        <v>859.2</v>
      </c>
      <c r="R122" s="17">
        <v>0</v>
      </c>
      <c r="S122" s="17"/>
      <c r="T122" s="17" t="s">
        <v>2991</v>
      </c>
      <c r="U122" s="17" t="s">
        <v>3057</v>
      </c>
      <c r="V122" s="17" t="s">
        <v>3056</v>
      </c>
      <c r="W122" s="17"/>
      <c r="X122" s="17"/>
    </row>
    <row r="123" spans="1:24" s="40" customFormat="1" hidden="1">
      <c r="A123" s="26">
        <v>122</v>
      </c>
      <c r="B123" s="25" t="s">
        <v>53</v>
      </c>
      <c r="C123" s="25" t="s">
        <v>54</v>
      </c>
      <c r="D123" s="25" t="s">
        <v>20</v>
      </c>
      <c r="E123" s="25" t="s">
        <v>8</v>
      </c>
      <c r="F123" s="25">
        <v>14234.98</v>
      </c>
      <c r="G123" s="25">
        <v>17.3</v>
      </c>
      <c r="H123" s="25">
        <v>10345.156999999999</v>
      </c>
      <c r="I123" s="17">
        <v>3907.123</v>
      </c>
      <c r="J123" s="17">
        <v>0</v>
      </c>
      <c r="K123" s="17">
        <v>0</v>
      </c>
      <c r="L123" s="17">
        <v>3907.123</v>
      </c>
      <c r="M123" s="17">
        <v>0</v>
      </c>
      <c r="N123" s="17">
        <v>0</v>
      </c>
      <c r="O123" s="25">
        <v>3907.123</v>
      </c>
      <c r="P123" s="25">
        <v>15000</v>
      </c>
      <c r="Q123" s="25">
        <v>-11092.877</v>
      </c>
      <c r="R123" s="25">
        <v>4000</v>
      </c>
      <c r="S123" s="25"/>
      <c r="T123" s="25" t="s">
        <v>2991</v>
      </c>
      <c r="U123" s="25" t="s">
        <v>3057</v>
      </c>
      <c r="V123" s="25" t="s">
        <v>3056</v>
      </c>
      <c r="W123" s="25"/>
      <c r="X123" s="25"/>
    </row>
    <row r="124" spans="1:24" hidden="1">
      <c r="A124" s="18">
        <v>123</v>
      </c>
      <c r="B124" s="17" t="s">
        <v>61</v>
      </c>
      <c r="C124" s="17" t="s">
        <v>62</v>
      </c>
      <c r="D124" s="17" t="s">
        <v>7</v>
      </c>
      <c r="E124" s="17" t="s">
        <v>8</v>
      </c>
      <c r="F124" s="17">
        <v>8400</v>
      </c>
      <c r="G124" s="17">
        <v>0</v>
      </c>
      <c r="H124" s="17">
        <v>8400</v>
      </c>
      <c r="I124" s="17">
        <v>0</v>
      </c>
      <c r="J124" s="17">
        <v>0</v>
      </c>
      <c r="K124" s="17">
        <v>0</v>
      </c>
      <c r="L124" s="17">
        <v>0</v>
      </c>
      <c r="M124" s="17">
        <v>0</v>
      </c>
      <c r="N124" s="17">
        <v>0</v>
      </c>
      <c r="O124" s="17">
        <v>0</v>
      </c>
      <c r="P124" s="17">
        <v>0</v>
      </c>
      <c r="Q124" s="17">
        <v>0</v>
      </c>
      <c r="R124" s="17">
        <v>0</v>
      </c>
      <c r="S124" s="17"/>
      <c r="T124" s="17" t="s">
        <v>2972</v>
      </c>
      <c r="U124" s="17" t="s">
        <v>3057</v>
      </c>
      <c r="V124" s="17" t="s">
        <v>3056</v>
      </c>
      <c r="W124" s="17"/>
      <c r="X124" s="17"/>
    </row>
    <row r="125" spans="1:24" hidden="1">
      <c r="A125" s="18">
        <v>124</v>
      </c>
      <c r="B125" s="17" t="s">
        <v>323</v>
      </c>
      <c r="C125" s="17" t="s">
        <v>324</v>
      </c>
      <c r="D125" s="17" t="s">
        <v>17</v>
      </c>
      <c r="E125" s="17" t="s">
        <v>8</v>
      </c>
      <c r="F125" s="17">
        <v>0</v>
      </c>
      <c r="G125" s="17">
        <v>0</v>
      </c>
      <c r="H125" s="17">
        <v>0</v>
      </c>
      <c r="I125" s="17">
        <v>0</v>
      </c>
      <c r="J125" s="17">
        <v>0</v>
      </c>
      <c r="K125" s="17">
        <v>0</v>
      </c>
      <c r="L125" s="17">
        <v>0</v>
      </c>
      <c r="M125" s="17">
        <v>0</v>
      </c>
      <c r="N125" s="17">
        <v>0</v>
      </c>
      <c r="O125" s="17">
        <v>0</v>
      </c>
      <c r="P125" s="17">
        <v>250</v>
      </c>
      <c r="Q125" s="17">
        <v>-250</v>
      </c>
      <c r="R125" s="17">
        <v>0</v>
      </c>
      <c r="S125" s="17"/>
      <c r="T125" s="17" t="s">
        <v>2972</v>
      </c>
      <c r="U125" s="17" t="s">
        <v>3055</v>
      </c>
      <c r="V125" s="17" t="s">
        <v>3056</v>
      </c>
      <c r="W125" s="17"/>
      <c r="X125" s="17"/>
    </row>
    <row r="126" spans="1:24" hidden="1">
      <c r="A126" s="18">
        <v>125</v>
      </c>
      <c r="B126" s="17" t="s">
        <v>327</v>
      </c>
      <c r="C126" s="17" t="s">
        <v>328</v>
      </c>
      <c r="D126" s="17" t="s">
        <v>17</v>
      </c>
      <c r="E126" s="17" t="s">
        <v>8</v>
      </c>
      <c r="F126" s="17">
        <v>95</v>
      </c>
      <c r="G126" s="17">
        <v>0</v>
      </c>
      <c r="H126" s="17">
        <v>0</v>
      </c>
      <c r="I126" s="17">
        <v>95</v>
      </c>
      <c r="J126" s="17">
        <v>0</v>
      </c>
      <c r="K126" s="17">
        <v>0</v>
      </c>
      <c r="L126" s="17">
        <v>95</v>
      </c>
      <c r="M126" s="17">
        <v>0</v>
      </c>
      <c r="N126" s="17">
        <v>0</v>
      </c>
      <c r="O126" s="17">
        <v>95</v>
      </c>
      <c r="P126" s="17">
        <v>200</v>
      </c>
      <c r="Q126" s="17">
        <v>-105</v>
      </c>
      <c r="R126" s="17">
        <v>0</v>
      </c>
      <c r="S126" s="17"/>
      <c r="T126" s="17" t="s">
        <v>2972</v>
      </c>
      <c r="U126" s="17" t="s">
        <v>3055</v>
      </c>
      <c r="V126" s="17" t="s">
        <v>3056</v>
      </c>
      <c r="W126" s="17"/>
      <c r="X126" s="17"/>
    </row>
    <row r="127" spans="1:24" hidden="1">
      <c r="A127" s="18">
        <v>126</v>
      </c>
      <c r="B127" s="17" t="s">
        <v>63</v>
      </c>
      <c r="C127" s="17" t="s">
        <v>64</v>
      </c>
      <c r="D127" s="17" t="s">
        <v>7</v>
      </c>
      <c r="E127" s="17" t="s">
        <v>8</v>
      </c>
      <c r="F127" s="17">
        <v>0</v>
      </c>
      <c r="G127" s="17">
        <v>0</v>
      </c>
      <c r="H127" s="17">
        <v>0</v>
      </c>
      <c r="I127" s="17">
        <v>0</v>
      </c>
      <c r="J127" s="17">
        <v>0</v>
      </c>
      <c r="K127" s="17">
        <v>0</v>
      </c>
      <c r="L127" s="17">
        <v>0</v>
      </c>
      <c r="M127" s="17">
        <v>0</v>
      </c>
      <c r="N127" s="17">
        <v>0</v>
      </c>
      <c r="O127" s="17">
        <v>0</v>
      </c>
      <c r="P127" s="17">
        <v>0</v>
      </c>
      <c r="Q127" s="17">
        <v>0</v>
      </c>
      <c r="R127" s="17">
        <v>0</v>
      </c>
      <c r="S127" s="17"/>
      <c r="T127" s="17" t="s">
        <v>2972</v>
      </c>
      <c r="U127" s="17" t="s">
        <v>3057</v>
      </c>
      <c r="V127" s="17" t="s">
        <v>3056</v>
      </c>
      <c r="W127" s="17"/>
      <c r="X127" s="17"/>
    </row>
    <row r="128" spans="1:24" hidden="1">
      <c r="A128" s="18">
        <v>127</v>
      </c>
      <c r="B128" s="17" t="s">
        <v>78</v>
      </c>
      <c r="C128" s="17" t="s">
        <v>79</v>
      </c>
      <c r="D128" s="17" t="s">
        <v>17</v>
      </c>
      <c r="E128" s="17" t="s">
        <v>8</v>
      </c>
      <c r="F128" s="17">
        <v>0</v>
      </c>
      <c r="G128" s="17">
        <v>0</v>
      </c>
      <c r="H128" s="17">
        <v>0</v>
      </c>
      <c r="I128" s="17">
        <v>0</v>
      </c>
      <c r="J128" s="17">
        <v>0</v>
      </c>
      <c r="K128" s="17">
        <v>0</v>
      </c>
      <c r="L128" s="17">
        <v>0</v>
      </c>
      <c r="M128" s="17">
        <v>0</v>
      </c>
      <c r="N128" s="17">
        <v>0</v>
      </c>
      <c r="O128" s="17">
        <v>0</v>
      </c>
      <c r="P128" s="17">
        <v>0</v>
      </c>
      <c r="Q128" s="17">
        <v>0</v>
      </c>
      <c r="R128" s="17">
        <v>0</v>
      </c>
      <c r="S128" s="17"/>
      <c r="T128" s="17" t="s">
        <v>2972</v>
      </c>
      <c r="U128" s="17" t="s">
        <v>3057</v>
      </c>
      <c r="V128" s="17" t="s">
        <v>3058</v>
      </c>
      <c r="W128" s="17"/>
      <c r="X128" s="17"/>
    </row>
    <row r="129" spans="1:24" hidden="1">
      <c r="A129" s="18">
        <v>128</v>
      </c>
      <c r="B129" s="17" t="s">
        <v>333</v>
      </c>
      <c r="C129" s="17" t="s">
        <v>334</v>
      </c>
      <c r="D129" s="17" t="s">
        <v>17</v>
      </c>
      <c r="E129" s="17" t="s">
        <v>8</v>
      </c>
      <c r="F129" s="17">
        <v>233</v>
      </c>
      <c r="G129" s="17">
        <v>0</v>
      </c>
      <c r="H129" s="17">
        <v>0</v>
      </c>
      <c r="I129" s="17">
        <v>233</v>
      </c>
      <c r="J129" s="17">
        <v>0</v>
      </c>
      <c r="K129" s="17">
        <v>0</v>
      </c>
      <c r="L129" s="17">
        <v>233</v>
      </c>
      <c r="M129" s="17">
        <v>0</v>
      </c>
      <c r="N129" s="17">
        <v>0</v>
      </c>
      <c r="O129" s="17">
        <v>233</v>
      </c>
      <c r="P129" s="17">
        <v>100</v>
      </c>
      <c r="Q129" s="17">
        <v>133</v>
      </c>
      <c r="R129" s="17">
        <v>0</v>
      </c>
      <c r="S129" s="17"/>
      <c r="T129" s="17" t="s">
        <v>2972</v>
      </c>
      <c r="U129" s="17" t="s">
        <v>3055</v>
      </c>
      <c r="V129" s="17" t="s">
        <v>3056</v>
      </c>
      <c r="W129" s="17"/>
      <c r="X129" s="17"/>
    </row>
    <row r="130" spans="1:24" hidden="1">
      <c r="A130" s="18">
        <v>129</v>
      </c>
      <c r="B130" s="17" t="s">
        <v>335</v>
      </c>
      <c r="C130" s="17" t="s">
        <v>336</v>
      </c>
      <c r="D130" s="17" t="s">
        <v>17</v>
      </c>
      <c r="E130" s="17" t="s">
        <v>8</v>
      </c>
      <c r="F130" s="17">
        <v>3800</v>
      </c>
      <c r="G130" s="17">
        <v>0</v>
      </c>
      <c r="H130" s="17">
        <v>700</v>
      </c>
      <c r="I130" s="17">
        <v>3100</v>
      </c>
      <c r="J130" s="17">
        <v>0</v>
      </c>
      <c r="K130" s="17">
        <v>0</v>
      </c>
      <c r="L130" s="17">
        <v>3100</v>
      </c>
      <c r="M130" s="17">
        <v>0</v>
      </c>
      <c r="N130" s="17">
        <v>0</v>
      </c>
      <c r="O130" s="17">
        <v>3100</v>
      </c>
      <c r="P130" s="17">
        <v>2500</v>
      </c>
      <c r="Q130" s="17">
        <v>600</v>
      </c>
      <c r="R130" s="17">
        <v>0</v>
      </c>
      <c r="S130" s="17"/>
      <c r="T130" s="17" t="s">
        <v>2972</v>
      </c>
      <c r="U130" s="17" t="s">
        <v>3055</v>
      </c>
      <c r="V130" s="17" t="s">
        <v>3056</v>
      </c>
      <c r="W130" s="17"/>
      <c r="X130" s="17"/>
    </row>
    <row r="131" spans="1:24" hidden="1">
      <c r="A131" s="18">
        <v>130</v>
      </c>
      <c r="B131" s="17" t="s">
        <v>82</v>
      </c>
      <c r="C131" s="17" t="s">
        <v>83</v>
      </c>
      <c r="D131" s="17" t="s">
        <v>17</v>
      </c>
      <c r="E131" s="17" t="s">
        <v>8</v>
      </c>
      <c r="F131" s="17">
        <v>0</v>
      </c>
      <c r="G131" s="17">
        <v>0</v>
      </c>
      <c r="H131" s="17">
        <v>0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7">
        <v>0</v>
      </c>
      <c r="O131" s="17">
        <v>0</v>
      </c>
      <c r="P131" s="17">
        <v>0</v>
      </c>
      <c r="Q131" s="17">
        <v>0</v>
      </c>
      <c r="R131" s="17">
        <v>0</v>
      </c>
      <c r="S131" s="17"/>
      <c r="T131" s="17" t="s">
        <v>2972</v>
      </c>
      <c r="U131" s="17" t="s">
        <v>3057</v>
      </c>
      <c r="V131" s="17" t="s">
        <v>3058</v>
      </c>
      <c r="W131" s="17"/>
      <c r="X131" s="17"/>
    </row>
    <row r="132" spans="1:24" hidden="1">
      <c r="A132" s="18">
        <v>131</v>
      </c>
      <c r="B132" s="17" t="s">
        <v>84</v>
      </c>
      <c r="C132" s="17" t="s">
        <v>85</v>
      </c>
      <c r="D132" s="17" t="s">
        <v>17</v>
      </c>
      <c r="E132" s="17" t="s">
        <v>8</v>
      </c>
      <c r="F132" s="17">
        <v>0</v>
      </c>
      <c r="G132" s="17">
        <v>0</v>
      </c>
      <c r="H132" s="17">
        <v>0</v>
      </c>
      <c r="I132" s="17">
        <v>0</v>
      </c>
      <c r="J132" s="17">
        <v>0</v>
      </c>
      <c r="K132" s="17">
        <v>0</v>
      </c>
      <c r="L132" s="17">
        <v>0</v>
      </c>
      <c r="M132" s="17">
        <v>0</v>
      </c>
      <c r="N132" s="17">
        <v>0</v>
      </c>
      <c r="O132" s="17">
        <v>0</v>
      </c>
      <c r="P132" s="17">
        <v>0</v>
      </c>
      <c r="Q132" s="17">
        <v>0</v>
      </c>
      <c r="R132" s="17">
        <v>0</v>
      </c>
      <c r="S132" s="17"/>
      <c r="T132" s="17" t="s">
        <v>2972</v>
      </c>
      <c r="U132" s="17" t="s">
        <v>3057</v>
      </c>
      <c r="V132" s="17" t="s">
        <v>3058</v>
      </c>
      <c r="W132" s="17"/>
      <c r="X132" s="17"/>
    </row>
    <row r="133" spans="1:24" hidden="1">
      <c r="A133" s="18">
        <v>132</v>
      </c>
      <c r="B133" s="17" t="s">
        <v>343</v>
      </c>
      <c r="C133" s="17" t="s">
        <v>344</v>
      </c>
      <c r="D133" s="17" t="s">
        <v>17</v>
      </c>
      <c r="E133" s="17" t="s">
        <v>8</v>
      </c>
      <c r="F133" s="17">
        <v>23600</v>
      </c>
      <c r="G133" s="17">
        <v>25000</v>
      </c>
      <c r="H133" s="17">
        <v>20100</v>
      </c>
      <c r="I133" s="17">
        <v>28500</v>
      </c>
      <c r="J133" s="17">
        <v>0</v>
      </c>
      <c r="K133" s="17">
        <v>0</v>
      </c>
      <c r="L133" s="17">
        <v>28500</v>
      </c>
      <c r="M133" s="17">
        <v>0</v>
      </c>
      <c r="N133" s="17">
        <v>0</v>
      </c>
      <c r="O133" s="17">
        <v>28500</v>
      </c>
      <c r="P133" s="17">
        <v>10000</v>
      </c>
      <c r="Q133" s="17">
        <v>18500</v>
      </c>
      <c r="R133" s="17">
        <v>25000</v>
      </c>
      <c r="S133" s="17"/>
      <c r="T133" s="17" t="s">
        <v>2974</v>
      </c>
      <c r="U133" s="17" t="s">
        <v>3055</v>
      </c>
      <c r="V133" s="17" t="s">
        <v>3056</v>
      </c>
      <c r="W133" s="17"/>
      <c r="X133" s="17"/>
    </row>
    <row r="134" spans="1:24" hidden="1">
      <c r="A134" s="18">
        <v>133</v>
      </c>
      <c r="B134" s="17" t="s">
        <v>92</v>
      </c>
      <c r="C134" s="17" t="s">
        <v>93</v>
      </c>
      <c r="D134" s="17" t="s">
        <v>17</v>
      </c>
      <c r="E134" s="17" t="s">
        <v>8</v>
      </c>
      <c r="F134" s="17">
        <v>31250</v>
      </c>
      <c r="G134" s="17">
        <v>0</v>
      </c>
      <c r="H134" s="17">
        <v>3000</v>
      </c>
      <c r="I134" s="17">
        <v>28250</v>
      </c>
      <c r="J134" s="17">
        <v>0</v>
      </c>
      <c r="K134" s="17">
        <v>0</v>
      </c>
      <c r="L134" s="17">
        <v>28250</v>
      </c>
      <c r="M134" s="17">
        <v>0</v>
      </c>
      <c r="N134" s="17">
        <v>0</v>
      </c>
      <c r="O134" s="17">
        <v>28250</v>
      </c>
      <c r="P134" s="17">
        <v>5000</v>
      </c>
      <c r="Q134" s="17">
        <v>23250</v>
      </c>
      <c r="R134" s="17">
        <v>0</v>
      </c>
      <c r="S134" s="17"/>
      <c r="T134" s="17" t="s">
        <v>2991</v>
      </c>
      <c r="U134" s="17" t="s">
        <v>3057</v>
      </c>
      <c r="V134" s="17" t="s">
        <v>3058</v>
      </c>
      <c r="W134" s="17"/>
      <c r="X134" s="17"/>
    </row>
    <row r="135" spans="1:24" hidden="1">
      <c r="A135" s="18">
        <v>134</v>
      </c>
      <c r="B135" s="17" t="s">
        <v>349</v>
      </c>
      <c r="C135" s="17" t="s">
        <v>350</v>
      </c>
      <c r="D135" s="17" t="s">
        <v>17</v>
      </c>
      <c r="E135" s="17" t="s">
        <v>8</v>
      </c>
      <c r="F135" s="17">
        <v>141</v>
      </c>
      <c r="G135" s="17">
        <v>0</v>
      </c>
      <c r="H135" s="17">
        <v>4</v>
      </c>
      <c r="I135" s="17">
        <v>137</v>
      </c>
      <c r="J135" s="17">
        <v>0</v>
      </c>
      <c r="K135" s="17">
        <v>0</v>
      </c>
      <c r="L135" s="17">
        <v>137</v>
      </c>
      <c r="M135" s="17">
        <v>0</v>
      </c>
      <c r="N135" s="17">
        <v>0</v>
      </c>
      <c r="O135" s="17">
        <v>137</v>
      </c>
      <c r="P135" s="17">
        <v>70</v>
      </c>
      <c r="Q135" s="17">
        <v>67</v>
      </c>
      <c r="R135" s="17">
        <v>0</v>
      </c>
      <c r="S135" s="17"/>
      <c r="T135" s="17" t="s">
        <v>2982</v>
      </c>
      <c r="U135" s="17" t="s">
        <v>3060</v>
      </c>
      <c r="V135" s="17" t="s">
        <v>3058</v>
      </c>
      <c r="W135" s="17"/>
      <c r="X135" s="17"/>
    </row>
    <row r="136" spans="1:24" hidden="1">
      <c r="A136" s="18">
        <v>135</v>
      </c>
      <c r="B136" s="17" t="s">
        <v>351</v>
      </c>
      <c r="C136" s="17" t="s">
        <v>352</v>
      </c>
      <c r="D136" s="17" t="s">
        <v>17</v>
      </c>
      <c r="E136" s="17" t="s">
        <v>8</v>
      </c>
      <c r="F136" s="17">
        <v>222</v>
      </c>
      <c r="G136" s="17">
        <v>0</v>
      </c>
      <c r="H136" s="17">
        <v>0</v>
      </c>
      <c r="I136" s="17">
        <v>222</v>
      </c>
      <c r="J136" s="17">
        <v>0</v>
      </c>
      <c r="K136" s="17">
        <v>0</v>
      </c>
      <c r="L136" s="17">
        <v>222</v>
      </c>
      <c r="M136" s="17">
        <v>0</v>
      </c>
      <c r="N136" s="17">
        <v>0</v>
      </c>
      <c r="O136" s="17">
        <v>222</v>
      </c>
      <c r="P136" s="17">
        <v>70</v>
      </c>
      <c r="Q136" s="17">
        <v>152</v>
      </c>
      <c r="R136" s="17">
        <v>0</v>
      </c>
      <c r="S136" s="17"/>
      <c r="T136" s="17" t="s">
        <v>2982</v>
      </c>
      <c r="U136" s="17" t="s">
        <v>3060</v>
      </c>
      <c r="V136" s="17" t="s">
        <v>3058</v>
      </c>
      <c r="W136" s="17"/>
      <c r="X136" s="17"/>
    </row>
    <row r="137" spans="1:24" hidden="1">
      <c r="A137" s="18">
        <v>136</v>
      </c>
      <c r="B137" s="17" t="s">
        <v>355</v>
      </c>
      <c r="C137" s="17" t="s">
        <v>356</v>
      </c>
      <c r="D137" s="17" t="s">
        <v>17</v>
      </c>
      <c r="E137" s="17" t="s">
        <v>8</v>
      </c>
      <c r="F137" s="17">
        <v>174</v>
      </c>
      <c r="G137" s="17">
        <v>0</v>
      </c>
      <c r="H137" s="17">
        <v>2</v>
      </c>
      <c r="I137" s="17">
        <v>172</v>
      </c>
      <c r="J137" s="17">
        <v>0</v>
      </c>
      <c r="K137" s="17">
        <v>0</v>
      </c>
      <c r="L137" s="17">
        <v>172</v>
      </c>
      <c r="M137" s="17">
        <v>0</v>
      </c>
      <c r="N137" s="17">
        <v>0</v>
      </c>
      <c r="O137" s="17">
        <v>172</v>
      </c>
      <c r="P137" s="17">
        <v>70</v>
      </c>
      <c r="Q137" s="17">
        <v>102</v>
      </c>
      <c r="R137" s="17">
        <v>0</v>
      </c>
      <c r="S137" s="17"/>
      <c r="T137" s="17" t="s">
        <v>2982</v>
      </c>
      <c r="U137" s="17" t="s">
        <v>3060</v>
      </c>
      <c r="V137" s="17" t="s">
        <v>3058</v>
      </c>
      <c r="W137" s="17"/>
      <c r="X137" s="17"/>
    </row>
    <row r="138" spans="1:24" hidden="1">
      <c r="A138" s="18">
        <v>137</v>
      </c>
      <c r="B138" s="17" t="s">
        <v>359</v>
      </c>
      <c r="C138" s="17" t="s">
        <v>360</v>
      </c>
      <c r="D138" s="17" t="s">
        <v>17</v>
      </c>
      <c r="E138" s="17" t="s">
        <v>8</v>
      </c>
      <c r="F138" s="17">
        <v>260</v>
      </c>
      <c r="G138" s="17">
        <v>0</v>
      </c>
      <c r="H138" s="17">
        <v>10</v>
      </c>
      <c r="I138" s="17">
        <v>250</v>
      </c>
      <c r="J138" s="17">
        <v>0</v>
      </c>
      <c r="K138" s="17">
        <v>0</v>
      </c>
      <c r="L138" s="17">
        <v>250</v>
      </c>
      <c r="M138" s="17">
        <v>0</v>
      </c>
      <c r="N138" s="17">
        <v>0</v>
      </c>
      <c r="O138" s="17">
        <v>250</v>
      </c>
      <c r="P138" s="17">
        <v>70</v>
      </c>
      <c r="Q138" s="17">
        <v>180</v>
      </c>
      <c r="R138" s="17">
        <v>0</v>
      </c>
      <c r="S138" s="17"/>
      <c r="T138" s="17" t="s">
        <v>2982</v>
      </c>
      <c r="U138" s="17" t="s">
        <v>3060</v>
      </c>
      <c r="V138" s="17" t="s">
        <v>3058</v>
      </c>
      <c r="W138" s="17"/>
      <c r="X138" s="17"/>
    </row>
    <row r="139" spans="1:24" hidden="1">
      <c r="A139" s="18">
        <v>138</v>
      </c>
      <c r="B139" s="17" t="s">
        <v>365</v>
      </c>
      <c r="C139" s="17" t="s">
        <v>366</v>
      </c>
      <c r="D139" s="17" t="s">
        <v>17</v>
      </c>
      <c r="E139" s="17" t="s">
        <v>8</v>
      </c>
      <c r="F139" s="17">
        <v>0</v>
      </c>
      <c r="G139" s="17">
        <v>0</v>
      </c>
      <c r="H139" s="17">
        <v>0</v>
      </c>
      <c r="I139" s="17">
        <v>0</v>
      </c>
      <c r="J139" s="17">
        <v>0</v>
      </c>
      <c r="K139" s="17">
        <v>0</v>
      </c>
      <c r="L139" s="17">
        <v>0</v>
      </c>
      <c r="M139" s="17">
        <v>0</v>
      </c>
      <c r="N139" s="17">
        <v>0</v>
      </c>
      <c r="O139" s="17">
        <v>0</v>
      </c>
      <c r="P139" s="17">
        <v>0</v>
      </c>
      <c r="Q139" s="17">
        <v>0</v>
      </c>
      <c r="R139" s="17">
        <v>0</v>
      </c>
      <c r="S139" s="17"/>
      <c r="T139" s="17" t="s">
        <v>2991</v>
      </c>
      <c r="U139" s="17" t="s">
        <v>3060</v>
      </c>
      <c r="V139" s="17" t="s">
        <v>3058</v>
      </c>
      <c r="W139" s="17"/>
      <c r="X139" s="17"/>
    </row>
    <row r="140" spans="1:24" hidden="1">
      <c r="A140" s="18">
        <v>139</v>
      </c>
      <c r="B140" s="17" t="s">
        <v>367</v>
      </c>
      <c r="C140" s="17" t="s">
        <v>368</v>
      </c>
      <c r="D140" s="17" t="s">
        <v>17</v>
      </c>
      <c r="E140" s="17" t="s">
        <v>8</v>
      </c>
      <c r="F140" s="17">
        <v>1833</v>
      </c>
      <c r="G140" s="17">
        <v>0</v>
      </c>
      <c r="H140" s="17">
        <v>0</v>
      </c>
      <c r="I140" s="17">
        <v>1833</v>
      </c>
      <c r="J140" s="17">
        <v>0</v>
      </c>
      <c r="K140" s="17">
        <v>0</v>
      </c>
      <c r="L140" s="17">
        <v>1833</v>
      </c>
      <c r="M140" s="17">
        <v>0</v>
      </c>
      <c r="N140" s="17">
        <v>0</v>
      </c>
      <c r="O140" s="17">
        <v>1833</v>
      </c>
      <c r="P140" s="17">
        <v>0</v>
      </c>
      <c r="Q140" s="17">
        <v>1833</v>
      </c>
      <c r="R140" s="17">
        <v>0</v>
      </c>
      <c r="S140" s="17"/>
      <c r="T140" s="17" t="s">
        <v>2991</v>
      </c>
      <c r="U140" s="17" t="s">
        <v>3060</v>
      </c>
      <c r="V140" s="17" t="s">
        <v>3058</v>
      </c>
      <c r="W140" s="17"/>
      <c r="X140" s="17"/>
    </row>
    <row r="141" spans="1:24" hidden="1">
      <c r="A141" s="18">
        <v>140</v>
      </c>
      <c r="B141" s="17" t="s">
        <v>106</v>
      </c>
      <c r="C141" s="17" t="s">
        <v>107</v>
      </c>
      <c r="D141" s="17" t="s">
        <v>17</v>
      </c>
      <c r="E141" s="17" t="s">
        <v>8</v>
      </c>
      <c r="F141" s="17">
        <v>11100</v>
      </c>
      <c r="G141" s="17">
        <v>0</v>
      </c>
      <c r="H141" s="17">
        <v>3000</v>
      </c>
      <c r="I141" s="17">
        <v>8100</v>
      </c>
      <c r="J141" s="17">
        <v>0</v>
      </c>
      <c r="K141" s="17">
        <v>0</v>
      </c>
      <c r="L141" s="17">
        <v>8100</v>
      </c>
      <c r="M141" s="17">
        <v>0</v>
      </c>
      <c r="N141" s="17">
        <v>0</v>
      </c>
      <c r="O141" s="17">
        <v>8100</v>
      </c>
      <c r="P141" s="17">
        <v>5000</v>
      </c>
      <c r="Q141" s="17">
        <v>3100</v>
      </c>
      <c r="R141" s="17">
        <v>0</v>
      </c>
      <c r="S141" s="17"/>
      <c r="T141" s="17" t="s">
        <v>2972</v>
      </c>
      <c r="U141" s="17" t="s">
        <v>3057</v>
      </c>
      <c r="V141" s="17" t="s">
        <v>3058</v>
      </c>
      <c r="W141" s="17"/>
      <c r="X141" s="17"/>
    </row>
    <row r="142" spans="1:24" hidden="1">
      <c r="A142" s="18">
        <v>141</v>
      </c>
      <c r="B142" s="17" t="s">
        <v>114</v>
      </c>
      <c r="C142" s="17" t="s">
        <v>115</v>
      </c>
      <c r="D142" s="17" t="s">
        <v>116</v>
      </c>
      <c r="E142" s="17" t="s">
        <v>8</v>
      </c>
      <c r="F142" s="17">
        <v>162</v>
      </c>
      <c r="G142" s="17">
        <v>0</v>
      </c>
      <c r="H142" s="17">
        <v>0</v>
      </c>
      <c r="I142" s="17">
        <v>162</v>
      </c>
      <c r="J142" s="17">
        <v>0</v>
      </c>
      <c r="K142" s="17">
        <v>0</v>
      </c>
      <c r="L142" s="17">
        <v>162</v>
      </c>
      <c r="M142" s="17">
        <v>0</v>
      </c>
      <c r="N142" s="17">
        <v>0</v>
      </c>
      <c r="O142" s="17">
        <v>162</v>
      </c>
      <c r="P142" s="17">
        <v>50</v>
      </c>
      <c r="Q142" s="17">
        <v>112</v>
      </c>
      <c r="R142" s="17">
        <v>0</v>
      </c>
      <c r="S142" s="17"/>
      <c r="T142" s="17" t="s">
        <v>2974</v>
      </c>
      <c r="U142" s="17" t="s">
        <v>3057</v>
      </c>
      <c r="V142" s="17" t="s">
        <v>3056</v>
      </c>
      <c r="W142" s="17"/>
      <c r="X142" s="17"/>
    </row>
    <row r="143" spans="1:24" hidden="1">
      <c r="A143" s="18">
        <v>142</v>
      </c>
      <c r="B143" s="17" t="s">
        <v>123</v>
      </c>
      <c r="C143" s="17" t="s">
        <v>124</v>
      </c>
      <c r="D143" s="17" t="s">
        <v>20</v>
      </c>
      <c r="E143" s="17" t="s">
        <v>8</v>
      </c>
      <c r="F143" s="17">
        <v>0</v>
      </c>
      <c r="G143" s="17">
        <v>0</v>
      </c>
      <c r="H143" s="17">
        <v>0</v>
      </c>
      <c r="I143" s="17">
        <v>0</v>
      </c>
      <c r="J143" s="17">
        <v>0</v>
      </c>
      <c r="K143" s="17">
        <v>0</v>
      </c>
      <c r="L143" s="17">
        <v>0</v>
      </c>
      <c r="M143" s="17">
        <v>0</v>
      </c>
      <c r="N143" s="17">
        <v>0</v>
      </c>
      <c r="O143" s="17">
        <v>0</v>
      </c>
      <c r="P143" s="17">
        <v>0</v>
      </c>
      <c r="Q143" s="17">
        <v>0</v>
      </c>
      <c r="R143" s="17">
        <v>0</v>
      </c>
      <c r="S143" s="17"/>
      <c r="T143" s="17" t="s">
        <v>2974</v>
      </c>
      <c r="U143" s="17" t="s">
        <v>3057</v>
      </c>
      <c r="V143" s="17" t="s">
        <v>3056</v>
      </c>
      <c r="W143" s="17"/>
      <c r="X143" s="17"/>
    </row>
    <row r="144" spans="1:24" hidden="1">
      <c r="A144" s="18">
        <v>143</v>
      </c>
      <c r="B144" s="17" t="s">
        <v>127</v>
      </c>
      <c r="C144" s="17" t="s">
        <v>128</v>
      </c>
      <c r="D144" s="17" t="s">
        <v>17</v>
      </c>
      <c r="E144" s="17" t="s">
        <v>8</v>
      </c>
      <c r="F144" s="17">
        <v>4745</v>
      </c>
      <c r="G144" s="17">
        <v>0</v>
      </c>
      <c r="H144" s="17">
        <v>0</v>
      </c>
      <c r="I144" s="17">
        <v>4745</v>
      </c>
      <c r="J144" s="17">
        <v>0</v>
      </c>
      <c r="K144" s="17">
        <v>0</v>
      </c>
      <c r="L144" s="17">
        <v>4745</v>
      </c>
      <c r="M144" s="17">
        <v>0</v>
      </c>
      <c r="N144" s="17">
        <v>0</v>
      </c>
      <c r="O144" s="17">
        <v>4745</v>
      </c>
      <c r="P144" s="17">
        <v>1500</v>
      </c>
      <c r="Q144" s="17">
        <v>3245</v>
      </c>
      <c r="R144" s="17">
        <v>0</v>
      </c>
      <c r="S144" s="17"/>
      <c r="T144" s="17" t="s">
        <v>2991</v>
      </c>
      <c r="U144" s="17" t="s">
        <v>3057</v>
      </c>
      <c r="V144" s="17" t="s">
        <v>3058</v>
      </c>
      <c r="W144" s="17"/>
      <c r="X144" s="17"/>
    </row>
    <row r="145" spans="1:24" hidden="1">
      <c r="A145" s="18">
        <v>144</v>
      </c>
      <c r="B145" s="17" t="s">
        <v>129</v>
      </c>
      <c r="C145" s="17" t="s">
        <v>130</v>
      </c>
      <c r="D145" s="17" t="s">
        <v>17</v>
      </c>
      <c r="E145" s="17" t="s">
        <v>8</v>
      </c>
      <c r="F145" s="17">
        <v>175</v>
      </c>
      <c r="G145" s="17">
        <v>0</v>
      </c>
      <c r="H145" s="17">
        <v>0</v>
      </c>
      <c r="I145" s="17">
        <v>175</v>
      </c>
      <c r="J145" s="17">
        <v>0</v>
      </c>
      <c r="K145" s="17">
        <v>0</v>
      </c>
      <c r="L145" s="17">
        <v>175</v>
      </c>
      <c r="M145" s="17">
        <v>0</v>
      </c>
      <c r="N145" s="17">
        <v>0</v>
      </c>
      <c r="O145" s="17">
        <v>175</v>
      </c>
      <c r="P145" s="17">
        <v>100</v>
      </c>
      <c r="Q145" s="17">
        <v>75</v>
      </c>
      <c r="R145" s="17">
        <v>0</v>
      </c>
      <c r="S145" s="17"/>
      <c r="T145" s="17" t="s">
        <v>2991</v>
      </c>
      <c r="U145" s="17" t="s">
        <v>3057</v>
      </c>
      <c r="V145" s="17" t="s">
        <v>3058</v>
      </c>
      <c r="W145" s="17"/>
      <c r="X145" s="17"/>
    </row>
    <row r="146" spans="1:24" hidden="1">
      <c r="A146" s="18">
        <v>145</v>
      </c>
      <c r="B146" s="17" t="s">
        <v>131</v>
      </c>
      <c r="C146" s="17" t="s">
        <v>132</v>
      </c>
      <c r="D146" s="17" t="s">
        <v>17</v>
      </c>
      <c r="E146" s="17" t="s">
        <v>8</v>
      </c>
      <c r="F146" s="17">
        <v>1600</v>
      </c>
      <c r="G146" s="17">
        <v>0</v>
      </c>
      <c r="H146" s="17">
        <v>0</v>
      </c>
      <c r="I146" s="17">
        <v>1600</v>
      </c>
      <c r="J146" s="17">
        <v>0</v>
      </c>
      <c r="K146" s="17">
        <v>0</v>
      </c>
      <c r="L146" s="17">
        <v>1600</v>
      </c>
      <c r="M146" s="17">
        <v>0</v>
      </c>
      <c r="N146" s="17">
        <v>0</v>
      </c>
      <c r="O146" s="17">
        <v>1600</v>
      </c>
      <c r="P146" s="17">
        <v>1000</v>
      </c>
      <c r="Q146" s="17">
        <v>600</v>
      </c>
      <c r="R146" s="17">
        <v>0</v>
      </c>
      <c r="S146" s="17"/>
      <c r="T146" s="17" t="s">
        <v>2972</v>
      </c>
      <c r="U146" s="17" t="s">
        <v>3057</v>
      </c>
      <c r="V146" s="17" t="s">
        <v>3058</v>
      </c>
      <c r="W146" s="17"/>
      <c r="X146" s="17"/>
    </row>
    <row r="147" spans="1:24" hidden="1">
      <c r="A147" s="18">
        <v>146</v>
      </c>
      <c r="B147" s="17" t="s">
        <v>133</v>
      </c>
      <c r="C147" s="17" t="s">
        <v>134</v>
      </c>
      <c r="D147" s="17" t="s">
        <v>135</v>
      </c>
      <c r="E147" s="17" t="s">
        <v>8</v>
      </c>
      <c r="F147" s="17">
        <v>56</v>
      </c>
      <c r="G147" s="17">
        <v>0</v>
      </c>
      <c r="H147" s="17">
        <v>0</v>
      </c>
      <c r="I147" s="17">
        <v>56</v>
      </c>
      <c r="J147" s="17">
        <v>0</v>
      </c>
      <c r="K147" s="17">
        <v>0</v>
      </c>
      <c r="L147" s="17">
        <v>56</v>
      </c>
      <c r="M147" s="17">
        <v>0</v>
      </c>
      <c r="N147" s="17">
        <v>0</v>
      </c>
      <c r="O147" s="17">
        <v>56</v>
      </c>
      <c r="P147" s="17">
        <v>25</v>
      </c>
      <c r="Q147" s="17">
        <v>31</v>
      </c>
      <c r="R147" s="17">
        <v>0</v>
      </c>
      <c r="S147" s="17"/>
      <c r="T147" s="17" t="s">
        <v>2998</v>
      </c>
      <c r="U147" s="17" t="s">
        <v>3057</v>
      </c>
      <c r="V147" s="17" t="s">
        <v>3056</v>
      </c>
      <c r="W147" s="17"/>
      <c r="X147" s="17"/>
    </row>
    <row r="148" spans="1:24" hidden="1">
      <c r="A148" s="18">
        <v>147</v>
      </c>
      <c r="B148" s="17" t="s">
        <v>387</v>
      </c>
      <c r="C148" s="17" t="s">
        <v>388</v>
      </c>
      <c r="D148" s="17" t="s">
        <v>17</v>
      </c>
      <c r="E148" s="17" t="s">
        <v>8</v>
      </c>
      <c r="F148" s="17">
        <v>675</v>
      </c>
      <c r="G148" s="17">
        <v>0</v>
      </c>
      <c r="H148" s="17">
        <v>75</v>
      </c>
      <c r="I148" s="17">
        <v>600</v>
      </c>
      <c r="J148" s="17">
        <v>0</v>
      </c>
      <c r="K148" s="17">
        <v>0</v>
      </c>
      <c r="L148" s="17">
        <v>600</v>
      </c>
      <c r="M148" s="17">
        <v>0</v>
      </c>
      <c r="N148" s="17">
        <v>0</v>
      </c>
      <c r="O148" s="17">
        <v>600</v>
      </c>
      <c r="P148" s="17">
        <v>0</v>
      </c>
      <c r="Q148" s="17">
        <v>600</v>
      </c>
      <c r="R148" s="17">
        <v>0</v>
      </c>
      <c r="S148" s="17"/>
      <c r="T148" s="17" t="s">
        <v>2972</v>
      </c>
      <c r="U148" s="17" t="s">
        <v>3055</v>
      </c>
      <c r="V148" s="17" t="s">
        <v>3061</v>
      </c>
      <c r="W148" s="17"/>
      <c r="X148" s="17"/>
    </row>
    <row r="149" spans="1:24" hidden="1">
      <c r="A149" s="18">
        <v>148</v>
      </c>
      <c r="B149" s="17" t="s">
        <v>146</v>
      </c>
      <c r="C149" s="17" t="s">
        <v>147</v>
      </c>
      <c r="D149" s="17" t="s">
        <v>148</v>
      </c>
      <c r="E149" s="17" t="s">
        <v>8</v>
      </c>
      <c r="F149" s="17">
        <v>34</v>
      </c>
      <c r="G149" s="17">
        <v>24</v>
      </c>
      <c r="H149" s="17">
        <v>34</v>
      </c>
      <c r="I149" s="17">
        <v>24</v>
      </c>
      <c r="J149" s="17">
        <v>0</v>
      </c>
      <c r="K149" s="17">
        <v>0</v>
      </c>
      <c r="L149" s="17">
        <v>24</v>
      </c>
      <c r="M149" s="17">
        <v>0</v>
      </c>
      <c r="N149" s="17">
        <v>0</v>
      </c>
      <c r="O149" s="17">
        <v>24</v>
      </c>
      <c r="P149" s="17">
        <v>25</v>
      </c>
      <c r="Q149" s="17">
        <v>-1</v>
      </c>
      <c r="R149" s="17">
        <v>24</v>
      </c>
      <c r="S149" s="17"/>
      <c r="T149" s="17" t="s">
        <v>2991</v>
      </c>
      <c r="U149" s="17" t="s">
        <v>3057</v>
      </c>
      <c r="V149" s="17" t="s">
        <v>3056</v>
      </c>
      <c r="W149" s="17"/>
      <c r="X149" s="17"/>
    </row>
    <row r="150" spans="1:24" hidden="1">
      <c r="A150" s="18">
        <v>149</v>
      </c>
      <c r="B150" s="17" t="s">
        <v>151</v>
      </c>
      <c r="C150" s="17" t="s">
        <v>152</v>
      </c>
      <c r="D150" s="17" t="s">
        <v>17</v>
      </c>
      <c r="E150" s="17" t="s">
        <v>8</v>
      </c>
      <c r="F150" s="17">
        <v>0</v>
      </c>
      <c r="G150" s="17">
        <v>0</v>
      </c>
      <c r="H150" s="17">
        <v>0</v>
      </c>
      <c r="I150" s="17">
        <v>0</v>
      </c>
      <c r="J150" s="17">
        <v>0</v>
      </c>
      <c r="K150" s="17">
        <v>0</v>
      </c>
      <c r="L150" s="17">
        <v>0</v>
      </c>
      <c r="M150" s="17">
        <v>0</v>
      </c>
      <c r="N150" s="17">
        <v>0</v>
      </c>
      <c r="O150" s="17">
        <v>0</v>
      </c>
      <c r="P150" s="17">
        <v>0</v>
      </c>
      <c r="Q150" s="17">
        <v>0</v>
      </c>
      <c r="R150" s="17">
        <v>0</v>
      </c>
      <c r="S150" s="17"/>
      <c r="T150" s="17" t="s">
        <v>2972</v>
      </c>
      <c r="U150" s="17" t="s">
        <v>3057</v>
      </c>
      <c r="V150" s="17" t="s">
        <v>3056</v>
      </c>
      <c r="W150" s="17"/>
      <c r="X150" s="17"/>
    </row>
    <row r="151" spans="1:24" hidden="1">
      <c r="A151" s="18">
        <v>150</v>
      </c>
      <c r="B151" s="17" t="s">
        <v>393</v>
      </c>
      <c r="C151" s="17" t="s">
        <v>394</v>
      </c>
      <c r="D151" s="17" t="s">
        <v>17</v>
      </c>
      <c r="E151" s="17" t="s">
        <v>8</v>
      </c>
      <c r="F151" s="17">
        <v>0</v>
      </c>
      <c r="G151" s="17">
        <v>0</v>
      </c>
      <c r="H151" s="17">
        <v>0</v>
      </c>
      <c r="I151" s="17">
        <v>0</v>
      </c>
      <c r="J151" s="17">
        <v>0</v>
      </c>
      <c r="K151" s="17">
        <v>0</v>
      </c>
      <c r="L151" s="17">
        <v>0</v>
      </c>
      <c r="M151" s="17">
        <v>0</v>
      </c>
      <c r="N151" s="17">
        <v>0</v>
      </c>
      <c r="O151" s="17">
        <v>0</v>
      </c>
      <c r="P151" s="17">
        <v>0</v>
      </c>
      <c r="Q151" s="17">
        <v>0</v>
      </c>
      <c r="R151" s="17">
        <v>0</v>
      </c>
      <c r="S151" s="17"/>
      <c r="T151" s="17" t="s">
        <v>2982</v>
      </c>
      <c r="U151" s="17" t="s">
        <v>3060</v>
      </c>
      <c r="V151" s="17" t="s">
        <v>3058</v>
      </c>
      <c r="W151" s="17"/>
      <c r="X151" s="17"/>
    </row>
    <row r="152" spans="1:24" hidden="1">
      <c r="A152" s="18">
        <v>151</v>
      </c>
      <c r="B152" s="17" t="s">
        <v>395</v>
      </c>
      <c r="C152" s="17" t="s">
        <v>396</v>
      </c>
      <c r="D152" s="17" t="s">
        <v>17</v>
      </c>
      <c r="E152" s="17" t="s">
        <v>8</v>
      </c>
      <c r="F152" s="17">
        <v>0</v>
      </c>
      <c r="G152" s="17">
        <v>0</v>
      </c>
      <c r="H152" s="17">
        <v>0</v>
      </c>
      <c r="I152" s="17">
        <v>0</v>
      </c>
      <c r="J152" s="17">
        <v>0</v>
      </c>
      <c r="K152" s="17">
        <v>0</v>
      </c>
      <c r="L152" s="17">
        <v>0</v>
      </c>
      <c r="M152" s="17">
        <v>0</v>
      </c>
      <c r="N152" s="17">
        <v>0</v>
      </c>
      <c r="O152" s="17">
        <v>0</v>
      </c>
      <c r="P152" s="17">
        <v>0</v>
      </c>
      <c r="Q152" s="17">
        <v>0</v>
      </c>
      <c r="R152" s="17">
        <v>0</v>
      </c>
      <c r="S152" s="17"/>
      <c r="T152" s="17" t="s">
        <v>2982</v>
      </c>
      <c r="U152" s="17" t="s">
        <v>3060</v>
      </c>
      <c r="V152" s="17" t="s">
        <v>3058</v>
      </c>
      <c r="W152" s="17"/>
      <c r="X152" s="17"/>
    </row>
    <row r="153" spans="1:24" hidden="1">
      <c r="A153" s="18">
        <v>152</v>
      </c>
      <c r="B153" s="17" t="s">
        <v>397</v>
      </c>
      <c r="C153" s="17" t="s">
        <v>398</v>
      </c>
      <c r="D153" s="17" t="s">
        <v>17</v>
      </c>
      <c r="E153" s="17" t="s">
        <v>8</v>
      </c>
      <c r="F153" s="17">
        <v>4</v>
      </c>
      <c r="G153" s="17">
        <v>0</v>
      </c>
      <c r="H153" s="17">
        <v>0</v>
      </c>
      <c r="I153" s="17">
        <v>4</v>
      </c>
      <c r="J153" s="17">
        <v>0</v>
      </c>
      <c r="K153" s="17">
        <v>0</v>
      </c>
      <c r="L153" s="17">
        <v>4</v>
      </c>
      <c r="M153" s="17">
        <v>0</v>
      </c>
      <c r="N153" s="17">
        <v>0</v>
      </c>
      <c r="O153" s="17">
        <v>4</v>
      </c>
      <c r="P153" s="17">
        <v>0</v>
      </c>
      <c r="Q153" s="17">
        <v>4</v>
      </c>
      <c r="R153" s="17">
        <v>0</v>
      </c>
      <c r="S153" s="17"/>
      <c r="T153" s="17" t="s">
        <v>2982</v>
      </c>
      <c r="U153" s="17" t="s">
        <v>3060</v>
      </c>
      <c r="V153" s="17" t="s">
        <v>3058</v>
      </c>
      <c r="W153" s="17"/>
      <c r="X153" s="17"/>
    </row>
    <row r="154" spans="1:24" hidden="1">
      <c r="A154" s="18">
        <v>153</v>
      </c>
      <c r="B154" s="17" t="s">
        <v>399</v>
      </c>
      <c r="C154" s="17" t="s">
        <v>400</v>
      </c>
      <c r="D154" s="17" t="s">
        <v>17</v>
      </c>
      <c r="E154" s="17" t="s">
        <v>8</v>
      </c>
      <c r="F154" s="17">
        <v>0</v>
      </c>
      <c r="G154" s="17">
        <v>0</v>
      </c>
      <c r="H154" s="17">
        <v>0</v>
      </c>
      <c r="I154" s="17">
        <v>0</v>
      </c>
      <c r="J154" s="17">
        <v>0</v>
      </c>
      <c r="K154" s="17">
        <v>0</v>
      </c>
      <c r="L154" s="17">
        <v>0</v>
      </c>
      <c r="M154" s="17">
        <v>0</v>
      </c>
      <c r="N154" s="17">
        <v>0</v>
      </c>
      <c r="O154" s="17">
        <v>0</v>
      </c>
      <c r="P154" s="17">
        <v>0</v>
      </c>
      <c r="Q154" s="17">
        <v>0</v>
      </c>
      <c r="R154" s="17">
        <v>0</v>
      </c>
      <c r="S154" s="17"/>
      <c r="T154" s="17" t="s">
        <v>2982</v>
      </c>
      <c r="U154" s="17" t="s">
        <v>3060</v>
      </c>
      <c r="V154" s="17" t="s">
        <v>3058</v>
      </c>
      <c r="W154" s="17"/>
      <c r="X154" s="17"/>
    </row>
    <row r="155" spans="1:24" hidden="1">
      <c r="A155" s="18">
        <v>154</v>
      </c>
      <c r="B155" s="17" t="s">
        <v>401</v>
      </c>
      <c r="C155" s="17" t="s">
        <v>402</v>
      </c>
      <c r="D155" s="17" t="s">
        <v>17</v>
      </c>
      <c r="E155" s="17" t="s">
        <v>8</v>
      </c>
      <c r="F155" s="17">
        <v>0</v>
      </c>
      <c r="G155" s="17">
        <v>0</v>
      </c>
      <c r="H155" s="17">
        <v>0</v>
      </c>
      <c r="I155" s="17">
        <v>0</v>
      </c>
      <c r="J155" s="17">
        <v>0</v>
      </c>
      <c r="K155" s="17">
        <v>0</v>
      </c>
      <c r="L155" s="17">
        <v>0</v>
      </c>
      <c r="M155" s="17">
        <v>0</v>
      </c>
      <c r="N155" s="17">
        <v>0</v>
      </c>
      <c r="O155" s="17">
        <v>0</v>
      </c>
      <c r="P155" s="17">
        <v>0</v>
      </c>
      <c r="Q155" s="17">
        <v>0</v>
      </c>
      <c r="R155" s="17">
        <v>0</v>
      </c>
      <c r="S155" s="17"/>
      <c r="T155" s="17" t="s">
        <v>2972</v>
      </c>
      <c r="U155" s="17" t="s">
        <v>3055</v>
      </c>
      <c r="V155" s="17" t="s">
        <v>3056</v>
      </c>
      <c r="W155" s="17"/>
      <c r="X155" s="17"/>
    </row>
    <row r="156" spans="1:24" hidden="1">
      <c r="A156" s="18">
        <v>155</v>
      </c>
      <c r="B156" s="17" t="s">
        <v>155</v>
      </c>
      <c r="C156" s="17" t="s">
        <v>156</v>
      </c>
      <c r="D156" s="17" t="s">
        <v>135</v>
      </c>
      <c r="E156" s="17" t="s">
        <v>8</v>
      </c>
      <c r="F156" s="17">
        <v>32</v>
      </c>
      <c r="G156" s="17">
        <v>0</v>
      </c>
      <c r="H156" s="17">
        <v>10</v>
      </c>
      <c r="I156" s="17">
        <v>22</v>
      </c>
      <c r="J156" s="17">
        <v>0</v>
      </c>
      <c r="K156" s="17">
        <v>0</v>
      </c>
      <c r="L156" s="17">
        <v>22</v>
      </c>
      <c r="M156" s="17">
        <v>0</v>
      </c>
      <c r="N156" s="17">
        <v>0</v>
      </c>
      <c r="O156" s="17">
        <v>22</v>
      </c>
      <c r="P156" s="17">
        <v>16</v>
      </c>
      <c r="Q156" s="17">
        <v>6</v>
      </c>
      <c r="R156" s="17">
        <v>0</v>
      </c>
      <c r="S156" s="17"/>
      <c r="T156" s="17" t="s">
        <v>2998</v>
      </c>
      <c r="U156" s="17" t="s">
        <v>3057</v>
      </c>
      <c r="V156" s="17" t="s">
        <v>3056</v>
      </c>
      <c r="W156" s="17"/>
      <c r="X156" s="17"/>
    </row>
    <row r="157" spans="1:24" hidden="1">
      <c r="A157" s="18">
        <v>156</v>
      </c>
      <c r="B157" s="17" t="s">
        <v>405</v>
      </c>
      <c r="C157" s="17" t="s">
        <v>3024</v>
      </c>
      <c r="D157" s="17" t="s">
        <v>17</v>
      </c>
      <c r="E157" s="17" t="s">
        <v>8</v>
      </c>
      <c r="F157" s="17">
        <v>8000</v>
      </c>
      <c r="G157" s="17">
        <v>0</v>
      </c>
      <c r="H157" s="17">
        <v>0</v>
      </c>
      <c r="I157" s="17">
        <v>8000</v>
      </c>
      <c r="J157" s="17">
        <v>0</v>
      </c>
      <c r="K157" s="17">
        <v>0</v>
      </c>
      <c r="L157" s="17">
        <v>8000</v>
      </c>
      <c r="M157" s="17">
        <v>0</v>
      </c>
      <c r="N157" s="17">
        <v>0</v>
      </c>
      <c r="O157" s="17">
        <v>8000</v>
      </c>
      <c r="P157" s="17">
        <v>2000</v>
      </c>
      <c r="Q157" s="17">
        <v>6000</v>
      </c>
      <c r="R157" s="17">
        <v>0</v>
      </c>
      <c r="S157" s="17"/>
      <c r="T157" s="17" t="s">
        <v>2972</v>
      </c>
      <c r="U157" s="17" t="s">
        <v>3055</v>
      </c>
      <c r="V157" s="17" t="s">
        <v>3056</v>
      </c>
      <c r="W157" s="17"/>
      <c r="X157" s="17"/>
    </row>
    <row r="158" spans="1:24" hidden="1">
      <c r="A158" s="18">
        <v>157</v>
      </c>
      <c r="B158" s="17" t="s">
        <v>406</v>
      </c>
      <c r="C158" s="17" t="s">
        <v>407</v>
      </c>
      <c r="D158" s="17" t="s">
        <v>17</v>
      </c>
      <c r="E158" s="17" t="s">
        <v>8</v>
      </c>
      <c r="F158" s="17">
        <v>137</v>
      </c>
      <c r="G158" s="17">
        <v>200</v>
      </c>
      <c r="H158" s="17">
        <v>82</v>
      </c>
      <c r="I158" s="17">
        <v>255</v>
      </c>
      <c r="J158" s="17">
        <v>0</v>
      </c>
      <c r="K158" s="17">
        <v>0</v>
      </c>
      <c r="L158" s="17">
        <v>255</v>
      </c>
      <c r="M158" s="17">
        <v>0</v>
      </c>
      <c r="N158" s="17">
        <v>0</v>
      </c>
      <c r="O158" s="17">
        <v>255</v>
      </c>
      <c r="P158" s="17">
        <v>200</v>
      </c>
      <c r="Q158" s="17">
        <v>55</v>
      </c>
      <c r="R158" s="17">
        <v>500</v>
      </c>
      <c r="S158" s="17"/>
      <c r="T158" s="17" t="s">
        <v>2972</v>
      </c>
      <c r="U158" s="17" t="s">
        <v>3055</v>
      </c>
      <c r="V158" s="17" t="s">
        <v>3061</v>
      </c>
      <c r="W158" s="17"/>
      <c r="X158" s="17"/>
    </row>
    <row r="159" spans="1:24" hidden="1">
      <c r="A159" s="18">
        <v>158</v>
      </c>
      <c r="B159" s="17" t="s">
        <v>159</v>
      </c>
      <c r="C159" s="17" t="s">
        <v>160</v>
      </c>
      <c r="D159" s="17" t="s">
        <v>17</v>
      </c>
      <c r="E159" s="17" t="s">
        <v>8</v>
      </c>
      <c r="F159" s="17">
        <v>0</v>
      </c>
      <c r="G159" s="17">
        <v>0</v>
      </c>
      <c r="H159" s="17">
        <v>0</v>
      </c>
      <c r="I159" s="17">
        <v>0</v>
      </c>
      <c r="J159" s="17">
        <v>0</v>
      </c>
      <c r="K159" s="17">
        <v>0</v>
      </c>
      <c r="L159" s="17">
        <v>0</v>
      </c>
      <c r="M159" s="17">
        <v>0</v>
      </c>
      <c r="N159" s="17">
        <v>0</v>
      </c>
      <c r="O159" s="17">
        <v>0</v>
      </c>
      <c r="P159" s="17">
        <v>0</v>
      </c>
      <c r="Q159" s="17">
        <v>0</v>
      </c>
      <c r="R159" s="17">
        <v>0</v>
      </c>
      <c r="S159" s="17"/>
      <c r="T159" s="17" t="s">
        <v>2972</v>
      </c>
      <c r="U159" s="17" t="s">
        <v>3057</v>
      </c>
      <c r="V159" s="17" t="s">
        <v>3056</v>
      </c>
      <c r="W159" s="17"/>
      <c r="X159" s="17"/>
    </row>
    <row r="160" spans="1:24" hidden="1">
      <c r="A160" s="18">
        <v>159</v>
      </c>
      <c r="B160" s="17" t="s">
        <v>161</v>
      </c>
      <c r="C160" s="17" t="s">
        <v>162</v>
      </c>
      <c r="D160" s="17" t="s">
        <v>7</v>
      </c>
      <c r="E160" s="17" t="s">
        <v>8</v>
      </c>
      <c r="F160" s="17">
        <v>0</v>
      </c>
      <c r="G160" s="17">
        <v>0</v>
      </c>
      <c r="H160" s="17">
        <v>0</v>
      </c>
      <c r="I160" s="17">
        <v>0</v>
      </c>
      <c r="J160" s="17">
        <v>0</v>
      </c>
      <c r="K160" s="17">
        <v>0</v>
      </c>
      <c r="L160" s="17">
        <v>0</v>
      </c>
      <c r="M160" s="17">
        <v>0</v>
      </c>
      <c r="N160" s="17">
        <v>0</v>
      </c>
      <c r="O160" s="17">
        <v>0</v>
      </c>
      <c r="P160" s="17">
        <v>0</v>
      </c>
      <c r="Q160" s="17">
        <v>0</v>
      </c>
      <c r="R160" s="17">
        <v>0</v>
      </c>
      <c r="S160" s="17"/>
      <c r="T160" s="17" t="s">
        <v>2972</v>
      </c>
      <c r="U160" s="17" t="s">
        <v>3057</v>
      </c>
      <c r="V160" s="17" t="s">
        <v>3056</v>
      </c>
      <c r="W160" s="17"/>
      <c r="X160" s="17"/>
    </row>
    <row r="161" spans="1:24" s="40" customFormat="1" hidden="1">
      <c r="A161" s="26">
        <v>160</v>
      </c>
      <c r="B161" s="25" t="s">
        <v>163</v>
      </c>
      <c r="C161" s="25" t="s">
        <v>164</v>
      </c>
      <c r="D161" s="25" t="s">
        <v>7</v>
      </c>
      <c r="E161" s="25" t="s">
        <v>8</v>
      </c>
      <c r="F161" s="25">
        <v>14400</v>
      </c>
      <c r="G161" s="25">
        <v>14400</v>
      </c>
      <c r="H161" s="25">
        <v>16800</v>
      </c>
      <c r="I161" s="17">
        <v>12000</v>
      </c>
      <c r="J161" s="17">
        <v>0</v>
      </c>
      <c r="K161" s="17">
        <v>0</v>
      </c>
      <c r="L161" s="17">
        <v>12000</v>
      </c>
      <c r="M161" s="17">
        <v>0</v>
      </c>
      <c r="N161" s="17">
        <v>0</v>
      </c>
      <c r="O161" s="25">
        <v>12000</v>
      </c>
      <c r="P161" s="25">
        <v>36000</v>
      </c>
      <c r="Q161" s="25">
        <v>-24000</v>
      </c>
      <c r="R161" s="25">
        <v>14400</v>
      </c>
      <c r="S161" s="25"/>
      <c r="T161" s="25" t="s">
        <v>2972</v>
      </c>
      <c r="U161" s="25" t="s">
        <v>3057</v>
      </c>
      <c r="V161" s="25" t="s">
        <v>3056</v>
      </c>
      <c r="W161" s="25"/>
      <c r="X161" s="25"/>
    </row>
    <row r="162" spans="1:24" hidden="1">
      <c r="A162" s="18">
        <v>161</v>
      </c>
      <c r="B162" s="17" t="s">
        <v>165</v>
      </c>
      <c r="C162" s="17" t="s">
        <v>166</v>
      </c>
      <c r="D162" s="17" t="s">
        <v>7</v>
      </c>
      <c r="E162" s="17" t="s">
        <v>8</v>
      </c>
      <c r="F162" s="17">
        <v>7200</v>
      </c>
      <c r="G162" s="17">
        <v>0</v>
      </c>
      <c r="H162" s="17">
        <v>0</v>
      </c>
      <c r="I162" s="17">
        <v>7200</v>
      </c>
      <c r="J162" s="17">
        <v>0</v>
      </c>
      <c r="K162" s="17">
        <v>0</v>
      </c>
      <c r="L162" s="17">
        <v>7200</v>
      </c>
      <c r="M162" s="17">
        <v>0</v>
      </c>
      <c r="N162" s="17">
        <v>0</v>
      </c>
      <c r="O162" s="17">
        <v>7200</v>
      </c>
      <c r="P162" s="17">
        <v>0</v>
      </c>
      <c r="Q162" s="17">
        <v>7200</v>
      </c>
      <c r="R162" s="17">
        <v>0</v>
      </c>
      <c r="S162" s="17"/>
      <c r="T162" s="17" t="s">
        <v>2972</v>
      </c>
      <c r="U162" s="17" t="s">
        <v>3057</v>
      </c>
      <c r="V162" s="17" t="s">
        <v>3056</v>
      </c>
      <c r="W162" s="17"/>
      <c r="X162" s="17"/>
    </row>
    <row r="163" spans="1:24" hidden="1">
      <c r="A163" s="18">
        <v>162</v>
      </c>
      <c r="B163" s="17" t="s">
        <v>169</v>
      </c>
      <c r="C163" s="17" t="s">
        <v>170</v>
      </c>
      <c r="D163" s="17" t="s">
        <v>7</v>
      </c>
      <c r="E163" s="17" t="s">
        <v>8</v>
      </c>
      <c r="F163" s="17">
        <v>7200</v>
      </c>
      <c r="G163" s="17">
        <v>0</v>
      </c>
      <c r="H163" s="17">
        <v>0</v>
      </c>
      <c r="I163" s="17">
        <v>7200</v>
      </c>
      <c r="J163" s="17">
        <v>0</v>
      </c>
      <c r="K163" s="17">
        <v>0</v>
      </c>
      <c r="L163" s="17">
        <v>7200</v>
      </c>
      <c r="M163" s="17">
        <v>0</v>
      </c>
      <c r="N163" s="17">
        <v>0</v>
      </c>
      <c r="O163" s="17">
        <v>7200</v>
      </c>
      <c r="P163" s="17">
        <v>0</v>
      </c>
      <c r="Q163" s="17">
        <v>7200</v>
      </c>
      <c r="R163" s="17">
        <v>0</v>
      </c>
      <c r="S163" s="17"/>
      <c r="T163" s="17" t="s">
        <v>2972</v>
      </c>
      <c r="U163" s="17" t="s">
        <v>3057</v>
      </c>
      <c r="V163" s="17" t="s">
        <v>3056</v>
      </c>
      <c r="W163" s="17"/>
      <c r="X163" s="17"/>
    </row>
    <row r="164" spans="1:24" hidden="1">
      <c r="A164" s="18">
        <v>163</v>
      </c>
      <c r="B164" s="17" t="s">
        <v>171</v>
      </c>
      <c r="C164" s="17" t="s">
        <v>172</v>
      </c>
      <c r="D164" s="17" t="s">
        <v>7</v>
      </c>
      <c r="E164" s="17" t="s">
        <v>8</v>
      </c>
      <c r="F164" s="17">
        <v>7200</v>
      </c>
      <c r="G164" s="17">
        <v>0</v>
      </c>
      <c r="H164" s="17">
        <v>0</v>
      </c>
      <c r="I164" s="17">
        <v>7200</v>
      </c>
      <c r="J164" s="17">
        <v>0</v>
      </c>
      <c r="K164" s="17">
        <v>0</v>
      </c>
      <c r="L164" s="17">
        <v>7200</v>
      </c>
      <c r="M164" s="17">
        <v>0</v>
      </c>
      <c r="N164" s="17">
        <v>0</v>
      </c>
      <c r="O164" s="17">
        <v>7200</v>
      </c>
      <c r="P164" s="17">
        <v>0</v>
      </c>
      <c r="Q164" s="17">
        <v>7200</v>
      </c>
      <c r="R164" s="17">
        <v>0</v>
      </c>
      <c r="S164" s="17"/>
      <c r="T164" s="17" t="s">
        <v>2972</v>
      </c>
      <c r="U164" s="17" t="s">
        <v>3057</v>
      </c>
      <c r="V164" s="17" t="s">
        <v>3056</v>
      </c>
      <c r="W164" s="17"/>
      <c r="X164" s="17"/>
    </row>
    <row r="165" spans="1:24" hidden="1">
      <c r="A165" s="18">
        <v>164</v>
      </c>
      <c r="B165" s="17" t="s">
        <v>175</v>
      </c>
      <c r="C165" s="17" t="s">
        <v>176</v>
      </c>
      <c r="D165" s="17" t="s">
        <v>7</v>
      </c>
      <c r="E165" s="17" t="s">
        <v>8</v>
      </c>
      <c r="F165" s="17">
        <v>7200</v>
      </c>
      <c r="G165" s="17">
        <v>12000</v>
      </c>
      <c r="H165" s="17">
        <v>7200</v>
      </c>
      <c r="I165" s="17">
        <v>12000</v>
      </c>
      <c r="J165" s="17">
        <v>0</v>
      </c>
      <c r="K165" s="17">
        <v>0</v>
      </c>
      <c r="L165" s="17">
        <v>12000</v>
      </c>
      <c r="M165" s="17">
        <v>0</v>
      </c>
      <c r="N165" s="17">
        <v>0</v>
      </c>
      <c r="O165" s="17">
        <v>12000</v>
      </c>
      <c r="P165" s="17">
        <v>9600</v>
      </c>
      <c r="Q165" s="17">
        <v>2400</v>
      </c>
      <c r="R165" s="17">
        <v>12000</v>
      </c>
      <c r="S165" s="17"/>
      <c r="T165" s="17" t="s">
        <v>2972</v>
      </c>
      <c r="U165" s="17" t="s">
        <v>3057</v>
      </c>
      <c r="V165" s="17" t="s">
        <v>3056</v>
      </c>
      <c r="W165" s="17"/>
      <c r="X165" s="17"/>
    </row>
    <row r="166" spans="1:24" hidden="1">
      <c r="A166" s="18">
        <v>165</v>
      </c>
      <c r="B166" s="17" t="s">
        <v>179</v>
      </c>
      <c r="C166" s="17" t="s">
        <v>180</v>
      </c>
      <c r="D166" s="17" t="s">
        <v>7</v>
      </c>
      <c r="E166" s="17" t="s">
        <v>8</v>
      </c>
      <c r="F166" s="17">
        <v>9600</v>
      </c>
      <c r="G166" s="17">
        <v>0</v>
      </c>
      <c r="H166" s="17">
        <v>2400</v>
      </c>
      <c r="I166" s="17">
        <v>7200</v>
      </c>
      <c r="J166" s="17">
        <v>0</v>
      </c>
      <c r="K166" s="17">
        <v>0</v>
      </c>
      <c r="L166" s="17">
        <v>7200</v>
      </c>
      <c r="M166" s="17">
        <v>0</v>
      </c>
      <c r="N166" s="17">
        <v>0</v>
      </c>
      <c r="O166" s="17">
        <v>7200</v>
      </c>
      <c r="P166" s="17">
        <v>4800</v>
      </c>
      <c r="Q166" s="17">
        <v>2400</v>
      </c>
      <c r="R166" s="17">
        <v>0</v>
      </c>
      <c r="S166" s="17"/>
      <c r="T166" s="17" t="s">
        <v>2972</v>
      </c>
      <c r="U166" s="17" t="s">
        <v>3057</v>
      </c>
      <c r="V166" s="17" t="s">
        <v>3056</v>
      </c>
      <c r="W166" s="17"/>
      <c r="X166" s="17"/>
    </row>
    <row r="167" spans="1:24" hidden="1">
      <c r="A167" s="18">
        <v>166</v>
      </c>
      <c r="B167" s="17" t="s">
        <v>185</v>
      </c>
      <c r="C167" s="17" t="s">
        <v>186</v>
      </c>
      <c r="D167" s="17" t="s">
        <v>7</v>
      </c>
      <c r="E167" s="17" t="s">
        <v>8</v>
      </c>
      <c r="F167" s="17">
        <v>0</v>
      </c>
      <c r="G167" s="17">
        <v>0</v>
      </c>
      <c r="H167" s="17">
        <v>0</v>
      </c>
      <c r="I167" s="17">
        <v>0</v>
      </c>
      <c r="J167" s="17">
        <v>0</v>
      </c>
      <c r="K167" s="17">
        <v>0</v>
      </c>
      <c r="L167" s="17">
        <v>0</v>
      </c>
      <c r="M167" s="17">
        <v>0</v>
      </c>
      <c r="N167" s="17">
        <v>0</v>
      </c>
      <c r="O167" s="17">
        <v>0</v>
      </c>
      <c r="P167" s="17">
        <v>0</v>
      </c>
      <c r="Q167" s="17">
        <v>0</v>
      </c>
      <c r="R167" s="17">
        <v>0</v>
      </c>
      <c r="S167" s="17"/>
      <c r="T167" s="17" t="s">
        <v>2991</v>
      </c>
      <c r="U167" s="17" t="s">
        <v>3057</v>
      </c>
      <c r="V167" s="17" t="s">
        <v>3056</v>
      </c>
      <c r="W167" s="17"/>
      <c r="X167" s="17"/>
    </row>
    <row r="168" spans="1:24" hidden="1">
      <c r="A168" s="18">
        <v>167</v>
      </c>
      <c r="B168" s="17" t="s">
        <v>428</v>
      </c>
      <c r="C168" s="17" t="s">
        <v>429</v>
      </c>
      <c r="D168" s="17" t="s">
        <v>17</v>
      </c>
      <c r="E168" s="17" t="s">
        <v>8</v>
      </c>
      <c r="F168" s="17">
        <v>411</v>
      </c>
      <c r="G168" s="17">
        <v>0</v>
      </c>
      <c r="H168" s="17">
        <v>20</v>
      </c>
      <c r="I168" s="17">
        <v>391</v>
      </c>
      <c r="J168" s="17">
        <v>0</v>
      </c>
      <c r="K168" s="17">
        <v>0</v>
      </c>
      <c r="L168" s="17">
        <v>391</v>
      </c>
      <c r="M168" s="17">
        <v>0</v>
      </c>
      <c r="N168" s="17">
        <v>0</v>
      </c>
      <c r="O168" s="17">
        <v>391</v>
      </c>
      <c r="P168" s="17">
        <v>250</v>
      </c>
      <c r="Q168" s="17">
        <v>141</v>
      </c>
      <c r="R168" s="17">
        <v>0</v>
      </c>
      <c r="S168" s="17"/>
      <c r="T168" s="17" t="s">
        <v>2982</v>
      </c>
      <c r="U168" s="17" t="s">
        <v>3060</v>
      </c>
      <c r="V168" s="17" t="s">
        <v>3058</v>
      </c>
      <c r="W168" s="17"/>
      <c r="X168" s="17"/>
    </row>
    <row r="169" spans="1:24" hidden="1">
      <c r="A169" s="18">
        <v>168</v>
      </c>
      <c r="B169" s="17" t="s">
        <v>233</v>
      </c>
      <c r="C169" s="17" t="s">
        <v>234</v>
      </c>
      <c r="D169" s="17" t="s">
        <v>20</v>
      </c>
      <c r="E169" s="17" t="s">
        <v>8</v>
      </c>
      <c r="F169" s="17">
        <v>0</v>
      </c>
      <c r="G169" s="17">
        <v>0</v>
      </c>
      <c r="H169" s="17">
        <v>0</v>
      </c>
      <c r="I169" s="17">
        <v>0</v>
      </c>
      <c r="J169" s="17">
        <v>0</v>
      </c>
      <c r="K169" s="17">
        <v>0</v>
      </c>
      <c r="L169" s="17">
        <v>0</v>
      </c>
      <c r="M169" s="17">
        <v>0</v>
      </c>
      <c r="N169" s="17">
        <v>0</v>
      </c>
      <c r="O169" s="17">
        <v>0</v>
      </c>
      <c r="P169" s="17">
        <v>0</v>
      </c>
      <c r="Q169" s="17">
        <v>0</v>
      </c>
      <c r="R169" s="17">
        <v>0</v>
      </c>
      <c r="S169" s="17"/>
      <c r="T169" s="17" t="s">
        <v>3036</v>
      </c>
      <c r="U169" s="17" t="s">
        <v>3057</v>
      </c>
      <c r="V169" s="17" t="s">
        <v>3056</v>
      </c>
      <c r="W169" s="17"/>
      <c r="X169" s="17"/>
    </row>
    <row r="170" spans="1:24" hidden="1">
      <c r="A170" s="18">
        <v>169</v>
      </c>
      <c r="B170" s="17" t="s">
        <v>239</v>
      </c>
      <c r="C170" s="17" t="s">
        <v>240</v>
      </c>
      <c r="D170" s="17" t="s">
        <v>135</v>
      </c>
      <c r="E170" s="17" t="s">
        <v>8</v>
      </c>
      <c r="F170" s="17">
        <v>300</v>
      </c>
      <c r="G170" s="17">
        <v>0</v>
      </c>
      <c r="H170" s="17">
        <v>100</v>
      </c>
      <c r="I170" s="17">
        <v>200</v>
      </c>
      <c r="J170" s="17">
        <v>0</v>
      </c>
      <c r="K170" s="17">
        <v>0</v>
      </c>
      <c r="L170" s="17">
        <v>200</v>
      </c>
      <c r="M170" s="17">
        <v>0</v>
      </c>
      <c r="N170" s="17">
        <v>0</v>
      </c>
      <c r="O170" s="17">
        <v>200</v>
      </c>
      <c r="P170" s="17">
        <v>200</v>
      </c>
      <c r="Q170" s="17">
        <v>0</v>
      </c>
      <c r="R170" s="17">
        <v>0</v>
      </c>
      <c r="S170" s="17"/>
      <c r="T170" s="17" t="s">
        <v>3008</v>
      </c>
      <c r="U170" s="17" t="s">
        <v>3057</v>
      </c>
      <c r="V170" s="17" t="s">
        <v>3056</v>
      </c>
      <c r="W170" s="17"/>
      <c r="X170" s="17"/>
    </row>
    <row r="171" spans="1:24" hidden="1">
      <c r="A171" s="18">
        <v>170</v>
      </c>
      <c r="B171" s="17" t="s">
        <v>249</v>
      </c>
      <c r="C171" s="17" t="s">
        <v>250</v>
      </c>
      <c r="D171" s="17" t="s">
        <v>17</v>
      </c>
      <c r="E171" s="17" t="s">
        <v>8</v>
      </c>
      <c r="F171" s="17">
        <v>2000</v>
      </c>
      <c r="G171" s="17">
        <v>0</v>
      </c>
      <c r="H171" s="17">
        <v>0</v>
      </c>
      <c r="I171" s="17">
        <v>2000</v>
      </c>
      <c r="J171" s="17">
        <v>0</v>
      </c>
      <c r="K171" s="17">
        <v>0</v>
      </c>
      <c r="L171" s="17">
        <v>2000</v>
      </c>
      <c r="M171" s="17">
        <v>0</v>
      </c>
      <c r="N171" s="17">
        <v>0</v>
      </c>
      <c r="O171" s="17">
        <v>2000</v>
      </c>
      <c r="P171" s="17">
        <v>500</v>
      </c>
      <c r="Q171" s="17">
        <v>1500</v>
      </c>
      <c r="R171" s="17">
        <v>0</v>
      </c>
      <c r="S171" s="17"/>
      <c r="T171" s="17" t="s">
        <v>2972</v>
      </c>
      <c r="U171" s="17" t="s">
        <v>3057</v>
      </c>
      <c r="V171" s="17" t="s">
        <v>3058</v>
      </c>
      <c r="W171" s="17"/>
      <c r="X171" s="17"/>
    </row>
    <row r="172" spans="1:24" hidden="1">
      <c r="A172" s="18">
        <v>171</v>
      </c>
      <c r="B172" s="17" t="s">
        <v>251</v>
      </c>
      <c r="C172" s="17" t="s">
        <v>252</v>
      </c>
      <c r="D172" s="17" t="s">
        <v>17</v>
      </c>
      <c r="E172" s="17" t="s">
        <v>8</v>
      </c>
      <c r="F172" s="17">
        <v>1500</v>
      </c>
      <c r="G172" s="17">
        <v>0</v>
      </c>
      <c r="H172" s="17">
        <v>0</v>
      </c>
      <c r="I172" s="17">
        <v>1500</v>
      </c>
      <c r="J172" s="17">
        <v>0</v>
      </c>
      <c r="K172" s="17">
        <v>0</v>
      </c>
      <c r="L172" s="17">
        <v>1500</v>
      </c>
      <c r="M172" s="17">
        <v>0</v>
      </c>
      <c r="N172" s="17">
        <v>0</v>
      </c>
      <c r="O172" s="17">
        <v>1500</v>
      </c>
      <c r="P172" s="17">
        <v>300</v>
      </c>
      <c r="Q172" s="17">
        <v>1200</v>
      </c>
      <c r="R172" s="17">
        <v>0</v>
      </c>
      <c r="S172" s="17"/>
      <c r="T172" s="17" t="s">
        <v>2991</v>
      </c>
      <c r="U172" s="17" t="s">
        <v>3057</v>
      </c>
      <c r="V172" s="17" t="s">
        <v>3058</v>
      </c>
      <c r="W172" s="17"/>
      <c r="X172" s="17"/>
    </row>
    <row r="173" spans="1:24" hidden="1">
      <c r="A173" s="18">
        <v>172</v>
      </c>
      <c r="B173" s="17" t="s">
        <v>253</v>
      </c>
      <c r="C173" s="17" t="s">
        <v>254</v>
      </c>
      <c r="D173" s="17" t="s">
        <v>17</v>
      </c>
      <c r="E173" s="17" t="s">
        <v>8</v>
      </c>
      <c r="F173" s="17">
        <v>172</v>
      </c>
      <c r="G173" s="17">
        <v>0</v>
      </c>
      <c r="H173" s="17">
        <v>0</v>
      </c>
      <c r="I173" s="17">
        <v>172</v>
      </c>
      <c r="J173" s="17">
        <v>0</v>
      </c>
      <c r="K173" s="17">
        <v>0</v>
      </c>
      <c r="L173" s="17">
        <v>172</v>
      </c>
      <c r="M173" s="17">
        <v>0</v>
      </c>
      <c r="N173" s="17">
        <v>0</v>
      </c>
      <c r="O173" s="17">
        <v>172</v>
      </c>
      <c r="P173" s="17">
        <v>150</v>
      </c>
      <c r="Q173" s="17">
        <v>22</v>
      </c>
      <c r="R173" s="17">
        <v>0</v>
      </c>
      <c r="S173" s="17"/>
      <c r="T173" s="17" t="s">
        <v>2991</v>
      </c>
      <c r="U173" s="17" t="s">
        <v>3057</v>
      </c>
      <c r="V173" s="17" t="s">
        <v>3056</v>
      </c>
      <c r="W173" s="17"/>
      <c r="X173" s="17"/>
    </row>
    <row r="174" spans="1:24" hidden="1">
      <c r="A174" s="18">
        <v>173</v>
      </c>
      <c r="B174" s="17" t="s">
        <v>255</v>
      </c>
      <c r="C174" s="17" t="s">
        <v>256</v>
      </c>
      <c r="D174" s="17" t="s">
        <v>17</v>
      </c>
      <c r="E174" s="17" t="s">
        <v>8</v>
      </c>
      <c r="F174" s="17">
        <v>0</v>
      </c>
      <c r="G174" s="17">
        <v>0</v>
      </c>
      <c r="H174" s="17">
        <v>0</v>
      </c>
      <c r="I174" s="17">
        <v>0</v>
      </c>
      <c r="J174" s="17">
        <v>0</v>
      </c>
      <c r="K174" s="17">
        <v>0</v>
      </c>
      <c r="L174" s="17">
        <v>0</v>
      </c>
      <c r="M174" s="17">
        <v>0</v>
      </c>
      <c r="N174" s="17">
        <v>0</v>
      </c>
      <c r="O174" s="17">
        <v>0</v>
      </c>
      <c r="P174" s="17">
        <v>0</v>
      </c>
      <c r="Q174" s="17">
        <v>0</v>
      </c>
      <c r="R174" s="17">
        <v>0</v>
      </c>
      <c r="S174" s="17"/>
      <c r="T174" s="17" t="s">
        <v>2972</v>
      </c>
      <c r="U174" s="17" t="s">
        <v>3057</v>
      </c>
      <c r="V174" s="17" t="s">
        <v>3056</v>
      </c>
      <c r="W174" s="17"/>
      <c r="X174" s="17"/>
    </row>
    <row r="175" spans="1:24" hidden="1">
      <c r="A175" s="18">
        <v>174</v>
      </c>
      <c r="B175" s="17" t="s">
        <v>444</v>
      </c>
      <c r="C175" s="17" t="s">
        <v>445</v>
      </c>
      <c r="D175" s="17" t="s">
        <v>17</v>
      </c>
      <c r="E175" s="17" t="s">
        <v>8</v>
      </c>
      <c r="F175" s="17">
        <v>600</v>
      </c>
      <c r="G175" s="17">
        <v>0</v>
      </c>
      <c r="H175" s="17">
        <v>0</v>
      </c>
      <c r="I175" s="17">
        <v>600</v>
      </c>
      <c r="J175" s="17">
        <v>0</v>
      </c>
      <c r="K175" s="17">
        <v>0</v>
      </c>
      <c r="L175" s="17">
        <v>600</v>
      </c>
      <c r="M175" s="17">
        <v>0</v>
      </c>
      <c r="N175" s="17">
        <v>0</v>
      </c>
      <c r="O175" s="17">
        <v>600</v>
      </c>
      <c r="P175" s="17">
        <v>500</v>
      </c>
      <c r="Q175" s="17">
        <v>100</v>
      </c>
      <c r="R175" s="17">
        <v>0</v>
      </c>
      <c r="S175" s="17"/>
      <c r="T175" s="17" t="s">
        <v>2972</v>
      </c>
      <c r="U175" s="17" t="s">
        <v>3055</v>
      </c>
      <c r="V175" s="17" t="s">
        <v>3061</v>
      </c>
      <c r="W175" s="17"/>
      <c r="X175" s="17"/>
    </row>
    <row r="176" spans="1:24" hidden="1">
      <c r="A176" s="18">
        <v>175</v>
      </c>
      <c r="B176" s="17" t="s">
        <v>446</v>
      </c>
      <c r="C176" s="17" t="s">
        <v>447</v>
      </c>
      <c r="D176" s="17" t="s">
        <v>17</v>
      </c>
      <c r="E176" s="17" t="s">
        <v>8</v>
      </c>
      <c r="F176" s="17">
        <v>1465</v>
      </c>
      <c r="G176" s="17">
        <v>0</v>
      </c>
      <c r="H176" s="17">
        <v>0</v>
      </c>
      <c r="I176" s="17">
        <v>1465</v>
      </c>
      <c r="J176" s="17">
        <v>0</v>
      </c>
      <c r="K176" s="17">
        <v>0</v>
      </c>
      <c r="L176" s="17">
        <v>1465</v>
      </c>
      <c r="M176" s="17">
        <v>0</v>
      </c>
      <c r="N176" s="17">
        <v>0</v>
      </c>
      <c r="O176" s="17">
        <v>1465</v>
      </c>
      <c r="P176" s="17">
        <v>1000</v>
      </c>
      <c r="Q176" s="17">
        <v>465</v>
      </c>
      <c r="R176" s="17">
        <v>0</v>
      </c>
      <c r="S176" s="17"/>
      <c r="T176" s="17" t="s">
        <v>2972</v>
      </c>
      <c r="U176" s="17" t="s">
        <v>3055</v>
      </c>
      <c r="V176" s="17" t="s">
        <v>3061</v>
      </c>
      <c r="W176" s="17"/>
      <c r="X176" s="17"/>
    </row>
    <row r="177" spans="1:24" hidden="1">
      <c r="A177" s="18">
        <v>176</v>
      </c>
      <c r="B177" s="17" t="s">
        <v>448</v>
      </c>
      <c r="C177" s="17" t="s">
        <v>449</v>
      </c>
      <c r="D177" s="17" t="s">
        <v>17</v>
      </c>
      <c r="E177" s="17" t="s">
        <v>8</v>
      </c>
      <c r="F177" s="17">
        <v>1475</v>
      </c>
      <c r="G177" s="17">
        <v>0</v>
      </c>
      <c r="H177" s="17">
        <v>0</v>
      </c>
      <c r="I177" s="17">
        <v>1475</v>
      </c>
      <c r="J177" s="17">
        <v>0</v>
      </c>
      <c r="K177" s="17">
        <v>0</v>
      </c>
      <c r="L177" s="17">
        <v>1475</v>
      </c>
      <c r="M177" s="17">
        <v>0</v>
      </c>
      <c r="N177" s="17">
        <v>0</v>
      </c>
      <c r="O177" s="17">
        <v>1475</v>
      </c>
      <c r="P177" s="17">
        <v>0</v>
      </c>
      <c r="Q177" s="17">
        <v>1475</v>
      </c>
      <c r="R177" s="17">
        <v>0</v>
      </c>
      <c r="S177" s="17"/>
      <c r="T177" s="17" t="s">
        <v>2972</v>
      </c>
      <c r="U177" s="17" t="s">
        <v>3055</v>
      </c>
      <c r="V177" s="17" t="s">
        <v>3061</v>
      </c>
      <c r="W177" s="17"/>
      <c r="X177" s="17"/>
    </row>
    <row r="178" spans="1:24" hidden="1">
      <c r="A178" s="18">
        <v>177</v>
      </c>
      <c r="B178" s="17" t="s">
        <v>450</v>
      </c>
      <c r="C178" s="17" t="s">
        <v>451</v>
      </c>
      <c r="D178" s="17" t="s">
        <v>17</v>
      </c>
      <c r="E178" s="17" t="s">
        <v>8</v>
      </c>
      <c r="F178" s="17">
        <v>125</v>
      </c>
      <c r="G178" s="17">
        <v>0</v>
      </c>
      <c r="H178" s="17">
        <v>0</v>
      </c>
      <c r="I178" s="17">
        <v>125</v>
      </c>
      <c r="J178" s="17">
        <v>0</v>
      </c>
      <c r="K178" s="17">
        <v>0</v>
      </c>
      <c r="L178" s="17">
        <v>125</v>
      </c>
      <c r="M178" s="17">
        <v>0</v>
      </c>
      <c r="N178" s="17">
        <v>0</v>
      </c>
      <c r="O178" s="17">
        <v>125</v>
      </c>
      <c r="P178" s="17">
        <v>0</v>
      </c>
      <c r="Q178" s="17">
        <v>125</v>
      </c>
      <c r="R178" s="17">
        <v>0</v>
      </c>
      <c r="S178" s="17"/>
      <c r="T178" s="17" t="s">
        <v>2972</v>
      </c>
      <c r="U178" s="17" t="s">
        <v>3055</v>
      </c>
      <c r="V178" s="17" t="s">
        <v>3061</v>
      </c>
      <c r="W178" s="17"/>
      <c r="X178" s="17"/>
    </row>
    <row r="179" spans="1:24" hidden="1">
      <c r="A179" s="18">
        <v>178</v>
      </c>
      <c r="B179" s="17" t="s">
        <v>452</v>
      </c>
      <c r="C179" s="17" t="s">
        <v>453</v>
      </c>
      <c r="D179" s="17" t="s">
        <v>17</v>
      </c>
      <c r="E179" s="17" t="s">
        <v>8</v>
      </c>
      <c r="F179" s="17">
        <v>6900</v>
      </c>
      <c r="G179" s="17">
        <v>0</v>
      </c>
      <c r="H179" s="17">
        <v>0</v>
      </c>
      <c r="I179" s="17">
        <v>6900</v>
      </c>
      <c r="J179" s="17">
        <v>0</v>
      </c>
      <c r="K179" s="17">
        <v>0</v>
      </c>
      <c r="L179" s="17">
        <v>6900</v>
      </c>
      <c r="M179" s="17">
        <v>0</v>
      </c>
      <c r="N179" s="17">
        <v>0</v>
      </c>
      <c r="O179" s="17">
        <v>6900</v>
      </c>
      <c r="P179" s="17">
        <v>0</v>
      </c>
      <c r="Q179" s="17">
        <v>6900</v>
      </c>
      <c r="R179" s="17">
        <v>0</v>
      </c>
      <c r="S179" s="17"/>
      <c r="T179" s="17" t="s">
        <v>2972</v>
      </c>
      <c r="U179" s="17" t="s">
        <v>3055</v>
      </c>
      <c r="V179" s="17" t="s">
        <v>3061</v>
      </c>
      <c r="W179" s="17"/>
      <c r="X179" s="17"/>
    </row>
    <row r="180" spans="1:24" hidden="1">
      <c r="A180" s="18">
        <v>179</v>
      </c>
      <c r="B180" s="17" t="s">
        <v>454</v>
      </c>
      <c r="C180" s="17" t="s">
        <v>455</v>
      </c>
      <c r="D180" s="17" t="s">
        <v>17</v>
      </c>
      <c r="E180" s="17" t="s">
        <v>8</v>
      </c>
      <c r="F180" s="17">
        <v>2000</v>
      </c>
      <c r="G180" s="17">
        <v>0</v>
      </c>
      <c r="H180" s="17">
        <v>25</v>
      </c>
      <c r="I180" s="17">
        <v>1975</v>
      </c>
      <c r="J180" s="17">
        <v>0</v>
      </c>
      <c r="K180" s="17">
        <v>0</v>
      </c>
      <c r="L180" s="17">
        <v>1975</v>
      </c>
      <c r="M180" s="17">
        <v>0</v>
      </c>
      <c r="N180" s="17">
        <v>0</v>
      </c>
      <c r="O180" s="17">
        <v>1975</v>
      </c>
      <c r="P180" s="17">
        <v>0</v>
      </c>
      <c r="Q180" s="17">
        <v>1975</v>
      </c>
      <c r="R180" s="17">
        <v>0</v>
      </c>
      <c r="S180" s="17"/>
      <c r="T180" s="17" t="s">
        <v>2972</v>
      </c>
      <c r="U180" s="17" t="s">
        <v>3055</v>
      </c>
      <c r="V180" s="17" t="s">
        <v>3061</v>
      </c>
      <c r="W180" s="17"/>
      <c r="X180" s="17"/>
    </row>
    <row r="181" spans="1:24" hidden="1">
      <c r="A181" s="18">
        <v>180</v>
      </c>
      <c r="B181" s="17" t="s">
        <v>456</v>
      </c>
      <c r="C181" s="17" t="s">
        <v>457</v>
      </c>
      <c r="D181" s="17" t="s">
        <v>17</v>
      </c>
      <c r="E181" s="17" t="s">
        <v>8</v>
      </c>
      <c r="F181" s="17">
        <v>450</v>
      </c>
      <c r="G181" s="17">
        <v>0</v>
      </c>
      <c r="H181" s="17">
        <v>0</v>
      </c>
      <c r="I181" s="17">
        <v>450</v>
      </c>
      <c r="J181" s="17">
        <v>0</v>
      </c>
      <c r="K181" s="17">
        <v>0</v>
      </c>
      <c r="L181" s="17">
        <v>450</v>
      </c>
      <c r="M181" s="17">
        <v>0</v>
      </c>
      <c r="N181" s="17">
        <v>0</v>
      </c>
      <c r="O181" s="17">
        <v>450</v>
      </c>
      <c r="P181" s="17">
        <v>0</v>
      </c>
      <c r="Q181" s="17">
        <v>450</v>
      </c>
      <c r="R181" s="17">
        <v>0</v>
      </c>
      <c r="S181" s="17"/>
      <c r="T181" s="17" t="s">
        <v>2972</v>
      </c>
      <c r="U181" s="17" t="s">
        <v>3055</v>
      </c>
      <c r="V181" s="17" t="s">
        <v>3061</v>
      </c>
      <c r="W181" s="17"/>
      <c r="X181" s="17"/>
    </row>
    <row r="182" spans="1:24" hidden="1">
      <c r="A182" s="18">
        <v>181</v>
      </c>
      <c r="B182" s="17" t="s">
        <v>458</v>
      </c>
      <c r="C182" s="17" t="s">
        <v>459</v>
      </c>
      <c r="D182" s="17" t="s">
        <v>17</v>
      </c>
      <c r="E182" s="17" t="s">
        <v>8</v>
      </c>
      <c r="F182" s="17">
        <v>1800</v>
      </c>
      <c r="G182" s="17">
        <v>0</v>
      </c>
      <c r="H182" s="17">
        <v>0</v>
      </c>
      <c r="I182" s="17">
        <v>1800</v>
      </c>
      <c r="J182" s="17">
        <v>0</v>
      </c>
      <c r="K182" s="17">
        <v>0</v>
      </c>
      <c r="L182" s="17">
        <v>1800</v>
      </c>
      <c r="M182" s="17">
        <v>0</v>
      </c>
      <c r="N182" s="17">
        <v>0</v>
      </c>
      <c r="O182" s="17">
        <v>1800</v>
      </c>
      <c r="P182" s="17">
        <v>0</v>
      </c>
      <c r="Q182" s="17">
        <v>1800</v>
      </c>
      <c r="R182" s="17">
        <v>0</v>
      </c>
      <c r="S182" s="17"/>
      <c r="T182" s="17" t="s">
        <v>2972</v>
      </c>
      <c r="U182" s="17" t="s">
        <v>3055</v>
      </c>
      <c r="V182" s="17" t="s">
        <v>3061</v>
      </c>
      <c r="W182" s="17"/>
      <c r="X182" s="17"/>
    </row>
    <row r="183" spans="1:24" hidden="1">
      <c r="A183" s="18">
        <v>182</v>
      </c>
      <c r="B183" s="17" t="s">
        <v>460</v>
      </c>
      <c r="C183" s="17" t="s">
        <v>461</v>
      </c>
      <c r="D183" s="17" t="s">
        <v>17</v>
      </c>
      <c r="E183" s="17" t="s">
        <v>8</v>
      </c>
      <c r="F183" s="17">
        <v>350</v>
      </c>
      <c r="G183" s="17">
        <v>0</v>
      </c>
      <c r="H183" s="17">
        <v>0</v>
      </c>
      <c r="I183" s="17">
        <v>350</v>
      </c>
      <c r="J183" s="17">
        <v>0</v>
      </c>
      <c r="K183" s="17">
        <v>0</v>
      </c>
      <c r="L183" s="17">
        <v>350</v>
      </c>
      <c r="M183" s="17">
        <v>0</v>
      </c>
      <c r="N183" s="17">
        <v>0</v>
      </c>
      <c r="O183" s="17">
        <v>350</v>
      </c>
      <c r="P183" s="17">
        <v>0</v>
      </c>
      <c r="Q183" s="17">
        <v>350</v>
      </c>
      <c r="R183" s="17">
        <v>0</v>
      </c>
      <c r="S183" s="17"/>
      <c r="T183" s="17" t="s">
        <v>2972</v>
      </c>
      <c r="U183" s="17" t="s">
        <v>3055</v>
      </c>
      <c r="V183" s="17" t="s">
        <v>3061</v>
      </c>
      <c r="W183" s="17"/>
      <c r="X183" s="17"/>
    </row>
    <row r="184" spans="1:24" hidden="1">
      <c r="A184" s="18">
        <v>183</v>
      </c>
      <c r="B184" s="17" t="s">
        <v>462</v>
      </c>
      <c r="C184" s="17" t="s">
        <v>463</v>
      </c>
      <c r="D184" s="17" t="s">
        <v>17</v>
      </c>
      <c r="E184" s="17" t="s">
        <v>8</v>
      </c>
      <c r="F184" s="17">
        <v>1000</v>
      </c>
      <c r="G184" s="17">
        <v>0</v>
      </c>
      <c r="H184" s="17">
        <v>0</v>
      </c>
      <c r="I184" s="17">
        <v>1000</v>
      </c>
      <c r="J184" s="17">
        <v>0</v>
      </c>
      <c r="K184" s="17">
        <v>0</v>
      </c>
      <c r="L184" s="17">
        <v>1000</v>
      </c>
      <c r="M184" s="17">
        <v>0</v>
      </c>
      <c r="N184" s="17">
        <v>0</v>
      </c>
      <c r="O184" s="17">
        <v>1000</v>
      </c>
      <c r="P184" s="17">
        <v>0</v>
      </c>
      <c r="Q184" s="17">
        <v>1000</v>
      </c>
      <c r="R184" s="17">
        <v>0</v>
      </c>
      <c r="S184" s="17"/>
      <c r="T184" s="17" t="s">
        <v>2972</v>
      </c>
      <c r="U184" s="17" t="s">
        <v>3055</v>
      </c>
      <c r="V184" s="17" t="s">
        <v>3061</v>
      </c>
      <c r="W184" s="17"/>
      <c r="X184" s="17"/>
    </row>
    <row r="185" spans="1:24" hidden="1">
      <c r="A185" s="18">
        <v>184</v>
      </c>
      <c r="B185" s="17" t="s">
        <v>464</v>
      </c>
      <c r="C185" s="17" t="s">
        <v>465</v>
      </c>
      <c r="D185" s="17" t="s">
        <v>17</v>
      </c>
      <c r="E185" s="17" t="s">
        <v>8</v>
      </c>
      <c r="F185" s="17">
        <v>1150</v>
      </c>
      <c r="G185" s="17">
        <v>0</v>
      </c>
      <c r="H185" s="17">
        <v>0</v>
      </c>
      <c r="I185" s="17">
        <v>1150</v>
      </c>
      <c r="J185" s="17">
        <v>0</v>
      </c>
      <c r="K185" s="17">
        <v>0</v>
      </c>
      <c r="L185" s="17">
        <v>1150</v>
      </c>
      <c r="M185" s="17">
        <v>0</v>
      </c>
      <c r="N185" s="17">
        <v>0</v>
      </c>
      <c r="O185" s="17">
        <v>1150</v>
      </c>
      <c r="P185" s="17">
        <v>0</v>
      </c>
      <c r="Q185" s="17">
        <v>1150</v>
      </c>
      <c r="R185" s="17">
        <v>0</v>
      </c>
      <c r="S185" s="17"/>
      <c r="T185" s="17" t="s">
        <v>2972</v>
      </c>
      <c r="U185" s="17" t="s">
        <v>3055</v>
      </c>
      <c r="V185" s="17" t="s">
        <v>3061</v>
      </c>
      <c r="W185" s="17"/>
      <c r="X185" s="17"/>
    </row>
    <row r="186" spans="1:24" hidden="1">
      <c r="A186" s="18">
        <v>185</v>
      </c>
      <c r="B186" s="17" t="s">
        <v>466</v>
      </c>
      <c r="C186" s="17" t="s">
        <v>467</v>
      </c>
      <c r="D186" s="17" t="s">
        <v>17</v>
      </c>
      <c r="E186" s="17" t="s">
        <v>8</v>
      </c>
      <c r="F186" s="17">
        <v>1450</v>
      </c>
      <c r="G186" s="17">
        <v>0</v>
      </c>
      <c r="H186" s="17">
        <v>0</v>
      </c>
      <c r="I186" s="17">
        <v>1450</v>
      </c>
      <c r="J186" s="17">
        <v>0</v>
      </c>
      <c r="K186" s="17">
        <v>0</v>
      </c>
      <c r="L186" s="17">
        <v>1450</v>
      </c>
      <c r="M186" s="17">
        <v>0</v>
      </c>
      <c r="N186" s="17">
        <v>0</v>
      </c>
      <c r="O186" s="17">
        <v>1450</v>
      </c>
      <c r="P186" s="17">
        <v>0</v>
      </c>
      <c r="Q186" s="17">
        <v>1450</v>
      </c>
      <c r="R186" s="17">
        <v>0</v>
      </c>
      <c r="S186" s="17"/>
      <c r="T186" s="17" t="s">
        <v>2972</v>
      </c>
      <c r="U186" s="17" t="s">
        <v>3055</v>
      </c>
      <c r="V186" s="17" t="s">
        <v>3061</v>
      </c>
      <c r="W186" s="17"/>
      <c r="X186" s="17"/>
    </row>
    <row r="187" spans="1:24" hidden="1">
      <c r="A187" s="18">
        <v>186</v>
      </c>
      <c r="B187" s="17" t="s">
        <v>468</v>
      </c>
      <c r="C187" s="17" t="s">
        <v>469</v>
      </c>
      <c r="D187" s="17" t="s">
        <v>17</v>
      </c>
      <c r="E187" s="17" t="s">
        <v>8</v>
      </c>
      <c r="F187" s="17">
        <v>700</v>
      </c>
      <c r="G187" s="17">
        <v>0</v>
      </c>
      <c r="H187" s="17">
        <v>0</v>
      </c>
      <c r="I187" s="17">
        <v>700</v>
      </c>
      <c r="J187" s="17">
        <v>0</v>
      </c>
      <c r="K187" s="17">
        <v>0</v>
      </c>
      <c r="L187" s="17">
        <v>700</v>
      </c>
      <c r="M187" s="17">
        <v>0</v>
      </c>
      <c r="N187" s="17">
        <v>0</v>
      </c>
      <c r="O187" s="17">
        <v>700</v>
      </c>
      <c r="P187" s="17">
        <v>0</v>
      </c>
      <c r="Q187" s="17">
        <v>700</v>
      </c>
      <c r="R187" s="17">
        <v>0</v>
      </c>
      <c r="S187" s="17"/>
      <c r="T187" s="17" t="s">
        <v>2972</v>
      </c>
      <c r="U187" s="17" t="s">
        <v>3055</v>
      </c>
      <c r="V187" s="17" t="s">
        <v>3061</v>
      </c>
      <c r="W187" s="17"/>
      <c r="X187" s="17"/>
    </row>
    <row r="188" spans="1:24" hidden="1">
      <c r="A188" s="18">
        <v>187</v>
      </c>
      <c r="B188" s="17" t="s">
        <v>470</v>
      </c>
      <c r="C188" s="17" t="s">
        <v>471</v>
      </c>
      <c r="D188" s="17" t="s">
        <v>17</v>
      </c>
      <c r="E188" s="17" t="s">
        <v>8</v>
      </c>
      <c r="F188" s="17">
        <v>0</v>
      </c>
      <c r="G188" s="17">
        <v>0</v>
      </c>
      <c r="H188" s="17">
        <v>0</v>
      </c>
      <c r="I188" s="17">
        <v>0</v>
      </c>
      <c r="J188" s="17">
        <v>0</v>
      </c>
      <c r="K188" s="17">
        <v>0</v>
      </c>
      <c r="L188" s="17">
        <v>0</v>
      </c>
      <c r="M188" s="17">
        <v>0</v>
      </c>
      <c r="N188" s="17">
        <v>0</v>
      </c>
      <c r="O188" s="17">
        <v>0</v>
      </c>
      <c r="P188" s="17">
        <v>0</v>
      </c>
      <c r="Q188" s="17">
        <v>0</v>
      </c>
      <c r="R188" s="17">
        <v>0</v>
      </c>
      <c r="S188" s="17"/>
      <c r="T188" s="17" t="s">
        <v>2972</v>
      </c>
      <c r="U188" s="17" t="s">
        <v>3055</v>
      </c>
      <c r="V188" s="17" t="s">
        <v>3061</v>
      </c>
      <c r="W188" s="17"/>
      <c r="X188" s="17"/>
    </row>
    <row r="189" spans="1:24" hidden="1">
      <c r="A189" s="18">
        <v>188</v>
      </c>
      <c r="B189" s="17" t="s">
        <v>257</v>
      </c>
      <c r="C189" s="17" t="s">
        <v>258</v>
      </c>
      <c r="D189" s="17" t="s">
        <v>17</v>
      </c>
      <c r="E189" s="17" t="s">
        <v>8</v>
      </c>
      <c r="F189" s="17">
        <v>106</v>
      </c>
      <c r="G189" s="17">
        <v>550</v>
      </c>
      <c r="H189" s="17">
        <v>355</v>
      </c>
      <c r="I189" s="17">
        <v>301</v>
      </c>
      <c r="J189" s="17">
        <v>0</v>
      </c>
      <c r="K189" s="17">
        <v>0</v>
      </c>
      <c r="L189" s="17">
        <v>301</v>
      </c>
      <c r="M189" s="17">
        <v>0</v>
      </c>
      <c r="N189" s="17">
        <v>0</v>
      </c>
      <c r="O189" s="17">
        <v>301</v>
      </c>
      <c r="P189" s="17">
        <v>0</v>
      </c>
      <c r="Q189" s="17">
        <v>301</v>
      </c>
      <c r="R189" s="17">
        <v>0</v>
      </c>
      <c r="S189" s="17"/>
      <c r="T189" s="17" t="s">
        <v>2998</v>
      </c>
      <c r="U189" s="17" t="s">
        <v>3057</v>
      </c>
      <c r="V189" s="17" t="s">
        <v>3056</v>
      </c>
      <c r="W189" s="17"/>
      <c r="X189" s="17"/>
    </row>
    <row r="190" spans="1:24" hidden="1">
      <c r="A190" s="18">
        <v>189</v>
      </c>
      <c r="B190" s="17" t="s">
        <v>474</v>
      </c>
      <c r="C190" s="17" t="s">
        <v>475</v>
      </c>
      <c r="D190" s="17" t="s">
        <v>20</v>
      </c>
      <c r="E190" s="17" t="s">
        <v>8</v>
      </c>
      <c r="F190" s="17">
        <v>9887.89</v>
      </c>
      <c r="G190" s="17">
        <v>10052.700000000001</v>
      </c>
      <c r="H190" s="17">
        <v>12907.7</v>
      </c>
      <c r="I190" s="17">
        <v>7032.89</v>
      </c>
      <c r="J190" s="17">
        <v>0</v>
      </c>
      <c r="K190" s="17">
        <v>0</v>
      </c>
      <c r="L190" s="17">
        <v>7032.89</v>
      </c>
      <c r="M190" s="17">
        <v>0</v>
      </c>
      <c r="N190" s="17">
        <v>0</v>
      </c>
      <c r="O190" s="17">
        <v>7032.89</v>
      </c>
      <c r="P190" s="17">
        <v>6000</v>
      </c>
      <c r="Q190" s="17">
        <v>1032.8900000000003</v>
      </c>
      <c r="R190" s="17">
        <v>15000</v>
      </c>
      <c r="S190" s="17"/>
      <c r="T190" s="17" t="s">
        <v>2965</v>
      </c>
      <c r="U190" s="17" t="s">
        <v>3060</v>
      </c>
      <c r="V190" s="17" t="s">
        <v>3058</v>
      </c>
      <c r="W190" s="17"/>
      <c r="X190" s="17"/>
    </row>
    <row r="191" spans="1:24" hidden="1">
      <c r="A191" s="18">
        <v>190</v>
      </c>
      <c r="B191" s="17" t="s">
        <v>478</v>
      </c>
      <c r="C191" s="17" t="s">
        <v>479</v>
      </c>
      <c r="D191" s="17" t="s">
        <v>20</v>
      </c>
      <c r="E191" s="17" t="s">
        <v>8</v>
      </c>
      <c r="F191" s="17">
        <v>0</v>
      </c>
      <c r="G191" s="17">
        <v>0</v>
      </c>
      <c r="H191" s="17">
        <v>0</v>
      </c>
      <c r="I191" s="17">
        <v>0</v>
      </c>
      <c r="J191" s="17">
        <v>0</v>
      </c>
      <c r="K191" s="17">
        <v>0</v>
      </c>
      <c r="L191" s="17">
        <v>0</v>
      </c>
      <c r="M191" s="17">
        <v>0</v>
      </c>
      <c r="N191" s="17">
        <v>0</v>
      </c>
      <c r="O191" s="17">
        <v>0</v>
      </c>
      <c r="P191" s="17">
        <v>0</v>
      </c>
      <c r="Q191" s="17">
        <v>0</v>
      </c>
      <c r="R191" s="17">
        <v>0</v>
      </c>
      <c r="S191" s="17"/>
      <c r="T191" s="17" t="s">
        <v>3006</v>
      </c>
      <c r="U191" s="17" t="s">
        <v>3060</v>
      </c>
      <c r="V191" s="17" t="s">
        <v>3058</v>
      </c>
      <c r="W191" s="17"/>
      <c r="X191" s="17"/>
    </row>
    <row r="192" spans="1:24" hidden="1">
      <c r="A192" s="18">
        <v>191</v>
      </c>
      <c r="B192" s="17" t="s">
        <v>259</v>
      </c>
      <c r="C192" s="17" t="s">
        <v>260</v>
      </c>
      <c r="D192" s="17" t="s">
        <v>17</v>
      </c>
      <c r="E192" s="17" t="s">
        <v>8</v>
      </c>
      <c r="F192" s="17">
        <v>500</v>
      </c>
      <c r="G192" s="17">
        <v>0</v>
      </c>
      <c r="H192" s="17">
        <v>0</v>
      </c>
      <c r="I192" s="17">
        <v>500</v>
      </c>
      <c r="J192" s="17">
        <v>0</v>
      </c>
      <c r="K192" s="17">
        <v>0</v>
      </c>
      <c r="L192" s="17">
        <v>500</v>
      </c>
      <c r="M192" s="17">
        <v>0</v>
      </c>
      <c r="N192" s="17">
        <v>0</v>
      </c>
      <c r="O192" s="17">
        <v>500</v>
      </c>
      <c r="P192" s="17">
        <v>100</v>
      </c>
      <c r="Q192" s="17">
        <v>400</v>
      </c>
      <c r="R192" s="17">
        <v>0</v>
      </c>
      <c r="S192" s="17"/>
      <c r="T192" s="17" t="s">
        <v>2972</v>
      </c>
      <c r="U192" s="17" t="s">
        <v>3057</v>
      </c>
      <c r="V192" s="17" t="s">
        <v>3058</v>
      </c>
      <c r="W192" s="17"/>
      <c r="X192" s="17"/>
    </row>
    <row r="193" spans="1:24" hidden="1">
      <c r="A193" s="18">
        <v>192</v>
      </c>
      <c r="B193" s="17" t="s">
        <v>275</v>
      </c>
      <c r="C193" s="17" t="s">
        <v>276</v>
      </c>
      <c r="D193" s="17" t="s">
        <v>17</v>
      </c>
      <c r="E193" s="17" t="s">
        <v>8</v>
      </c>
      <c r="F193" s="17">
        <v>4179</v>
      </c>
      <c r="G193" s="17">
        <v>0</v>
      </c>
      <c r="H193" s="17">
        <v>504</v>
      </c>
      <c r="I193" s="17">
        <v>3675</v>
      </c>
      <c r="J193" s="17">
        <v>0</v>
      </c>
      <c r="K193" s="17">
        <v>0</v>
      </c>
      <c r="L193" s="17">
        <v>3675</v>
      </c>
      <c r="M193" s="17">
        <v>0</v>
      </c>
      <c r="N193" s="17">
        <v>0</v>
      </c>
      <c r="O193" s="17">
        <v>3675</v>
      </c>
      <c r="P193" s="17">
        <v>1500</v>
      </c>
      <c r="Q193" s="17">
        <v>2175</v>
      </c>
      <c r="R193" s="17">
        <v>0</v>
      </c>
      <c r="S193" s="17"/>
      <c r="T193" s="17" t="s">
        <v>2972</v>
      </c>
      <c r="U193" s="17" t="s">
        <v>3057</v>
      </c>
      <c r="V193" s="17" t="s">
        <v>3058</v>
      </c>
      <c r="W193" s="17"/>
      <c r="X193" s="17"/>
    </row>
    <row r="194" spans="1:24" hidden="1">
      <c r="A194" s="18">
        <v>193</v>
      </c>
      <c r="B194" s="17" t="s">
        <v>277</v>
      </c>
      <c r="C194" s="17" t="s">
        <v>278</v>
      </c>
      <c r="D194" s="17" t="s">
        <v>17</v>
      </c>
      <c r="E194" s="17" t="s">
        <v>8</v>
      </c>
      <c r="F194" s="17">
        <v>50</v>
      </c>
      <c r="G194" s="17">
        <v>0</v>
      </c>
      <c r="H194" s="17">
        <v>0</v>
      </c>
      <c r="I194" s="17">
        <v>50</v>
      </c>
      <c r="J194" s="17">
        <v>0</v>
      </c>
      <c r="K194" s="17">
        <v>0</v>
      </c>
      <c r="L194" s="17">
        <v>50</v>
      </c>
      <c r="M194" s="17">
        <v>0</v>
      </c>
      <c r="N194" s="17">
        <v>0</v>
      </c>
      <c r="O194" s="17">
        <v>50</v>
      </c>
      <c r="P194" s="17">
        <v>0</v>
      </c>
      <c r="Q194" s="17">
        <v>50</v>
      </c>
      <c r="R194" s="17">
        <v>0</v>
      </c>
      <c r="S194" s="17"/>
      <c r="T194" s="17" t="s">
        <v>2991</v>
      </c>
      <c r="U194" s="17" t="s">
        <v>3057</v>
      </c>
      <c r="V194" s="17" t="s">
        <v>3056</v>
      </c>
      <c r="W194" s="17"/>
      <c r="X194" s="17"/>
    </row>
    <row r="195" spans="1:24" hidden="1">
      <c r="A195" s="18">
        <v>194</v>
      </c>
      <c r="B195" s="17" t="s">
        <v>488</v>
      </c>
      <c r="C195" s="17" t="s">
        <v>489</v>
      </c>
      <c r="D195" s="17" t="s">
        <v>17</v>
      </c>
      <c r="E195" s="17" t="s">
        <v>8</v>
      </c>
      <c r="F195" s="17">
        <v>0</v>
      </c>
      <c r="G195" s="17">
        <v>0</v>
      </c>
      <c r="H195" s="17">
        <v>0</v>
      </c>
      <c r="I195" s="17">
        <v>0</v>
      </c>
      <c r="J195" s="17">
        <v>0</v>
      </c>
      <c r="K195" s="17">
        <v>0</v>
      </c>
      <c r="L195" s="17">
        <v>0</v>
      </c>
      <c r="M195" s="17">
        <v>0</v>
      </c>
      <c r="N195" s="17">
        <v>0</v>
      </c>
      <c r="O195" s="17">
        <v>0</v>
      </c>
      <c r="P195" s="17">
        <v>0</v>
      </c>
      <c r="Q195" s="17">
        <v>0</v>
      </c>
      <c r="R195" s="17">
        <v>0</v>
      </c>
      <c r="S195" s="17"/>
      <c r="T195" s="17" t="s">
        <v>2972</v>
      </c>
      <c r="U195" s="17" t="s">
        <v>3055</v>
      </c>
      <c r="V195" s="17" t="s">
        <v>3056</v>
      </c>
      <c r="W195" s="17"/>
      <c r="X195" s="17"/>
    </row>
    <row r="196" spans="1:24" hidden="1">
      <c r="A196" s="18">
        <v>195</v>
      </c>
      <c r="B196" s="17" t="s">
        <v>281</v>
      </c>
      <c r="C196" s="17" t="s">
        <v>282</v>
      </c>
      <c r="D196" s="17" t="s">
        <v>17</v>
      </c>
      <c r="E196" s="17" t="s">
        <v>8</v>
      </c>
      <c r="F196" s="17">
        <v>3500</v>
      </c>
      <c r="G196" s="17">
        <v>0</v>
      </c>
      <c r="H196" s="17">
        <v>0</v>
      </c>
      <c r="I196" s="17">
        <v>3500</v>
      </c>
      <c r="J196" s="17">
        <v>0</v>
      </c>
      <c r="K196" s="17">
        <v>0</v>
      </c>
      <c r="L196" s="17">
        <v>3500</v>
      </c>
      <c r="M196" s="17">
        <v>0</v>
      </c>
      <c r="N196" s="17">
        <v>0</v>
      </c>
      <c r="O196" s="17">
        <v>3500</v>
      </c>
      <c r="P196" s="17">
        <v>1000</v>
      </c>
      <c r="Q196" s="17">
        <v>2500</v>
      </c>
      <c r="R196" s="17">
        <v>0</v>
      </c>
      <c r="S196" s="17"/>
      <c r="T196" s="17" t="s">
        <v>2991</v>
      </c>
      <c r="U196" s="17" t="s">
        <v>3057</v>
      </c>
      <c r="V196" s="17" t="s">
        <v>3058</v>
      </c>
      <c r="W196" s="17"/>
      <c r="X196" s="17"/>
    </row>
    <row r="197" spans="1:24" hidden="1">
      <c r="A197" s="18">
        <v>196</v>
      </c>
      <c r="B197" s="17" t="s">
        <v>302</v>
      </c>
      <c r="C197" s="17" t="s">
        <v>303</v>
      </c>
      <c r="D197" s="17" t="s">
        <v>17</v>
      </c>
      <c r="E197" s="17" t="s">
        <v>8</v>
      </c>
      <c r="F197" s="17">
        <v>0</v>
      </c>
      <c r="G197" s="17">
        <v>0</v>
      </c>
      <c r="H197" s="17">
        <v>0</v>
      </c>
      <c r="I197" s="17">
        <v>0</v>
      </c>
      <c r="J197" s="17">
        <v>0</v>
      </c>
      <c r="K197" s="17">
        <v>0</v>
      </c>
      <c r="L197" s="17">
        <v>0</v>
      </c>
      <c r="M197" s="17">
        <v>0</v>
      </c>
      <c r="N197" s="17">
        <v>0</v>
      </c>
      <c r="O197" s="17">
        <v>0</v>
      </c>
      <c r="P197" s="17">
        <v>0</v>
      </c>
      <c r="Q197" s="17">
        <v>0</v>
      </c>
      <c r="R197" s="17">
        <v>0</v>
      </c>
      <c r="S197" s="17"/>
      <c r="T197" s="17" t="s">
        <v>2991</v>
      </c>
      <c r="U197" s="17" t="s">
        <v>3057</v>
      </c>
      <c r="V197" s="17" t="s">
        <v>3056</v>
      </c>
      <c r="W197" s="17"/>
      <c r="X197" s="17"/>
    </row>
    <row r="198" spans="1:24" hidden="1">
      <c r="A198" s="18">
        <v>197</v>
      </c>
      <c r="B198" s="17" t="s">
        <v>494</v>
      </c>
      <c r="C198" s="17" t="s">
        <v>495</v>
      </c>
      <c r="D198" s="17" t="s">
        <v>17</v>
      </c>
      <c r="E198" s="17" t="s">
        <v>8</v>
      </c>
      <c r="F198" s="17">
        <v>0</v>
      </c>
      <c r="G198" s="17">
        <v>0</v>
      </c>
      <c r="H198" s="17">
        <v>0</v>
      </c>
      <c r="I198" s="17">
        <v>0</v>
      </c>
      <c r="J198" s="17">
        <v>0</v>
      </c>
      <c r="K198" s="17">
        <v>0</v>
      </c>
      <c r="L198" s="17">
        <v>0</v>
      </c>
      <c r="M198" s="17">
        <v>0</v>
      </c>
      <c r="N198" s="17">
        <v>0</v>
      </c>
      <c r="O198" s="17">
        <v>0</v>
      </c>
      <c r="P198" s="17">
        <v>0</v>
      </c>
      <c r="Q198" s="17">
        <v>0</v>
      </c>
      <c r="R198" s="17">
        <v>0</v>
      </c>
      <c r="S198" s="17"/>
      <c r="T198" s="17" t="s">
        <v>2972</v>
      </c>
      <c r="U198" s="17" t="s">
        <v>3055</v>
      </c>
      <c r="V198" s="17" t="s">
        <v>3056</v>
      </c>
      <c r="W198" s="17"/>
      <c r="X198" s="17"/>
    </row>
    <row r="199" spans="1:24" hidden="1">
      <c r="A199" s="18">
        <v>198</v>
      </c>
      <c r="B199" s="17" t="s">
        <v>317</v>
      </c>
      <c r="C199" s="17" t="s">
        <v>318</v>
      </c>
      <c r="D199" s="17" t="s">
        <v>17</v>
      </c>
      <c r="E199" s="17" t="s">
        <v>8</v>
      </c>
      <c r="F199" s="17">
        <v>28</v>
      </c>
      <c r="G199" s="17">
        <v>0</v>
      </c>
      <c r="H199" s="17">
        <v>0</v>
      </c>
      <c r="I199" s="17">
        <v>28</v>
      </c>
      <c r="J199" s="17">
        <v>0</v>
      </c>
      <c r="K199" s="17">
        <v>0</v>
      </c>
      <c r="L199" s="17">
        <v>28</v>
      </c>
      <c r="M199" s="17">
        <v>0</v>
      </c>
      <c r="N199" s="17">
        <v>0</v>
      </c>
      <c r="O199" s="17">
        <v>28</v>
      </c>
      <c r="P199" s="17">
        <v>24</v>
      </c>
      <c r="Q199" s="17">
        <v>4</v>
      </c>
      <c r="R199" s="17">
        <v>0</v>
      </c>
      <c r="S199" s="17"/>
      <c r="T199" s="17" t="s">
        <v>2991</v>
      </c>
      <c r="U199" s="17" t="s">
        <v>3057</v>
      </c>
      <c r="V199" s="17" t="s">
        <v>3056</v>
      </c>
      <c r="W199" s="17"/>
      <c r="X199" s="17"/>
    </row>
    <row r="200" spans="1:24" hidden="1">
      <c r="A200" s="18">
        <v>199</v>
      </c>
      <c r="B200" s="17" t="s">
        <v>319</v>
      </c>
      <c r="C200" s="17" t="s">
        <v>320</v>
      </c>
      <c r="D200" s="17" t="s">
        <v>17</v>
      </c>
      <c r="E200" s="17" t="s">
        <v>8</v>
      </c>
      <c r="F200" s="17">
        <v>640</v>
      </c>
      <c r="G200" s="17">
        <v>320</v>
      </c>
      <c r="H200" s="17">
        <v>160</v>
      </c>
      <c r="I200" s="17">
        <v>800</v>
      </c>
      <c r="J200" s="17">
        <v>0</v>
      </c>
      <c r="K200" s="17">
        <v>0</v>
      </c>
      <c r="L200" s="17">
        <v>800</v>
      </c>
      <c r="M200" s="17">
        <v>0</v>
      </c>
      <c r="N200" s="17">
        <v>0</v>
      </c>
      <c r="O200" s="17">
        <v>800</v>
      </c>
      <c r="P200" s="17">
        <v>350</v>
      </c>
      <c r="Q200" s="17">
        <v>450</v>
      </c>
      <c r="R200" s="17">
        <v>320</v>
      </c>
      <c r="S200" s="17"/>
      <c r="T200" s="17" t="s">
        <v>2991</v>
      </c>
      <c r="U200" s="17" t="s">
        <v>3057</v>
      </c>
      <c r="V200" s="17" t="s">
        <v>3056</v>
      </c>
      <c r="W200" s="17"/>
      <c r="X200" s="17"/>
    </row>
    <row r="201" spans="1:24" hidden="1">
      <c r="A201" s="18">
        <v>200</v>
      </c>
      <c r="B201" s="17" t="s">
        <v>502</v>
      </c>
      <c r="C201" s="17" t="s">
        <v>503</v>
      </c>
      <c r="D201" s="17" t="s">
        <v>17</v>
      </c>
      <c r="E201" s="17" t="s">
        <v>8</v>
      </c>
      <c r="F201" s="17">
        <v>0</v>
      </c>
      <c r="G201" s="17">
        <v>0</v>
      </c>
      <c r="H201" s="17">
        <v>0</v>
      </c>
      <c r="I201" s="17">
        <v>0</v>
      </c>
      <c r="J201" s="17">
        <v>0</v>
      </c>
      <c r="K201" s="17">
        <v>0</v>
      </c>
      <c r="L201" s="17">
        <v>0</v>
      </c>
      <c r="M201" s="17">
        <v>0</v>
      </c>
      <c r="N201" s="17">
        <v>0</v>
      </c>
      <c r="O201" s="17">
        <v>0</v>
      </c>
      <c r="P201" s="17">
        <v>0</v>
      </c>
      <c r="Q201" s="17">
        <v>0</v>
      </c>
      <c r="R201" s="17">
        <v>0</v>
      </c>
      <c r="S201" s="17"/>
      <c r="T201" s="17" t="s">
        <v>2972</v>
      </c>
      <c r="U201" s="17" t="s">
        <v>3055</v>
      </c>
      <c r="V201" s="17" t="s">
        <v>3056</v>
      </c>
      <c r="W201" s="17"/>
      <c r="X201" s="17"/>
    </row>
    <row r="202" spans="1:24" hidden="1">
      <c r="A202" s="18">
        <v>201</v>
      </c>
      <c r="B202" s="17" t="s">
        <v>321</v>
      </c>
      <c r="C202" s="17" t="s">
        <v>322</v>
      </c>
      <c r="D202" s="17" t="s">
        <v>17</v>
      </c>
      <c r="E202" s="17" t="s">
        <v>8</v>
      </c>
      <c r="F202" s="17">
        <v>92</v>
      </c>
      <c r="G202" s="17">
        <v>80</v>
      </c>
      <c r="H202" s="17">
        <v>44</v>
      </c>
      <c r="I202" s="17">
        <v>128</v>
      </c>
      <c r="J202" s="17">
        <v>0</v>
      </c>
      <c r="K202" s="17">
        <v>0</v>
      </c>
      <c r="L202" s="17">
        <v>128</v>
      </c>
      <c r="M202" s="17">
        <v>0</v>
      </c>
      <c r="N202" s="17">
        <v>0</v>
      </c>
      <c r="O202" s="17">
        <v>128</v>
      </c>
      <c r="P202" s="17">
        <v>80</v>
      </c>
      <c r="Q202" s="17">
        <v>48</v>
      </c>
      <c r="R202" s="17">
        <v>80</v>
      </c>
      <c r="S202" s="17"/>
      <c r="T202" s="17" t="s">
        <v>2972</v>
      </c>
      <c r="U202" s="17" t="s">
        <v>3057</v>
      </c>
      <c r="V202" s="17" t="s">
        <v>3056</v>
      </c>
      <c r="W202" s="17"/>
      <c r="X202" s="17"/>
    </row>
    <row r="203" spans="1:24" hidden="1">
      <c r="A203" s="18">
        <v>202</v>
      </c>
      <c r="B203" s="17" t="s">
        <v>329</v>
      </c>
      <c r="C203" s="17" t="s">
        <v>330</v>
      </c>
      <c r="D203" s="17" t="s">
        <v>17</v>
      </c>
      <c r="E203" s="17" t="s">
        <v>8</v>
      </c>
      <c r="F203" s="17">
        <v>0</v>
      </c>
      <c r="G203" s="17">
        <v>0</v>
      </c>
      <c r="H203" s="17">
        <v>0</v>
      </c>
      <c r="I203" s="17">
        <v>0</v>
      </c>
      <c r="J203" s="17">
        <v>0</v>
      </c>
      <c r="K203" s="17">
        <v>0</v>
      </c>
      <c r="L203" s="17">
        <v>0</v>
      </c>
      <c r="M203" s="17">
        <v>0</v>
      </c>
      <c r="N203" s="17">
        <v>0</v>
      </c>
      <c r="O203" s="17">
        <v>0</v>
      </c>
      <c r="P203" s="17">
        <v>0</v>
      </c>
      <c r="Q203" s="17">
        <v>0</v>
      </c>
      <c r="R203" s="17">
        <v>0</v>
      </c>
      <c r="S203" s="17"/>
      <c r="T203" s="17" t="s">
        <v>2972</v>
      </c>
      <c r="U203" s="17" t="s">
        <v>3057</v>
      </c>
      <c r="V203" s="17" t="s">
        <v>3056</v>
      </c>
      <c r="W203" s="17"/>
      <c r="X203" s="17"/>
    </row>
    <row r="204" spans="1:24" hidden="1">
      <c r="A204" s="18">
        <v>203</v>
      </c>
      <c r="B204" s="17" t="s">
        <v>508</v>
      </c>
      <c r="C204" s="17" t="s">
        <v>509</v>
      </c>
      <c r="D204" s="17" t="s">
        <v>17</v>
      </c>
      <c r="E204" s="17" t="s">
        <v>8</v>
      </c>
      <c r="F204" s="17">
        <v>0</v>
      </c>
      <c r="G204" s="17">
        <v>0</v>
      </c>
      <c r="H204" s="17">
        <v>0</v>
      </c>
      <c r="I204" s="17">
        <v>0</v>
      </c>
      <c r="J204" s="17">
        <v>0</v>
      </c>
      <c r="K204" s="17">
        <v>0</v>
      </c>
      <c r="L204" s="17">
        <v>0</v>
      </c>
      <c r="M204" s="17">
        <v>0</v>
      </c>
      <c r="N204" s="17">
        <v>0</v>
      </c>
      <c r="O204" s="17">
        <v>0</v>
      </c>
      <c r="P204" s="17">
        <v>0</v>
      </c>
      <c r="Q204" s="17">
        <v>0</v>
      </c>
      <c r="R204" s="17">
        <v>0</v>
      </c>
      <c r="S204" s="17"/>
      <c r="T204" s="17" t="s">
        <v>2972</v>
      </c>
      <c r="U204" s="17" t="s">
        <v>3055</v>
      </c>
      <c r="V204" s="17" t="s">
        <v>3056</v>
      </c>
      <c r="W204" s="17"/>
      <c r="X204" s="17"/>
    </row>
    <row r="205" spans="1:24" hidden="1">
      <c r="A205" s="18">
        <v>204</v>
      </c>
      <c r="B205" s="17" t="s">
        <v>510</v>
      </c>
      <c r="C205" s="17" t="s">
        <v>511</v>
      </c>
      <c r="D205" s="17" t="s">
        <v>17</v>
      </c>
      <c r="E205" s="17" t="s">
        <v>8</v>
      </c>
      <c r="F205" s="17">
        <v>0</v>
      </c>
      <c r="G205" s="17">
        <v>30</v>
      </c>
      <c r="H205" s="17">
        <v>30</v>
      </c>
      <c r="I205" s="17">
        <v>0</v>
      </c>
      <c r="J205" s="17">
        <v>0</v>
      </c>
      <c r="K205" s="17">
        <v>0</v>
      </c>
      <c r="L205" s="17">
        <v>0</v>
      </c>
      <c r="M205" s="17">
        <v>0</v>
      </c>
      <c r="N205" s="17">
        <v>0</v>
      </c>
      <c r="O205" s="17">
        <v>0</v>
      </c>
      <c r="P205" s="17">
        <v>0</v>
      </c>
      <c r="Q205" s="17">
        <v>0</v>
      </c>
      <c r="R205" s="17">
        <v>0</v>
      </c>
      <c r="S205" s="17"/>
      <c r="T205" s="17" t="s">
        <v>2982</v>
      </c>
      <c r="U205" s="17" t="s">
        <v>3060</v>
      </c>
      <c r="V205" s="17" t="s">
        <v>3061</v>
      </c>
      <c r="W205" s="17"/>
      <c r="X205" s="17"/>
    </row>
    <row r="206" spans="1:24" hidden="1">
      <c r="A206" s="18">
        <v>205</v>
      </c>
      <c r="B206" s="17" t="s">
        <v>512</v>
      </c>
      <c r="C206" s="17" t="s">
        <v>513</v>
      </c>
      <c r="D206" s="17" t="s">
        <v>17</v>
      </c>
      <c r="E206" s="17" t="s">
        <v>8</v>
      </c>
      <c r="F206" s="17">
        <v>389</v>
      </c>
      <c r="G206" s="17">
        <v>1000</v>
      </c>
      <c r="H206" s="17">
        <v>25</v>
      </c>
      <c r="I206" s="17">
        <v>1364</v>
      </c>
      <c r="J206" s="17">
        <v>0</v>
      </c>
      <c r="K206" s="17">
        <v>0</v>
      </c>
      <c r="L206" s="17">
        <v>1364</v>
      </c>
      <c r="M206" s="17">
        <v>0</v>
      </c>
      <c r="N206" s="17">
        <v>0</v>
      </c>
      <c r="O206" s="17">
        <v>1364</v>
      </c>
      <c r="P206" s="17">
        <v>300</v>
      </c>
      <c r="Q206" s="17">
        <v>1064</v>
      </c>
      <c r="R206" s="17">
        <v>0</v>
      </c>
      <c r="S206" s="17"/>
      <c r="T206" s="17" t="s">
        <v>2982</v>
      </c>
      <c r="U206" s="17" t="s">
        <v>3060</v>
      </c>
      <c r="V206" s="17" t="s">
        <v>3061</v>
      </c>
      <c r="W206" s="17"/>
      <c r="X206" s="17"/>
    </row>
    <row r="207" spans="1:24" s="40" customFormat="1">
      <c r="A207" s="26">
        <v>206</v>
      </c>
      <c r="B207" s="25" t="s">
        <v>514</v>
      </c>
      <c r="C207" s="25" t="s">
        <v>515</v>
      </c>
      <c r="D207" s="25" t="s">
        <v>17</v>
      </c>
      <c r="E207" s="25" t="s">
        <v>8</v>
      </c>
      <c r="F207" s="25">
        <v>41</v>
      </c>
      <c r="G207" s="25">
        <v>820</v>
      </c>
      <c r="H207" s="25">
        <v>741</v>
      </c>
      <c r="I207" s="17">
        <v>120</v>
      </c>
      <c r="J207" s="17">
        <v>0</v>
      </c>
      <c r="K207" s="17">
        <v>0</v>
      </c>
      <c r="L207" s="17">
        <v>120</v>
      </c>
      <c r="M207" s="17">
        <v>0</v>
      </c>
      <c r="N207" s="17">
        <v>0</v>
      </c>
      <c r="O207" s="25">
        <v>120</v>
      </c>
      <c r="P207" s="25">
        <v>300</v>
      </c>
      <c r="Q207" s="25">
        <v>-180</v>
      </c>
      <c r="R207" s="25">
        <v>1000</v>
      </c>
      <c r="S207" s="25"/>
      <c r="T207" s="25" t="s">
        <v>2982</v>
      </c>
      <c r="U207" s="25" t="s">
        <v>3060</v>
      </c>
      <c r="V207" s="25" t="s">
        <v>3061</v>
      </c>
      <c r="W207" s="25"/>
      <c r="X207" s="25"/>
    </row>
    <row r="208" spans="1:24" hidden="1">
      <c r="A208" s="18">
        <v>207</v>
      </c>
      <c r="B208" s="17" t="s">
        <v>331</v>
      </c>
      <c r="C208" s="17" t="s">
        <v>332</v>
      </c>
      <c r="D208" s="17" t="s">
        <v>17</v>
      </c>
      <c r="E208" s="17" t="s">
        <v>8</v>
      </c>
      <c r="F208" s="17">
        <v>0</v>
      </c>
      <c r="G208" s="17">
        <v>0</v>
      </c>
      <c r="H208" s="17">
        <v>0</v>
      </c>
      <c r="I208" s="17">
        <v>0</v>
      </c>
      <c r="J208" s="17">
        <v>0</v>
      </c>
      <c r="K208" s="17">
        <v>0</v>
      </c>
      <c r="L208" s="17">
        <v>0</v>
      </c>
      <c r="M208" s="17">
        <v>0</v>
      </c>
      <c r="N208" s="17">
        <v>0</v>
      </c>
      <c r="O208" s="17">
        <v>0</v>
      </c>
      <c r="P208" s="17">
        <v>0</v>
      </c>
      <c r="Q208" s="17">
        <v>0</v>
      </c>
      <c r="R208" s="17">
        <v>0</v>
      </c>
      <c r="S208" s="17"/>
      <c r="T208" s="17" t="s">
        <v>2972</v>
      </c>
      <c r="U208" s="17" t="s">
        <v>3057</v>
      </c>
      <c r="V208" s="17" t="s">
        <v>3056</v>
      </c>
      <c r="W208" s="17"/>
      <c r="X208" s="17"/>
    </row>
    <row r="209" spans="1:24" hidden="1">
      <c r="A209" s="18">
        <v>208</v>
      </c>
      <c r="B209" s="17" t="s">
        <v>341</v>
      </c>
      <c r="C209" s="17" t="s">
        <v>342</v>
      </c>
      <c r="D209" s="17" t="s">
        <v>17</v>
      </c>
      <c r="E209" s="17" t="s">
        <v>8</v>
      </c>
      <c r="F209" s="17">
        <v>80</v>
      </c>
      <c r="G209" s="17">
        <v>350</v>
      </c>
      <c r="H209" s="17">
        <v>200</v>
      </c>
      <c r="I209" s="17">
        <v>230</v>
      </c>
      <c r="J209" s="17">
        <v>0</v>
      </c>
      <c r="K209" s="17">
        <v>0</v>
      </c>
      <c r="L209" s="17">
        <v>230</v>
      </c>
      <c r="M209" s="17">
        <v>0</v>
      </c>
      <c r="N209" s="17">
        <v>0</v>
      </c>
      <c r="O209" s="17">
        <v>230</v>
      </c>
      <c r="P209" s="17">
        <v>150</v>
      </c>
      <c r="Q209" s="17">
        <v>80</v>
      </c>
      <c r="R209" s="17">
        <v>400</v>
      </c>
      <c r="S209" s="17"/>
      <c r="T209" s="17" t="s">
        <v>2974</v>
      </c>
      <c r="U209" s="17" t="s">
        <v>3057</v>
      </c>
      <c r="V209" s="17" t="s">
        <v>3058</v>
      </c>
      <c r="W209" s="17"/>
      <c r="X209" s="17"/>
    </row>
    <row r="210" spans="1:24" hidden="1">
      <c r="A210" s="18">
        <v>209</v>
      </c>
      <c r="B210" s="17" t="s">
        <v>345</v>
      </c>
      <c r="C210" s="17" t="s">
        <v>346</v>
      </c>
      <c r="D210" s="17" t="s">
        <v>17</v>
      </c>
      <c r="E210" s="17" t="s">
        <v>8</v>
      </c>
      <c r="F210" s="17">
        <v>72</v>
      </c>
      <c r="G210" s="17">
        <v>216</v>
      </c>
      <c r="H210" s="17">
        <v>186</v>
      </c>
      <c r="I210" s="17">
        <v>102</v>
      </c>
      <c r="J210" s="17">
        <v>0</v>
      </c>
      <c r="K210" s="17">
        <v>0</v>
      </c>
      <c r="L210" s="17">
        <v>102</v>
      </c>
      <c r="M210" s="17">
        <v>0</v>
      </c>
      <c r="N210" s="17">
        <v>0</v>
      </c>
      <c r="O210" s="17">
        <v>102</v>
      </c>
      <c r="P210" s="17">
        <v>100</v>
      </c>
      <c r="Q210" s="17">
        <v>2</v>
      </c>
      <c r="R210" s="17">
        <v>400</v>
      </c>
      <c r="S210" s="17"/>
      <c r="T210" s="17" t="s">
        <v>2963</v>
      </c>
      <c r="U210" s="17" t="s">
        <v>3057</v>
      </c>
      <c r="V210" s="17" t="s">
        <v>3056</v>
      </c>
      <c r="W210" s="17"/>
      <c r="X210" s="17"/>
    </row>
    <row r="211" spans="1:24" hidden="1">
      <c r="A211" s="18">
        <v>210</v>
      </c>
      <c r="B211" s="17" t="s">
        <v>347</v>
      </c>
      <c r="C211" s="17" t="s">
        <v>348</v>
      </c>
      <c r="D211" s="17" t="s">
        <v>20</v>
      </c>
      <c r="E211" s="17" t="s">
        <v>8</v>
      </c>
      <c r="F211" s="17">
        <v>0</v>
      </c>
      <c r="G211" s="17">
        <v>0</v>
      </c>
      <c r="H211" s="17">
        <v>0</v>
      </c>
      <c r="I211" s="17">
        <v>0</v>
      </c>
      <c r="J211" s="17">
        <v>0</v>
      </c>
      <c r="K211" s="17">
        <v>0</v>
      </c>
      <c r="L211" s="17">
        <v>0</v>
      </c>
      <c r="M211" s="17">
        <v>0</v>
      </c>
      <c r="N211" s="17">
        <v>0</v>
      </c>
      <c r="O211" s="17">
        <v>0</v>
      </c>
      <c r="P211" s="17">
        <v>0</v>
      </c>
      <c r="Q211" s="17">
        <v>0</v>
      </c>
      <c r="R211" s="17">
        <v>0</v>
      </c>
      <c r="S211" s="17"/>
      <c r="T211" s="17" t="s">
        <v>2963</v>
      </c>
      <c r="U211" s="17" t="s">
        <v>3063</v>
      </c>
      <c r="V211" s="17" t="s">
        <v>3056</v>
      </c>
      <c r="W211" s="17"/>
      <c r="X211" s="17"/>
    </row>
    <row r="212" spans="1:24" hidden="1">
      <c r="A212" s="18">
        <v>211</v>
      </c>
      <c r="B212" s="17" t="s">
        <v>369</v>
      </c>
      <c r="C212" s="17" t="s">
        <v>370</v>
      </c>
      <c r="D212" s="17" t="s">
        <v>17</v>
      </c>
      <c r="E212" s="17" t="s">
        <v>8</v>
      </c>
      <c r="F212" s="17">
        <v>0</v>
      </c>
      <c r="G212" s="17">
        <v>0</v>
      </c>
      <c r="H212" s="17">
        <v>0</v>
      </c>
      <c r="I212" s="17">
        <v>0</v>
      </c>
      <c r="J212" s="17">
        <v>0</v>
      </c>
      <c r="K212" s="17">
        <v>0</v>
      </c>
      <c r="L212" s="17">
        <v>0</v>
      </c>
      <c r="M212" s="17">
        <v>0</v>
      </c>
      <c r="N212" s="17">
        <v>0</v>
      </c>
      <c r="O212" s="17">
        <v>0</v>
      </c>
      <c r="P212" s="17">
        <v>0</v>
      </c>
      <c r="Q212" s="17">
        <v>0</v>
      </c>
      <c r="R212" s="17">
        <v>0</v>
      </c>
      <c r="S212" s="17"/>
      <c r="T212" s="17" t="s">
        <v>2991</v>
      </c>
      <c r="U212" s="17" t="s">
        <v>3057</v>
      </c>
      <c r="V212" s="17" t="s">
        <v>3056</v>
      </c>
      <c r="W212" s="17"/>
      <c r="X212" s="17"/>
    </row>
    <row r="213" spans="1:24" hidden="1">
      <c r="A213" s="18">
        <v>212</v>
      </c>
      <c r="B213" s="17" t="s">
        <v>371</v>
      </c>
      <c r="C213" s="17" t="s">
        <v>372</v>
      </c>
      <c r="D213" s="17" t="s">
        <v>17</v>
      </c>
      <c r="E213" s="17" t="s">
        <v>8</v>
      </c>
      <c r="F213" s="17">
        <v>0</v>
      </c>
      <c r="G213" s="17">
        <v>0</v>
      </c>
      <c r="H213" s="17">
        <v>0</v>
      </c>
      <c r="I213" s="17">
        <v>0</v>
      </c>
      <c r="J213" s="17">
        <v>0</v>
      </c>
      <c r="K213" s="17">
        <v>0</v>
      </c>
      <c r="L213" s="17">
        <v>0</v>
      </c>
      <c r="M213" s="17">
        <v>0</v>
      </c>
      <c r="N213" s="17">
        <v>0</v>
      </c>
      <c r="O213" s="17">
        <v>0</v>
      </c>
      <c r="P213" s="17">
        <v>0</v>
      </c>
      <c r="Q213" s="17">
        <v>0</v>
      </c>
      <c r="R213" s="17">
        <v>0</v>
      </c>
      <c r="S213" s="17"/>
      <c r="T213" s="17" t="s">
        <v>2991</v>
      </c>
      <c r="U213" s="17" t="s">
        <v>3057</v>
      </c>
      <c r="V213" s="17" t="s">
        <v>3058</v>
      </c>
      <c r="W213" s="17"/>
      <c r="X213" s="17"/>
    </row>
    <row r="214" spans="1:24" hidden="1">
      <c r="A214" s="18">
        <v>213</v>
      </c>
      <c r="B214" s="17" t="s">
        <v>532</v>
      </c>
      <c r="C214" s="17" t="s">
        <v>533</v>
      </c>
      <c r="D214" s="17" t="s">
        <v>7</v>
      </c>
      <c r="E214" s="17" t="s">
        <v>8</v>
      </c>
      <c r="F214" s="17">
        <v>161.5</v>
      </c>
      <c r="G214" s="17">
        <v>303.5</v>
      </c>
      <c r="H214" s="17">
        <v>0</v>
      </c>
      <c r="I214" s="17">
        <v>465</v>
      </c>
      <c r="J214" s="17">
        <v>0</v>
      </c>
      <c r="K214" s="17">
        <v>0</v>
      </c>
      <c r="L214" s="17">
        <v>465</v>
      </c>
      <c r="M214" s="17">
        <v>0</v>
      </c>
      <c r="N214" s="17">
        <v>0</v>
      </c>
      <c r="O214" s="17">
        <v>465</v>
      </c>
      <c r="P214" s="17">
        <v>150</v>
      </c>
      <c r="Q214" s="17">
        <v>315</v>
      </c>
      <c r="R214" s="17">
        <v>300</v>
      </c>
      <c r="S214" s="17"/>
      <c r="T214" s="17" t="s">
        <v>2965</v>
      </c>
      <c r="U214" s="17" t="s">
        <v>3055</v>
      </c>
      <c r="V214" s="17" t="s">
        <v>3056</v>
      </c>
      <c r="W214" s="17"/>
      <c r="X214" s="17"/>
    </row>
    <row r="215" spans="1:24" hidden="1">
      <c r="A215" s="18">
        <v>214</v>
      </c>
      <c r="B215" s="17" t="s">
        <v>534</v>
      </c>
      <c r="C215" s="17" t="s">
        <v>3032</v>
      </c>
      <c r="D215" s="17" t="s">
        <v>7</v>
      </c>
      <c r="E215" s="17" t="s">
        <v>8</v>
      </c>
      <c r="F215" s="17">
        <v>240</v>
      </c>
      <c r="G215" s="17">
        <v>0</v>
      </c>
      <c r="H215" s="17">
        <v>0</v>
      </c>
      <c r="I215" s="17">
        <v>240</v>
      </c>
      <c r="J215" s="17">
        <v>0</v>
      </c>
      <c r="K215" s="17">
        <v>0</v>
      </c>
      <c r="L215" s="17">
        <v>240</v>
      </c>
      <c r="M215" s="17">
        <v>0</v>
      </c>
      <c r="N215" s="17">
        <v>0</v>
      </c>
      <c r="O215" s="17">
        <v>240</v>
      </c>
      <c r="P215" s="17">
        <v>150</v>
      </c>
      <c r="Q215" s="17">
        <v>90</v>
      </c>
      <c r="R215" s="17">
        <v>0</v>
      </c>
      <c r="S215" s="17"/>
      <c r="T215" s="17" t="s">
        <v>2965</v>
      </c>
      <c r="U215" s="17" t="s">
        <v>3055</v>
      </c>
      <c r="V215" s="17" t="s">
        <v>3056</v>
      </c>
      <c r="W215" s="17"/>
      <c r="X215" s="17"/>
    </row>
    <row r="216" spans="1:24" hidden="1">
      <c r="A216" s="18">
        <v>215</v>
      </c>
      <c r="B216" s="17" t="s">
        <v>535</v>
      </c>
      <c r="C216" s="17" t="s">
        <v>536</v>
      </c>
      <c r="D216" s="17" t="s">
        <v>7</v>
      </c>
      <c r="E216" s="17" t="s">
        <v>8</v>
      </c>
      <c r="F216" s="17">
        <v>56</v>
      </c>
      <c r="G216" s="17">
        <v>0</v>
      </c>
      <c r="H216" s="17">
        <v>0</v>
      </c>
      <c r="I216" s="17">
        <v>56</v>
      </c>
      <c r="J216" s="17">
        <v>0</v>
      </c>
      <c r="K216" s="17">
        <v>0</v>
      </c>
      <c r="L216" s="17">
        <v>56</v>
      </c>
      <c r="M216" s="17">
        <v>0</v>
      </c>
      <c r="N216" s="17">
        <v>0</v>
      </c>
      <c r="O216" s="17">
        <v>56</v>
      </c>
      <c r="P216" s="17">
        <v>0</v>
      </c>
      <c r="Q216" s="17">
        <v>56</v>
      </c>
      <c r="R216" s="17">
        <v>0</v>
      </c>
      <c r="S216" s="17"/>
      <c r="T216" s="17" t="s">
        <v>2965</v>
      </c>
      <c r="U216" s="17" t="s">
        <v>3055</v>
      </c>
      <c r="V216" s="17" t="s">
        <v>3056</v>
      </c>
      <c r="W216" s="17"/>
      <c r="X216" s="17"/>
    </row>
    <row r="217" spans="1:24" hidden="1">
      <c r="A217" s="18">
        <v>216</v>
      </c>
      <c r="B217" s="17" t="s">
        <v>537</v>
      </c>
      <c r="C217" s="17" t="s">
        <v>538</v>
      </c>
      <c r="D217" s="17" t="s">
        <v>7</v>
      </c>
      <c r="E217" s="17" t="s">
        <v>8</v>
      </c>
      <c r="F217" s="17">
        <v>60</v>
      </c>
      <c r="G217" s="17">
        <v>120</v>
      </c>
      <c r="H217" s="17">
        <v>150</v>
      </c>
      <c r="I217" s="17">
        <v>30</v>
      </c>
      <c r="J217" s="17">
        <v>0</v>
      </c>
      <c r="K217" s="17">
        <v>0</v>
      </c>
      <c r="L217" s="17">
        <v>30</v>
      </c>
      <c r="M217" s="17">
        <v>0</v>
      </c>
      <c r="N217" s="17">
        <v>0</v>
      </c>
      <c r="O217" s="17">
        <v>30</v>
      </c>
      <c r="P217" s="17">
        <v>0</v>
      </c>
      <c r="Q217" s="17">
        <v>30</v>
      </c>
      <c r="R217" s="17">
        <v>0</v>
      </c>
      <c r="S217" s="17"/>
      <c r="T217" s="17" t="s">
        <v>2965</v>
      </c>
      <c r="U217" s="17" t="s">
        <v>3055</v>
      </c>
      <c r="V217" s="17" t="s">
        <v>3056</v>
      </c>
      <c r="W217" s="17"/>
      <c r="X217" s="17"/>
    </row>
    <row r="218" spans="1:24" hidden="1">
      <c r="A218" s="18">
        <v>217</v>
      </c>
      <c r="B218" s="17" t="s">
        <v>539</v>
      </c>
      <c r="C218" s="17" t="s">
        <v>540</v>
      </c>
      <c r="D218" s="17" t="s">
        <v>7</v>
      </c>
      <c r="E218" s="17" t="s">
        <v>8</v>
      </c>
      <c r="F218" s="17">
        <v>332</v>
      </c>
      <c r="G218" s="17">
        <v>0</v>
      </c>
      <c r="H218" s="17">
        <v>0</v>
      </c>
      <c r="I218" s="17">
        <v>332</v>
      </c>
      <c r="J218" s="17">
        <v>0</v>
      </c>
      <c r="K218" s="17">
        <v>0</v>
      </c>
      <c r="L218" s="17">
        <v>332</v>
      </c>
      <c r="M218" s="17">
        <v>0</v>
      </c>
      <c r="N218" s="17">
        <v>0</v>
      </c>
      <c r="O218" s="17">
        <v>332</v>
      </c>
      <c r="P218" s="17">
        <v>150</v>
      </c>
      <c r="Q218" s="17">
        <v>182</v>
      </c>
      <c r="R218" s="17">
        <v>0</v>
      </c>
      <c r="S218" s="17"/>
      <c r="T218" s="17" t="s">
        <v>2965</v>
      </c>
      <c r="U218" s="17" t="s">
        <v>3055</v>
      </c>
      <c r="V218" s="17" t="s">
        <v>3056</v>
      </c>
      <c r="W218" s="17"/>
      <c r="X218" s="17"/>
    </row>
    <row r="219" spans="1:24" hidden="1">
      <c r="A219" s="18">
        <v>218</v>
      </c>
      <c r="B219" s="17" t="s">
        <v>373</v>
      </c>
      <c r="C219" s="17" t="s">
        <v>374</v>
      </c>
      <c r="D219" s="17" t="s">
        <v>17</v>
      </c>
      <c r="E219" s="17" t="s">
        <v>8</v>
      </c>
      <c r="F219" s="17">
        <v>0</v>
      </c>
      <c r="G219" s="17">
        <v>0</v>
      </c>
      <c r="H219" s="17">
        <v>0</v>
      </c>
      <c r="I219" s="17">
        <v>0</v>
      </c>
      <c r="J219" s="17">
        <v>0</v>
      </c>
      <c r="K219" s="17">
        <v>0</v>
      </c>
      <c r="L219" s="17">
        <v>0</v>
      </c>
      <c r="M219" s="17">
        <v>0</v>
      </c>
      <c r="N219" s="17">
        <v>0</v>
      </c>
      <c r="O219" s="17">
        <v>0</v>
      </c>
      <c r="P219" s="17">
        <v>0</v>
      </c>
      <c r="Q219" s="17">
        <v>0</v>
      </c>
      <c r="R219" s="17">
        <v>0</v>
      </c>
      <c r="S219" s="17"/>
      <c r="T219" s="17" t="s">
        <v>2972</v>
      </c>
      <c r="U219" s="17" t="s">
        <v>3057</v>
      </c>
      <c r="V219" s="17" t="s">
        <v>3058</v>
      </c>
      <c r="W219" s="17"/>
      <c r="X219" s="17"/>
    </row>
    <row r="220" spans="1:24" hidden="1">
      <c r="A220" s="18">
        <v>219</v>
      </c>
      <c r="B220" s="17" t="s">
        <v>375</v>
      </c>
      <c r="C220" s="17" t="s">
        <v>376</v>
      </c>
      <c r="D220" s="17" t="s">
        <v>17</v>
      </c>
      <c r="E220" s="17" t="s">
        <v>8</v>
      </c>
      <c r="F220" s="17">
        <v>0</v>
      </c>
      <c r="G220" s="17">
        <v>0</v>
      </c>
      <c r="H220" s="17">
        <v>0</v>
      </c>
      <c r="I220" s="17">
        <v>0</v>
      </c>
      <c r="J220" s="17">
        <v>0</v>
      </c>
      <c r="K220" s="17">
        <v>0</v>
      </c>
      <c r="L220" s="17">
        <v>0</v>
      </c>
      <c r="M220" s="17">
        <v>0</v>
      </c>
      <c r="N220" s="17">
        <v>0</v>
      </c>
      <c r="O220" s="17">
        <v>0</v>
      </c>
      <c r="P220" s="17">
        <v>0</v>
      </c>
      <c r="Q220" s="17">
        <v>0</v>
      </c>
      <c r="R220" s="17">
        <v>0</v>
      </c>
      <c r="S220" s="17"/>
      <c r="T220" s="17" t="s">
        <v>2991</v>
      </c>
      <c r="U220" s="17" t="s">
        <v>3057</v>
      </c>
      <c r="V220" s="17" t="s">
        <v>3058</v>
      </c>
      <c r="W220" s="17"/>
      <c r="X220" s="17"/>
    </row>
    <row r="221" spans="1:24" hidden="1">
      <c r="A221" s="18">
        <v>220</v>
      </c>
      <c r="B221" s="17" t="s">
        <v>381</v>
      </c>
      <c r="C221" s="17" t="s">
        <v>382</v>
      </c>
      <c r="D221" s="17" t="s">
        <v>17</v>
      </c>
      <c r="E221" s="17" t="s">
        <v>8</v>
      </c>
      <c r="F221" s="17">
        <v>800</v>
      </c>
      <c r="G221" s="17">
        <v>0</v>
      </c>
      <c r="H221" s="17">
        <v>0</v>
      </c>
      <c r="I221" s="17">
        <v>800</v>
      </c>
      <c r="J221" s="17">
        <v>0</v>
      </c>
      <c r="K221" s="17">
        <v>0</v>
      </c>
      <c r="L221" s="17">
        <v>800</v>
      </c>
      <c r="M221" s="17">
        <v>0</v>
      </c>
      <c r="N221" s="17">
        <v>0</v>
      </c>
      <c r="O221" s="17">
        <v>800</v>
      </c>
      <c r="P221" s="17">
        <v>500</v>
      </c>
      <c r="Q221" s="17">
        <v>300</v>
      </c>
      <c r="R221" s="17">
        <v>0</v>
      </c>
      <c r="S221" s="17"/>
      <c r="T221" s="17" t="s">
        <v>2974</v>
      </c>
      <c r="U221" s="17" t="s">
        <v>3057</v>
      </c>
      <c r="V221" s="17" t="s">
        <v>3058</v>
      </c>
      <c r="W221" s="17"/>
      <c r="X221" s="17"/>
    </row>
    <row r="222" spans="1:24" hidden="1">
      <c r="A222" s="18">
        <v>221</v>
      </c>
      <c r="B222" s="17" t="s">
        <v>383</v>
      </c>
      <c r="C222" s="17" t="s">
        <v>384</v>
      </c>
      <c r="D222" s="17" t="s">
        <v>7</v>
      </c>
      <c r="E222" s="17" t="s">
        <v>8</v>
      </c>
      <c r="F222" s="17">
        <v>660</v>
      </c>
      <c r="G222" s="17">
        <v>0</v>
      </c>
      <c r="H222" s="17">
        <v>0</v>
      </c>
      <c r="I222" s="17">
        <v>660</v>
      </c>
      <c r="J222" s="17">
        <v>0</v>
      </c>
      <c r="K222" s="17">
        <v>0</v>
      </c>
      <c r="L222" s="17">
        <v>660</v>
      </c>
      <c r="M222" s="17">
        <v>0</v>
      </c>
      <c r="N222" s="17">
        <v>0</v>
      </c>
      <c r="O222" s="17">
        <v>660</v>
      </c>
      <c r="P222" s="17">
        <v>100</v>
      </c>
      <c r="Q222" s="17">
        <v>560</v>
      </c>
      <c r="R222" s="17">
        <v>0</v>
      </c>
      <c r="S222" s="17"/>
      <c r="T222" s="17" t="s">
        <v>2991</v>
      </c>
      <c r="U222" s="17" t="s">
        <v>3057</v>
      </c>
      <c r="V222" s="17" t="s">
        <v>3058</v>
      </c>
      <c r="W222" s="17"/>
      <c r="X222" s="17"/>
    </row>
    <row r="223" spans="1:24" hidden="1">
      <c r="A223" s="18">
        <v>222</v>
      </c>
      <c r="B223" s="17" t="s">
        <v>385</v>
      </c>
      <c r="C223" s="17" t="s">
        <v>386</v>
      </c>
      <c r="D223" s="17" t="s">
        <v>7</v>
      </c>
      <c r="E223" s="17" t="s">
        <v>8</v>
      </c>
      <c r="F223" s="17">
        <v>560</v>
      </c>
      <c r="G223" s="17">
        <v>0</v>
      </c>
      <c r="H223" s="17">
        <v>0</v>
      </c>
      <c r="I223" s="17">
        <v>560</v>
      </c>
      <c r="J223" s="17">
        <v>0</v>
      </c>
      <c r="K223" s="17">
        <v>0</v>
      </c>
      <c r="L223" s="17">
        <v>560</v>
      </c>
      <c r="M223" s="17">
        <v>0</v>
      </c>
      <c r="N223" s="17">
        <v>0</v>
      </c>
      <c r="O223" s="17">
        <v>560</v>
      </c>
      <c r="P223" s="17">
        <v>100</v>
      </c>
      <c r="Q223" s="17">
        <v>460</v>
      </c>
      <c r="R223" s="17">
        <v>0</v>
      </c>
      <c r="S223" s="17"/>
      <c r="T223" s="17" t="s">
        <v>2991</v>
      </c>
      <c r="U223" s="17" t="s">
        <v>3057</v>
      </c>
      <c r="V223" s="17" t="s">
        <v>3058</v>
      </c>
      <c r="W223" s="17"/>
      <c r="X223" s="17"/>
    </row>
    <row r="224" spans="1:24" hidden="1">
      <c r="A224" s="18">
        <v>223</v>
      </c>
      <c r="B224" s="17" t="s">
        <v>389</v>
      </c>
      <c r="C224" s="17" t="s">
        <v>390</v>
      </c>
      <c r="D224" s="17" t="s">
        <v>17</v>
      </c>
      <c r="E224" s="17" t="s">
        <v>8</v>
      </c>
      <c r="F224" s="17">
        <v>0</v>
      </c>
      <c r="G224" s="17">
        <v>0</v>
      </c>
      <c r="H224" s="17">
        <v>0</v>
      </c>
      <c r="I224" s="17">
        <v>0</v>
      </c>
      <c r="J224" s="17">
        <v>0</v>
      </c>
      <c r="K224" s="17">
        <v>0</v>
      </c>
      <c r="L224" s="17">
        <v>0</v>
      </c>
      <c r="M224" s="17">
        <v>0</v>
      </c>
      <c r="N224" s="17">
        <v>0</v>
      </c>
      <c r="O224" s="17">
        <v>0</v>
      </c>
      <c r="P224" s="17">
        <v>0</v>
      </c>
      <c r="Q224" s="17">
        <v>0</v>
      </c>
      <c r="R224" s="17">
        <v>0</v>
      </c>
      <c r="S224" s="17"/>
      <c r="T224" s="17" t="s">
        <v>2972</v>
      </c>
      <c r="U224" s="17" t="s">
        <v>3057</v>
      </c>
      <c r="V224" s="17" t="s">
        <v>3056</v>
      </c>
      <c r="W224" s="17"/>
      <c r="X224" s="17"/>
    </row>
    <row r="225" spans="1:24" hidden="1">
      <c r="A225" s="18">
        <v>224</v>
      </c>
      <c r="B225" s="17" t="s">
        <v>403</v>
      </c>
      <c r="C225" s="17" t="s">
        <v>404</v>
      </c>
      <c r="D225" s="17" t="s">
        <v>17</v>
      </c>
      <c r="E225" s="17" t="s">
        <v>8</v>
      </c>
      <c r="F225" s="17">
        <v>0</v>
      </c>
      <c r="G225" s="17">
        <v>0</v>
      </c>
      <c r="H225" s="17">
        <v>0</v>
      </c>
      <c r="I225" s="17">
        <v>0</v>
      </c>
      <c r="J225" s="17">
        <v>0</v>
      </c>
      <c r="K225" s="17">
        <v>0</v>
      </c>
      <c r="L225" s="17">
        <v>0</v>
      </c>
      <c r="M225" s="17">
        <v>0</v>
      </c>
      <c r="N225" s="17">
        <v>0</v>
      </c>
      <c r="O225" s="17">
        <v>0</v>
      </c>
      <c r="P225" s="17">
        <v>0</v>
      </c>
      <c r="Q225" s="17">
        <v>0</v>
      </c>
      <c r="R225" s="17">
        <v>0</v>
      </c>
      <c r="S225" s="17"/>
      <c r="T225" s="17" t="s">
        <v>2972</v>
      </c>
      <c r="U225" s="17" t="s">
        <v>3057</v>
      </c>
      <c r="V225" s="17" t="s">
        <v>3056</v>
      </c>
      <c r="W225" s="17"/>
      <c r="X225" s="17"/>
    </row>
    <row r="226" spans="1:24" hidden="1">
      <c r="A226" s="18">
        <v>225</v>
      </c>
      <c r="B226" s="17" t="s">
        <v>557</v>
      </c>
      <c r="C226" s="17" t="s">
        <v>558</v>
      </c>
      <c r="D226" s="17" t="s">
        <v>20</v>
      </c>
      <c r="E226" s="17" t="s">
        <v>8</v>
      </c>
      <c r="F226" s="17">
        <v>0</v>
      </c>
      <c r="G226" s="17">
        <v>0</v>
      </c>
      <c r="H226" s="17">
        <v>0</v>
      </c>
      <c r="I226" s="17">
        <v>0</v>
      </c>
      <c r="J226" s="17">
        <v>0</v>
      </c>
      <c r="K226" s="17">
        <v>0</v>
      </c>
      <c r="L226" s="17">
        <v>0</v>
      </c>
      <c r="M226" s="17">
        <v>0</v>
      </c>
      <c r="N226" s="17">
        <v>0</v>
      </c>
      <c r="O226" s="17">
        <v>0</v>
      </c>
      <c r="P226" s="17">
        <v>0</v>
      </c>
      <c r="Q226" s="17">
        <v>0</v>
      </c>
      <c r="R226" s="17">
        <v>0</v>
      </c>
      <c r="S226" s="17"/>
      <c r="T226" s="17" t="s">
        <v>3006</v>
      </c>
      <c r="U226" s="17" t="s">
        <v>3060</v>
      </c>
      <c r="V226" s="17" t="s">
        <v>3058</v>
      </c>
      <c r="W226" s="17"/>
      <c r="X226" s="17"/>
    </row>
    <row r="227" spans="1:24" hidden="1">
      <c r="A227" s="18">
        <v>226</v>
      </c>
      <c r="B227" s="17" t="s">
        <v>408</v>
      </c>
      <c r="C227" s="17" t="s">
        <v>409</v>
      </c>
      <c r="D227" s="17" t="s">
        <v>17</v>
      </c>
      <c r="E227" s="17" t="s">
        <v>8</v>
      </c>
      <c r="F227" s="17">
        <v>0</v>
      </c>
      <c r="G227" s="17">
        <v>0</v>
      </c>
      <c r="H227" s="17">
        <v>0</v>
      </c>
      <c r="I227" s="17">
        <v>0</v>
      </c>
      <c r="J227" s="17">
        <v>0</v>
      </c>
      <c r="K227" s="17">
        <v>0</v>
      </c>
      <c r="L227" s="17">
        <v>0</v>
      </c>
      <c r="M227" s="17">
        <v>0</v>
      </c>
      <c r="N227" s="17">
        <v>0</v>
      </c>
      <c r="O227" s="17">
        <v>0</v>
      </c>
      <c r="P227" s="17">
        <v>0</v>
      </c>
      <c r="Q227" s="17">
        <v>0</v>
      </c>
      <c r="R227" s="17">
        <v>0</v>
      </c>
      <c r="S227" s="17"/>
      <c r="T227" s="17" t="s">
        <v>2972</v>
      </c>
      <c r="U227" s="17" t="s">
        <v>3057</v>
      </c>
      <c r="V227" s="17" t="s">
        <v>3056</v>
      </c>
      <c r="W227" s="17"/>
      <c r="X227" s="17"/>
    </row>
    <row r="228" spans="1:24" hidden="1">
      <c r="A228" s="18">
        <v>227</v>
      </c>
      <c r="B228" s="17" t="s">
        <v>410</v>
      </c>
      <c r="C228" s="17" t="s">
        <v>411</v>
      </c>
      <c r="D228" s="17" t="s">
        <v>17</v>
      </c>
      <c r="E228" s="17" t="s">
        <v>8</v>
      </c>
      <c r="F228" s="17">
        <v>0</v>
      </c>
      <c r="G228" s="17">
        <v>0</v>
      </c>
      <c r="H228" s="17">
        <v>0</v>
      </c>
      <c r="I228" s="17">
        <v>0</v>
      </c>
      <c r="J228" s="17">
        <v>0</v>
      </c>
      <c r="K228" s="17">
        <v>0</v>
      </c>
      <c r="L228" s="17">
        <v>0</v>
      </c>
      <c r="M228" s="17">
        <v>0</v>
      </c>
      <c r="N228" s="17">
        <v>0</v>
      </c>
      <c r="O228" s="17">
        <v>0</v>
      </c>
      <c r="P228" s="17">
        <v>0</v>
      </c>
      <c r="Q228" s="17">
        <v>0</v>
      </c>
      <c r="R228" s="17">
        <v>0</v>
      </c>
      <c r="S228" s="17"/>
      <c r="T228" s="17" t="s">
        <v>2972</v>
      </c>
      <c r="U228" s="17" t="s">
        <v>3057</v>
      </c>
      <c r="V228" s="17" t="s">
        <v>3056</v>
      </c>
      <c r="W228" s="17"/>
      <c r="X228" s="17"/>
    </row>
    <row r="229" spans="1:24" hidden="1">
      <c r="A229" s="18">
        <v>228</v>
      </c>
      <c r="B229" s="17" t="s">
        <v>412</v>
      </c>
      <c r="C229" s="17" t="s">
        <v>413</v>
      </c>
      <c r="D229" s="17" t="s">
        <v>17</v>
      </c>
      <c r="E229" s="17" t="s">
        <v>8</v>
      </c>
      <c r="F229" s="17">
        <v>250</v>
      </c>
      <c r="G229" s="17">
        <v>0</v>
      </c>
      <c r="H229" s="17">
        <v>0</v>
      </c>
      <c r="I229" s="17">
        <v>250</v>
      </c>
      <c r="J229" s="17">
        <v>0</v>
      </c>
      <c r="K229" s="17">
        <v>0</v>
      </c>
      <c r="L229" s="17">
        <v>250</v>
      </c>
      <c r="M229" s="17">
        <v>0</v>
      </c>
      <c r="N229" s="17">
        <v>0</v>
      </c>
      <c r="O229" s="17">
        <v>250</v>
      </c>
      <c r="P229" s="17">
        <v>100</v>
      </c>
      <c r="Q229" s="17">
        <v>150</v>
      </c>
      <c r="R229" s="17">
        <v>0</v>
      </c>
      <c r="S229" s="17"/>
      <c r="T229" s="17" t="s">
        <v>2991</v>
      </c>
      <c r="U229" s="17" t="s">
        <v>3057</v>
      </c>
      <c r="V229" s="17" t="s">
        <v>3058</v>
      </c>
      <c r="W229" s="17"/>
      <c r="X229" s="17"/>
    </row>
    <row r="230" spans="1:24" hidden="1">
      <c r="A230" s="18">
        <v>229</v>
      </c>
      <c r="B230" s="17" t="s">
        <v>414</v>
      </c>
      <c r="C230" s="17" t="s">
        <v>415</v>
      </c>
      <c r="D230" s="17" t="s">
        <v>17</v>
      </c>
      <c r="E230" s="17" t="s">
        <v>8</v>
      </c>
      <c r="F230" s="17">
        <v>400</v>
      </c>
      <c r="G230" s="17">
        <v>1050</v>
      </c>
      <c r="H230" s="17">
        <v>300</v>
      </c>
      <c r="I230" s="17">
        <v>1150</v>
      </c>
      <c r="J230" s="17">
        <v>0</v>
      </c>
      <c r="K230" s="17">
        <v>0</v>
      </c>
      <c r="L230" s="17">
        <v>1150</v>
      </c>
      <c r="M230" s="17">
        <v>0</v>
      </c>
      <c r="N230" s="17">
        <v>0</v>
      </c>
      <c r="O230" s="17">
        <v>1150</v>
      </c>
      <c r="P230" s="17">
        <v>500</v>
      </c>
      <c r="Q230" s="17">
        <v>650</v>
      </c>
      <c r="R230" s="17">
        <v>1000</v>
      </c>
      <c r="S230" s="17"/>
      <c r="T230" s="17" t="s">
        <v>2972</v>
      </c>
      <c r="U230" s="17" t="s">
        <v>3057</v>
      </c>
      <c r="V230" s="17" t="s">
        <v>3056</v>
      </c>
      <c r="W230" s="17"/>
      <c r="X230" s="17"/>
    </row>
    <row r="231" spans="1:24" hidden="1">
      <c r="A231" s="18">
        <v>230</v>
      </c>
      <c r="B231" s="17" t="s">
        <v>416</v>
      </c>
      <c r="C231" s="17" t="s">
        <v>417</v>
      </c>
      <c r="D231" s="17" t="s">
        <v>17</v>
      </c>
      <c r="E231" s="17" t="s">
        <v>8</v>
      </c>
      <c r="F231" s="17">
        <v>1062</v>
      </c>
      <c r="G231" s="17">
        <v>1944</v>
      </c>
      <c r="H231" s="17">
        <v>1986</v>
      </c>
      <c r="I231" s="17">
        <v>1020</v>
      </c>
      <c r="J231" s="17">
        <v>0</v>
      </c>
      <c r="K231" s="17">
        <v>0</v>
      </c>
      <c r="L231" s="17">
        <v>1020</v>
      </c>
      <c r="M231" s="17">
        <v>0</v>
      </c>
      <c r="N231" s="17">
        <v>0</v>
      </c>
      <c r="O231" s="17">
        <v>1020</v>
      </c>
      <c r="P231" s="17">
        <v>1008</v>
      </c>
      <c r="Q231" s="17">
        <v>12</v>
      </c>
      <c r="R231" s="17">
        <v>1008</v>
      </c>
      <c r="S231" s="17"/>
      <c r="T231" s="17" t="s">
        <v>2991</v>
      </c>
      <c r="U231" s="17" t="s">
        <v>3057</v>
      </c>
      <c r="V231" s="17" t="s">
        <v>3056</v>
      </c>
      <c r="W231" s="17"/>
      <c r="X231" s="17"/>
    </row>
    <row r="232" spans="1:24" hidden="1">
      <c r="A232" s="18">
        <v>231</v>
      </c>
      <c r="B232" s="17" t="s">
        <v>418</v>
      </c>
      <c r="C232" s="17" t="s">
        <v>419</v>
      </c>
      <c r="D232" s="17" t="s">
        <v>17</v>
      </c>
      <c r="E232" s="17" t="s">
        <v>8</v>
      </c>
      <c r="F232" s="17">
        <v>213</v>
      </c>
      <c r="G232" s="17">
        <v>0</v>
      </c>
      <c r="H232" s="17">
        <v>0</v>
      </c>
      <c r="I232" s="17">
        <v>213</v>
      </c>
      <c r="J232" s="17">
        <v>0</v>
      </c>
      <c r="K232" s="17">
        <v>0</v>
      </c>
      <c r="L232" s="17">
        <v>213</v>
      </c>
      <c r="M232" s="17">
        <v>0</v>
      </c>
      <c r="N232" s="17">
        <v>0</v>
      </c>
      <c r="O232" s="17">
        <v>213</v>
      </c>
      <c r="P232" s="17">
        <v>144</v>
      </c>
      <c r="Q232" s="17">
        <v>69</v>
      </c>
      <c r="R232" s="17">
        <v>0</v>
      </c>
      <c r="S232" s="17"/>
      <c r="T232" s="17" t="s">
        <v>2991</v>
      </c>
      <c r="U232" s="17" t="s">
        <v>3057</v>
      </c>
      <c r="V232" s="17" t="s">
        <v>3056</v>
      </c>
      <c r="W232" s="17"/>
      <c r="X232" s="17"/>
    </row>
    <row r="233" spans="1:24" hidden="1">
      <c r="A233" s="18">
        <v>232</v>
      </c>
      <c r="B233" s="17" t="s">
        <v>420</v>
      </c>
      <c r="C233" s="17" t="s">
        <v>421</v>
      </c>
      <c r="D233" s="17" t="s">
        <v>17</v>
      </c>
      <c r="E233" s="17" t="s">
        <v>8</v>
      </c>
      <c r="F233" s="17">
        <v>630</v>
      </c>
      <c r="G233" s="17">
        <v>0</v>
      </c>
      <c r="H233" s="17">
        <v>48</v>
      </c>
      <c r="I233" s="17">
        <v>582</v>
      </c>
      <c r="J233" s="17">
        <v>0</v>
      </c>
      <c r="K233" s="17">
        <v>0</v>
      </c>
      <c r="L233" s="17">
        <v>582</v>
      </c>
      <c r="M233" s="17">
        <v>0</v>
      </c>
      <c r="N233" s="17">
        <v>0</v>
      </c>
      <c r="O233" s="17">
        <v>582</v>
      </c>
      <c r="P233" s="17">
        <v>144</v>
      </c>
      <c r="Q233" s="17">
        <v>438</v>
      </c>
      <c r="R233" s="17">
        <v>0</v>
      </c>
      <c r="S233" s="17"/>
      <c r="T233" s="17" t="s">
        <v>2991</v>
      </c>
      <c r="U233" s="17" t="s">
        <v>3057</v>
      </c>
      <c r="V233" s="17" t="s">
        <v>3056</v>
      </c>
      <c r="W233" s="17"/>
      <c r="X233" s="17"/>
    </row>
    <row r="234" spans="1:24" hidden="1">
      <c r="A234" s="18">
        <v>233</v>
      </c>
      <c r="B234" s="17" t="s">
        <v>573</v>
      </c>
      <c r="C234" s="17" t="s">
        <v>574</v>
      </c>
      <c r="D234" s="17" t="s">
        <v>17</v>
      </c>
      <c r="E234" s="17" t="s">
        <v>8</v>
      </c>
      <c r="F234" s="17">
        <v>1020</v>
      </c>
      <c r="G234" s="17">
        <v>0</v>
      </c>
      <c r="H234" s="17">
        <v>300</v>
      </c>
      <c r="I234" s="17">
        <v>720</v>
      </c>
      <c r="J234" s="17">
        <v>0</v>
      </c>
      <c r="K234" s="17">
        <v>0</v>
      </c>
      <c r="L234" s="17">
        <v>720</v>
      </c>
      <c r="M234" s="17">
        <v>0</v>
      </c>
      <c r="N234" s="17">
        <v>0</v>
      </c>
      <c r="O234" s="17">
        <v>720</v>
      </c>
      <c r="P234" s="17">
        <v>250</v>
      </c>
      <c r="Q234" s="17">
        <v>470</v>
      </c>
      <c r="R234" s="17">
        <v>0</v>
      </c>
      <c r="S234" s="17"/>
      <c r="T234" s="17" t="s">
        <v>2972</v>
      </c>
      <c r="U234" s="17" t="s">
        <v>3055</v>
      </c>
      <c r="V234" s="17" t="s">
        <v>3056</v>
      </c>
      <c r="W234" s="17"/>
      <c r="X234" s="17"/>
    </row>
    <row r="235" spans="1:24" hidden="1">
      <c r="A235" s="18">
        <v>234</v>
      </c>
      <c r="B235" s="17" t="s">
        <v>422</v>
      </c>
      <c r="C235" s="17" t="s">
        <v>423</v>
      </c>
      <c r="D235" s="17" t="s">
        <v>17</v>
      </c>
      <c r="E235" s="17" t="s">
        <v>8</v>
      </c>
      <c r="F235" s="17">
        <v>84</v>
      </c>
      <c r="G235" s="17">
        <v>0</v>
      </c>
      <c r="H235" s="17">
        <v>0</v>
      </c>
      <c r="I235" s="17">
        <v>84</v>
      </c>
      <c r="J235" s="17">
        <v>0</v>
      </c>
      <c r="K235" s="17">
        <v>0</v>
      </c>
      <c r="L235" s="17">
        <v>84</v>
      </c>
      <c r="M235" s="17">
        <v>0</v>
      </c>
      <c r="N235" s="17">
        <v>0</v>
      </c>
      <c r="O235" s="17">
        <v>84</v>
      </c>
      <c r="P235" s="17">
        <v>50</v>
      </c>
      <c r="Q235" s="17">
        <v>34</v>
      </c>
      <c r="R235" s="17">
        <v>0</v>
      </c>
      <c r="S235" s="17"/>
      <c r="T235" s="17" t="s">
        <v>2972</v>
      </c>
      <c r="U235" s="17" t="s">
        <v>3057</v>
      </c>
      <c r="V235" s="17" t="s">
        <v>3056</v>
      </c>
      <c r="W235" s="17"/>
      <c r="X235" s="17"/>
    </row>
    <row r="236" spans="1:24" hidden="1">
      <c r="A236" s="18">
        <v>235</v>
      </c>
      <c r="B236" s="17" t="s">
        <v>577</v>
      </c>
      <c r="C236" s="17" t="s">
        <v>578</v>
      </c>
      <c r="D236" s="17" t="s">
        <v>17</v>
      </c>
      <c r="E236" s="17" t="s">
        <v>8</v>
      </c>
      <c r="F236" s="17">
        <v>100</v>
      </c>
      <c r="G236" s="17">
        <v>0</v>
      </c>
      <c r="H236" s="17">
        <v>0</v>
      </c>
      <c r="I236" s="17">
        <v>100</v>
      </c>
      <c r="J236" s="17">
        <v>0</v>
      </c>
      <c r="K236" s="17">
        <v>0</v>
      </c>
      <c r="L236" s="17">
        <v>100</v>
      </c>
      <c r="M236" s="17">
        <v>0</v>
      </c>
      <c r="N236" s="17">
        <v>0</v>
      </c>
      <c r="O236" s="17">
        <v>100</v>
      </c>
      <c r="P236" s="17">
        <v>0</v>
      </c>
      <c r="Q236" s="17">
        <v>100</v>
      </c>
      <c r="R236" s="17">
        <v>0</v>
      </c>
      <c r="S236" s="17"/>
      <c r="T236" s="17" t="s">
        <v>2972</v>
      </c>
      <c r="U236" s="17" t="s">
        <v>3055</v>
      </c>
      <c r="V236" s="17" t="s">
        <v>3064</v>
      </c>
      <c r="W236" s="17"/>
      <c r="X236" s="17"/>
    </row>
    <row r="237" spans="1:24" hidden="1">
      <c r="A237" s="18">
        <v>236</v>
      </c>
      <c r="B237" s="17" t="s">
        <v>424</v>
      </c>
      <c r="C237" s="17" t="s">
        <v>425</v>
      </c>
      <c r="D237" s="17" t="s">
        <v>148</v>
      </c>
      <c r="E237" s="17" t="s">
        <v>8</v>
      </c>
      <c r="F237" s="17">
        <v>600</v>
      </c>
      <c r="G237" s="17">
        <v>408</v>
      </c>
      <c r="H237" s="17">
        <v>612</v>
      </c>
      <c r="I237" s="17">
        <v>396</v>
      </c>
      <c r="J237" s="17">
        <v>0</v>
      </c>
      <c r="K237" s="17">
        <v>0</v>
      </c>
      <c r="L237" s="17">
        <v>396</v>
      </c>
      <c r="M237" s="17">
        <v>0</v>
      </c>
      <c r="N237" s="17">
        <v>0</v>
      </c>
      <c r="O237" s="17">
        <v>396</v>
      </c>
      <c r="P237" s="17">
        <v>500</v>
      </c>
      <c r="Q237" s="17">
        <v>-104</v>
      </c>
      <c r="R237" s="17">
        <v>408</v>
      </c>
      <c r="S237" s="17"/>
      <c r="T237" s="17" t="s">
        <v>2991</v>
      </c>
      <c r="U237" s="17" t="s">
        <v>3057</v>
      </c>
      <c r="V237" s="17" t="s">
        <v>3056</v>
      </c>
      <c r="W237" s="17"/>
      <c r="X237" s="17"/>
    </row>
    <row r="238" spans="1:24" hidden="1">
      <c r="A238" s="18">
        <v>237</v>
      </c>
      <c r="B238" s="17" t="s">
        <v>581</v>
      </c>
      <c r="C238" s="17" t="s">
        <v>582</v>
      </c>
      <c r="D238" s="17" t="s">
        <v>17</v>
      </c>
      <c r="E238" s="17" t="s">
        <v>8</v>
      </c>
      <c r="F238" s="17">
        <v>1205</v>
      </c>
      <c r="G238" s="17">
        <v>0</v>
      </c>
      <c r="H238" s="17">
        <v>0</v>
      </c>
      <c r="I238" s="17">
        <v>1205</v>
      </c>
      <c r="J238" s="17">
        <v>0</v>
      </c>
      <c r="K238" s="17">
        <v>0</v>
      </c>
      <c r="L238" s="17">
        <v>1205</v>
      </c>
      <c r="M238" s="17">
        <v>0</v>
      </c>
      <c r="N238" s="17">
        <v>0</v>
      </c>
      <c r="O238" s="17">
        <v>1205</v>
      </c>
      <c r="P238" s="17">
        <v>300</v>
      </c>
      <c r="Q238" s="17">
        <v>905</v>
      </c>
      <c r="R238" s="17">
        <v>0</v>
      </c>
      <c r="S238" s="17"/>
      <c r="T238" s="17" t="s">
        <v>2972</v>
      </c>
      <c r="U238" s="17" t="s">
        <v>3055</v>
      </c>
      <c r="V238" s="17" t="s">
        <v>3056</v>
      </c>
      <c r="W238" s="17"/>
      <c r="X238" s="17"/>
    </row>
    <row r="239" spans="1:24" hidden="1">
      <c r="A239" s="18">
        <v>238</v>
      </c>
      <c r="B239" s="17" t="s">
        <v>426</v>
      </c>
      <c r="C239" s="17" t="s">
        <v>427</v>
      </c>
      <c r="D239" s="17" t="s">
        <v>148</v>
      </c>
      <c r="E239" s="17" t="s">
        <v>8</v>
      </c>
      <c r="F239" s="17">
        <v>20</v>
      </c>
      <c r="G239" s="17">
        <v>0</v>
      </c>
      <c r="H239" s="17">
        <v>0</v>
      </c>
      <c r="I239" s="17">
        <v>20</v>
      </c>
      <c r="J239" s="17">
        <v>0</v>
      </c>
      <c r="K239" s="17">
        <v>0</v>
      </c>
      <c r="L239" s="17">
        <v>20</v>
      </c>
      <c r="M239" s="17">
        <v>0</v>
      </c>
      <c r="N239" s="17">
        <v>0</v>
      </c>
      <c r="O239" s="17">
        <v>20</v>
      </c>
      <c r="P239" s="17">
        <v>10</v>
      </c>
      <c r="Q239" s="17">
        <v>10</v>
      </c>
      <c r="R239" s="17">
        <v>0</v>
      </c>
      <c r="S239" s="17"/>
      <c r="T239" s="17" t="s">
        <v>2991</v>
      </c>
      <c r="U239" s="17" t="s">
        <v>3057</v>
      </c>
      <c r="V239" s="17" t="s">
        <v>3056</v>
      </c>
      <c r="W239" s="17"/>
      <c r="X239" s="17"/>
    </row>
    <row r="240" spans="1:24" hidden="1">
      <c r="A240" s="18">
        <v>239</v>
      </c>
      <c r="B240" s="17" t="s">
        <v>430</v>
      </c>
      <c r="C240" s="17" t="s">
        <v>431</v>
      </c>
      <c r="D240" s="17" t="s">
        <v>17</v>
      </c>
      <c r="E240" s="17" t="s">
        <v>8</v>
      </c>
      <c r="F240" s="17">
        <v>900</v>
      </c>
      <c r="G240" s="17">
        <v>0</v>
      </c>
      <c r="H240" s="17">
        <v>50</v>
      </c>
      <c r="I240" s="17">
        <v>850</v>
      </c>
      <c r="J240" s="17">
        <v>0</v>
      </c>
      <c r="K240" s="17">
        <v>0</v>
      </c>
      <c r="L240" s="17">
        <v>850</v>
      </c>
      <c r="M240" s="17">
        <v>0</v>
      </c>
      <c r="N240" s="17">
        <v>0</v>
      </c>
      <c r="O240" s="17">
        <v>850</v>
      </c>
      <c r="P240" s="17">
        <v>500</v>
      </c>
      <c r="Q240" s="17">
        <v>350</v>
      </c>
      <c r="R240" s="17">
        <v>0</v>
      </c>
      <c r="S240" s="17"/>
      <c r="T240" s="17" t="s">
        <v>2974</v>
      </c>
      <c r="U240" s="17" t="s">
        <v>3057</v>
      </c>
      <c r="V240" s="17" t="s">
        <v>3056</v>
      </c>
      <c r="W240" s="17"/>
      <c r="X240" s="17"/>
    </row>
    <row r="241" spans="1:24" hidden="1">
      <c r="A241" s="18">
        <v>240</v>
      </c>
      <c r="B241" s="17" t="s">
        <v>589</v>
      </c>
      <c r="C241" s="17" t="s">
        <v>590</v>
      </c>
      <c r="D241" s="17" t="s">
        <v>17</v>
      </c>
      <c r="E241" s="17" t="s">
        <v>8</v>
      </c>
      <c r="F241" s="17">
        <v>3200</v>
      </c>
      <c r="G241" s="17">
        <v>0</v>
      </c>
      <c r="H241" s="17">
        <v>200</v>
      </c>
      <c r="I241" s="17">
        <v>3000</v>
      </c>
      <c r="J241" s="17">
        <v>0</v>
      </c>
      <c r="K241" s="17">
        <v>0</v>
      </c>
      <c r="L241" s="17">
        <v>3000</v>
      </c>
      <c r="M241" s="17">
        <v>0</v>
      </c>
      <c r="N241" s="17">
        <v>0</v>
      </c>
      <c r="O241" s="17">
        <v>3000</v>
      </c>
      <c r="P241" s="17">
        <v>1000</v>
      </c>
      <c r="Q241" s="17">
        <v>2000</v>
      </c>
      <c r="R241" s="17">
        <v>0</v>
      </c>
      <c r="S241" s="17"/>
      <c r="T241" s="17" t="s">
        <v>2972</v>
      </c>
      <c r="U241" s="17" t="s">
        <v>3055</v>
      </c>
      <c r="V241" s="17" t="s">
        <v>3056</v>
      </c>
      <c r="W241" s="17"/>
      <c r="X241" s="17"/>
    </row>
    <row r="242" spans="1:24" hidden="1">
      <c r="A242" s="18">
        <v>241</v>
      </c>
      <c r="B242" s="17" t="s">
        <v>434</v>
      </c>
      <c r="C242" s="17" t="s">
        <v>435</v>
      </c>
      <c r="D242" s="17" t="s">
        <v>20</v>
      </c>
      <c r="E242" s="17" t="s">
        <v>8</v>
      </c>
      <c r="F242" s="17">
        <v>0</v>
      </c>
      <c r="G242" s="17">
        <v>107.32</v>
      </c>
      <c r="H242" s="17">
        <v>49.68</v>
      </c>
      <c r="I242" s="17">
        <v>57.64</v>
      </c>
      <c r="J242" s="17">
        <v>0</v>
      </c>
      <c r="K242" s="17">
        <v>0</v>
      </c>
      <c r="L242" s="17">
        <v>57.64</v>
      </c>
      <c r="M242" s="17">
        <v>0</v>
      </c>
      <c r="N242" s="17">
        <v>0</v>
      </c>
      <c r="O242" s="17">
        <v>57.64</v>
      </c>
      <c r="P242" s="17">
        <v>25</v>
      </c>
      <c r="Q242" s="17">
        <v>32.64</v>
      </c>
      <c r="R242" s="17">
        <v>50</v>
      </c>
      <c r="S242" s="17"/>
      <c r="T242" s="17" t="s">
        <v>2991</v>
      </c>
      <c r="U242" s="17" t="s">
        <v>3057</v>
      </c>
      <c r="V242" s="17" t="s">
        <v>3056</v>
      </c>
      <c r="W242" s="17"/>
      <c r="X242" s="17"/>
    </row>
    <row r="243" spans="1:24" hidden="1">
      <c r="A243" s="18">
        <v>242</v>
      </c>
      <c r="B243" s="17" t="s">
        <v>436</v>
      </c>
      <c r="C243" s="17" t="s">
        <v>437</v>
      </c>
      <c r="D243" s="17" t="s">
        <v>20</v>
      </c>
      <c r="E243" s="17" t="s">
        <v>8</v>
      </c>
      <c r="F243" s="17">
        <v>94.58</v>
      </c>
      <c r="G243" s="17">
        <v>0</v>
      </c>
      <c r="H243" s="17">
        <v>0</v>
      </c>
      <c r="I243" s="17">
        <v>94.58</v>
      </c>
      <c r="J243" s="17">
        <v>0</v>
      </c>
      <c r="K243" s="17">
        <v>0</v>
      </c>
      <c r="L243" s="17">
        <v>94.58</v>
      </c>
      <c r="M243" s="17">
        <v>0</v>
      </c>
      <c r="N243" s="17">
        <v>0</v>
      </c>
      <c r="O243" s="17">
        <v>94.58</v>
      </c>
      <c r="P243" s="17">
        <v>50</v>
      </c>
      <c r="Q243" s="17">
        <v>44.58</v>
      </c>
      <c r="R243" s="17">
        <v>0</v>
      </c>
      <c r="S243" s="17"/>
      <c r="T243" s="17" t="s">
        <v>2991</v>
      </c>
      <c r="U243" s="17" t="s">
        <v>3057</v>
      </c>
      <c r="V243" s="17" t="s">
        <v>3056</v>
      </c>
      <c r="W243" s="17"/>
      <c r="X243" s="17"/>
    </row>
    <row r="244" spans="1:24" hidden="1">
      <c r="A244" s="18">
        <v>243</v>
      </c>
      <c r="B244" s="17" t="s">
        <v>438</v>
      </c>
      <c r="C244" s="17" t="s">
        <v>439</v>
      </c>
      <c r="D244" s="17" t="s">
        <v>20</v>
      </c>
      <c r="E244" s="17" t="s">
        <v>8</v>
      </c>
      <c r="F244" s="17">
        <v>220.38</v>
      </c>
      <c r="G244" s="17">
        <v>0</v>
      </c>
      <c r="H244" s="17">
        <v>33.1</v>
      </c>
      <c r="I244" s="17">
        <v>187.28</v>
      </c>
      <c r="J244" s="17">
        <v>0</v>
      </c>
      <c r="K244" s="17">
        <v>0</v>
      </c>
      <c r="L244" s="17">
        <v>187.28</v>
      </c>
      <c r="M244" s="17">
        <v>0</v>
      </c>
      <c r="N244" s="17">
        <v>0</v>
      </c>
      <c r="O244" s="17">
        <v>187.28</v>
      </c>
      <c r="P244" s="17">
        <v>50</v>
      </c>
      <c r="Q244" s="17">
        <v>137.28</v>
      </c>
      <c r="R244" s="17">
        <v>0</v>
      </c>
      <c r="S244" s="17"/>
      <c r="T244" s="17" t="s">
        <v>2991</v>
      </c>
      <c r="U244" s="17" t="s">
        <v>3057</v>
      </c>
      <c r="V244" s="17" t="s">
        <v>3056</v>
      </c>
      <c r="W244" s="17"/>
      <c r="X244" s="17"/>
    </row>
    <row r="245" spans="1:24" hidden="1">
      <c r="A245" s="18">
        <v>244</v>
      </c>
      <c r="B245" s="17" t="s">
        <v>440</v>
      </c>
      <c r="C245" s="17" t="s">
        <v>441</v>
      </c>
      <c r="D245" s="17" t="s">
        <v>20</v>
      </c>
      <c r="E245" s="17" t="s">
        <v>8</v>
      </c>
      <c r="F245" s="17">
        <v>83.46</v>
      </c>
      <c r="G245" s="17">
        <v>0</v>
      </c>
      <c r="H245" s="17">
        <v>0</v>
      </c>
      <c r="I245" s="17">
        <v>83.46</v>
      </c>
      <c r="J245" s="17">
        <v>0</v>
      </c>
      <c r="K245" s="17">
        <v>0</v>
      </c>
      <c r="L245" s="17">
        <v>83.46</v>
      </c>
      <c r="M245" s="17">
        <v>0</v>
      </c>
      <c r="N245" s="17">
        <v>0</v>
      </c>
      <c r="O245" s="17">
        <v>83.46</v>
      </c>
      <c r="P245" s="17">
        <v>50</v>
      </c>
      <c r="Q245" s="17">
        <v>33.459999999999994</v>
      </c>
      <c r="R245" s="17">
        <v>0</v>
      </c>
      <c r="S245" s="17"/>
      <c r="T245" s="17" t="s">
        <v>2991</v>
      </c>
      <c r="U245" s="17" t="s">
        <v>3057</v>
      </c>
      <c r="V245" s="17" t="s">
        <v>3056</v>
      </c>
      <c r="W245" s="17"/>
      <c r="X245" s="17"/>
    </row>
    <row r="246" spans="1:24" hidden="1">
      <c r="A246" s="18">
        <v>245</v>
      </c>
      <c r="B246" s="17" t="s">
        <v>599</v>
      </c>
      <c r="C246" s="17" t="s">
        <v>600</v>
      </c>
      <c r="D246" s="17" t="s">
        <v>7</v>
      </c>
      <c r="E246" s="17" t="s">
        <v>8</v>
      </c>
      <c r="F246" s="17">
        <v>0</v>
      </c>
      <c r="G246" s="17">
        <v>0</v>
      </c>
      <c r="H246" s="17">
        <v>0</v>
      </c>
      <c r="I246" s="17">
        <v>0</v>
      </c>
      <c r="J246" s="17">
        <v>0</v>
      </c>
      <c r="K246" s="17">
        <v>0</v>
      </c>
      <c r="L246" s="17">
        <v>0</v>
      </c>
      <c r="M246" s="17">
        <v>0</v>
      </c>
      <c r="N246" s="17">
        <v>0</v>
      </c>
      <c r="O246" s="17">
        <v>0</v>
      </c>
      <c r="P246" s="17">
        <v>0</v>
      </c>
      <c r="Q246" s="17">
        <v>0</v>
      </c>
      <c r="R246" s="17">
        <v>0</v>
      </c>
      <c r="S246" s="17"/>
      <c r="T246" s="17" t="s">
        <v>2965</v>
      </c>
      <c r="U246" s="17" t="s">
        <v>3055</v>
      </c>
      <c r="V246" s="17" t="s">
        <v>3056</v>
      </c>
      <c r="W246" s="17"/>
      <c r="X246" s="17"/>
    </row>
    <row r="247" spans="1:24" hidden="1">
      <c r="A247" s="18">
        <v>246</v>
      </c>
      <c r="B247" s="17" t="s">
        <v>442</v>
      </c>
      <c r="C247" s="17" t="s">
        <v>443</v>
      </c>
      <c r="D247" s="17" t="s">
        <v>20</v>
      </c>
      <c r="E247" s="17" t="s">
        <v>8</v>
      </c>
      <c r="F247" s="17">
        <v>110.66</v>
      </c>
      <c r="G247" s="17">
        <v>341.2</v>
      </c>
      <c r="H247" s="17">
        <v>110.66</v>
      </c>
      <c r="I247" s="17">
        <v>341.2</v>
      </c>
      <c r="J247" s="17">
        <v>0</v>
      </c>
      <c r="K247" s="17">
        <v>0</v>
      </c>
      <c r="L247" s="17">
        <v>341.2</v>
      </c>
      <c r="M247" s="17">
        <v>0</v>
      </c>
      <c r="N247" s="17">
        <v>0</v>
      </c>
      <c r="O247" s="17">
        <v>341.2</v>
      </c>
      <c r="P247" s="17">
        <v>50</v>
      </c>
      <c r="Q247" s="17">
        <v>291.2</v>
      </c>
      <c r="R247" s="17">
        <v>100</v>
      </c>
      <c r="S247" s="17"/>
      <c r="T247" s="17" t="s">
        <v>2991</v>
      </c>
      <c r="U247" s="17" t="s">
        <v>3057</v>
      </c>
      <c r="V247" s="17" t="s">
        <v>3056</v>
      </c>
      <c r="W247" s="17"/>
      <c r="X247" s="17"/>
    </row>
    <row r="248" spans="1:24" hidden="1">
      <c r="A248" s="18">
        <v>247</v>
      </c>
      <c r="B248" s="17" t="s">
        <v>480</v>
      </c>
      <c r="C248" s="17" t="s">
        <v>481</v>
      </c>
      <c r="D248" s="17" t="s">
        <v>17</v>
      </c>
      <c r="E248" s="17" t="s">
        <v>8</v>
      </c>
      <c r="F248" s="17">
        <v>367</v>
      </c>
      <c r="G248" s="17">
        <v>0</v>
      </c>
      <c r="H248" s="17">
        <v>0</v>
      </c>
      <c r="I248" s="17">
        <v>367</v>
      </c>
      <c r="J248" s="17">
        <v>0</v>
      </c>
      <c r="K248" s="17">
        <v>0</v>
      </c>
      <c r="L248" s="17">
        <v>367</v>
      </c>
      <c r="M248" s="17">
        <v>0</v>
      </c>
      <c r="N248" s="17">
        <v>0</v>
      </c>
      <c r="O248" s="17">
        <v>367</v>
      </c>
      <c r="P248" s="17">
        <v>150</v>
      </c>
      <c r="Q248" s="17">
        <v>217</v>
      </c>
      <c r="R248" s="17">
        <v>0</v>
      </c>
      <c r="S248" s="17"/>
      <c r="T248" s="17" t="s">
        <v>2991</v>
      </c>
      <c r="U248" s="17" t="s">
        <v>3057</v>
      </c>
      <c r="V248" s="17" t="s">
        <v>3056</v>
      </c>
      <c r="W248" s="17"/>
      <c r="X248" s="17"/>
    </row>
    <row r="249" spans="1:24" hidden="1">
      <c r="A249" s="18">
        <v>248</v>
      </c>
      <c r="B249" s="17" t="s">
        <v>482</v>
      </c>
      <c r="C249" s="17" t="s">
        <v>483</v>
      </c>
      <c r="D249" s="17" t="s">
        <v>17</v>
      </c>
      <c r="E249" s="17" t="s">
        <v>8</v>
      </c>
      <c r="F249" s="17">
        <v>345</v>
      </c>
      <c r="G249" s="17">
        <v>0</v>
      </c>
      <c r="H249" s="17">
        <v>0</v>
      </c>
      <c r="I249" s="17">
        <v>345</v>
      </c>
      <c r="J249" s="17">
        <v>0</v>
      </c>
      <c r="K249" s="17">
        <v>0</v>
      </c>
      <c r="L249" s="17">
        <v>345</v>
      </c>
      <c r="M249" s="17">
        <v>0</v>
      </c>
      <c r="N249" s="17">
        <v>0</v>
      </c>
      <c r="O249" s="17">
        <v>345</v>
      </c>
      <c r="P249" s="17">
        <v>150</v>
      </c>
      <c r="Q249" s="17">
        <v>195</v>
      </c>
      <c r="R249" s="17">
        <v>0</v>
      </c>
      <c r="S249" s="17"/>
      <c r="T249" s="17" t="s">
        <v>2991</v>
      </c>
      <c r="U249" s="17" t="s">
        <v>3057</v>
      </c>
      <c r="V249" s="17" t="s">
        <v>3056</v>
      </c>
      <c r="W249" s="17"/>
      <c r="X249" s="17"/>
    </row>
    <row r="250" spans="1:24" hidden="1">
      <c r="A250" s="18">
        <v>249</v>
      </c>
      <c r="B250" s="17" t="s">
        <v>484</v>
      </c>
      <c r="C250" s="17" t="s">
        <v>485</v>
      </c>
      <c r="D250" s="17" t="s">
        <v>17</v>
      </c>
      <c r="E250" s="17" t="s">
        <v>8</v>
      </c>
      <c r="F250" s="17">
        <v>240</v>
      </c>
      <c r="G250" s="17">
        <v>0</v>
      </c>
      <c r="H250" s="17">
        <v>0</v>
      </c>
      <c r="I250" s="17">
        <v>240</v>
      </c>
      <c r="J250" s="17">
        <v>0</v>
      </c>
      <c r="K250" s="17">
        <v>0</v>
      </c>
      <c r="L250" s="17">
        <v>240</v>
      </c>
      <c r="M250" s="17">
        <v>0</v>
      </c>
      <c r="N250" s="17">
        <v>0</v>
      </c>
      <c r="O250" s="17">
        <v>240</v>
      </c>
      <c r="P250" s="17">
        <v>150</v>
      </c>
      <c r="Q250" s="17">
        <v>90</v>
      </c>
      <c r="R250" s="17">
        <v>0</v>
      </c>
      <c r="S250" s="17"/>
      <c r="T250" s="17" t="s">
        <v>2991</v>
      </c>
      <c r="U250" s="17" t="s">
        <v>3057</v>
      </c>
      <c r="V250" s="17" t="s">
        <v>3056</v>
      </c>
      <c r="W250" s="17"/>
      <c r="X250" s="17"/>
    </row>
    <row r="251" spans="1:24" hidden="1">
      <c r="A251" s="18">
        <v>250</v>
      </c>
      <c r="B251" s="17" t="s">
        <v>486</v>
      </c>
      <c r="C251" s="17" t="s">
        <v>487</v>
      </c>
      <c r="D251" s="17" t="s">
        <v>17</v>
      </c>
      <c r="E251" s="17" t="s">
        <v>8</v>
      </c>
      <c r="F251" s="17">
        <v>160</v>
      </c>
      <c r="G251" s="17">
        <v>0</v>
      </c>
      <c r="H251" s="17">
        <v>0</v>
      </c>
      <c r="I251" s="17">
        <v>160</v>
      </c>
      <c r="J251" s="17">
        <v>0</v>
      </c>
      <c r="K251" s="17">
        <v>0</v>
      </c>
      <c r="L251" s="17">
        <v>160</v>
      </c>
      <c r="M251" s="17">
        <v>0</v>
      </c>
      <c r="N251" s="17">
        <v>0</v>
      </c>
      <c r="O251" s="17">
        <v>160</v>
      </c>
      <c r="P251" s="17">
        <v>150</v>
      </c>
      <c r="Q251" s="17">
        <v>10</v>
      </c>
      <c r="R251" s="17">
        <v>0</v>
      </c>
      <c r="S251" s="17"/>
      <c r="T251" s="17" t="s">
        <v>2991</v>
      </c>
      <c r="U251" s="17" t="s">
        <v>3057</v>
      </c>
      <c r="V251" s="17" t="s">
        <v>3056</v>
      </c>
      <c r="W251" s="17"/>
      <c r="X251" s="17"/>
    </row>
    <row r="252" spans="1:24" hidden="1">
      <c r="A252" s="18">
        <v>251</v>
      </c>
      <c r="B252" s="17" t="s">
        <v>490</v>
      </c>
      <c r="C252" s="17" t="s">
        <v>491</v>
      </c>
      <c r="D252" s="17" t="s">
        <v>17</v>
      </c>
      <c r="E252" s="17" t="s">
        <v>8</v>
      </c>
      <c r="F252" s="17">
        <v>0</v>
      </c>
      <c r="G252" s="17">
        <v>0</v>
      </c>
      <c r="H252" s="17">
        <v>0</v>
      </c>
      <c r="I252" s="17">
        <v>0</v>
      </c>
      <c r="J252" s="17">
        <v>0</v>
      </c>
      <c r="K252" s="17">
        <v>0</v>
      </c>
      <c r="L252" s="17">
        <v>0</v>
      </c>
      <c r="M252" s="17">
        <v>0</v>
      </c>
      <c r="N252" s="17">
        <v>0</v>
      </c>
      <c r="O252" s="17">
        <v>0</v>
      </c>
      <c r="P252" s="17">
        <v>0</v>
      </c>
      <c r="Q252" s="17">
        <v>0</v>
      </c>
      <c r="R252" s="17">
        <v>0</v>
      </c>
      <c r="S252" s="17"/>
      <c r="T252" s="17" t="s">
        <v>2972</v>
      </c>
      <c r="U252" s="17" t="s">
        <v>3057</v>
      </c>
      <c r="V252" s="17" t="s">
        <v>3056</v>
      </c>
      <c r="W252" s="17"/>
      <c r="X252" s="17"/>
    </row>
    <row r="253" spans="1:24" hidden="1">
      <c r="A253" s="18">
        <v>252</v>
      </c>
      <c r="B253" s="17" t="s">
        <v>492</v>
      </c>
      <c r="C253" s="17" t="s">
        <v>493</v>
      </c>
      <c r="D253" s="17" t="s">
        <v>17</v>
      </c>
      <c r="E253" s="17" t="s">
        <v>8</v>
      </c>
      <c r="F253" s="17">
        <v>0</v>
      </c>
      <c r="G253" s="17">
        <v>0</v>
      </c>
      <c r="H253" s="17">
        <v>0</v>
      </c>
      <c r="I253" s="17">
        <v>0</v>
      </c>
      <c r="J253" s="17">
        <v>0</v>
      </c>
      <c r="K253" s="17">
        <v>0</v>
      </c>
      <c r="L253" s="17">
        <v>0</v>
      </c>
      <c r="M253" s="17">
        <v>0</v>
      </c>
      <c r="N253" s="17">
        <v>0</v>
      </c>
      <c r="O253" s="17">
        <v>0</v>
      </c>
      <c r="P253" s="17">
        <v>0</v>
      </c>
      <c r="Q253" s="17">
        <v>0</v>
      </c>
      <c r="R253" s="17">
        <v>0</v>
      </c>
      <c r="S253" s="17"/>
      <c r="T253" s="17" t="s">
        <v>2991</v>
      </c>
      <c r="U253" s="17" t="s">
        <v>3057</v>
      </c>
      <c r="V253" s="17" t="s">
        <v>3056</v>
      </c>
      <c r="W253" s="17"/>
      <c r="X253" s="17"/>
    </row>
    <row r="254" spans="1:24" hidden="1">
      <c r="A254" s="18">
        <v>253</v>
      </c>
      <c r="B254" s="17" t="s">
        <v>496</v>
      </c>
      <c r="C254" s="17" t="s">
        <v>497</v>
      </c>
      <c r="D254" s="17" t="s">
        <v>17</v>
      </c>
      <c r="E254" s="17" t="s">
        <v>8</v>
      </c>
      <c r="F254" s="17">
        <v>0</v>
      </c>
      <c r="G254" s="17">
        <v>0</v>
      </c>
      <c r="H254" s="17">
        <v>0</v>
      </c>
      <c r="I254" s="17">
        <v>0</v>
      </c>
      <c r="J254" s="17">
        <v>0</v>
      </c>
      <c r="K254" s="17">
        <v>0</v>
      </c>
      <c r="L254" s="17">
        <v>0</v>
      </c>
      <c r="M254" s="17">
        <v>0</v>
      </c>
      <c r="N254" s="17">
        <v>0</v>
      </c>
      <c r="O254" s="17">
        <v>0</v>
      </c>
      <c r="P254" s="17">
        <v>0</v>
      </c>
      <c r="Q254" s="17">
        <v>0</v>
      </c>
      <c r="R254" s="17">
        <v>0</v>
      </c>
      <c r="S254" s="17"/>
      <c r="T254" s="17" t="s">
        <v>2972</v>
      </c>
      <c r="U254" s="17" t="s">
        <v>3057</v>
      </c>
      <c r="V254" s="17" t="s">
        <v>3056</v>
      </c>
      <c r="W254" s="17"/>
      <c r="X254" s="17"/>
    </row>
    <row r="255" spans="1:24" hidden="1">
      <c r="A255" s="18">
        <v>254</v>
      </c>
      <c r="B255" s="17" t="s">
        <v>623</v>
      </c>
      <c r="C255" s="17" t="s">
        <v>624</v>
      </c>
      <c r="D255" s="17" t="s">
        <v>17</v>
      </c>
      <c r="E255" s="17" t="s">
        <v>8</v>
      </c>
      <c r="F255" s="17">
        <v>16825</v>
      </c>
      <c r="G255" s="17">
        <v>0</v>
      </c>
      <c r="H255" s="17">
        <v>0</v>
      </c>
      <c r="I255" s="17">
        <v>16825</v>
      </c>
      <c r="J255" s="17">
        <v>0</v>
      </c>
      <c r="K255" s="17">
        <v>0</v>
      </c>
      <c r="L255" s="17">
        <v>16825</v>
      </c>
      <c r="M255" s="17">
        <v>0</v>
      </c>
      <c r="N255" s="17">
        <v>0</v>
      </c>
      <c r="O255" s="17">
        <v>16825</v>
      </c>
      <c r="P255" s="17">
        <v>2000</v>
      </c>
      <c r="Q255" s="17">
        <v>14825</v>
      </c>
      <c r="R255" s="17">
        <v>0</v>
      </c>
      <c r="S255" s="17"/>
      <c r="T255" s="17" t="s">
        <v>2972</v>
      </c>
      <c r="U255" s="17" t="s">
        <v>3060</v>
      </c>
      <c r="V255" s="17" t="s">
        <v>3058</v>
      </c>
      <c r="W255" s="17"/>
      <c r="X255" s="17"/>
    </row>
    <row r="256" spans="1:24" hidden="1">
      <c r="A256" s="18">
        <v>255</v>
      </c>
      <c r="B256" s="17" t="s">
        <v>625</v>
      </c>
      <c r="C256" s="17" t="s">
        <v>626</v>
      </c>
      <c r="D256" s="17" t="s">
        <v>17</v>
      </c>
      <c r="E256" s="17" t="s">
        <v>8</v>
      </c>
      <c r="F256" s="17">
        <v>3000</v>
      </c>
      <c r="G256" s="17">
        <v>0</v>
      </c>
      <c r="H256" s="17">
        <v>0</v>
      </c>
      <c r="I256" s="17">
        <v>3000</v>
      </c>
      <c r="J256" s="17">
        <v>0</v>
      </c>
      <c r="K256" s="17">
        <v>0</v>
      </c>
      <c r="L256" s="17">
        <v>3000</v>
      </c>
      <c r="M256" s="17">
        <v>0</v>
      </c>
      <c r="N256" s="17">
        <v>0</v>
      </c>
      <c r="O256" s="17">
        <v>3000</v>
      </c>
      <c r="P256" s="17">
        <v>2000</v>
      </c>
      <c r="Q256" s="17">
        <v>1000</v>
      </c>
      <c r="R256" s="17">
        <v>5000</v>
      </c>
      <c r="S256" s="17"/>
      <c r="T256" s="17" t="s">
        <v>2972</v>
      </c>
      <c r="U256" s="17" t="s">
        <v>3060</v>
      </c>
      <c r="V256" s="17" t="s">
        <v>3058</v>
      </c>
      <c r="W256" s="17"/>
      <c r="X256" s="17"/>
    </row>
    <row r="257" spans="1:24" hidden="1">
      <c r="A257" s="18">
        <v>256</v>
      </c>
      <c r="B257" s="17" t="s">
        <v>627</v>
      </c>
      <c r="C257" s="17" t="s">
        <v>628</v>
      </c>
      <c r="D257" s="17" t="s">
        <v>17</v>
      </c>
      <c r="E257" s="17" t="s">
        <v>8</v>
      </c>
      <c r="F257" s="17">
        <v>14725</v>
      </c>
      <c r="G257" s="17">
        <v>0</v>
      </c>
      <c r="H257" s="17">
        <v>2687</v>
      </c>
      <c r="I257" s="17">
        <v>12038</v>
      </c>
      <c r="J257" s="17">
        <v>0</v>
      </c>
      <c r="K257" s="17">
        <v>0</v>
      </c>
      <c r="L257" s="17">
        <v>12038</v>
      </c>
      <c r="M257" s="17">
        <v>0</v>
      </c>
      <c r="N257" s="17">
        <v>0</v>
      </c>
      <c r="O257" s="17">
        <v>12038</v>
      </c>
      <c r="P257" s="17">
        <v>3000</v>
      </c>
      <c r="Q257" s="17">
        <v>9038</v>
      </c>
      <c r="R257" s="17">
        <v>0</v>
      </c>
      <c r="S257" s="17"/>
      <c r="T257" s="17" t="s">
        <v>2972</v>
      </c>
      <c r="U257" s="17" t="s">
        <v>3060</v>
      </c>
      <c r="V257" s="17" t="s">
        <v>3058</v>
      </c>
      <c r="W257" s="17"/>
      <c r="X257" s="17"/>
    </row>
    <row r="258" spans="1:24" hidden="1">
      <c r="A258" s="18">
        <v>257</v>
      </c>
      <c r="B258" s="17" t="s">
        <v>629</v>
      </c>
      <c r="C258" s="17" t="s">
        <v>630</v>
      </c>
      <c r="D258" s="17" t="s">
        <v>17</v>
      </c>
      <c r="E258" s="17" t="s">
        <v>8</v>
      </c>
      <c r="F258" s="17">
        <v>13400</v>
      </c>
      <c r="G258" s="17">
        <v>0</v>
      </c>
      <c r="H258" s="17">
        <v>1000</v>
      </c>
      <c r="I258" s="17">
        <v>12400</v>
      </c>
      <c r="J258" s="17">
        <v>0</v>
      </c>
      <c r="K258" s="17">
        <v>0</v>
      </c>
      <c r="L258" s="17">
        <v>12400</v>
      </c>
      <c r="M258" s="17">
        <v>0</v>
      </c>
      <c r="N258" s="17">
        <v>0</v>
      </c>
      <c r="O258" s="17">
        <v>12400</v>
      </c>
      <c r="P258" s="17">
        <v>3500</v>
      </c>
      <c r="Q258" s="17">
        <v>8900</v>
      </c>
      <c r="R258" s="17">
        <v>0</v>
      </c>
      <c r="S258" s="17"/>
      <c r="T258" s="17" t="s">
        <v>2972</v>
      </c>
      <c r="U258" s="17" t="s">
        <v>3060</v>
      </c>
      <c r="V258" s="17" t="s">
        <v>3058</v>
      </c>
      <c r="W258" s="17"/>
      <c r="X258" s="17"/>
    </row>
    <row r="259" spans="1:24" hidden="1">
      <c r="A259" s="18">
        <v>258</v>
      </c>
      <c r="B259" s="17" t="s">
        <v>633</v>
      </c>
      <c r="C259" s="17" t="s">
        <v>634</v>
      </c>
      <c r="D259" s="17" t="s">
        <v>20</v>
      </c>
      <c r="E259" s="17" t="s">
        <v>8</v>
      </c>
      <c r="F259" s="17">
        <v>0</v>
      </c>
      <c r="G259" s="17">
        <v>0</v>
      </c>
      <c r="H259" s="17">
        <v>0</v>
      </c>
      <c r="I259" s="17">
        <v>0</v>
      </c>
      <c r="J259" s="17">
        <v>0</v>
      </c>
      <c r="K259" s="17">
        <v>0</v>
      </c>
      <c r="L259" s="17">
        <v>0</v>
      </c>
      <c r="M259" s="17">
        <v>0</v>
      </c>
      <c r="N259" s="17">
        <v>0</v>
      </c>
      <c r="O259" s="17">
        <v>0</v>
      </c>
      <c r="P259" s="17">
        <v>200</v>
      </c>
      <c r="Q259" s="17">
        <v>-200</v>
      </c>
      <c r="R259" s="17">
        <v>0</v>
      </c>
      <c r="S259" s="17"/>
      <c r="T259" s="17" t="s">
        <v>3034</v>
      </c>
      <c r="U259" s="17" t="s">
        <v>3059</v>
      </c>
      <c r="V259" s="17" t="s">
        <v>3056</v>
      </c>
      <c r="W259" s="17"/>
      <c r="X259" s="17"/>
    </row>
    <row r="260" spans="1:24" hidden="1">
      <c r="A260" s="18">
        <v>259</v>
      </c>
      <c r="B260" s="17" t="s">
        <v>635</v>
      </c>
      <c r="C260" s="17" t="s">
        <v>636</v>
      </c>
      <c r="D260" s="17" t="s">
        <v>20</v>
      </c>
      <c r="E260" s="17" t="s">
        <v>8</v>
      </c>
      <c r="F260" s="17">
        <v>49573.1</v>
      </c>
      <c r="G260" s="17">
        <v>66476</v>
      </c>
      <c r="H260" s="17">
        <v>58511</v>
      </c>
      <c r="I260" s="17">
        <v>57538.1</v>
      </c>
      <c r="J260" s="17">
        <v>0</v>
      </c>
      <c r="K260" s="17">
        <v>0</v>
      </c>
      <c r="L260" s="17">
        <v>57538.1</v>
      </c>
      <c r="M260" s="17">
        <v>34884</v>
      </c>
      <c r="N260" s="17">
        <v>0</v>
      </c>
      <c r="O260" s="17">
        <v>92422.1</v>
      </c>
      <c r="P260" s="17">
        <v>50000</v>
      </c>
      <c r="Q260" s="17">
        <v>42422.100000000006</v>
      </c>
      <c r="R260" s="17">
        <v>110000</v>
      </c>
      <c r="S260" s="17"/>
      <c r="T260" s="17" t="s">
        <v>3034</v>
      </c>
      <c r="U260" s="17" t="s">
        <v>3059</v>
      </c>
      <c r="V260" s="17" t="s">
        <v>3056</v>
      </c>
      <c r="W260" s="17"/>
      <c r="X260" s="17"/>
    </row>
    <row r="261" spans="1:24" hidden="1">
      <c r="A261" s="18">
        <v>260</v>
      </c>
      <c r="B261" s="17" t="s">
        <v>498</v>
      </c>
      <c r="C261" s="17" t="s">
        <v>499</v>
      </c>
      <c r="D261" s="17" t="s">
        <v>17</v>
      </c>
      <c r="E261" s="17" t="s">
        <v>8</v>
      </c>
      <c r="F261" s="17">
        <v>4000</v>
      </c>
      <c r="G261" s="17">
        <v>0</v>
      </c>
      <c r="H261" s="17">
        <v>0</v>
      </c>
      <c r="I261" s="17">
        <v>4000</v>
      </c>
      <c r="J261" s="17">
        <v>0</v>
      </c>
      <c r="K261" s="17">
        <v>0</v>
      </c>
      <c r="L261" s="17">
        <v>4000</v>
      </c>
      <c r="M261" s="17">
        <v>0</v>
      </c>
      <c r="N261" s="17">
        <v>0</v>
      </c>
      <c r="O261" s="17">
        <v>4000</v>
      </c>
      <c r="P261" s="17">
        <v>0</v>
      </c>
      <c r="Q261" s="17">
        <v>4000</v>
      </c>
      <c r="R261" s="17">
        <v>0</v>
      </c>
      <c r="S261" s="17"/>
      <c r="T261" s="17" t="s">
        <v>2972</v>
      </c>
      <c r="U261" s="17" t="s">
        <v>3057</v>
      </c>
      <c r="V261" s="17" t="s">
        <v>3056</v>
      </c>
      <c r="W261" s="17"/>
      <c r="X261" s="17"/>
    </row>
    <row r="262" spans="1:24" hidden="1">
      <c r="A262" s="18">
        <v>261</v>
      </c>
      <c r="B262" s="17" t="s">
        <v>500</v>
      </c>
      <c r="C262" s="17" t="s">
        <v>501</v>
      </c>
      <c r="D262" s="17" t="s">
        <v>17</v>
      </c>
      <c r="E262" s="17" t="s">
        <v>8</v>
      </c>
      <c r="F262" s="17">
        <v>0</v>
      </c>
      <c r="G262" s="17">
        <v>0</v>
      </c>
      <c r="H262" s="17">
        <v>0</v>
      </c>
      <c r="I262" s="17">
        <v>0</v>
      </c>
      <c r="J262" s="17">
        <v>0</v>
      </c>
      <c r="K262" s="17">
        <v>0</v>
      </c>
      <c r="L262" s="17">
        <v>0</v>
      </c>
      <c r="M262" s="17">
        <v>0</v>
      </c>
      <c r="N262" s="17">
        <v>0</v>
      </c>
      <c r="O262" s="17">
        <v>0</v>
      </c>
      <c r="P262" s="17">
        <v>0</v>
      </c>
      <c r="Q262" s="17">
        <v>0</v>
      </c>
      <c r="R262" s="17">
        <v>0</v>
      </c>
      <c r="S262" s="17"/>
      <c r="T262" s="17" t="s">
        <v>2972</v>
      </c>
      <c r="U262" s="17" t="s">
        <v>3057</v>
      </c>
      <c r="V262" s="17" t="s">
        <v>3056</v>
      </c>
      <c r="W262" s="17"/>
      <c r="X262" s="17"/>
    </row>
    <row r="263" spans="1:24" hidden="1">
      <c r="A263" s="18">
        <v>262</v>
      </c>
      <c r="B263" s="17" t="s">
        <v>504</v>
      </c>
      <c r="C263" s="17" t="s">
        <v>505</v>
      </c>
      <c r="D263" s="17" t="s">
        <v>17</v>
      </c>
      <c r="E263" s="17" t="s">
        <v>8</v>
      </c>
      <c r="F263" s="17">
        <v>3000</v>
      </c>
      <c r="G263" s="17">
        <v>0</v>
      </c>
      <c r="H263" s="17">
        <v>0</v>
      </c>
      <c r="I263" s="17">
        <v>3000</v>
      </c>
      <c r="J263" s="17">
        <v>0</v>
      </c>
      <c r="K263" s="17">
        <v>0</v>
      </c>
      <c r="L263" s="17">
        <v>3000</v>
      </c>
      <c r="M263" s="17">
        <v>0</v>
      </c>
      <c r="N263" s="17">
        <v>0</v>
      </c>
      <c r="O263" s="17">
        <v>3000</v>
      </c>
      <c r="P263" s="17">
        <v>150</v>
      </c>
      <c r="Q263" s="17">
        <v>2850</v>
      </c>
      <c r="R263" s="17">
        <v>0</v>
      </c>
      <c r="S263" s="17"/>
      <c r="T263" s="17" t="s">
        <v>2972</v>
      </c>
      <c r="U263" s="17" t="s">
        <v>3057</v>
      </c>
      <c r="V263" s="17" t="s">
        <v>3056</v>
      </c>
      <c r="W263" s="17"/>
      <c r="X263" s="17"/>
    </row>
    <row r="264" spans="1:24" hidden="1">
      <c r="A264" s="18">
        <v>263</v>
      </c>
      <c r="B264" s="17" t="s">
        <v>642</v>
      </c>
      <c r="C264" s="17" t="s">
        <v>643</v>
      </c>
      <c r="D264" s="17" t="s">
        <v>17</v>
      </c>
      <c r="E264" s="17" t="s">
        <v>8</v>
      </c>
      <c r="F264" s="17">
        <v>0</v>
      </c>
      <c r="G264" s="17">
        <v>0</v>
      </c>
      <c r="H264" s="17">
        <v>0</v>
      </c>
      <c r="I264" s="17">
        <v>0</v>
      </c>
      <c r="J264" s="17">
        <v>0</v>
      </c>
      <c r="K264" s="17">
        <v>0</v>
      </c>
      <c r="L264" s="17">
        <v>0</v>
      </c>
      <c r="M264" s="17">
        <v>0</v>
      </c>
      <c r="N264" s="17">
        <v>0</v>
      </c>
      <c r="O264" s="17">
        <v>0</v>
      </c>
      <c r="P264" s="17">
        <v>0</v>
      </c>
      <c r="Q264" s="17">
        <v>0</v>
      </c>
      <c r="R264" s="17">
        <v>0</v>
      </c>
      <c r="S264" s="17"/>
      <c r="T264" s="17" t="s">
        <v>3050</v>
      </c>
      <c r="U264" s="17" t="s">
        <v>3055</v>
      </c>
      <c r="V264" s="17" t="s">
        <v>3061</v>
      </c>
      <c r="W264" s="17"/>
      <c r="X264" s="17"/>
    </row>
    <row r="265" spans="1:24" hidden="1">
      <c r="A265" s="18">
        <v>264</v>
      </c>
      <c r="B265" s="17" t="s">
        <v>644</v>
      </c>
      <c r="C265" s="17" t="s">
        <v>645</v>
      </c>
      <c r="D265" s="17" t="s">
        <v>17</v>
      </c>
      <c r="E265" s="17" t="s">
        <v>8</v>
      </c>
      <c r="F265" s="17">
        <v>0</v>
      </c>
      <c r="G265" s="17">
        <v>0</v>
      </c>
      <c r="H265" s="17">
        <v>0</v>
      </c>
      <c r="I265" s="17">
        <v>0</v>
      </c>
      <c r="J265" s="17">
        <v>0</v>
      </c>
      <c r="K265" s="17">
        <v>0</v>
      </c>
      <c r="L265" s="17">
        <v>0</v>
      </c>
      <c r="M265" s="17">
        <v>0</v>
      </c>
      <c r="N265" s="17">
        <v>0</v>
      </c>
      <c r="O265" s="17">
        <v>0</v>
      </c>
      <c r="P265" s="17">
        <v>0</v>
      </c>
      <c r="Q265" s="17">
        <v>0</v>
      </c>
      <c r="R265" s="17">
        <v>0</v>
      </c>
      <c r="S265" s="17"/>
      <c r="T265" s="17" t="s">
        <v>3050</v>
      </c>
      <c r="U265" s="17" t="s">
        <v>3055</v>
      </c>
      <c r="V265" s="17" t="s">
        <v>3061</v>
      </c>
      <c r="W265" s="17"/>
      <c r="X265" s="17"/>
    </row>
    <row r="266" spans="1:24" hidden="1">
      <c r="A266" s="18">
        <v>265</v>
      </c>
      <c r="B266" s="17" t="s">
        <v>646</v>
      </c>
      <c r="C266" s="17" t="s">
        <v>647</v>
      </c>
      <c r="D266" s="17" t="s">
        <v>7</v>
      </c>
      <c r="E266" s="17" t="s">
        <v>8</v>
      </c>
      <c r="F266" s="17">
        <v>19688.349999999999</v>
      </c>
      <c r="G266" s="17">
        <v>0</v>
      </c>
      <c r="H266" s="17">
        <v>3763</v>
      </c>
      <c r="I266" s="17">
        <v>15925.35</v>
      </c>
      <c r="J266" s="17">
        <v>2309.3200000000002</v>
      </c>
      <c r="K266" s="17">
        <v>0</v>
      </c>
      <c r="L266" s="17">
        <v>13616.03</v>
      </c>
      <c r="M266" s="17">
        <v>0</v>
      </c>
      <c r="N266" s="17">
        <v>0</v>
      </c>
      <c r="O266" s="17">
        <v>13616.03</v>
      </c>
      <c r="P266" s="17">
        <v>8000</v>
      </c>
      <c r="Q266" s="17">
        <v>5616.0300000000007</v>
      </c>
      <c r="R266" s="17">
        <v>0</v>
      </c>
      <c r="S266" s="17"/>
      <c r="T266" s="17" t="s">
        <v>2965</v>
      </c>
      <c r="U266" s="17" t="s">
        <v>3055</v>
      </c>
      <c r="V266" s="17" t="s">
        <v>3056</v>
      </c>
      <c r="W266" s="17"/>
      <c r="X266" s="17"/>
    </row>
    <row r="267" spans="1:24" hidden="1">
      <c r="A267" s="18">
        <v>266</v>
      </c>
      <c r="B267" s="17" t="s">
        <v>648</v>
      </c>
      <c r="C267" s="17" t="s">
        <v>649</v>
      </c>
      <c r="D267" s="17" t="s">
        <v>7</v>
      </c>
      <c r="E267" s="17" t="s">
        <v>8</v>
      </c>
      <c r="F267" s="17">
        <v>1781.1</v>
      </c>
      <c r="G267" s="17">
        <v>0</v>
      </c>
      <c r="H267" s="17">
        <v>0</v>
      </c>
      <c r="I267" s="17">
        <v>1781.1</v>
      </c>
      <c r="J267" s="17">
        <v>0</v>
      </c>
      <c r="K267" s="17">
        <v>0</v>
      </c>
      <c r="L267" s="17">
        <v>1781.1</v>
      </c>
      <c r="M267" s="17">
        <v>0</v>
      </c>
      <c r="N267" s="17">
        <v>0</v>
      </c>
      <c r="O267" s="17">
        <v>1781.1</v>
      </c>
      <c r="P267" s="17">
        <v>500</v>
      </c>
      <c r="Q267" s="17">
        <v>1281.0999999999999</v>
      </c>
      <c r="R267" s="17">
        <v>0</v>
      </c>
      <c r="S267" s="17"/>
      <c r="T267" s="17" t="s">
        <v>2965</v>
      </c>
      <c r="U267" s="17" t="s">
        <v>3055</v>
      </c>
      <c r="V267" s="17" t="s">
        <v>3056</v>
      </c>
      <c r="W267" s="17"/>
      <c r="X267" s="17"/>
    </row>
    <row r="268" spans="1:24" hidden="1">
      <c r="A268" s="18">
        <v>267</v>
      </c>
      <c r="B268" s="17" t="s">
        <v>650</v>
      </c>
      <c r="C268" s="17" t="s">
        <v>651</v>
      </c>
      <c r="D268" s="17" t="s">
        <v>7</v>
      </c>
      <c r="E268" s="17" t="s">
        <v>8</v>
      </c>
      <c r="F268" s="17">
        <v>2994.27</v>
      </c>
      <c r="G268" s="17">
        <v>0</v>
      </c>
      <c r="H268" s="17">
        <v>468</v>
      </c>
      <c r="I268" s="17">
        <v>2526.27</v>
      </c>
      <c r="J268" s="17">
        <v>0</v>
      </c>
      <c r="K268" s="17">
        <v>0</v>
      </c>
      <c r="L268" s="17">
        <v>2526.27</v>
      </c>
      <c r="M268" s="17">
        <v>0</v>
      </c>
      <c r="N268" s="17">
        <v>0</v>
      </c>
      <c r="O268" s="17">
        <v>2526.27</v>
      </c>
      <c r="P268" s="17">
        <v>500</v>
      </c>
      <c r="Q268" s="17">
        <v>2026.27</v>
      </c>
      <c r="R268" s="17">
        <v>0</v>
      </c>
      <c r="S268" s="17"/>
      <c r="T268" s="17" t="s">
        <v>2965</v>
      </c>
      <c r="U268" s="17" t="s">
        <v>3055</v>
      </c>
      <c r="V268" s="17" t="s">
        <v>3056</v>
      </c>
      <c r="W268" s="17"/>
      <c r="X268" s="17"/>
    </row>
    <row r="269" spans="1:24" hidden="1">
      <c r="A269" s="18">
        <v>268</v>
      </c>
      <c r="B269" s="17" t="s">
        <v>652</v>
      </c>
      <c r="C269" s="17" t="s">
        <v>653</v>
      </c>
      <c r="D269" s="17" t="s">
        <v>7</v>
      </c>
      <c r="E269" s="17" t="s">
        <v>8</v>
      </c>
      <c r="F269" s="17">
        <v>2257.3000000000002</v>
      </c>
      <c r="G269" s="17">
        <v>0</v>
      </c>
      <c r="H269" s="17">
        <v>40.700000000000003</v>
      </c>
      <c r="I269" s="17">
        <v>2216.6</v>
      </c>
      <c r="J269" s="17">
        <v>0</v>
      </c>
      <c r="K269" s="17">
        <v>0</v>
      </c>
      <c r="L269" s="17">
        <v>2216.6</v>
      </c>
      <c r="M269" s="17">
        <v>0</v>
      </c>
      <c r="N269" s="17">
        <v>0</v>
      </c>
      <c r="O269" s="17">
        <v>2216.6</v>
      </c>
      <c r="P269" s="17">
        <v>500</v>
      </c>
      <c r="Q269" s="17">
        <v>1716.6</v>
      </c>
      <c r="R269" s="17">
        <v>0</v>
      </c>
      <c r="S269" s="17"/>
      <c r="T269" s="17" t="s">
        <v>2965</v>
      </c>
      <c r="U269" s="17" t="s">
        <v>3055</v>
      </c>
      <c r="V269" s="17" t="s">
        <v>3056</v>
      </c>
      <c r="W269" s="17"/>
      <c r="X269" s="17"/>
    </row>
    <row r="270" spans="1:24" hidden="1">
      <c r="A270" s="18">
        <v>269</v>
      </c>
      <c r="B270" s="17" t="s">
        <v>654</v>
      </c>
      <c r="C270" s="17" t="s">
        <v>655</v>
      </c>
      <c r="D270" s="17" t="s">
        <v>7</v>
      </c>
      <c r="E270" s="17" t="s">
        <v>8</v>
      </c>
      <c r="F270" s="17">
        <v>949.6</v>
      </c>
      <c r="G270" s="17">
        <v>941</v>
      </c>
      <c r="H270" s="17">
        <v>678</v>
      </c>
      <c r="I270" s="17">
        <v>1212.5999999999999</v>
      </c>
      <c r="J270" s="17">
        <v>0</v>
      </c>
      <c r="K270" s="17">
        <v>0</v>
      </c>
      <c r="L270" s="17">
        <v>1212.5999999999999</v>
      </c>
      <c r="M270" s="17">
        <v>0</v>
      </c>
      <c r="N270" s="17">
        <v>0</v>
      </c>
      <c r="O270" s="17">
        <v>1212.5999999999999</v>
      </c>
      <c r="P270" s="17">
        <v>500</v>
      </c>
      <c r="Q270" s="17">
        <v>712.59999999999991</v>
      </c>
      <c r="R270" s="17">
        <v>1000</v>
      </c>
      <c r="S270" s="17"/>
      <c r="T270" s="17" t="s">
        <v>2965</v>
      </c>
      <c r="U270" s="17" t="s">
        <v>3055</v>
      </c>
      <c r="V270" s="17" t="s">
        <v>3056</v>
      </c>
      <c r="W270" s="17"/>
      <c r="X270" s="17"/>
    </row>
    <row r="271" spans="1:24" hidden="1">
      <c r="A271" s="18">
        <v>270</v>
      </c>
      <c r="B271" s="17" t="s">
        <v>656</v>
      </c>
      <c r="C271" s="17" t="s">
        <v>657</v>
      </c>
      <c r="D271" s="17" t="s">
        <v>7</v>
      </c>
      <c r="E271" s="17" t="s">
        <v>8</v>
      </c>
      <c r="F271" s="17">
        <v>280</v>
      </c>
      <c r="G271" s="17">
        <v>0</v>
      </c>
      <c r="H271" s="17">
        <v>51.5</v>
      </c>
      <c r="I271" s="17">
        <v>228.5</v>
      </c>
      <c r="J271" s="17">
        <v>0</v>
      </c>
      <c r="K271" s="17">
        <v>0</v>
      </c>
      <c r="L271" s="17">
        <v>228.5</v>
      </c>
      <c r="M271" s="17">
        <v>0</v>
      </c>
      <c r="N271" s="17">
        <v>0</v>
      </c>
      <c r="O271" s="17">
        <v>228.5</v>
      </c>
      <c r="P271" s="17">
        <v>100</v>
      </c>
      <c r="Q271" s="17">
        <v>128.5</v>
      </c>
      <c r="R271" s="17">
        <v>300</v>
      </c>
      <c r="S271" s="17"/>
      <c r="T271" s="17" t="s">
        <v>2965</v>
      </c>
      <c r="U271" s="17" t="s">
        <v>3055</v>
      </c>
      <c r="V271" s="17" t="s">
        <v>3056</v>
      </c>
      <c r="W271" s="17"/>
      <c r="X271" s="17"/>
    </row>
    <row r="272" spans="1:24" hidden="1">
      <c r="A272" s="18">
        <v>271</v>
      </c>
      <c r="B272" s="17" t="s">
        <v>660</v>
      </c>
      <c r="C272" s="17" t="s">
        <v>661</v>
      </c>
      <c r="D272" s="17" t="s">
        <v>7</v>
      </c>
      <c r="E272" s="17" t="s">
        <v>8</v>
      </c>
      <c r="F272" s="17">
        <v>230</v>
      </c>
      <c r="G272" s="17">
        <v>0</v>
      </c>
      <c r="H272" s="17">
        <v>0</v>
      </c>
      <c r="I272" s="17">
        <v>230</v>
      </c>
      <c r="J272" s="17">
        <v>0</v>
      </c>
      <c r="K272" s="17">
        <v>0</v>
      </c>
      <c r="L272" s="17">
        <v>230</v>
      </c>
      <c r="M272" s="17">
        <v>0</v>
      </c>
      <c r="N272" s="17">
        <v>0</v>
      </c>
      <c r="O272" s="17">
        <v>230</v>
      </c>
      <c r="P272" s="17">
        <v>0</v>
      </c>
      <c r="Q272" s="17">
        <v>230</v>
      </c>
      <c r="R272" s="17">
        <v>0</v>
      </c>
      <c r="S272" s="17"/>
      <c r="T272" s="17" t="s">
        <v>2965</v>
      </c>
      <c r="U272" s="17" t="s">
        <v>3055</v>
      </c>
      <c r="V272" s="17" t="s">
        <v>3056</v>
      </c>
      <c r="W272" s="17"/>
      <c r="X272" s="17"/>
    </row>
    <row r="273" spans="1:24" hidden="1">
      <c r="A273" s="18">
        <v>272</v>
      </c>
      <c r="B273" s="17" t="s">
        <v>662</v>
      </c>
      <c r="C273" s="17" t="s">
        <v>663</v>
      </c>
      <c r="D273" s="17" t="s">
        <v>7</v>
      </c>
      <c r="E273" s="17" t="s">
        <v>8</v>
      </c>
      <c r="F273" s="17">
        <v>897.1</v>
      </c>
      <c r="G273" s="17">
        <v>0</v>
      </c>
      <c r="H273" s="17">
        <v>0</v>
      </c>
      <c r="I273" s="17">
        <v>897.1</v>
      </c>
      <c r="J273" s="17">
        <v>0</v>
      </c>
      <c r="K273" s="17">
        <v>0</v>
      </c>
      <c r="L273" s="17">
        <v>897.1</v>
      </c>
      <c r="M273" s="17">
        <v>0</v>
      </c>
      <c r="N273" s="17">
        <v>0</v>
      </c>
      <c r="O273" s="17">
        <v>897.1</v>
      </c>
      <c r="P273" s="17">
        <v>0</v>
      </c>
      <c r="Q273" s="17">
        <v>897.1</v>
      </c>
      <c r="R273" s="17">
        <v>0</v>
      </c>
      <c r="S273" s="17"/>
      <c r="T273" s="17" t="s">
        <v>2965</v>
      </c>
      <c r="U273" s="17" t="s">
        <v>3055</v>
      </c>
      <c r="V273" s="17" t="s">
        <v>3056</v>
      </c>
      <c r="W273" s="17"/>
      <c r="X273" s="17"/>
    </row>
    <row r="274" spans="1:24" hidden="1">
      <c r="A274" s="18">
        <v>273</v>
      </c>
      <c r="B274" s="17" t="s">
        <v>664</v>
      </c>
      <c r="C274" s="17" t="s">
        <v>665</v>
      </c>
      <c r="D274" s="17" t="s">
        <v>7</v>
      </c>
      <c r="E274" s="17" t="s">
        <v>8</v>
      </c>
      <c r="F274" s="17">
        <v>402</v>
      </c>
      <c r="G274" s="17">
        <v>0</v>
      </c>
      <c r="H274" s="17">
        <v>0</v>
      </c>
      <c r="I274" s="17">
        <v>402</v>
      </c>
      <c r="J274" s="17">
        <v>0</v>
      </c>
      <c r="K274" s="17">
        <v>0</v>
      </c>
      <c r="L274" s="17">
        <v>402</v>
      </c>
      <c r="M274" s="17">
        <v>0</v>
      </c>
      <c r="N274" s="17">
        <v>0</v>
      </c>
      <c r="O274" s="17">
        <v>402</v>
      </c>
      <c r="P274" s="17">
        <v>0</v>
      </c>
      <c r="Q274" s="17">
        <v>402</v>
      </c>
      <c r="R274" s="17">
        <v>0</v>
      </c>
      <c r="S274" s="17"/>
      <c r="T274" s="17" t="s">
        <v>2965</v>
      </c>
      <c r="U274" s="17" t="s">
        <v>3055</v>
      </c>
      <c r="V274" s="17" t="s">
        <v>3056</v>
      </c>
      <c r="W274" s="17"/>
      <c r="X274" s="17"/>
    </row>
    <row r="275" spans="1:24" hidden="1">
      <c r="A275" s="18">
        <v>274</v>
      </c>
      <c r="B275" s="17" t="s">
        <v>666</v>
      </c>
      <c r="C275" s="17" t="s">
        <v>667</v>
      </c>
      <c r="D275" s="17" t="s">
        <v>7</v>
      </c>
      <c r="E275" s="17" t="s">
        <v>8</v>
      </c>
      <c r="F275" s="17">
        <v>177.1</v>
      </c>
      <c r="G275" s="17">
        <v>0</v>
      </c>
      <c r="H275" s="17">
        <v>0</v>
      </c>
      <c r="I275" s="17">
        <v>177.1</v>
      </c>
      <c r="J275" s="17">
        <v>0</v>
      </c>
      <c r="K275" s="17">
        <v>0</v>
      </c>
      <c r="L275" s="17">
        <v>177.1</v>
      </c>
      <c r="M275" s="17">
        <v>0</v>
      </c>
      <c r="N275" s="17">
        <v>0</v>
      </c>
      <c r="O275" s="17">
        <v>177.1</v>
      </c>
      <c r="P275" s="17">
        <v>0</v>
      </c>
      <c r="Q275" s="17">
        <v>177.1</v>
      </c>
      <c r="R275" s="17">
        <v>0</v>
      </c>
      <c r="S275" s="17"/>
      <c r="T275" s="17" t="s">
        <v>2965</v>
      </c>
      <c r="U275" s="17" t="s">
        <v>3055</v>
      </c>
      <c r="V275" s="17" t="s">
        <v>3056</v>
      </c>
      <c r="W275" s="17"/>
      <c r="X275" s="17"/>
    </row>
    <row r="276" spans="1:24" hidden="1">
      <c r="A276" s="18">
        <v>275</v>
      </c>
      <c r="B276" s="17" t="s">
        <v>668</v>
      </c>
      <c r="C276" s="17" t="s">
        <v>669</v>
      </c>
      <c r="D276" s="17" t="s">
        <v>7</v>
      </c>
      <c r="E276" s="17" t="s">
        <v>8</v>
      </c>
      <c r="F276" s="17">
        <v>70</v>
      </c>
      <c r="G276" s="17">
        <v>0</v>
      </c>
      <c r="H276" s="17">
        <v>0</v>
      </c>
      <c r="I276" s="17">
        <v>70</v>
      </c>
      <c r="J276" s="17">
        <v>0</v>
      </c>
      <c r="K276" s="17">
        <v>0</v>
      </c>
      <c r="L276" s="17">
        <v>70</v>
      </c>
      <c r="M276" s="17">
        <v>0</v>
      </c>
      <c r="N276" s="17">
        <v>0</v>
      </c>
      <c r="O276" s="17">
        <v>70</v>
      </c>
      <c r="P276" s="17">
        <v>120</v>
      </c>
      <c r="Q276" s="17">
        <v>-50</v>
      </c>
      <c r="R276" s="17">
        <v>0</v>
      </c>
      <c r="S276" s="17"/>
      <c r="T276" s="17" t="s">
        <v>2965</v>
      </c>
      <c r="U276" s="17" t="s">
        <v>3055</v>
      </c>
      <c r="V276" s="17" t="s">
        <v>3056</v>
      </c>
      <c r="W276" s="17"/>
      <c r="X276" s="17"/>
    </row>
    <row r="277" spans="1:24" hidden="1">
      <c r="A277" s="18">
        <v>276</v>
      </c>
      <c r="B277" s="17" t="s">
        <v>670</v>
      </c>
      <c r="C277" s="17" t="s">
        <v>671</v>
      </c>
      <c r="D277" s="17" t="s">
        <v>7</v>
      </c>
      <c r="E277" s="17" t="s">
        <v>8</v>
      </c>
      <c r="F277" s="17">
        <v>285.3</v>
      </c>
      <c r="G277" s="17">
        <v>0</v>
      </c>
      <c r="H277" s="17">
        <v>0</v>
      </c>
      <c r="I277" s="17">
        <v>285.3</v>
      </c>
      <c r="J277" s="17">
        <v>0</v>
      </c>
      <c r="K277" s="17">
        <v>0</v>
      </c>
      <c r="L277" s="17">
        <v>285.3</v>
      </c>
      <c r="M277" s="17">
        <v>0</v>
      </c>
      <c r="N277" s="17">
        <v>0</v>
      </c>
      <c r="O277" s="17">
        <v>285.3</v>
      </c>
      <c r="P277" s="17">
        <v>200</v>
      </c>
      <c r="Q277" s="17">
        <v>85.300000000000011</v>
      </c>
      <c r="R277" s="17">
        <v>0</v>
      </c>
      <c r="S277" s="17"/>
      <c r="T277" s="17" t="s">
        <v>2965</v>
      </c>
      <c r="U277" s="17" t="s">
        <v>3055</v>
      </c>
      <c r="V277" s="17" t="s">
        <v>3056</v>
      </c>
      <c r="W277" s="17"/>
      <c r="X277" s="17"/>
    </row>
    <row r="278" spans="1:24" hidden="1">
      <c r="A278" s="18">
        <v>277</v>
      </c>
      <c r="B278" s="17" t="s">
        <v>672</v>
      </c>
      <c r="C278" s="17" t="s">
        <v>673</v>
      </c>
      <c r="D278" s="17" t="s">
        <v>7</v>
      </c>
      <c r="E278" s="17" t="s">
        <v>8</v>
      </c>
      <c r="F278" s="17">
        <v>0</v>
      </c>
      <c r="G278" s="17">
        <v>0</v>
      </c>
      <c r="H278" s="17">
        <v>0</v>
      </c>
      <c r="I278" s="17">
        <v>0</v>
      </c>
      <c r="J278" s="17">
        <v>0</v>
      </c>
      <c r="K278" s="17">
        <v>0</v>
      </c>
      <c r="L278" s="17">
        <v>0</v>
      </c>
      <c r="M278" s="17">
        <v>0</v>
      </c>
      <c r="N278" s="17">
        <v>0</v>
      </c>
      <c r="O278" s="17">
        <v>0</v>
      </c>
      <c r="P278" s="17">
        <v>0</v>
      </c>
      <c r="Q278" s="17">
        <v>0</v>
      </c>
      <c r="R278" s="17">
        <v>0</v>
      </c>
      <c r="S278" s="17"/>
      <c r="T278" s="17" t="s">
        <v>2965</v>
      </c>
      <c r="U278" s="17" t="s">
        <v>3055</v>
      </c>
      <c r="V278" s="17" t="s">
        <v>3056</v>
      </c>
      <c r="W278" s="17"/>
      <c r="X278" s="17"/>
    </row>
    <row r="279" spans="1:24" hidden="1">
      <c r="A279" s="18">
        <v>278</v>
      </c>
      <c r="B279" s="17" t="s">
        <v>674</v>
      </c>
      <c r="C279" s="17" t="s">
        <v>675</v>
      </c>
      <c r="D279" s="17" t="s">
        <v>7</v>
      </c>
      <c r="E279" s="17" t="s">
        <v>8</v>
      </c>
      <c r="F279" s="17">
        <v>158.69999999999999</v>
      </c>
      <c r="G279" s="17">
        <v>0</v>
      </c>
      <c r="H279" s="17">
        <v>45.6</v>
      </c>
      <c r="I279" s="17">
        <v>113.1</v>
      </c>
      <c r="J279" s="17">
        <v>0</v>
      </c>
      <c r="K279" s="17">
        <v>0</v>
      </c>
      <c r="L279" s="17">
        <v>113.1</v>
      </c>
      <c r="M279" s="17">
        <v>0</v>
      </c>
      <c r="N279" s="17">
        <v>0</v>
      </c>
      <c r="O279" s="17">
        <v>113.1</v>
      </c>
      <c r="P279" s="17">
        <v>0</v>
      </c>
      <c r="Q279" s="17">
        <v>113.1</v>
      </c>
      <c r="R279" s="17">
        <v>0</v>
      </c>
      <c r="S279" s="17"/>
      <c r="T279" s="17" t="s">
        <v>2965</v>
      </c>
      <c r="U279" s="17" t="s">
        <v>3055</v>
      </c>
      <c r="V279" s="17" t="s">
        <v>3056</v>
      </c>
      <c r="W279" s="17"/>
      <c r="X279" s="17"/>
    </row>
    <row r="280" spans="1:24" hidden="1">
      <c r="A280" s="18">
        <v>279</v>
      </c>
      <c r="B280" s="17" t="s">
        <v>680</v>
      </c>
      <c r="C280" s="17" t="s">
        <v>681</v>
      </c>
      <c r="D280" s="17" t="s">
        <v>7</v>
      </c>
      <c r="E280" s="17" t="s">
        <v>8</v>
      </c>
      <c r="F280" s="17">
        <v>936.5</v>
      </c>
      <c r="G280" s="17">
        <v>0</v>
      </c>
      <c r="H280" s="17">
        <v>0</v>
      </c>
      <c r="I280" s="17">
        <v>936.5</v>
      </c>
      <c r="J280" s="17">
        <v>0</v>
      </c>
      <c r="K280" s="17">
        <v>0</v>
      </c>
      <c r="L280" s="17">
        <v>936.5</v>
      </c>
      <c r="M280" s="17">
        <v>0</v>
      </c>
      <c r="N280" s="17">
        <v>0</v>
      </c>
      <c r="O280" s="17">
        <v>936.5</v>
      </c>
      <c r="P280" s="17">
        <v>300</v>
      </c>
      <c r="Q280" s="17">
        <v>636.5</v>
      </c>
      <c r="R280" s="17">
        <v>0</v>
      </c>
      <c r="S280" s="17"/>
      <c r="T280" s="17" t="s">
        <v>2965</v>
      </c>
      <c r="U280" s="17" t="s">
        <v>3055</v>
      </c>
      <c r="V280" s="17" t="s">
        <v>3058</v>
      </c>
      <c r="W280" s="17"/>
      <c r="X280" s="17"/>
    </row>
    <row r="281" spans="1:24" hidden="1">
      <c r="A281" s="18">
        <v>280</v>
      </c>
      <c r="B281" s="17" t="s">
        <v>682</v>
      </c>
      <c r="C281" s="17" t="s">
        <v>683</v>
      </c>
      <c r="D281" s="17" t="s">
        <v>7</v>
      </c>
      <c r="E281" s="17" t="s">
        <v>8</v>
      </c>
      <c r="F281" s="17">
        <v>597.5</v>
      </c>
      <c r="G281" s="17">
        <v>0</v>
      </c>
      <c r="H281" s="17">
        <v>0</v>
      </c>
      <c r="I281" s="17">
        <v>597.5</v>
      </c>
      <c r="J281" s="17">
        <v>0</v>
      </c>
      <c r="K281" s="17">
        <v>0</v>
      </c>
      <c r="L281" s="17">
        <v>597.5</v>
      </c>
      <c r="M281" s="17">
        <v>0</v>
      </c>
      <c r="N281" s="17">
        <v>0</v>
      </c>
      <c r="O281" s="17">
        <v>597.5</v>
      </c>
      <c r="P281" s="17">
        <v>300</v>
      </c>
      <c r="Q281" s="17">
        <v>297.5</v>
      </c>
      <c r="R281" s="17">
        <v>0</v>
      </c>
      <c r="S281" s="17"/>
      <c r="T281" s="17" t="s">
        <v>2965</v>
      </c>
      <c r="U281" s="17" t="s">
        <v>3055</v>
      </c>
      <c r="V281" s="17" t="s">
        <v>3058</v>
      </c>
      <c r="W281" s="17"/>
      <c r="X281" s="17"/>
    </row>
    <row r="282" spans="1:24" hidden="1">
      <c r="A282" s="18">
        <v>281</v>
      </c>
      <c r="B282" s="17" t="s">
        <v>684</v>
      </c>
      <c r="C282" s="17" t="s">
        <v>685</v>
      </c>
      <c r="D282" s="17" t="s">
        <v>7</v>
      </c>
      <c r="E282" s="17" t="s">
        <v>8</v>
      </c>
      <c r="F282" s="17">
        <v>0</v>
      </c>
      <c r="G282" s="17">
        <v>0</v>
      </c>
      <c r="H282" s="17">
        <v>0</v>
      </c>
      <c r="I282" s="17">
        <v>0</v>
      </c>
      <c r="J282" s="17">
        <v>0</v>
      </c>
      <c r="K282" s="17">
        <v>0</v>
      </c>
      <c r="L282" s="17">
        <v>0</v>
      </c>
      <c r="M282" s="17">
        <v>0</v>
      </c>
      <c r="N282" s="17">
        <v>0</v>
      </c>
      <c r="O282" s="17">
        <v>0</v>
      </c>
      <c r="P282" s="17">
        <v>0</v>
      </c>
      <c r="Q282" s="17">
        <v>0</v>
      </c>
      <c r="R282" s="17">
        <v>0</v>
      </c>
      <c r="S282" s="17"/>
      <c r="T282" s="17" t="s">
        <v>2965</v>
      </c>
      <c r="U282" s="17" t="s">
        <v>3055</v>
      </c>
      <c r="V282" s="17" t="s">
        <v>3058</v>
      </c>
      <c r="W282" s="17"/>
      <c r="X282" s="17"/>
    </row>
    <row r="283" spans="1:24" hidden="1">
      <c r="A283" s="18">
        <v>282</v>
      </c>
      <c r="B283" s="17" t="s">
        <v>688</v>
      </c>
      <c r="C283" s="17" t="s">
        <v>689</v>
      </c>
      <c r="D283" s="17" t="s">
        <v>7</v>
      </c>
      <c r="E283" s="17" t="s">
        <v>8</v>
      </c>
      <c r="F283" s="17">
        <v>0</v>
      </c>
      <c r="G283" s="17">
        <v>0</v>
      </c>
      <c r="H283" s="17">
        <v>0</v>
      </c>
      <c r="I283" s="17">
        <v>0</v>
      </c>
      <c r="J283" s="17">
        <v>0</v>
      </c>
      <c r="K283" s="17">
        <v>0</v>
      </c>
      <c r="L283" s="17">
        <v>0</v>
      </c>
      <c r="M283" s="17">
        <v>0</v>
      </c>
      <c r="N283" s="17">
        <v>0</v>
      </c>
      <c r="O283" s="17">
        <v>0</v>
      </c>
      <c r="P283" s="17">
        <v>0</v>
      </c>
      <c r="Q283" s="17">
        <v>0</v>
      </c>
      <c r="R283" s="17">
        <v>0</v>
      </c>
      <c r="S283" s="17"/>
      <c r="T283" s="17" t="s">
        <v>2965</v>
      </c>
      <c r="U283" s="17" t="s">
        <v>3055</v>
      </c>
      <c r="V283" s="17" t="s">
        <v>3058</v>
      </c>
      <c r="W283" s="17"/>
      <c r="X283" s="17"/>
    </row>
    <row r="284" spans="1:24" hidden="1">
      <c r="A284" s="18">
        <v>283</v>
      </c>
      <c r="B284" s="17" t="s">
        <v>690</v>
      </c>
      <c r="C284" s="17" t="s">
        <v>691</v>
      </c>
      <c r="D284" s="17" t="s">
        <v>7</v>
      </c>
      <c r="E284" s="17" t="s">
        <v>8</v>
      </c>
      <c r="F284" s="17">
        <v>0</v>
      </c>
      <c r="G284" s="17">
        <v>0</v>
      </c>
      <c r="H284" s="17">
        <v>0</v>
      </c>
      <c r="I284" s="17">
        <v>0</v>
      </c>
      <c r="J284" s="17">
        <v>0</v>
      </c>
      <c r="K284" s="17">
        <v>0</v>
      </c>
      <c r="L284" s="17">
        <v>0</v>
      </c>
      <c r="M284" s="17">
        <v>0</v>
      </c>
      <c r="N284" s="17">
        <v>0</v>
      </c>
      <c r="O284" s="17">
        <v>0</v>
      </c>
      <c r="P284" s="17">
        <v>0</v>
      </c>
      <c r="Q284" s="17">
        <v>0</v>
      </c>
      <c r="R284" s="17">
        <v>0</v>
      </c>
      <c r="S284" s="17"/>
      <c r="T284" s="17" t="s">
        <v>2965</v>
      </c>
      <c r="U284" s="17" t="s">
        <v>3055</v>
      </c>
      <c r="V284" s="17" t="s">
        <v>3056</v>
      </c>
      <c r="W284" s="17"/>
      <c r="X284" s="17"/>
    </row>
    <row r="285" spans="1:24" hidden="1">
      <c r="A285" s="18">
        <v>284</v>
      </c>
      <c r="B285" s="17" t="s">
        <v>692</v>
      </c>
      <c r="C285" s="17" t="s">
        <v>693</v>
      </c>
      <c r="D285" s="17" t="s">
        <v>7</v>
      </c>
      <c r="E285" s="17" t="s">
        <v>8</v>
      </c>
      <c r="F285" s="17">
        <v>0</v>
      </c>
      <c r="G285" s="17">
        <v>0</v>
      </c>
      <c r="H285" s="17">
        <v>0</v>
      </c>
      <c r="I285" s="17">
        <v>0</v>
      </c>
      <c r="J285" s="17">
        <v>0</v>
      </c>
      <c r="K285" s="17">
        <v>0</v>
      </c>
      <c r="L285" s="17">
        <v>0</v>
      </c>
      <c r="M285" s="17">
        <v>0</v>
      </c>
      <c r="N285" s="17">
        <v>0</v>
      </c>
      <c r="O285" s="17">
        <v>0</v>
      </c>
      <c r="P285" s="17">
        <v>0</v>
      </c>
      <c r="Q285" s="17">
        <v>0</v>
      </c>
      <c r="R285" s="17">
        <v>0</v>
      </c>
      <c r="S285" s="17"/>
      <c r="T285" s="17" t="s">
        <v>2965</v>
      </c>
      <c r="U285" s="17" t="s">
        <v>3055</v>
      </c>
      <c r="V285" s="17" t="s">
        <v>3056</v>
      </c>
      <c r="W285" s="17"/>
      <c r="X285" s="17"/>
    </row>
    <row r="286" spans="1:24" hidden="1">
      <c r="A286" s="18">
        <v>285</v>
      </c>
      <c r="B286" s="17" t="s">
        <v>694</v>
      </c>
      <c r="C286" s="17" t="s">
        <v>695</v>
      </c>
      <c r="D286" s="17" t="s">
        <v>7</v>
      </c>
      <c r="E286" s="17" t="s">
        <v>8</v>
      </c>
      <c r="F286" s="17">
        <v>501</v>
      </c>
      <c r="G286" s="17">
        <v>0</v>
      </c>
      <c r="H286" s="17">
        <v>0</v>
      </c>
      <c r="I286" s="17">
        <v>501</v>
      </c>
      <c r="J286" s="17">
        <v>0</v>
      </c>
      <c r="K286" s="17">
        <v>0</v>
      </c>
      <c r="L286" s="17">
        <v>501</v>
      </c>
      <c r="M286" s="17">
        <v>0</v>
      </c>
      <c r="N286" s="17">
        <v>0</v>
      </c>
      <c r="O286" s="17">
        <v>501</v>
      </c>
      <c r="P286" s="17">
        <v>0</v>
      </c>
      <c r="Q286" s="17">
        <v>501</v>
      </c>
      <c r="R286" s="17">
        <v>0</v>
      </c>
      <c r="S286" s="17"/>
      <c r="T286" s="17" t="s">
        <v>2965</v>
      </c>
      <c r="U286" s="17" t="s">
        <v>3055</v>
      </c>
      <c r="V286" s="17" t="s">
        <v>3056</v>
      </c>
      <c r="W286" s="17"/>
      <c r="X286" s="17"/>
    </row>
    <row r="287" spans="1:24" hidden="1">
      <c r="A287" s="18">
        <v>286</v>
      </c>
      <c r="B287" s="17" t="s">
        <v>696</v>
      </c>
      <c r="C287" s="17" t="s">
        <v>697</v>
      </c>
      <c r="D287" s="17" t="s">
        <v>7</v>
      </c>
      <c r="E287" s="17" t="s">
        <v>8</v>
      </c>
      <c r="F287" s="17">
        <v>0</v>
      </c>
      <c r="G287" s="17">
        <v>0</v>
      </c>
      <c r="H287" s="17">
        <v>0</v>
      </c>
      <c r="I287" s="17">
        <v>0</v>
      </c>
      <c r="J287" s="17">
        <v>0</v>
      </c>
      <c r="K287" s="17">
        <v>0</v>
      </c>
      <c r="L287" s="17">
        <v>0</v>
      </c>
      <c r="M287" s="17">
        <v>0</v>
      </c>
      <c r="N287" s="17">
        <v>0</v>
      </c>
      <c r="O287" s="17">
        <v>0</v>
      </c>
      <c r="P287" s="17">
        <v>0</v>
      </c>
      <c r="Q287" s="17">
        <v>0</v>
      </c>
      <c r="R287" s="17">
        <v>0</v>
      </c>
      <c r="S287" s="17"/>
      <c r="T287" s="17" t="s">
        <v>2965</v>
      </c>
      <c r="U287" s="17" t="s">
        <v>3055</v>
      </c>
      <c r="V287" s="17" t="s">
        <v>3056</v>
      </c>
      <c r="W287" s="17"/>
      <c r="X287" s="17"/>
    </row>
    <row r="288" spans="1:24" hidden="1">
      <c r="A288" s="18">
        <v>287</v>
      </c>
      <c r="B288" s="17" t="s">
        <v>698</v>
      </c>
      <c r="C288" s="17" t="s">
        <v>699</v>
      </c>
      <c r="D288" s="17" t="s">
        <v>7</v>
      </c>
      <c r="E288" s="17" t="s">
        <v>8</v>
      </c>
      <c r="F288" s="17">
        <v>0</v>
      </c>
      <c r="G288" s="17">
        <v>0</v>
      </c>
      <c r="H288" s="17">
        <v>0</v>
      </c>
      <c r="I288" s="17">
        <v>0</v>
      </c>
      <c r="J288" s="17">
        <v>0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0</v>
      </c>
      <c r="R288" s="17">
        <v>0</v>
      </c>
      <c r="S288" s="17"/>
      <c r="T288" s="17" t="s">
        <v>2965</v>
      </c>
      <c r="U288" s="17" t="s">
        <v>3055</v>
      </c>
      <c r="V288" s="17" t="s">
        <v>3056</v>
      </c>
      <c r="W288" s="17"/>
      <c r="X288" s="17"/>
    </row>
    <row r="289" spans="1:24" hidden="1">
      <c r="A289" s="18">
        <v>288</v>
      </c>
      <c r="B289" s="17" t="s">
        <v>700</v>
      </c>
      <c r="C289" s="17" t="s">
        <v>701</v>
      </c>
      <c r="D289" s="17" t="s">
        <v>7</v>
      </c>
      <c r="E289" s="17" t="s">
        <v>8</v>
      </c>
      <c r="F289" s="17">
        <v>0</v>
      </c>
      <c r="G289" s="17">
        <v>0</v>
      </c>
      <c r="H289" s="17">
        <v>0</v>
      </c>
      <c r="I289" s="17">
        <v>0</v>
      </c>
      <c r="J289" s="17">
        <v>0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</v>
      </c>
      <c r="S289" s="17"/>
      <c r="T289" s="17" t="s">
        <v>2965</v>
      </c>
      <c r="U289" s="17" t="s">
        <v>3055</v>
      </c>
      <c r="V289" s="17" t="s">
        <v>3056</v>
      </c>
      <c r="W289" s="17"/>
      <c r="X289" s="17"/>
    </row>
    <row r="290" spans="1:24" hidden="1">
      <c r="A290" s="18">
        <v>289</v>
      </c>
      <c r="B290" s="17" t="s">
        <v>702</v>
      </c>
      <c r="C290" s="17" t="s">
        <v>703</v>
      </c>
      <c r="D290" s="17" t="s">
        <v>7</v>
      </c>
      <c r="E290" s="17" t="s">
        <v>8</v>
      </c>
      <c r="F290" s="17">
        <v>0</v>
      </c>
      <c r="G290" s="17">
        <v>0</v>
      </c>
      <c r="H290" s="17">
        <v>0</v>
      </c>
      <c r="I290" s="17">
        <v>0</v>
      </c>
      <c r="J290" s="17">
        <v>0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0</v>
      </c>
      <c r="S290" s="17"/>
      <c r="T290" s="17" t="s">
        <v>2965</v>
      </c>
      <c r="U290" s="17" t="s">
        <v>3055</v>
      </c>
      <c r="V290" s="17" t="s">
        <v>3056</v>
      </c>
      <c r="W290" s="17"/>
      <c r="X290" s="17"/>
    </row>
    <row r="291" spans="1:24" hidden="1">
      <c r="A291" s="18">
        <v>290</v>
      </c>
      <c r="B291" s="17" t="s">
        <v>704</v>
      </c>
      <c r="C291" s="17" t="s">
        <v>705</v>
      </c>
      <c r="D291" s="17" t="s">
        <v>7</v>
      </c>
      <c r="E291" s="17" t="s">
        <v>8</v>
      </c>
      <c r="F291" s="17">
        <v>0</v>
      </c>
      <c r="G291" s="17">
        <v>0</v>
      </c>
      <c r="H291" s="17">
        <v>0</v>
      </c>
      <c r="I291" s="17">
        <v>0</v>
      </c>
      <c r="J291" s="17">
        <v>0</v>
      </c>
      <c r="K291" s="17">
        <v>0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0</v>
      </c>
      <c r="S291" s="17"/>
      <c r="T291" s="17" t="s">
        <v>2965</v>
      </c>
      <c r="U291" s="17" t="s">
        <v>3055</v>
      </c>
      <c r="V291" s="17" t="s">
        <v>3056</v>
      </c>
      <c r="W291" s="17"/>
      <c r="X291" s="17"/>
    </row>
    <row r="292" spans="1:24" hidden="1">
      <c r="A292" s="18">
        <v>291</v>
      </c>
      <c r="B292" s="17" t="s">
        <v>706</v>
      </c>
      <c r="C292" s="17" t="s">
        <v>707</v>
      </c>
      <c r="D292" s="17" t="s">
        <v>7</v>
      </c>
      <c r="E292" s="17" t="s">
        <v>8</v>
      </c>
      <c r="F292" s="17">
        <v>0</v>
      </c>
      <c r="G292" s="17">
        <v>0</v>
      </c>
      <c r="H292" s="17">
        <v>0</v>
      </c>
      <c r="I292" s="17">
        <v>0</v>
      </c>
      <c r="J292" s="17">
        <v>0</v>
      </c>
      <c r="K292" s="17">
        <v>0</v>
      </c>
      <c r="L292" s="17">
        <v>0</v>
      </c>
      <c r="M292" s="17">
        <v>0</v>
      </c>
      <c r="N292" s="17">
        <v>0</v>
      </c>
      <c r="O292" s="17">
        <v>0</v>
      </c>
      <c r="P292" s="17">
        <v>0</v>
      </c>
      <c r="Q292" s="17">
        <v>0</v>
      </c>
      <c r="R292" s="17">
        <v>0</v>
      </c>
      <c r="S292" s="17"/>
      <c r="T292" s="17" t="s">
        <v>2965</v>
      </c>
      <c r="U292" s="17" t="s">
        <v>3055</v>
      </c>
      <c r="V292" s="17" t="s">
        <v>3056</v>
      </c>
      <c r="W292" s="17"/>
      <c r="X292" s="17"/>
    </row>
    <row r="293" spans="1:24" hidden="1">
      <c r="A293" s="18">
        <v>292</v>
      </c>
      <c r="B293" s="17" t="s">
        <v>708</v>
      </c>
      <c r="C293" s="17" t="s">
        <v>709</v>
      </c>
      <c r="D293" s="17" t="s">
        <v>7</v>
      </c>
      <c r="E293" s="17" t="s">
        <v>8</v>
      </c>
      <c r="F293" s="17">
        <v>368.9</v>
      </c>
      <c r="G293" s="17">
        <v>0</v>
      </c>
      <c r="H293" s="17">
        <v>0</v>
      </c>
      <c r="I293" s="17">
        <v>368.9</v>
      </c>
      <c r="J293" s="17">
        <v>0</v>
      </c>
      <c r="K293" s="17">
        <v>0</v>
      </c>
      <c r="L293" s="17">
        <v>368.9</v>
      </c>
      <c r="M293" s="17">
        <v>0</v>
      </c>
      <c r="N293" s="17">
        <v>0</v>
      </c>
      <c r="O293" s="17">
        <v>368.9</v>
      </c>
      <c r="P293" s="17">
        <v>100</v>
      </c>
      <c r="Q293" s="17">
        <v>268.89999999999998</v>
      </c>
      <c r="R293" s="17">
        <v>0</v>
      </c>
      <c r="S293" s="17"/>
      <c r="T293" s="17" t="s">
        <v>2965</v>
      </c>
      <c r="U293" s="17" t="s">
        <v>3055</v>
      </c>
      <c r="V293" s="17" t="s">
        <v>3056</v>
      </c>
      <c r="W293" s="17"/>
      <c r="X293" s="17"/>
    </row>
    <row r="294" spans="1:24" hidden="1">
      <c r="A294" s="18">
        <v>293</v>
      </c>
      <c r="B294" s="17" t="s">
        <v>710</v>
      </c>
      <c r="C294" s="17" t="s">
        <v>711</v>
      </c>
      <c r="D294" s="17" t="s">
        <v>7</v>
      </c>
      <c r="E294" s="17" t="s">
        <v>8</v>
      </c>
      <c r="F294" s="17">
        <v>333.1</v>
      </c>
      <c r="G294" s="17">
        <v>0</v>
      </c>
      <c r="H294" s="17">
        <v>0</v>
      </c>
      <c r="I294" s="17">
        <v>333.1</v>
      </c>
      <c r="J294" s="17">
        <v>0</v>
      </c>
      <c r="K294" s="17">
        <v>0</v>
      </c>
      <c r="L294" s="17">
        <v>333.1</v>
      </c>
      <c r="M294" s="17">
        <v>0</v>
      </c>
      <c r="N294" s="17">
        <v>0</v>
      </c>
      <c r="O294" s="17">
        <v>333.1</v>
      </c>
      <c r="P294" s="17">
        <v>100</v>
      </c>
      <c r="Q294" s="17">
        <v>233.10000000000002</v>
      </c>
      <c r="R294" s="17">
        <v>0</v>
      </c>
      <c r="S294" s="17"/>
      <c r="T294" s="17" t="s">
        <v>2965</v>
      </c>
      <c r="U294" s="17" t="s">
        <v>3055</v>
      </c>
      <c r="V294" s="17" t="s">
        <v>3056</v>
      </c>
      <c r="W294" s="17"/>
      <c r="X294" s="17"/>
    </row>
    <row r="295" spans="1:24" hidden="1">
      <c r="A295" s="18">
        <v>294</v>
      </c>
      <c r="B295" s="17" t="s">
        <v>712</v>
      </c>
      <c r="C295" s="17" t="s">
        <v>713</v>
      </c>
      <c r="D295" s="17" t="s">
        <v>7</v>
      </c>
      <c r="E295" s="17" t="s">
        <v>8</v>
      </c>
      <c r="F295" s="17">
        <v>42.7</v>
      </c>
      <c r="G295" s="17">
        <v>0</v>
      </c>
      <c r="H295" s="17">
        <v>0</v>
      </c>
      <c r="I295" s="17">
        <v>42.7</v>
      </c>
      <c r="J295" s="17">
        <v>0</v>
      </c>
      <c r="K295" s="17">
        <v>0</v>
      </c>
      <c r="L295" s="17">
        <v>42.7</v>
      </c>
      <c r="M295" s="17">
        <v>0</v>
      </c>
      <c r="N295" s="17">
        <v>0</v>
      </c>
      <c r="O295" s="17">
        <v>42.7</v>
      </c>
      <c r="P295" s="17">
        <v>0</v>
      </c>
      <c r="Q295" s="17">
        <v>42.7</v>
      </c>
      <c r="R295" s="17">
        <v>0</v>
      </c>
      <c r="S295" s="17"/>
      <c r="T295" s="17" t="s">
        <v>2965</v>
      </c>
      <c r="U295" s="17" t="s">
        <v>3055</v>
      </c>
      <c r="V295" s="17" t="s">
        <v>3058</v>
      </c>
      <c r="W295" s="17"/>
      <c r="X295" s="17"/>
    </row>
    <row r="296" spans="1:24" hidden="1">
      <c r="A296" s="18">
        <v>295</v>
      </c>
      <c r="B296" s="17" t="s">
        <v>714</v>
      </c>
      <c r="C296" s="17" t="s">
        <v>715</v>
      </c>
      <c r="D296" s="17" t="s">
        <v>7</v>
      </c>
      <c r="E296" s="17" t="s">
        <v>8</v>
      </c>
      <c r="F296" s="17">
        <v>313.89999999999998</v>
      </c>
      <c r="G296" s="17">
        <v>0</v>
      </c>
      <c r="H296" s="17">
        <v>0</v>
      </c>
      <c r="I296" s="17">
        <v>313.89999999999998</v>
      </c>
      <c r="J296" s="17">
        <v>0</v>
      </c>
      <c r="K296" s="17">
        <v>0</v>
      </c>
      <c r="L296" s="17">
        <v>313.89999999999998</v>
      </c>
      <c r="M296" s="17">
        <v>0</v>
      </c>
      <c r="N296" s="17">
        <v>0</v>
      </c>
      <c r="O296" s="17">
        <v>313.89999999999998</v>
      </c>
      <c r="P296" s="17">
        <v>100</v>
      </c>
      <c r="Q296" s="17">
        <v>213.89999999999998</v>
      </c>
      <c r="R296" s="17">
        <v>0</v>
      </c>
      <c r="S296" s="17"/>
      <c r="T296" s="17" t="s">
        <v>2965</v>
      </c>
      <c r="U296" s="17" t="s">
        <v>3055</v>
      </c>
      <c r="V296" s="17" t="s">
        <v>3056</v>
      </c>
      <c r="W296" s="17"/>
      <c r="X296" s="17"/>
    </row>
    <row r="297" spans="1:24" hidden="1">
      <c r="A297" s="18">
        <v>296</v>
      </c>
      <c r="B297" s="17" t="s">
        <v>716</v>
      </c>
      <c r="C297" s="17" t="s">
        <v>717</v>
      </c>
      <c r="D297" s="17" t="s">
        <v>7</v>
      </c>
      <c r="E297" s="17" t="s">
        <v>8</v>
      </c>
      <c r="F297" s="17">
        <v>367.1</v>
      </c>
      <c r="G297" s="17">
        <v>0</v>
      </c>
      <c r="H297" s="17">
        <v>41.8</v>
      </c>
      <c r="I297" s="17">
        <v>325.3</v>
      </c>
      <c r="J297" s="17">
        <v>0</v>
      </c>
      <c r="K297" s="17">
        <v>0</v>
      </c>
      <c r="L297" s="17">
        <v>325.3</v>
      </c>
      <c r="M297" s="17">
        <v>0</v>
      </c>
      <c r="N297" s="17">
        <v>0</v>
      </c>
      <c r="O297" s="17">
        <v>325.3</v>
      </c>
      <c r="P297" s="17">
        <v>300</v>
      </c>
      <c r="Q297" s="17">
        <v>25.300000000000011</v>
      </c>
      <c r="R297" s="17">
        <v>0</v>
      </c>
      <c r="S297" s="17"/>
      <c r="T297" s="17" t="s">
        <v>2965</v>
      </c>
      <c r="U297" s="17" t="s">
        <v>3055</v>
      </c>
      <c r="V297" s="17" t="s">
        <v>3056</v>
      </c>
      <c r="W297" s="17"/>
      <c r="X297" s="17"/>
    </row>
    <row r="298" spans="1:24" hidden="1">
      <c r="A298" s="18">
        <v>297</v>
      </c>
      <c r="B298" s="17" t="s">
        <v>718</v>
      </c>
      <c r="C298" s="17" t="s">
        <v>719</v>
      </c>
      <c r="D298" s="17" t="s">
        <v>7</v>
      </c>
      <c r="E298" s="17" t="s">
        <v>8</v>
      </c>
      <c r="F298" s="17">
        <v>465.3</v>
      </c>
      <c r="G298" s="17">
        <v>0</v>
      </c>
      <c r="H298" s="17">
        <v>0</v>
      </c>
      <c r="I298" s="17">
        <v>465.3</v>
      </c>
      <c r="J298" s="17">
        <v>0</v>
      </c>
      <c r="K298" s="17">
        <v>0</v>
      </c>
      <c r="L298" s="17">
        <v>465.3</v>
      </c>
      <c r="M298" s="17">
        <v>0</v>
      </c>
      <c r="N298" s="17">
        <v>0</v>
      </c>
      <c r="O298" s="17">
        <v>465.3</v>
      </c>
      <c r="P298" s="17">
        <v>250</v>
      </c>
      <c r="Q298" s="17">
        <v>215.3</v>
      </c>
      <c r="R298" s="17">
        <v>0</v>
      </c>
      <c r="S298" s="17"/>
      <c r="T298" s="17" t="s">
        <v>2965</v>
      </c>
      <c r="U298" s="17" t="s">
        <v>3055</v>
      </c>
      <c r="V298" s="17" t="s">
        <v>3056</v>
      </c>
      <c r="W298" s="17"/>
      <c r="X298" s="17"/>
    </row>
    <row r="299" spans="1:24" hidden="1">
      <c r="A299" s="18">
        <v>298</v>
      </c>
      <c r="B299" s="17" t="s">
        <v>720</v>
      </c>
      <c r="C299" s="17" t="s">
        <v>721</v>
      </c>
      <c r="D299" s="17" t="s">
        <v>7</v>
      </c>
      <c r="E299" s="17" t="s">
        <v>8</v>
      </c>
      <c r="F299" s="17">
        <v>764.8</v>
      </c>
      <c r="G299" s="17">
        <v>0</v>
      </c>
      <c r="H299" s="17">
        <v>0</v>
      </c>
      <c r="I299" s="17">
        <v>764.8</v>
      </c>
      <c r="J299" s="17">
        <v>0</v>
      </c>
      <c r="K299" s="17">
        <v>0</v>
      </c>
      <c r="L299" s="17">
        <v>764.8</v>
      </c>
      <c r="M299" s="17">
        <v>0</v>
      </c>
      <c r="N299" s="17">
        <v>0</v>
      </c>
      <c r="O299" s="17">
        <v>764.8</v>
      </c>
      <c r="P299" s="17">
        <v>500</v>
      </c>
      <c r="Q299" s="17">
        <v>264.79999999999995</v>
      </c>
      <c r="R299" s="17">
        <v>0</v>
      </c>
      <c r="S299" s="17"/>
      <c r="T299" s="17" t="s">
        <v>2965</v>
      </c>
      <c r="U299" s="17" t="s">
        <v>3055</v>
      </c>
      <c r="V299" s="17" t="s">
        <v>3056</v>
      </c>
      <c r="W299" s="17"/>
      <c r="X299" s="17"/>
    </row>
    <row r="300" spans="1:24" s="40" customFormat="1" hidden="1">
      <c r="A300" s="26">
        <v>299</v>
      </c>
      <c r="B300" s="25" t="s">
        <v>722</v>
      </c>
      <c r="C300" s="25" t="s">
        <v>723</v>
      </c>
      <c r="D300" s="25" t="s">
        <v>7</v>
      </c>
      <c r="E300" s="25" t="s">
        <v>8</v>
      </c>
      <c r="F300" s="25">
        <v>1620</v>
      </c>
      <c r="G300" s="25">
        <v>0</v>
      </c>
      <c r="H300" s="25">
        <v>1454</v>
      </c>
      <c r="I300" s="17">
        <v>166</v>
      </c>
      <c r="J300" s="17">
        <v>0</v>
      </c>
      <c r="K300" s="17">
        <v>0</v>
      </c>
      <c r="L300" s="17">
        <v>166</v>
      </c>
      <c r="M300" s="17">
        <v>0</v>
      </c>
      <c r="N300" s="17">
        <v>0</v>
      </c>
      <c r="O300" s="25">
        <v>166</v>
      </c>
      <c r="P300" s="25">
        <v>2000</v>
      </c>
      <c r="Q300" s="25">
        <v>-1834</v>
      </c>
      <c r="R300" s="25">
        <v>2000</v>
      </c>
      <c r="S300" s="25"/>
      <c r="T300" s="25" t="s">
        <v>2965</v>
      </c>
      <c r="U300" s="25" t="s">
        <v>3055</v>
      </c>
      <c r="V300" s="25" t="s">
        <v>3056</v>
      </c>
      <c r="W300" s="25"/>
      <c r="X300" s="25"/>
    </row>
    <row r="301" spans="1:24" hidden="1">
      <c r="A301" s="18">
        <v>300</v>
      </c>
      <c r="B301" s="17" t="s">
        <v>724</v>
      </c>
      <c r="C301" s="17" t="s">
        <v>725</v>
      </c>
      <c r="D301" s="17" t="s">
        <v>7</v>
      </c>
      <c r="E301" s="17" t="s">
        <v>8</v>
      </c>
      <c r="F301" s="17">
        <v>1619.5</v>
      </c>
      <c r="G301" s="17">
        <v>2101.1999999999998</v>
      </c>
      <c r="H301" s="17">
        <v>959.7</v>
      </c>
      <c r="I301" s="17">
        <v>2761</v>
      </c>
      <c r="J301" s="17">
        <v>0</v>
      </c>
      <c r="K301" s="17">
        <v>0</v>
      </c>
      <c r="L301" s="17">
        <v>2761</v>
      </c>
      <c r="M301" s="17">
        <v>0</v>
      </c>
      <c r="N301" s="17">
        <v>0</v>
      </c>
      <c r="O301" s="17">
        <v>2761</v>
      </c>
      <c r="P301" s="17">
        <v>2000</v>
      </c>
      <c r="Q301" s="17">
        <v>761</v>
      </c>
      <c r="R301" s="17">
        <v>2000</v>
      </c>
      <c r="S301" s="17"/>
      <c r="T301" s="17" t="s">
        <v>2965</v>
      </c>
      <c r="U301" s="17" t="s">
        <v>3055</v>
      </c>
      <c r="V301" s="17" t="s">
        <v>3056</v>
      </c>
      <c r="W301" s="17"/>
      <c r="X301" s="17"/>
    </row>
    <row r="302" spans="1:24" hidden="1">
      <c r="A302" s="18">
        <v>301</v>
      </c>
      <c r="B302" s="17" t="s">
        <v>726</v>
      </c>
      <c r="C302" s="17" t="s">
        <v>727</v>
      </c>
      <c r="D302" s="17" t="s">
        <v>7</v>
      </c>
      <c r="E302" s="17" t="s">
        <v>8</v>
      </c>
      <c r="F302" s="17">
        <v>3160</v>
      </c>
      <c r="G302" s="17">
        <v>518.9</v>
      </c>
      <c r="H302" s="17">
        <v>1176</v>
      </c>
      <c r="I302" s="17">
        <v>2502.9</v>
      </c>
      <c r="J302" s="17">
        <v>0</v>
      </c>
      <c r="K302" s="17">
        <v>0</v>
      </c>
      <c r="L302" s="17">
        <v>2502.9</v>
      </c>
      <c r="M302" s="17">
        <v>0</v>
      </c>
      <c r="N302" s="17">
        <v>0</v>
      </c>
      <c r="O302" s="17">
        <v>2502.9</v>
      </c>
      <c r="P302" s="17">
        <v>2000</v>
      </c>
      <c r="Q302" s="17">
        <v>502.90000000000009</v>
      </c>
      <c r="R302" s="17">
        <v>2500</v>
      </c>
      <c r="S302" s="17"/>
      <c r="T302" s="17" t="s">
        <v>2965</v>
      </c>
      <c r="U302" s="17" t="s">
        <v>3055</v>
      </c>
      <c r="V302" s="17" t="s">
        <v>3056</v>
      </c>
      <c r="W302" s="17"/>
      <c r="X302" s="17"/>
    </row>
    <row r="303" spans="1:24" s="40" customFormat="1" hidden="1">
      <c r="A303" s="26">
        <v>302</v>
      </c>
      <c r="B303" s="25" t="s">
        <v>728</v>
      </c>
      <c r="C303" s="25" t="s">
        <v>729</v>
      </c>
      <c r="D303" s="25" t="s">
        <v>7</v>
      </c>
      <c r="E303" s="25" t="s">
        <v>8</v>
      </c>
      <c r="F303" s="25">
        <v>1753.7</v>
      </c>
      <c r="G303" s="25">
        <v>439.1</v>
      </c>
      <c r="H303" s="25">
        <v>2013</v>
      </c>
      <c r="I303" s="17">
        <v>179.8</v>
      </c>
      <c r="J303" s="17">
        <v>0</v>
      </c>
      <c r="K303" s="17">
        <v>0</v>
      </c>
      <c r="L303" s="17">
        <v>179.8</v>
      </c>
      <c r="M303" s="17">
        <v>0</v>
      </c>
      <c r="N303" s="17">
        <v>0</v>
      </c>
      <c r="O303" s="25">
        <v>179.8</v>
      </c>
      <c r="P303" s="25">
        <v>2000</v>
      </c>
      <c r="Q303" s="25">
        <v>-1820.2</v>
      </c>
      <c r="R303" s="25">
        <v>2500</v>
      </c>
      <c r="S303" s="25"/>
      <c r="T303" s="25" t="s">
        <v>2965</v>
      </c>
      <c r="U303" s="25" t="s">
        <v>3055</v>
      </c>
      <c r="V303" s="25" t="s">
        <v>3056</v>
      </c>
      <c r="W303" s="25"/>
      <c r="X303" s="25"/>
    </row>
    <row r="304" spans="1:24" hidden="1">
      <c r="A304" s="18">
        <v>303</v>
      </c>
      <c r="B304" s="17" t="s">
        <v>730</v>
      </c>
      <c r="C304" s="17" t="s">
        <v>731</v>
      </c>
      <c r="D304" s="17" t="s">
        <v>7</v>
      </c>
      <c r="E304" s="17" t="s">
        <v>8</v>
      </c>
      <c r="F304" s="17">
        <v>2183.4</v>
      </c>
      <c r="G304" s="17">
        <v>0</v>
      </c>
      <c r="H304" s="17">
        <v>453</v>
      </c>
      <c r="I304" s="17">
        <v>1730.4</v>
      </c>
      <c r="J304" s="17">
        <v>0</v>
      </c>
      <c r="K304" s="17">
        <v>0</v>
      </c>
      <c r="L304" s="17">
        <v>1730.4</v>
      </c>
      <c r="M304" s="17">
        <v>0</v>
      </c>
      <c r="N304" s="17">
        <v>0</v>
      </c>
      <c r="O304" s="17">
        <v>1730.4</v>
      </c>
      <c r="P304" s="17">
        <v>500</v>
      </c>
      <c r="Q304" s="17">
        <v>1230.4000000000001</v>
      </c>
      <c r="R304" s="17">
        <v>0</v>
      </c>
      <c r="S304" s="17"/>
      <c r="T304" s="17" t="s">
        <v>2965</v>
      </c>
      <c r="U304" s="17" t="s">
        <v>3055</v>
      </c>
      <c r="V304" s="17" t="s">
        <v>3056</v>
      </c>
      <c r="W304" s="17"/>
      <c r="X304" s="17"/>
    </row>
    <row r="305" spans="1:24" hidden="1">
      <c r="A305" s="18">
        <v>304</v>
      </c>
      <c r="B305" s="17" t="s">
        <v>732</v>
      </c>
      <c r="C305" s="17" t="s">
        <v>733</v>
      </c>
      <c r="D305" s="17" t="s">
        <v>7</v>
      </c>
      <c r="E305" s="17" t="s">
        <v>8</v>
      </c>
      <c r="F305" s="17">
        <v>325.3</v>
      </c>
      <c r="G305" s="17">
        <v>0</v>
      </c>
      <c r="H305" s="17">
        <v>0</v>
      </c>
      <c r="I305" s="17">
        <v>325.3</v>
      </c>
      <c r="J305" s="17">
        <v>0</v>
      </c>
      <c r="K305" s="17">
        <v>0</v>
      </c>
      <c r="L305" s="17">
        <v>325.3</v>
      </c>
      <c r="M305" s="17">
        <v>0</v>
      </c>
      <c r="N305" s="17">
        <v>0</v>
      </c>
      <c r="O305" s="17">
        <v>325.3</v>
      </c>
      <c r="P305" s="17">
        <v>200</v>
      </c>
      <c r="Q305" s="17">
        <v>125.30000000000001</v>
      </c>
      <c r="R305" s="17">
        <v>200</v>
      </c>
      <c r="S305" s="17"/>
      <c r="T305" s="17" t="s">
        <v>2965</v>
      </c>
      <c r="U305" s="17" t="s">
        <v>3055</v>
      </c>
      <c r="V305" s="17" t="s">
        <v>3056</v>
      </c>
      <c r="W305" s="17"/>
      <c r="X305" s="17"/>
    </row>
    <row r="306" spans="1:24" hidden="1">
      <c r="A306" s="18">
        <v>305</v>
      </c>
      <c r="B306" s="17" t="s">
        <v>740</v>
      </c>
      <c r="C306" s="17" t="s">
        <v>741</v>
      </c>
      <c r="D306" s="17" t="s">
        <v>7</v>
      </c>
      <c r="E306" s="17" t="s">
        <v>8</v>
      </c>
      <c r="F306" s="17">
        <v>1019.23</v>
      </c>
      <c r="G306" s="17">
        <v>0</v>
      </c>
      <c r="H306" s="17">
        <v>121.6</v>
      </c>
      <c r="I306" s="17">
        <v>897.63</v>
      </c>
      <c r="J306" s="17">
        <v>0</v>
      </c>
      <c r="K306" s="17">
        <v>0</v>
      </c>
      <c r="L306" s="17">
        <v>897.63</v>
      </c>
      <c r="M306" s="17">
        <v>0</v>
      </c>
      <c r="N306" s="17">
        <v>0</v>
      </c>
      <c r="O306" s="17">
        <v>897.63</v>
      </c>
      <c r="P306" s="17">
        <v>500</v>
      </c>
      <c r="Q306" s="17">
        <v>397.63</v>
      </c>
      <c r="R306" s="17">
        <v>0</v>
      </c>
      <c r="S306" s="17"/>
      <c r="T306" s="17" t="s">
        <v>2965</v>
      </c>
      <c r="U306" s="17" t="s">
        <v>3055</v>
      </c>
      <c r="V306" s="17" t="s">
        <v>3056</v>
      </c>
      <c r="W306" s="17"/>
      <c r="X306" s="17"/>
    </row>
    <row r="307" spans="1:24" hidden="1">
      <c r="A307" s="18">
        <v>306</v>
      </c>
      <c r="B307" s="17" t="s">
        <v>742</v>
      </c>
      <c r="C307" s="17" t="s">
        <v>743</v>
      </c>
      <c r="D307" s="17" t="s">
        <v>7</v>
      </c>
      <c r="E307" s="17" t="s">
        <v>8</v>
      </c>
      <c r="F307" s="17">
        <v>0</v>
      </c>
      <c r="G307" s="17">
        <v>0</v>
      </c>
      <c r="H307" s="17">
        <v>0</v>
      </c>
      <c r="I307" s="17">
        <v>0</v>
      </c>
      <c r="J307" s="17">
        <v>0</v>
      </c>
      <c r="K307" s="17">
        <v>0</v>
      </c>
      <c r="L307" s="17">
        <v>0</v>
      </c>
      <c r="M307" s="17">
        <v>0</v>
      </c>
      <c r="N307" s="17">
        <v>0</v>
      </c>
      <c r="O307" s="17">
        <v>0</v>
      </c>
      <c r="P307" s="17">
        <v>0</v>
      </c>
      <c r="Q307" s="17">
        <v>0</v>
      </c>
      <c r="R307" s="17">
        <v>0</v>
      </c>
      <c r="S307" s="17"/>
      <c r="T307" s="17" t="s">
        <v>2965</v>
      </c>
      <c r="U307" s="17" t="s">
        <v>3055</v>
      </c>
      <c r="V307" s="17" t="s">
        <v>3056</v>
      </c>
      <c r="W307" s="17"/>
      <c r="X307" s="17"/>
    </row>
    <row r="308" spans="1:24" hidden="1">
      <c r="A308" s="18">
        <v>307</v>
      </c>
      <c r="B308" s="17" t="s">
        <v>744</v>
      </c>
      <c r="C308" s="17" t="s">
        <v>745</v>
      </c>
      <c r="D308" s="17" t="s">
        <v>7</v>
      </c>
      <c r="E308" s="17" t="s">
        <v>8</v>
      </c>
      <c r="F308" s="17">
        <v>224.6</v>
      </c>
      <c r="G308" s="17">
        <v>0</v>
      </c>
      <c r="H308" s="17">
        <v>0</v>
      </c>
      <c r="I308" s="17">
        <v>224.6</v>
      </c>
      <c r="J308" s="17">
        <v>0</v>
      </c>
      <c r="K308" s="17">
        <v>0</v>
      </c>
      <c r="L308" s="17">
        <v>224.6</v>
      </c>
      <c r="M308" s="17">
        <v>0</v>
      </c>
      <c r="N308" s="17">
        <v>0</v>
      </c>
      <c r="O308" s="17">
        <v>224.6</v>
      </c>
      <c r="P308" s="17">
        <v>200</v>
      </c>
      <c r="Q308" s="17">
        <v>24.599999999999994</v>
      </c>
      <c r="R308" s="17">
        <v>150</v>
      </c>
      <c r="S308" s="17"/>
      <c r="T308" s="17" t="s">
        <v>2965</v>
      </c>
      <c r="U308" s="17" t="s">
        <v>3055</v>
      </c>
      <c r="V308" s="17" t="s">
        <v>3056</v>
      </c>
      <c r="W308" s="17"/>
      <c r="X308" s="17"/>
    </row>
    <row r="309" spans="1:24" hidden="1">
      <c r="A309" s="18">
        <v>308</v>
      </c>
      <c r="B309" s="17" t="s">
        <v>746</v>
      </c>
      <c r="C309" s="17" t="s">
        <v>747</v>
      </c>
      <c r="D309" s="17" t="s">
        <v>7</v>
      </c>
      <c r="E309" s="17" t="s">
        <v>8</v>
      </c>
      <c r="F309" s="17">
        <v>1085.76</v>
      </c>
      <c r="G309" s="17">
        <v>0</v>
      </c>
      <c r="H309" s="17">
        <v>0</v>
      </c>
      <c r="I309" s="17">
        <v>1085.76</v>
      </c>
      <c r="J309" s="17">
        <v>0</v>
      </c>
      <c r="K309" s="17">
        <v>526.75</v>
      </c>
      <c r="L309" s="17">
        <v>559.01</v>
      </c>
      <c r="M309" s="17">
        <v>0</v>
      </c>
      <c r="N309" s="17">
        <v>0</v>
      </c>
      <c r="O309" s="17">
        <v>559.01</v>
      </c>
      <c r="P309" s="17">
        <v>250</v>
      </c>
      <c r="Q309" s="17">
        <v>309.01</v>
      </c>
      <c r="R309" s="17">
        <v>0</v>
      </c>
      <c r="S309" s="17"/>
      <c r="T309" s="17" t="s">
        <v>2965</v>
      </c>
      <c r="U309" s="17" t="s">
        <v>3055</v>
      </c>
      <c r="V309" s="17" t="s">
        <v>3056</v>
      </c>
      <c r="W309" s="17"/>
      <c r="X309" s="17"/>
    </row>
    <row r="310" spans="1:24" hidden="1">
      <c r="A310" s="18">
        <v>309</v>
      </c>
      <c r="B310" s="17" t="s">
        <v>748</v>
      </c>
      <c r="C310" s="17" t="s">
        <v>749</v>
      </c>
      <c r="D310" s="17" t="s">
        <v>7</v>
      </c>
      <c r="E310" s="17" t="s">
        <v>8</v>
      </c>
      <c r="F310" s="17">
        <v>48</v>
      </c>
      <c r="G310" s="17">
        <v>0</v>
      </c>
      <c r="H310" s="17">
        <v>0</v>
      </c>
      <c r="I310" s="17">
        <v>48</v>
      </c>
      <c r="J310" s="17">
        <v>0</v>
      </c>
      <c r="K310" s="17">
        <v>0</v>
      </c>
      <c r="L310" s="17">
        <v>48</v>
      </c>
      <c r="M310" s="17">
        <v>0</v>
      </c>
      <c r="N310" s="17">
        <v>0</v>
      </c>
      <c r="O310" s="17">
        <v>48</v>
      </c>
      <c r="P310" s="17">
        <v>0</v>
      </c>
      <c r="Q310" s="17">
        <v>48</v>
      </c>
      <c r="R310" s="17">
        <v>0</v>
      </c>
      <c r="S310" s="17"/>
      <c r="T310" s="17" t="s">
        <v>2965</v>
      </c>
      <c r="U310" s="17" t="s">
        <v>3055</v>
      </c>
      <c r="V310" s="17" t="s">
        <v>3056</v>
      </c>
      <c r="W310" s="17"/>
      <c r="X310" s="17"/>
    </row>
    <row r="311" spans="1:24" hidden="1">
      <c r="A311" s="18">
        <v>310</v>
      </c>
      <c r="B311" s="17" t="s">
        <v>750</v>
      </c>
      <c r="C311" s="17" t="s">
        <v>751</v>
      </c>
      <c r="D311" s="17" t="s">
        <v>7</v>
      </c>
      <c r="E311" s="17" t="s">
        <v>8</v>
      </c>
      <c r="F311" s="17">
        <v>45</v>
      </c>
      <c r="G311" s="17">
        <v>0</v>
      </c>
      <c r="H311" s="17">
        <v>0</v>
      </c>
      <c r="I311" s="17">
        <v>45</v>
      </c>
      <c r="J311" s="17">
        <v>0</v>
      </c>
      <c r="K311" s="17">
        <v>0</v>
      </c>
      <c r="L311" s="17">
        <v>45</v>
      </c>
      <c r="M311" s="17">
        <v>0</v>
      </c>
      <c r="N311" s="17">
        <v>0</v>
      </c>
      <c r="O311" s="17">
        <v>45</v>
      </c>
      <c r="P311" s="17">
        <v>0</v>
      </c>
      <c r="Q311" s="17">
        <v>45</v>
      </c>
      <c r="R311" s="17">
        <v>0</v>
      </c>
      <c r="S311" s="17"/>
      <c r="T311" s="17" t="s">
        <v>2965</v>
      </c>
      <c r="U311" s="17" t="s">
        <v>3055</v>
      </c>
      <c r="V311" s="17" t="s">
        <v>3056</v>
      </c>
      <c r="W311" s="17"/>
      <c r="X311" s="17"/>
    </row>
    <row r="312" spans="1:24" s="40" customFormat="1" hidden="1">
      <c r="A312" s="26">
        <v>311</v>
      </c>
      <c r="B312" s="25" t="s">
        <v>752</v>
      </c>
      <c r="C312" s="25" t="s">
        <v>753</v>
      </c>
      <c r="D312" s="25" t="s">
        <v>7</v>
      </c>
      <c r="E312" s="25" t="s">
        <v>8</v>
      </c>
      <c r="F312" s="25">
        <v>965</v>
      </c>
      <c r="G312" s="25">
        <v>0</v>
      </c>
      <c r="H312" s="25">
        <v>390</v>
      </c>
      <c r="I312" s="17">
        <v>575</v>
      </c>
      <c r="J312" s="17">
        <v>0</v>
      </c>
      <c r="K312" s="17">
        <v>0</v>
      </c>
      <c r="L312" s="17">
        <v>575</v>
      </c>
      <c r="M312" s="17">
        <v>0</v>
      </c>
      <c r="N312" s="17">
        <v>0</v>
      </c>
      <c r="O312" s="25">
        <v>575</v>
      </c>
      <c r="P312" s="25">
        <v>1000</v>
      </c>
      <c r="Q312" s="25">
        <v>-425</v>
      </c>
      <c r="R312" s="25">
        <v>500</v>
      </c>
      <c r="S312" s="25"/>
      <c r="T312" s="25" t="s">
        <v>2965</v>
      </c>
      <c r="U312" s="25" t="s">
        <v>3055</v>
      </c>
      <c r="V312" s="25" t="s">
        <v>3056</v>
      </c>
      <c r="W312" s="25"/>
      <c r="X312" s="25"/>
    </row>
    <row r="313" spans="1:24" hidden="1">
      <c r="A313" s="18">
        <v>312</v>
      </c>
      <c r="B313" s="17" t="s">
        <v>754</v>
      </c>
      <c r="C313" s="17" t="s">
        <v>755</v>
      </c>
      <c r="D313" s="17" t="s">
        <v>7</v>
      </c>
      <c r="E313" s="17" t="s">
        <v>8</v>
      </c>
      <c r="F313" s="17">
        <v>3544</v>
      </c>
      <c r="G313" s="17">
        <v>0</v>
      </c>
      <c r="H313" s="17">
        <v>305</v>
      </c>
      <c r="I313" s="17">
        <v>3239</v>
      </c>
      <c r="J313" s="17">
        <v>0</v>
      </c>
      <c r="K313" s="17">
        <v>0</v>
      </c>
      <c r="L313" s="17">
        <v>3239</v>
      </c>
      <c r="M313" s="17">
        <v>0</v>
      </c>
      <c r="N313" s="17">
        <v>0</v>
      </c>
      <c r="O313" s="17">
        <v>3239</v>
      </c>
      <c r="P313" s="17">
        <v>1000</v>
      </c>
      <c r="Q313" s="17">
        <v>2239</v>
      </c>
      <c r="R313" s="17">
        <v>0</v>
      </c>
      <c r="S313" s="17"/>
      <c r="T313" s="17" t="s">
        <v>2965</v>
      </c>
      <c r="U313" s="17" t="s">
        <v>3055</v>
      </c>
      <c r="V313" s="17" t="s">
        <v>3056</v>
      </c>
      <c r="W313" s="17"/>
      <c r="X313" s="17"/>
    </row>
    <row r="314" spans="1:24" hidden="1">
      <c r="A314" s="18">
        <v>313</v>
      </c>
      <c r="B314" s="17" t="s">
        <v>756</v>
      </c>
      <c r="C314" s="17" t="s">
        <v>757</v>
      </c>
      <c r="D314" s="17" t="s">
        <v>7</v>
      </c>
      <c r="E314" s="17" t="s">
        <v>8</v>
      </c>
      <c r="F314" s="17">
        <v>4889</v>
      </c>
      <c r="G314" s="17">
        <v>0</v>
      </c>
      <c r="H314" s="17">
        <v>125</v>
      </c>
      <c r="I314" s="17">
        <v>4764</v>
      </c>
      <c r="J314" s="17">
        <v>0</v>
      </c>
      <c r="K314" s="17">
        <v>0</v>
      </c>
      <c r="L314" s="17">
        <v>4764</v>
      </c>
      <c r="M314" s="17">
        <v>0</v>
      </c>
      <c r="N314" s="17">
        <v>0</v>
      </c>
      <c r="O314" s="17">
        <v>4764</v>
      </c>
      <c r="P314" s="17">
        <v>1000</v>
      </c>
      <c r="Q314" s="17">
        <v>3764</v>
      </c>
      <c r="R314" s="17">
        <v>0</v>
      </c>
      <c r="S314" s="17"/>
      <c r="T314" s="17" t="s">
        <v>2965</v>
      </c>
      <c r="U314" s="17" t="s">
        <v>3055</v>
      </c>
      <c r="V314" s="17" t="s">
        <v>3056</v>
      </c>
      <c r="W314" s="17"/>
      <c r="X314" s="17"/>
    </row>
    <row r="315" spans="1:24" hidden="1">
      <c r="A315" s="18">
        <v>314</v>
      </c>
      <c r="B315" s="17" t="s">
        <v>758</v>
      </c>
      <c r="C315" s="17" t="s">
        <v>759</v>
      </c>
      <c r="D315" s="17" t="s">
        <v>7</v>
      </c>
      <c r="E315" s="17" t="s">
        <v>8</v>
      </c>
      <c r="F315" s="17">
        <v>0</v>
      </c>
      <c r="G315" s="17">
        <v>0</v>
      </c>
      <c r="H315" s="17">
        <v>0</v>
      </c>
      <c r="I315" s="17">
        <v>0</v>
      </c>
      <c r="J315" s="17">
        <v>0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/>
      <c r="T315" s="17" t="s">
        <v>2965</v>
      </c>
      <c r="U315" s="17" t="s">
        <v>3055</v>
      </c>
      <c r="V315" s="17" t="s">
        <v>3058</v>
      </c>
      <c r="W315" s="17"/>
      <c r="X315" s="17"/>
    </row>
    <row r="316" spans="1:24" hidden="1">
      <c r="A316" s="18">
        <v>315</v>
      </c>
      <c r="B316" s="17" t="s">
        <v>760</v>
      </c>
      <c r="C316" s="17" t="s">
        <v>761</v>
      </c>
      <c r="D316" s="17" t="s">
        <v>7</v>
      </c>
      <c r="E316" s="17" t="s">
        <v>8</v>
      </c>
      <c r="F316" s="17">
        <v>0</v>
      </c>
      <c r="G316" s="17">
        <v>0</v>
      </c>
      <c r="H316" s="17">
        <v>0</v>
      </c>
      <c r="I316" s="17">
        <v>0</v>
      </c>
      <c r="J316" s="17">
        <v>0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/>
      <c r="T316" s="17" t="s">
        <v>2965</v>
      </c>
      <c r="U316" s="17" t="s">
        <v>3055</v>
      </c>
      <c r="V316" s="17" t="s">
        <v>3058</v>
      </c>
      <c r="W316" s="17"/>
      <c r="X316" s="17"/>
    </row>
    <row r="317" spans="1:24" hidden="1">
      <c r="A317" s="18">
        <v>316</v>
      </c>
      <c r="B317" s="17" t="s">
        <v>762</v>
      </c>
      <c r="C317" s="17" t="s">
        <v>763</v>
      </c>
      <c r="D317" s="17" t="s">
        <v>7</v>
      </c>
      <c r="E317" s="17" t="s">
        <v>8</v>
      </c>
      <c r="F317" s="17">
        <v>0</v>
      </c>
      <c r="G317" s="17">
        <v>0</v>
      </c>
      <c r="H317" s="17">
        <v>0</v>
      </c>
      <c r="I317" s="17">
        <v>0</v>
      </c>
      <c r="J317" s="17">
        <v>0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/>
      <c r="T317" s="17" t="s">
        <v>2965</v>
      </c>
      <c r="U317" s="17" t="s">
        <v>3055</v>
      </c>
      <c r="V317" s="17" t="s">
        <v>3058</v>
      </c>
      <c r="W317" s="17"/>
      <c r="X317" s="17"/>
    </row>
    <row r="318" spans="1:24" hidden="1">
      <c r="A318" s="18">
        <v>317</v>
      </c>
      <c r="B318" s="17" t="s">
        <v>764</v>
      </c>
      <c r="C318" s="17" t="s">
        <v>765</v>
      </c>
      <c r="D318" s="17" t="s">
        <v>7</v>
      </c>
      <c r="E318" s="17" t="s">
        <v>8</v>
      </c>
      <c r="F318" s="17">
        <v>0</v>
      </c>
      <c r="G318" s="17">
        <v>0</v>
      </c>
      <c r="H318" s="17">
        <v>0</v>
      </c>
      <c r="I318" s="17">
        <v>0</v>
      </c>
      <c r="J318" s="17">
        <v>0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/>
      <c r="T318" s="17" t="s">
        <v>2965</v>
      </c>
      <c r="U318" s="17" t="s">
        <v>3055</v>
      </c>
      <c r="V318" s="17" t="s">
        <v>3058</v>
      </c>
      <c r="W318" s="17"/>
      <c r="X318" s="17"/>
    </row>
    <row r="319" spans="1:24" hidden="1">
      <c r="A319" s="18">
        <v>318</v>
      </c>
      <c r="B319" s="17" t="s">
        <v>766</v>
      </c>
      <c r="C319" s="17" t="s">
        <v>767</v>
      </c>
      <c r="D319" s="17" t="s">
        <v>7</v>
      </c>
      <c r="E319" s="17" t="s">
        <v>8</v>
      </c>
      <c r="F319" s="17">
        <v>0</v>
      </c>
      <c r="G319" s="17">
        <v>0</v>
      </c>
      <c r="H319" s="17">
        <v>0</v>
      </c>
      <c r="I319" s="17">
        <v>0</v>
      </c>
      <c r="J319" s="17">
        <v>0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/>
      <c r="T319" s="17" t="s">
        <v>2965</v>
      </c>
      <c r="U319" s="17" t="s">
        <v>3055</v>
      </c>
      <c r="V319" s="17" t="s">
        <v>3058</v>
      </c>
      <c r="W319" s="17"/>
      <c r="X319" s="17"/>
    </row>
    <row r="320" spans="1:24" hidden="1">
      <c r="A320" s="18">
        <v>319</v>
      </c>
      <c r="B320" s="17" t="s">
        <v>768</v>
      </c>
      <c r="C320" s="17" t="s">
        <v>769</v>
      </c>
      <c r="D320" s="17" t="s">
        <v>7</v>
      </c>
      <c r="E320" s="17" t="s">
        <v>8</v>
      </c>
      <c r="F320" s="17">
        <v>0</v>
      </c>
      <c r="G320" s="17">
        <v>0</v>
      </c>
      <c r="H320" s="17">
        <v>0</v>
      </c>
      <c r="I320" s="17">
        <v>0</v>
      </c>
      <c r="J320" s="17">
        <v>0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/>
      <c r="T320" s="17" t="s">
        <v>2965</v>
      </c>
      <c r="U320" s="17" t="s">
        <v>3055</v>
      </c>
      <c r="V320" s="17" t="s">
        <v>3058</v>
      </c>
      <c r="W320" s="17"/>
      <c r="X320" s="17"/>
    </row>
    <row r="321" spans="1:24" hidden="1">
      <c r="A321" s="18">
        <v>320</v>
      </c>
      <c r="B321" s="17" t="s">
        <v>770</v>
      </c>
      <c r="C321" s="17" t="s">
        <v>771</v>
      </c>
      <c r="D321" s="17" t="s">
        <v>7</v>
      </c>
      <c r="E321" s="17" t="s">
        <v>8</v>
      </c>
      <c r="F321" s="17">
        <v>0</v>
      </c>
      <c r="G321" s="17">
        <v>0</v>
      </c>
      <c r="H321" s="17">
        <v>0</v>
      </c>
      <c r="I321" s="17">
        <v>0</v>
      </c>
      <c r="J321" s="17">
        <v>0</v>
      </c>
      <c r="K321" s="17">
        <v>0</v>
      </c>
      <c r="L321" s="17">
        <v>0</v>
      </c>
      <c r="M321" s="17">
        <v>0</v>
      </c>
      <c r="N321" s="17">
        <v>0</v>
      </c>
      <c r="O321" s="17">
        <v>0</v>
      </c>
      <c r="P321" s="17">
        <v>0</v>
      </c>
      <c r="Q321" s="17">
        <v>0</v>
      </c>
      <c r="R321" s="17">
        <v>0</v>
      </c>
      <c r="S321" s="17"/>
      <c r="T321" s="17" t="s">
        <v>2965</v>
      </c>
      <c r="U321" s="17" t="s">
        <v>3055</v>
      </c>
      <c r="V321" s="17" t="s">
        <v>3058</v>
      </c>
      <c r="W321" s="17"/>
      <c r="X321" s="17"/>
    </row>
    <row r="322" spans="1:24" hidden="1">
      <c r="A322" s="18">
        <v>321</v>
      </c>
      <c r="B322" s="17" t="s">
        <v>772</v>
      </c>
      <c r="C322" s="17" t="s">
        <v>773</v>
      </c>
      <c r="D322" s="17" t="s">
        <v>7</v>
      </c>
      <c r="E322" s="17" t="s">
        <v>8</v>
      </c>
      <c r="F322" s="17">
        <v>104</v>
      </c>
      <c r="G322" s="17">
        <v>0</v>
      </c>
      <c r="H322" s="17">
        <v>0</v>
      </c>
      <c r="I322" s="17">
        <v>104</v>
      </c>
      <c r="J322" s="17">
        <v>0</v>
      </c>
      <c r="K322" s="17">
        <v>0</v>
      </c>
      <c r="L322" s="17">
        <v>104</v>
      </c>
      <c r="M322" s="17">
        <v>0</v>
      </c>
      <c r="N322" s="17">
        <v>0</v>
      </c>
      <c r="O322" s="17">
        <v>104</v>
      </c>
      <c r="P322" s="17">
        <v>0</v>
      </c>
      <c r="Q322" s="17">
        <v>104</v>
      </c>
      <c r="R322" s="17">
        <v>0</v>
      </c>
      <c r="S322" s="17"/>
      <c r="T322" s="17" t="s">
        <v>2965</v>
      </c>
      <c r="U322" s="17" t="s">
        <v>3055</v>
      </c>
      <c r="V322" s="17" t="s">
        <v>3058</v>
      </c>
      <c r="W322" s="17"/>
      <c r="X322" s="17"/>
    </row>
    <row r="323" spans="1:24" hidden="1">
      <c r="A323" s="18">
        <v>322</v>
      </c>
      <c r="B323" s="17" t="s">
        <v>774</v>
      </c>
      <c r="C323" s="17" t="s">
        <v>775</v>
      </c>
      <c r="D323" s="17" t="s">
        <v>7</v>
      </c>
      <c r="E323" s="17" t="s">
        <v>8</v>
      </c>
      <c r="F323" s="17">
        <v>532</v>
      </c>
      <c r="G323" s="17">
        <v>0</v>
      </c>
      <c r="H323" s="17">
        <v>51</v>
      </c>
      <c r="I323" s="17">
        <v>481</v>
      </c>
      <c r="J323" s="17">
        <v>0</v>
      </c>
      <c r="K323" s="17">
        <v>0</v>
      </c>
      <c r="L323" s="17">
        <v>481</v>
      </c>
      <c r="M323" s="17">
        <v>0</v>
      </c>
      <c r="N323" s="17">
        <v>0</v>
      </c>
      <c r="O323" s="17">
        <v>481</v>
      </c>
      <c r="P323" s="17">
        <v>400</v>
      </c>
      <c r="Q323" s="17">
        <v>81</v>
      </c>
      <c r="R323" s="17">
        <v>0</v>
      </c>
      <c r="S323" s="17"/>
      <c r="T323" s="17" t="s">
        <v>2965</v>
      </c>
      <c r="U323" s="17" t="s">
        <v>3055</v>
      </c>
      <c r="V323" s="17" t="s">
        <v>3056</v>
      </c>
      <c r="W323" s="17"/>
      <c r="X323" s="17"/>
    </row>
    <row r="324" spans="1:24" hidden="1">
      <c r="A324" s="18">
        <v>323</v>
      </c>
      <c r="B324" s="17" t="s">
        <v>776</v>
      </c>
      <c r="C324" s="17" t="s">
        <v>777</v>
      </c>
      <c r="D324" s="17" t="s">
        <v>7</v>
      </c>
      <c r="E324" s="17" t="s">
        <v>8</v>
      </c>
      <c r="F324" s="17">
        <v>714</v>
      </c>
      <c r="G324" s="17">
        <v>218</v>
      </c>
      <c r="H324" s="17">
        <v>44</v>
      </c>
      <c r="I324" s="17">
        <v>888</v>
      </c>
      <c r="J324" s="17">
        <v>0</v>
      </c>
      <c r="K324" s="17">
        <v>0</v>
      </c>
      <c r="L324" s="17">
        <v>888</v>
      </c>
      <c r="M324" s="17">
        <v>0</v>
      </c>
      <c r="N324" s="17">
        <v>0</v>
      </c>
      <c r="O324" s="17">
        <v>888</v>
      </c>
      <c r="P324" s="17">
        <v>400</v>
      </c>
      <c r="Q324" s="17">
        <v>488</v>
      </c>
      <c r="R324" s="17">
        <v>0</v>
      </c>
      <c r="S324" s="17"/>
      <c r="T324" s="17" t="s">
        <v>2965</v>
      </c>
      <c r="U324" s="17" t="s">
        <v>3055</v>
      </c>
      <c r="V324" s="17" t="s">
        <v>3056</v>
      </c>
      <c r="W324" s="17"/>
      <c r="X324" s="17"/>
    </row>
    <row r="325" spans="1:24" hidden="1">
      <c r="A325" s="18">
        <v>324</v>
      </c>
      <c r="B325" s="17" t="s">
        <v>778</v>
      </c>
      <c r="C325" s="17" t="s">
        <v>779</v>
      </c>
      <c r="D325" s="17" t="s">
        <v>7</v>
      </c>
      <c r="E325" s="17" t="s">
        <v>8</v>
      </c>
      <c r="F325" s="17">
        <v>342</v>
      </c>
      <c r="G325" s="17">
        <v>0</v>
      </c>
      <c r="H325" s="17">
        <v>65</v>
      </c>
      <c r="I325" s="17">
        <v>277</v>
      </c>
      <c r="J325" s="17">
        <v>0</v>
      </c>
      <c r="K325" s="17">
        <v>0</v>
      </c>
      <c r="L325" s="17">
        <v>277</v>
      </c>
      <c r="M325" s="17">
        <v>0</v>
      </c>
      <c r="N325" s="17">
        <v>0</v>
      </c>
      <c r="O325" s="17">
        <v>277</v>
      </c>
      <c r="P325" s="17">
        <v>400</v>
      </c>
      <c r="Q325" s="17">
        <v>-123</v>
      </c>
      <c r="R325" s="17">
        <v>0</v>
      </c>
      <c r="S325" s="17"/>
      <c r="T325" s="17" t="s">
        <v>2965</v>
      </c>
      <c r="U325" s="17" t="s">
        <v>3055</v>
      </c>
      <c r="V325" s="17" t="s">
        <v>3056</v>
      </c>
      <c r="W325" s="17"/>
      <c r="X325" s="17"/>
    </row>
    <row r="326" spans="1:24" hidden="1">
      <c r="A326" s="18">
        <v>325</v>
      </c>
      <c r="B326" s="17" t="s">
        <v>780</v>
      </c>
      <c r="C326" s="17" t="s">
        <v>781</v>
      </c>
      <c r="D326" s="17" t="s">
        <v>7</v>
      </c>
      <c r="E326" s="17" t="s">
        <v>8</v>
      </c>
      <c r="F326" s="17">
        <v>0</v>
      </c>
      <c r="G326" s="17">
        <v>0</v>
      </c>
      <c r="H326" s="17">
        <v>0</v>
      </c>
      <c r="I326" s="17">
        <v>0</v>
      </c>
      <c r="J326" s="17">
        <v>0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0</v>
      </c>
      <c r="S326" s="17"/>
      <c r="T326" s="17" t="s">
        <v>2965</v>
      </c>
      <c r="U326" s="17" t="s">
        <v>3055</v>
      </c>
      <c r="V326" s="17" t="s">
        <v>3056</v>
      </c>
      <c r="W326" s="17"/>
      <c r="X326" s="17"/>
    </row>
    <row r="327" spans="1:24" hidden="1">
      <c r="A327" s="18">
        <v>326</v>
      </c>
      <c r="B327" s="17" t="s">
        <v>782</v>
      </c>
      <c r="C327" s="17" t="s">
        <v>783</v>
      </c>
      <c r="D327" s="17" t="s">
        <v>7</v>
      </c>
      <c r="E327" s="17" t="s">
        <v>8</v>
      </c>
      <c r="F327" s="17">
        <v>125.1</v>
      </c>
      <c r="G327" s="17">
        <v>0</v>
      </c>
      <c r="H327" s="17">
        <v>0</v>
      </c>
      <c r="I327" s="17">
        <v>125.1</v>
      </c>
      <c r="J327" s="17">
        <v>0</v>
      </c>
      <c r="K327" s="17">
        <v>0</v>
      </c>
      <c r="L327" s="17">
        <v>125.1</v>
      </c>
      <c r="M327" s="17">
        <v>0</v>
      </c>
      <c r="N327" s="17">
        <v>0</v>
      </c>
      <c r="O327" s="17">
        <v>125.1</v>
      </c>
      <c r="P327" s="17">
        <v>0</v>
      </c>
      <c r="Q327" s="17">
        <v>125.1</v>
      </c>
      <c r="R327" s="17">
        <v>0</v>
      </c>
      <c r="S327" s="17"/>
      <c r="T327" s="17" t="s">
        <v>2965</v>
      </c>
      <c r="U327" s="17" t="s">
        <v>3055</v>
      </c>
      <c r="V327" s="17" t="s">
        <v>3056</v>
      </c>
      <c r="W327" s="17"/>
      <c r="X327" s="17"/>
    </row>
    <row r="328" spans="1:24" hidden="1">
      <c r="A328" s="18">
        <v>327</v>
      </c>
      <c r="B328" s="17" t="s">
        <v>784</v>
      </c>
      <c r="C328" s="17" t="s">
        <v>785</v>
      </c>
      <c r="D328" s="17" t="s">
        <v>7</v>
      </c>
      <c r="E328" s="17" t="s">
        <v>8</v>
      </c>
      <c r="F328" s="17">
        <v>200</v>
      </c>
      <c r="G328" s="17">
        <v>0</v>
      </c>
      <c r="H328" s="17">
        <v>0</v>
      </c>
      <c r="I328" s="17">
        <v>200</v>
      </c>
      <c r="J328" s="17">
        <v>0</v>
      </c>
      <c r="K328" s="17">
        <v>0</v>
      </c>
      <c r="L328" s="17">
        <v>200</v>
      </c>
      <c r="M328" s="17">
        <v>0</v>
      </c>
      <c r="N328" s="17">
        <v>0</v>
      </c>
      <c r="O328" s="17">
        <v>200</v>
      </c>
      <c r="P328" s="17">
        <v>0</v>
      </c>
      <c r="Q328" s="17">
        <v>200</v>
      </c>
      <c r="R328" s="17">
        <v>0</v>
      </c>
      <c r="S328" s="17"/>
      <c r="T328" s="17" t="s">
        <v>2965</v>
      </c>
      <c r="U328" s="17" t="s">
        <v>3055</v>
      </c>
      <c r="V328" s="17" t="s">
        <v>3056</v>
      </c>
      <c r="W328" s="17"/>
      <c r="X328" s="17"/>
    </row>
    <row r="329" spans="1:24" hidden="1">
      <c r="A329" s="18">
        <v>328</v>
      </c>
      <c r="B329" s="17" t="s">
        <v>786</v>
      </c>
      <c r="C329" s="17" t="s">
        <v>787</v>
      </c>
      <c r="D329" s="17" t="s">
        <v>7</v>
      </c>
      <c r="E329" s="17" t="s">
        <v>8</v>
      </c>
      <c r="F329" s="17">
        <v>129.69999999999999</v>
      </c>
      <c r="G329" s="17">
        <v>0</v>
      </c>
      <c r="H329" s="17">
        <v>0</v>
      </c>
      <c r="I329" s="17">
        <v>129.69999999999999</v>
      </c>
      <c r="J329" s="17">
        <v>0</v>
      </c>
      <c r="K329" s="17">
        <v>0</v>
      </c>
      <c r="L329" s="17">
        <v>129.69999999999999</v>
      </c>
      <c r="M329" s="17">
        <v>0</v>
      </c>
      <c r="N329" s="17">
        <v>0</v>
      </c>
      <c r="O329" s="17">
        <v>129.69999999999999</v>
      </c>
      <c r="P329" s="17">
        <v>0</v>
      </c>
      <c r="Q329" s="17">
        <v>129.69999999999999</v>
      </c>
      <c r="R329" s="17">
        <v>0</v>
      </c>
      <c r="S329" s="17"/>
      <c r="T329" s="17" t="s">
        <v>2965</v>
      </c>
      <c r="U329" s="17" t="s">
        <v>3055</v>
      </c>
      <c r="V329" s="17" t="s">
        <v>3056</v>
      </c>
      <c r="W329" s="17"/>
      <c r="X329" s="17"/>
    </row>
    <row r="330" spans="1:24" hidden="1">
      <c r="A330" s="18">
        <v>329</v>
      </c>
      <c r="B330" s="17" t="s">
        <v>788</v>
      </c>
      <c r="C330" s="17" t="s">
        <v>789</v>
      </c>
      <c r="D330" s="17" t="s">
        <v>7</v>
      </c>
      <c r="E330" s="17" t="s">
        <v>8</v>
      </c>
      <c r="F330" s="17">
        <v>0</v>
      </c>
      <c r="G330" s="17">
        <v>0</v>
      </c>
      <c r="H330" s="17">
        <v>0</v>
      </c>
      <c r="I330" s="17">
        <v>0</v>
      </c>
      <c r="J330" s="17">
        <v>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/>
      <c r="T330" s="17" t="s">
        <v>2965</v>
      </c>
      <c r="U330" s="17" t="s">
        <v>3055</v>
      </c>
      <c r="V330" s="17" t="s">
        <v>3056</v>
      </c>
      <c r="W330" s="17"/>
      <c r="X330" s="17"/>
    </row>
    <row r="331" spans="1:24" hidden="1">
      <c r="A331" s="18">
        <v>330</v>
      </c>
      <c r="B331" s="17" t="s">
        <v>790</v>
      </c>
      <c r="C331" s="17" t="s">
        <v>791</v>
      </c>
      <c r="D331" s="17" t="s">
        <v>7</v>
      </c>
      <c r="E331" s="17" t="s">
        <v>8</v>
      </c>
      <c r="F331" s="17">
        <v>7937.2</v>
      </c>
      <c r="G331" s="17">
        <v>1007.2</v>
      </c>
      <c r="H331" s="17">
        <v>1828.3</v>
      </c>
      <c r="I331" s="17">
        <v>7116.1</v>
      </c>
      <c r="J331" s="17">
        <v>0</v>
      </c>
      <c r="K331" s="17">
        <v>0</v>
      </c>
      <c r="L331" s="17">
        <v>7116.1</v>
      </c>
      <c r="M331" s="17">
        <v>0</v>
      </c>
      <c r="N331" s="17">
        <v>0</v>
      </c>
      <c r="O331" s="17">
        <v>7116.1</v>
      </c>
      <c r="P331" s="17">
        <v>3000</v>
      </c>
      <c r="Q331" s="17">
        <v>4116.1000000000004</v>
      </c>
      <c r="R331" s="17">
        <v>1000</v>
      </c>
      <c r="S331" s="17"/>
      <c r="T331" s="17" t="s">
        <v>2965</v>
      </c>
      <c r="U331" s="17" t="s">
        <v>3055</v>
      </c>
      <c r="V331" s="17" t="s">
        <v>3056</v>
      </c>
      <c r="W331" s="17"/>
      <c r="X331" s="17"/>
    </row>
    <row r="332" spans="1:24" hidden="1">
      <c r="A332" s="18">
        <v>331</v>
      </c>
      <c r="B332" s="17" t="s">
        <v>792</v>
      </c>
      <c r="C332" s="17" t="s">
        <v>793</v>
      </c>
      <c r="D332" s="17" t="s">
        <v>7</v>
      </c>
      <c r="E332" s="17" t="s">
        <v>8</v>
      </c>
      <c r="F332" s="17">
        <v>11210.9</v>
      </c>
      <c r="G332" s="17">
        <v>0</v>
      </c>
      <c r="H332" s="17">
        <v>925.2</v>
      </c>
      <c r="I332" s="17">
        <v>10285.700000000001</v>
      </c>
      <c r="J332" s="17">
        <v>0</v>
      </c>
      <c r="K332" s="17">
        <v>0</v>
      </c>
      <c r="L332" s="17">
        <v>10285.700000000001</v>
      </c>
      <c r="M332" s="17">
        <v>0</v>
      </c>
      <c r="N332" s="17">
        <v>0</v>
      </c>
      <c r="O332" s="17">
        <v>10285.700000000001</v>
      </c>
      <c r="P332" s="17">
        <v>1500</v>
      </c>
      <c r="Q332" s="17">
        <v>8785.7000000000007</v>
      </c>
      <c r="R332" s="17">
        <v>0</v>
      </c>
      <c r="S332" s="17"/>
      <c r="T332" s="17" t="s">
        <v>2965</v>
      </c>
      <c r="U332" s="17" t="s">
        <v>3055</v>
      </c>
      <c r="V332" s="17" t="s">
        <v>3056</v>
      </c>
      <c r="W332" s="17"/>
      <c r="X332" s="17"/>
    </row>
    <row r="333" spans="1:24" hidden="1">
      <c r="A333" s="18">
        <v>332</v>
      </c>
      <c r="B333" s="17" t="s">
        <v>796</v>
      </c>
      <c r="C333" s="17" t="s">
        <v>797</v>
      </c>
      <c r="D333" s="17" t="s">
        <v>7</v>
      </c>
      <c r="E333" s="17" t="s">
        <v>8</v>
      </c>
      <c r="F333" s="17">
        <v>0</v>
      </c>
      <c r="G333" s="17">
        <v>0</v>
      </c>
      <c r="H333" s="17">
        <v>0</v>
      </c>
      <c r="I333" s="17">
        <v>0</v>
      </c>
      <c r="J333" s="17">
        <v>0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/>
      <c r="T333" s="17" t="s">
        <v>2965</v>
      </c>
      <c r="U333" s="17" t="s">
        <v>3055</v>
      </c>
      <c r="V333" s="17" t="s">
        <v>3056</v>
      </c>
      <c r="W333" s="17"/>
      <c r="X333" s="17"/>
    </row>
    <row r="334" spans="1:24" hidden="1">
      <c r="A334" s="18">
        <v>333</v>
      </c>
      <c r="B334" s="17" t="s">
        <v>798</v>
      </c>
      <c r="C334" s="17" t="s">
        <v>799</v>
      </c>
      <c r="D334" s="17" t="s">
        <v>7</v>
      </c>
      <c r="E334" s="17" t="s">
        <v>8</v>
      </c>
      <c r="F334" s="17">
        <v>1493.5</v>
      </c>
      <c r="G334" s="17">
        <v>0</v>
      </c>
      <c r="H334" s="17">
        <v>243.8</v>
      </c>
      <c r="I334" s="17">
        <v>1249.7</v>
      </c>
      <c r="J334" s="17">
        <v>0</v>
      </c>
      <c r="K334" s="17">
        <v>0</v>
      </c>
      <c r="L334" s="17">
        <v>1249.7</v>
      </c>
      <c r="M334" s="17">
        <v>0</v>
      </c>
      <c r="N334" s="17">
        <v>0</v>
      </c>
      <c r="O334" s="17">
        <v>1249.7</v>
      </c>
      <c r="P334" s="17">
        <v>600</v>
      </c>
      <c r="Q334" s="17">
        <v>649.70000000000005</v>
      </c>
      <c r="R334" s="17">
        <v>0</v>
      </c>
      <c r="S334" s="17"/>
      <c r="T334" s="17" t="s">
        <v>2965</v>
      </c>
      <c r="U334" s="17" t="s">
        <v>3055</v>
      </c>
      <c r="V334" s="17" t="s">
        <v>3056</v>
      </c>
      <c r="W334" s="17"/>
      <c r="X334" s="17"/>
    </row>
    <row r="335" spans="1:24" hidden="1">
      <c r="A335" s="18">
        <v>334</v>
      </c>
      <c r="B335" s="17" t="s">
        <v>800</v>
      </c>
      <c r="C335" s="17" t="s">
        <v>801</v>
      </c>
      <c r="D335" s="17" t="s">
        <v>7</v>
      </c>
      <c r="E335" s="17" t="s">
        <v>8</v>
      </c>
      <c r="F335" s="17">
        <v>711.3</v>
      </c>
      <c r="G335" s="17">
        <v>0</v>
      </c>
      <c r="H335" s="17">
        <v>84</v>
      </c>
      <c r="I335" s="17">
        <v>627.29999999999995</v>
      </c>
      <c r="J335" s="17">
        <v>0</v>
      </c>
      <c r="K335" s="17">
        <v>0</v>
      </c>
      <c r="L335" s="17">
        <v>627.29999999999995</v>
      </c>
      <c r="M335" s="17">
        <v>0</v>
      </c>
      <c r="N335" s="17">
        <v>0</v>
      </c>
      <c r="O335" s="17">
        <v>627.29999999999995</v>
      </c>
      <c r="P335" s="17">
        <v>1000</v>
      </c>
      <c r="Q335" s="17">
        <v>-372.70000000000005</v>
      </c>
      <c r="R335" s="17">
        <v>0</v>
      </c>
      <c r="S335" s="17"/>
      <c r="T335" s="17" t="s">
        <v>2965</v>
      </c>
      <c r="U335" s="17" t="s">
        <v>3055</v>
      </c>
      <c r="V335" s="17" t="s">
        <v>3056</v>
      </c>
      <c r="W335" s="17"/>
      <c r="X335" s="17"/>
    </row>
    <row r="336" spans="1:24" hidden="1">
      <c r="A336" s="18">
        <v>335</v>
      </c>
      <c r="B336" s="17" t="s">
        <v>802</v>
      </c>
      <c r="C336" s="17" t="s">
        <v>803</v>
      </c>
      <c r="D336" s="17" t="s">
        <v>7</v>
      </c>
      <c r="E336" s="17" t="s">
        <v>8</v>
      </c>
      <c r="F336" s="17">
        <v>2371.5</v>
      </c>
      <c r="G336" s="17">
        <v>0</v>
      </c>
      <c r="H336" s="17">
        <v>0</v>
      </c>
      <c r="I336" s="17">
        <v>2371.5</v>
      </c>
      <c r="J336" s="17">
        <v>0</v>
      </c>
      <c r="K336" s="17">
        <v>0</v>
      </c>
      <c r="L336" s="17">
        <v>2371.5</v>
      </c>
      <c r="M336" s="17">
        <v>0</v>
      </c>
      <c r="N336" s="17">
        <v>0</v>
      </c>
      <c r="O336" s="17">
        <v>2371.5</v>
      </c>
      <c r="P336" s="17">
        <v>1000</v>
      </c>
      <c r="Q336" s="17">
        <v>1371.5</v>
      </c>
      <c r="R336" s="17">
        <v>0</v>
      </c>
      <c r="S336" s="17"/>
      <c r="T336" s="17" t="s">
        <v>2965</v>
      </c>
      <c r="U336" s="17" t="s">
        <v>3055</v>
      </c>
      <c r="V336" s="17" t="s">
        <v>3056</v>
      </c>
      <c r="W336" s="17"/>
      <c r="X336" s="17"/>
    </row>
    <row r="337" spans="1:24" hidden="1">
      <c r="A337" s="18">
        <v>336</v>
      </c>
      <c r="B337" s="17" t="s">
        <v>804</v>
      </c>
      <c r="C337" s="17" t="s">
        <v>805</v>
      </c>
      <c r="D337" s="17" t="s">
        <v>7</v>
      </c>
      <c r="E337" s="17" t="s">
        <v>8</v>
      </c>
      <c r="F337" s="17">
        <v>843</v>
      </c>
      <c r="G337" s="17">
        <v>0</v>
      </c>
      <c r="H337" s="17">
        <v>0</v>
      </c>
      <c r="I337" s="17">
        <v>843</v>
      </c>
      <c r="J337" s="17">
        <v>0</v>
      </c>
      <c r="K337" s="17">
        <v>0</v>
      </c>
      <c r="L337" s="17">
        <v>843</v>
      </c>
      <c r="M337" s="17">
        <v>0</v>
      </c>
      <c r="N337" s="17">
        <v>0</v>
      </c>
      <c r="O337" s="17">
        <v>843</v>
      </c>
      <c r="P337" s="17">
        <v>0</v>
      </c>
      <c r="Q337" s="17">
        <v>843</v>
      </c>
      <c r="R337" s="17">
        <v>0</v>
      </c>
      <c r="S337" s="17"/>
      <c r="T337" s="17" t="s">
        <v>2965</v>
      </c>
      <c r="U337" s="17" t="s">
        <v>3055</v>
      </c>
      <c r="V337" s="17" t="s">
        <v>3056</v>
      </c>
      <c r="W337" s="17"/>
      <c r="X337" s="17"/>
    </row>
    <row r="338" spans="1:24" hidden="1">
      <c r="A338" s="18">
        <v>337</v>
      </c>
      <c r="B338" s="17" t="s">
        <v>806</v>
      </c>
      <c r="C338" s="17" t="s">
        <v>807</v>
      </c>
      <c r="D338" s="17" t="s">
        <v>7</v>
      </c>
      <c r="E338" s="17" t="s">
        <v>8</v>
      </c>
      <c r="F338" s="17">
        <v>465.9</v>
      </c>
      <c r="G338" s="17">
        <v>0</v>
      </c>
      <c r="H338" s="17">
        <v>0</v>
      </c>
      <c r="I338" s="17">
        <v>465.9</v>
      </c>
      <c r="J338" s="17">
        <v>0</v>
      </c>
      <c r="K338" s="17">
        <v>0</v>
      </c>
      <c r="L338" s="17">
        <v>465.9</v>
      </c>
      <c r="M338" s="17">
        <v>0</v>
      </c>
      <c r="N338" s="17">
        <v>0</v>
      </c>
      <c r="O338" s="17">
        <v>465.9</v>
      </c>
      <c r="P338" s="17">
        <v>0</v>
      </c>
      <c r="Q338" s="17">
        <v>465.9</v>
      </c>
      <c r="R338" s="17">
        <v>0</v>
      </c>
      <c r="S338" s="17"/>
      <c r="T338" s="17" t="s">
        <v>2965</v>
      </c>
      <c r="U338" s="17" t="s">
        <v>3055</v>
      </c>
      <c r="V338" s="17" t="s">
        <v>3056</v>
      </c>
      <c r="W338" s="17"/>
      <c r="X338" s="17"/>
    </row>
    <row r="339" spans="1:24" hidden="1">
      <c r="A339" s="18">
        <v>338</v>
      </c>
      <c r="B339" s="17" t="s">
        <v>808</v>
      </c>
      <c r="C339" s="17" t="s">
        <v>809</v>
      </c>
      <c r="D339" s="17" t="s">
        <v>7</v>
      </c>
      <c r="E339" s="17" t="s">
        <v>8</v>
      </c>
      <c r="F339" s="17">
        <v>581</v>
      </c>
      <c r="G339" s="17">
        <v>0</v>
      </c>
      <c r="H339" s="17">
        <v>0</v>
      </c>
      <c r="I339" s="17">
        <v>581</v>
      </c>
      <c r="J339" s="17">
        <v>0</v>
      </c>
      <c r="K339" s="17">
        <v>0</v>
      </c>
      <c r="L339" s="17">
        <v>581</v>
      </c>
      <c r="M339" s="17">
        <v>0</v>
      </c>
      <c r="N339" s="17">
        <v>0</v>
      </c>
      <c r="O339" s="17">
        <v>581</v>
      </c>
      <c r="P339" s="17">
        <v>0</v>
      </c>
      <c r="Q339" s="17">
        <v>581</v>
      </c>
      <c r="R339" s="17">
        <v>0</v>
      </c>
      <c r="S339" s="17"/>
      <c r="T339" s="17" t="s">
        <v>2965</v>
      </c>
      <c r="U339" s="17" t="s">
        <v>3055</v>
      </c>
      <c r="V339" s="17" t="s">
        <v>3056</v>
      </c>
      <c r="W339" s="17"/>
      <c r="X339" s="17"/>
    </row>
    <row r="340" spans="1:24" hidden="1">
      <c r="A340" s="18">
        <v>339</v>
      </c>
      <c r="B340" s="17" t="s">
        <v>810</v>
      </c>
      <c r="C340" s="17" t="s">
        <v>811</v>
      </c>
      <c r="D340" s="17" t="s">
        <v>7</v>
      </c>
      <c r="E340" s="17" t="s">
        <v>8</v>
      </c>
      <c r="F340" s="17">
        <v>843.6</v>
      </c>
      <c r="G340" s="17">
        <v>0</v>
      </c>
      <c r="H340" s="17">
        <v>0</v>
      </c>
      <c r="I340" s="17">
        <v>843.6</v>
      </c>
      <c r="J340" s="17">
        <v>0</v>
      </c>
      <c r="K340" s="17">
        <v>0</v>
      </c>
      <c r="L340" s="17">
        <v>843.6</v>
      </c>
      <c r="M340" s="17">
        <v>0</v>
      </c>
      <c r="N340" s="17">
        <v>0</v>
      </c>
      <c r="O340" s="17">
        <v>843.6</v>
      </c>
      <c r="P340" s="17">
        <v>0</v>
      </c>
      <c r="Q340" s="17">
        <v>843.6</v>
      </c>
      <c r="R340" s="17">
        <v>0</v>
      </c>
      <c r="S340" s="17"/>
      <c r="T340" s="17" t="s">
        <v>2965</v>
      </c>
      <c r="U340" s="17" t="s">
        <v>3055</v>
      </c>
      <c r="V340" s="17" t="s">
        <v>3056</v>
      </c>
      <c r="W340" s="17"/>
      <c r="X340" s="17"/>
    </row>
    <row r="341" spans="1:24" s="40" customFormat="1" hidden="1">
      <c r="A341" s="26">
        <v>340</v>
      </c>
      <c r="B341" s="25" t="s">
        <v>814</v>
      </c>
      <c r="C341" s="25" t="s">
        <v>815</v>
      </c>
      <c r="D341" s="25" t="s">
        <v>7</v>
      </c>
      <c r="E341" s="25" t="s">
        <v>8</v>
      </c>
      <c r="F341" s="25">
        <v>357.3</v>
      </c>
      <c r="G341" s="25">
        <v>0</v>
      </c>
      <c r="H341" s="25">
        <v>58.9</v>
      </c>
      <c r="I341" s="17">
        <v>298.39999999999998</v>
      </c>
      <c r="J341" s="17">
        <v>0</v>
      </c>
      <c r="K341" s="17">
        <v>0</v>
      </c>
      <c r="L341" s="17">
        <v>298.39999999999998</v>
      </c>
      <c r="M341" s="17">
        <v>0</v>
      </c>
      <c r="N341" s="17">
        <v>0</v>
      </c>
      <c r="O341" s="25">
        <v>298.39999999999998</v>
      </c>
      <c r="P341" s="25">
        <v>500</v>
      </c>
      <c r="Q341" s="25">
        <v>-201.60000000000002</v>
      </c>
      <c r="R341" s="25">
        <v>500</v>
      </c>
      <c r="S341" s="25"/>
      <c r="T341" s="25" t="s">
        <v>2965</v>
      </c>
      <c r="U341" s="25" t="s">
        <v>3055</v>
      </c>
      <c r="V341" s="25" t="s">
        <v>3056</v>
      </c>
      <c r="W341" s="25"/>
      <c r="X341" s="25"/>
    </row>
    <row r="342" spans="1:24" hidden="1">
      <c r="A342" s="18">
        <v>341</v>
      </c>
      <c r="B342" s="17" t="s">
        <v>816</v>
      </c>
      <c r="C342" s="17" t="s">
        <v>817</v>
      </c>
      <c r="D342" s="17" t="s">
        <v>7</v>
      </c>
      <c r="E342" s="17" t="s">
        <v>8</v>
      </c>
      <c r="F342" s="17">
        <v>0</v>
      </c>
      <c r="G342" s="17">
        <v>0</v>
      </c>
      <c r="H342" s="17">
        <v>0</v>
      </c>
      <c r="I342" s="17">
        <v>0</v>
      </c>
      <c r="J342" s="17">
        <v>0</v>
      </c>
      <c r="K342" s="17">
        <v>0</v>
      </c>
      <c r="L342" s="17">
        <v>0</v>
      </c>
      <c r="M342" s="17">
        <v>0</v>
      </c>
      <c r="N342" s="17">
        <v>0</v>
      </c>
      <c r="O342" s="17">
        <v>0</v>
      </c>
      <c r="P342" s="17">
        <v>0</v>
      </c>
      <c r="Q342" s="17">
        <v>0</v>
      </c>
      <c r="R342" s="17">
        <v>0</v>
      </c>
      <c r="S342" s="17"/>
      <c r="T342" s="17" t="s">
        <v>2965</v>
      </c>
      <c r="U342" s="17" t="s">
        <v>3055</v>
      </c>
      <c r="V342" s="17" t="s">
        <v>3056</v>
      </c>
      <c r="W342" s="17"/>
      <c r="X342" s="17"/>
    </row>
    <row r="343" spans="1:24" hidden="1">
      <c r="A343" s="18">
        <v>342</v>
      </c>
      <c r="B343" s="17" t="s">
        <v>818</v>
      </c>
      <c r="C343" s="17" t="s">
        <v>819</v>
      </c>
      <c r="D343" s="17" t="s">
        <v>7</v>
      </c>
      <c r="E343" s="17" t="s">
        <v>8</v>
      </c>
      <c r="F343" s="17">
        <v>215.82</v>
      </c>
      <c r="G343" s="17">
        <v>0</v>
      </c>
      <c r="H343" s="17">
        <v>0</v>
      </c>
      <c r="I343" s="17">
        <v>215.82</v>
      </c>
      <c r="J343" s="17">
        <v>0</v>
      </c>
      <c r="K343" s="17">
        <v>0</v>
      </c>
      <c r="L343" s="17">
        <v>215.82</v>
      </c>
      <c r="M343" s="17">
        <v>0</v>
      </c>
      <c r="N343" s="17">
        <v>0</v>
      </c>
      <c r="O343" s="17">
        <v>215.82</v>
      </c>
      <c r="P343" s="17">
        <v>200</v>
      </c>
      <c r="Q343" s="17">
        <v>15.819999999999993</v>
      </c>
      <c r="R343" s="17">
        <v>0</v>
      </c>
      <c r="S343" s="17"/>
      <c r="T343" s="17" t="s">
        <v>2965</v>
      </c>
      <c r="U343" s="17" t="s">
        <v>3055</v>
      </c>
      <c r="V343" s="17" t="s">
        <v>3056</v>
      </c>
      <c r="W343" s="17"/>
      <c r="X343" s="17"/>
    </row>
    <row r="344" spans="1:24" hidden="1">
      <c r="A344" s="18">
        <v>343</v>
      </c>
      <c r="B344" s="17" t="s">
        <v>820</v>
      </c>
      <c r="C344" s="17" t="s">
        <v>821</v>
      </c>
      <c r="D344" s="17" t="s">
        <v>7</v>
      </c>
      <c r="E344" s="17" t="s">
        <v>8</v>
      </c>
      <c r="F344" s="17">
        <v>432.8</v>
      </c>
      <c r="G344" s="17">
        <v>0</v>
      </c>
      <c r="H344" s="17">
        <v>0</v>
      </c>
      <c r="I344" s="17">
        <v>432.8</v>
      </c>
      <c r="J344" s="17">
        <v>0</v>
      </c>
      <c r="K344" s="17">
        <v>0</v>
      </c>
      <c r="L344" s="17">
        <v>432.8</v>
      </c>
      <c r="M344" s="17">
        <v>0</v>
      </c>
      <c r="N344" s="17">
        <v>0</v>
      </c>
      <c r="O344" s="17">
        <v>432.8</v>
      </c>
      <c r="P344" s="17">
        <v>200</v>
      </c>
      <c r="Q344" s="17">
        <v>232.8</v>
      </c>
      <c r="R344" s="17">
        <v>0</v>
      </c>
      <c r="S344" s="17"/>
      <c r="T344" s="17" t="s">
        <v>2965</v>
      </c>
      <c r="U344" s="17" t="s">
        <v>3055</v>
      </c>
      <c r="V344" s="17" t="s">
        <v>3056</v>
      </c>
      <c r="W344" s="17"/>
      <c r="X344" s="17"/>
    </row>
    <row r="345" spans="1:24" s="40" customFormat="1" hidden="1">
      <c r="A345" s="26">
        <v>344</v>
      </c>
      <c r="B345" s="25" t="s">
        <v>822</v>
      </c>
      <c r="C345" s="25" t="s">
        <v>823</v>
      </c>
      <c r="D345" s="25" t="s">
        <v>7</v>
      </c>
      <c r="E345" s="25" t="s">
        <v>8</v>
      </c>
      <c r="F345" s="25">
        <v>207</v>
      </c>
      <c r="G345" s="25">
        <v>0</v>
      </c>
      <c r="H345" s="25">
        <v>115</v>
      </c>
      <c r="I345" s="17">
        <v>92</v>
      </c>
      <c r="J345" s="17">
        <v>0</v>
      </c>
      <c r="K345" s="17">
        <v>0</v>
      </c>
      <c r="L345" s="17">
        <v>92</v>
      </c>
      <c r="M345" s="17">
        <v>0</v>
      </c>
      <c r="N345" s="17">
        <v>0</v>
      </c>
      <c r="O345" s="25">
        <v>92</v>
      </c>
      <c r="P345" s="25">
        <v>200</v>
      </c>
      <c r="Q345" s="25">
        <v>-108</v>
      </c>
      <c r="R345" s="25">
        <v>200</v>
      </c>
      <c r="S345" s="25"/>
      <c r="T345" s="25" t="s">
        <v>2965</v>
      </c>
      <c r="U345" s="25" t="s">
        <v>3055</v>
      </c>
      <c r="V345" s="25" t="s">
        <v>3056</v>
      </c>
      <c r="W345" s="25"/>
      <c r="X345" s="25"/>
    </row>
    <row r="346" spans="1:24" hidden="1">
      <c r="A346" s="18">
        <v>345</v>
      </c>
      <c r="B346" s="17" t="s">
        <v>824</v>
      </c>
      <c r="C346" s="17" t="s">
        <v>825</v>
      </c>
      <c r="D346" s="17" t="s">
        <v>7</v>
      </c>
      <c r="E346" s="17" t="s">
        <v>8</v>
      </c>
      <c r="F346" s="17">
        <v>505</v>
      </c>
      <c r="G346" s="17">
        <v>0</v>
      </c>
      <c r="H346" s="17">
        <v>0</v>
      </c>
      <c r="I346" s="17">
        <v>505</v>
      </c>
      <c r="J346" s="17">
        <v>0</v>
      </c>
      <c r="K346" s="17">
        <v>0</v>
      </c>
      <c r="L346" s="17">
        <v>505</v>
      </c>
      <c r="M346" s="17">
        <v>0</v>
      </c>
      <c r="N346" s="17">
        <v>0</v>
      </c>
      <c r="O346" s="17">
        <v>505</v>
      </c>
      <c r="P346" s="17">
        <v>200</v>
      </c>
      <c r="Q346" s="17">
        <v>305</v>
      </c>
      <c r="R346" s="17">
        <v>0</v>
      </c>
      <c r="S346" s="17"/>
      <c r="T346" s="17" t="s">
        <v>2965</v>
      </c>
      <c r="U346" s="17" t="s">
        <v>3055</v>
      </c>
      <c r="V346" s="17" t="s">
        <v>3056</v>
      </c>
      <c r="W346" s="17"/>
      <c r="X346" s="17"/>
    </row>
    <row r="347" spans="1:24" hidden="1">
      <c r="A347" s="18">
        <v>346</v>
      </c>
      <c r="B347" s="17" t="s">
        <v>826</v>
      </c>
      <c r="C347" s="17" t="s">
        <v>827</v>
      </c>
      <c r="D347" s="17" t="s">
        <v>20</v>
      </c>
      <c r="E347" s="17" t="s">
        <v>8</v>
      </c>
      <c r="F347" s="17">
        <v>0</v>
      </c>
      <c r="G347" s="17">
        <v>0</v>
      </c>
      <c r="H347" s="17">
        <v>0</v>
      </c>
      <c r="I347" s="17">
        <v>0</v>
      </c>
      <c r="J347" s="17">
        <v>0</v>
      </c>
      <c r="K347" s="17">
        <v>0</v>
      </c>
      <c r="L347" s="17">
        <v>0</v>
      </c>
      <c r="M347" s="17">
        <v>0</v>
      </c>
      <c r="N347" s="17">
        <v>0</v>
      </c>
      <c r="O347" s="17">
        <v>0</v>
      </c>
      <c r="P347" s="17">
        <v>0</v>
      </c>
      <c r="Q347" s="17">
        <v>-40</v>
      </c>
      <c r="R347" s="17">
        <v>0</v>
      </c>
      <c r="S347" s="17"/>
      <c r="T347" s="17" t="s">
        <v>2965</v>
      </c>
      <c r="U347" s="17" t="s">
        <v>3055</v>
      </c>
      <c r="V347" s="17" t="s">
        <v>3058</v>
      </c>
      <c r="W347" s="17"/>
      <c r="X347" s="17"/>
    </row>
    <row r="348" spans="1:24" hidden="1">
      <c r="A348" s="18">
        <v>347</v>
      </c>
      <c r="B348" s="17" t="s">
        <v>828</v>
      </c>
      <c r="C348" s="17" t="s">
        <v>829</v>
      </c>
      <c r="D348" s="17" t="s">
        <v>17</v>
      </c>
      <c r="E348" s="17" t="s">
        <v>8</v>
      </c>
      <c r="F348" s="17">
        <v>127</v>
      </c>
      <c r="G348" s="17">
        <v>0</v>
      </c>
      <c r="H348" s="17">
        <v>0</v>
      </c>
      <c r="I348" s="17">
        <v>127</v>
      </c>
      <c r="J348" s="17">
        <v>0</v>
      </c>
      <c r="K348" s="17">
        <v>0</v>
      </c>
      <c r="L348" s="17">
        <v>127</v>
      </c>
      <c r="M348" s="17">
        <v>0</v>
      </c>
      <c r="N348" s="17">
        <v>0</v>
      </c>
      <c r="O348" s="17">
        <v>127</v>
      </c>
      <c r="P348" s="17">
        <v>0</v>
      </c>
      <c r="Q348" s="17">
        <v>127</v>
      </c>
      <c r="R348" s="17">
        <v>0</v>
      </c>
      <c r="S348" s="17"/>
      <c r="T348" s="17" t="s">
        <v>2965</v>
      </c>
      <c r="U348" s="17" t="s">
        <v>3055</v>
      </c>
      <c r="V348" s="17" t="s">
        <v>3058</v>
      </c>
      <c r="W348" s="17"/>
      <c r="X348" s="17"/>
    </row>
    <row r="349" spans="1:24" hidden="1">
      <c r="A349" s="18">
        <v>348</v>
      </c>
      <c r="B349" s="17" t="s">
        <v>830</v>
      </c>
      <c r="C349" s="17" t="s">
        <v>831</v>
      </c>
      <c r="D349" s="17" t="s">
        <v>20</v>
      </c>
      <c r="E349" s="17" t="s">
        <v>8</v>
      </c>
      <c r="F349" s="17">
        <v>494.4</v>
      </c>
      <c r="G349" s="17">
        <v>0</v>
      </c>
      <c r="H349" s="17">
        <v>0</v>
      </c>
      <c r="I349" s="17">
        <v>494.4</v>
      </c>
      <c r="J349" s="17">
        <v>0</v>
      </c>
      <c r="K349" s="17">
        <v>0</v>
      </c>
      <c r="L349" s="17">
        <v>494.4</v>
      </c>
      <c r="M349" s="17">
        <v>0</v>
      </c>
      <c r="N349" s="17">
        <v>0</v>
      </c>
      <c r="O349" s="17">
        <v>494.4</v>
      </c>
      <c r="P349" s="17">
        <v>100</v>
      </c>
      <c r="Q349" s="17">
        <v>394.4</v>
      </c>
      <c r="R349" s="17">
        <v>0</v>
      </c>
      <c r="S349" s="17"/>
      <c r="T349" s="17" t="s">
        <v>2965</v>
      </c>
      <c r="U349" s="17" t="s">
        <v>3055</v>
      </c>
      <c r="V349" s="17" t="s">
        <v>3058</v>
      </c>
      <c r="W349" s="17"/>
      <c r="X349" s="17"/>
    </row>
    <row r="350" spans="1:24" hidden="1">
      <c r="A350" s="18">
        <v>349</v>
      </c>
      <c r="B350" s="17" t="s">
        <v>834</v>
      </c>
      <c r="C350" s="17" t="s">
        <v>835</v>
      </c>
      <c r="D350" s="17" t="s">
        <v>7</v>
      </c>
      <c r="E350" s="17" t="s">
        <v>8</v>
      </c>
      <c r="F350" s="17">
        <v>190</v>
      </c>
      <c r="G350" s="17">
        <v>0</v>
      </c>
      <c r="H350" s="17">
        <v>0</v>
      </c>
      <c r="I350" s="17">
        <v>190</v>
      </c>
      <c r="J350" s="17">
        <v>0</v>
      </c>
      <c r="K350" s="17">
        <v>0</v>
      </c>
      <c r="L350" s="17">
        <v>190</v>
      </c>
      <c r="M350" s="17">
        <v>0</v>
      </c>
      <c r="N350" s="17">
        <v>0</v>
      </c>
      <c r="O350" s="17">
        <v>190</v>
      </c>
      <c r="P350" s="17">
        <v>50</v>
      </c>
      <c r="Q350" s="17">
        <v>140</v>
      </c>
      <c r="R350" s="17">
        <v>0</v>
      </c>
      <c r="S350" s="17"/>
      <c r="T350" s="17" t="s">
        <v>2965</v>
      </c>
      <c r="U350" s="17" t="s">
        <v>3055</v>
      </c>
      <c r="V350" s="17" t="s">
        <v>3056</v>
      </c>
      <c r="W350" s="17"/>
      <c r="X350" s="17"/>
    </row>
    <row r="351" spans="1:24" hidden="1">
      <c r="A351" s="18">
        <v>350</v>
      </c>
      <c r="B351" s="17" t="s">
        <v>836</v>
      </c>
      <c r="C351" s="17" t="s">
        <v>837</v>
      </c>
      <c r="D351" s="17" t="s">
        <v>7</v>
      </c>
      <c r="E351" s="17" t="s">
        <v>8</v>
      </c>
      <c r="F351" s="17">
        <v>565</v>
      </c>
      <c r="G351" s="17">
        <v>141</v>
      </c>
      <c r="H351" s="17">
        <v>346</v>
      </c>
      <c r="I351" s="17">
        <v>360</v>
      </c>
      <c r="J351" s="17">
        <v>0</v>
      </c>
      <c r="K351" s="17">
        <v>0</v>
      </c>
      <c r="L351" s="17">
        <v>360</v>
      </c>
      <c r="M351" s="17">
        <v>0</v>
      </c>
      <c r="N351" s="17">
        <v>0</v>
      </c>
      <c r="O351" s="17">
        <v>360</v>
      </c>
      <c r="P351" s="17">
        <v>350</v>
      </c>
      <c r="Q351" s="17">
        <v>10</v>
      </c>
      <c r="R351" s="17">
        <v>1000</v>
      </c>
      <c r="S351" s="17"/>
      <c r="T351" s="17" t="s">
        <v>2965</v>
      </c>
      <c r="U351" s="17" t="s">
        <v>3055</v>
      </c>
      <c r="V351" s="17" t="s">
        <v>3056</v>
      </c>
      <c r="W351" s="17"/>
      <c r="X351" s="17"/>
    </row>
    <row r="352" spans="1:24" hidden="1">
      <c r="A352" s="18">
        <v>351</v>
      </c>
      <c r="B352" s="17" t="s">
        <v>516</v>
      </c>
      <c r="C352" s="17" t="s">
        <v>517</v>
      </c>
      <c r="D352" s="17" t="s">
        <v>17</v>
      </c>
      <c r="E352" s="17" t="s">
        <v>8</v>
      </c>
      <c r="F352" s="17">
        <v>0</v>
      </c>
      <c r="G352" s="17">
        <v>0</v>
      </c>
      <c r="H352" s="17">
        <v>0</v>
      </c>
      <c r="I352" s="17">
        <v>0</v>
      </c>
      <c r="J352" s="17">
        <v>0</v>
      </c>
      <c r="K352" s="17">
        <v>0</v>
      </c>
      <c r="L352" s="17">
        <v>0</v>
      </c>
      <c r="M352" s="17">
        <v>0</v>
      </c>
      <c r="N352" s="17">
        <v>0</v>
      </c>
      <c r="O352" s="17">
        <v>0</v>
      </c>
      <c r="P352" s="17">
        <v>0</v>
      </c>
      <c r="Q352" s="17">
        <v>0</v>
      </c>
      <c r="R352" s="17">
        <v>0</v>
      </c>
      <c r="S352" s="17"/>
      <c r="T352" s="17" t="s">
        <v>2972</v>
      </c>
      <c r="U352" s="17" t="s">
        <v>3057</v>
      </c>
      <c r="V352" s="17" t="s">
        <v>3056</v>
      </c>
      <c r="W352" s="17"/>
      <c r="X352" s="17"/>
    </row>
    <row r="353" spans="1:24" hidden="1">
      <c r="A353" s="18">
        <v>352</v>
      </c>
      <c r="B353" s="17" t="s">
        <v>840</v>
      </c>
      <c r="C353" s="17" t="s">
        <v>841</v>
      </c>
      <c r="D353" s="17" t="s">
        <v>17</v>
      </c>
      <c r="E353" s="17" t="s">
        <v>8</v>
      </c>
      <c r="F353" s="17">
        <v>1000</v>
      </c>
      <c r="G353" s="17">
        <v>3000</v>
      </c>
      <c r="H353" s="17">
        <v>2000</v>
      </c>
      <c r="I353" s="17">
        <v>2000</v>
      </c>
      <c r="J353" s="17">
        <v>0</v>
      </c>
      <c r="K353" s="17">
        <v>0</v>
      </c>
      <c r="L353" s="17">
        <v>2000</v>
      </c>
      <c r="M353" s="17">
        <v>0</v>
      </c>
      <c r="N353" s="17">
        <v>0</v>
      </c>
      <c r="O353" s="17">
        <v>2000</v>
      </c>
      <c r="P353" s="17">
        <v>1100</v>
      </c>
      <c r="Q353" s="17">
        <v>900</v>
      </c>
      <c r="R353" s="17">
        <v>3000</v>
      </c>
      <c r="S353" s="17"/>
      <c r="T353" s="17" t="s">
        <v>2972</v>
      </c>
      <c r="U353" s="17" t="s">
        <v>3055</v>
      </c>
      <c r="V353" s="17" t="s">
        <v>3056</v>
      </c>
      <c r="W353" s="17"/>
      <c r="X353" s="17"/>
    </row>
    <row r="354" spans="1:24" hidden="1">
      <c r="A354" s="18">
        <v>353</v>
      </c>
      <c r="B354" s="17" t="s">
        <v>844</v>
      </c>
      <c r="C354" s="17" t="s">
        <v>845</v>
      </c>
      <c r="D354" s="17" t="s">
        <v>17</v>
      </c>
      <c r="E354" s="17" t="s">
        <v>8</v>
      </c>
      <c r="F354" s="17">
        <v>0</v>
      </c>
      <c r="G354" s="17">
        <v>0</v>
      </c>
      <c r="H354" s="17">
        <v>0</v>
      </c>
      <c r="I354" s="17">
        <v>0</v>
      </c>
      <c r="J354" s="17">
        <v>0</v>
      </c>
      <c r="K354" s="17">
        <v>0</v>
      </c>
      <c r="L354" s="17">
        <v>0</v>
      </c>
      <c r="M354" s="17">
        <v>0</v>
      </c>
      <c r="N354" s="17">
        <v>0</v>
      </c>
      <c r="O354" s="17">
        <v>0</v>
      </c>
      <c r="P354" s="17">
        <v>0</v>
      </c>
      <c r="Q354" s="17">
        <v>0</v>
      </c>
      <c r="R354" s="17">
        <v>0</v>
      </c>
      <c r="S354" s="17"/>
      <c r="T354" s="17" t="s">
        <v>2972</v>
      </c>
      <c r="U354" s="17" t="s">
        <v>3055</v>
      </c>
      <c r="V354" s="17" t="s">
        <v>3056</v>
      </c>
      <c r="W354" s="17"/>
      <c r="X354" s="17"/>
    </row>
    <row r="355" spans="1:24" hidden="1">
      <c r="A355" s="18">
        <v>354</v>
      </c>
      <c r="B355" s="17" t="s">
        <v>518</v>
      </c>
      <c r="C355" s="17" t="s">
        <v>519</v>
      </c>
      <c r="D355" s="17" t="s">
        <v>7</v>
      </c>
      <c r="E355" s="17" t="s">
        <v>8</v>
      </c>
      <c r="F355" s="17">
        <v>900</v>
      </c>
      <c r="G355" s="17">
        <v>0</v>
      </c>
      <c r="H355" s="17">
        <v>0</v>
      </c>
      <c r="I355" s="17">
        <v>900</v>
      </c>
      <c r="J355" s="17">
        <v>0</v>
      </c>
      <c r="K355" s="17">
        <v>0</v>
      </c>
      <c r="L355" s="17">
        <v>900</v>
      </c>
      <c r="M355" s="17">
        <v>0</v>
      </c>
      <c r="N355" s="17">
        <v>0</v>
      </c>
      <c r="O355" s="17">
        <v>900</v>
      </c>
      <c r="P355" s="17">
        <v>740</v>
      </c>
      <c r="Q355" s="17">
        <v>160</v>
      </c>
      <c r="R355" s="17">
        <v>0</v>
      </c>
      <c r="S355" s="17"/>
      <c r="T355" s="17" t="s">
        <v>2972</v>
      </c>
      <c r="U355" s="17" t="s">
        <v>3057</v>
      </c>
      <c r="V355" s="17" t="s">
        <v>3058</v>
      </c>
      <c r="W355" s="17"/>
      <c r="X355" s="17"/>
    </row>
    <row r="356" spans="1:24" hidden="1">
      <c r="A356" s="18">
        <v>355</v>
      </c>
      <c r="B356" s="17" t="s">
        <v>848</v>
      </c>
      <c r="C356" s="17" t="s">
        <v>849</v>
      </c>
      <c r="D356" s="17" t="s">
        <v>17</v>
      </c>
      <c r="E356" s="17" t="s">
        <v>8</v>
      </c>
      <c r="F356" s="17">
        <v>267</v>
      </c>
      <c r="G356" s="17">
        <v>0</v>
      </c>
      <c r="H356" s="17">
        <v>100</v>
      </c>
      <c r="I356" s="17">
        <v>167</v>
      </c>
      <c r="J356" s="17">
        <v>0</v>
      </c>
      <c r="K356" s="17">
        <v>0</v>
      </c>
      <c r="L356" s="17">
        <v>167</v>
      </c>
      <c r="M356" s="17">
        <v>0</v>
      </c>
      <c r="N356" s="17">
        <v>0</v>
      </c>
      <c r="O356" s="17">
        <v>167</v>
      </c>
      <c r="P356" s="17">
        <v>200</v>
      </c>
      <c r="Q356" s="17">
        <v>-33</v>
      </c>
      <c r="R356" s="17">
        <v>0</v>
      </c>
      <c r="S356" s="17"/>
      <c r="T356" s="17" t="s">
        <v>2972</v>
      </c>
      <c r="U356" s="17" t="s">
        <v>3055</v>
      </c>
      <c r="V356" s="17" t="s">
        <v>3056</v>
      </c>
      <c r="W356" s="17"/>
      <c r="X356" s="17"/>
    </row>
    <row r="357" spans="1:24" hidden="1">
      <c r="A357" s="18">
        <v>356</v>
      </c>
      <c r="B357" s="17" t="s">
        <v>854</v>
      </c>
      <c r="C357" s="17" t="s">
        <v>855</v>
      </c>
      <c r="D357" s="17" t="s">
        <v>17</v>
      </c>
      <c r="E357" s="17" t="s">
        <v>8</v>
      </c>
      <c r="F357" s="17">
        <v>0</v>
      </c>
      <c r="G357" s="17">
        <v>0</v>
      </c>
      <c r="H357" s="17">
        <v>0</v>
      </c>
      <c r="I357" s="17">
        <v>0</v>
      </c>
      <c r="J357" s="17">
        <v>0</v>
      </c>
      <c r="K357" s="17">
        <v>0</v>
      </c>
      <c r="L357" s="17">
        <v>0</v>
      </c>
      <c r="M357" s="17">
        <v>0</v>
      </c>
      <c r="N357" s="17">
        <v>0</v>
      </c>
      <c r="O357" s="17">
        <v>0</v>
      </c>
      <c r="P357" s="17">
        <v>0</v>
      </c>
      <c r="Q357" s="17">
        <v>0</v>
      </c>
      <c r="R357" s="17">
        <v>0</v>
      </c>
      <c r="S357" s="17"/>
      <c r="T357" s="17" t="s">
        <v>2982</v>
      </c>
      <c r="U357" s="17" t="s">
        <v>3060</v>
      </c>
      <c r="V357" s="17" t="s">
        <v>3058</v>
      </c>
      <c r="W357" s="17"/>
      <c r="X357" s="17"/>
    </row>
    <row r="358" spans="1:24" hidden="1">
      <c r="A358" s="18">
        <v>357</v>
      </c>
      <c r="B358" s="17" t="s">
        <v>856</v>
      </c>
      <c r="C358" s="17" t="s">
        <v>857</v>
      </c>
      <c r="D358" s="17" t="s">
        <v>17</v>
      </c>
      <c r="E358" s="17" t="s">
        <v>8</v>
      </c>
      <c r="F358" s="17">
        <v>348</v>
      </c>
      <c r="G358" s="17">
        <v>500</v>
      </c>
      <c r="H358" s="17">
        <v>0</v>
      </c>
      <c r="I358" s="17">
        <v>848</v>
      </c>
      <c r="J358" s="17">
        <v>0</v>
      </c>
      <c r="K358" s="17">
        <v>263</v>
      </c>
      <c r="L358" s="17">
        <v>585</v>
      </c>
      <c r="M358" s="17">
        <v>0</v>
      </c>
      <c r="N358" s="17">
        <v>0</v>
      </c>
      <c r="O358" s="17">
        <v>585</v>
      </c>
      <c r="P358" s="17">
        <v>200</v>
      </c>
      <c r="Q358" s="17">
        <v>385</v>
      </c>
      <c r="R358" s="17">
        <v>500</v>
      </c>
      <c r="S358" s="17"/>
      <c r="T358" s="17" t="s">
        <v>2965</v>
      </c>
      <c r="U358" s="17" t="s">
        <v>3055</v>
      </c>
      <c r="V358" s="17" t="s">
        <v>3056</v>
      </c>
      <c r="W358" s="17"/>
      <c r="X358" s="17"/>
    </row>
    <row r="359" spans="1:24" hidden="1">
      <c r="A359" s="18">
        <v>358</v>
      </c>
      <c r="B359" s="17" t="s">
        <v>858</v>
      </c>
      <c r="C359" s="17" t="s">
        <v>859</v>
      </c>
      <c r="D359" s="17" t="s">
        <v>135</v>
      </c>
      <c r="E359" s="17" t="s">
        <v>8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/>
      <c r="T359" s="17" t="s">
        <v>2974</v>
      </c>
      <c r="U359" s="17" t="s">
        <v>3055</v>
      </c>
      <c r="V359" s="17" t="s">
        <v>3056</v>
      </c>
      <c r="W359" s="17"/>
      <c r="X359" s="17"/>
    </row>
    <row r="360" spans="1:24" hidden="1">
      <c r="A360" s="18">
        <v>359</v>
      </c>
      <c r="B360" s="17" t="s">
        <v>860</v>
      </c>
      <c r="C360" s="17" t="s">
        <v>861</v>
      </c>
      <c r="D360" s="17" t="s">
        <v>135</v>
      </c>
      <c r="E360" s="17" t="s">
        <v>8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17">
        <v>0</v>
      </c>
      <c r="R360" s="17">
        <v>0</v>
      </c>
      <c r="S360" s="17"/>
      <c r="T360" s="17" t="s">
        <v>2974</v>
      </c>
      <c r="U360" s="17" t="s">
        <v>3055</v>
      </c>
      <c r="V360" s="17" t="s">
        <v>3056</v>
      </c>
      <c r="W360" s="17"/>
      <c r="X360" s="17"/>
    </row>
    <row r="361" spans="1:24" hidden="1">
      <c r="A361" s="18">
        <v>360</v>
      </c>
      <c r="B361" s="17" t="s">
        <v>862</v>
      </c>
      <c r="C361" s="17" t="s">
        <v>863</v>
      </c>
      <c r="D361" s="17" t="s">
        <v>17</v>
      </c>
      <c r="E361" s="17" t="s">
        <v>8</v>
      </c>
      <c r="F361" s="17">
        <v>86</v>
      </c>
      <c r="G361" s="17">
        <v>0</v>
      </c>
      <c r="H361" s="17">
        <v>0</v>
      </c>
      <c r="I361" s="17">
        <v>86</v>
      </c>
      <c r="J361" s="17">
        <v>0</v>
      </c>
      <c r="K361" s="17">
        <v>0</v>
      </c>
      <c r="L361" s="17">
        <v>86</v>
      </c>
      <c r="M361" s="17">
        <v>0</v>
      </c>
      <c r="N361" s="17">
        <v>0</v>
      </c>
      <c r="O361" s="17">
        <v>86</v>
      </c>
      <c r="P361" s="17">
        <v>100</v>
      </c>
      <c r="Q361" s="17">
        <v>-14</v>
      </c>
      <c r="R361" s="17">
        <v>0</v>
      </c>
      <c r="S361" s="17"/>
      <c r="T361" s="17" t="s">
        <v>2972</v>
      </c>
      <c r="U361" s="17" t="s">
        <v>3055</v>
      </c>
      <c r="V361" s="17" t="s">
        <v>3056</v>
      </c>
      <c r="W361" s="17"/>
      <c r="X361" s="17"/>
    </row>
    <row r="362" spans="1:24" hidden="1">
      <c r="A362" s="18">
        <v>361</v>
      </c>
      <c r="B362" s="17" t="s">
        <v>520</v>
      </c>
      <c r="C362" s="17" t="s">
        <v>521</v>
      </c>
      <c r="D362" s="17" t="s">
        <v>7</v>
      </c>
      <c r="E362" s="17" t="s">
        <v>8</v>
      </c>
      <c r="F362" s="17">
        <v>920</v>
      </c>
      <c r="G362" s="17">
        <v>0</v>
      </c>
      <c r="H362" s="17">
        <v>0</v>
      </c>
      <c r="I362" s="17">
        <v>920</v>
      </c>
      <c r="J362" s="17">
        <v>0</v>
      </c>
      <c r="K362" s="17">
        <v>180</v>
      </c>
      <c r="L362" s="17">
        <v>740</v>
      </c>
      <c r="M362" s="17">
        <v>0</v>
      </c>
      <c r="N362" s="17">
        <v>0</v>
      </c>
      <c r="O362" s="17">
        <v>740</v>
      </c>
      <c r="P362" s="17">
        <v>0</v>
      </c>
      <c r="Q362" s="17">
        <v>740</v>
      </c>
      <c r="R362" s="17">
        <v>0</v>
      </c>
      <c r="S362" s="17"/>
      <c r="T362" s="17" t="s">
        <v>2972</v>
      </c>
      <c r="U362" s="17" t="s">
        <v>3057</v>
      </c>
      <c r="V362" s="17" t="s">
        <v>3058</v>
      </c>
      <c r="W362" s="17"/>
      <c r="X362" s="17"/>
    </row>
    <row r="363" spans="1:24" hidden="1">
      <c r="A363" s="18">
        <v>362</v>
      </c>
      <c r="B363" s="17" t="s">
        <v>522</v>
      </c>
      <c r="C363" s="17" t="s">
        <v>523</v>
      </c>
      <c r="D363" s="17" t="s">
        <v>7</v>
      </c>
      <c r="E363" s="17" t="s">
        <v>8</v>
      </c>
      <c r="F363" s="17">
        <v>981</v>
      </c>
      <c r="G363" s="17">
        <v>0</v>
      </c>
      <c r="H363" s="17">
        <v>0</v>
      </c>
      <c r="I363" s="17">
        <v>981</v>
      </c>
      <c r="J363" s="17">
        <v>0</v>
      </c>
      <c r="K363" s="17">
        <v>0</v>
      </c>
      <c r="L363" s="17">
        <v>981</v>
      </c>
      <c r="M363" s="17">
        <v>0</v>
      </c>
      <c r="N363" s="17">
        <v>0</v>
      </c>
      <c r="O363" s="17">
        <v>981</v>
      </c>
      <c r="P363" s="17">
        <v>360</v>
      </c>
      <c r="Q363" s="17">
        <v>621</v>
      </c>
      <c r="R363" s="17">
        <v>0</v>
      </c>
      <c r="S363" s="17"/>
      <c r="T363" s="17" t="s">
        <v>2972</v>
      </c>
      <c r="U363" s="17" t="s">
        <v>3057</v>
      </c>
      <c r="V363" s="17" t="s">
        <v>3058</v>
      </c>
      <c r="W363" s="17"/>
      <c r="X363" s="17"/>
    </row>
    <row r="364" spans="1:24" hidden="1">
      <c r="A364" s="18">
        <v>363</v>
      </c>
      <c r="B364" s="17" t="s">
        <v>524</v>
      </c>
      <c r="C364" s="17" t="s">
        <v>525</v>
      </c>
      <c r="D364" s="17" t="s">
        <v>7</v>
      </c>
      <c r="E364" s="17" t="s">
        <v>8</v>
      </c>
      <c r="F364" s="17">
        <v>816</v>
      </c>
      <c r="G364" s="17">
        <v>0</v>
      </c>
      <c r="H364" s="17">
        <v>0</v>
      </c>
      <c r="I364" s="17">
        <v>816</v>
      </c>
      <c r="J364" s="17">
        <v>0</v>
      </c>
      <c r="K364" s="17">
        <v>0</v>
      </c>
      <c r="L364" s="17">
        <v>816</v>
      </c>
      <c r="M364" s="17">
        <v>0</v>
      </c>
      <c r="N364" s="17">
        <v>0</v>
      </c>
      <c r="O364" s="17">
        <v>816</v>
      </c>
      <c r="P364" s="17">
        <v>360</v>
      </c>
      <c r="Q364" s="17">
        <v>456</v>
      </c>
      <c r="R364" s="17">
        <v>0</v>
      </c>
      <c r="S364" s="17"/>
      <c r="T364" s="17" t="s">
        <v>2972</v>
      </c>
      <c r="U364" s="17" t="s">
        <v>3057</v>
      </c>
      <c r="V364" s="17" t="s">
        <v>3058</v>
      </c>
      <c r="W364" s="17"/>
      <c r="X364" s="17"/>
    </row>
    <row r="365" spans="1:24" hidden="1">
      <c r="A365" s="18">
        <v>364</v>
      </c>
      <c r="B365" s="17" t="s">
        <v>526</v>
      </c>
      <c r="C365" s="17" t="s">
        <v>527</v>
      </c>
      <c r="D365" s="17" t="s">
        <v>17</v>
      </c>
      <c r="E365" s="17" t="s">
        <v>8</v>
      </c>
      <c r="F365" s="17">
        <v>1040</v>
      </c>
      <c r="G365" s="17">
        <v>0</v>
      </c>
      <c r="H365" s="17">
        <v>360</v>
      </c>
      <c r="I365" s="17">
        <v>680</v>
      </c>
      <c r="J365" s="17">
        <v>0</v>
      </c>
      <c r="K365" s="17">
        <v>0</v>
      </c>
      <c r="L365" s="17">
        <v>680</v>
      </c>
      <c r="M365" s="17">
        <v>0</v>
      </c>
      <c r="N365" s="17">
        <v>0</v>
      </c>
      <c r="O365" s="17">
        <v>680</v>
      </c>
      <c r="P365" s="17">
        <v>400</v>
      </c>
      <c r="Q365" s="17">
        <v>280</v>
      </c>
      <c r="R365" s="17">
        <v>0</v>
      </c>
      <c r="S365" s="17"/>
      <c r="T365" s="17" t="s">
        <v>2972</v>
      </c>
      <c r="U365" s="17" t="s">
        <v>3057</v>
      </c>
      <c r="V365" s="17" t="s">
        <v>3058</v>
      </c>
      <c r="W365" s="17"/>
      <c r="X365" s="17"/>
    </row>
    <row r="366" spans="1:24" hidden="1">
      <c r="A366" s="18">
        <v>365</v>
      </c>
      <c r="B366" s="17" t="s">
        <v>530</v>
      </c>
      <c r="C366" s="17" t="s">
        <v>531</v>
      </c>
      <c r="D366" s="17" t="s">
        <v>17</v>
      </c>
      <c r="E366" s="17" t="s">
        <v>8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/>
      <c r="T366" s="17" t="s">
        <v>2972</v>
      </c>
      <c r="U366" s="17" t="s">
        <v>3057</v>
      </c>
      <c r="V366" s="17" t="s">
        <v>3056</v>
      </c>
      <c r="W366" s="17"/>
      <c r="X366" s="17"/>
    </row>
    <row r="367" spans="1:24" hidden="1">
      <c r="A367" s="18">
        <v>366</v>
      </c>
      <c r="B367" s="17" t="s">
        <v>541</v>
      </c>
      <c r="C367" s="17" t="s">
        <v>542</v>
      </c>
      <c r="D367" s="17" t="s">
        <v>7</v>
      </c>
      <c r="E367" s="17" t="s">
        <v>8</v>
      </c>
      <c r="F367" s="17">
        <v>800</v>
      </c>
      <c r="G367" s="17">
        <v>0</v>
      </c>
      <c r="H367" s="17">
        <v>300</v>
      </c>
      <c r="I367" s="17">
        <v>500</v>
      </c>
      <c r="J367" s="17">
        <v>0</v>
      </c>
      <c r="K367" s="17">
        <v>0</v>
      </c>
      <c r="L367" s="17">
        <v>500</v>
      </c>
      <c r="M367" s="17">
        <v>0</v>
      </c>
      <c r="N367" s="17">
        <v>0</v>
      </c>
      <c r="O367" s="17">
        <v>500</v>
      </c>
      <c r="P367" s="17">
        <v>500</v>
      </c>
      <c r="Q367" s="17">
        <v>0</v>
      </c>
      <c r="R367" s="17">
        <v>0</v>
      </c>
      <c r="S367" s="17"/>
      <c r="T367" s="17" t="s">
        <v>2972</v>
      </c>
      <c r="U367" s="17" t="s">
        <v>3057</v>
      </c>
      <c r="V367" s="17" t="s">
        <v>3056</v>
      </c>
      <c r="W367" s="17"/>
      <c r="X367" s="17"/>
    </row>
    <row r="368" spans="1:24" hidden="1">
      <c r="A368" s="18">
        <v>367</v>
      </c>
      <c r="B368" s="17" t="s">
        <v>543</v>
      </c>
      <c r="C368" s="17" t="s">
        <v>544</v>
      </c>
      <c r="D368" s="17" t="s">
        <v>17</v>
      </c>
      <c r="E368" s="17" t="s">
        <v>8</v>
      </c>
      <c r="F368" s="17">
        <v>164935</v>
      </c>
      <c r="G368" s="17">
        <v>0</v>
      </c>
      <c r="H368" s="17">
        <v>11360</v>
      </c>
      <c r="I368" s="17">
        <v>153575</v>
      </c>
      <c r="J368" s="17">
        <v>0</v>
      </c>
      <c r="K368" s="17">
        <v>0</v>
      </c>
      <c r="L368" s="17">
        <v>153575</v>
      </c>
      <c r="M368" s="17">
        <v>0</v>
      </c>
      <c r="N368" s="17">
        <v>0</v>
      </c>
      <c r="O368" s="17">
        <v>153575</v>
      </c>
      <c r="P368" s="17">
        <v>10000</v>
      </c>
      <c r="Q368" s="17">
        <v>143575</v>
      </c>
      <c r="R368" s="17">
        <v>0</v>
      </c>
      <c r="S368" s="17"/>
      <c r="T368" s="17" t="s">
        <v>2972</v>
      </c>
      <c r="U368" s="17" t="s">
        <v>3057</v>
      </c>
      <c r="V368" s="17" t="s">
        <v>3056</v>
      </c>
      <c r="W368" s="17"/>
      <c r="X368" s="17"/>
    </row>
    <row r="369" spans="1:24" hidden="1">
      <c r="A369" s="18">
        <v>368</v>
      </c>
      <c r="B369" s="17" t="s">
        <v>878</v>
      </c>
      <c r="C369" s="17" t="s">
        <v>879</v>
      </c>
      <c r="D369" s="17" t="s">
        <v>17</v>
      </c>
      <c r="E369" s="17" t="s">
        <v>8</v>
      </c>
      <c r="F369" s="17">
        <v>34</v>
      </c>
      <c r="G369" s="17">
        <v>0</v>
      </c>
      <c r="H369" s="17">
        <v>0</v>
      </c>
      <c r="I369" s="17">
        <v>34</v>
      </c>
      <c r="J369" s="17">
        <v>0</v>
      </c>
      <c r="K369" s="17">
        <v>0</v>
      </c>
      <c r="L369" s="17">
        <v>34</v>
      </c>
      <c r="M369" s="17">
        <v>0</v>
      </c>
      <c r="N369" s="17">
        <v>0</v>
      </c>
      <c r="O369" s="17">
        <v>34</v>
      </c>
      <c r="P369" s="17">
        <v>0</v>
      </c>
      <c r="Q369" s="17">
        <v>34</v>
      </c>
      <c r="R369" s="17">
        <v>0</v>
      </c>
      <c r="S369" s="17"/>
      <c r="T369" s="17" t="s">
        <v>3006</v>
      </c>
      <c r="U369" s="17" t="s">
        <v>3060</v>
      </c>
      <c r="V369" s="17" t="s">
        <v>3058</v>
      </c>
      <c r="W369" s="17"/>
      <c r="X369" s="17"/>
    </row>
    <row r="370" spans="1:24" hidden="1">
      <c r="A370" s="18">
        <v>369</v>
      </c>
      <c r="B370" s="17" t="s">
        <v>880</v>
      </c>
      <c r="C370" s="17" t="s">
        <v>881</v>
      </c>
      <c r="D370" s="17" t="s">
        <v>7</v>
      </c>
      <c r="E370" s="17" t="s">
        <v>8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/>
      <c r="T370" s="17" t="s">
        <v>2972</v>
      </c>
      <c r="U370" s="17" t="s">
        <v>3060</v>
      </c>
      <c r="V370" s="17" t="s">
        <v>3058</v>
      </c>
      <c r="W370" s="17"/>
      <c r="X370" s="17"/>
    </row>
    <row r="371" spans="1:24" hidden="1">
      <c r="A371" s="18">
        <v>370</v>
      </c>
      <c r="B371" s="17" t="s">
        <v>882</v>
      </c>
      <c r="C371" s="17" t="s">
        <v>883</v>
      </c>
      <c r="D371" s="17" t="s">
        <v>17</v>
      </c>
      <c r="E371" s="17" t="s">
        <v>8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/>
      <c r="T371" s="17" t="s">
        <v>2982</v>
      </c>
      <c r="U371" s="17" t="s">
        <v>3060</v>
      </c>
      <c r="V371" s="17" t="s">
        <v>3058</v>
      </c>
      <c r="W371" s="17"/>
      <c r="X371" s="17"/>
    </row>
    <row r="372" spans="1:24" hidden="1">
      <c r="A372" s="18">
        <v>371</v>
      </c>
      <c r="B372" s="17" t="s">
        <v>545</v>
      </c>
      <c r="C372" s="17" t="s">
        <v>546</v>
      </c>
      <c r="D372" s="17" t="s">
        <v>7</v>
      </c>
      <c r="E372" s="17" t="s">
        <v>8</v>
      </c>
      <c r="F372" s="17">
        <v>9000</v>
      </c>
      <c r="G372" s="17">
        <v>0</v>
      </c>
      <c r="H372" s="17">
        <v>0</v>
      </c>
      <c r="I372" s="17">
        <v>9000</v>
      </c>
      <c r="J372" s="17">
        <v>0</v>
      </c>
      <c r="K372" s="17">
        <v>0</v>
      </c>
      <c r="L372" s="17">
        <v>9000</v>
      </c>
      <c r="M372" s="17">
        <v>0</v>
      </c>
      <c r="N372" s="17">
        <v>0</v>
      </c>
      <c r="O372" s="17">
        <v>9000</v>
      </c>
      <c r="P372" s="17">
        <v>4800</v>
      </c>
      <c r="Q372" s="17">
        <v>4200</v>
      </c>
      <c r="R372" s="17">
        <v>0</v>
      </c>
      <c r="S372" s="17"/>
      <c r="T372" s="17" t="s">
        <v>2972</v>
      </c>
      <c r="U372" s="17" t="s">
        <v>3057</v>
      </c>
      <c r="V372" s="17" t="s">
        <v>3056</v>
      </c>
      <c r="W372" s="17"/>
      <c r="X372" s="17"/>
    </row>
    <row r="373" spans="1:24" hidden="1">
      <c r="A373" s="18">
        <v>372</v>
      </c>
      <c r="B373" s="17" t="s">
        <v>547</v>
      </c>
      <c r="C373" s="17" t="s">
        <v>548</v>
      </c>
      <c r="D373" s="17" t="s">
        <v>17</v>
      </c>
      <c r="E373" s="17" t="s">
        <v>8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/>
      <c r="T373" s="17" t="s">
        <v>2972</v>
      </c>
      <c r="U373" s="17" t="s">
        <v>3057</v>
      </c>
      <c r="V373" s="17" t="s">
        <v>3056</v>
      </c>
      <c r="W373" s="17"/>
      <c r="X373" s="17"/>
    </row>
    <row r="374" spans="1:24" hidden="1">
      <c r="A374" s="18">
        <v>373</v>
      </c>
      <c r="B374" s="17" t="s">
        <v>549</v>
      </c>
      <c r="C374" s="17" t="s">
        <v>550</v>
      </c>
      <c r="D374" s="17" t="s">
        <v>17</v>
      </c>
      <c r="E374" s="17" t="s">
        <v>8</v>
      </c>
      <c r="F374" s="17">
        <v>0</v>
      </c>
      <c r="G374" s="17">
        <v>0</v>
      </c>
      <c r="H374" s="17">
        <v>0</v>
      </c>
      <c r="I374" s="17">
        <v>0</v>
      </c>
      <c r="J374" s="17">
        <v>0</v>
      </c>
      <c r="K374" s="17">
        <v>0</v>
      </c>
      <c r="L374" s="17">
        <v>0</v>
      </c>
      <c r="M374" s="17">
        <v>0</v>
      </c>
      <c r="N374" s="17">
        <v>0</v>
      </c>
      <c r="O374" s="17">
        <v>0</v>
      </c>
      <c r="P374" s="17">
        <v>0</v>
      </c>
      <c r="Q374" s="17">
        <v>0</v>
      </c>
      <c r="R374" s="17">
        <v>0</v>
      </c>
      <c r="S374" s="17"/>
      <c r="T374" s="17" t="s">
        <v>2972</v>
      </c>
      <c r="U374" s="17" t="s">
        <v>3057</v>
      </c>
      <c r="V374" s="17" t="s">
        <v>3056</v>
      </c>
      <c r="W374" s="17"/>
      <c r="X374" s="17"/>
    </row>
    <row r="375" spans="1:24" hidden="1">
      <c r="A375" s="18">
        <v>374</v>
      </c>
      <c r="B375" s="17" t="s">
        <v>551</v>
      </c>
      <c r="C375" s="17" t="s">
        <v>552</v>
      </c>
      <c r="D375" s="17" t="s">
        <v>17</v>
      </c>
      <c r="E375" s="17" t="s">
        <v>8</v>
      </c>
      <c r="F375" s="17">
        <v>0</v>
      </c>
      <c r="G375" s="17">
        <v>0</v>
      </c>
      <c r="H375" s="17">
        <v>0</v>
      </c>
      <c r="I375" s="17">
        <v>0</v>
      </c>
      <c r="J375" s="17">
        <v>0</v>
      </c>
      <c r="K375" s="17">
        <v>0</v>
      </c>
      <c r="L375" s="17">
        <v>0</v>
      </c>
      <c r="M375" s="17">
        <v>0</v>
      </c>
      <c r="N375" s="17">
        <v>0</v>
      </c>
      <c r="O375" s="17">
        <v>0</v>
      </c>
      <c r="P375" s="17">
        <v>0</v>
      </c>
      <c r="Q375" s="17">
        <v>0</v>
      </c>
      <c r="R375" s="17">
        <v>0</v>
      </c>
      <c r="S375" s="17"/>
      <c r="T375" s="17" t="s">
        <v>2972</v>
      </c>
      <c r="U375" s="17" t="s">
        <v>3057</v>
      </c>
      <c r="V375" s="17" t="s">
        <v>3056</v>
      </c>
      <c r="W375" s="17"/>
      <c r="X375" s="17"/>
    </row>
    <row r="376" spans="1:24" hidden="1">
      <c r="A376" s="18">
        <v>375</v>
      </c>
      <c r="B376" s="17" t="s">
        <v>896</v>
      </c>
      <c r="C376" s="17" t="s">
        <v>897</v>
      </c>
      <c r="D376" s="17" t="s">
        <v>17</v>
      </c>
      <c r="E376" s="17" t="s">
        <v>8</v>
      </c>
      <c r="F376" s="17">
        <v>0</v>
      </c>
      <c r="G376" s="17">
        <v>0</v>
      </c>
      <c r="H376" s="17">
        <v>0</v>
      </c>
      <c r="I376" s="17">
        <v>0</v>
      </c>
      <c r="J376" s="17">
        <v>0</v>
      </c>
      <c r="K376" s="17">
        <v>0</v>
      </c>
      <c r="L376" s="17">
        <v>0</v>
      </c>
      <c r="M376" s="17">
        <v>0</v>
      </c>
      <c r="N376" s="17">
        <v>0</v>
      </c>
      <c r="O376" s="17">
        <v>0</v>
      </c>
      <c r="P376" s="17">
        <v>0</v>
      </c>
      <c r="Q376" s="17">
        <v>0</v>
      </c>
      <c r="R376" s="17">
        <v>0</v>
      </c>
      <c r="S376" s="17"/>
      <c r="T376" s="17" t="s">
        <v>2972</v>
      </c>
      <c r="U376" s="17" t="s">
        <v>3060</v>
      </c>
      <c r="V376" s="17" t="s">
        <v>3058</v>
      </c>
      <c r="W376" s="17"/>
      <c r="X376" s="17"/>
    </row>
    <row r="377" spans="1:24" hidden="1">
      <c r="A377" s="18">
        <v>376</v>
      </c>
      <c r="B377" s="17" t="s">
        <v>553</v>
      </c>
      <c r="C377" s="17" t="s">
        <v>554</v>
      </c>
      <c r="D377" s="17" t="s">
        <v>17</v>
      </c>
      <c r="E377" s="17" t="s">
        <v>8</v>
      </c>
      <c r="F377" s="17">
        <v>2680</v>
      </c>
      <c r="G377" s="17">
        <v>3500</v>
      </c>
      <c r="H377" s="17">
        <v>6180</v>
      </c>
      <c r="I377" s="17">
        <v>0</v>
      </c>
      <c r="J377" s="17">
        <v>0</v>
      </c>
      <c r="K377" s="17">
        <v>0</v>
      </c>
      <c r="L377" s="17">
        <v>0</v>
      </c>
      <c r="M377" s="17">
        <v>2000</v>
      </c>
      <c r="N377" s="17">
        <v>0</v>
      </c>
      <c r="O377" s="17">
        <v>2000</v>
      </c>
      <c r="P377" s="17">
        <v>2000</v>
      </c>
      <c r="Q377" s="17">
        <v>0</v>
      </c>
      <c r="R377" s="17">
        <v>1000</v>
      </c>
      <c r="S377" s="17"/>
      <c r="T377" s="17" t="s">
        <v>2972</v>
      </c>
      <c r="U377" s="17" t="s">
        <v>3057</v>
      </c>
      <c r="V377" s="17" t="s">
        <v>3058</v>
      </c>
      <c r="W377" s="17"/>
      <c r="X377" s="17"/>
    </row>
    <row r="378" spans="1:24" hidden="1">
      <c r="A378" s="18">
        <v>377</v>
      </c>
      <c r="B378" s="17" t="s">
        <v>555</v>
      </c>
      <c r="C378" s="17" t="s">
        <v>556</v>
      </c>
      <c r="D378" s="17" t="s">
        <v>17</v>
      </c>
      <c r="E378" s="17" t="s">
        <v>8</v>
      </c>
      <c r="F378" s="17">
        <v>796</v>
      </c>
      <c r="G378" s="17">
        <v>0</v>
      </c>
      <c r="H378" s="17">
        <v>0</v>
      </c>
      <c r="I378" s="17">
        <v>796</v>
      </c>
      <c r="J378" s="17">
        <v>0</v>
      </c>
      <c r="K378" s="17">
        <v>0</v>
      </c>
      <c r="L378" s="17">
        <v>796</v>
      </c>
      <c r="M378" s="17">
        <v>0</v>
      </c>
      <c r="N378" s="17">
        <v>0</v>
      </c>
      <c r="O378" s="17">
        <v>796</v>
      </c>
      <c r="P378" s="17">
        <v>500</v>
      </c>
      <c r="Q378" s="17">
        <v>296</v>
      </c>
      <c r="R378" s="17">
        <v>0</v>
      </c>
      <c r="S378" s="17"/>
      <c r="T378" s="17" t="s">
        <v>2972</v>
      </c>
      <c r="U378" s="17" t="s">
        <v>3057</v>
      </c>
      <c r="V378" s="17" t="s">
        <v>3058</v>
      </c>
      <c r="W378" s="17"/>
      <c r="X378" s="17"/>
    </row>
    <row r="379" spans="1:24" hidden="1">
      <c r="A379" s="18">
        <v>378</v>
      </c>
      <c r="B379" s="17" t="s">
        <v>902</v>
      </c>
      <c r="C379" s="17" t="s">
        <v>903</v>
      </c>
      <c r="D379" s="17" t="s">
        <v>17</v>
      </c>
      <c r="E379" s="17" t="s">
        <v>8</v>
      </c>
      <c r="F379" s="17">
        <v>500</v>
      </c>
      <c r="G379" s="17">
        <v>0</v>
      </c>
      <c r="H379" s="17">
        <v>0</v>
      </c>
      <c r="I379" s="17">
        <v>500</v>
      </c>
      <c r="J379" s="17">
        <v>0</v>
      </c>
      <c r="K379" s="17">
        <v>0</v>
      </c>
      <c r="L379" s="17">
        <v>500</v>
      </c>
      <c r="M379" s="17">
        <v>0</v>
      </c>
      <c r="N379" s="17">
        <v>0</v>
      </c>
      <c r="O379" s="17">
        <v>500</v>
      </c>
      <c r="P379" s="17">
        <v>250</v>
      </c>
      <c r="Q379" s="17">
        <v>250</v>
      </c>
      <c r="R379" s="17">
        <v>0</v>
      </c>
      <c r="S379" s="17"/>
      <c r="T379" s="17" t="s">
        <v>2991</v>
      </c>
      <c r="U379" s="17" t="s">
        <v>3060</v>
      </c>
      <c r="V379" s="17" t="s">
        <v>3058</v>
      </c>
      <c r="W379" s="17"/>
      <c r="X379" s="17"/>
    </row>
    <row r="380" spans="1:24" hidden="1">
      <c r="A380" s="18">
        <v>379</v>
      </c>
      <c r="B380" s="17" t="s">
        <v>559</v>
      </c>
      <c r="C380" s="17" t="s">
        <v>560</v>
      </c>
      <c r="D380" s="17" t="s">
        <v>17</v>
      </c>
      <c r="E380" s="17" t="s">
        <v>8</v>
      </c>
      <c r="F380" s="17">
        <v>2052</v>
      </c>
      <c r="G380" s="17">
        <v>5897</v>
      </c>
      <c r="H380" s="17">
        <v>5263</v>
      </c>
      <c r="I380" s="17">
        <v>2686</v>
      </c>
      <c r="J380" s="17">
        <v>0</v>
      </c>
      <c r="K380" s="17">
        <v>0</v>
      </c>
      <c r="L380" s="17">
        <v>2686</v>
      </c>
      <c r="M380" s="17">
        <v>0</v>
      </c>
      <c r="N380" s="17">
        <v>0</v>
      </c>
      <c r="O380" s="17">
        <v>2686</v>
      </c>
      <c r="P380" s="17">
        <v>0</v>
      </c>
      <c r="Q380" s="17">
        <v>2686</v>
      </c>
      <c r="R380" s="17">
        <v>0</v>
      </c>
      <c r="S380" s="17"/>
      <c r="T380" s="17" t="s">
        <v>2972</v>
      </c>
      <c r="U380" s="17" t="s">
        <v>3057</v>
      </c>
      <c r="V380" s="17" t="s">
        <v>3056</v>
      </c>
      <c r="W380" s="17"/>
      <c r="X380" s="17"/>
    </row>
    <row r="381" spans="1:24" hidden="1">
      <c r="A381" s="18">
        <v>380</v>
      </c>
      <c r="B381" s="17" t="s">
        <v>561</v>
      </c>
      <c r="C381" s="17" t="s">
        <v>562</v>
      </c>
      <c r="D381" s="17" t="s">
        <v>17</v>
      </c>
      <c r="E381" s="17" t="s">
        <v>8</v>
      </c>
      <c r="F381" s="17">
        <v>3000</v>
      </c>
      <c r="G381" s="17">
        <v>0</v>
      </c>
      <c r="H381" s="17">
        <v>0</v>
      </c>
      <c r="I381" s="17">
        <v>3000</v>
      </c>
      <c r="J381" s="17">
        <v>0</v>
      </c>
      <c r="K381" s="17">
        <v>0</v>
      </c>
      <c r="L381" s="17">
        <v>3000</v>
      </c>
      <c r="M381" s="17">
        <v>0</v>
      </c>
      <c r="N381" s="17">
        <v>0</v>
      </c>
      <c r="O381" s="17">
        <v>3000</v>
      </c>
      <c r="P381" s="17">
        <v>2100</v>
      </c>
      <c r="Q381" s="17">
        <v>900</v>
      </c>
      <c r="R381" s="17">
        <v>0</v>
      </c>
      <c r="S381" s="17"/>
      <c r="T381" s="17" t="s">
        <v>2998</v>
      </c>
      <c r="U381" s="17" t="s">
        <v>3057</v>
      </c>
      <c r="V381" s="17" t="s">
        <v>3056</v>
      </c>
      <c r="W381" s="17"/>
      <c r="X381" s="17"/>
    </row>
    <row r="382" spans="1:24" hidden="1">
      <c r="A382" s="18">
        <v>381</v>
      </c>
      <c r="B382" s="17" t="s">
        <v>908</v>
      </c>
      <c r="C382" s="17" t="s">
        <v>909</v>
      </c>
      <c r="D382" s="17" t="s">
        <v>17</v>
      </c>
      <c r="E382" s="17" t="s">
        <v>8</v>
      </c>
      <c r="F382" s="17">
        <v>127</v>
      </c>
      <c r="G382" s="17">
        <v>0</v>
      </c>
      <c r="H382" s="17">
        <v>0</v>
      </c>
      <c r="I382" s="17">
        <v>127</v>
      </c>
      <c r="J382" s="17">
        <v>0</v>
      </c>
      <c r="K382" s="17">
        <v>0</v>
      </c>
      <c r="L382" s="17">
        <v>127</v>
      </c>
      <c r="M382" s="17">
        <v>0</v>
      </c>
      <c r="N382" s="17">
        <v>0</v>
      </c>
      <c r="O382" s="17">
        <v>127</v>
      </c>
      <c r="P382" s="17">
        <v>70</v>
      </c>
      <c r="Q382" s="17">
        <v>57</v>
      </c>
      <c r="R382" s="17">
        <v>0</v>
      </c>
      <c r="S382" s="17"/>
      <c r="T382" s="17" t="s">
        <v>2972</v>
      </c>
      <c r="U382" s="17" t="s">
        <v>3060</v>
      </c>
      <c r="V382" s="17" t="s">
        <v>3058</v>
      </c>
      <c r="W382" s="17"/>
      <c r="X382" s="17"/>
    </row>
    <row r="383" spans="1:24" hidden="1">
      <c r="A383" s="18">
        <v>382</v>
      </c>
      <c r="B383" s="17" t="s">
        <v>563</v>
      </c>
      <c r="C383" s="17" t="s">
        <v>564</v>
      </c>
      <c r="D383" s="17" t="s">
        <v>17</v>
      </c>
      <c r="E383" s="17" t="s">
        <v>8</v>
      </c>
      <c r="F383" s="17">
        <v>3000</v>
      </c>
      <c r="G383" s="17">
        <v>0</v>
      </c>
      <c r="H383" s="17">
        <v>0</v>
      </c>
      <c r="I383" s="17">
        <v>3000</v>
      </c>
      <c r="J383" s="17">
        <v>0</v>
      </c>
      <c r="K383" s="17">
        <v>0</v>
      </c>
      <c r="L383" s="17">
        <v>3000</v>
      </c>
      <c r="M383" s="17">
        <v>0</v>
      </c>
      <c r="N383" s="17">
        <v>0</v>
      </c>
      <c r="O383" s="17">
        <v>3000</v>
      </c>
      <c r="P383" s="17">
        <v>2100</v>
      </c>
      <c r="Q383" s="17">
        <v>900</v>
      </c>
      <c r="R383" s="17">
        <v>0</v>
      </c>
      <c r="S383" s="17"/>
      <c r="T383" s="17" t="s">
        <v>2998</v>
      </c>
      <c r="U383" s="17" t="s">
        <v>3057</v>
      </c>
      <c r="V383" s="17" t="s">
        <v>3056</v>
      </c>
      <c r="W383" s="17"/>
      <c r="X383" s="17"/>
    </row>
    <row r="384" spans="1:24" hidden="1">
      <c r="A384" s="18">
        <v>383</v>
      </c>
      <c r="B384" s="17" t="s">
        <v>565</v>
      </c>
      <c r="C384" s="17" t="s">
        <v>566</v>
      </c>
      <c r="D384" s="17" t="s">
        <v>17</v>
      </c>
      <c r="E384" s="17" t="s">
        <v>8</v>
      </c>
      <c r="F384" s="17">
        <v>24500</v>
      </c>
      <c r="G384" s="17">
        <v>0</v>
      </c>
      <c r="H384" s="17">
        <v>1000</v>
      </c>
      <c r="I384" s="17">
        <v>23500</v>
      </c>
      <c r="J384" s="17">
        <v>0</v>
      </c>
      <c r="K384" s="17">
        <v>0</v>
      </c>
      <c r="L384" s="17">
        <v>23500</v>
      </c>
      <c r="M384" s="17">
        <v>0</v>
      </c>
      <c r="N384" s="17">
        <v>0</v>
      </c>
      <c r="O384" s="17">
        <v>23500</v>
      </c>
      <c r="P384" s="17">
        <v>2100</v>
      </c>
      <c r="Q384" s="17">
        <v>21400</v>
      </c>
      <c r="R384" s="17">
        <v>0</v>
      </c>
      <c r="S384" s="17"/>
      <c r="T384" s="17" t="s">
        <v>2998</v>
      </c>
      <c r="U384" s="17" t="s">
        <v>3057</v>
      </c>
      <c r="V384" s="17" t="s">
        <v>3056</v>
      </c>
      <c r="W384" s="17"/>
      <c r="X384" s="17"/>
    </row>
    <row r="385" spans="1:24" hidden="1">
      <c r="A385" s="18">
        <v>384</v>
      </c>
      <c r="B385" s="17" t="s">
        <v>567</v>
      </c>
      <c r="C385" s="17" t="s">
        <v>568</v>
      </c>
      <c r="D385" s="17" t="s">
        <v>17</v>
      </c>
      <c r="E385" s="17" t="s">
        <v>8</v>
      </c>
      <c r="F385" s="17">
        <v>7000</v>
      </c>
      <c r="G385" s="17">
        <v>5000</v>
      </c>
      <c r="H385" s="17">
        <v>6000</v>
      </c>
      <c r="I385" s="17">
        <v>6000</v>
      </c>
      <c r="J385" s="17">
        <v>0</v>
      </c>
      <c r="K385" s="17">
        <v>0</v>
      </c>
      <c r="L385" s="17">
        <v>6000</v>
      </c>
      <c r="M385" s="17">
        <v>0</v>
      </c>
      <c r="N385" s="17">
        <v>0</v>
      </c>
      <c r="O385" s="17">
        <v>6000</v>
      </c>
      <c r="P385" s="17">
        <v>4000</v>
      </c>
      <c r="Q385" s="17">
        <v>2000</v>
      </c>
      <c r="R385" s="17">
        <v>5000</v>
      </c>
      <c r="S385" s="17"/>
      <c r="T385" s="17" t="s">
        <v>2998</v>
      </c>
      <c r="U385" s="17" t="s">
        <v>3057</v>
      </c>
      <c r="V385" s="17" t="s">
        <v>3056</v>
      </c>
      <c r="W385" s="17"/>
      <c r="X385" s="17"/>
    </row>
    <row r="386" spans="1:24" hidden="1">
      <c r="A386" s="18">
        <v>385</v>
      </c>
      <c r="B386" s="17" t="s">
        <v>571</v>
      </c>
      <c r="C386" s="17" t="s">
        <v>572</v>
      </c>
      <c r="D386" s="17" t="s">
        <v>17</v>
      </c>
      <c r="E386" s="17" t="s">
        <v>8</v>
      </c>
      <c r="F386" s="17">
        <v>216</v>
      </c>
      <c r="G386" s="17">
        <v>0</v>
      </c>
      <c r="H386" s="17">
        <v>30</v>
      </c>
      <c r="I386" s="17">
        <v>186</v>
      </c>
      <c r="J386" s="17">
        <v>0</v>
      </c>
      <c r="K386" s="17">
        <v>0</v>
      </c>
      <c r="L386" s="17">
        <v>186</v>
      </c>
      <c r="M386" s="17">
        <v>0</v>
      </c>
      <c r="N386" s="17">
        <v>0</v>
      </c>
      <c r="O386" s="17">
        <v>186</v>
      </c>
      <c r="P386" s="17">
        <v>150</v>
      </c>
      <c r="Q386" s="17">
        <v>36</v>
      </c>
      <c r="R386" s="17">
        <v>0</v>
      </c>
      <c r="S386" s="17"/>
      <c r="T386" s="17" t="s">
        <v>2972</v>
      </c>
      <c r="U386" s="17" t="s">
        <v>3057</v>
      </c>
      <c r="V386" s="17" t="s">
        <v>3056</v>
      </c>
      <c r="W386" s="17"/>
      <c r="X386" s="17"/>
    </row>
    <row r="387" spans="1:24" hidden="1">
      <c r="A387" s="18">
        <v>386</v>
      </c>
      <c r="B387" s="17" t="s">
        <v>575</v>
      </c>
      <c r="C387" s="17" t="s">
        <v>576</v>
      </c>
      <c r="D387" s="17" t="s">
        <v>17</v>
      </c>
      <c r="E387" s="17" t="s">
        <v>8</v>
      </c>
      <c r="F387" s="17">
        <v>0</v>
      </c>
      <c r="G387" s="17">
        <v>0</v>
      </c>
      <c r="H387" s="17">
        <v>0</v>
      </c>
      <c r="I387" s="17">
        <v>0</v>
      </c>
      <c r="J387" s="17">
        <v>0</v>
      </c>
      <c r="K387" s="17">
        <v>0</v>
      </c>
      <c r="L387" s="17">
        <v>0</v>
      </c>
      <c r="M387" s="17">
        <v>0</v>
      </c>
      <c r="N387" s="17">
        <v>0</v>
      </c>
      <c r="O387" s="17">
        <v>0</v>
      </c>
      <c r="P387" s="17">
        <v>0</v>
      </c>
      <c r="Q387" s="17">
        <v>0</v>
      </c>
      <c r="R387" s="17">
        <v>0</v>
      </c>
      <c r="S387" s="17"/>
      <c r="T387" s="17" t="s">
        <v>2972</v>
      </c>
      <c r="U387" s="17" t="s">
        <v>3057</v>
      </c>
      <c r="V387" s="17" t="s">
        <v>3056</v>
      </c>
      <c r="W387" s="17"/>
      <c r="X387" s="17"/>
    </row>
    <row r="388" spans="1:24" hidden="1">
      <c r="A388" s="18">
        <v>387</v>
      </c>
      <c r="B388" s="17" t="s">
        <v>579</v>
      </c>
      <c r="C388" s="17" t="s">
        <v>580</v>
      </c>
      <c r="D388" s="17" t="s">
        <v>17</v>
      </c>
      <c r="E388" s="17" t="s">
        <v>8</v>
      </c>
      <c r="F388" s="17">
        <v>0</v>
      </c>
      <c r="G388" s="17">
        <v>0</v>
      </c>
      <c r="H388" s="17">
        <v>0</v>
      </c>
      <c r="I388" s="17">
        <v>0</v>
      </c>
      <c r="J388" s="17">
        <v>0</v>
      </c>
      <c r="K388" s="17">
        <v>0</v>
      </c>
      <c r="L388" s="17">
        <v>0</v>
      </c>
      <c r="M388" s="17">
        <v>0</v>
      </c>
      <c r="N388" s="17">
        <v>0</v>
      </c>
      <c r="O388" s="17">
        <v>0</v>
      </c>
      <c r="P388" s="17">
        <v>0</v>
      </c>
      <c r="Q388" s="17">
        <v>0</v>
      </c>
      <c r="R388" s="17">
        <v>0</v>
      </c>
      <c r="S388" s="17"/>
      <c r="T388" s="17" t="s">
        <v>2972</v>
      </c>
      <c r="U388" s="17" t="s">
        <v>3057</v>
      </c>
      <c r="V388" s="17" t="s">
        <v>3056</v>
      </c>
      <c r="W388" s="17"/>
      <c r="X388" s="17"/>
    </row>
    <row r="389" spans="1:24" hidden="1">
      <c r="A389" s="18">
        <v>388</v>
      </c>
      <c r="B389" s="17" t="s">
        <v>583</v>
      </c>
      <c r="C389" s="17" t="s">
        <v>584</v>
      </c>
      <c r="D389" s="17" t="s">
        <v>17</v>
      </c>
      <c r="E389" s="17" t="s">
        <v>8</v>
      </c>
      <c r="F389" s="17">
        <v>0</v>
      </c>
      <c r="G389" s="17">
        <v>0</v>
      </c>
      <c r="H389" s="17">
        <v>0</v>
      </c>
      <c r="I389" s="17">
        <v>0</v>
      </c>
      <c r="J389" s="17">
        <v>0</v>
      </c>
      <c r="K389" s="17">
        <v>0</v>
      </c>
      <c r="L389" s="17">
        <v>0</v>
      </c>
      <c r="M389" s="17">
        <v>0</v>
      </c>
      <c r="N389" s="17">
        <v>0</v>
      </c>
      <c r="O389" s="17">
        <v>0</v>
      </c>
      <c r="P389" s="17">
        <v>0</v>
      </c>
      <c r="Q389" s="17">
        <v>0</v>
      </c>
      <c r="R389" s="17">
        <v>0</v>
      </c>
      <c r="S389" s="17"/>
      <c r="T389" s="17" t="s">
        <v>2972</v>
      </c>
      <c r="U389" s="17" t="s">
        <v>3057</v>
      </c>
      <c r="V389" s="17" t="s">
        <v>3056</v>
      </c>
      <c r="W389" s="17"/>
      <c r="X389" s="17"/>
    </row>
    <row r="390" spans="1:24" hidden="1">
      <c r="A390" s="18">
        <v>389</v>
      </c>
      <c r="B390" s="17" t="s">
        <v>585</v>
      </c>
      <c r="C390" s="17" t="s">
        <v>586</v>
      </c>
      <c r="D390" s="17" t="s">
        <v>17</v>
      </c>
      <c r="E390" s="17" t="s">
        <v>8</v>
      </c>
      <c r="F390" s="17">
        <v>0</v>
      </c>
      <c r="G390" s="17">
        <v>0</v>
      </c>
      <c r="H390" s="17">
        <v>0</v>
      </c>
      <c r="I390" s="17">
        <v>0</v>
      </c>
      <c r="J390" s="17">
        <v>0</v>
      </c>
      <c r="K390" s="17">
        <v>0</v>
      </c>
      <c r="L390" s="17">
        <v>0</v>
      </c>
      <c r="M390" s="17">
        <v>0</v>
      </c>
      <c r="N390" s="17">
        <v>0</v>
      </c>
      <c r="O390" s="17">
        <v>0</v>
      </c>
      <c r="P390" s="17">
        <v>0</v>
      </c>
      <c r="Q390" s="17">
        <v>0</v>
      </c>
      <c r="R390" s="17">
        <v>0</v>
      </c>
      <c r="S390" s="17"/>
      <c r="T390" s="17" t="s">
        <v>2972</v>
      </c>
      <c r="U390" s="17" t="s">
        <v>3057</v>
      </c>
      <c r="V390" s="17" t="s">
        <v>3056</v>
      </c>
      <c r="W390" s="17"/>
      <c r="X390" s="17"/>
    </row>
    <row r="391" spans="1:24" hidden="1">
      <c r="A391" s="18">
        <v>390</v>
      </c>
      <c r="B391" s="17" t="s">
        <v>587</v>
      </c>
      <c r="C391" s="17" t="s">
        <v>588</v>
      </c>
      <c r="D391" s="17" t="s">
        <v>17</v>
      </c>
      <c r="E391" s="17" t="s">
        <v>8</v>
      </c>
      <c r="F391" s="17">
        <v>507</v>
      </c>
      <c r="G391" s="17">
        <v>0</v>
      </c>
      <c r="H391" s="17">
        <v>0</v>
      </c>
      <c r="I391" s="17">
        <v>507</v>
      </c>
      <c r="J391" s="17">
        <v>0</v>
      </c>
      <c r="K391" s="17">
        <v>0</v>
      </c>
      <c r="L391" s="17">
        <v>507</v>
      </c>
      <c r="M391" s="17">
        <v>0</v>
      </c>
      <c r="N391" s="17">
        <v>0</v>
      </c>
      <c r="O391" s="17">
        <v>507</v>
      </c>
      <c r="P391" s="17">
        <v>250</v>
      </c>
      <c r="Q391" s="17">
        <v>257</v>
      </c>
      <c r="R391" s="17">
        <v>0</v>
      </c>
      <c r="S391" s="17"/>
      <c r="T391" s="17" t="s">
        <v>2972</v>
      </c>
      <c r="U391" s="17" t="s">
        <v>3057</v>
      </c>
      <c r="V391" s="17" t="s">
        <v>3056</v>
      </c>
      <c r="W391" s="17"/>
      <c r="X391" s="17"/>
    </row>
    <row r="392" spans="1:24" hidden="1">
      <c r="A392" s="18">
        <v>391</v>
      </c>
      <c r="B392" s="17" t="s">
        <v>591</v>
      </c>
      <c r="C392" s="17" t="s">
        <v>592</v>
      </c>
      <c r="D392" s="17" t="s">
        <v>17</v>
      </c>
      <c r="E392" s="17" t="s">
        <v>8</v>
      </c>
      <c r="F392" s="17">
        <v>0</v>
      </c>
      <c r="G392" s="17">
        <v>0</v>
      </c>
      <c r="H392" s="17">
        <v>0</v>
      </c>
      <c r="I392" s="17">
        <v>0</v>
      </c>
      <c r="J392" s="17">
        <v>0</v>
      </c>
      <c r="K392" s="17">
        <v>0</v>
      </c>
      <c r="L392" s="17">
        <v>0</v>
      </c>
      <c r="M392" s="17">
        <v>0</v>
      </c>
      <c r="N392" s="17">
        <v>0</v>
      </c>
      <c r="O392" s="17">
        <v>0</v>
      </c>
      <c r="P392" s="17">
        <v>0</v>
      </c>
      <c r="Q392" s="17">
        <v>0</v>
      </c>
      <c r="R392" s="17">
        <v>0</v>
      </c>
      <c r="S392" s="17"/>
      <c r="T392" s="17" t="s">
        <v>2972</v>
      </c>
      <c r="U392" s="17" t="s">
        <v>3057</v>
      </c>
      <c r="V392" s="17" t="s">
        <v>3056</v>
      </c>
      <c r="W392" s="17"/>
      <c r="X392" s="17"/>
    </row>
    <row r="393" spans="1:24" hidden="1">
      <c r="A393" s="18">
        <v>392</v>
      </c>
      <c r="B393" s="17" t="s">
        <v>593</v>
      </c>
      <c r="C393" s="17" t="s">
        <v>594</v>
      </c>
      <c r="D393" s="17" t="s">
        <v>7</v>
      </c>
      <c r="E393" s="17" t="s">
        <v>8</v>
      </c>
      <c r="F393" s="17">
        <v>0</v>
      </c>
      <c r="G393" s="17">
        <v>0</v>
      </c>
      <c r="H393" s="17">
        <v>0</v>
      </c>
      <c r="I393" s="17">
        <v>0</v>
      </c>
      <c r="J393" s="17">
        <v>0</v>
      </c>
      <c r="K393" s="17">
        <v>0</v>
      </c>
      <c r="L393" s="17">
        <v>0</v>
      </c>
      <c r="M393" s="17">
        <v>0</v>
      </c>
      <c r="N393" s="17">
        <v>0</v>
      </c>
      <c r="O393" s="17">
        <v>0</v>
      </c>
      <c r="P393" s="17">
        <v>0</v>
      </c>
      <c r="Q393" s="17">
        <v>0</v>
      </c>
      <c r="R393" s="17">
        <v>0</v>
      </c>
      <c r="S393" s="17"/>
      <c r="T393" s="17" t="s">
        <v>2972</v>
      </c>
      <c r="U393" s="17" t="s">
        <v>3057</v>
      </c>
      <c r="V393" s="17" t="s">
        <v>3056</v>
      </c>
      <c r="W393" s="17"/>
      <c r="X393" s="17"/>
    </row>
    <row r="394" spans="1:24" hidden="1">
      <c r="A394" s="18">
        <v>393</v>
      </c>
      <c r="B394" s="17" t="s">
        <v>595</v>
      </c>
      <c r="C394" s="17" t="s">
        <v>596</v>
      </c>
      <c r="D394" s="17" t="s">
        <v>17</v>
      </c>
      <c r="E394" s="17" t="s">
        <v>8</v>
      </c>
      <c r="F394" s="17">
        <v>0</v>
      </c>
      <c r="G394" s="17">
        <v>0</v>
      </c>
      <c r="H394" s="17">
        <v>0</v>
      </c>
      <c r="I394" s="17">
        <v>0</v>
      </c>
      <c r="J394" s="17">
        <v>0</v>
      </c>
      <c r="K394" s="17">
        <v>0</v>
      </c>
      <c r="L394" s="17">
        <v>0</v>
      </c>
      <c r="M394" s="17">
        <v>0</v>
      </c>
      <c r="N394" s="17">
        <v>0</v>
      </c>
      <c r="O394" s="17">
        <v>0</v>
      </c>
      <c r="P394" s="17">
        <v>0</v>
      </c>
      <c r="Q394" s="17">
        <v>0</v>
      </c>
      <c r="R394" s="17">
        <v>0</v>
      </c>
      <c r="S394" s="17"/>
      <c r="T394" s="17" t="s">
        <v>2972</v>
      </c>
      <c r="U394" s="17" t="s">
        <v>3057</v>
      </c>
      <c r="V394" s="17" t="s">
        <v>3056</v>
      </c>
      <c r="W394" s="17"/>
      <c r="X394" s="17"/>
    </row>
    <row r="395" spans="1:24" hidden="1">
      <c r="A395" s="18">
        <v>394</v>
      </c>
      <c r="B395" s="17" t="s">
        <v>597</v>
      </c>
      <c r="C395" s="17" t="s">
        <v>598</v>
      </c>
      <c r="D395" s="17" t="s">
        <v>17</v>
      </c>
      <c r="E395" s="17" t="s">
        <v>8</v>
      </c>
      <c r="F395" s="17">
        <v>471</v>
      </c>
      <c r="G395" s="17">
        <v>0</v>
      </c>
      <c r="H395" s="17">
        <v>0</v>
      </c>
      <c r="I395" s="17">
        <v>471</v>
      </c>
      <c r="J395" s="17">
        <v>0</v>
      </c>
      <c r="K395" s="17">
        <v>0</v>
      </c>
      <c r="L395" s="17">
        <v>471</v>
      </c>
      <c r="M395" s="17">
        <v>0</v>
      </c>
      <c r="N395" s="17">
        <v>0</v>
      </c>
      <c r="O395" s="17">
        <v>471</v>
      </c>
      <c r="P395" s="17">
        <v>250</v>
      </c>
      <c r="Q395" s="17">
        <v>221</v>
      </c>
      <c r="R395" s="17">
        <v>0</v>
      </c>
      <c r="S395" s="17"/>
      <c r="T395" s="17" t="s">
        <v>2972</v>
      </c>
      <c r="U395" s="17" t="s">
        <v>3057</v>
      </c>
      <c r="V395" s="17" t="s">
        <v>3056</v>
      </c>
      <c r="W395" s="17"/>
      <c r="X395" s="17"/>
    </row>
    <row r="396" spans="1:24" hidden="1">
      <c r="A396" s="18">
        <v>395</v>
      </c>
      <c r="B396" s="17" t="s">
        <v>601</v>
      </c>
      <c r="C396" s="17" t="s">
        <v>602</v>
      </c>
      <c r="D396" s="17" t="s">
        <v>7</v>
      </c>
      <c r="E396" s="17" t="s">
        <v>8</v>
      </c>
      <c r="F396" s="17">
        <v>15000</v>
      </c>
      <c r="G396" s="17">
        <v>0</v>
      </c>
      <c r="H396" s="17">
        <v>0</v>
      </c>
      <c r="I396" s="17">
        <v>15000</v>
      </c>
      <c r="J396" s="17">
        <v>0</v>
      </c>
      <c r="K396" s="17">
        <v>0</v>
      </c>
      <c r="L396" s="17">
        <v>15000</v>
      </c>
      <c r="M396" s="17">
        <v>0</v>
      </c>
      <c r="N396" s="17">
        <v>0</v>
      </c>
      <c r="O396" s="17">
        <v>15000</v>
      </c>
      <c r="P396" s="17">
        <v>10000</v>
      </c>
      <c r="Q396" s="17">
        <v>5000</v>
      </c>
      <c r="R396" s="17">
        <v>0</v>
      </c>
      <c r="S396" s="17"/>
      <c r="T396" s="17" t="s">
        <v>2972</v>
      </c>
      <c r="U396" s="17" t="s">
        <v>3057</v>
      </c>
      <c r="V396" s="17" t="s">
        <v>3056</v>
      </c>
      <c r="W396" s="17"/>
      <c r="X396" s="17"/>
    </row>
    <row r="397" spans="1:24" hidden="1">
      <c r="A397" s="18">
        <v>396</v>
      </c>
      <c r="B397" s="17" t="s">
        <v>938</v>
      </c>
      <c r="C397" s="17" t="s">
        <v>939</v>
      </c>
      <c r="D397" s="17" t="s">
        <v>17</v>
      </c>
      <c r="E397" s="17" t="s">
        <v>8</v>
      </c>
      <c r="F397" s="17">
        <v>94</v>
      </c>
      <c r="G397" s="17">
        <v>0</v>
      </c>
      <c r="H397" s="17">
        <v>0</v>
      </c>
      <c r="I397" s="17">
        <v>94</v>
      </c>
      <c r="J397" s="17">
        <v>0</v>
      </c>
      <c r="K397" s="17">
        <v>0</v>
      </c>
      <c r="L397" s="17">
        <v>94</v>
      </c>
      <c r="M397" s="17">
        <v>0</v>
      </c>
      <c r="N397" s="17">
        <v>0</v>
      </c>
      <c r="O397" s="17">
        <v>94</v>
      </c>
      <c r="P397" s="17">
        <v>70</v>
      </c>
      <c r="Q397" s="17">
        <v>24</v>
      </c>
      <c r="R397" s="17">
        <v>0</v>
      </c>
      <c r="S397" s="17"/>
      <c r="T397" s="17" t="s">
        <v>2982</v>
      </c>
      <c r="U397" s="17" t="s">
        <v>3060</v>
      </c>
      <c r="V397" s="17" t="s">
        <v>3058</v>
      </c>
      <c r="W397" s="17"/>
      <c r="X397" s="17"/>
    </row>
    <row r="398" spans="1:24" s="40" customFormat="1" hidden="1">
      <c r="A398" s="26">
        <v>397</v>
      </c>
      <c r="B398" s="25" t="s">
        <v>942</v>
      </c>
      <c r="C398" s="25" t="s">
        <v>943</v>
      </c>
      <c r="D398" s="25" t="s">
        <v>17</v>
      </c>
      <c r="E398" s="25" t="s">
        <v>8</v>
      </c>
      <c r="F398" s="25">
        <v>0</v>
      </c>
      <c r="G398" s="25">
        <v>100</v>
      </c>
      <c r="H398" s="25">
        <v>56</v>
      </c>
      <c r="I398" s="17">
        <v>44</v>
      </c>
      <c r="J398" s="17">
        <v>0</v>
      </c>
      <c r="K398" s="17">
        <v>0</v>
      </c>
      <c r="L398" s="17">
        <v>44</v>
      </c>
      <c r="M398" s="17">
        <v>0</v>
      </c>
      <c r="N398" s="17">
        <v>0</v>
      </c>
      <c r="O398" s="25">
        <v>44</v>
      </c>
      <c r="P398" s="25">
        <v>100</v>
      </c>
      <c r="Q398" s="25">
        <v>-56</v>
      </c>
      <c r="R398" s="25">
        <v>150</v>
      </c>
      <c r="S398" s="25"/>
      <c r="T398" s="25" t="s">
        <v>2982</v>
      </c>
      <c r="U398" s="25" t="s">
        <v>3060</v>
      </c>
      <c r="V398" s="25" t="s">
        <v>3058</v>
      </c>
      <c r="W398" s="25"/>
      <c r="X398" s="25"/>
    </row>
    <row r="399" spans="1:24" hidden="1">
      <c r="A399" s="18">
        <v>398</v>
      </c>
      <c r="B399" s="17" t="s">
        <v>944</v>
      </c>
      <c r="C399" s="17" t="s">
        <v>945</v>
      </c>
      <c r="D399" s="17" t="s">
        <v>17</v>
      </c>
      <c r="E399" s="17" t="s">
        <v>8</v>
      </c>
      <c r="F399" s="17">
        <v>491</v>
      </c>
      <c r="G399" s="17">
        <v>0</v>
      </c>
      <c r="H399" s="17">
        <v>100</v>
      </c>
      <c r="I399" s="17">
        <v>391</v>
      </c>
      <c r="J399" s="17">
        <v>0</v>
      </c>
      <c r="K399" s="17">
        <v>0</v>
      </c>
      <c r="L399" s="17">
        <v>391</v>
      </c>
      <c r="M399" s="17">
        <v>0</v>
      </c>
      <c r="N399" s="17">
        <v>0</v>
      </c>
      <c r="O399" s="17">
        <v>391</v>
      </c>
      <c r="P399" s="17">
        <v>100</v>
      </c>
      <c r="Q399" s="17">
        <v>291</v>
      </c>
      <c r="R399" s="17">
        <v>0</v>
      </c>
      <c r="S399" s="17"/>
      <c r="T399" s="17" t="s">
        <v>2982</v>
      </c>
      <c r="U399" s="17" t="s">
        <v>3060</v>
      </c>
      <c r="V399" s="17" t="s">
        <v>3058</v>
      </c>
      <c r="W399" s="17"/>
      <c r="X399" s="17"/>
    </row>
    <row r="400" spans="1:24" hidden="1">
      <c r="A400" s="18">
        <v>399</v>
      </c>
      <c r="B400" s="17" t="s">
        <v>946</v>
      </c>
      <c r="C400" s="17" t="s">
        <v>947</v>
      </c>
      <c r="D400" s="17" t="s">
        <v>17</v>
      </c>
      <c r="E400" s="17" t="s">
        <v>8</v>
      </c>
      <c r="F400" s="17">
        <v>0</v>
      </c>
      <c r="G400" s="17">
        <v>0</v>
      </c>
      <c r="H400" s="17">
        <v>0</v>
      </c>
      <c r="I400" s="17">
        <v>0</v>
      </c>
      <c r="J400" s="17">
        <v>0</v>
      </c>
      <c r="K400" s="17">
        <v>0</v>
      </c>
      <c r="L400" s="17">
        <v>0</v>
      </c>
      <c r="M400" s="17">
        <v>0</v>
      </c>
      <c r="N400" s="17">
        <v>0</v>
      </c>
      <c r="O400" s="17">
        <v>0</v>
      </c>
      <c r="P400" s="17">
        <v>0</v>
      </c>
      <c r="Q400" s="17">
        <v>0</v>
      </c>
      <c r="R400" s="17">
        <v>0</v>
      </c>
      <c r="S400" s="17"/>
      <c r="T400" s="17" t="s">
        <v>2982</v>
      </c>
      <c r="U400" s="17" t="s">
        <v>3060</v>
      </c>
      <c r="V400" s="17" t="s">
        <v>3058</v>
      </c>
      <c r="W400" s="17"/>
      <c r="X400" s="17"/>
    </row>
    <row r="401" spans="1:24" hidden="1">
      <c r="A401" s="18">
        <v>400</v>
      </c>
      <c r="B401" s="17" t="s">
        <v>603</v>
      </c>
      <c r="C401" s="17" t="s">
        <v>604</v>
      </c>
      <c r="D401" s="17" t="s">
        <v>17</v>
      </c>
      <c r="E401" s="17" t="s">
        <v>8</v>
      </c>
      <c r="F401" s="17">
        <v>0</v>
      </c>
      <c r="G401" s="17">
        <v>0</v>
      </c>
      <c r="H401" s="17">
        <v>0</v>
      </c>
      <c r="I401" s="17">
        <v>0</v>
      </c>
      <c r="J401" s="17">
        <v>0</v>
      </c>
      <c r="K401" s="17">
        <v>0</v>
      </c>
      <c r="L401" s="17">
        <v>0</v>
      </c>
      <c r="M401" s="17">
        <v>0</v>
      </c>
      <c r="N401" s="17">
        <v>0</v>
      </c>
      <c r="O401" s="17">
        <v>0</v>
      </c>
      <c r="P401" s="17">
        <v>0</v>
      </c>
      <c r="Q401" s="17">
        <v>0</v>
      </c>
      <c r="R401" s="17">
        <v>0</v>
      </c>
      <c r="S401" s="17"/>
      <c r="T401" s="17" t="s">
        <v>2972</v>
      </c>
      <c r="U401" s="17" t="s">
        <v>3057</v>
      </c>
      <c r="V401" s="17" t="s">
        <v>3056</v>
      </c>
      <c r="W401" s="17"/>
      <c r="X401" s="17"/>
    </row>
    <row r="402" spans="1:24" hidden="1">
      <c r="A402" s="18">
        <v>401</v>
      </c>
      <c r="B402" s="17" t="s">
        <v>605</v>
      </c>
      <c r="C402" s="17" t="s">
        <v>606</v>
      </c>
      <c r="D402" s="17" t="s">
        <v>116</v>
      </c>
      <c r="E402" s="17" t="s">
        <v>8</v>
      </c>
      <c r="F402" s="17">
        <v>3</v>
      </c>
      <c r="G402" s="17">
        <v>0</v>
      </c>
      <c r="H402" s="17">
        <v>1</v>
      </c>
      <c r="I402" s="17">
        <v>2</v>
      </c>
      <c r="J402" s="17">
        <v>0</v>
      </c>
      <c r="K402" s="17">
        <v>0</v>
      </c>
      <c r="L402" s="17">
        <v>2</v>
      </c>
      <c r="M402" s="17">
        <v>0</v>
      </c>
      <c r="N402" s="17">
        <v>0</v>
      </c>
      <c r="O402" s="17">
        <v>2</v>
      </c>
      <c r="P402" s="17">
        <v>2</v>
      </c>
      <c r="Q402" s="17">
        <v>0</v>
      </c>
      <c r="R402" s="17">
        <v>0</v>
      </c>
      <c r="S402" s="17"/>
      <c r="T402" s="17" t="s">
        <v>2974</v>
      </c>
      <c r="U402" s="17" t="s">
        <v>3057</v>
      </c>
      <c r="V402" s="17" t="s">
        <v>3056</v>
      </c>
      <c r="W402" s="17"/>
      <c r="X402" s="17"/>
    </row>
    <row r="403" spans="1:24" hidden="1">
      <c r="A403" s="18">
        <v>402</v>
      </c>
      <c r="B403" s="17" t="s">
        <v>607</v>
      </c>
      <c r="C403" s="17" t="s">
        <v>608</v>
      </c>
      <c r="D403" s="17" t="s">
        <v>116</v>
      </c>
      <c r="E403" s="17" t="s">
        <v>8</v>
      </c>
      <c r="F403" s="17">
        <v>3</v>
      </c>
      <c r="G403" s="17">
        <v>0</v>
      </c>
      <c r="H403" s="17">
        <v>0</v>
      </c>
      <c r="I403" s="17">
        <v>3</v>
      </c>
      <c r="J403" s="17">
        <v>0</v>
      </c>
      <c r="K403" s="17">
        <v>0</v>
      </c>
      <c r="L403" s="17">
        <v>3</v>
      </c>
      <c r="M403" s="17">
        <v>0</v>
      </c>
      <c r="N403" s="17">
        <v>0</v>
      </c>
      <c r="O403" s="17">
        <v>3</v>
      </c>
      <c r="P403" s="17">
        <v>2</v>
      </c>
      <c r="Q403" s="17">
        <v>1</v>
      </c>
      <c r="R403" s="17">
        <v>0</v>
      </c>
      <c r="S403" s="17"/>
      <c r="T403" s="17" t="s">
        <v>2974</v>
      </c>
      <c r="U403" s="17" t="s">
        <v>3057</v>
      </c>
      <c r="V403" s="17" t="s">
        <v>3056</v>
      </c>
      <c r="W403" s="17"/>
      <c r="X403" s="17"/>
    </row>
    <row r="404" spans="1:24" hidden="1">
      <c r="A404" s="18">
        <v>403</v>
      </c>
      <c r="B404" s="17" t="s">
        <v>609</v>
      </c>
      <c r="C404" s="17" t="s">
        <v>610</v>
      </c>
      <c r="D404" s="17" t="s">
        <v>116</v>
      </c>
      <c r="E404" s="17" t="s">
        <v>8</v>
      </c>
      <c r="F404" s="17">
        <v>2</v>
      </c>
      <c r="G404" s="17">
        <v>0</v>
      </c>
      <c r="H404" s="17">
        <v>1</v>
      </c>
      <c r="I404" s="17">
        <v>1</v>
      </c>
      <c r="J404" s="17">
        <v>0</v>
      </c>
      <c r="K404" s="17">
        <v>0</v>
      </c>
      <c r="L404" s="17">
        <v>1</v>
      </c>
      <c r="M404" s="17">
        <v>0</v>
      </c>
      <c r="N404" s="17">
        <v>0</v>
      </c>
      <c r="O404" s="17">
        <v>1</v>
      </c>
      <c r="P404" s="17">
        <v>2</v>
      </c>
      <c r="Q404" s="17">
        <v>-1</v>
      </c>
      <c r="R404" s="17">
        <v>0</v>
      </c>
      <c r="S404" s="17"/>
      <c r="T404" s="17" t="s">
        <v>2974</v>
      </c>
      <c r="U404" s="17" t="s">
        <v>3057</v>
      </c>
      <c r="V404" s="17" t="s">
        <v>3056</v>
      </c>
      <c r="W404" s="17"/>
      <c r="X404" s="17"/>
    </row>
    <row r="405" spans="1:24" hidden="1">
      <c r="A405" s="18">
        <v>404</v>
      </c>
      <c r="B405" s="17" t="s">
        <v>611</v>
      </c>
      <c r="C405" s="17" t="s">
        <v>612</v>
      </c>
      <c r="D405" s="17" t="s">
        <v>116</v>
      </c>
      <c r="E405" s="17" t="s">
        <v>8</v>
      </c>
      <c r="F405" s="17">
        <v>3</v>
      </c>
      <c r="G405" s="17">
        <v>2</v>
      </c>
      <c r="H405" s="17">
        <v>1</v>
      </c>
      <c r="I405" s="17">
        <v>4</v>
      </c>
      <c r="J405" s="17">
        <v>0</v>
      </c>
      <c r="K405" s="17">
        <v>0</v>
      </c>
      <c r="L405" s="17">
        <v>4</v>
      </c>
      <c r="M405" s="17">
        <v>0</v>
      </c>
      <c r="N405" s="17">
        <v>0</v>
      </c>
      <c r="O405" s="17">
        <v>4</v>
      </c>
      <c r="P405" s="17">
        <v>3</v>
      </c>
      <c r="Q405" s="17">
        <v>1</v>
      </c>
      <c r="R405" s="17">
        <v>2</v>
      </c>
      <c r="S405" s="17"/>
      <c r="T405" s="17" t="s">
        <v>2974</v>
      </c>
      <c r="U405" s="17" t="s">
        <v>3057</v>
      </c>
      <c r="V405" s="17" t="s">
        <v>3056</v>
      </c>
      <c r="W405" s="17"/>
      <c r="X405" s="17"/>
    </row>
    <row r="406" spans="1:24" hidden="1">
      <c r="A406" s="18">
        <v>405</v>
      </c>
      <c r="B406" s="17" t="s">
        <v>613</v>
      </c>
      <c r="C406" s="17" t="s">
        <v>614</v>
      </c>
      <c r="D406" s="17" t="s">
        <v>17</v>
      </c>
      <c r="E406" s="17" t="s">
        <v>8</v>
      </c>
      <c r="F406" s="17">
        <v>64</v>
      </c>
      <c r="G406" s="17">
        <v>0</v>
      </c>
      <c r="H406" s="17">
        <v>18</v>
      </c>
      <c r="I406" s="17">
        <v>46</v>
      </c>
      <c r="J406" s="17">
        <v>0</v>
      </c>
      <c r="K406" s="17">
        <v>0</v>
      </c>
      <c r="L406" s="17">
        <v>46</v>
      </c>
      <c r="M406" s="17">
        <v>0</v>
      </c>
      <c r="N406" s="17">
        <v>0</v>
      </c>
      <c r="O406" s="17">
        <v>46</v>
      </c>
      <c r="P406" s="17">
        <v>15</v>
      </c>
      <c r="Q406" s="17">
        <v>31</v>
      </c>
      <c r="R406" s="17">
        <v>0</v>
      </c>
      <c r="S406" s="17"/>
      <c r="T406" s="17" t="s">
        <v>2991</v>
      </c>
      <c r="U406" s="17" t="s">
        <v>3057</v>
      </c>
      <c r="V406" s="17" t="s">
        <v>3056</v>
      </c>
      <c r="W406" s="17"/>
      <c r="X406" s="17"/>
    </row>
    <row r="407" spans="1:24" hidden="1">
      <c r="A407" s="18">
        <v>406</v>
      </c>
      <c r="B407" s="17" t="s">
        <v>615</v>
      </c>
      <c r="C407" s="17" t="s">
        <v>616</v>
      </c>
      <c r="D407" s="17" t="s">
        <v>20</v>
      </c>
      <c r="E407" s="17" t="s">
        <v>8</v>
      </c>
      <c r="F407" s="17">
        <v>1211.44</v>
      </c>
      <c r="G407" s="17">
        <v>0</v>
      </c>
      <c r="H407" s="17">
        <v>72.3</v>
      </c>
      <c r="I407" s="17">
        <v>1139.1400000000001</v>
      </c>
      <c r="J407" s="17">
        <v>0</v>
      </c>
      <c r="K407" s="17">
        <v>0</v>
      </c>
      <c r="L407" s="17">
        <v>1139.1400000000001</v>
      </c>
      <c r="M407" s="17">
        <v>0</v>
      </c>
      <c r="N407" s="17">
        <v>0</v>
      </c>
      <c r="O407" s="17">
        <v>1139.1400000000001</v>
      </c>
      <c r="P407" s="17">
        <v>150</v>
      </c>
      <c r="Q407" s="17">
        <v>989.1400000000001</v>
      </c>
      <c r="R407" s="17">
        <v>0</v>
      </c>
      <c r="S407" s="17"/>
      <c r="T407" s="17" t="s">
        <v>2991</v>
      </c>
      <c r="U407" s="17" t="s">
        <v>3057</v>
      </c>
      <c r="V407" s="17" t="s">
        <v>3056</v>
      </c>
      <c r="W407" s="17"/>
      <c r="X407" s="17"/>
    </row>
    <row r="408" spans="1:24" hidden="1">
      <c r="A408" s="18">
        <v>407</v>
      </c>
      <c r="B408" s="17" t="s">
        <v>964</v>
      </c>
      <c r="C408" s="17" t="s">
        <v>965</v>
      </c>
      <c r="D408" s="17" t="s">
        <v>17</v>
      </c>
      <c r="E408" s="17" t="s">
        <v>8</v>
      </c>
      <c r="F408" s="17">
        <v>1000</v>
      </c>
      <c r="G408" s="17">
        <v>0</v>
      </c>
      <c r="H408" s="17">
        <v>0</v>
      </c>
      <c r="I408" s="17">
        <v>1000</v>
      </c>
      <c r="J408" s="17">
        <v>0</v>
      </c>
      <c r="K408" s="17">
        <v>0</v>
      </c>
      <c r="L408" s="17">
        <v>1000</v>
      </c>
      <c r="M408" s="17">
        <v>0</v>
      </c>
      <c r="N408" s="17">
        <v>0</v>
      </c>
      <c r="O408" s="17">
        <v>1000</v>
      </c>
      <c r="P408" s="17">
        <v>250</v>
      </c>
      <c r="Q408" s="17">
        <v>750</v>
      </c>
      <c r="R408" s="17">
        <v>0</v>
      </c>
      <c r="S408" s="17"/>
      <c r="T408" s="17" t="s">
        <v>2991</v>
      </c>
      <c r="U408" s="17" t="s">
        <v>3060</v>
      </c>
      <c r="V408" s="17" t="s">
        <v>3058</v>
      </c>
      <c r="W408" s="17"/>
      <c r="X408" s="17"/>
    </row>
    <row r="409" spans="1:24" hidden="1">
      <c r="A409" s="18">
        <v>408</v>
      </c>
      <c r="B409" s="17" t="s">
        <v>966</v>
      </c>
      <c r="C409" s="17" t="s">
        <v>967</v>
      </c>
      <c r="D409" s="17" t="s">
        <v>17</v>
      </c>
      <c r="E409" s="17" t="s">
        <v>8</v>
      </c>
      <c r="F409" s="17">
        <v>490</v>
      </c>
      <c r="G409" s="17">
        <v>0</v>
      </c>
      <c r="H409" s="17">
        <v>60</v>
      </c>
      <c r="I409" s="17">
        <v>430</v>
      </c>
      <c r="J409" s="17">
        <v>0</v>
      </c>
      <c r="K409" s="17">
        <v>0</v>
      </c>
      <c r="L409" s="17">
        <v>430</v>
      </c>
      <c r="M409" s="17">
        <v>0</v>
      </c>
      <c r="N409" s="17">
        <v>0</v>
      </c>
      <c r="O409" s="17">
        <v>430</v>
      </c>
      <c r="P409" s="17">
        <v>150</v>
      </c>
      <c r="Q409" s="17">
        <v>280</v>
      </c>
      <c r="R409" s="17">
        <v>0</v>
      </c>
      <c r="S409" s="17"/>
      <c r="T409" s="17" t="s">
        <v>3006</v>
      </c>
      <c r="U409" s="17" t="s">
        <v>3060</v>
      </c>
      <c r="V409" s="17" t="s">
        <v>3058</v>
      </c>
      <c r="W409" s="17"/>
      <c r="X409" s="17"/>
    </row>
    <row r="410" spans="1:24" hidden="1">
      <c r="A410" s="18">
        <v>409</v>
      </c>
      <c r="B410" s="17" t="s">
        <v>968</v>
      </c>
      <c r="C410" s="17" t="s">
        <v>969</v>
      </c>
      <c r="D410" s="17" t="s">
        <v>17</v>
      </c>
      <c r="E410" s="17" t="s">
        <v>8</v>
      </c>
      <c r="F410" s="17">
        <v>1756</v>
      </c>
      <c r="G410" s="17">
        <v>199</v>
      </c>
      <c r="H410" s="17">
        <v>468</v>
      </c>
      <c r="I410" s="17">
        <v>1487</v>
      </c>
      <c r="J410" s="17">
        <v>0</v>
      </c>
      <c r="K410" s="17">
        <v>0</v>
      </c>
      <c r="L410" s="17">
        <v>1487</v>
      </c>
      <c r="M410" s="17">
        <v>0</v>
      </c>
      <c r="N410" s="17">
        <v>0</v>
      </c>
      <c r="O410" s="17">
        <v>1487</v>
      </c>
      <c r="P410" s="17">
        <v>750</v>
      </c>
      <c r="Q410" s="17">
        <v>737</v>
      </c>
      <c r="R410" s="17">
        <v>0</v>
      </c>
      <c r="S410" s="17"/>
      <c r="T410" s="17" t="s">
        <v>3006</v>
      </c>
      <c r="U410" s="17" t="s">
        <v>3060</v>
      </c>
      <c r="V410" s="17" t="s">
        <v>3058</v>
      </c>
      <c r="W410" s="17"/>
      <c r="X410" s="17"/>
    </row>
    <row r="411" spans="1:24" hidden="1">
      <c r="A411" s="18">
        <v>410</v>
      </c>
      <c r="B411" s="17" t="s">
        <v>970</v>
      </c>
      <c r="C411" s="17" t="s">
        <v>971</v>
      </c>
      <c r="D411" s="17" t="s">
        <v>17</v>
      </c>
      <c r="E411" s="17" t="s">
        <v>8</v>
      </c>
      <c r="F411" s="17">
        <v>172</v>
      </c>
      <c r="G411" s="17">
        <v>0</v>
      </c>
      <c r="H411" s="17">
        <v>0</v>
      </c>
      <c r="I411" s="17">
        <v>172</v>
      </c>
      <c r="J411" s="17">
        <v>0</v>
      </c>
      <c r="K411" s="17">
        <v>0</v>
      </c>
      <c r="L411" s="17">
        <v>172</v>
      </c>
      <c r="M411" s="17">
        <v>0</v>
      </c>
      <c r="N411" s="17">
        <v>0</v>
      </c>
      <c r="O411" s="17">
        <v>172</v>
      </c>
      <c r="P411" s="17">
        <v>0</v>
      </c>
      <c r="Q411" s="17">
        <v>172</v>
      </c>
      <c r="R411" s="17">
        <v>0</v>
      </c>
      <c r="S411" s="17"/>
      <c r="T411" s="17" t="s">
        <v>2972</v>
      </c>
      <c r="U411" s="17" t="s">
        <v>3060</v>
      </c>
      <c r="V411" s="17" t="s">
        <v>3058</v>
      </c>
      <c r="W411" s="17"/>
      <c r="X411" s="17"/>
    </row>
    <row r="412" spans="1:24" hidden="1">
      <c r="A412" s="18">
        <v>411</v>
      </c>
      <c r="B412" s="17" t="s">
        <v>972</v>
      </c>
      <c r="C412" s="17" t="s">
        <v>973</v>
      </c>
      <c r="D412" s="17" t="s">
        <v>17</v>
      </c>
      <c r="E412" s="17" t="s">
        <v>8</v>
      </c>
      <c r="F412" s="17">
        <v>16613</v>
      </c>
      <c r="G412" s="17">
        <v>0</v>
      </c>
      <c r="H412" s="17">
        <v>0</v>
      </c>
      <c r="I412" s="17">
        <v>16613</v>
      </c>
      <c r="J412" s="17">
        <v>0</v>
      </c>
      <c r="K412" s="17">
        <v>0</v>
      </c>
      <c r="L412" s="17">
        <v>16613</v>
      </c>
      <c r="M412" s="17">
        <v>0</v>
      </c>
      <c r="N412" s="17">
        <v>0</v>
      </c>
      <c r="O412" s="17">
        <v>16613</v>
      </c>
      <c r="P412" s="17">
        <v>5000</v>
      </c>
      <c r="Q412" s="17">
        <v>11613</v>
      </c>
      <c r="R412" s="17">
        <v>0</v>
      </c>
      <c r="S412" s="17"/>
      <c r="T412" s="17" t="s">
        <v>2991</v>
      </c>
      <c r="U412" s="17" t="s">
        <v>3060</v>
      </c>
      <c r="V412" s="17" t="s">
        <v>3058</v>
      </c>
      <c r="W412" s="17"/>
      <c r="X412" s="17"/>
    </row>
    <row r="413" spans="1:24" hidden="1">
      <c r="A413" s="18">
        <v>412</v>
      </c>
      <c r="B413" s="17" t="s">
        <v>617</v>
      </c>
      <c r="C413" s="17" t="s">
        <v>618</v>
      </c>
      <c r="D413" s="17" t="s">
        <v>20</v>
      </c>
      <c r="E413" s="17" t="s">
        <v>8</v>
      </c>
      <c r="F413" s="17">
        <v>214.79</v>
      </c>
      <c r="G413" s="17">
        <v>0</v>
      </c>
      <c r="H413" s="17">
        <v>59.79</v>
      </c>
      <c r="I413" s="17">
        <v>155</v>
      </c>
      <c r="J413" s="17">
        <v>0</v>
      </c>
      <c r="K413" s="17">
        <v>0</v>
      </c>
      <c r="L413" s="17">
        <v>155</v>
      </c>
      <c r="M413" s="17">
        <v>484.33</v>
      </c>
      <c r="N413" s="17">
        <v>0</v>
      </c>
      <c r="O413" s="17">
        <v>639.32999999999993</v>
      </c>
      <c r="P413" s="17">
        <v>250</v>
      </c>
      <c r="Q413" s="17">
        <v>389.32999999999993</v>
      </c>
      <c r="R413" s="17">
        <v>250</v>
      </c>
      <c r="S413" s="17"/>
      <c r="T413" s="17" t="s">
        <v>2991</v>
      </c>
      <c r="U413" s="17" t="s">
        <v>3057</v>
      </c>
      <c r="V413" s="17" t="s">
        <v>3056</v>
      </c>
      <c r="W413" s="17"/>
      <c r="X413" s="17"/>
    </row>
    <row r="414" spans="1:24" hidden="1">
      <c r="A414" s="18">
        <v>413</v>
      </c>
      <c r="B414" s="17" t="s">
        <v>637</v>
      </c>
      <c r="C414" s="17" t="s">
        <v>638</v>
      </c>
      <c r="D414" s="17" t="s">
        <v>17</v>
      </c>
      <c r="E414" s="17" t="s">
        <v>8</v>
      </c>
      <c r="F414" s="17">
        <v>0</v>
      </c>
      <c r="G414" s="17">
        <v>0</v>
      </c>
      <c r="H414" s="17">
        <v>0</v>
      </c>
      <c r="I414" s="17">
        <v>0</v>
      </c>
      <c r="J414" s="17">
        <v>0</v>
      </c>
      <c r="K414" s="17">
        <v>0</v>
      </c>
      <c r="L414" s="17">
        <v>0</v>
      </c>
      <c r="M414" s="17">
        <v>0</v>
      </c>
      <c r="N414" s="17">
        <v>0</v>
      </c>
      <c r="O414" s="17">
        <v>0</v>
      </c>
      <c r="P414" s="17">
        <v>0</v>
      </c>
      <c r="Q414" s="17">
        <v>0</v>
      </c>
      <c r="R414" s="17">
        <v>0</v>
      </c>
      <c r="S414" s="17"/>
      <c r="T414" s="17" t="s">
        <v>2972</v>
      </c>
      <c r="U414" s="17" t="s">
        <v>3057</v>
      </c>
      <c r="V414" s="17" t="s">
        <v>3056</v>
      </c>
      <c r="W414" s="17"/>
      <c r="X414" s="17"/>
    </row>
    <row r="415" spans="1:24" hidden="1">
      <c r="A415" s="18">
        <v>414</v>
      </c>
      <c r="B415" s="17" t="s">
        <v>639</v>
      </c>
      <c r="C415" s="17" t="s">
        <v>640</v>
      </c>
      <c r="D415" s="17" t="s">
        <v>17</v>
      </c>
      <c r="E415" s="17" t="s">
        <v>8</v>
      </c>
      <c r="F415" s="17">
        <v>89</v>
      </c>
      <c r="G415" s="17">
        <v>2</v>
      </c>
      <c r="H415" s="17">
        <v>15</v>
      </c>
      <c r="I415" s="17">
        <v>76</v>
      </c>
      <c r="J415" s="17">
        <v>0</v>
      </c>
      <c r="K415" s="17">
        <v>11</v>
      </c>
      <c r="L415" s="17">
        <v>65</v>
      </c>
      <c r="M415" s="17">
        <v>0</v>
      </c>
      <c r="N415" s="17">
        <v>0</v>
      </c>
      <c r="O415" s="17">
        <v>65</v>
      </c>
      <c r="P415" s="17">
        <v>20</v>
      </c>
      <c r="Q415" s="17">
        <v>45</v>
      </c>
      <c r="R415" s="17">
        <v>0</v>
      </c>
      <c r="S415" s="17"/>
      <c r="T415" s="17" t="s">
        <v>2972</v>
      </c>
      <c r="U415" s="17" t="s">
        <v>3057</v>
      </c>
      <c r="V415" s="17" t="s">
        <v>3056</v>
      </c>
      <c r="W415" s="17"/>
      <c r="X415" s="17"/>
    </row>
    <row r="416" spans="1:24" hidden="1">
      <c r="A416" s="18">
        <v>415</v>
      </c>
      <c r="B416" s="17" t="s">
        <v>980</v>
      </c>
      <c r="C416" s="17" t="s">
        <v>981</v>
      </c>
      <c r="D416" s="17" t="s">
        <v>17</v>
      </c>
      <c r="E416" s="17" t="s">
        <v>8</v>
      </c>
      <c r="F416" s="17">
        <v>2285</v>
      </c>
      <c r="G416" s="17">
        <v>0</v>
      </c>
      <c r="H416" s="17">
        <v>0</v>
      </c>
      <c r="I416" s="17">
        <v>2285</v>
      </c>
      <c r="J416" s="17">
        <v>0</v>
      </c>
      <c r="K416" s="17">
        <v>0</v>
      </c>
      <c r="L416" s="17">
        <v>2285</v>
      </c>
      <c r="M416" s="17">
        <v>0</v>
      </c>
      <c r="N416" s="17">
        <v>0</v>
      </c>
      <c r="O416" s="17">
        <v>2285</v>
      </c>
      <c r="P416" s="17">
        <v>1500</v>
      </c>
      <c r="Q416" s="17">
        <v>785</v>
      </c>
      <c r="R416" s="17">
        <v>0</v>
      </c>
      <c r="S416" s="17"/>
      <c r="T416" s="17" t="s">
        <v>3006</v>
      </c>
      <c r="U416" s="17" t="s">
        <v>3060</v>
      </c>
      <c r="V416" s="17" t="s">
        <v>3061</v>
      </c>
      <c r="W416" s="17"/>
      <c r="X416" s="17"/>
    </row>
    <row r="417" spans="1:24" hidden="1">
      <c r="A417" s="18">
        <v>416</v>
      </c>
      <c r="B417" s="17" t="s">
        <v>838</v>
      </c>
      <c r="C417" s="17" t="s">
        <v>839</v>
      </c>
      <c r="D417" s="17" t="s">
        <v>17</v>
      </c>
      <c r="E417" s="17" t="s">
        <v>8</v>
      </c>
      <c r="F417" s="17">
        <v>2160</v>
      </c>
      <c r="G417" s="17">
        <v>0</v>
      </c>
      <c r="H417" s="17">
        <v>0</v>
      </c>
      <c r="I417" s="17">
        <v>2160</v>
      </c>
      <c r="J417" s="17">
        <v>0</v>
      </c>
      <c r="K417" s="17">
        <v>0</v>
      </c>
      <c r="L417" s="17">
        <v>2160</v>
      </c>
      <c r="M417" s="17">
        <v>0</v>
      </c>
      <c r="N417" s="17">
        <v>0</v>
      </c>
      <c r="O417" s="17">
        <v>2160</v>
      </c>
      <c r="P417" s="17">
        <v>0</v>
      </c>
      <c r="Q417" s="17">
        <v>2160</v>
      </c>
      <c r="R417" s="17">
        <v>0</v>
      </c>
      <c r="S417" s="17"/>
      <c r="T417" s="17" t="s">
        <v>2974</v>
      </c>
      <c r="U417" s="17" t="s">
        <v>3057</v>
      </c>
      <c r="V417" s="17" t="s">
        <v>3058</v>
      </c>
      <c r="W417" s="17"/>
      <c r="X417" s="17"/>
    </row>
    <row r="418" spans="1:24" hidden="1">
      <c r="A418" s="18">
        <v>417</v>
      </c>
      <c r="B418" s="17" t="s">
        <v>984</v>
      </c>
      <c r="C418" s="17" t="s">
        <v>985</v>
      </c>
      <c r="D418" s="17" t="s">
        <v>17</v>
      </c>
      <c r="E418" s="17" t="s">
        <v>8</v>
      </c>
      <c r="F418" s="17">
        <v>820</v>
      </c>
      <c r="G418" s="17">
        <v>0</v>
      </c>
      <c r="H418" s="17">
        <v>4</v>
      </c>
      <c r="I418" s="17">
        <v>816</v>
      </c>
      <c r="J418" s="17">
        <v>0</v>
      </c>
      <c r="K418" s="17">
        <v>0</v>
      </c>
      <c r="L418" s="17">
        <v>816</v>
      </c>
      <c r="M418" s="17">
        <v>0</v>
      </c>
      <c r="N418" s="17">
        <v>0</v>
      </c>
      <c r="O418" s="17">
        <v>816</v>
      </c>
      <c r="P418" s="17">
        <v>500</v>
      </c>
      <c r="Q418" s="17">
        <v>316</v>
      </c>
      <c r="R418" s="17">
        <v>0</v>
      </c>
      <c r="S418" s="17"/>
      <c r="T418" s="17" t="s">
        <v>3006</v>
      </c>
      <c r="U418" s="17" t="s">
        <v>3060</v>
      </c>
      <c r="V418" s="17" t="s">
        <v>3061</v>
      </c>
      <c r="W418" s="17"/>
      <c r="X418" s="17"/>
    </row>
    <row r="419" spans="1:24" hidden="1">
      <c r="A419" s="18">
        <v>418</v>
      </c>
      <c r="B419" s="17" t="s">
        <v>986</v>
      </c>
      <c r="C419" s="17" t="s">
        <v>987</v>
      </c>
      <c r="D419" s="17" t="s">
        <v>17</v>
      </c>
      <c r="E419" s="17" t="s">
        <v>8</v>
      </c>
      <c r="F419" s="17">
        <v>0</v>
      </c>
      <c r="G419" s="17">
        <v>0</v>
      </c>
      <c r="H419" s="17">
        <v>0</v>
      </c>
      <c r="I419" s="17">
        <v>0</v>
      </c>
      <c r="J419" s="17">
        <v>0</v>
      </c>
      <c r="K419" s="17">
        <v>0</v>
      </c>
      <c r="L419" s="17">
        <v>0</v>
      </c>
      <c r="M419" s="17">
        <v>0</v>
      </c>
      <c r="N419" s="17">
        <v>0</v>
      </c>
      <c r="O419" s="17">
        <v>0</v>
      </c>
      <c r="P419" s="17">
        <v>0</v>
      </c>
      <c r="Q419" s="17">
        <v>0</v>
      </c>
      <c r="R419" s="17">
        <v>0</v>
      </c>
      <c r="S419" s="17"/>
      <c r="T419" s="17" t="s">
        <v>3006</v>
      </c>
      <c r="U419" s="17" t="s">
        <v>3060</v>
      </c>
      <c r="V419" s="17" t="s">
        <v>3058</v>
      </c>
      <c r="W419" s="17"/>
      <c r="X419" s="17"/>
    </row>
    <row r="420" spans="1:24" hidden="1">
      <c r="A420" s="18">
        <v>419</v>
      </c>
      <c r="B420" s="17" t="s">
        <v>988</v>
      </c>
      <c r="C420" s="17" t="s">
        <v>989</v>
      </c>
      <c r="D420" s="17" t="s">
        <v>17</v>
      </c>
      <c r="E420" s="17" t="s">
        <v>8</v>
      </c>
      <c r="F420" s="17">
        <v>7</v>
      </c>
      <c r="G420" s="17">
        <v>0</v>
      </c>
      <c r="H420" s="17">
        <v>1</v>
      </c>
      <c r="I420" s="17">
        <v>6</v>
      </c>
      <c r="J420" s="17">
        <v>0</v>
      </c>
      <c r="K420" s="17">
        <v>0</v>
      </c>
      <c r="L420" s="17">
        <v>6</v>
      </c>
      <c r="M420" s="17">
        <v>0</v>
      </c>
      <c r="N420" s="17">
        <v>0</v>
      </c>
      <c r="O420" s="17">
        <v>6</v>
      </c>
      <c r="P420" s="17">
        <v>0</v>
      </c>
      <c r="Q420" s="17">
        <v>6</v>
      </c>
      <c r="R420" s="17">
        <v>0</v>
      </c>
      <c r="S420" s="17"/>
      <c r="T420" s="17" t="s">
        <v>3006</v>
      </c>
      <c r="U420" s="17" t="s">
        <v>3060</v>
      </c>
      <c r="V420" s="17" t="s">
        <v>3058</v>
      </c>
      <c r="W420" s="17"/>
      <c r="X420" s="17"/>
    </row>
    <row r="421" spans="1:24" hidden="1">
      <c r="A421" s="18">
        <v>420</v>
      </c>
      <c r="B421" s="17" t="s">
        <v>990</v>
      </c>
      <c r="C421" s="17" t="s">
        <v>991</v>
      </c>
      <c r="D421" s="17" t="s">
        <v>17</v>
      </c>
      <c r="E421" s="17" t="s">
        <v>8</v>
      </c>
      <c r="F421" s="17">
        <v>390</v>
      </c>
      <c r="G421" s="17">
        <v>0</v>
      </c>
      <c r="H421" s="17">
        <v>0</v>
      </c>
      <c r="I421" s="17">
        <v>390</v>
      </c>
      <c r="J421" s="17">
        <v>0</v>
      </c>
      <c r="K421" s="17">
        <v>0</v>
      </c>
      <c r="L421" s="17">
        <v>390</v>
      </c>
      <c r="M421" s="17">
        <v>0</v>
      </c>
      <c r="N421" s="17">
        <v>0</v>
      </c>
      <c r="O421" s="17">
        <v>390</v>
      </c>
      <c r="P421" s="17">
        <v>0</v>
      </c>
      <c r="Q421" s="17">
        <v>390</v>
      </c>
      <c r="R421" s="17">
        <v>0</v>
      </c>
      <c r="S421" s="17"/>
      <c r="T421" s="17" t="s">
        <v>3006</v>
      </c>
      <c r="U421" s="17" t="s">
        <v>3060</v>
      </c>
      <c r="V421" s="17" t="s">
        <v>3058</v>
      </c>
      <c r="W421" s="17"/>
      <c r="X421" s="17"/>
    </row>
    <row r="422" spans="1:24" hidden="1">
      <c r="A422" s="18">
        <v>421</v>
      </c>
      <c r="B422" s="17" t="s">
        <v>992</v>
      </c>
      <c r="C422" s="17" t="s">
        <v>993</v>
      </c>
      <c r="D422" s="17" t="s">
        <v>17</v>
      </c>
      <c r="E422" s="17" t="s">
        <v>8</v>
      </c>
      <c r="F422" s="17">
        <v>40</v>
      </c>
      <c r="G422" s="17">
        <v>0</v>
      </c>
      <c r="H422" s="17">
        <v>16</v>
      </c>
      <c r="I422" s="17">
        <v>24</v>
      </c>
      <c r="J422" s="17">
        <v>0</v>
      </c>
      <c r="K422" s="17">
        <v>0</v>
      </c>
      <c r="L422" s="17">
        <v>24</v>
      </c>
      <c r="M422" s="17">
        <v>0</v>
      </c>
      <c r="N422" s="17">
        <v>0</v>
      </c>
      <c r="O422" s="17">
        <v>24</v>
      </c>
      <c r="P422" s="17">
        <v>0</v>
      </c>
      <c r="Q422" s="17">
        <v>24</v>
      </c>
      <c r="R422" s="17">
        <v>0</v>
      </c>
      <c r="S422" s="17"/>
      <c r="T422" s="17" t="s">
        <v>3006</v>
      </c>
      <c r="U422" s="17" t="s">
        <v>3060</v>
      </c>
      <c r="V422" s="17" t="s">
        <v>3058</v>
      </c>
      <c r="W422" s="17"/>
      <c r="X422" s="17"/>
    </row>
    <row r="423" spans="1:24" hidden="1">
      <c r="A423" s="18">
        <v>422</v>
      </c>
      <c r="B423" s="17" t="s">
        <v>994</v>
      </c>
      <c r="C423" s="17" t="s">
        <v>995</v>
      </c>
      <c r="D423" s="17" t="s">
        <v>17</v>
      </c>
      <c r="E423" s="17" t="s">
        <v>8</v>
      </c>
      <c r="F423" s="17">
        <v>14</v>
      </c>
      <c r="G423" s="17">
        <v>0</v>
      </c>
      <c r="H423" s="17">
        <v>0</v>
      </c>
      <c r="I423" s="17">
        <v>14</v>
      </c>
      <c r="J423" s="17">
        <v>0</v>
      </c>
      <c r="K423" s="17">
        <v>0</v>
      </c>
      <c r="L423" s="17">
        <v>14</v>
      </c>
      <c r="M423" s="17">
        <v>0</v>
      </c>
      <c r="N423" s="17">
        <v>0</v>
      </c>
      <c r="O423" s="17">
        <v>14</v>
      </c>
      <c r="P423" s="17">
        <v>0</v>
      </c>
      <c r="Q423" s="17">
        <v>14</v>
      </c>
      <c r="R423" s="17">
        <v>0</v>
      </c>
      <c r="S423" s="17"/>
      <c r="T423" s="17" t="s">
        <v>3006</v>
      </c>
      <c r="U423" s="17" t="s">
        <v>3060</v>
      </c>
      <c r="V423" s="17" t="s">
        <v>3058</v>
      </c>
      <c r="W423" s="17"/>
      <c r="X423" s="17"/>
    </row>
    <row r="424" spans="1:24" hidden="1">
      <c r="A424" s="18">
        <v>423</v>
      </c>
      <c r="B424" s="17" t="s">
        <v>996</v>
      </c>
      <c r="C424" s="17" t="s">
        <v>997</v>
      </c>
      <c r="D424" s="17" t="s">
        <v>17</v>
      </c>
      <c r="E424" s="17" t="s">
        <v>8</v>
      </c>
      <c r="F424" s="17">
        <v>58</v>
      </c>
      <c r="G424" s="17">
        <v>0</v>
      </c>
      <c r="H424" s="17">
        <v>0</v>
      </c>
      <c r="I424" s="17">
        <v>58</v>
      </c>
      <c r="J424" s="17">
        <v>0</v>
      </c>
      <c r="K424" s="17">
        <v>0</v>
      </c>
      <c r="L424" s="17">
        <v>58</v>
      </c>
      <c r="M424" s="17">
        <v>0</v>
      </c>
      <c r="N424" s="17">
        <v>0</v>
      </c>
      <c r="O424" s="17">
        <v>58</v>
      </c>
      <c r="P424" s="17">
        <v>0</v>
      </c>
      <c r="Q424" s="17">
        <v>58</v>
      </c>
      <c r="R424" s="17">
        <v>0</v>
      </c>
      <c r="S424" s="17"/>
      <c r="T424" s="17" t="s">
        <v>3006</v>
      </c>
      <c r="U424" s="17" t="s">
        <v>3060</v>
      </c>
      <c r="V424" s="17" t="s">
        <v>3058</v>
      </c>
      <c r="W424" s="17"/>
      <c r="X424" s="17"/>
    </row>
    <row r="425" spans="1:24" hidden="1">
      <c r="A425" s="18">
        <v>424</v>
      </c>
      <c r="B425" s="17" t="s">
        <v>998</v>
      </c>
      <c r="C425" s="17" t="s">
        <v>999</v>
      </c>
      <c r="D425" s="17" t="s">
        <v>17</v>
      </c>
      <c r="E425" s="17" t="s">
        <v>8</v>
      </c>
      <c r="F425" s="17">
        <v>1</v>
      </c>
      <c r="G425" s="17">
        <v>0</v>
      </c>
      <c r="H425" s="17">
        <v>1</v>
      </c>
      <c r="I425" s="17">
        <v>0</v>
      </c>
      <c r="J425" s="17">
        <v>0</v>
      </c>
      <c r="K425" s="17">
        <v>0</v>
      </c>
      <c r="L425" s="17">
        <v>0</v>
      </c>
      <c r="M425" s="17">
        <v>0</v>
      </c>
      <c r="N425" s="17">
        <v>0</v>
      </c>
      <c r="O425" s="17">
        <v>0</v>
      </c>
      <c r="P425" s="17">
        <v>0</v>
      </c>
      <c r="Q425" s="17">
        <v>0</v>
      </c>
      <c r="R425" s="17">
        <v>0</v>
      </c>
      <c r="S425" s="17"/>
      <c r="T425" s="17" t="s">
        <v>3006</v>
      </c>
      <c r="U425" s="17" t="s">
        <v>3060</v>
      </c>
      <c r="V425" s="17" t="s">
        <v>3058</v>
      </c>
      <c r="W425" s="17"/>
      <c r="X425" s="17"/>
    </row>
    <row r="426" spans="1:24" hidden="1">
      <c r="A426" s="18">
        <v>425</v>
      </c>
      <c r="B426" s="17" t="s">
        <v>1000</v>
      </c>
      <c r="C426" s="17" t="s">
        <v>1001</v>
      </c>
      <c r="D426" s="17" t="s">
        <v>17</v>
      </c>
      <c r="E426" s="17" t="s">
        <v>8</v>
      </c>
      <c r="F426" s="17">
        <v>211</v>
      </c>
      <c r="G426" s="17">
        <v>0</v>
      </c>
      <c r="H426" s="17">
        <v>10</v>
      </c>
      <c r="I426" s="17">
        <v>201</v>
      </c>
      <c r="J426" s="17">
        <v>0</v>
      </c>
      <c r="K426" s="17">
        <v>0</v>
      </c>
      <c r="L426" s="17">
        <v>201</v>
      </c>
      <c r="M426" s="17">
        <v>0</v>
      </c>
      <c r="N426" s="17">
        <v>0</v>
      </c>
      <c r="O426" s="17">
        <v>201</v>
      </c>
      <c r="P426" s="17">
        <v>0</v>
      </c>
      <c r="Q426" s="17">
        <v>201</v>
      </c>
      <c r="R426" s="17">
        <v>0</v>
      </c>
      <c r="S426" s="17"/>
      <c r="T426" s="17" t="s">
        <v>3006</v>
      </c>
      <c r="U426" s="17" t="s">
        <v>3060</v>
      </c>
      <c r="V426" s="17" t="s">
        <v>3058</v>
      </c>
      <c r="W426" s="17"/>
      <c r="X426" s="17"/>
    </row>
    <row r="427" spans="1:24" hidden="1">
      <c r="A427" s="18">
        <v>426</v>
      </c>
      <c r="B427" s="17" t="s">
        <v>1002</v>
      </c>
      <c r="C427" s="17" t="s">
        <v>1003</v>
      </c>
      <c r="D427" s="17" t="s">
        <v>17</v>
      </c>
      <c r="E427" s="17" t="s">
        <v>8</v>
      </c>
      <c r="F427" s="17">
        <v>1293</v>
      </c>
      <c r="G427" s="17">
        <v>0</v>
      </c>
      <c r="H427" s="17">
        <v>14</v>
      </c>
      <c r="I427" s="17">
        <v>1279</v>
      </c>
      <c r="J427" s="17">
        <v>0</v>
      </c>
      <c r="K427" s="17">
        <v>0</v>
      </c>
      <c r="L427" s="17">
        <v>1279</v>
      </c>
      <c r="M427" s="17">
        <v>0</v>
      </c>
      <c r="N427" s="17">
        <v>0</v>
      </c>
      <c r="O427" s="17">
        <v>1279</v>
      </c>
      <c r="P427" s="17">
        <v>0</v>
      </c>
      <c r="Q427" s="17">
        <v>1279</v>
      </c>
      <c r="R427" s="17">
        <v>0</v>
      </c>
      <c r="S427" s="17"/>
      <c r="T427" s="17" t="s">
        <v>3006</v>
      </c>
      <c r="U427" s="17" t="s">
        <v>3060</v>
      </c>
      <c r="V427" s="17" t="s">
        <v>3058</v>
      </c>
      <c r="W427" s="17"/>
      <c r="X427" s="17"/>
    </row>
    <row r="428" spans="1:24" hidden="1">
      <c r="A428" s="18">
        <v>427</v>
      </c>
      <c r="B428" s="17" t="s">
        <v>1004</v>
      </c>
      <c r="C428" s="17" t="s">
        <v>1005</v>
      </c>
      <c r="D428" s="17" t="s">
        <v>17</v>
      </c>
      <c r="E428" s="17" t="s">
        <v>8</v>
      </c>
      <c r="F428" s="17">
        <v>385</v>
      </c>
      <c r="G428" s="17">
        <v>0</v>
      </c>
      <c r="H428" s="17">
        <v>20</v>
      </c>
      <c r="I428" s="17">
        <v>365</v>
      </c>
      <c r="J428" s="17">
        <v>0</v>
      </c>
      <c r="K428" s="17">
        <v>0</v>
      </c>
      <c r="L428" s="17">
        <v>365</v>
      </c>
      <c r="M428" s="17">
        <v>0</v>
      </c>
      <c r="N428" s="17">
        <v>0</v>
      </c>
      <c r="O428" s="17">
        <v>365</v>
      </c>
      <c r="P428" s="17">
        <v>0</v>
      </c>
      <c r="Q428" s="17">
        <v>365</v>
      </c>
      <c r="R428" s="17">
        <v>0</v>
      </c>
      <c r="S428" s="17"/>
      <c r="T428" s="17" t="s">
        <v>3006</v>
      </c>
      <c r="U428" s="17" t="s">
        <v>3060</v>
      </c>
      <c r="V428" s="17" t="s">
        <v>3058</v>
      </c>
      <c r="W428" s="17"/>
      <c r="X428" s="17"/>
    </row>
    <row r="429" spans="1:24" hidden="1">
      <c r="A429" s="18">
        <v>428</v>
      </c>
      <c r="B429" s="17" t="s">
        <v>1006</v>
      </c>
      <c r="C429" s="17" t="s">
        <v>1007</v>
      </c>
      <c r="D429" s="17" t="s">
        <v>17</v>
      </c>
      <c r="E429" s="17" t="s">
        <v>8</v>
      </c>
      <c r="F429" s="17">
        <v>8</v>
      </c>
      <c r="G429" s="17">
        <v>0</v>
      </c>
      <c r="H429" s="17">
        <v>0</v>
      </c>
      <c r="I429" s="17">
        <v>8</v>
      </c>
      <c r="J429" s="17">
        <v>0</v>
      </c>
      <c r="K429" s="17">
        <v>0</v>
      </c>
      <c r="L429" s="17">
        <v>8</v>
      </c>
      <c r="M429" s="17">
        <v>0</v>
      </c>
      <c r="N429" s="17">
        <v>0</v>
      </c>
      <c r="O429" s="17">
        <v>8</v>
      </c>
      <c r="P429" s="17">
        <v>0</v>
      </c>
      <c r="Q429" s="17">
        <v>8</v>
      </c>
      <c r="R429" s="17">
        <v>0</v>
      </c>
      <c r="S429" s="17"/>
      <c r="T429" s="17" t="s">
        <v>3006</v>
      </c>
      <c r="U429" s="17" t="s">
        <v>3060</v>
      </c>
      <c r="V429" s="17" t="s">
        <v>3058</v>
      </c>
      <c r="W429" s="17"/>
      <c r="X429" s="17"/>
    </row>
    <row r="430" spans="1:24" hidden="1">
      <c r="A430" s="18">
        <v>429</v>
      </c>
      <c r="B430" s="17" t="s">
        <v>1008</v>
      </c>
      <c r="C430" s="17" t="s">
        <v>1009</v>
      </c>
      <c r="D430" s="17" t="s">
        <v>17</v>
      </c>
      <c r="E430" s="17" t="s">
        <v>8</v>
      </c>
      <c r="F430" s="17">
        <v>157</v>
      </c>
      <c r="G430" s="17">
        <v>0</v>
      </c>
      <c r="H430" s="17">
        <v>0</v>
      </c>
      <c r="I430" s="17">
        <v>157</v>
      </c>
      <c r="J430" s="17">
        <v>0</v>
      </c>
      <c r="K430" s="17">
        <v>0</v>
      </c>
      <c r="L430" s="17">
        <v>157</v>
      </c>
      <c r="M430" s="17">
        <v>0</v>
      </c>
      <c r="N430" s="17">
        <v>0</v>
      </c>
      <c r="O430" s="17">
        <v>157</v>
      </c>
      <c r="P430" s="17">
        <v>0</v>
      </c>
      <c r="Q430" s="17">
        <v>157</v>
      </c>
      <c r="R430" s="17">
        <v>0</v>
      </c>
      <c r="S430" s="17"/>
      <c r="T430" s="17" t="s">
        <v>3006</v>
      </c>
      <c r="U430" s="17" t="s">
        <v>3060</v>
      </c>
      <c r="V430" s="17" t="s">
        <v>3058</v>
      </c>
      <c r="W430" s="17"/>
      <c r="X430" s="17"/>
    </row>
    <row r="431" spans="1:24" hidden="1">
      <c r="A431" s="18">
        <v>430</v>
      </c>
      <c r="B431" s="17" t="s">
        <v>1010</v>
      </c>
      <c r="C431" s="17" t="s">
        <v>1011</v>
      </c>
      <c r="D431" s="17" t="s">
        <v>17</v>
      </c>
      <c r="E431" s="17" t="s">
        <v>8</v>
      </c>
      <c r="F431" s="17">
        <v>345</v>
      </c>
      <c r="G431" s="17">
        <v>0</v>
      </c>
      <c r="H431" s="17">
        <v>0</v>
      </c>
      <c r="I431" s="17">
        <v>345</v>
      </c>
      <c r="J431" s="17">
        <v>0</v>
      </c>
      <c r="K431" s="17">
        <v>0</v>
      </c>
      <c r="L431" s="17">
        <v>345</v>
      </c>
      <c r="M431" s="17">
        <v>0</v>
      </c>
      <c r="N431" s="17">
        <v>0</v>
      </c>
      <c r="O431" s="17">
        <v>345</v>
      </c>
      <c r="P431" s="17">
        <v>0</v>
      </c>
      <c r="Q431" s="17">
        <v>345</v>
      </c>
      <c r="R431" s="17">
        <v>0</v>
      </c>
      <c r="S431" s="17"/>
      <c r="T431" s="17" t="s">
        <v>3006</v>
      </c>
      <c r="U431" s="17" t="s">
        <v>3060</v>
      </c>
      <c r="V431" s="17" t="s">
        <v>3058</v>
      </c>
      <c r="W431" s="17"/>
      <c r="X431" s="17"/>
    </row>
    <row r="432" spans="1:24" hidden="1">
      <c r="A432" s="18">
        <v>431</v>
      </c>
      <c r="B432" s="17" t="s">
        <v>1012</v>
      </c>
      <c r="C432" s="17" t="s">
        <v>1013</v>
      </c>
      <c r="D432" s="17" t="s">
        <v>17</v>
      </c>
      <c r="E432" s="17" t="s">
        <v>8</v>
      </c>
      <c r="F432" s="17">
        <v>538</v>
      </c>
      <c r="G432" s="17">
        <v>0</v>
      </c>
      <c r="H432" s="17">
        <v>33</v>
      </c>
      <c r="I432" s="17">
        <v>505</v>
      </c>
      <c r="J432" s="17">
        <v>0</v>
      </c>
      <c r="K432" s="17">
        <v>0</v>
      </c>
      <c r="L432" s="17">
        <v>505</v>
      </c>
      <c r="M432" s="17">
        <v>0</v>
      </c>
      <c r="N432" s="17">
        <v>0</v>
      </c>
      <c r="O432" s="17">
        <v>505</v>
      </c>
      <c r="P432" s="17">
        <v>0</v>
      </c>
      <c r="Q432" s="17">
        <v>505</v>
      </c>
      <c r="R432" s="17">
        <v>0</v>
      </c>
      <c r="S432" s="17"/>
      <c r="T432" s="17" t="s">
        <v>3006</v>
      </c>
      <c r="U432" s="17" t="s">
        <v>3060</v>
      </c>
      <c r="V432" s="17" t="s">
        <v>3058</v>
      </c>
      <c r="W432" s="17"/>
      <c r="X432" s="17"/>
    </row>
    <row r="433" spans="1:24" hidden="1">
      <c r="A433" s="18">
        <v>432</v>
      </c>
      <c r="B433" s="17" t="s">
        <v>1014</v>
      </c>
      <c r="C433" s="17" t="s">
        <v>1015</v>
      </c>
      <c r="D433" s="17" t="s">
        <v>17</v>
      </c>
      <c r="E433" s="17" t="s">
        <v>8</v>
      </c>
      <c r="F433" s="17">
        <v>559</v>
      </c>
      <c r="G433" s="17">
        <v>0</v>
      </c>
      <c r="H433" s="17">
        <v>54</v>
      </c>
      <c r="I433" s="17">
        <v>505</v>
      </c>
      <c r="J433" s="17">
        <v>0</v>
      </c>
      <c r="K433" s="17">
        <v>0</v>
      </c>
      <c r="L433" s="17">
        <v>505</v>
      </c>
      <c r="M433" s="17">
        <v>0</v>
      </c>
      <c r="N433" s="17">
        <v>0</v>
      </c>
      <c r="O433" s="17">
        <v>505</v>
      </c>
      <c r="P433" s="17">
        <v>0</v>
      </c>
      <c r="Q433" s="17">
        <v>505</v>
      </c>
      <c r="R433" s="17">
        <v>0</v>
      </c>
      <c r="S433" s="17"/>
      <c r="T433" s="17" t="s">
        <v>3006</v>
      </c>
      <c r="U433" s="17" t="s">
        <v>3060</v>
      </c>
      <c r="V433" s="17" t="s">
        <v>3058</v>
      </c>
      <c r="W433" s="17"/>
      <c r="X433" s="17"/>
    </row>
    <row r="434" spans="1:24" hidden="1">
      <c r="A434" s="18">
        <v>433</v>
      </c>
      <c r="B434" s="17" t="s">
        <v>1016</v>
      </c>
      <c r="C434" s="17" t="s">
        <v>1017</v>
      </c>
      <c r="D434" s="17" t="s">
        <v>17</v>
      </c>
      <c r="E434" s="17" t="s">
        <v>8</v>
      </c>
      <c r="F434" s="17">
        <v>24</v>
      </c>
      <c r="G434" s="17">
        <v>0</v>
      </c>
      <c r="H434" s="17">
        <v>0</v>
      </c>
      <c r="I434" s="17">
        <v>24</v>
      </c>
      <c r="J434" s="17">
        <v>0</v>
      </c>
      <c r="K434" s="17">
        <v>0</v>
      </c>
      <c r="L434" s="17">
        <v>24</v>
      </c>
      <c r="M434" s="17">
        <v>0</v>
      </c>
      <c r="N434" s="17">
        <v>0</v>
      </c>
      <c r="O434" s="17">
        <v>24</v>
      </c>
      <c r="P434" s="17">
        <v>0</v>
      </c>
      <c r="Q434" s="17">
        <v>24</v>
      </c>
      <c r="R434" s="17">
        <v>0</v>
      </c>
      <c r="S434" s="17"/>
      <c r="T434" s="17" t="s">
        <v>3006</v>
      </c>
      <c r="U434" s="17" t="s">
        <v>3060</v>
      </c>
      <c r="V434" s="17" t="s">
        <v>3058</v>
      </c>
      <c r="W434" s="17"/>
      <c r="X434" s="17"/>
    </row>
    <row r="435" spans="1:24" hidden="1">
      <c r="A435" s="18">
        <v>434</v>
      </c>
      <c r="B435" s="17" t="s">
        <v>1018</v>
      </c>
      <c r="C435" s="17" t="s">
        <v>1019</v>
      </c>
      <c r="D435" s="17" t="s">
        <v>17</v>
      </c>
      <c r="E435" s="17" t="s">
        <v>8</v>
      </c>
      <c r="F435" s="17">
        <v>4</v>
      </c>
      <c r="G435" s="17">
        <v>0</v>
      </c>
      <c r="H435" s="17">
        <v>0</v>
      </c>
      <c r="I435" s="17">
        <v>4</v>
      </c>
      <c r="J435" s="17">
        <v>0</v>
      </c>
      <c r="K435" s="17">
        <v>0</v>
      </c>
      <c r="L435" s="17">
        <v>4</v>
      </c>
      <c r="M435" s="17">
        <v>0</v>
      </c>
      <c r="N435" s="17">
        <v>0</v>
      </c>
      <c r="O435" s="17">
        <v>4</v>
      </c>
      <c r="P435" s="17">
        <v>0</v>
      </c>
      <c r="Q435" s="17">
        <v>4</v>
      </c>
      <c r="R435" s="17">
        <v>0</v>
      </c>
      <c r="S435" s="17"/>
      <c r="T435" s="17" t="s">
        <v>3006</v>
      </c>
      <c r="U435" s="17" t="s">
        <v>3060</v>
      </c>
      <c r="V435" s="17" t="s">
        <v>3058</v>
      </c>
      <c r="W435" s="17"/>
      <c r="X435" s="17"/>
    </row>
    <row r="436" spans="1:24" hidden="1">
      <c r="A436" s="18">
        <v>435</v>
      </c>
      <c r="B436" s="17" t="s">
        <v>1020</v>
      </c>
      <c r="C436" s="17" t="s">
        <v>1021</v>
      </c>
      <c r="D436" s="17" t="s">
        <v>17</v>
      </c>
      <c r="E436" s="17" t="s">
        <v>8</v>
      </c>
      <c r="F436" s="17">
        <v>0</v>
      </c>
      <c r="G436" s="17">
        <v>0</v>
      </c>
      <c r="H436" s="17">
        <v>0</v>
      </c>
      <c r="I436" s="17">
        <v>0</v>
      </c>
      <c r="J436" s="17">
        <v>0</v>
      </c>
      <c r="K436" s="17">
        <v>0</v>
      </c>
      <c r="L436" s="17">
        <v>0</v>
      </c>
      <c r="M436" s="17">
        <v>0</v>
      </c>
      <c r="N436" s="17">
        <v>0</v>
      </c>
      <c r="O436" s="17">
        <v>0</v>
      </c>
      <c r="P436" s="17">
        <v>0</v>
      </c>
      <c r="Q436" s="17">
        <v>0</v>
      </c>
      <c r="R436" s="17">
        <v>0</v>
      </c>
      <c r="S436" s="17"/>
      <c r="T436" s="17" t="s">
        <v>3006</v>
      </c>
      <c r="U436" s="17" t="s">
        <v>3060</v>
      </c>
      <c r="V436" s="17" t="s">
        <v>3058</v>
      </c>
      <c r="W436" s="17"/>
      <c r="X436" s="17"/>
    </row>
    <row r="437" spans="1:24" hidden="1">
      <c r="A437" s="18">
        <v>436</v>
      </c>
      <c r="B437" s="17" t="s">
        <v>1022</v>
      </c>
      <c r="C437" s="17" t="s">
        <v>1023</v>
      </c>
      <c r="D437" s="17" t="s">
        <v>17</v>
      </c>
      <c r="E437" s="17" t="s">
        <v>8</v>
      </c>
      <c r="F437" s="17">
        <v>3810</v>
      </c>
      <c r="G437" s="17">
        <v>0</v>
      </c>
      <c r="H437" s="17">
        <v>0</v>
      </c>
      <c r="I437" s="17">
        <v>3810</v>
      </c>
      <c r="J437" s="17">
        <v>0</v>
      </c>
      <c r="K437" s="17">
        <v>0</v>
      </c>
      <c r="L437" s="17">
        <v>3810</v>
      </c>
      <c r="M437" s="17">
        <v>0</v>
      </c>
      <c r="N437" s="17">
        <v>0</v>
      </c>
      <c r="O437" s="17">
        <v>3810</v>
      </c>
      <c r="P437" s="17">
        <v>500</v>
      </c>
      <c r="Q437" s="17">
        <v>3310</v>
      </c>
      <c r="R437" s="17">
        <v>0</v>
      </c>
      <c r="S437" s="17"/>
      <c r="T437" s="17" t="s">
        <v>2972</v>
      </c>
      <c r="U437" s="17" t="s">
        <v>3060</v>
      </c>
      <c r="V437" s="17" t="s">
        <v>3058</v>
      </c>
      <c r="W437" s="17"/>
      <c r="X437" s="17"/>
    </row>
    <row r="438" spans="1:24" hidden="1">
      <c r="A438" s="18">
        <v>437</v>
      </c>
      <c r="B438" s="17" t="s">
        <v>1024</v>
      </c>
      <c r="C438" s="17" t="s">
        <v>1025</v>
      </c>
      <c r="D438" s="17" t="s">
        <v>20</v>
      </c>
      <c r="E438" s="17" t="s">
        <v>8</v>
      </c>
      <c r="F438" s="17">
        <v>0</v>
      </c>
      <c r="G438" s="17">
        <v>0</v>
      </c>
      <c r="H438" s="17">
        <v>0</v>
      </c>
      <c r="I438" s="17">
        <v>0</v>
      </c>
      <c r="J438" s="17">
        <v>0</v>
      </c>
      <c r="K438" s="17">
        <v>0</v>
      </c>
      <c r="L438" s="17">
        <v>0</v>
      </c>
      <c r="M438" s="17">
        <v>0</v>
      </c>
      <c r="N438" s="17">
        <v>0</v>
      </c>
      <c r="O438" s="17">
        <v>0</v>
      </c>
      <c r="P438" s="17">
        <v>0</v>
      </c>
      <c r="Q438" s="17">
        <v>0</v>
      </c>
      <c r="R438" s="17">
        <v>0</v>
      </c>
      <c r="S438" s="17"/>
      <c r="T438" s="17" t="s">
        <v>3034</v>
      </c>
      <c r="U438" s="17" t="s">
        <v>3059</v>
      </c>
      <c r="V438" s="17" t="s">
        <v>3056</v>
      </c>
      <c r="W438" s="17"/>
      <c r="X438" s="17"/>
    </row>
    <row r="439" spans="1:24" hidden="1">
      <c r="A439" s="18">
        <v>438</v>
      </c>
      <c r="B439" s="17" t="s">
        <v>1026</v>
      </c>
      <c r="C439" s="17" t="s">
        <v>1027</v>
      </c>
      <c r="D439" s="17" t="s">
        <v>20</v>
      </c>
      <c r="E439" s="17" t="s">
        <v>8</v>
      </c>
      <c r="F439" s="17">
        <v>68523</v>
      </c>
      <c r="G439" s="17">
        <v>65380</v>
      </c>
      <c r="H439" s="17">
        <v>39382</v>
      </c>
      <c r="I439" s="17">
        <v>94521</v>
      </c>
      <c r="J439" s="17">
        <v>0</v>
      </c>
      <c r="K439" s="17">
        <v>0</v>
      </c>
      <c r="L439" s="17">
        <v>94521</v>
      </c>
      <c r="M439" s="17">
        <v>0</v>
      </c>
      <c r="N439" s="17">
        <v>0</v>
      </c>
      <c r="O439" s="17">
        <v>94521</v>
      </c>
      <c r="P439" s="17">
        <v>60000</v>
      </c>
      <c r="Q439" s="17">
        <v>34521</v>
      </c>
      <c r="R439" s="17">
        <v>60000</v>
      </c>
      <c r="S439" s="17"/>
      <c r="T439" s="17" t="s">
        <v>3034</v>
      </c>
      <c r="U439" s="17" t="s">
        <v>3059</v>
      </c>
      <c r="V439" s="17" t="s">
        <v>3056</v>
      </c>
      <c r="W439" s="17"/>
      <c r="X439" s="17"/>
    </row>
    <row r="440" spans="1:24" s="40" customFormat="1" hidden="1">
      <c r="A440" s="26">
        <v>439</v>
      </c>
      <c r="B440" s="25" t="s">
        <v>1028</v>
      </c>
      <c r="C440" s="25" t="s">
        <v>1029</v>
      </c>
      <c r="D440" s="25" t="s">
        <v>20</v>
      </c>
      <c r="E440" s="25" t="s">
        <v>8</v>
      </c>
      <c r="F440" s="25">
        <v>495</v>
      </c>
      <c r="G440" s="25">
        <v>1432</v>
      </c>
      <c r="H440" s="25">
        <v>1160</v>
      </c>
      <c r="I440" s="17">
        <v>767</v>
      </c>
      <c r="J440" s="17">
        <v>0</v>
      </c>
      <c r="K440" s="17">
        <v>0</v>
      </c>
      <c r="L440" s="17">
        <v>767</v>
      </c>
      <c r="M440" s="17">
        <v>0</v>
      </c>
      <c r="N440" s="17">
        <v>0</v>
      </c>
      <c r="O440" s="25">
        <v>767</v>
      </c>
      <c r="P440" s="25">
        <v>10000</v>
      </c>
      <c r="Q440" s="25">
        <v>-9233</v>
      </c>
      <c r="R440" s="25">
        <v>10000</v>
      </c>
      <c r="S440" s="25"/>
      <c r="T440" s="25" t="s">
        <v>3034</v>
      </c>
      <c r="U440" s="25" t="s">
        <v>3059</v>
      </c>
      <c r="V440" s="25" t="s">
        <v>3056</v>
      </c>
      <c r="W440" s="25"/>
      <c r="X440" s="25"/>
    </row>
    <row r="441" spans="1:24" hidden="1">
      <c r="A441" s="18">
        <v>440</v>
      </c>
      <c r="B441" s="17" t="s">
        <v>1030</v>
      </c>
      <c r="C441" s="17" t="s">
        <v>1031</v>
      </c>
      <c r="D441" s="17" t="s">
        <v>20</v>
      </c>
      <c r="E441" s="17" t="s">
        <v>8</v>
      </c>
      <c r="F441" s="17">
        <v>13973.46</v>
      </c>
      <c r="G441" s="17">
        <v>757</v>
      </c>
      <c r="H441" s="17">
        <v>2125.7399999999998</v>
      </c>
      <c r="I441" s="17">
        <v>12604.72</v>
      </c>
      <c r="J441" s="17">
        <v>0</v>
      </c>
      <c r="K441" s="17">
        <v>0</v>
      </c>
      <c r="L441" s="17">
        <v>12604.72</v>
      </c>
      <c r="M441" s="17">
        <v>0</v>
      </c>
      <c r="N441" s="17">
        <v>0</v>
      </c>
      <c r="O441" s="17">
        <v>12604.72</v>
      </c>
      <c r="P441" s="17">
        <v>5000</v>
      </c>
      <c r="Q441" s="17">
        <v>7604.7199999999993</v>
      </c>
      <c r="R441" s="17">
        <v>0</v>
      </c>
      <c r="S441" s="17"/>
      <c r="T441" s="17" t="s">
        <v>3034</v>
      </c>
      <c r="U441" s="17" t="s">
        <v>3059</v>
      </c>
      <c r="V441" s="17" t="s">
        <v>3056</v>
      </c>
      <c r="W441" s="17"/>
      <c r="X441" s="17"/>
    </row>
    <row r="442" spans="1:24" hidden="1">
      <c r="A442" s="18">
        <v>441</v>
      </c>
      <c r="B442" s="17" t="s">
        <v>846</v>
      </c>
      <c r="C442" s="17" t="s">
        <v>847</v>
      </c>
      <c r="D442" s="17" t="s">
        <v>17</v>
      </c>
      <c r="E442" s="17" t="s">
        <v>8</v>
      </c>
      <c r="F442" s="17">
        <v>0</v>
      </c>
      <c r="G442" s="17">
        <v>0</v>
      </c>
      <c r="H442" s="17">
        <v>0</v>
      </c>
      <c r="I442" s="17">
        <v>0</v>
      </c>
      <c r="J442" s="17">
        <v>0</v>
      </c>
      <c r="K442" s="17">
        <v>0</v>
      </c>
      <c r="L442" s="17">
        <v>0</v>
      </c>
      <c r="M442" s="17">
        <v>0</v>
      </c>
      <c r="N442" s="17">
        <v>0</v>
      </c>
      <c r="O442" s="17">
        <v>0</v>
      </c>
      <c r="P442" s="17">
        <v>0</v>
      </c>
      <c r="Q442" s="17">
        <v>0</v>
      </c>
      <c r="R442" s="17">
        <v>0</v>
      </c>
      <c r="S442" s="17"/>
      <c r="T442" s="17" t="s">
        <v>2972</v>
      </c>
      <c r="U442" s="17" t="s">
        <v>3057</v>
      </c>
      <c r="V442" s="17" t="s">
        <v>3056</v>
      </c>
      <c r="W442" s="17"/>
      <c r="X442" s="17"/>
    </row>
    <row r="443" spans="1:24" hidden="1">
      <c r="A443" s="18">
        <v>442</v>
      </c>
      <c r="B443" s="17" t="s">
        <v>864</v>
      </c>
      <c r="C443" s="17" t="s">
        <v>865</v>
      </c>
      <c r="D443" s="17" t="s">
        <v>20</v>
      </c>
      <c r="E443" s="17" t="s">
        <v>8</v>
      </c>
      <c r="F443" s="17">
        <v>0</v>
      </c>
      <c r="G443" s="17">
        <v>10</v>
      </c>
      <c r="H443" s="17">
        <v>0</v>
      </c>
      <c r="I443" s="17">
        <v>10</v>
      </c>
      <c r="J443" s="17">
        <v>0</v>
      </c>
      <c r="K443" s="17">
        <v>0</v>
      </c>
      <c r="L443" s="17">
        <v>10</v>
      </c>
      <c r="M443" s="17">
        <v>0</v>
      </c>
      <c r="N443" s="17">
        <v>0</v>
      </c>
      <c r="O443" s="17">
        <v>10</v>
      </c>
      <c r="P443" s="17">
        <v>10</v>
      </c>
      <c r="Q443" s="17">
        <v>0</v>
      </c>
      <c r="R443" s="17">
        <v>10</v>
      </c>
      <c r="S443" s="17"/>
      <c r="T443" s="17" t="s">
        <v>2991</v>
      </c>
      <c r="U443" s="17" t="s">
        <v>3057</v>
      </c>
      <c r="V443" s="17" t="s">
        <v>3056</v>
      </c>
      <c r="W443" s="17"/>
      <c r="X443" s="17"/>
    </row>
    <row r="444" spans="1:24" hidden="1">
      <c r="A444" s="18">
        <v>443</v>
      </c>
      <c r="B444" s="17" t="s">
        <v>866</v>
      </c>
      <c r="C444" s="17" t="s">
        <v>867</v>
      </c>
      <c r="D444" s="17" t="s">
        <v>17</v>
      </c>
      <c r="E444" s="17" t="s">
        <v>8</v>
      </c>
      <c r="F444" s="17">
        <v>1700</v>
      </c>
      <c r="G444" s="17">
        <v>0</v>
      </c>
      <c r="H444" s="17">
        <v>0</v>
      </c>
      <c r="I444" s="17">
        <v>1700</v>
      </c>
      <c r="J444" s="17">
        <v>0</v>
      </c>
      <c r="K444" s="17">
        <v>0</v>
      </c>
      <c r="L444" s="17">
        <v>1700</v>
      </c>
      <c r="M444" s="17">
        <v>0</v>
      </c>
      <c r="N444" s="17">
        <v>0</v>
      </c>
      <c r="O444" s="17">
        <v>1700</v>
      </c>
      <c r="P444" s="17">
        <v>1500</v>
      </c>
      <c r="Q444" s="17">
        <v>200</v>
      </c>
      <c r="R444" s="17">
        <v>0</v>
      </c>
      <c r="S444" s="17"/>
      <c r="T444" s="17" t="s">
        <v>2972</v>
      </c>
      <c r="U444" s="17" t="s">
        <v>3057</v>
      </c>
      <c r="V444" s="17" t="s">
        <v>3056</v>
      </c>
      <c r="W444" s="17"/>
      <c r="X444" s="17"/>
    </row>
    <row r="445" spans="1:24" hidden="1">
      <c r="A445" s="18">
        <v>444</v>
      </c>
      <c r="B445" s="17" t="s">
        <v>870</v>
      </c>
      <c r="C445" s="17" t="s">
        <v>871</v>
      </c>
      <c r="D445" s="17" t="s">
        <v>17</v>
      </c>
      <c r="E445" s="17" t="s">
        <v>8</v>
      </c>
      <c r="F445" s="17">
        <v>150</v>
      </c>
      <c r="G445" s="17">
        <v>450</v>
      </c>
      <c r="H445" s="17">
        <v>0</v>
      </c>
      <c r="I445" s="17">
        <v>600</v>
      </c>
      <c r="J445" s="17">
        <v>0</v>
      </c>
      <c r="K445" s="17">
        <v>0</v>
      </c>
      <c r="L445" s="17">
        <v>600</v>
      </c>
      <c r="M445" s="17">
        <v>0</v>
      </c>
      <c r="N445" s="17">
        <v>0</v>
      </c>
      <c r="O445" s="17">
        <v>600</v>
      </c>
      <c r="P445" s="17">
        <v>250</v>
      </c>
      <c r="Q445" s="17">
        <v>350</v>
      </c>
      <c r="R445" s="17">
        <v>450</v>
      </c>
      <c r="S445" s="17"/>
      <c r="T445" s="17" t="s">
        <v>2974</v>
      </c>
      <c r="U445" s="17" t="s">
        <v>3057</v>
      </c>
      <c r="V445" s="17" t="s">
        <v>3056</v>
      </c>
      <c r="W445" s="17"/>
      <c r="X445" s="17"/>
    </row>
    <row r="446" spans="1:24" hidden="1">
      <c r="A446" s="18">
        <v>445</v>
      </c>
      <c r="B446" s="17" t="s">
        <v>872</v>
      </c>
      <c r="C446" s="17" t="s">
        <v>873</v>
      </c>
      <c r="D446" s="17" t="s">
        <v>17</v>
      </c>
      <c r="E446" s="17" t="s">
        <v>8</v>
      </c>
      <c r="F446" s="17">
        <v>950</v>
      </c>
      <c r="G446" s="17">
        <v>534</v>
      </c>
      <c r="H446" s="17">
        <v>300</v>
      </c>
      <c r="I446" s="17">
        <v>1184</v>
      </c>
      <c r="J446" s="17">
        <v>0</v>
      </c>
      <c r="K446" s="17">
        <v>0</v>
      </c>
      <c r="L446" s="17">
        <v>1184</v>
      </c>
      <c r="M446" s="17">
        <v>0</v>
      </c>
      <c r="N446" s="17">
        <v>0</v>
      </c>
      <c r="O446" s="17">
        <v>1184</v>
      </c>
      <c r="P446" s="17">
        <v>500</v>
      </c>
      <c r="Q446" s="17">
        <v>684</v>
      </c>
      <c r="R446" s="17">
        <v>0</v>
      </c>
      <c r="S446" s="17"/>
      <c r="T446" s="17" t="s">
        <v>3008</v>
      </c>
      <c r="U446" s="17" t="s">
        <v>3057</v>
      </c>
      <c r="V446" s="17" t="s">
        <v>3056</v>
      </c>
      <c r="W446" s="17"/>
      <c r="X446" s="17"/>
    </row>
    <row r="447" spans="1:24" hidden="1">
      <c r="A447" s="18">
        <v>446</v>
      </c>
      <c r="B447" s="17" t="s">
        <v>1044</v>
      </c>
      <c r="C447" s="17" t="s">
        <v>1045</v>
      </c>
      <c r="D447" s="17" t="s">
        <v>17</v>
      </c>
      <c r="E447" s="17" t="s">
        <v>8</v>
      </c>
      <c r="F447" s="17">
        <v>0</v>
      </c>
      <c r="G447" s="17">
        <v>0</v>
      </c>
      <c r="H447" s="17">
        <v>0</v>
      </c>
      <c r="I447" s="17">
        <v>0</v>
      </c>
      <c r="J447" s="17">
        <v>0</v>
      </c>
      <c r="K447" s="17">
        <v>0</v>
      </c>
      <c r="L447" s="17">
        <v>0</v>
      </c>
      <c r="M447" s="17">
        <v>0</v>
      </c>
      <c r="N447" s="17">
        <v>0</v>
      </c>
      <c r="O447" s="17">
        <v>0</v>
      </c>
      <c r="P447" s="17">
        <v>0</v>
      </c>
      <c r="Q447" s="17">
        <v>0</v>
      </c>
      <c r="R447" s="17">
        <v>0</v>
      </c>
      <c r="S447" s="17"/>
      <c r="T447" s="17" t="s">
        <v>2982</v>
      </c>
      <c r="U447" s="17" t="s">
        <v>3060</v>
      </c>
      <c r="V447" s="17" t="s">
        <v>3061</v>
      </c>
      <c r="W447" s="17"/>
      <c r="X447" s="17"/>
    </row>
    <row r="448" spans="1:24" s="40" customFormat="1">
      <c r="A448" s="26">
        <v>447</v>
      </c>
      <c r="B448" s="25" t="s">
        <v>1046</v>
      </c>
      <c r="C448" s="25" t="s">
        <v>1047</v>
      </c>
      <c r="D448" s="25" t="s">
        <v>17</v>
      </c>
      <c r="E448" s="25" t="s">
        <v>8</v>
      </c>
      <c r="F448" s="25">
        <v>228</v>
      </c>
      <c r="G448" s="25">
        <v>0</v>
      </c>
      <c r="H448" s="25">
        <v>108</v>
      </c>
      <c r="I448" s="17">
        <v>120</v>
      </c>
      <c r="J448" s="17">
        <v>0</v>
      </c>
      <c r="K448" s="17">
        <v>0</v>
      </c>
      <c r="L448" s="17">
        <v>120</v>
      </c>
      <c r="M448" s="17">
        <v>0</v>
      </c>
      <c r="N448" s="17">
        <v>0</v>
      </c>
      <c r="O448" s="25">
        <v>120</v>
      </c>
      <c r="P448" s="25">
        <v>200</v>
      </c>
      <c r="Q448" s="25">
        <v>-80</v>
      </c>
      <c r="R448" s="25">
        <v>100</v>
      </c>
      <c r="S448" s="25"/>
      <c r="T448" s="25" t="s">
        <v>2982</v>
      </c>
      <c r="U448" s="25" t="s">
        <v>3060</v>
      </c>
      <c r="V448" s="25" t="s">
        <v>3061</v>
      </c>
      <c r="W448" s="25"/>
      <c r="X448" s="25"/>
    </row>
    <row r="449" spans="1:24" hidden="1">
      <c r="A449" s="18">
        <v>448</v>
      </c>
      <c r="B449" s="17" t="s">
        <v>1048</v>
      </c>
      <c r="C449" s="17" t="s">
        <v>1049</v>
      </c>
      <c r="D449" s="17" t="s">
        <v>17</v>
      </c>
      <c r="E449" s="17" t="s">
        <v>8</v>
      </c>
      <c r="F449" s="17">
        <v>1800</v>
      </c>
      <c r="G449" s="17">
        <v>0</v>
      </c>
      <c r="H449" s="17">
        <v>500</v>
      </c>
      <c r="I449" s="17">
        <v>1300</v>
      </c>
      <c r="J449" s="17">
        <v>0</v>
      </c>
      <c r="K449" s="17">
        <v>0</v>
      </c>
      <c r="L449" s="17">
        <v>1300</v>
      </c>
      <c r="M449" s="17">
        <v>0</v>
      </c>
      <c r="N449" s="17">
        <v>0</v>
      </c>
      <c r="O449" s="17">
        <v>1300</v>
      </c>
      <c r="P449" s="17">
        <v>500</v>
      </c>
      <c r="Q449" s="17">
        <v>800</v>
      </c>
      <c r="R449" s="17">
        <v>0</v>
      </c>
      <c r="S449" s="17"/>
      <c r="T449" s="17" t="s">
        <v>2972</v>
      </c>
      <c r="U449" s="17" t="s">
        <v>3060</v>
      </c>
      <c r="V449" s="17" t="s">
        <v>3058</v>
      </c>
      <c r="W449" s="17"/>
      <c r="X449" s="17"/>
    </row>
    <row r="450" spans="1:24" hidden="1">
      <c r="A450" s="18">
        <v>449</v>
      </c>
      <c r="B450" s="17" t="s">
        <v>874</v>
      </c>
      <c r="C450" s="17" t="s">
        <v>875</v>
      </c>
      <c r="D450" s="17" t="s">
        <v>17</v>
      </c>
      <c r="E450" s="17" t="s">
        <v>8</v>
      </c>
      <c r="F450" s="17">
        <v>23000</v>
      </c>
      <c r="G450" s="17">
        <v>12000</v>
      </c>
      <c r="H450" s="17">
        <v>3000</v>
      </c>
      <c r="I450" s="17">
        <v>32000</v>
      </c>
      <c r="J450" s="17">
        <v>0</v>
      </c>
      <c r="K450" s="17">
        <v>0</v>
      </c>
      <c r="L450" s="17">
        <v>32000</v>
      </c>
      <c r="M450" s="17">
        <v>0</v>
      </c>
      <c r="N450" s="17">
        <v>0</v>
      </c>
      <c r="O450" s="17">
        <v>32000</v>
      </c>
      <c r="P450" s="17">
        <v>15000</v>
      </c>
      <c r="Q450" s="17">
        <v>17000</v>
      </c>
      <c r="R450" s="17">
        <v>12000</v>
      </c>
      <c r="S450" s="17"/>
      <c r="T450" s="17" t="s">
        <v>2972</v>
      </c>
      <c r="U450" s="17" t="s">
        <v>3057</v>
      </c>
      <c r="V450" s="17" t="s">
        <v>3056</v>
      </c>
      <c r="W450" s="17"/>
      <c r="X450" s="17"/>
    </row>
    <row r="451" spans="1:24" hidden="1">
      <c r="A451" s="18">
        <v>450</v>
      </c>
      <c r="B451" s="17" t="s">
        <v>1052</v>
      </c>
      <c r="C451" s="17" t="s">
        <v>1053</v>
      </c>
      <c r="D451" s="17" t="s">
        <v>17</v>
      </c>
      <c r="E451" s="17" t="s">
        <v>8</v>
      </c>
      <c r="F451" s="17">
        <v>107</v>
      </c>
      <c r="G451" s="17">
        <v>0</v>
      </c>
      <c r="H451" s="17">
        <v>20</v>
      </c>
      <c r="I451" s="17">
        <v>87</v>
      </c>
      <c r="J451" s="17">
        <v>0</v>
      </c>
      <c r="K451" s="17">
        <v>0</v>
      </c>
      <c r="L451" s="17">
        <v>87</v>
      </c>
      <c r="M451" s="17">
        <v>0</v>
      </c>
      <c r="N451" s="17">
        <v>0</v>
      </c>
      <c r="O451" s="17">
        <v>87</v>
      </c>
      <c r="P451" s="17">
        <v>25</v>
      </c>
      <c r="Q451" s="17">
        <v>62</v>
      </c>
      <c r="R451" s="17">
        <v>0</v>
      </c>
      <c r="S451" s="17"/>
      <c r="T451" s="17" t="s">
        <v>2974</v>
      </c>
      <c r="U451" s="17" t="s">
        <v>3060</v>
      </c>
      <c r="V451" s="17" t="s">
        <v>3058</v>
      </c>
      <c r="W451" s="17"/>
      <c r="X451" s="17"/>
    </row>
    <row r="452" spans="1:24" hidden="1">
      <c r="A452" s="18">
        <v>451</v>
      </c>
      <c r="B452" s="17" t="s">
        <v>1056</v>
      </c>
      <c r="C452" s="17" t="s">
        <v>1057</v>
      </c>
      <c r="D452" s="17" t="s">
        <v>17</v>
      </c>
      <c r="E452" s="17" t="s">
        <v>8</v>
      </c>
      <c r="F452" s="17">
        <v>0</v>
      </c>
      <c r="G452" s="17">
        <v>0</v>
      </c>
      <c r="H452" s="17">
        <v>0</v>
      </c>
      <c r="I452" s="17">
        <v>0</v>
      </c>
      <c r="J452" s="17">
        <v>0</v>
      </c>
      <c r="K452" s="17">
        <v>0</v>
      </c>
      <c r="L452" s="17">
        <v>0</v>
      </c>
      <c r="M452" s="17">
        <v>0</v>
      </c>
      <c r="N452" s="17">
        <v>0</v>
      </c>
      <c r="O452" s="17">
        <v>0</v>
      </c>
      <c r="P452" s="17">
        <v>0</v>
      </c>
      <c r="Q452" s="17">
        <v>0</v>
      </c>
      <c r="R452" s="17">
        <v>0</v>
      </c>
      <c r="S452" s="17"/>
      <c r="T452" s="17" t="s">
        <v>2974</v>
      </c>
      <c r="U452" s="17" t="s">
        <v>3060</v>
      </c>
      <c r="V452" s="17" t="s">
        <v>3058</v>
      </c>
      <c r="W452" s="17"/>
      <c r="X452" s="17"/>
    </row>
    <row r="453" spans="1:24" hidden="1">
      <c r="A453" s="18">
        <v>452</v>
      </c>
      <c r="B453" s="17" t="s">
        <v>1058</v>
      </c>
      <c r="C453" s="17" t="s">
        <v>1059</v>
      </c>
      <c r="D453" s="17" t="s">
        <v>17</v>
      </c>
      <c r="E453" s="17" t="s">
        <v>8</v>
      </c>
      <c r="F453" s="17">
        <v>49</v>
      </c>
      <c r="G453" s="17">
        <v>0</v>
      </c>
      <c r="H453" s="17">
        <v>20</v>
      </c>
      <c r="I453" s="17">
        <v>29</v>
      </c>
      <c r="J453" s="17">
        <v>0</v>
      </c>
      <c r="K453" s="17">
        <v>0</v>
      </c>
      <c r="L453" s="17">
        <v>29</v>
      </c>
      <c r="M453" s="17">
        <v>0</v>
      </c>
      <c r="N453" s="17">
        <v>0</v>
      </c>
      <c r="O453" s="17">
        <v>29</v>
      </c>
      <c r="P453" s="17">
        <v>25</v>
      </c>
      <c r="Q453" s="17">
        <v>4</v>
      </c>
      <c r="R453" s="17">
        <v>0</v>
      </c>
      <c r="S453" s="17"/>
      <c r="T453" s="17" t="s">
        <v>2974</v>
      </c>
      <c r="U453" s="17" t="s">
        <v>3060</v>
      </c>
      <c r="V453" s="17" t="s">
        <v>3058</v>
      </c>
      <c r="W453" s="17"/>
      <c r="X453" s="17"/>
    </row>
    <row r="454" spans="1:24" hidden="1">
      <c r="A454" s="18">
        <v>453</v>
      </c>
      <c r="B454" s="17" t="s">
        <v>1060</v>
      </c>
      <c r="C454" s="17" t="s">
        <v>1061</v>
      </c>
      <c r="D454" s="17" t="s">
        <v>17</v>
      </c>
      <c r="E454" s="17" t="s">
        <v>8</v>
      </c>
      <c r="F454" s="17">
        <v>256</v>
      </c>
      <c r="G454" s="17">
        <v>0</v>
      </c>
      <c r="H454" s="17">
        <v>10</v>
      </c>
      <c r="I454" s="17">
        <v>246</v>
      </c>
      <c r="J454" s="17">
        <v>0</v>
      </c>
      <c r="K454" s="17">
        <v>0</v>
      </c>
      <c r="L454" s="17">
        <v>246</v>
      </c>
      <c r="M454" s="17">
        <v>0</v>
      </c>
      <c r="N454" s="17">
        <v>0</v>
      </c>
      <c r="O454" s="17">
        <v>246</v>
      </c>
      <c r="P454" s="17">
        <v>25</v>
      </c>
      <c r="Q454" s="17">
        <v>221</v>
      </c>
      <c r="R454" s="17">
        <v>0</v>
      </c>
      <c r="S454" s="17"/>
      <c r="T454" s="17" t="s">
        <v>2974</v>
      </c>
      <c r="U454" s="17" t="s">
        <v>3060</v>
      </c>
      <c r="V454" s="17" t="s">
        <v>3058</v>
      </c>
      <c r="W454" s="17"/>
      <c r="X454" s="17"/>
    </row>
    <row r="455" spans="1:24" hidden="1">
      <c r="A455" s="18">
        <v>454</v>
      </c>
      <c r="B455" s="17" t="s">
        <v>876</v>
      </c>
      <c r="C455" s="17" t="s">
        <v>877</v>
      </c>
      <c r="D455" s="17" t="s">
        <v>17</v>
      </c>
      <c r="E455" s="17" t="s">
        <v>8</v>
      </c>
      <c r="F455" s="17">
        <v>50</v>
      </c>
      <c r="G455" s="17">
        <v>10</v>
      </c>
      <c r="H455" s="17">
        <v>20</v>
      </c>
      <c r="I455" s="17">
        <v>40</v>
      </c>
      <c r="J455" s="17">
        <v>0</v>
      </c>
      <c r="K455" s="17">
        <v>0</v>
      </c>
      <c r="L455" s="17">
        <v>40</v>
      </c>
      <c r="M455" s="17">
        <v>0</v>
      </c>
      <c r="N455" s="17">
        <v>0</v>
      </c>
      <c r="O455" s="17">
        <v>40</v>
      </c>
      <c r="P455" s="17">
        <v>20</v>
      </c>
      <c r="Q455" s="17">
        <v>20</v>
      </c>
      <c r="R455" s="17">
        <v>10</v>
      </c>
      <c r="S455" s="17"/>
      <c r="T455" s="17" t="s">
        <v>2972</v>
      </c>
      <c r="U455" s="17" t="s">
        <v>3057</v>
      </c>
      <c r="V455" s="17" t="s">
        <v>3056</v>
      </c>
      <c r="W455" s="17"/>
      <c r="X455" s="17"/>
    </row>
    <row r="456" spans="1:24" hidden="1">
      <c r="A456" s="18">
        <v>455</v>
      </c>
      <c r="B456" s="17" t="s">
        <v>884</v>
      </c>
      <c r="C456" s="17" t="s">
        <v>885</v>
      </c>
      <c r="D456" s="17" t="s">
        <v>17</v>
      </c>
      <c r="E456" s="17" t="s">
        <v>8</v>
      </c>
      <c r="F456" s="17">
        <v>4650</v>
      </c>
      <c r="G456" s="17">
        <v>0</v>
      </c>
      <c r="H456" s="17">
        <v>0</v>
      </c>
      <c r="I456" s="17">
        <v>4650</v>
      </c>
      <c r="J456" s="17">
        <v>0</v>
      </c>
      <c r="K456" s="17">
        <v>0</v>
      </c>
      <c r="L456" s="17">
        <v>4650</v>
      </c>
      <c r="M456" s="17">
        <v>0</v>
      </c>
      <c r="N456" s="17">
        <v>0</v>
      </c>
      <c r="O456" s="17">
        <v>4650</v>
      </c>
      <c r="P456" s="17">
        <v>2000</v>
      </c>
      <c r="Q456" s="17">
        <v>2650</v>
      </c>
      <c r="R456" s="17">
        <v>0</v>
      </c>
      <c r="S456" s="17"/>
      <c r="T456" s="17" t="s">
        <v>2963</v>
      </c>
      <c r="U456" s="17" t="s">
        <v>3057</v>
      </c>
      <c r="V456" s="17" t="s">
        <v>3058</v>
      </c>
      <c r="W456" s="17"/>
      <c r="X456" s="17"/>
    </row>
    <row r="457" spans="1:24" hidden="1">
      <c r="A457" s="18">
        <v>456</v>
      </c>
      <c r="B457" s="17" t="s">
        <v>886</v>
      </c>
      <c r="C457" s="17" t="s">
        <v>887</v>
      </c>
      <c r="D457" s="17" t="s">
        <v>7</v>
      </c>
      <c r="E457" s="17" t="s">
        <v>8</v>
      </c>
      <c r="F457" s="17">
        <v>0</v>
      </c>
      <c r="G457" s="17">
        <v>0</v>
      </c>
      <c r="H457" s="17">
        <v>0</v>
      </c>
      <c r="I457" s="17">
        <v>0</v>
      </c>
      <c r="J457" s="17">
        <v>0</v>
      </c>
      <c r="K457" s="17">
        <v>0</v>
      </c>
      <c r="L457" s="17">
        <v>0</v>
      </c>
      <c r="M457" s="17">
        <v>0</v>
      </c>
      <c r="N457" s="17">
        <v>0</v>
      </c>
      <c r="O457" s="17">
        <v>0</v>
      </c>
      <c r="P457" s="17">
        <v>0</v>
      </c>
      <c r="Q457" s="17">
        <v>0</v>
      </c>
      <c r="R457" s="17">
        <v>0</v>
      </c>
      <c r="S457" s="17"/>
      <c r="T457" s="17" t="s">
        <v>2972</v>
      </c>
      <c r="U457" s="17" t="s">
        <v>3057</v>
      </c>
      <c r="V457" s="17" t="s">
        <v>3058</v>
      </c>
      <c r="W457" s="17"/>
      <c r="X457" s="17"/>
    </row>
    <row r="458" spans="1:24" hidden="1">
      <c r="A458" s="18">
        <v>457</v>
      </c>
      <c r="B458" s="17" t="s">
        <v>888</v>
      </c>
      <c r="C458" s="17" t="s">
        <v>889</v>
      </c>
      <c r="D458" s="17" t="s">
        <v>7</v>
      </c>
      <c r="E458" s="17" t="s">
        <v>8</v>
      </c>
      <c r="F458" s="17">
        <v>3780</v>
      </c>
      <c r="G458" s="17">
        <v>360</v>
      </c>
      <c r="H458" s="17">
        <v>3980</v>
      </c>
      <c r="I458" s="17">
        <v>160</v>
      </c>
      <c r="J458" s="17">
        <v>0</v>
      </c>
      <c r="K458" s="17">
        <v>0</v>
      </c>
      <c r="L458" s="17">
        <v>160</v>
      </c>
      <c r="M458" s="17">
        <v>5040</v>
      </c>
      <c r="N458" s="17">
        <v>0</v>
      </c>
      <c r="O458" s="17">
        <v>5200</v>
      </c>
      <c r="P458" s="17">
        <v>1280</v>
      </c>
      <c r="Q458" s="17">
        <v>3920</v>
      </c>
      <c r="R458" s="17">
        <v>0</v>
      </c>
      <c r="S458" s="17"/>
      <c r="T458" s="17" t="s">
        <v>2972</v>
      </c>
      <c r="U458" s="17" t="s">
        <v>3057</v>
      </c>
      <c r="V458" s="17" t="s">
        <v>3058</v>
      </c>
      <c r="W458" s="17"/>
      <c r="X458" s="17"/>
    </row>
    <row r="459" spans="1:24" hidden="1">
      <c r="A459" s="18">
        <v>458</v>
      </c>
      <c r="B459" s="17" t="s">
        <v>894</v>
      </c>
      <c r="C459" s="17" t="s">
        <v>895</v>
      </c>
      <c r="D459" s="17" t="s">
        <v>17</v>
      </c>
      <c r="E459" s="17" t="s">
        <v>8</v>
      </c>
      <c r="F459" s="17">
        <v>500</v>
      </c>
      <c r="G459" s="17">
        <v>0</v>
      </c>
      <c r="H459" s="17">
        <v>0</v>
      </c>
      <c r="I459" s="17">
        <v>500</v>
      </c>
      <c r="J459" s="17">
        <v>0</v>
      </c>
      <c r="K459" s="17">
        <v>0</v>
      </c>
      <c r="L459" s="17">
        <v>500</v>
      </c>
      <c r="M459" s="17">
        <v>0</v>
      </c>
      <c r="N459" s="17">
        <v>0</v>
      </c>
      <c r="O459" s="17">
        <v>500</v>
      </c>
      <c r="P459" s="17">
        <v>1000</v>
      </c>
      <c r="Q459" s="17">
        <v>-500</v>
      </c>
      <c r="R459" s="17">
        <v>0</v>
      </c>
      <c r="S459" s="17"/>
      <c r="T459" s="17" t="s">
        <v>2972</v>
      </c>
      <c r="U459" s="17" t="s">
        <v>3057</v>
      </c>
      <c r="V459" s="17" t="s">
        <v>3058</v>
      </c>
      <c r="W459" s="17"/>
      <c r="X459" s="17"/>
    </row>
    <row r="460" spans="1:24" hidden="1">
      <c r="A460" s="18">
        <v>459</v>
      </c>
      <c r="B460" s="17" t="s">
        <v>900</v>
      </c>
      <c r="C460" s="17" t="s">
        <v>901</v>
      </c>
      <c r="D460" s="17" t="s">
        <v>20</v>
      </c>
      <c r="E460" s="17" t="s">
        <v>8</v>
      </c>
      <c r="F460" s="17">
        <v>7.95</v>
      </c>
      <c r="G460" s="17">
        <v>9</v>
      </c>
      <c r="H460" s="17">
        <v>0</v>
      </c>
      <c r="I460" s="17">
        <v>16.95</v>
      </c>
      <c r="J460" s="17">
        <v>0</v>
      </c>
      <c r="K460" s="17">
        <v>0</v>
      </c>
      <c r="L460" s="17">
        <v>16.95</v>
      </c>
      <c r="M460" s="17">
        <v>0</v>
      </c>
      <c r="N460" s="17">
        <v>0</v>
      </c>
      <c r="O460" s="17">
        <v>16.95</v>
      </c>
      <c r="P460" s="17">
        <v>5</v>
      </c>
      <c r="Q460" s="17">
        <v>11.95</v>
      </c>
      <c r="R460" s="17">
        <v>0</v>
      </c>
      <c r="S460" s="17"/>
      <c r="T460" s="17" t="s">
        <v>2972</v>
      </c>
      <c r="U460" s="17" t="s">
        <v>3057</v>
      </c>
      <c r="V460" s="17" t="s">
        <v>3058</v>
      </c>
      <c r="W460" s="17"/>
      <c r="X460" s="17"/>
    </row>
    <row r="461" spans="1:24" hidden="1">
      <c r="A461" s="18">
        <v>460</v>
      </c>
      <c r="B461" s="17" t="s">
        <v>904</v>
      </c>
      <c r="C461" s="17" t="s">
        <v>905</v>
      </c>
      <c r="D461" s="17" t="s">
        <v>17</v>
      </c>
      <c r="E461" s="17" t="s">
        <v>8</v>
      </c>
      <c r="F461" s="17">
        <v>4000</v>
      </c>
      <c r="G461" s="17">
        <v>3000</v>
      </c>
      <c r="H461" s="17">
        <v>2500</v>
      </c>
      <c r="I461" s="17">
        <v>4500</v>
      </c>
      <c r="J461" s="17">
        <v>0</v>
      </c>
      <c r="K461" s="17">
        <v>0</v>
      </c>
      <c r="L461" s="17">
        <v>4500</v>
      </c>
      <c r="M461" s="17">
        <v>0</v>
      </c>
      <c r="N461" s="17">
        <v>0</v>
      </c>
      <c r="O461" s="17">
        <v>4500</v>
      </c>
      <c r="P461" s="17">
        <v>4000</v>
      </c>
      <c r="Q461" s="17">
        <v>500</v>
      </c>
      <c r="R461" s="17">
        <v>3000</v>
      </c>
      <c r="S461" s="17"/>
      <c r="T461" s="17" t="s">
        <v>2974</v>
      </c>
      <c r="U461" s="17" t="s">
        <v>3057</v>
      </c>
      <c r="V461" s="17" t="s">
        <v>3056</v>
      </c>
      <c r="W461" s="17"/>
      <c r="X461" s="17"/>
    </row>
    <row r="462" spans="1:24" hidden="1">
      <c r="A462" s="18">
        <v>461</v>
      </c>
      <c r="B462" s="17" t="s">
        <v>906</v>
      </c>
      <c r="C462" s="17" t="s">
        <v>907</v>
      </c>
      <c r="D462" s="17" t="s">
        <v>17</v>
      </c>
      <c r="E462" s="17" t="s">
        <v>8</v>
      </c>
      <c r="F462" s="17">
        <v>70</v>
      </c>
      <c r="G462" s="17">
        <v>0</v>
      </c>
      <c r="H462" s="17">
        <v>0</v>
      </c>
      <c r="I462" s="17">
        <v>70</v>
      </c>
      <c r="J462" s="17">
        <v>0</v>
      </c>
      <c r="K462" s="17">
        <v>0</v>
      </c>
      <c r="L462" s="17">
        <v>70</v>
      </c>
      <c r="M462" s="17">
        <v>0</v>
      </c>
      <c r="N462" s="17">
        <v>0</v>
      </c>
      <c r="O462" s="17">
        <v>70</v>
      </c>
      <c r="P462" s="17">
        <v>60</v>
      </c>
      <c r="Q462" s="17">
        <v>10</v>
      </c>
      <c r="R462" s="17">
        <v>0</v>
      </c>
      <c r="S462" s="17"/>
      <c r="T462" s="17" t="s">
        <v>2972</v>
      </c>
      <c r="U462" s="17" t="s">
        <v>3057</v>
      </c>
      <c r="V462" s="17" t="s">
        <v>3056</v>
      </c>
      <c r="W462" s="17"/>
      <c r="X462" s="17"/>
    </row>
    <row r="463" spans="1:24" hidden="1">
      <c r="A463" s="18">
        <v>462</v>
      </c>
      <c r="B463" s="17" t="s">
        <v>910</v>
      </c>
      <c r="C463" s="17" t="s">
        <v>911</v>
      </c>
      <c r="D463" s="17" t="s">
        <v>17</v>
      </c>
      <c r="E463" s="17" t="s">
        <v>8</v>
      </c>
      <c r="F463" s="17">
        <v>100</v>
      </c>
      <c r="G463" s="17">
        <v>0</v>
      </c>
      <c r="H463" s="17">
        <v>0</v>
      </c>
      <c r="I463" s="17">
        <v>100</v>
      </c>
      <c r="J463" s="17">
        <v>0</v>
      </c>
      <c r="K463" s="17">
        <v>0</v>
      </c>
      <c r="L463" s="17">
        <v>100</v>
      </c>
      <c r="M463" s="17">
        <v>0</v>
      </c>
      <c r="N463" s="17">
        <v>0</v>
      </c>
      <c r="O463" s="17">
        <v>100</v>
      </c>
      <c r="P463" s="17">
        <v>100</v>
      </c>
      <c r="Q463" s="17">
        <v>0</v>
      </c>
      <c r="R463" s="17">
        <v>0</v>
      </c>
      <c r="S463" s="17"/>
      <c r="T463" s="17" t="s">
        <v>2991</v>
      </c>
      <c r="U463" s="17" t="s">
        <v>3057</v>
      </c>
      <c r="V463" s="17" t="s">
        <v>3058</v>
      </c>
      <c r="W463" s="17"/>
      <c r="X463" s="17"/>
    </row>
    <row r="464" spans="1:24" hidden="1">
      <c r="A464" s="18">
        <v>463</v>
      </c>
      <c r="B464" s="17" t="s">
        <v>912</v>
      </c>
      <c r="C464" s="17" t="s">
        <v>913</v>
      </c>
      <c r="D464" s="17" t="s">
        <v>20</v>
      </c>
      <c r="E464" s="17" t="s">
        <v>8</v>
      </c>
      <c r="F464" s="17">
        <v>52</v>
      </c>
      <c r="G464" s="17">
        <v>0</v>
      </c>
      <c r="H464" s="17">
        <v>0</v>
      </c>
      <c r="I464" s="17">
        <v>52</v>
      </c>
      <c r="J464" s="17">
        <v>0</v>
      </c>
      <c r="K464" s="17">
        <v>0</v>
      </c>
      <c r="L464" s="17">
        <v>52</v>
      </c>
      <c r="M464" s="17">
        <v>0</v>
      </c>
      <c r="N464" s="17">
        <v>0</v>
      </c>
      <c r="O464" s="17">
        <v>52</v>
      </c>
      <c r="P464" s="17">
        <v>0</v>
      </c>
      <c r="Q464" s="17">
        <v>52</v>
      </c>
      <c r="R464" s="17">
        <v>0</v>
      </c>
      <c r="S464" s="17"/>
      <c r="T464" s="17" t="s">
        <v>2972</v>
      </c>
      <c r="U464" s="17" t="s">
        <v>3057</v>
      </c>
      <c r="V464" s="17" t="s">
        <v>3056</v>
      </c>
      <c r="W464" s="17"/>
      <c r="X464" s="17"/>
    </row>
    <row r="465" spans="1:24" hidden="1">
      <c r="A465" s="18">
        <v>464</v>
      </c>
      <c r="B465" s="17" t="s">
        <v>914</v>
      </c>
      <c r="C465" s="17" t="s">
        <v>915</v>
      </c>
      <c r="D465" s="17" t="s">
        <v>20</v>
      </c>
      <c r="E465" s="17" t="s">
        <v>8</v>
      </c>
      <c r="F465" s="17">
        <v>328.3</v>
      </c>
      <c r="G465" s="17">
        <v>0</v>
      </c>
      <c r="H465" s="17">
        <v>47</v>
      </c>
      <c r="I465" s="17">
        <v>281.3</v>
      </c>
      <c r="J465" s="17">
        <v>0</v>
      </c>
      <c r="K465" s="17">
        <v>0</v>
      </c>
      <c r="L465" s="17">
        <v>281.3</v>
      </c>
      <c r="M465" s="17">
        <v>0</v>
      </c>
      <c r="N465" s="17">
        <v>0</v>
      </c>
      <c r="O465" s="17">
        <v>281.3</v>
      </c>
      <c r="P465" s="17">
        <v>120</v>
      </c>
      <c r="Q465" s="17">
        <v>161.30000000000001</v>
      </c>
      <c r="R465" s="17">
        <v>0</v>
      </c>
      <c r="S465" s="17"/>
      <c r="T465" s="17" t="s">
        <v>2972</v>
      </c>
      <c r="U465" s="17" t="s">
        <v>3057</v>
      </c>
      <c r="V465" s="17" t="s">
        <v>3056</v>
      </c>
      <c r="W465" s="17"/>
      <c r="X465" s="17"/>
    </row>
    <row r="466" spans="1:24" hidden="1">
      <c r="A466" s="18">
        <v>465</v>
      </c>
      <c r="B466" s="17" t="s">
        <v>916</v>
      </c>
      <c r="C466" s="17" t="s">
        <v>917</v>
      </c>
      <c r="D466" s="17" t="s">
        <v>20</v>
      </c>
      <c r="E466" s="17" t="s">
        <v>8</v>
      </c>
      <c r="F466" s="17">
        <v>0</v>
      </c>
      <c r="G466" s="17">
        <v>0</v>
      </c>
      <c r="H466" s="17">
        <v>0</v>
      </c>
      <c r="I466" s="17">
        <v>0</v>
      </c>
      <c r="J466" s="17">
        <v>0</v>
      </c>
      <c r="K466" s="17">
        <v>0</v>
      </c>
      <c r="L466" s="17">
        <v>0</v>
      </c>
      <c r="M466" s="17">
        <v>0</v>
      </c>
      <c r="N466" s="17">
        <v>0</v>
      </c>
      <c r="O466" s="17">
        <v>0</v>
      </c>
      <c r="P466" s="17">
        <v>0</v>
      </c>
      <c r="Q466" s="17">
        <v>0</v>
      </c>
      <c r="R466" s="17">
        <v>0</v>
      </c>
      <c r="S466" s="17"/>
      <c r="T466" s="17" t="s">
        <v>2972</v>
      </c>
      <c r="U466" s="17" t="s">
        <v>3057</v>
      </c>
      <c r="V466" s="17" t="s">
        <v>3056</v>
      </c>
      <c r="W466" s="17"/>
      <c r="X466" s="17"/>
    </row>
    <row r="467" spans="1:24" hidden="1">
      <c r="A467" s="18">
        <v>466</v>
      </c>
      <c r="B467" s="17" t="s">
        <v>918</v>
      </c>
      <c r="C467" s="17" t="s">
        <v>919</v>
      </c>
      <c r="D467" s="17" t="s">
        <v>20</v>
      </c>
      <c r="E467" s="17" t="s">
        <v>8</v>
      </c>
      <c r="F467" s="17">
        <v>610.85</v>
      </c>
      <c r="G467" s="17">
        <v>1319.5</v>
      </c>
      <c r="H467" s="17">
        <v>822.65</v>
      </c>
      <c r="I467" s="17">
        <v>1107.7</v>
      </c>
      <c r="J467" s="17">
        <v>0</v>
      </c>
      <c r="K467" s="17">
        <v>22.6</v>
      </c>
      <c r="L467" s="17">
        <v>1085.1000000000001</v>
      </c>
      <c r="M467" s="17">
        <v>0</v>
      </c>
      <c r="N467" s="17">
        <v>0</v>
      </c>
      <c r="O467" s="17">
        <v>1085.1000000000001</v>
      </c>
      <c r="P467" s="17">
        <v>1000</v>
      </c>
      <c r="Q467" s="17">
        <v>85.100000000000136</v>
      </c>
      <c r="R467" s="17">
        <v>1250</v>
      </c>
      <c r="S467" s="17"/>
      <c r="T467" s="17" t="s">
        <v>2972</v>
      </c>
      <c r="U467" s="17" t="s">
        <v>3057</v>
      </c>
      <c r="V467" s="17" t="s">
        <v>3056</v>
      </c>
      <c r="W467" s="17"/>
      <c r="X467" s="17"/>
    </row>
    <row r="468" spans="1:24" hidden="1">
      <c r="A468" s="18">
        <v>467</v>
      </c>
      <c r="B468" s="17" t="s">
        <v>922</v>
      </c>
      <c r="C468" s="17" t="s">
        <v>923</v>
      </c>
      <c r="D468" s="17" t="s">
        <v>20</v>
      </c>
      <c r="E468" s="17" t="s">
        <v>8</v>
      </c>
      <c r="F468" s="17">
        <v>265.60000000000002</v>
      </c>
      <c r="G468" s="17">
        <v>0</v>
      </c>
      <c r="H468" s="17">
        <v>0</v>
      </c>
      <c r="I468" s="17">
        <v>265.60000000000002</v>
      </c>
      <c r="J468" s="17">
        <v>0</v>
      </c>
      <c r="K468" s="17">
        <v>0</v>
      </c>
      <c r="L468" s="17">
        <v>265.60000000000002</v>
      </c>
      <c r="M468" s="17">
        <v>0</v>
      </c>
      <c r="N468" s="17">
        <v>0</v>
      </c>
      <c r="O468" s="17">
        <v>265.60000000000002</v>
      </c>
      <c r="P468" s="17">
        <v>100</v>
      </c>
      <c r="Q468" s="17">
        <v>165.60000000000002</v>
      </c>
      <c r="R468" s="17">
        <v>0</v>
      </c>
      <c r="S468" s="17"/>
      <c r="T468" s="17" t="s">
        <v>2972</v>
      </c>
      <c r="U468" s="17" t="s">
        <v>3057</v>
      </c>
      <c r="V468" s="17" t="s">
        <v>3056</v>
      </c>
      <c r="W468" s="17"/>
      <c r="X468" s="17"/>
    </row>
    <row r="469" spans="1:24" hidden="1">
      <c r="A469" s="18">
        <v>468</v>
      </c>
      <c r="B469" s="17" t="s">
        <v>924</v>
      </c>
      <c r="C469" s="17" t="s">
        <v>925</v>
      </c>
      <c r="D469" s="17" t="s">
        <v>20</v>
      </c>
      <c r="E469" s="17" t="s">
        <v>8</v>
      </c>
      <c r="F469" s="17">
        <v>308.3</v>
      </c>
      <c r="G469" s="17">
        <v>0</v>
      </c>
      <c r="H469" s="17">
        <v>0</v>
      </c>
      <c r="I469" s="17">
        <v>308.3</v>
      </c>
      <c r="J469" s="17">
        <v>0</v>
      </c>
      <c r="K469" s="17">
        <v>0</v>
      </c>
      <c r="L469" s="17">
        <v>308.3</v>
      </c>
      <c r="M469" s="17">
        <v>0</v>
      </c>
      <c r="N469" s="17">
        <v>0</v>
      </c>
      <c r="O469" s="17">
        <v>308.3</v>
      </c>
      <c r="P469" s="17">
        <v>120</v>
      </c>
      <c r="Q469" s="17">
        <v>188.3</v>
      </c>
      <c r="R469" s="17">
        <v>0</v>
      </c>
      <c r="S469" s="17"/>
      <c r="T469" s="17" t="s">
        <v>2972</v>
      </c>
      <c r="U469" s="17" t="s">
        <v>3057</v>
      </c>
      <c r="V469" s="17" t="s">
        <v>3056</v>
      </c>
      <c r="W469" s="17"/>
      <c r="X469" s="17"/>
    </row>
    <row r="470" spans="1:24" hidden="1">
      <c r="A470" s="18">
        <v>469</v>
      </c>
      <c r="B470" s="17" t="s">
        <v>928</v>
      </c>
      <c r="C470" s="17" t="s">
        <v>929</v>
      </c>
      <c r="D470" s="17" t="s">
        <v>20</v>
      </c>
      <c r="E470" s="17" t="s">
        <v>8</v>
      </c>
      <c r="F470" s="17">
        <v>437.2</v>
      </c>
      <c r="G470" s="17">
        <v>0</v>
      </c>
      <c r="H470" s="17">
        <v>0</v>
      </c>
      <c r="I470" s="17">
        <v>437.2</v>
      </c>
      <c r="J470" s="17">
        <v>0</v>
      </c>
      <c r="K470" s="17">
        <v>0</v>
      </c>
      <c r="L470" s="17">
        <v>437.2</v>
      </c>
      <c r="M470" s="17">
        <v>0</v>
      </c>
      <c r="N470" s="17">
        <v>0</v>
      </c>
      <c r="O470" s="17">
        <v>437.2</v>
      </c>
      <c r="P470" s="17">
        <v>250</v>
      </c>
      <c r="Q470" s="17">
        <v>187.2</v>
      </c>
      <c r="R470" s="17">
        <v>0</v>
      </c>
      <c r="S470" s="17"/>
      <c r="T470" s="17" t="s">
        <v>2972</v>
      </c>
      <c r="U470" s="17" t="s">
        <v>3057</v>
      </c>
      <c r="V470" s="17" t="s">
        <v>3056</v>
      </c>
      <c r="W470" s="17"/>
      <c r="X470" s="17"/>
    </row>
    <row r="471" spans="1:24" hidden="1">
      <c r="A471" s="18">
        <v>470</v>
      </c>
      <c r="B471" s="17" t="s">
        <v>930</v>
      </c>
      <c r="C471" s="17" t="s">
        <v>931</v>
      </c>
      <c r="D471" s="17" t="s">
        <v>20</v>
      </c>
      <c r="E471" s="17" t="s">
        <v>8</v>
      </c>
      <c r="F471" s="17">
        <v>166.7</v>
      </c>
      <c r="G471" s="17">
        <v>0</v>
      </c>
      <c r="H471" s="17">
        <v>0</v>
      </c>
      <c r="I471" s="17">
        <v>166.7</v>
      </c>
      <c r="J471" s="17">
        <v>0</v>
      </c>
      <c r="K471" s="17">
        <v>0</v>
      </c>
      <c r="L471" s="17">
        <v>166.7</v>
      </c>
      <c r="M471" s="17">
        <v>0</v>
      </c>
      <c r="N471" s="17">
        <v>0</v>
      </c>
      <c r="O471" s="17">
        <v>166.7</v>
      </c>
      <c r="P471" s="17">
        <v>0</v>
      </c>
      <c r="Q471" s="17">
        <v>166.7</v>
      </c>
      <c r="R471" s="17">
        <v>0</v>
      </c>
      <c r="S471" s="17"/>
      <c r="T471" s="17" t="s">
        <v>2972</v>
      </c>
      <c r="U471" s="17" t="s">
        <v>3057</v>
      </c>
      <c r="V471" s="17" t="s">
        <v>3056</v>
      </c>
      <c r="W471" s="17"/>
      <c r="X471" s="17"/>
    </row>
    <row r="472" spans="1:24" hidden="1">
      <c r="A472" s="18">
        <v>471</v>
      </c>
      <c r="B472" s="17" t="s">
        <v>932</v>
      </c>
      <c r="C472" s="17" t="s">
        <v>933</v>
      </c>
      <c r="D472" s="17" t="s">
        <v>20</v>
      </c>
      <c r="E472" s="17" t="s">
        <v>8</v>
      </c>
      <c r="F472" s="17">
        <v>1503.16</v>
      </c>
      <c r="G472" s="17">
        <v>0</v>
      </c>
      <c r="H472" s="17">
        <v>0</v>
      </c>
      <c r="I472" s="17">
        <v>1503.16</v>
      </c>
      <c r="J472" s="17">
        <v>0</v>
      </c>
      <c r="K472" s="17">
        <v>0</v>
      </c>
      <c r="L472" s="17">
        <v>1503.16</v>
      </c>
      <c r="M472" s="17">
        <v>0</v>
      </c>
      <c r="N472" s="17">
        <v>0</v>
      </c>
      <c r="O472" s="17">
        <v>1503.16</v>
      </c>
      <c r="P472" s="17">
        <v>150</v>
      </c>
      <c r="Q472" s="17">
        <v>1353.16</v>
      </c>
      <c r="R472" s="17">
        <v>0</v>
      </c>
      <c r="S472" s="17"/>
      <c r="T472" s="17" t="s">
        <v>2972</v>
      </c>
      <c r="U472" s="17" t="s">
        <v>3057</v>
      </c>
      <c r="V472" s="17" t="s">
        <v>3056</v>
      </c>
      <c r="W472" s="17"/>
      <c r="X472" s="17"/>
    </row>
    <row r="473" spans="1:24" hidden="1">
      <c r="A473" s="18">
        <v>472</v>
      </c>
      <c r="B473" s="17" t="s">
        <v>934</v>
      </c>
      <c r="C473" s="17" t="s">
        <v>935</v>
      </c>
      <c r="D473" s="17" t="s">
        <v>20</v>
      </c>
      <c r="E473" s="17" t="s">
        <v>8</v>
      </c>
      <c r="F473" s="17">
        <v>109.8</v>
      </c>
      <c r="G473" s="17">
        <v>0</v>
      </c>
      <c r="H473" s="17">
        <v>0</v>
      </c>
      <c r="I473" s="17">
        <v>109.8</v>
      </c>
      <c r="J473" s="17">
        <v>0</v>
      </c>
      <c r="K473" s="17">
        <v>0</v>
      </c>
      <c r="L473" s="17">
        <v>109.8</v>
      </c>
      <c r="M473" s="17">
        <v>0</v>
      </c>
      <c r="N473" s="17">
        <v>0</v>
      </c>
      <c r="O473" s="17">
        <v>109.8</v>
      </c>
      <c r="P473" s="17">
        <v>100</v>
      </c>
      <c r="Q473" s="17">
        <v>9.7999999999999972</v>
      </c>
      <c r="R473" s="17">
        <v>0</v>
      </c>
      <c r="S473" s="17"/>
      <c r="T473" s="17" t="s">
        <v>2991</v>
      </c>
      <c r="U473" s="17" t="s">
        <v>3057</v>
      </c>
      <c r="V473" s="17" t="s">
        <v>3056</v>
      </c>
      <c r="W473" s="17"/>
      <c r="X473" s="17"/>
    </row>
    <row r="474" spans="1:24" hidden="1">
      <c r="A474" s="18">
        <v>473</v>
      </c>
      <c r="B474" s="17" t="s">
        <v>1106</v>
      </c>
      <c r="C474" s="17" t="s">
        <v>1107</v>
      </c>
      <c r="D474" s="17" t="s">
        <v>20</v>
      </c>
      <c r="E474" s="17" t="s">
        <v>8</v>
      </c>
      <c r="F474" s="17">
        <v>50.6</v>
      </c>
      <c r="G474" s="17">
        <v>0</v>
      </c>
      <c r="H474" s="17">
        <v>0</v>
      </c>
      <c r="I474" s="17">
        <v>50.6</v>
      </c>
      <c r="J474" s="17">
        <v>0</v>
      </c>
      <c r="K474" s="17">
        <v>0</v>
      </c>
      <c r="L474" s="17">
        <v>50.6</v>
      </c>
      <c r="M474" s="17">
        <v>0</v>
      </c>
      <c r="N474" s="17">
        <v>0</v>
      </c>
      <c r="O474" s="17">
        <v>50.6</v>
      </c>
      <c r="P474" s="17">
        <v>0</v>
      </c>
      <c r="Q474" s="17">
        <v>50.6</v>
      </c>
      <c r="R474" s="17">
        <v>0</v>
      </c>
      <c r="S474" s="17"/>
      <c r="T474" s="17" t="s">
        <v>2965</v>
      </c>
      <c r="U474" s="17" t="s">
        <v>3055</v>
      </c>
      <c r="V474" s="17" t="s">
        <v>3056</v>
      </c>
      <c r="W474" s="17"/>
      <c r="X474" s="17"/>
    </row>
    <row r="475" spans="1:24" s="40" customFormat="1" hidden="1">
      <c r="A475" s="26">
        <v>474</v>
      </c>
      <c r="B475" s="25" t="s">
        <v>1108</v>
      </c>
      <c r="C475" s="25" t="s">
        <v>1109</v>
      </c>
      <c r="D475" s="25" t="s">
        <v>17</v>
      </c>
      <c r="E475" s="25" t="s">
        <v>8</v>
      </c>
      <c r="F475" s="25">
        <v>170</v>
      </c>
      <c r="G475" s="25">
        <v>0</v>
      </c>
      <c r="H475" s="25">
        <v>18</v>
      </c>
      <c r="I475" s="17">
        <v>152</v>
      </c>
      <c r="J475" s="17">
        <v>0</v>
      </c>
      <c r="K475" s="17">
        <v>0</v>
      </c>
      <c r="L475" s="17">
        <v>152</v>
      </c>
      <c r="M475" s="17">
        <v>0</v>
      </c>
      <c r="N475" s="17">
        <v>0</v>
      </c>
      <c r="O475" s="25">
        <v>152</v>
      </c>
      <c r="P475" s="25">
        <v>250</v>
      </c>
      <c r="Q475" s="25">
        <v>-98</v>
      </c>
      <c r="R475" s="25">
        <v>500</v>
      </c>
      <c r="S475" s="25"/>
      <c r="T475" s="25" t="s">
        <v>2972</v>
      </c>
      <c r="U475" s="25" t="s">
        <v>3055</v>
      </c>
      <c r="V475" s="25" t="s">
        <v>3056</v>
      </c>
      <c r="W475" s="25"/>
      <c r="X475" s="25"/>
    </row>
    <row r="476" spans="1:24" hidden="1">
      <c r="A476" s="18">
        <v>475</v>
      </c>
      <c r="B476" s="17" t="s">
        <v>936</v>
      </c>
      <c r="C476" s="17" t="s">
        <v>937</v>
      </c>
      <c r="D476" s="17" t="s">
        <v>20</v>
      </c>
      <c r="E476" s="17" t="s">
        <v>8</v>
      </c>
      <c r="F476" s="17">
        <v>233.85</v>
      </c>
      <c r="G476" s="17">
        <v>0</v>
      </c>
      <c r="H476" s="17">
        <v>0</v>
      </c>
      <c r="I476" s="17">
        <v>233.85</v>
      </c>
      <c r="J476" s="17">
        <v>0</v>
      </c>
      <c r="K476" s="17">
        <v>0</v>
      </c>
      <c r="L476" s="17">
        <v>233.85</v>
      </c>
      <c r="M476" s="17">
        <v>0</v>
      </c>
      <c r="N476" s="17">
        <v>0</v>
      </c>
      <c r="O476" s="17">
        <v>233.85</v>
      </c>
      <c r="P476" s="17">
        <v>120</v>
      </c>
      <c r="Q476" s="17">
        <v>113.85</v>
      </c>
      <c r="R476" s="17">
        <v>0</v>
      </c>
      <c r="S476" s="17"/>
      <c r="T476" s="17" t="s">
        <v>2972</v>
      </c>
      <c r="U476" s="17" t="s">
        <v>3057</v>
      </c>
      <c r="V476" s="17" t="s">
        <v>3056</v>
      </c>
      <c r="W476" s="17"/>
      <c r="X476" s="17"/>
    </row>
    <row r="477" spans="1:24" hidden="1">
      <c r="A477" s="18">
        <v>476</v>
      </c>
      <c r="B477" s="17" t="s">
        <v>948</v>
      </c>
      <c r="C477" s="17" t="s">
        <v>949</v>
      </c>
      <c r="D477" s="17" t="s">
        <v>148</v>
      </c>
      <c r="E477" s="17" t="s">
        <v>8</v>
      </c>
      <c r="F477" s="17">
        <v>0</v>
      </c>
      <c r="G477" s="17">
        <v>0</v>
      </c>
      <c r="H477" s="17">
        <v>0</v>
      </c>
      <c r="I477" s="17">
        <v>0</v>
      </c>
      <c r="J477" s="17">
        <v>0</v>
      </c>
      <c r="K477" s="17">
        <v>0</v>
      </c>
      <c r="L477" s="17">
        <v>0</v>
      </c>
      <c r="M477" s="17">
        <v>0</v>
      </c>
      <c r="N477" s="17">
        <v>0</v>
      </c>
      <c r="O477" s="17">
        <v>0</v>
      </c>
      <c r="P477" s="17">
        <v>0</v>
      </c>
      <c r="Q477" s="17">
        <v>0</v>
      </c>
      <c r="R477" s="17">
        <v>0</v>
      </c>
      <c r="S477" s="17"/>
      <c r="T477" s="17" t="s">
        <v>2991</v>
      </c>
      <c r="U477" s="17" t="s">
        <v>3057</v>
      </c>
      <c r="V477" s="17" t="s">
        <v>3056</v>
      </c>
      <c r="W477" s="17"/>
      <c r="X477" s="17"/>
    </row>
    <row r="478" spans="1:24" hidden="1">
      <c r="A478" s="18">
        <v>477</v>
      </c>
      <c r="B478" s="17" t="s">
        <v>952</v>
      </c>
      <c r="C478" s="17" t="s">
        <v>953</v>
      </c>
      <c r="D478" s="17" t="s">
        <v>17</v>
      </c>
      <c r="E478" s="17" t="s">
        <v>8</v>
      </c>
      <c r="F478" s="17">
        <v>1157</v>
      </c>
      <c r="G478" s="17">
        <v>0</v>
      </c>
      <c r="H478" s="17">
        <v>0</v>
      </c>
      <c r="I478" s="17">
        <v>1157</v>
      </c>
      <c r="J478" s="17">
        <v>0</v>
      </c>
      <c r="K478" s="17">
        <v>0</v>
      </c>
      <c r="L478" s="17">
        <v>1157</v>
      </c>
      <c r="M478" s="17">
        <v>0</v>
      </c>
      <c r="N478" s="17">
        <v>0</v>
      </c>
      <c r="O478" s="17">
        <v>1157</v>
      </c>
      <c r="P478" s="17">
        <v>0</v>
      </c>
      <c r="Q478" s="17">
        <v>1157</v>
      </c>
      <c r="R478" s="17">
        <v>0</v>
      </c>
      <c r="S478" s="17"/>
      <c r="T478" s="17" t="s">
        <v>2972</v>
      </c>
      <c r="U478" s="17" t="s">
        <v>3057</v>
      </c>
      <c r="V478" s="17" t="s">
        <v>3058</v>
      </c>
      <c r="W478" s="17"/>
      <c r="X478" s="17"/>
    </row>
    <row r="479" spans="1:24" hidden="1">
      <c r="A479" s="18">
        <v>478</v>
      </c>
      <c r="B479" s="17" t="s">
        <v>954</v>
      </c>
      <c r="C479" s="17" t="s">
        <v>955</v>
      </c>
      <c r="D479" s="17" t="s">
        <v>17</v>
      </c>
      <c r="E479" s="17" t="s">
        <v>8</v>
      </c>
      <c r="F479" s="17">
        <v>1020</v>
      </c>
      <c r="G479" s="17">
        <v>0</v>
      </c>
      <c r="H479" s="17">
        <v>0</v>
      </c>
      <c r="I479" s="17">
        <v>1020</v>
      </c>
      <c r="J479" s="17">
        <v>0</v>
      </c>
      <c r="K479" s="17">
        <v>0</v>
      </c>
      <c r="L479" s="17">
        <v>1020</v>
      </c>
      <c r="M479" s="17">
        <v>0</v>
      </c>
      <c r="N479" s="17">
        <v>0</v>
      </c>
      <c r="O479" s="17">
        <v>1020</v>
      </c>
      <c r="P479" s="17">
        <v>500</v>
      </c>
      <c r="Q479" s="17">
        <v>520</v>
      </c>
      <c r="R479" s="17">
        <v>0</v>
      </c>
      <c r="S479" s="17"/>
      <c r="T479" s="17" t="s">
        <v>2972</v>
      </c>
      <c r="U479" s="17" t="s">
        <v>3057</v>
      </c>
      <c r="V479" s="17" t="s">
        <v>3058</v>
      </c>
      <c r="W479" s="17"/>
      <c r="X479" s="17"/>
    </row>
    <row r="480" spans="1:24" hidden="1">
      <c r="A480" s="18">
        <v>479</v>
      </c>
      <c r="B480" s="17" t="s">
        <v>956</v>
      </c>
      <c r="C480" s="17" t="s">
        <v>957</v>
      </c>
      <c r="D480" s="17" t="s">
        <v>17</v>
      </c>
      <c r="E480" s="17" t="s">
        <v>8</v>
      </c>
      <c r="F480" s="17">
        <v>1165</v>
      </c>
      <c r="G480" s="17">
        <v>0</v>
      </c>
      <c r="H480" s="17">
        <v>0</v>
      </c>
      <c r="I480" s="17">
        <v>1165</v>
      </c>
      <c r="J480" s="17">
        <v>0</v>
      </c>
      <c r="K480" s="17">
        <v>0</v>
      </c>
      <c r="L480" s="17">
        <v>1165</v>
      </c>
      <c r="M480" s="17">
        <v>0</v>
      </c>
      <c r="N480" s="17">
        <v>0</v>
      </c>
      <c r="O480" s="17">
        <v>1165</v>
      </c>
      <c r="P480" s="17">
        <v>500</v>
      </c>
      <c r="Q480" s="17">
        <v>665</v>
      </c>
      <c r="R480" s="17">
        <v>0</v>
      </c>
      <c r="S480" s="17"/>
      <c r="T480" s="17" t="s">
        <v>2972</v>
      </c>
      <c r="U480" s="17" t="s">
        <v>3057</v>
      </c>
      <c r="V480" s="17" t="s">
        <v>3058</v>
      </c>
      <c r="W480" s="17"/>
      <c r="X480" s="17"/>
    </row>
    <row r="481" spans="1:24" hidden="1">
      <c r="A481" s="18">
        <v>480</v>
      </c>
      <c r="B481" s="17" t="s">
        <v>958</v>
      </c>
      <c r="C481" s="17" t="s">
        <v>959</v>
      </c>
      <c r="D481" s="17" t="s">
        <v>17</v>
      </c>
      <c r="E481" s="17" t="s">
        <v>8</v>
      </c>
      <c r="F481" s="17">
        <v>970</v>
      </c>
      <c r="G481" s="17">
        <v>0</v>
      </c>
      <c r="H481" s="17">
        <v>400</v>
      </c>
      <c r="I481" s="17">
        <v>570</v>
      </c>
      <c r="J481" s="17">
        <v>0</v>
      </c>
      <c r="K481" s="17">
        <v>0</v>
      </c>
      <c r="L481" s="17">
        <v>570</v>
      </c>
      <c r="M481" s="17">
        <v>1000</v>
      </c>
      <c r="N481" s="17">
        <v>0</v>
      </c>
      <c r="O481" s="17">
        <v>1570</v>
      </c>
      <c r="P481" s="17">
        <v>750</v>
      </c>
      <c r="Q481" s="17">
        <v>820</v>
      </c>
      <c r="R481" s="17">
        <v>0</v>
      </c>
      <c r="S481" s="17"/>
      <c r="T481" s="17" t="s">
        <v>2972</v>
      </c>
      <c r="U481" s="17" t="s">
        <v>3057</v>
      </c>
      <c r="V481" s="17" t="s">
        <v>3058</v>
      </c>
      <c r="W481" s="17"/>
      <c r="X481" s="17"/>
    </row>
    <row r="482" spans="1:24" hidden="1">
      <c r="A482" s="18">
        <v>481</v>
      </c>
      <c r="B482" s="17" t="s">
        <v>960</v>
      </c>
      <c r="C482" s="17" t="s">
        <v>961</v>
      </c>
      <c r="D482" s="17" t="s">
        <v>7</v>
      </c>
      <c r="E482" s="17" t="s">
        <v>8</v>
      </c>
      <c r="F482" s="17">
        <v>360</v>
      </c>
      <c r="G482" s="17">
        <v>900</v>
      </c>
      <c r="H482" s="17">
        <v>540</v>
      </c>
      <c r="I482" s="17">
        <v>720</v>
      </c>
      <c r="J482" s="17">
        <v>0</v>
      </c>
      <c r="K482" s="17">
        <v>0</v>
      </c>
      <c r="L482" s="17">
        <v>720</v>
      </c>
      <c r="M482" s="17">
        <v>0</v>
      </c>
      <c r="N482" s="17">
        <v>0</v>
      </c>
      <c r="O482" s="17">
        <v>720</v>
      </c>
      <c r="P482" s="17">
        <v>720</v>
      </c>
      <c r="Q482" s="17">
        <v>0</v>
      </c>
      <c r="R482" s="17">
        <v>900</v>
      </c>
      <c r="S482" s="17"/>
      <c r="T482" s="17" t="s">
        <v>2972</v>
      </c>
      <c r="U482" s="17" t="s">
        <v>3057</v>
      </c>
      <c r="V482" s="17" t="s">
        <v>3058</v>
      </c>
      <c r="W482" s="17"/>
      <c r="X482" s="17"/>
    </row>
    <row r="483" spans="1:24" hidden="1">
      <c r="A483" s="18">
        <v>482</v>
      </c>
      <c r="B483" s="17" t="s">
        <v>962</v>
      </c>
      <c r="C483" s="17" t="s">
        <v>963</v>
      </c>
      <c r="D483" s="17" t="s">
        <v>17</v>
      </c>
      <c r="E483" s="17" t="s">
        <v>8</v>
      </c>
      <c r="F483" s="17">
        <v>2544</v>
      </c>
      <c r="G483" s="17">
        <v>0</v>
      </c>
      <c r="H483" s="17">
        <v>900</v>
      </c>
      <c r="I483" s="17">
        <v>1644</v>
      </c>
      <c r="J483" s="17">
        <v>0</v>
      </c>
      <c r="K483" s="17">
        <v>0</v>
      </c>
      <c r="L483" s="17">
        <v>1644</v>
      </c>
      <c r="M483" s="17">
        <v>0</v>
      </c>
      <c r="N483" s="17">
        <v>0</v>
      </c>
      <c r="O483" s="17">
        <v>1644</v>
      </c>
      <c r="P483" s="17">
        <v>1000</v>
      </c>
      <c r="Q483" s="17">
        <v>644</v>
      </c>
      <c r="R483" s="17">
        <v>0</v>
      </c>
      <c r="S483" s="17"/>
      <c r="T483" s="17" t="s">
        <v>2972</v>
      </c>
      <c r="U483" s="17" t="s">
        <v>3057</v>
      </c>
      <c r="V483" s="17" t="s">
        <v>3058</v>
      </c>
      <c r="W483" s="17"/>
      <c r="X483" s="17"/>
    </row>
    <row r="484" spans="1:24" hidden="1">
      <c r="A484" s="18">
        <v>483</v>
      </c>
      <c r="B484" s="17" t="s">
        <v>974</v>
      </c>
      <c r="C484" s="17" t="s">
        <v>975</v>
      </c>
      <c r="D484" s="17" t="s">
        <v>17</v>
      </c>
      <c r="E484" s="17" t="s">
        <v>8</v>
      </c>
      <c r="F484" s="17">
        <v>250</v>
      </c>
      <c r="G484" s="17">
        <v>0</v>
      </c>
      <c r="H484" s="17">
        <v>0</v>
      </c>
      <c r="I484" s="17">
        <v>250</v>
      </c>
      <c r="J484" s="17">
        <v>0</v>
      </c>
      <c r="K484" s="17">
        <v>0</v>
      </c>
      <c r="L484" s="17">
        <v>250</v>
      </c>
      <c r="M484" s="17">
        <v>0</v>
      </c>
      <c r="N484" s="17">
        <v>0</v>
      </c>
      <c r="O484" s="17">
        <v>250</v>
      </c>
      <c r="P484" s="17">
        <v>150</v>
      </c>
      <c r="Q484" s="17">
        <v>100</v>
      </c>
      <c r="R484" s="17">
        <v>0</v>
      </c>
      <c r="S484" s="17"/>
      <c r="T484" s="17" t="s">
        <v>2972</v>
      </c>
      <c r="U484" s="17" t="s">
        <v>3057</v>
      </c>
      <c r="V484" s="17" t="s">
        <v>3058</v>
      </c>
      <c r="W484" s="17"/>
      <c r="X484" s="17"/>
    </row>
    <row r="485" spans="1:24" hidden="1">
      <c r="A485" s="18">
        <v>484</v>
      </c>
      <c r="B485" s="17" t="s">
        <v>976</v>
      </c>
      <c r="C485" s="17" t="s">
        <v>977</v>
      </c>
      <c r="D485" s="17" t="s">
        <v>17</v>
      </c>
      <c r="E485" s="17" t="s">
        <v>8</v>
      </c>
      <c r="F485" s="17">
        <v>451</v>
      </c>
      <c r="G485" s="17">
        <v>0</v>
      </c>
      <c r="H485" s="17">
        <v>0</v>
      </c>
      <c r="I485" s="17">
        <v>451</v>
      </c>
      <c r="J485" s="17">
        <v>0</v>
      </c>
      <c r="K485" s="17">
        <v>0</v>
      </c>
      <c r="L485" s="17">
        <v>451</v>
      </c>
      <c r="M485" s="17">
        <v>0</v>
      </c>
      <c r="N485" s="17">
        <v>0</v>
      </c>
      <c r="O485" s="17">
        <v>451</v>
      </c>
      <c r="P485" s="17">
        <v>150</v>
      </c>
      <c r="Q485" s="17">
        <v>301</v>
      </c>
      <c r="R485" s="17">
        <v>0</v>
      </c>
      <c r="S485" s="17"/>
      <c r="T485" s="17" t="s">
        <v>2972</v>
      </c>
      <c r="U485" s="17" t="s">
        <v>3057</v>
      </c>
      <c r="V485" s="17" t="s">
        <v>3058</v>
      </c>
      <c r="W485" s="17"/>
      <c r="X485" s="17"/>
    </row>
    <row r="486" spans="1:24" hidden="1">
      <c r="A486" s="18">
        <v>485</v>
      </c>
      <c r="B486" s="17" t="s">
        <v>978</v>
      </c>
      <c r="C486" s="17" t="s">
        <v>979</v>
      </c>
      <c r="D486" s="17" t="s">
        <v>17</v>
      </c>
      <c r="E486" s="17" t="s">
        <v>8</v>
      </c>
      <c r="F486" s="17">
        <v>400</v>
      </c>
      <c r="G486" s="17">
        <v>0</v>
      </c>
      <c r="H486" s="17">
        <v>0</v>
      </c>
      <c r="I486" s="17">
        <v>400</v>
      </c>
      <c r="J486" s="17">
        <v>0</v>
      </c>
      <c r="K486" s="17">
        <v>0</v>
      </c>
      <c r="L486" s="17">
        <v>400</v>
      </c>
      <c r="M486" s="17">
        <v>0</v>
      </c>
      <c r="N486" s="17">
        <v>0</v>
      </c>
      <c r="O486" s="17">
        <v>400</v>
      </c>
      <c r="P486" s="17">
        <v>250</v>
      </c>
      <c r="Q486" s="17">
        <v>150</v>
      </c>
      <c r="R486" s="17">
        <v>0</v>
      </c>
      <c r="S486" s="17"/>
      <c r="T486" s="17" t="s">
        <v>2972</v>
      </c>
      <c r="U486" s="17" t="s">
        <v>3057</v>
      </c>
      <c r="V486" s="17" t="s">
        <v>3058</v>
      </c>
      <c r="W486" s="17"/>
      <c r="X486" s="17"/>
    </row>
    <row r="487" spans="1:24" hidden="1">
      <c r="A487" s="18">
        <v>486</v>
      </c>
      <c r="B487" s="17" t="s">
        <v>982</v>
      </c>
      <c r="C487" s="17" t="s">
        <v>983</v>
      </c>
      <c r="D487" s="17" t="s">
        <v>17</v>
      </c>
      <c r="E487" s="17" t="s">
        <v>8</v>
      </c>
      <c r="F487" s="17">
        <v>15750</v>
      </c>
      <c r="G487" s="17">
        <v>0</v>
      </c>
      <c r="H487" s="17">
        <v>0</v>
      </c>
      <c r="I487" s="17">
        <v>15750</v>
      </c>
      <c r="J487" s="17">
        <v>0</v>
      </c>
      <c r="K487" s="17">
        <v>0</v>
      </c>
      <c r="L487" s="17">
        <v>15750</v>
      </c>
      <c r="M487" s="17">
        <v>0</v>
      </c>
      <c r="N487" s="17">
        <v>0</v>
      </c>
      <c r="O487" s="17">
        <v>15750</v>
      </c>
      <c r="P487" s="17">
        <v>3000</v>
      </c>
      <c r="Q487" s="17">
        <v>12750</v>
      </c>
      <c r="R487" s="17">
        <v>0</v>
      </c>
      <c r="S487" s="17"/>
      <c r="T487" s="17" t="s">
        <v>2991</v>
      </c>
      <c r="U487" s="17" t="s">
        <v>3057</v>
      </c>
      <c r="V487" s="17" t="s">
        <v>3058</v>
      </c>
      <c r="W487" s="17"/>
      <c r="X487" s="17"/>
    </row>
    <row r="488" spans="1:24" hidden="1">
      <c r="A488" s="18">
        <v>487</v>
      </c>
      <c r="B488" s="17" t="s">
        <v>1135</v>
      </c>
      <c r="C488" s="17" t="s">
        <v>1136</v>
      </c>
      <c r="D488" s="17" t="s">
        <v>17</v>
      </c>
      <c r="E488" s="17" t="s">
        <v>8</v>
      </c>
      <c r="F488" s="17">
        <v>0</v>
      </c>
      <c r="G488" s="17">
        <v>0</v>
      </c>
      <c r="H488" s="17">
        <v>0</v>
      </c>
      <c r="I488" s="17">
        <v>0</v>
      </c>
      <c r="J488" s="17">
        <v>0</v>
      </c>
      <c r="K488" s="17">
        <v>0</v>
      </c>
      <c r="L488" s="17">
        <v>0</v>
      </c>
      <c r="M488" s="17">
        <v>0</v>
      </c>
      <c r="N488" s="17">
        <v>0</v>
      </c>
      <c r="O488" s="17">
        <v>0</v>
      </c>
      <c r="P488" s="17">
        <v>0</v>
      </c>
      <c r="Q488" s="17">
        <v>0</v>
      </c>
      <c r="R488" s="17">
        <v>0</v>
      </c>
      <c r="S488" s="17"/>
      <c r="T488" s="17" t="s">
        <v>2972</v>
      </c>
      <c r="U488" s="17" t="s">
        <v>3055</v>
      </c>
      <c r="V488" s="17" t="s">
        <v>3056</v>
      </c>
      <c r="W488" s="17"/>
      <c r="X488" s="17"/>
    </row>
    <row r="489" spans="1:24" hidden="1">
      <c r="A489" s="18">
        <v>488</v>
      </c>
      <c r="B489" s="17" t="s">
        <v>1032</v>
      </c>
      <c r="C489" s="17" t="s">
        <v>1033</v>
      </c>
      <c r="D489" s="17" t="s">
        <v>17</v>
      </c>
      <c r="E489" s="17" t="s">
        <v>8</v>
      </c>
      <c r="F489" s="17">
        <v>11</v>
      </c>
      <c r="G489" s="17">
        <v>10</v>
      </c>
      <c r="H489" s="17">
        <v>5</v>
      </c>
      <c r="I489" s="17">
        <v>16</v>
      </c>
      <c r="J489" s="17">
        <v>0</v>
      </c>
      <c r="K489" s="17">
        <v>0</v>
      </c>
      <c r="L489" s="17">
        <v>16</v>
      </c>
      <c r="M489" s="17">
        <v>0</v>
      </c>
      <c r="N489" s="17">
        <v>0</v>
      </c>
      <c r="O489" s="17">
        <v>16</v>
      </c>
      <c r="P489" s="17">
        <v>10</v>
      </c>
      <c r="Q489" s="17">
        <v>6</v>
      </c>
      <c r="R489" s="17">
        <v>10</v>
      </c>
      <c r="S489" s="17"/>
      <c r="T489" s="17" t="s">
        <v>2974</v>
      </c>
      <c r="U489" s="17" t="s">
        <v>3057</v>
      </c>
      <c r="V489" s="17" t="s">
        <v>3056</v>
      </c>
      <c r="W489" s="17"/>
      <c r="X489" s="17"/>
    </row>
    <row r="490" spans="1:24" hidden="1">
      <c r="A490" s="18">
        <v>489</v>
      </c>
      <c r="B490" s="17" t="s">
        <v>1034</v>
      </c>
      <c r="C490" s="17" t="s">
        <v>1035</v>
      </c>
      <c r="D490" s="17" t="s">
        <v>17</v>
      </c>
      <c r="E490" s="17" t="s">
        <v>8</v>
      </c>
      <c r="F490" s="17">
        <v>1800</v>
      </c>
      <c r="G490" s="17">
        <v>0</v>
      </c>
      <c r="H490" s="17">
        <v>1300</v>
      </c>
      <c r="I490" s="17">
        <v>500</v>
      </c>
      <c r="J490" s="17">
        <v>0</v>
      </c>
      <c r="K490" s="17">
        <v>0</v>
      </c>
      <c r="L490" s="17">
        <v>500</v>
      </c>
      <c r="M490" s="17">
        <v>0</v>
      </c>
      <c r="N490" s="17">
        <v>0</v>
      </c>
      <c r="O490" s="17">
        <v>500</v>
      </c>
      <c r="P490" s="17">
        <v>500</v>
      </c>
      <c r="Q490" s="17">
        <v>0</v>
      </c>
      <c r="R490" s="17">
        <v>0</v>
      </c>
      <c r="S490" s="17"/>
      <c r="T490" s="17" t="s">
        <v>2991</v>
      </c>
      <c r="U490" s="17" t="s">
        <v>3057</v>
      </c>
      <c r="V490" s="17" t="s">
        <v>3056</v>
      </c>
      <c r="W490" s="17"/>
      <c r="X490" s="17"/>
    </row>
    <row r="491" spans="1:24" hidden="1">
      <c r="A491" s="18">
        <v>490</v>
      </c>
      <c r="B491" s="17" t="s">
        <v>1036</v>
      </c>
      <c r="C491" s="17" t="s">
        <v>1037</v>
      </c>
      <c r="D491" s="17" t="s">
        <v>17</v>
      </c>
      <c r="E491" s="17" t="s">
        <v>8</v>
      </c>
      <c r="F491" s="17">
        <v>10250</v>
      </c>
      <c r="G491" s="17">
        <v>0</v>
      </c>
      <c r="H491" s="17">
        <v>0</v>
      </c>
      <c r="I491" s="17">
        <v>10250</v>
      </c>
      <c r="J491" s="17">
        <v>0</v>
      </c>
      <c r="K491" s="17">
        <v>0</v>
      </c>
      <c r="L491" s="17">
        <v>10250</v>
      </c>
      <c r="M491" s="17">
        <v>0</v>
      </c>
      <c r="N491" s="17">
        <v>0</v>
      </c>
      <c r="O491" s="17">
        <v>10250</v>
      </c>
      <c r="P491" s="17">
        <v>5000</v>
      </c>
      <c r="Q491" s="17">
        <v>5250</v>
      </c>
      <c r="R491" s="17">
        <v>0</v>
      </c>
      <c r="S491" s="17"/>
      <c r="T491" s="17" t="s">
        <v>2972</v>
      </c>
      <c r="U491" s="17" t="s">
        <v>3057</v>
      </c>
      <c r="V491" s="17" t="s">
        <v>3056</v>
      </c>
      <c r="W491" s="17"/>
      <c r="X491" s="17"/>
    </row>
    <row r="492" spans="1:24" hidden="1">
      <c r="A492" s="18">
        <v>491</v>
      </c>
      <c r="B492" s="17" t="s">
        <v>1143</v>
      </c>
      <c r="C492" s="17" t="s">
        <v>1144</v>
      </c>
      <c r="D492" s="17" t="s">
        <v>17</v>
      </c>
      <c r="E492" s="17" t="s">
        <v>8</v>
      </c>
      <c r="F492" s="17">
        <v>0</v>
      </c>
      <c r="G492" s="17">
        <v>0</v>
      </c>
      <c r="H492" s="17">
        <v>0</v>
      </c>
      <c r="I492" s="17">
        <v>0</v>
      </c>
      <c r="J492" s="17">
        <v>0</v>
      </c>
      <c r="K492" s="17">
        <v>0</v>
      </c>
      <c r="L492" s="17">
        <v>0</v>
      </c>
      <c r="M492" s="17">
        <v>0</v>
      </c>
      <c r="N492" s="17">
        <v>0</v>
      </c>
      <c r="O492" s="17">
        <v>0</v>
      </c>
      <c r="P492" s="17">
        <v>0</v>
      </c>
      <c r="Q492" s="17">
        <v>0</v>
      </c>
      <c r="R492" s="17">
        <v>0</v>
      </c>
      <c r="S492" s="17"/>
      <c r="T492" s="17" t="s">
        <v>2972</v>
      </c>
      <c r="U492" s="17" t="s">
        <v>3055</v>
      </c>
      <c r="V492" s="17" t="s">
        <v>3056</v>
      </c>
      <c r="W492" s="17"/>
      <c r="X492" s="17"/>
    </row>
    <row r="493" spans="1:24" hidden="1">
      <c r="A493" s="18">
        <v>492</v>
      </c>
      <c r="B493" s="17" t="s">
        <v>1145</v>
      </c>
      <c r="C493" s="17" t="s">
        <v>1146</v>
      </c>
      <c r="D493" s="17" t="s">
        <v>17</v>
      </c>
      <c r="E493" s="17" t="s">
        <v>8</v>
      </c>
      <c r="F493" s="17">
        <v>6</v>
      </c>
      <c r="G493" s="17">
        <v>0</v>
      </c>
      <c r="H493" s="17">
        <v>0</v>
      </c>
      <c r="I493" s="17">
        <v>6</v>
      </c>
      <c r="J493" s="17">
        <v>0</v>
      </c>
      <c r="K493" s="17">
        <v>0</v>
      </c>
      <c r="L493" s="17">
        <v>6</v>
      </c>
      <c r="M493" s="17">
        <v>0</v>
      </c>
      <c r="N493" s="17">
        <v>0</v>
      </c>
      <c r="O493" s="17">
        <v>6</v>
      </c>
      <c r="P493" s="17">
        <v>0</v>
      </c>
      <c r="Q493" s="17">
        <v>6</v>
      </c>
      <c r="R493" s="17">
        <v>0</v>
      </c>
      <c r="S493" s="17"/>
      <c r="T493" s="17" t="s">
        <v>2972</v>
      </c>
      <c r="U493" s="17" t="s">
        <v>3060</v>
      </c>
      <c r="V493" s="17" t="s">
        <v>3058</v>
      </c>
      <c r="W493" s="17"/>
      <c r="X493" s="17"/>
    </row>
    <row r="494" spans="1:24" hidden="1">
      <c r="A494" s="18">
        <v>493</v>
      </c>
      <c r="B494" s="17" t="s">
        <v>1147</v>
      </c>
      <c r="C494" s="17" t="s">
        <v>1148</v>
      </c>
      <c r="D494" s="17" t="s">
        <v>17</v>
      </c>
      <c r="E494" s="17" t="s">
        <v>8</v>
      </c>
      <c r="F494" s="17">
        <v>250</v>
      </c>
      <c r="G494" s="17">
        <v>0</v>
      </c>
      <c r="H494" s="17">
        <v>0</v>
      </c>
      <c r="I494" s="17">
        <v>250</v>
      </c>
      <c r="J494" s="17">
        <v>0</v>
      </c>
      <c r="K494" s="17">
        <v>0</v>
      </c>
      <c r="L494" s="17">
        <v>250</v>
      </c>
      <c r="M494" s="17">
        <v>0</v>
      </c>
      <c r="N494" s="17">
        <v>0</v>
      </c>
      <c r="O494" s="17">
        <v>250</v>
      </c>
      <c r="P494" s="17">
        <v>150</v>
      </c>
      <c r="Q494" s="17">
        <v>100</v>
      </c>
      <c r="R494" s="17">
        <v>0</v>
      </c>
      <c r="S494" s="17"/>
      <c r="T494" s="17" t="s">
        <v>2991</v>
      </c>
      <c r="U494" s="17" t="s">
        <v>3060</v>
      </c>
      <c r="V494" s="17" t="s">
        <v>3058</v>
      </c>
      <c r="W494" s="17"/>
      <c r="X494" s="17"/>
    </row>
    <row r="495" spans="1:24" hidden="1">
      <c r="A495" s="18">
        <v>494</v>
      </c>
      <c r="B495" s="17" t="s">
        <v>1038</v>
      </c>
      <c r="C495" s="17" t="s">
        <v>1039</v>
      </c>
      <c r="D495" s="17" t="s">
        <v>17</v>
      </c>
      <c r="E495" s="17" t="s">
        <v>8</v>
      </c>
      <c r="F495" s="17">
        <v>3750</v>
      </c>
      <c r="G495" s="17">
        <v>0</v>
      </c>
      <c r="H495" s="17">
        <v>0</v>
      </c>
      <c r="I495" s="17">
        <v>3750</v>
      </c>
      <c r="J495" s="17">
        <v>0</v>
      </c>
      <c r="K495" s="17">
        <v>0</v>
      </c>
      <c r="L495" s="17">
        <v>3750</v>
      </c>
      <c r="M495" s="17">
        <v>0</v>
      </c>
      <c r="N495" s="17">
        <v>0</v>
      </c>
      <c r="O495" s="17">
        <v>3750</v>
      </c>
      <c r="P495" s="17">
        <v>3000</v>
      </c>
      <c r="Q495" s="17">
        <v>750</v>
      </c>
      <c r="R495" s="17">
        <v>0</v>
      </c>
      <c r="S495" s="17"/>
      <c r="T495" s="17" t="s">
        <v>2972</v>
      </c>
      <c r="U495" s="17" t="s">
        <v>3057</v>
      </c>
      <c r="V495" s="17" t="s">
        <v>3056</v>
      </c>
      <c r="W495" s="17"/>
      <c r="X495" s="17"/>
    </row>
    <row r="496" spans="1:24" hidden="1">
      <c r="A496" s="18">
        <v>495</v>
      </c>
      <c r="B496" s="17" t="s">
        <v>1040</v>
      </c>
      <c r="C496" s="17" t="s">
        <v>1041</v>
      </c>
      <c r="D496" s="17" t="s">
        <v>17</v>
      </c>
      <c r="E496" s="17" t="s">
        <v>8</v>
      </c>
      <c r="F496" s="17">
        <v>139250</v>
      </c>
      <c r="G496" s="17">
        <v>0</v>
      </c>
      <c r="H496" s="17">
        <v>1000</v>
      </c>
      <c r="I496" s="17">
        <v>138250</v>
      </c>
      <c r="J496" s="17">
        <v>0</v>
      </c>
      <c r="K496" s="17">
        <v>0</v>
      </c>
      <c r="L496" s="17">
        <v>138250</v>
      </c>
      <c r="M496" s="17">
        <v>0</v>
      </c>
      <c r="N496" s="17">
        <v>0</v>
      </c>
      <c r="O496" s="17">
        <v>138250</v>
      </c>
      <c r="P496" s="17">
        <v>0</v>
      </c>
      <c r="Q496" s="17">
        <v>138250</v>
      </c>
      <c r="R496" s="17">
        <v>0</v>
      </c>
      <c r="S496" s="17"/>
      <c r="T496" s="17" t="s">
        <v>2972</v>
      </c>
      <c r="U496" s="17" t="s">
        <v>3057</v>
      </c>
      <c r="V496" s="17" t="s">
        <v>3056</v>
      </c>
      <c r="W496" s="17"/>
      <c r="X496" s="17"/>
    </row>
    <row r="497" spans="1:24" hidden="1">
      <c r="A497" s="18">
        <v>496</v>
      </c>
      <c r="B497" s="17" t="s">
        <v>1042</v>
      </c>
      <c r="C497" s="17" t="s">
        <v>1043</v>
      </c>
      <c r="D497" s="17" t="s">
        <v>17</v>
      </c>
      <c r="E497" s="17" t="s">
        <v>8</v>
      </c>
      <c r="F497" s="17">
        <v>6250</v>
      </c>
      <c r="G497" s="17">
        <v>0</v>
      </c>
      <c r="H497" s="17">
        <v>0</v>
      </c>
      <c r="I497" s="17">
        <v>6250</v>
      </c>
      <c r="J497" s="17">
        <v>0</v>
      </c>
      <c r="K497" s="17">
        <v>0</v>
      </c>
      <c r="L497" s="17">
        <v>6250</v>
      </c>
      <c r="M497" s="17">
        <v>0</v>
      </c>
      <c r="N497" s="17">
        <v>0</v>
      </c>
      <c r="O497" s="17">
        <v>6250</v>
      </c>
      <c r="P497" s="17">
        <v>4000</v>
      </c>
      <c r="Q497" s="17">
        <v>2250</v>
      </c>
      <c r="R497" s="17">
        <v>0</v>
      </c>
      <c r="S497" s="17"/>
      <c r="T497" s="17" t="s">
        <v>2972</v>
      </c>
      <c r="U497" s="17" t="s">
        <v>3057</v>
      </c>
      <c r="V497" s="17" t="s">
        <v>3056</v>
      </c>
      <c r="W497" s="17"/>
      <c r="X497" s="17"/>
    </row>
    <row r="498" spans="1:24" hidden="1">
      <c r="A498" s="18">
        <v>497</v>
      </c>
      <c r="B498" s="17" t="s">
        <v>1050</v>
      </c>
      <c r="C498" s="17" t="s">
        <v>1051</v>
      </c>
      <c r="D498" s="17" t="s">
        <v>289</v>
      </c>
      <c r="E498" s="17" t="s">
        <v>8</v>
      </c>
      <c r="F498" s="17">
        <v>114</v>
      </c>
      <c r="G498" s="17">
        <v>152</v>
      </c>
      <c r="H498" s="17">
        <v>190</v>
      </c>
      <c r="I498" s="17">
        <v>76</v>
      </c>
      <c r="J498" s="17">
        <v>0</v>
      </c>
      <c r="K498" s="17">
        <v>0</v>
      </c>
      <c r="L498" s="17">
        <v>76</v>
      </c>
      <c r="M498" s="17">
        <v>0</v>
      </c>
      <c r="N498" s="17">
        <v>0</v>
      </c>
      <c r="O498" s="17">
        <v>76</v>
      </c>
      <c r="P498" s="17">
        <v>76</v>
      </c>
      <c r="Q498" s="17">
        <v>0</v>
      </c>
      <c r="R498" s="17">
        <v>76</v>
      </c>
      <c r="S498" s="17"/>
      <c r="T498" s="17" t="s">
        <v>3036</v>
      </c>
      <c r="U498" s="17" t="s">
        <v>3057</v>
      </c>
      <c r="V498" s="17" t="s">
        <v>3056</v>
      </c>
      <c r="W498" s="17"/>
      <c r="X498" s="17"/>
    </row>
    <row r="499" spans="1:24" hidden="1">
      <c r="A499" s="18">
        <v>498</v>
      </c>
      <c r="B499" s="17" t="s">
        <v>1157</v>
      </c>
      <c r="C499" s="17" t="s">
        <v>1158</v>
      </c>
      <c r="D499" s="17" t="s">
        <v>1159</v>
      </c>
      <c r="E499" s="17" t="s">
        <v>8</v>
      </c>
      <c r="F499" s="17">
        <v>4</v>
      </c>
      <c r="G499" s="17">
        <v>0</v>
      </c>
      <c r="H499" s="17">
        <v>1</v>
      </c>
      <c r="I499" s="17">
        <v>3</v>
      </c>
      <c r="J499" s="17">
        <v>0</v>
      </c>
      <c r="K499" s="17">
        <v>0</v>
      </c>
      <c r="L499" s="17">
        <v>3</v>
      </c>
      <c r="M499" s="17">
        <v>0</v>
      </c>
      <c r="N499" s="17">
        <v>0</v>
      </c>
      <c r="O499" s="17">
        <v>3</v>
      </c>
      <c r="P499" s="17">
        <v>2</v>
      </c>
      <c r="Q499" s="17">
        <v>1</v>
      </c>
      <c r="R499" s="17">
        <v>0</v>
      </c>
      <c r="S499" s="17"/>
      <c r="T499" s="17" t="s">
        <v>3052</v>
      </c>
      <c r="U499" s="17" t="s">
        <v>3062</v>
      </c>
      <c r="V499" s="17" t="s">
        <v>3056</v>
      </c>
      <c r="W499" s="17"/>
      <c r="X499" s="17"/>
    </row>
    <row r="500" spans="1:24" hidden="1">
      <c r="A500" s="18">
        <v>499</v>
      </c>
      <c r="B500" s="17" t="s">
        <v>1160</v>
      </c>
      <c r="C500" s="17" t="s">
        <v>1161</v>
      </c>
      <c r="D500" s="17" t="s">
        <v>17</v>
      </c>
      <c r="E500" s="17" t="s">
        <v>8</v>
      </c>
      <c r="F500" s="17">
        <v>34</v>
      </c>
      <c r="G500" s="17">
        <v>80</v>
      </c>
      <c r="H500" s="17">
        <v>60</v>
      </c>
      <c r="I500" s="17">
        <v>54</v>
      </c>
      <c r="J500" s="17">
        <v>0</v>
      </c>
      <c r="K500" s="17">
        <v>0</v>
      </c>
      <c r="L500" s="17">
        <v>54</v>
      </c>
      <c r="M500" s="17">
        <v>0</v>
      </c>
      <c r="N500" s="17">
        <v>0</v>
      </c>
      <c r="O500" s="17">
        <v>54</v>
      </c>
      <c r="P500" s="17">
        <v>30</v>
      </c>
      <c r="Q500" s="17">
        <v>24</v>
      </c>
      <c r="R500" s="17">
        <v>70</v>
      </c>
      <c r="S500" s="17"/>
      <c r="T500" s="17" t="s">
        <v>3052</v>
      </c>
      <c r="U500" s="17" t="s">
        <v>3062</v>
      </c>
      <c r="V500" s="17" t="s">
        <v>3056</v>
      </c>
      <c r="W500" s="17"/>
      <c r="X500" s="17"/>
    </row>
    <row r="501" spans="1:24" hidden="1">
      <c r="A501" s="18">
        <v>500</v>
      </c>
      <c r="B501" s="17" t="s">
        <v>1162</v>
      </c>
      <c r="C501" s="17" t="s">
        <v>1163</v>
      </c>
      <c r="D501" s="17" t="s">
        <v>17</v>
      </c>
      <c r="E501" s="17" t="s">
        <v>8</v>
      </c>
      <c r="F501" s="17">
        <v>88</v>
      </c>
      <c r="G501" s="17">
        <v>0</v>
      </c>
      <c r="H501" s="17">
        <v>38</v>
      </c>
      <c r="I501" s="17">
        <v>50</v>
      </c>
      <c r="J501" s="17">
        <v>0</v>
      </c>
      <c r="K501" s="17">
        <v>0</v>
      </c>
      <c r="L501" s="17">
        <v>50</v>
      </c>
      <c r="M501" s="17">
        <v>0</v>
      </c>
      <c r="N501" s="17">
        <v>0</v>
      </c>
      <c r="O501" s="17">
        <v>50</v>
      </c>
      <c r="P501" s="17">
        <v>20</v>
      </c>
      <c r="Q501" s="17">
        <v>30</v>
      </c>
      <c r="R501" s="17">
        <v>0</v>
      </c>
      <c r="S501" s="17"/>
      <c r="T501" s="17" t="s">
        <v>3052</v>
      </c>
      <c r="U501" s="17" t="s">
        <v>3062</v>
      </c>
      <c r="V501" s="17" t="s">
        <v>3056</v>
      </c>
      <c r="W501" s="17"/>
      <c r="X501" s="17"/>
    </row>
    <row r="502" spans="1:24" hidden="1">
      <c r="A502" s="18">
        <v>501</v>
      </c>
      <c r="B502" s="17" t="s">
        <v>1164</v>
      </c>
      <c r="C502" s="17" t="s">
        <v>1165</v>
      </c>
      <c r="D502" s="17" t="s">
        <v>1159</v>
      </c>
      <c r="E502" s="17" t="s">
        <v>8</v>
      </c>
      <c r="F502" s="17">
        <v>44</v>
      </c>
      <c r="G502" s="17">
        <v>100</v>
      </c>
      <c r="H502" s="17">
        <v>79</v>
      </c>
      <c r="I502" s="17">
        <v>65</v>
      </c>
      <c r="J502" s="17">
        <v>0</v>
      </c>
      <c r="K502" s="17">
        <v>0</v>
      </c>
      <c r="L502" s="17">
        <v>65</v>
      </c>
      <c r="M502" s="17">
        <v>0</v>
      </c>
      <c r="N502" s="17">
        <v>0</v>
      </c>
      <c r="O502" s="17">
        <v>65</v>
      </c>
      <c r="P502" s="17">
        <v>50</v>
      </c>
      <c r="Q502" s="17">
        <v>15</v>
      </c>
      <c r="R502" s="17">
        <v>100</v>
      </c>
      <c r="S502" s="17"/>
      <c r="T502" s="17" t="s">
        <v>3052</v>
      </c>
      <c r="U502" s="17" t="s">
        <v>3062</v>
      </c>
      <c r="V502" s="17" t="s">
        <v>3056</v>
      </c>
      <c r="W502" s="17"/>
      <c r="X502" s="17"/>
    </row>
    <row r="503" spans="1:24" hidden="1">
      <c r="A503" s="18">
        <v>502</v>
      </c>
      <c r="B503" s="17" t="s">
        <v>1166</v>
      </c>
      <c r="C503" s="17" t="s">
        <v>1167</v>
      </c>
      <c r="D503" s="17" t="s">
        <v>17</v>
      </c>
      <c r="E503" s="17" t="s">
        <v>8</v>
      </c>
      <c r="F503" s="17">
        <v>7</v>
      </c>
      <c r="G503" s="17">
        <v>0</v>
      </c>
      <c r="H503" s="17">
        <v>4</v>
      </c>
      <c r="I503" s="17">
        <v>3</v>
      </c>
      <c r="J503" s="17">
        <v>0</v>
      </c>
      <c r="K503" s="17">
        <v>0</v>
      </c>
      <c r="L503" s="17">
        <v>3</v>
      </c>
      <c r="M503" s="17">
        <v>0</v>
      </c>
      <c r="N503" s="17">
        <v>0</v>
      </c>
      <c r="O503" s="17">
        <v>3</v>
      </c>
      <c r="P503" s="17">
        <v>2</v>
      </c>
      <c r="Q503" s="17">
        <v>1</v>
      </c>
      <c r="R503" s="17">
        <v>0</v>
      </c>
      <c r="S503" s="17"/>
      <c r="T503" s="17" t="s">
        <v>3052</v>
      </c>
      <c r="U503" s="17" t="s">
        <v>3062</v>
      </c>
      <c r="V503" s="17" t="s">
        <v>3056</v>
      </c>
      <c r="W503" s="17"/>
      <c r="X503" s="17"/>
    </row>
    <row r="504" spans="1:24" hidden="1">
      <c r="A504" s="18">
        <v>503</v>
      </c>
      <c r="B504" s="17" t="s">
        <v>1168</v>
      </c>
      <c r="C504" s="17" t="s">
        <v>1169</v>
      </c>
      <c r="D504" s="17" t="s">
        <v>1170</v>
      </c>
      <c r="E504" s="17" t="s">
        <v>8</v>
      </c>
      <c r="F504" s="17">
        <v>4</v>
      </c>
      <c r="G504" s="17">
        <v>0</v>
      </c>
      <c r="H504" s="17">
        <v>0</v>
      </c>
      <c r="I504" s="17">
        <v>4</v>
      </c>
      <c r="J504" s="17">
        <v>0</v>
      </c>
      <c r="K504" s="17">
        <v>0</v>
      </c>
      <c r="L504" s="17">
        <v>4</v>
      </c>
      <c r="M504" s="17">
        <v>0</v>
      </c>
      <c r="N504" s="17">
        <v>0</v>
      </c>
      <c r="O504" s="17">
        <v>4</v>
      </c>
      <c r="P504" s="17">
        <v>0</v>
      </c>
      <c r="Q504" s="17">
        <v>4</v>
      </c>
      <c r="R504" s="17">
        <v>0</v>
      </c>
      <c r="S504" s="17"/>
      <c r="T504" s="17" t="s">
        <v>3052</v>
      </c>
      <c r="U504" s="17" t="s">
        <v>3062</v>
      </c>
      <c r="V504" s="17" t="s">
        <v>3056</v>
      </c>
      <c r="W504" s="17"/>
      <c r="X504" s="17"/>
    </row>
    <row r="505" spans="1:24" hidden="1">
      <c r="A505" s="18">
        <v>504</v>
      </c>
      <c r="B505" s="17" t="s">
        <v>1171</v>
      </c>
      <c r="C505" s="17" t="s">
        <v>1172</v>
      </c>
      <c r="D505" s="17" t="s">
        <v>1170</v>
      </c>
      <c r="E505" s="17" t="s">
        <v>8</v>
      </c>
      <c r="F505" s="17">
        <v>2</v>
      </c>
      <c r="G505" s="17">
        <v>0</v>
      </c>
      <c r="H505" s="17">
        <v>0</v>
      </c>
      <c r="I505" s="17">
        <v>2</v>
      </c>
      <c r="J505" s="17">
        <v>0</v>
      </c>
      <c r="K505" s="17">
        <v>0</v>
      </c>
      <c r="L505" s="17">
        <v>2</v>
      </c>
      <c r="M505" s="17">
        <v>0</v>
      </c>
      <c r="N505" s="17">
        <v>0</v>
      </c>
      <c r="O505" s="17">
        <v>2</v>
      </c>
      <c r="P505" s="17">
        <v>0</v>
      </c>
      <c r="Q505" s="17">
        <v>2</v>
      </c>
      <c r="R505" s="17">
        <v>0</v>
      </c>
      <c r="S505" s="17"/>
      <c r="T505" s="17" t="s">
        <v>3052</v>
      </c>
      <c r="U505" s="17" t="s">
        <v>3062</v>
      </c>
      <c r="V505" s="17" t="s">
        <v>3056</v>
      </c>
      <c r="W505" s="17"/>
      <c r="X505" s="17"/>
    </row>
    <row r="506" spans="1:24" hidden="1">
      <c r="A506" s="18">
        <v>505</v>
      </c>
      <c r="B506" s="17" t="s">
        <v>1173</v>
      </c>
      <c r="C506" s="17" t="s">
        <v>1174</v>
      </c>
      <c r="D506" s="17" t="s">
        <v>17</v>
      </c>
      <c r="E506" s="17" t="s">
        <v>8</v>
      </c>
      <c r="F506" s="17">
        <v>90</v>
      </c>
      <c r="G506" s="17">
        <v>60</v>
      </c>
      <c r="H506" s="17">
        <v>60</v>
      </c>
      <c r="I506" s="17">
        <v>90</v>
      </c>
      <c r="J506" s="17">
        <v>0</v>
      </c>
      <c r="K506" s="17">
        <v>0</v>
      </c>
      <c r="L506" s="17">
        <v>90</v>
      </c>
      <c r="M506" s="17">
        <v>0</v>
      </c>
      <c r="N506" s="17">
        <v>0</v>
      </c>
      <c r="O506" s="17">
        <v>90</v>
      </c>
      <c r="P506" s="17">
        <v>20</v>
      </c>
      <c r="Q506" s="17">
        <v>70</v>
      </c>
      <c r="R506" s="17">
        <v>60</v>
      </c>
      <c r="S506" s="17"/>
      <c r="T506" s="17" t="s">
        <v>3052</v>
      </c>
      <c r="U506" s="17" t="s">
        <v>3062</v>
      </c>
      <c r="V506" s="17" t="s">
        <v>3056</v>
      </c>
      <c r="W506" s="17"/>
      <c r="X506" s="17"/>
    </row>
    <row r="507" spans="1:24" hidden="1">
      <c r="A507" s="18">
        <v>506</v>
      </c>
      <c r="B507" s="17" t="s">
        <v>1175</v>
      </c>
      <c r="C507" s="17" t="s">
        <v>1176</v>
      </c>
      <c r="D507" s="17" t="s">
        <v>17</v>
      </c>
      <c r="E507" s="17" t="s">
        <v>8</v>
      </c>
      <c r="F507" s="17">
        <v>66</v>
      </c>
      <c r="G507" s="17">
        <v>0</v>
      </c>
      <c r="H507" s="17">
        <v>43</v>
      </c>
      <c r="I507" s="17">
        <v>23</v>
      </c>
      <c r="J507" s="17">
        <v>0</v>
      </c>
      <c r="K507" s="17">
        <v>0</v>
      </c>
      <c r="L507" s="17">
        <v>23</v>
      </c>
      <c r="M507" s="17">
        <v>0</v>
      </c>
      <c r="N507" s="17">
        <v>0</v>
      </c>
      <c r="O507" s="17">
        <v>23</v>
      </c>
      <c r="P507" s="17">
        <v>15</v>
      </c>
      <c r="Q507" s="17">
        <v>8</v>
      </c>
      <c r="R507" s="17">
        <v>0</v>
      </c>
      <c r="S507" s="17"/>
      <c r="T507" s="17" t="s">
        <v>3052</v>
      </c>
      <c r="U507" s="17" t="s">
        <v>3062</v>
      </c>
      <c r="V507" s="17" t="s">
        <v>3056</v>
      </c>
      <c r="W507" s="17"/>
      <c r="X507" s="17"/>
    </row>
    <row r="508" spans="1:24" hidden="1">
      <c r="A508" s="18">
        <v>507</v>
      </c>
      <c r="B508" s="17" t="s">
        <v>1177</v>
      </c>
      <c r="C508" s="17" t="s">
        <v>1178</v>
      </c>
      <c r="D508" s="17" t="s">
        <v>17</v>
      </c>
      <c r="E508" s="17" t="s">
        <v>8</v>
      </c>
      <c r="F508" s="17">
        <v>240</v>
      </c>
      <c r="G508" s="17">
        <v>200</v>
      </c>
      <c r="H508" s="17">
        <v>259</v>
      </c>
      <c r="I508" s="17">
        <v>181</v>
      </c>
      <c r="J508" s="17">
        <v>0</v>
      </c>
      <c r="K508" s="17">
        <v>0</v>
      </c>
      <c r="L508" s="17">
        <v>181</v>
      </c>
      <c r="M508" s="17">
        <v>0</v>
      </c>
      <c r="N508" s="17">
        <v>0</v>
      </c>
      <c r="O508" s="17">
        <v>181</v>
      </c>
      <c r="P508" s="17">
        <v>40</v>
      </c>
      <c r="Q508" s="17">
        <v>141</v>
      </c>
      <c r="R508" s="17">
        <v>200</v>
      </c>
      <c r="S508" s="17"/>
      <c r="T508" s="17" t="s">
        <v>3052</v>
      </c>
      <c r="U508" s="17" t="s">
        <v>3062</v>
      </c>
      <c r="V508" s="17" t="s">
        <v>3056</v>
      </c>
      <c r="W508" s="17"/>
      <c r="X508" s="17"/>
    </row>
    <row r="509" spans="1:24" hidden="1">
      <c r="A509" s="18">
        <v>508</v>
      </c>
      <c r="B509" s="17" t="s">
        <v>1179</v>
      </c>
      <c r="C509" s="17" t="s">
        <v>1180</v>
      </c>
      <c r="D509" s="17" t="s">
        <v>17</v>
      </c>
      <c r="E509" s="17" t="s">
        <v>8</v>
      </c>
      <c r="F509" s="17">
        <v>128</v>
      </c>
      <c r="G509" s="17">
        <v>0</v>
      </c>
      <c r="H509" s="17">
        <v>95</v>
      </c>
      <c r="I509" s="17">
        <v>33</v>
      </c>
      <c r="J509" s="17">
        <v>0</v>
      </c>
      <c r="K509" s="17">
        <v>0</v>
      </c>
      <c r="L509" s="17">
        <v>33</v>
      </c>
      <c r="M509" s="17">
        <v>0</v>
      </c>
      <c r="N509" s="17">
        <v>0</v>
      </c>
      <c r="O509" s="17">
        <v>33</v>
      </c>
      <c r="P509" s="17">
        <v>20</v>
      </c>
      <c r="Q509" s="17">
        <v>13</v>
      </c>
      <c r="R509" s="17">
        <v>0</v>
      </c>
      <c r="S509" s="17"/>
      <c r="T509" s="17" t="s">
        <v>3052</v>
      </c>
      <c r="U509" s="17" t="s">
        <v>3062</v>
      </c>
      <c r="V509" s="17" t="s">
        <v>3056</v>
      </c>
      <c r="W509" s="17"/>
      <c r="X509" s="17"/>
    </row>
    <row r="510" spans="1:24" hidden="1">
      <c r="A510" s="18">
        <v>509</v>
      </c>
      <c r="B510" s="17" t="s">
        <v>1181</v>
      </c>
      <c r="C510" s="17" t="s">
        <v>1182</v>
      </c>
      <c r="D510" s="17" t="s">
        <v>116</v>
      </c>
      <c r="E510" s="17" t="s">
        <v>8</v>
      </c>
      <c r="F510" s="17">
        <v>10</v>
      </c>
      <c r="G510" s="17">
        <v>0</v>
      </c>
      <c r="H510" s="17">
        <v>0</v>
      </c>
      <c r="I510" s="17">
        <v>10</v>
      </c>
      <c r="J510" s="17">
        <v>0</v>
      </c>
      <c r="K510" s="17">
        <v>0</v>
      </c>
      <c r="L510" s="17">
        <v>10</v>
      </c>
      <c r="M510" s="17">
        <v>0</v>
      </c>
      <c r="N510" s="17">
        <v>0</v>
      </c>
      <c r="O510" s="17">
        <v>10</v>
      </c>
      <c r="P510" s="17">
        <v>0</v>
      </c>
      <c r="Q510" s="17">
        <v>10</v>
      </c>
      <c r="R510" s="17">
        <v>0</v>
      </c>
      <c r="S510" s="17"/>
      <c r="T510" s="17" t="s">
        <v>3052</v>
      </c>
      <c r="U510" s="17" t="s">
        <v>3062</v>
      </c>
      <c r="V510" s="17" t="s">
        <v>3056</v>
      </c>
      <c r="W510" s="17"/>
      <c r="X510" s="17"/>
    </row>
    <row r="511" spans="1:24" hidden="1">
      <c r="A511" s="18">
        <v>510</v>
      </c>
      <c r="B511" s="17" t="s">
        <v>1183</v>
      </c>
      <c r="C511" s="17" t="s">
        <v>1184</v>
      </c>
      <c r="D511" s="17" t="s">
        <v>17</v>
      </c>
      <c r="E511" s="17" t="s">
        <v>8</v>
      </c>
      <c r="F511" s="17">
        <v>3</v>
      </c>
      <c r="G511" s="17">
        <v>0</v>
      </c>
      <c r="H511" s="17">
        <v>0</v>
      </c>
      <c r="I511" s="17">
        <v>3</v>
      </c>
      <c r="J511" s="17">
        <v>0</v>
      </c>
      <c r="K511" s="17">
        <v>0</v>
      </c>
      <c r="L511" s="17">
        <v>3</v>
      </c>
      <c r="M511" s="17">
        <v>0</v>
      </c>
      <c r="N511" s="17">
        <v>0</v>
      </c>
      <c r="O511" s="17">
        <v>3</v>
      </c>
      <c r="P511" s="17">
        <v>1</v>
      </c>
      <c r="Q511" s="17">
        <v>2</v>
      </c>
      <c r="R511" s="17">
        <v>0</v>
      </c>
      <c r="S511" s="17"/>
      <c r="T511" s="17" t="s">
        <v>3052</v>
      </c>
      <c r="U511" s="17" t="s">
        <v>3062</v>
      </c>
      <c r="V511" s="17" t="s">
        <v>3056</v>
      </c>
      <c r="W511" s="17"/>
      <c r="X511" s="17"/>
    </row>
    <row r="512" spans="1:24" hidden="1">
      <c r="A512" s="18">
        <v>511</v>
      </c>
      <c r="B512" s="17" t="s">
        <v>1185</v>
      </c>
      <c r="C512" s="17" t="s">
        <v>1186</v>
      </c>
      <c r="D512" s="17" t="s">
        <v>17</v>
      </c>
      <c r="E512" s="17" t="s">
        <v>8</v>
      </c>
      <c r="F512" s="17">
        <v>13</v>
      </c>
      <c r="G512" s="17">
        <v>0</v>
      </c>
      <c r="H512" s="17">
        <v>4</v>
      </c>
      <c r="I512" s="17">
        <v>9</v>
      </c>
      <c r="J512" s="17">
        <v>0</v>
      </c>
      <c r="K512" s="17">
        <v>0</v>
      </c>
      <c r="L512" s="17">
        <v>9</v>
      </c>
      <c r="M512" s="17">
        <v>0</v>
      </c>
      <c r="N512" s="17">
        <v>0</v>
      </c>
      <c r="O512" s="17">
        <v>9</v>
      </c>
      <c r="P512" s="17">
        <v>0</v>
      </c>
      <c r="Q512" s="17">
        <v>9</v>
      </c>
      <c r="R512" s="17">
        <v>0</v>
      </c>
      <c r="S512" s="17"/>
      <c r="T512" s="17" t="s">
        <v>3052</v>
      </c>
      <c r="U512" s="17" t="s">
        <v>3062</v>
      </c>
      <c r="V512" s="17" t="s">
        <v>3056</v>
      </c>
      <c r="W512" s="17"/>
      <c r="X512" s="17"/>
    </row>
    <row r="513" spans="1:24" hidden="1">
      <c r="A513" s="18">
        <v>512</v>
      </c>
      <c r="B513" s="17" t="s">
        <v>1187</v>
      </c>
      <c r="C513" s="17" t="s">
        <v>1188</v>
      </c>
      <c r="D513" s="17" t="s">
        <v>17</v>
      </c>
      <c r="E513" s="17" t="s">
        <v>8</v>
      </c>
      <c r="F513" s="17">
        <v>12</v>
      </c>
      <c r="G513" s="17">
        <v>0</v>
      </c>
      <c r="H513" s="17">
        <v>2</v>
      </c>
      <c r="I513" s="17">
        <v>10</v>
      </c>
      <c r="J513" s="17">
        <v>0</v>
      </c>
      <c r="K513" s="17">
        <v>0</v>
      </c>
      <c r="L513" s="17">
        <v>10</v>
      </c>
      <c r="M513" s="17">
        <v>0</v>
      </c>
      <c r="N513" s="17">
        <v>0</v>
      </c>
      <c r="O513" s="17">
        <v>10</v>
      </c>
      <c r="P513" s="17">
        <v>0</v>
      </c>
      <c r="Q513" s="17">
        <v>10</v>
      </c>
      <c r="R513" s="17">
        <v>0</v>
      </c>
      <c r="S513" s="17"/>
      <c r="T513" s="17" t="s">
        <v>3052</v>
      </c>
      <c r="U513" s="17" t="s">
        <v>3062</v>
      </c>
      <c r="V513" s="17" t="s">
        <v>3056</v>
      </c>
      <c r="W513" s="17"/>
      <c r="X513" s="17"/>
    </row>
    <row r="514" spans="1:24" hidden="1">
      <c r="A514" s="18">
        <v>513</v>
      </c>
      <c r="B514" s="17" t="s">
        <v>1189</v>
      </c>
      <c r="C514" s="17" t="s">
        <v>1190</v>
      </c>
      <c r="D514" s="17" t="s">
        <v>17</v>
      </c>
      <c r="E514" s="17" t="s">
        <v>8</v>
      </c>
      <c r="F514" s="17">
        <v>12</v>
      </c>
      <c r="G514" s="17">
        <v>0</v>
      </c>
      <c r="H514" s="17">
        <v>3</v>
      </c>
      <c r="I514" s="17">
        <v>9</v>
      </c>
      <c r="J514" s="17">
        <v>0</v>
      </c>
      <c r="K514" s="17">
        <v>0</v>
      </c>
      <c r="L514" s="17">
        <v>9</v>
      </c>
      <c r="M514" s="17">
        <v>0</v>
      </c>
      <c r="N514" s="17">
        <v>0</v>
      </c>
      <c r="O514" s="17">
        <v>9</v>
      </c>
      <c r="P514" s="17">
        <v>0</v>
      </c>
      <c r="Q514" s="17">
        <v>9</v>
      </c>
      <c r="R514" s="17">
        <v>0</v>
      </c>
      <c r="S514" s="17"/>
      <c r="T514" s="17" t="s">
        <v>3052</v>
      </c>
      <c r="U514" s="17" t="s">
        <v>3062</v>
      </c>
      <c r="V514" s="17" t="s">
        <v>3056</v>
      </c>
      <c r="W514" s="17"/>
      <c r="X514" s="17"/>
    </row>
    <row r="515" spans="1:24" hidden="1">
      <c r="A515" s="18">
        <v>514</v>
      </c>
      <c r="B515" s="17" t="s">
        <v>1191</v>
      </c>
      <c r="C515" s="17" t="s">
        <v>1192</v>
      </c>
      <c r="D515" s="17" t="s">
        <v>17</v>
      </c>
      <c r="E515" s="17" t="s">
        <v>8</v>
      </c>
      <c r="F515" s="17">
        <v>6</v>
      </c>
      <c r="G515" s="17">
        <v>0</v>
      </c>
      <c r="H515" s="17">
        <v>1</v>
      </c>
      <c r="I515" s="17">
        <v>5</v>
      </c>
      <c r="J515" s="17">
        <v>0</v>
      </c>
      <c r="K515" s="17">
        <v>0</v>
      </c>
      <c r="L515" s="17">
        <v>5</v>
      </c>
      <c r="M515" s="17">
        <v>0</v>
      </c>
      <c r="N515" s="17">
        <v>0</v>
      </c>
      <c r="O515" s="17">
        <v>5</v>
      </c>
      <c r="P515" s="17">
        <v>0</v>
      </c>
      <c r="Q515" s="17">
        <v>5</v>
      </c>
      <c r="R515" s="17">
        <v>0</v>
      </c>
      <c r="S515" s="17"/>
      <c r="T515" s="17" t="s">
        <v>3052</v>
      </c>
      <c r="U515" s="17" t="s">
        <v>3062</v>
      </c>
      <c r="V515" s="17" t="s">
        <v>3056</v>
      </c>
      <c r="W515" s="17"/>
      <c r="X515" s="17"/>
    </row>
    <row r="516" spans="1:24" hidden="1">
      <c r="A516" s="18">
        <v>515</v>
      </c>
      <c r="B516" s="17" t="s">
        <v>1193</v>
      </c>
      <c r="C516" s="17" t="s">
        <v>1194</v>
      </c>
      <c r="D516" s="17" t="s">
        <v>17</v>
      </c>
      <c r="E516" s="17" t="s">
        <v>8</v>
      </c>
      <c r="F516" s="17">
        <v>325</v>
      </c>
      <c r="G516" s="17">
        <v>0</v>
      </c>
      <c r="H516" s="17">
        <v>0</v>
      </c>
      <c r="I516" s="17">
        <v>325</v>
      </c>
      <c r="J516" s="17">
        <v>0</v>
      </c>
      <c r="K516" s="17">
        <v>0</v>
      </c>
      <c r="L516" s="17">
        <v>325</v>
      </c>
      <c r="M516" s="17">
        <v>0</v>
      </c>
      <c r="N516" s="17">
        <v>0</v>
      </c>
      <c r="O516" s="17">
        <v>325</v>
      </c>
      <c r="P516" s="17">
        <v>100</v>
      </c>
      <c r="Q516" s="17">
        <v>225</v>
      </c>
      <c r="R516" s="17">
        <v>0</v>
      </c>
      <c r="S516" s="17"/>
      <c r="T516" s="17" t="s">
        <v>3052</v>
      </c>
      <c r="U516" s="17" t="s">
        <v>3062</v>
      </c>
      <c r="V516" s="17" t="s">
        <v>3056</v>
      </c>
      <c r="W516" s="17"/>
      <c r="X516" s="17"/>
    </row>
    <row r="517" spans="1:24" hidden="1">
      <c r="A517" s="18">
        <v>516</v>
      </c>
      <c r="B517" s="17" t="s">
        <v>1195</v>
      </c>
      <c r="C517" s="17" t="s">
        <v>1196</v>
      </c>
      <c r="D517" s="17" t="s">
        <v>17</v>
      </c>
      <c r="E517" s="17" t="s">
        <v>8</v>
      </c>
      <c r="F517" s="17">
        <v>795</v>
      </c>
      <c r="G517" s="17">
        <v>0</v>
      </c>
      <c r="H517" s="17">
        <v>100</v>
      </c>
      <c r="I517" s="17">
        <v>695</v>
      </c>
      <c r="J517" s="17">
        <v>0</v>
      </c>
      <c r="K517" s="17">
        <v>0</v>
      </c>
      <c r="L517" s="17">
        <v>695</v>
      </c>
      <c r="M517" s="17">
        <v>0</v>
      </c>
      <c r="N517" s="17">
        <v>0</v>
      </c>
      <c r="O517" s="17">
        <v>695</v>
      </c>
      <c r="P517" s="17">
        <v>200</v>
      </c>
      <c r="Q517" s="17">
        <v>495</v>
      </c>
      <c r="R517" s="17">
        <v>0</v>
      </c>
      <c r="S517" s="17"/>
      <c r="T517" s="17" t="s">
        <v>3052</v>
      </c>
      <c r="U517" s="17" t="s">
        <v>3062</v>
      </c>
      <c r="V517" s="17" t="s">
        <v>3056</v>
      </c>
      <c r="W517" s="17"/>
      <c r="X517" s="17"/>
    </row>
    <row r="518" spans="1:24" hidden="1">
      <c r="A518" s="18">
        <v>517</v>
      </c>
      <c r="B518" s="17" t="s">
        <v>1197</v>
      </c>
      <c r="C518" s="17" t="s">
        <v>1198</v>
      </c>
      <c r="D518" s="17" t="s">
        <v>1199</v>
      </c>
      <c r="E518" s="17" t="s">
        <v>8</v>
      </c>
      <c r="F518" s="17">
        <v>6</v>
      </c>
      <c r="G518" s="17">
        <v>0</v>
      </c>
      <c r="H518" s="17">
        <v>0</v>
      </c>
      <c r="I518" s="17">
        <v>6</v>
      </c>
      <c r="J518" s="17">
        <v>0</v>
      </c>
      <c r="K518" s="17">
        <v>0</v>
      </c>
      <c r="L518" s="17">
        <v>6</v>
      </c>
      <c r="M518" s="17">
        <v>0</v>
      </c>
      <c r="N518" s="17">
        <v>0</v>
      </c>
      <c r="O518" s="17">
        <v>6</v>
      </c>
      <c r="P518" s="17">
        <v>1</v>
      </c>
      <c r="Q518" s="17">
        <v>5</v>
      </c>
      <c r="R518" s="17">
        <v>0</v>
      </c>
      <c r="S518" s="17"/>
      <c r="T518" s="17" t="s">
        <v>3052</v>
      </c>
      <c r="U518" s="17" t="s">
        <v>3062</v>
      </c>
      <c r="V518" s="17" t="s">
        <v>3056</v>
      </c>
      <c r="W518" s="17"/>
      <c r="X518" s="17"/>
    </row>
    <row r="519" spans="1:24" hidden="1">
      <c r="A519" s="18">
        <v>518</v>
      </c>
      <c r="B519" s="17" t="s">
        <v>1200</v>
      </c>
      <c r="C519" s="17" t="s">
        <v>1201</v>
      </c>
      <c r="D519" s="17" t="s">
        <v>1202</v>
      </c>
      <c r="E519" s="17" t="s">
        <v>8</v>
      </c>
      <c r="F519" s="17">
        <v>7</v>
      </c>
      <c r="G519" s="17">
        <v>0</v>
      </c>
      <c r="H519" s="17">
        <v>1</v>
      </c>
      <c r="I519" s="17">
        <v>6</v>
      </c>
      <c r="J519" s="17">
        <v>0</v>
      </c>
      <c r="K519" s="17">
        <v>0</v>
      </c>
      <c r="L519" s="17">
        <v>6</v>
      </c>
      <c r="M519" s="17">
        <v>0</v>
      </c>
      <c r="N519" s="17">
        <v>0</v>
      </c>
      <c r="O519" s="17">
        <v>6</v>
      </c>
      <c r="P519" s="17">
        <v>2</v>
      </c>
      <c r="Q519" s="17">
        <v>4</v>
      </c>
      <c r="R519" s="17">
        <v>0</v>
      </c>
      <c r="S519" s="17"/>
      <c r="T519" s="17" t="s">
        <v>3052</v>
      </c>
      <c r="U519" s="17" t="s">
        <v>3062</v>
      </c>
      <c r="V519" s="17" t="s">
        <v>3056</v>
      </c>
      <c r="W519" s="17"/>
      <c r="X519" s="17"/>
    </row>
    <row r="520" spans="1:24" hidden="1">
      <c r="A520" s="18">
        <v>519</v>
      </c>
      <c r="B520" s="17" t="s">
        <v>1062</v>
      </c>
      <c r="C520" s="17" t="s">
        <v>1063</v>
      </c>
      <c r="D520" s="17" t="s">
        <v>17</v>
      </c>
      <c r="E520" s="17" t="s">
        <v>8</v>
      </c>
      <c r="F520" s="17">
        <v>172</v>
      </c>
      <c r="G520" s="17">
        <v>0</v>
      </c>
      <c r="H520" s="17">
        <v>8</v>
      </c>
      <c r="I520" s="17">
        <v>164</v>
      </c>
      <c r="J520" s="17">
        <v>0</v>
      </c>
      <c r="K520" s="17">
        <v>0</v>
      </c>
      <c r="L520" s="17">
        <v>164</v>
      </c>
      <c r="M520" s="17">
        <v>0</v>
      </c>
      <c r="N520" s="17">
        <v>0</v>
      </c>
      <c r="O520" s="17">
        <v>164</v>
      </c>
      <c r="P520" s="17">
        <v>80</v>
      </c>
      <c r="Q520" s="17">
        <v>84</v>
      </c>
      <c r="R520" s="17">
        <v>0</v>
      </c>
      <c r="S520" s="17"/>
      <c r="T520" s="17" t="s">
        <v>2974</v>
      </c>
      <c r="U520" s="17" t="s">
        <v>3057</v>
      </c>
      <c r="V520" s="17" t="s">
        <v>3056</v>
      </c>
      <c r="W520" s="17"/>
      <c r="X520" s="17"/>
    </row>
    <row r="521" spans="1:24" s="40" customFormat="1" hidden="1">
      <c r="A521" s="26">
        <v>520</v>
      </c>
      <c r="B521" s="25" t="s">
        <v>1064</v>
      </c>
      <c r="C521" s="25" t="s">
        <v>1065</v>
      </c>
      <c r="D521" s="25" t="s">
        <v>17</v>
      </c>
      <c r="E521" s="25" t="s">
        <v>8</v>
      </c>
      <c r="F521" s="25">
        <v>68</v>
      </c>
      <c r="G521" s="25">
        <v>40</v>
      </c>
      <c r="H521" s="25">
        <v>64</v>
      </c>
      <c r="I521" s="17">
        <v>44</v>
      </c>
      <c r="J521" s="17">
        <v>0</v>
      </c>
      <c r="K521" s="17">
        <v>0</v>
      </c>
      <c r="L521" s="17">
        <v>44</v>
      </c>
      <c r="M521" s="17">
        <v>0</v>
      </c>
      <c r="N521" s="17">
        <v>0</v>
      </c>
      <c r="O521" s="25">
        <v>44</v>
      </c>
      <c r="P521" s="25">
        <v>80</v>
      </c>
      <c r="Q521" s="25">
        <v>-36</v>
      </c>
      <c r="R521" s="25">
        <v>40</v>
      </c>
      <c r="S521" s="25"/>
      <c r="T521" s="25" t="s">
        <v>2974</v>
      </c>
      <c r="U521" s="25" t="s">
        <v>3057</v>
      </c>
      <c r="V521" s="25" t="s">
        <v>3056</v>
      </c>
      <c r="W521" s="25"/>
      <c r="X521" s="25"/>
    </row>
    <row r="522" spans="1:24" hidden="1">
      <c r="A522" s="18">
        <v>521</v>
      </c>
      <c r="B522" s="17" t="s">
        <v>1207</v>
      </c>
      <c r="C522" s="17" t="s">
        <v>1208</v>
      </c>
      <c r="D522" s="17" t="s">
        <v>17</v>
      </c>
      <c r="E522" s="17" t="s">
        <v>8</v>
      </c>
      <c r="F522" s="17">
        <v>140</v>
      </c>
      <c r="G522" s="17">
        <v>0</v>
      </c>
      <c r="H522" s="17">
        <v>6</v>
      </c>
      <c r="I522" s="17">
        <v>134</v>
      </c>
      <c r="J522" s="17">
        <v>0</v>
      </c>
      <c r="K522" s="17">
        <v>0</v>
      </c>
      <c r="L522" s="17">
        <v>134</v>
      </c>
      <c r="M522" s="17">
        <v>0</v>
      </c>
      <c r="N522" s="17">
        <v>0</v>
      </c>
      <c r="O522" s="17">
        <v>134</v>
      </c>
      <c r="P522" s="17">
        <v>0</v>
      </c>
      <c r="Q522" s="17">
        <v>134</v>
      </c>
      <c r="R522" s="17">
        <v>0</v>
      </c>
      <c r="S522" s="17"/>
      <c r="T522" s="17" t="s">
        <v>3052</v>
      </c>
      <c r="U522" s="17" t="s">
        <v>3062</v>
      </c>
      <c r="V522" s="17" t="s">
        <v>3056</v>
      </c>
      <c r="W522" s="17"/>
      <c r="X522" s="17"/>
    </row>
    <row r="523" spans="1:24" hidden="1">
      <c r="A523" s="18">
        <v>522</v>
      </c>
      <c r="B523" s="17" t="s">
        <v>1209</v>
      </c>
      <c r="C523" s="17" t="s">
        <v>1210</v>
      </c>
      <c r="D523" s="17" t="s">
        <v>17</v>
      </c>
      <c r="E523" s="17" t="s">
        <v>8</v>
      </c>
      <c r="F523" s="17">
        <v>1</v>
      </c>
      <c r="G523" s="17">
        <v>2</v>
      </c>
      <c r="H523" s="17">
        <v>0</v>
      </c>
      <c r="I523" s="17">
        <v>3</v>
      </c>
      <c r="J523" s="17">
        <v>0</v>
      </c>
      <c r="K523" s="17">
        <v>0</v>
      </c>
      <c r="L523" s="17">
        <v>3</v>
      </c>
      <c r="M523" s="17">
        <v>0</v>
      </c>
      <c r="N523" s="17">
        <v>0</v>
      </c>
      <c r="O523" s="17">
        <v>3</v>
      </c>
      <c r="P523" s="17">
        <v>0</v>
      </c>
      <c r="Q523" s="17">
        <v>3</v>
      </c>
      <c r="R523" s="17">
        <v>2</v>
      </c>
      <c r="S523" s="17"/>
      <c r="T523" s="17" t="s">
        <v>3052</v>
      </c>
      <c r="U523" s="17" t="s">
        <v>3062</v>
      </c>
      <c r="V523" s="17" t="s">
        <v>3056</v>
      </c>
      <c r="W523" s="17"/>
      <c r="X523" s="17"/>
    </row>
    <row r="524" spans="1:24" hidden="1">
      <c r="A524" s="18">
        <v>523</v>
      </c>
      <c r="B524" s="17" t="s">
        <v>1211</v>
      </c>
      <c r="C524" s="17" t="s">
        <v>1212</v>
      </c>
      <c r="D524" s="17" t="s">
        <v>17</v>
      </c>
      <c r="E524" s="17" t="s">
        <v>8</v>
      </c>
      <c r="F524" s="17">
        <v>153</v>
      </c>
      <c r="G524" s="17">
        <v>0</v>
      </c>
      <c r="H524" s="17">
        <v>0</v>
      </c>
      <c r="I524" s="17">
        <v>153</v>
      </c>
      <c r="J524" s="17">
        <v>0</v>
      </c>
      <c r="K524" s="17">
        <v>0</v>
      </c>
      <c r="L524" s="17">
        <v>153</v>
      </c>
      <c r="M524" s="17">
        <v>0</v>
      </c>
      <c r="N524" s="17">
        <v>0</v>
      </c>
      <c r="O524" s="17">
        <v>153</v>
      </c>
      <c r="P524" s="17">
        <v>50</v>
      </c>
      <c r="Q524" s="17">
        <v>103</v>
      </c>
      <c r="R524" s="17">
        <v>0</v>
      </c>
      <c r="S524" s="17"/>
      <c r="T524" s="17" t="s">
        <v>3052</v>
      </c>
      <c r="U524" s="17" t="s">
        <v>3062</v>
      </c>
      <c r="V524" s="17" t="s">
        <v>3056</v>
      </c>
      <c r="W524" s="17"/>
      <c r="X524" s="17"/>
    </row>
    <row r="525" spans="1:24" hidden="1">
      <c r="A525" s="18">
        <v>524</v>
      </c>
      <c r="B525" s="17" t="s">
        <v>1066</v>
      </c>
      <c r="C525" s="17" t="s">
        <v>1067</v>
      </c>
      <c r="D525" s="17" t="s">
        <v>17</v>
      </c>
      <c r="E525" s="17" t="s">
        <v>8</v>
      </c>
      <c r="F525" s="17">
        <v>84</v>
      </c>
      <c r="G525" s="17">
        <v>40</v>
      </c>
      <c r="H525" s="17">
        <v>24</v>
      </c>
      <c r="I525" s="17">
        <v>100</v>
      </c>
      <c r="J525" s="17">
        <v>0</v>
      </c>
      <c r="K525" s="17">
        <v>0</v>
      </c>
      <c r="L525" s="17">
        <v>100</v>
      </c>
      <c r="M525" s="17">
        <v>0</v>
      </c>
      <c r="N525" s="17">
        <v>0</v>
      </c>
      <c r="O525" s="17">
        <v>100</v>
      </c>
      <c r="P525" s="17">
        <v>80</v>
      </c>
      <c r="Q525" s="17">
        <v>20</v>
      </c>
      <c r="R525" s="17">
        <v>40</v>
      </c>
      <c r="S525" s="17"/>
      <c r="T525" s="17" t="s">
        <v>2974</v>
      </c>
      <c r="U525" s="17" t="s">
        <v>3057</v>
      </c>
      <c r="V525" s="17" t="s">
        <v>3056</v>
      </c>
      <c r="W525" s="17"/>
      <c r="X525" s="17"/>
    </row>
    <row r="526" spans="1:24" hidden="1">
      <c r="A526" s="18">
        <v>525</v>
      </c>
      <c r="B526" s="17" t="s">
        <v>1215</v>
      </c>
      <c r="C526" s="17" t="s">
        <v>1216</v>
      </c>
      <c r="D526" s="17" t="s">
        <v>17</v>
      </c>
      <c r="E526" s="17" t="s">
        <v>8</v>
      </c>
      <c r="F526" s="17">
        <v>40</v>
      </c>
      <c r="G526" s="17">
        <v>0</v>
      </c>
      <c r="H526" s="17">
        <v>0</v>
      </c>
      <c r="I526" s="17">
        <v>40</v>
      </c>
      <c r="J526" s="17">
        <v>0</v>
      </c>
      <c r="K526" s="17">
        <v>0</v>
      </c>
      <c r="L526" s="17">
        <v>40</v>
      </c>
      <c r="M526" s="17">
        <v>0</v>
      </c>
      <c r="N526" s="17">
        <v>0</v>
      </c>
      <c r="O526" s="17">
        <v>40</v>
      </c>
      <c r="P526" s="17">
        <v>0</v>
      </c>
      <c r="Q526" s="17">
        <v>40</v>
      </c>
      <c r="R526" s="17">
        <v>0</v>
      </c>
      <c r="S526" s="17"/>
      <c r="T526" s="17" t="s">
        <v>3052</v>
      </c>
      <c r="U526" s="17" t="s">
        <v>3062</v>
      </c>
      <c r="V526" s="17" t="s">
        <v>3056</v>
      </c>
      <c r="W526" s="17"/>
      <c r="X526" s="17"/>
    </row>
    <row r="527" spans="1:24" hidden="1">
      <c r="A527" s="18">
        <v>526</v>
      </c>
      <c r="B527" s="17" t="s">
        <v>1217</v>
      </c>
      <c r="C527" s="17" t="s">
        <v>1218</v>
      </c>
      <c r="D527" s="17" t="s">
        <v>17</v>
      </c>
      <c r="E527" s="17" t="s">
        <v>8</v>
      </c>
      <c r="F527" s="17">
        <v>215</v>
      </c>
      <c r="G527" s="17">
        <v>0</v>
      </c>
      <c r="H527" s="17">
        <v>0</v>
      </c>
      <c r="I527" s="17">
        <v>215</v>
      </c>
      <c r="J527" s="17">
        <v>0</v>
      </c>
      <c r="K527" s="17">
        <v>0</v>
      </c>
      <c r="L527" s="17">
        <v>215</v>
      </c>
      <c r="M527" s="17">
        <v>0</v>
      </c>
      <c r="N527" s="17">
        <v>0</v>
      </c>
      <c r="O527" s="17">
        <v>215</v>
      </c>
      <c r="P527" s="17">
        <v>50</v>
      </c>
      <c r="Q527" s="17">
        <v>165</v>
      </c>
      <c r="R527" s="17">
        <v>0</v>
      </c>
      <c r="S527" s="17"/>
      <c r="T527" s="17" t="s">
        <v>3052</v>
      </c>
      <c r="U527" s="17" t="s">
        <v>3062</v>
      </c>
      <c r="V527" s="17" t="s">
        <v>3056</v>
      </c>
      <c r="W527" s="17"/>
      <c r="X527" s="17"/>
    </row>
    <row r="528" spans="1:24" hidden="1">
      <c r="A528" s="18">
        <v>527</v>
      </c>
      <c r="B528" s="17" t="s">
        <v>1219</v>
      </c>
      <c r="C528" s="17" t="s">
        <v>1220</v>
      </c>
      <c r="D528" s="17" t="s">
        <v>17</v>
      </c>
      <c r="E528" s="17" t="s">
        <v>8</v>
      </c>
      <c r="F528" s="17">
        <v>51</v>
      </c>
      <c r="G528" s="17">
        <v>0</v>
      </c>
      <c r="H528" s="17">
        <v>25</v>
      </c>
      <c r="I528" s="17">
        <v>26</v>
      </c>
      <c r="J528" s="17">
        <v>0</v>
      </c>
      <c r="K528" s="17">
        <v>0</v>
      </c>
      <c r="L528" s="17">
        <v>26</v>
      </c>
      <c r="M528" s="17">
        <v>0</v>
      </c>
      <c r="N528" s="17">
        <v>0</v>
      </c>
      <c r="O528" s="17">
        <v>26</v>
      </c>
      <c r="P528" s="17">
        <v>5</v>
      </c>
      <c r="Q528" s="17">
        <v>21</v>
      </c>
      <c r="R528" s="17">
        <v>0</v>
      </c>
      <c r="S528" s="17"/>
      <c r="T528" s="17" t="s">
        <v>3052</v>
      </c>
      <c r="U528" s="17" t="s">
        <v>3062</v>
      </c>
      <c r="V528" s="17" t="s">
        <v>3056</v>
      </c>
      <c r="W528" s="17"/>
      <c r="X528" s="17"/>
    </row>
    <row r="529" spans="1:24" hidden="1">
      <c r="A529" s="18">
        <v>528</v>
      </c>
      <c r="B529" s="17" t="s">
        <v>1221</v>
      </c>
      <c r="C529" s="17" t="s">
        <v>1222</v>
      </c>
      <c r="D529" s="17" t="s">
        <v>17</v>
      </c>
      <c r="E529" s="17" t="s">
        <v>8</v>
      </c>
      <c r="F529" s="17">
        <v>6</v>
      </c>
      <c r="G529" s="17">
        <v>0</v>
      </c>
      <c r="H529" s="17">
        <v>3</v>
      </c>
      <c r="I529" s="17">
        <v>3</v>
      </c>
      <c r="J529" s="17">
        <v>0</v>
      </c>
      <c r="K529" s="17">
        <v>0</v>
      </c>
      <c r="L529" s="17">
        <v>3</v>
      </c>
      <c r="M529" s="17">
        <v>0</v>
      </c>
      <c r="N529" s="17">
        <v>0</v>
      </c>
      <c r="O529" s="17">
        <v>3</v>
      </c>
      <c r="P529" s="17">
        <v>1</v>
      </c>
      <c r="Q529" s="17">
        <v>2</v>
      </c>
      <c r="R529" s="17">
        <v>0</v>
      </c>
      <c r="S529" s="17"/>
      <c r="T529" s="17" t="s">
        <v>3052</v>
      </c>
      <c r="U529" s="17" t="s">
        <v>3062</v>
      </c>
      <c r="V529" s="17" t="s">
        <v>3056</v>
      </c>
      <c r="W529" s="17"/>
      <c r="X529" s="17"/>
    </row>
    <row r="530" spans="1:24" hidden="1">
      <c r="A530" s="18">
        <v>529</v>
      </c>
      <c r="B530" s="17" t="s">
        <v>1223</v>
      </c>
      <c r="C530" s="17" t="s">
        <v>1224</v>
      </c>
      <c r="D530" s="17" t="s">
        <v>17</v>
      </c>
      <c r="E530" s="17" t="s">
        <v>8</v>
      </c>
      <c r="F530" s="17">
        <v>4</v>
      </c>
      <c r="G530" s="17">
        <v>2</v>
      </c>
      <c r="H530" s="17">
        <v>4</v>
      </c>
      <c r="I530" s="17">
        <v>2</v>
      </c>
      <c r="J530" s="17">
        <v>0</v>
      </c>
      <c r="K530" s="17">
        <v>0</v>
      </c>
      <c r="L530" s="17">
        <v>2</v>
      </c>
      <c r="M530" s="17">
        <v>0</v>
      </c>
      <c r="N530" s="17">
        <v>0</v>
      </c>
      <c r="O530" s="17">
        <v>2</v>
      </c>
      <c r="P530" s="17">
        <v>1</v>
      </c>
      <c r="Q530" s="17">
        <v>1</v>
      </c>
      <c r="R530" s="17">
        <v>2</v>
      </c>
      <c r="S530" s="17"/>
      <c r="T530" s="17" t="s">
        <v>3052</v>
      </c>
      <c r="U530" s="17" t="s">
        <v>3062</v>
      </c>
      <c r="V530" s="17" t="s">
        <v>3056</v>
      </c>
      <c r="W530" s="17"/>
      <c r="X530" s="17"/>
    </row>
    <row r="531" spans="1:24" hidden="1">
      <c r="A531" s="18">
        <v>530</v>
      </c>
      <c r="B531" s="17" t="s">
        <v>1225</v>
      </c>
      <c r="C531" s="17" t="s">
        <v>1226</v>
      </c>
      <c r="D531" s="17" t="s">
        <v>17</v>
      </c>
      <c r="E531" s="17" t="s">
        <v>8</v>
      </c>
      <c r="F531" s="17">
        <v>2</v>
      </c>
      <c r="G531" s="17">
        <v>0</v>
      </c>
      <c r="H531" s="17">
        <v>0</v>
      </c>
      <c r="I531" s="17">
        <v>2</v>
      </c>
      <c r="J531" s="17">
        <v>0</v>
      </c>
      <c r="K531" s="17">
        <v>0</v>
      </c>
      <c r="L531" s="17">
        <v>2</v>
      </c>
      <c r="M531" s="17">
        <v>0</v>
      </c>
      <c r="N531" s="17">
        <v>0</v>
      </c>
      <c r="O531" s="17">
        <v>2</v>
      </c>
      <c r="P531" s="17">
        <v>0</v>
      </c>
      <c r="Q531" s="17">
        <v>2</v>
      </c>
      <c r="R531" s="17">
        <v>0</v>
      </c>
      <c r="S531" s="17"/>
      <c r="T531" s="17" t="s">
        <v>3052</v>
      </c>
      <c r="U531" s="17" t="s">
        <v>3062</v>
      </c>
      <c r="V531" s="17" t="s">
        <v>3056</v>
      </c>
      <c r="W531" s="17"/>
      <c r="X531" s="17"/>
    </row>
    <row r="532" spans="1:24" hidden="1">
      <c r="A532" s="18">
        <v>531</v>
      </c>
      <c r="B532" s="17" t="s">
        <v>1227</v>
      </c>
      <c r="C532" s="17" t="s">
        <v>1228</v>
      </c>
      <c r="D532" s="17" t="s">
        <v>17</v>
      </c>
      <c r="E532" s="17" t="s">
        <v>8</v>
      </c>
      <c r="F532" s="17">
        <v>0</v>
      </c>
      <c r="G532" s="17">
        <v>0</v>
      </c>
      <c r="H532" s="17">
        <v>0</v>
      </c>
      <c r="I532" s="17">
        <v>0</v>
      </c>
      <c r="J532" s="17">
        <v>0</v>
      </c>
      <c r="K532" s="17">
        <v>0</v>
      </c>
      <c r="L532" s="17">
        <v>0</v>
      </c>
      <c r="M532" s="17">
        <v>0</v>
      </c>
      <c r="N532" s="17">
        <v>0</v>
      </c>
      <c r="O532" s="17">
        <v>0</v>
      </c>
      <c r="P532" s="17">
        <v>0</v>
      </c>
      <c r="Q532" s="17">
        <v>0</v>
      </c>
      <c r="R532" s="17">
        <v>0</v>
      </c>
      <c r="S532" s="17"/>
      <c r="T532" s="17" t="s">
        <v>3052</v>
      </c>
      <c r="U532" s="17" t="s">
        <v>3062</v>
      </c>
      <c r="V532" s="17" t="s">
        <v>3056</v>
      </c>
      <c r="W532" s="17"/>
      <c r="X532" s="17"/>
    </row>
    <row r="533" spans="1:24" hidden="1">
      <c r="A533" s="18">
        <v>532</v>
      </c>
      <c r="B533" s="17" t="s">
        <v>1229</v>
      </c>
      <c r="C533" s="17" t="s">
        <v>1230</v>
      </c>
      <c r="D533" s="17" t="s">
        <v>17</v>
      </c>
      <c r="E533" s="17" t="s">
        <v>8</v>
      </c>
      <c r="F533" s="17">
        <v>8</v>
      </c>
      <c r="G533" s="17">
        <v>0</v>
      </c>
      <c r="H533" s="17">
        <v>1</v>
      </c>
      <c r="I533" s="17">
        <v>7</v>
      </c>
      <c r="J533" s="17">
        <v>0</v>
      </c>
      <c r="K533" s="17">
        <v>0</v>
      </c>
      <c r="L533" s="17">
        <v>7</v>
      </c>
      <c r="M533" s="17">
        <v>0</v>
      </c>
      <c r="N533" s="17">
        <v>0</v>
      </c>
      <c r="O533" s="17">
        <v>7</v>
      </c>
      <c r="P533" s="17">
        <v>0</v>
      </c>
      <c r="Q533" s="17">
        <v>7</v>
      </c>
      <c r="R533" s="17">
        <v>0</v>
      </c>
      <c r="S533" s="17"/>
      <c r="T533" s="17" t="s">
        <v>3052</v>
      </c>
      <c r="U533" s="17" t="s">
        <v>3062</v>
      </c>
      <c r="V533" s="17" t="s">
        <v>3056</v>
      </c>
      <c r="W533" s="17"/>
      <c r="X533" s="17"/>
    </row>
    <row r="534" spans="1:24" hidden="1">
      <c r="A534" s="18">
        <v>533</v>
      </c>
      <c r="B534" s="17" t="s">
        <v>1233</v>
      </c>
      <c r="C534" s="17" t="s">
        <v>1234</v>
      </c>
      <c r="D534" s="17" t="s">
        <v>17</v>
      </c>
      <c r="E534" s="17" t="s">
        <v>8</v>
      </c>
      <c r="F534" s="17">
        <v>6</v>
      </c>
      <c r="G534" s="17">
        <v>0</v>
      </c>
      <c r="H534" s="17">
        <v>0</v>
      </c>
      <c r="I534" s="17">
        <v>6</v>
      </c>
      <c r="J534" s="17">
        <v>0</v>
      </c>
      <c r="K534" s="17">
        <v>0</v>
      </c>
      <c r="L534" s="17">
        <v>6</v>
      </c>
      <c r="M534" s="17">
        <v>0</v>
      </c>
      <c r="N534" s="17">
        <v>0</v>
      </c>
      <c r="O534" s="17">
        <v>6</v>
      </c>
      <c r="P534" s="17">
        <v>1</v>
      </c>
      <c r="Q534" s="17">
        <v>5</v>
      </c>
      <c r="R534" s="17">
        <v>0</v>
      </c>
      <c r="S534" s="17"/>
      <c r="T534" s="17" t="s">
        <v>3052</v>
      </c>
      <c r="U534" s="17" t="s">
        <v>3062</v>
      </c>
      <c r="V534" s="17" t="s">
        <v>3056</v>
      </c>
      <c r="W534" s="17"/>
      <c r="X534" s="17"/>
    </row>
    <row r="535" spans="1:24" hidden="1">
      <c r="A535" s="18">
        <v>534</v>
      </c>
      <c r="B535" s="17" t="s">
        <v>1235</v>
      </c>
      <c r="C535" s="17" t="s">
        <v>1236</v>
      </c>
      <c r="D535" s="17" t="s">
        <v>17</v>
      </c>
      <c r="E535" s="17" t="s">
        <v>8</v>
      </c>
      <c r="F535" s="17">
        <v>8</v>
      </c>
      <c r="G535" s="17">
        <v>0</v>
      </c>
      <c r="H535" s="17">
        <v>2</v>
      </c>
      <c r="I535" s="17">
        <v>6</v>
      </c>
      <c r="J535" s="17">
        <v>0</v>
      </c>
      <c r="K535" s="17">
        <v>0</v>
      </c>
      <c r="L535" s="17">
        <v>6</v>
      </c>
      <c r="M535" s="17">
        <v>0</v>
      </c>
      <c r="N535" s="17">
        <v>0</v>
      </c>
      <c r="O535" s="17">
        <v>6</v>
      </c>
      <c r="P535" s="17">
        <v>1</v>
      </c>
      <c r="Q535" s="17">
        <v>5</v>
      </c>
      <c r="R535" s="17">
        <v>0</v>
      </c>
      <c r="S535" s="17"/>
      <c r="T535" s="17" t="s">
        <v>3052</v>
      </c>
      <c r="U535" s="17" t="s">
        <v>3062</v>
      </c>
      <c r="V535" s="17" t="s">
        <v>3056</v>
      </c>
      <c r="W535" s="17"/>
      <c r="X535" s="17"/>
    </row>
    <row r="536" spans="1:24" hidden="1">
      <c r="A536" s="18">
        <v>535</v>
      </c>
      <c r="B536" s="17" t="s">
        <v>1237</v>
      </c>
      <c r="C536" s="17" t="s">
        <v>1238</v>
      </c>
      <c r="D536" s="17" t="s">
        <v>17</v>
      </c>
      <c r="E536" s="17" t="s">
        <v>8</v>
      </c>
      <c r="F536" s="17">
        <v>37</v>
      </c>
      <c r="G536" s="17">
        <v>0</v>
      </c>
      <c r="H536" s="17">
        <v>5</v>
      </c>
      <c r="I536" s="17">
        <v>32</v>
      </c>
      <c r="J536" s="17">
        <v>0</v>
      </c>
      <c r="K536" s="17">
        <v>0</v>
      </c>
      <c r="L536" s="17">
        <v>32</v>
      </c>
      <c r="M536" s="17">
        <v>0</v>
      </c>
      <c r="N536" s="17">
        <v>0</v>
      </c>
      <c r="O536" s="17">
        <v>32</v>
      </c>
      <c r="P536" s="17">
        <v>10</v>
      </c>
      <c r="Q536" s="17">
        <v>22</v>
      </c>
      <c r="R536" s="17">
        <v>0</v>
      </c>
      <c r="S536" s="17"/>
      <c r="T536" s="17" t="s">
        <v>3052</v>
      </c>
      <c r="U536" s="17" t="s">
        <v>3062</v>
      </c>
      <c r="V536" s="17" t="s">
        <v>3056</v>
      </c>
      <c r="W536" s="17"/>
      <c r="X536" s="17"/>
    </row>
    <row r="537" spans="1:24" hidden="1">
      <c r="A537" s="18">
        <v>536</v>
      </c>
      <c r="B537" s="17" t="s">
        <v>1239</v>
      </c>
      <c r="C537" s="17" t="s">
        <v>1240</v>
      </c>
      <c r="D537" s="17" t="s">
        <v>17</v>
      </c>
      <c r="E537" s="17" t="s">
        <v>8</v>
      </c>
      <c r="F537" s="17">
        <v>0</v>
      </c>
      <c r="G537" s="17">
        <v>0</v>
      </c>
      <c r="H537" s="17">
        <v>0</v>
      </c>
      <c r="I537" s="17">
        <v>0</v>
      </c>
      <c r="J537" s="17">
        <v>0</v>
      </c>
      <c r="K537" s="17">
        <v>0</v>
      </c>
      <c r="L537" s="17">
        <v>0</v>
      </c>
      <c r="M537" s="17">
        <v>0</v>
      </c>
      <c r="N537" s="17">
        <v>0</v>
      </c>
      <c r="O537" s="17">
        <v>0</v>
      </c>
      <c r="P537" s="17">
        <v>0</v>
      </c>
      <c r="Q537" s="17">
        <v>0</v>
      </c>
      <c r="R537" s="17">
        <v>0</v>
      </c>
      <c r="S537" s="17"/>
      <c r="T537" s="17" t="s">
        <v>3052</v>
      </c>
      <c r="U537" s="17" t="s">
        <v>3062</v>
      </c>
      <c r="V537" s="17" t="s">
        <v>3056</v>
      </c>
      <c r="W537" s="17"/>
      <c r="X537" s="17"/>
    </row>
    <row r="538" spans="1:24" hidden="1">
      <c r="A538" s="18">
        <v>537</v>
      </c>
      <c r="B538" s="17" t="s">
        <v>1241</v>
      </c>
      <c r="C538" s="17" t="s">
        <v>1242</v>
      </c>
      <c r="D538" s="17" t="s">
        <v>17</v>
      </c>
      <c r="E538" s="17" t="s">
        <v>8</v>
      </c>
      <c r="F538" s="17">
        <v>2695</v>
      </c>
      <c r="G538" s="17">
        <v>0</v>
      </c>
      <c r="H538" s="17">
        <v>30</v>
      </c>
      <c r="I538" s="17">
        <v>2665</v>
      </c>
      <c r="J538" s="17">
        <v>0</v>
      </c>
      <c r="K538" s="17">
        <v>0</v>
      </c>
      <c r="L538" s="17">
        <v>2665</v>
      </c>
      <c r="M538" s="17">
        <v>0</v>
      </c>
      <c r="N538" s="17">
        <v>0</v>
      </c>
      <c r="O538" s="17">
        <v>2665</v>
      </c>
      <c r="P538" s="17">
        <v>200</v>
      </c>
      <c r="Q538" s="17">
        <v>2465</v>
      </c>
      <c r="R538" s="17">
        <v>0</v>
      </c>
      <c r="S538" s="17"/>
      <c r="T538" s="17" t="s">
        <v>3052</v>
      </c>
      <c r="U538" s="17" t="s">
        <v>3062</v>
      </c>
      <c r="V538" s="17" t="s">
        <v>3056</v>
      </c>
      <c r="W538" s="17"/>
      <c r="X538" s="17"/>
    </row>
    <row r="539" spans="1:24" hidden="1">
      <c r="A539" s="18">
        <v>538</v>
      </c>
      <c r="B539" s="17" t="s">
        <v>1243</v>
      </c>
      <c r="C539" s="17" t="s">
        <v>1244</v>
      </c>
      <c r="D539" s="17" t="s">
        <v>116</v>
      </c>
      <c r="E539" s="17" t="s">
        <v>8</v>
      </c>
      <c r="F539" s="17">
        <v>14</v>
      </c>
      <c r="G539" s="17">
        <v>0</v>
      </c>
      <c r="H539" s="17">
        <v>0</v>
      </c>
      <c r="I539" s="17">
        <v>14</v>
      </c>
      <c r="J539" s="17">
        <v>0</v>
      </c>
      <c r="K539" s="17">
        <v>0</v>
      </c>
      <c r="L539" s="17">
        <v>14</v>
      </c>
      <c r="M539" s="17">
        <v>0</v>
      </c>
      <c r="N539" s="17">
        <v>0</v>
      </c>
      <c r="O539" s="17">
        <v>14</v>
      </c>
      <c r="P539" s="17">
        <v>0</v>
      </c>
      <c r="Q539" s="17">
        <v>14</v>
      </c>
      <c r="R539" s="17">
        <v>0</v>
      </c>
      <c r="S539" s="17"/>
      <c r="T539" s="17" t="s">
        <v>3052</v>
      </c>
      <c r="U539" s="17" t="s">
        <v>3062</v>
      </c>
      <c r="V539" s="17" t="s">
        <v>3056</v>
      </c>
      <c r="W539" s="17"/>
      <c r="X539" s="17"/>
    </row>
    <row r="540" spans="1:24" hidden="1">
      <c r="A540" s="18">
        <v>539</v>
      </c>
      <c r="B540" s="17" t="s">
        <v>1245</v>
      </c>
      <c r="C540" s="17" t="s">
        <v>1246</v>
      </c>
      <c r="D540" s="17" t="s">
        <v>116</v>
      </c>
      <c r="E540" s="17" t="s">
        <v>8</v>
      </c>
      <c r="F540" s="17">
        <v>4</v>
      </c>
      <c r="G540" s="17">
        <v>0</v>
      </c>
      <c r="H540" s="17">
        <v>0</v>
      </c>
      <c r="I540" s="17">
        <v>4</v>
      </c>
      <c r="J540" s="17">
        <v>0</v>
      </c>
      <c r="K540" s="17">
        <v>0</v>
      </c>
      <c r="L540" s="17">
        <v>4</v>
      </c>
      <c r="M540" s="17">
        <v>0</v>
      </c>
      <c r="N540" s="17">
        <v>0</v>
      </c>
      <c r="O540" s="17">
        <v>4</v>
      </c>
      <c r="P540" s="17">
        <v>0</v>
      </c>
      <c r="Q540" s="17">
        <v>4</v>
      </c>
      <c r="R540" s="17">
        <v>0</v>
      </c>
      <c r="S540" s="17"/>
      <c r="T540" s="17" t="s">
        <v>3052</v>
      </c>
      <c r="U540" s="17" t="s">
        <v>3062</v>
      </c>
      <c r="V540" s="17" t="s">
        <v>3056</v>
      </c>
      <c r="W540" s="17"/>
      <c r="X540" s="17"/>
    </row>
    <row r="541" spans="1:24" hidden="1">
      <c r="A541" s="18">
        <v>540</v>
      </c>
      <c r="B541" s="17" t="s">
        <v>1247</v>
      </c>
      <c r="C541" s="17" t="s">
        <v>1248</v>
      </c>
      <c r="D541" s="17" t="s">
        <v>17</v>
      </c>
      <c r="E541" s="17" t="s">
        <v>8</v>
      </c>
      <c r="F541" s="17">
        <v>60</v>
      </c>
      <c r="G541" s="17">
        <v>0</v>
      </c>
      <c r="H541" s="17">
        <v>20</v>
      </c>
      <c r="I541" s="17">
        <v>40</v>
      </c>
      <c r="J541" s="17">
        <v>0</v>
      </c>
      <c r="K541" s="17">
        <v>0</v>
      </c>
      <c r="L541" s="17">
        <v>40</v>
      </c>
      <c r="M541" s="17">
        <v>0</v>
      </c>
      <c r="N541" s="17">
        <v>0</v>
      </c>
      <c r="O541" s="17">
        <v>40</v>
      </c>
      <c r="P541" s="17">
        <v>5</v>
      </c>
      <c r="Q541" s="17">
        <v>35</v>
      </c>
      <c r="R541" s="17">
        <v>0</v>
      </c>
      <c r="S541" s="17"/>
      <c r="T541" s="17" t="s">
        <v>3052</v>
      </c>
      <c r="U541" s="17" t="s">
        <v>3062</v>
      </c>
      <c r="V541" s="17" t="s">
        <v>3056</v>
      </c>
      <c r="W541" s="17"/>
      <c r="X541" s="17"/>
    </row>
    <row r="542" spans="1:24" hidden="1">
      <c r="A542" s="18">
        <v>541</v>
      </c>
      <c r="B542" s="17" t="s">
        <v>1249</v>
      </c>
      <c r="C542" s="17" t="s">
        <v>1250</v>
      </c>
      <c r="D542" s="17" t="s">
        <v>17</v>
      </c>
      <c r="E542" s="17" t="s">
        <v>8</v>
      </c>
      <c r="F542" s="17">
        <v>104</v>
      </c>
      <c r="G542" s="17">
        <v>50</v>
      </c>
      <c r="H542" s="17">
        <v>64</v>
      </c>
      <c r="I542" s="17">
        <v>90</v>
      </c>
      <c r="J542" s="17">
        <v>0</v>
      </c>
      <c r="K542" s="17">
        <v>0</v>
      </c>
      <c r="L542" s="17">
        <v>90</v>
      </c>
      <c r="M542" s="17">
        <v>0</v>
      </c>
      <c r="N542" s="17">
        <v>0</v>
      </c>
      <c r="O542" s="17">
        <v>90</v>
      </c>
      <c r="P542" s="17">
        <v>10</v>
      </c>
      <c r="Q542" s="17">
        <v>80</v>
      </c>
      <c r="R542" s="17">
        <v>50</v>
      </c>
      <c r="S542" s="17"/>
      <c r="T542" s="17" t="s">
        <v>3052</v>
      </c>
      <c r="U542" s="17" t="s">
        <v>3062</v>
      </c>
      <c r="V542" s="17" t="s">
        <v>3056</v>
      </c>
      <c r="W542" s="17"/>
      <c r="X542" s="17"/>
    </row>
    <row r="543" spans="1:24" hidden="1">
      <c r="A543" s="18">
        <v>542</v>
      </c>
      <c r="B543" s="17" t="s">
        <v>1251</v>
      </c>
      <c r="C543" s="17" t="s">
        <v>1252</v>
      </c>
      <c r="D543" s="17" t="s">
        <v>17</v>
      </c>
      <c r="E543" s="17" t="s">
        <v>8</v>
      </c>
      <c r="F543" s="17">
        <v>133</v>
      </c>
      <c r="G543" s="17">
        <v>50</v>
      </c>
      <c r="H543" s="17">
        <v>73</v>
      </c>
      <c r="I543" s="17">
        <v>110</v>
      </c>
      <c r="J543" s="17">
        <v>0</v>
      </c>
      <c r="K543" s="17">
        <v>0</v>
      </c>
      <c r="L543" s="17">
        <v>110</v>
      </c>
      <c r="M543" s="17">
        <v>0</v>
      </c>
      <c r="N543" s="17">
        <v>0</v>
      </c>
      <c r="O543" s="17">
        <v>110</v>
      </c>
      <c r="P543" s="17">
        <v>10</v>
      </c>
      <c r="Q543" s="17">
        <v>100</v>
      </c>
      <c r="R543" s="17">
        <v>50</v>
      </c>
      <c r="S543" s="17"/>
      <c r="T543" s="17" t="s">
        <v>3052</v>
      </c>
      <c r="U543" s="17" t="s">
        <v>3062</v>
      </c>
      <c r="V543" s="17" t="s">
        <v>3056</v>
      </c>
      <c r="W543" s="17"/>
      <c r="X543" s="17"/>
    </row>
    <row r="544" spans="1:24" hidden="1">
      <c r="A544" s="18">
        <v>543</v>
      </c>
      <c r="B544" s="17" t="s">
        <v>1253</v>
      </c>
      <c r="C544" s="17" t="s">
        <v>1254</v>
      </c>
      <c r="D544" s="17" t="s">
        <v>17</v>
      </c>
      <c r="E544" s="17" t="s">
        <v>8</v>
      </c>
      <c r="F544" s="17">
        <v>19</v>
      </c>
      <c r="G544" s="17">
        <v>0</v>
      </c>
      <c r="H544" s="17">
        <v>3</v>
      </c>
      <c r="I544" s="17">
        <v>16</v>
      </c>
      <c r="J544" s="17">
        <v>0</v>
      </c>
      <c r="K544" s="17">
        <v>0</v>
      </c>
      <c r="L544" s="17">
        <v>16</v>
      </c>
      <c r="M544" s="17">
        <v>0</v>
      </c>
      <c r="N544" s="17">
        <v>0</v>
      </c>
      <c r="O544" s="17">
        <v>16</v>
      </c>
      <c r="P544" s="17">
        <v>10</v>
      </c>
      <c r="Q544" s="17">
        <v>6</v>
      </c>
      <c r="R544" s="17">
        <v>0</v>
      </c>
      <c r="S544" s="17"/>
      <c r="T544" s="17" t="s">
        <v>3052</v>
      </c>
      <c r="U544" s="17" t="s">
        <v>3062</v>
      </c>
      <c r="V544" s="17" t="s">
        <v>3056</v>
      </c>
      <c r="W544" s="17"/>
      <c r="X544" s="17"/>
    </row>
    <row r="545" spans="1:24" hidden="1">
      <c r="A545" s="18">
        <v>544</v>
      </c>
      <c r="B545" s="17" t="s">
        <v>1255</v>
      </c>
      <c r="C545" s="17" t="s">
        <v>1256</v>
      </c>
      <c r="D545" s="17" t="s">
        <v>17</v>
      </c>
      <c r="E545" s="17" t="s">
        <v>8</v>
      </c>
      <c r="F545" s="17">
        <v>1</v>
      </c>
      <c r="G545" s="17">
        <v>0</v>
      </c>
      <c r="H545" s="17">
        <v>0</v>
      </c>
      <c r="I545" s="17">
        <v>1</v>
      </c>
      <c r="J545" s="17">
        <v>0</v>
      </c>
      <c r="K545" s="17">
        <v>0</v>
      </c>
      <c r="L545" s="17">
        <v>1</v>
      </c>
      <c r="M545" s="17">
        <v>0</v>
      </c>
      <c r="N545" s="17">
        <v>0</v>
      </c>
      <c r="O545" s="17">
        <v>1</v>
      </c>
      <c r="P545" s="17">
        <v>0</v>
      </c>
      <c r="Q545" s="17">
        <v>1</v>
      </c>
      <c r="R545" s="17">
        <v>0</v>
      </c>
      <c r="S545" s="17"/>
      <c r="T545" s="17" t="s">
        <v>3052</v>
      </c>
      <c r="U545" s="17" t="s">
        <v>3062</v>
      </c>
      <c r="V545" s="17" t="s">
        <v>3056</v>
      </c>
      <c r="W545" s="17"/>
      <c r="X545" s="17"/>
    </row>
    <row r="546" spans="1:24" hidden="1">
      <c r="A546" s="18">
        <v>545</v>
      </c>
      <c r="B546" s="17" t="s">
        <v>1257</v>
      </c>
      <c r="C546" s="17" t="s">
        <v>1258</v>
      </c>
      <c r="D546" s="17" t="s">
        <v>17</v>
      </c>
      <c r="E546" s="17" t="s">
        <v>8</v>
      </c>
      <c r="F546" s="17">
        <v>1</v>
      </c>
      <c r="G546" s="17">
        <v>0</v>
      </c>
      <c r="H546" s="17">
        <v>0</v>
      </c>
      <c r="I546" s="17">
        <v>1</v>
      </c>
      <c r="J546" s="17">
        <v>0</v>
      </c>
      <c r="K546" s="17">
        <v>0</v>
      </c>
      <c r="L546" s="17">
        <v>1</v>
      </c>
      <c r="M546" s="17">
        <v>0</v>
      </c>
      <c r="N546" s="17">
        <v>0</v>
      </c>
      <c r="O546" s="17">
        <v>1</v>
      </c>
      <c r="P546" s="17">
        <v>0</v>
      </c>
      <c r="Q546" s="17">
        <v>1</v>
      </c>
      <c r="R546" s="17">
        <v>0</v>
      </c>
      <c r="S546" s="17"/>
      <c r="T546" s="17" t="s">
        <v>3052</v>
      </c>
      <c r="U546" s="17" t="s">
        <v>3062</v>
      </c>
      <c r="V546" s="17" t="s">
        <v>3056</v>
      </c>
      <c r="W546" s="17"/>
      <c r="X546" s="17"/>
    </row>
    <row r="547" spans="1:24" hidden="1">
      <c r="A547" s="18">
        <v>546</v>
      </c>
      <c r="B547" s="17" t="s">
        <v>1259</v>
      </c>
      <c r="C547" s="17" t="s">
        <v>1260</v>
      </c>
      <c r="D547" s="17" t="s">
        <v>17</v>
      </c>
      <c r="E547" s="17" t="s">
        <v>8</v>
      </c>
      <c r="F547" s="17">
        <v>48</v>
      </c>
      <c r="G547" s="17">
        <v>0</v>
      </c>
      <c r="H547" s="17">
        <v>15</v>
      </c>
      <c r="I547" s="17">
        <v>33</v>
      </c>
      <c r="J547" s="17">
        <v>0</v>
      </c>
      <c r="K547" s="17">
        <v>0</v>
      </c>
      <c r="L547" s="17">
        <v>33</v>
      </c>
      <c r="M547" s="17">
        <v>0</v>
      </c>
      <c r="N547" s="17">
        <v>0</v>
      </c>
      <c r="O547" s="17">
        <v>33</v>
      </c>
      <c r="P547" s="17">
        <v>0</v>
      </c>
      <c r="Q547" s="17">
        <v>33</v>
      </c>
      <c r="R547" s="17">
        <v>0</v>
      </c>
      <c r="S547" s="17"/>
      <c r="T547" s="17" t="s">
        <v>3052</v>
      </c>
      <c r="U547" s="17" t="s">
        <v>3062</v>
      </c>
      <c r="V547" s="17" t="s">
        <v>3056</v>
      </c>
      <c r="W547" s="17"/>
      <c r="X547" s="17"/>
    </row>
    <row r="548" spans="1:24" hidden="1">
      <c r="A548" s="18">
        <v>547</v>
      </c>
      <c r="B548" s="17" t="s">
        <v>1068</v>
      </c>
      <c r="C548" s="17" t="s">
        <v>1069</v>
      </c>
      <c r="D548" s="17" t="s">
        <v>17</v>
      </c>
      <c r="E548" s="17" t="s">
        <v>8</v>
      </c>
      <c r="F548" s="17">
        <v>900</v>
      </c>
      <c r="G548" s="17">
        <v>5000</v>
      </c>
      <c r="H548" s="17">
        <v>0</v>
      </c>
      <c r="I548" s="17">
        <v>5900</v>
      </c>
      <c r="J548" s="17">
        <v>0</v>
      </c>
      <c r="K548" s="17">
        <v>0</v>
      </c>
      <c r="L548" s="17">
        <v>5900</v>
      </c>
      <c r="M548" s="17">
        <v>0</v>
      </c>
      <c r="N548" s="17">
        <v>0</v>
      </c>
      <c r="O548" s="17">
        <v>5900</v>
      </c>
      <c r="P548" s="17">
        <v>1000</v>
      </c>
      <c r="Q548" s="17">
        <v>4900</v>
      </c>
      <c r="R548" s="17">
        <v>0</v>
      </c>
      <c r="S548" s="17"/>
      <c r="T548" s="17" t="s">
        <v>2972</v>
      </c>
      <c r="U548" s="17" t="s">
        <v>3057</v>
      </c>
      <c r="V548" s="17" t="s">
        <v>3058</v>
      </c>
      <c r="W548" s="17"/>
      <c r="X548" s="17"/>
    </row>
    <row r="549" spans="1:24" hidden="1">
      <c r="A549" s="18">
        <v>548</v>
      </c>
      <c r="B549" s="17" t="s">
        <v>1263</v>
      </c>
      <c r="C549" s="17" t="s">
        <v>1264</v>
      </c>
      <c r="D549" s="17" t="s">
        <v>17</v>
      </c>
      <c r="E549" s="17" t="s">
        <v>8</v>
      </c>
      <c r="F549" s="17">
        <v>22</v>
      </c>
      <c r="G549" s="17">
        <v>0</v>
      </c>
      <c r="H549" s="17">
        <v>9</v>
      </c>
      <c r="I549" s="17">
        <v>13</v>
      </c>
      <c r="J549" s="17">
        <v>0</v>
      </c>
      <c r="K549" s="17">
        <v>0</v>
      </c>
      <c r="L549" s="17">
        <v>13</v>
      </c>
      <c r="M549" s="17">
        <v>0</v>
      </c>
      <c r="N549" s="17">
        <v>0</v>
      </c>
      <c r="O549" s="17">
        <v>13</v>
      </c>
      <c r="P549" s="17">
        <v>5</v>
      </c>
      <c r="Q549" s="17">
        <v>8</v>
      </c>
      <c r="R549" s="17">
        <v>0</v>
      </c>
      <c r="S549" s="17"/>
      <c r="T549" s="17" t="s">
        <v>3052</v>
      </c>
      <c r="U549" s="17" t="s">
        <v>3062</v>
      </c>
      <c r="V549" s="17" t="s">
        <v>3056</v>
      </c>
      <c r="W549" s="17"/>
      <c r="X549" s="17"/>
    </row>
    <row r="550" spans="1:24" hidden="1">
      <c r="A550" s="18">
        <v>549</v>
      </c>
      <c r="B550" s="17" t="s">
        <v>1265</v>
      </c>
      <c r="C550" s="17" t="s">
        <v>1266</v>
      </c>
      <c r="D550" s="17" t="s">
        <v>116</v>
      </c>
      <c r="E550" s="17" t="s">
        <v>8</v>
      </c>
      <c r="F550" s="17">
        <v>4</v>
      </c>
      <c r="G550" s="17">
        <v>0</v>
      </c>
      <c r="H550" s="17">
        <v>0</v>
      </c>
      <c r="I550" s="17">
        <v>4</v>
      </c>
      <c r="J550" s="17">
        <v>0</v>
      </c>
      <c r="K550" s="17">
        <v>0</v>
      </c>
      <c r="L550" s="17">
        <v>4</v>
      </c>
      <c r="M550" s="17">
        <v>0</v>
      </c>
      <c r="N550" s="17">
        <v>0</v>
      </c>
      <c r="O550" s="17">
        <v>4</v>
      </c>
      <c r="P550" s="17">
        <v>1</v>
      </c>
      <c r="Q550" s="17">
        <v>3</v>
      </c>
      <c r="R550" s="17">
        <v>0</v>
      </c>
      <c r="S550" s="17"/>
      <c r="T550" s="17" t="s">
        <v>3052</v>
      </c>
      <c r="U550" s="17" t="s">
        <v>3062</v>
      </c>
      <c r="V550" s="17" t="s">
        <v>3056</v>
      </c>
      <c r="W550" s="17"/>
      <c r="X550" s="17"/>
    </row>
    <row r="551" spans="1:24" hidden="1">
      <c r="A551" s="18">
        <v>550</v>
      </c>
      <c r="B551" s="17" t="s">
        <v>1267</v>
      </c>
      <c r="C551" s="17" t="s">
        <v>1268</v>
      </c>
      <c r="D551" s="17" t="s">
        <v>116</v>
      </c>
      <c r="E551" s="17" t="s">
        <v>8</v>
      </c>
      <c r="F551" s="17">
        <v>16</v>
      </c>
      <c r="G551" s="17">
        <v>10</v>
      </c>
      <c r="H551" s="17">
        <v>12</v>
      </c>
      <c r="I551" s="17">
        <v>14</v>
      </c>
      <c r="J551" s="17">
        <v>0</v>
      </c>
      <c r="K551" s="17">
        <v>0</v>
      </c>
      <c r="L551" s="17">
        <v>14</v>
      </c>
      <c r="M551" s="17">
        <v>0</v>
      </c>
      <c r="N551" s="17">
        <v>0</v>
      </c>
      <c r="O551" s="17">
        <v>14</v>
      </c>
      <c r="P551" s="17">
        <v>5</v>
      </c>
      <c r="Q551" s="17">
        <v>9</v>
      </c>
      <c r="R551" s="17">
        <v>5</v>
      </c>
      <c r="S551" s="17"/>
      <c r="T551" s="17" t="s">
        <v>3052</v>
      </c>
      <c r="U551" s="17" t="s">
        <v>3062</v>
      </c>
      <c r="V551" s="17" t="s">
        <v>3056</v>
      </c>
      <c r="W551" s="17"/>
      <c r="X551" s="17"/>
    </row>
    <row r="552" spans="1:24" hidden="1">
      <c r="A552" s="18">
        <v>551</v>
      </c>
      <c r="B552" s="17" t="s">
        <v>1269</v>
      </c>
      <c r="C552" s="17" t="s">
        <v>1270</v>
      </c>
      <c r="D552" s="17" t="s">
        <v>116</v>
      </c>
      <c r="E552" s="17" t="s">
        <v>8</v>
      </c>
      <c r="F552" s="17">
        <v>2</v>
      </c>
      <c r="G552" s="17">
        <v>0</v>
      </c>
      <c r="H552" s="17">
        <v>0</v>
      </c>
      <c r="I552" s="17">
        <v>2</v>
      </c>
      <c r="J552" s="17">
        <v>0</v>
      </c>
      <c r="K552" s="17">
        <v>0</v>
      </c>
      <c r="L552" s="17">
        <v>2</v>
      </c>
      <c r="M552" s="17">
        <v>0</v>
      </c>
      <c r="N552" s="17">
        <v>0</v>
      </c>
      <c r="O552" s="17">
        <v>2</v>
      </c>
      <c r="P552" s="17">
        <v>1</v>
      </c>
      <c r="Q552" s="17">
        <v>1</v>
      </c>
      <c r="R552" s="17">
        <v>0</v>
      </c>
      <c r="S552" s="17"/>
      <c r="T552" s="17" t="s">
        <v>3052</v>
      </c>
      <c r="U552" s="17" t="s">
        <v>3062</v>
      </c>
      <c r="V552" s="17" t="s">
        <v>3056</v>
      </c>
      <c r="W552" s="17"/>
      <c r="X552" s="17"/>
    </row>
    <row r="553" spans="1:24" hidden="1">
      <c r="A553" s="18">
        <v>552</v>
      </c>
      <c r="B553" s="17" t="s">
        <v>1070</v>
      </c>
      <c r="C553" s="17" t="s">
        <v>1071</v>
      </c>
      <c r="D553" s="17" t="s">
        <v>17</v>
      </c>
      <c r="E553" s="17" t="s">
        <v>8</v>
      </c>
      <c r="F553" s="17">
        <v>0</v>
      </c>
      <c r="G553" s="17">
        <v>0</v>
      </c>
      <c r="H553" s="17">
        <v>0</v>
      </c>
      <c r="I553" s="17">
        <v>0</v>
      </c>
      <c r="J553" s="17">
        <v>0</v>
      </c>
      <c r="K553" s="17">
        <v>0</v>
      </c>
      <c r="L553" s="17">
        <v>0</v>
      </c>
      <c r="M553" s="17">
        <v>0</v>
      </c>
      <c r="N553" s="17">
        <v>0</v>
      </c>
      <c r="O553" s="17">
        <v>0</v>
      </c>
      <c r="P553" s="17">
        <v>0</v>
      </c>
      <c r="Q553" s="17">
        <v>0</v>
      </c>
      <c r="R553" s="17">
        <v>0</v>
      </c>
      <c r="S553" s="17"/>
      <c r="T553" s="17" t="s">
        <v>2972</v>
      </c>
      <c r="U553" s="17" t="s">
        <v>3057</v>
      </c>
      <c r="V553" s="17" t="s">
        <v>3056</v>
      </c>
      <c r="W553" s="17"/>
      <c r="X553" s="17"/>
    </row>
    <row r="554" spans="1:24" hidden="1">
      <c r="A554" s="18">
        <v>553</v>
      </c>
      <c r="B554" s="17" t="s">
        <v>1072</v>
      </c>
      <c r="C554" s="17" t="s">
        <v>1073</v>
      </c>
      <c r="D554" s="17" t="s">
        <v>17</v>
      </c>
      <c r="E554" s="17" t="s">
        <v>8</v>
      </c>
      <c r="F554" s="17">
        <v>0</v>
      </c>
      <c r="G554" s="17">
        <v>0</v>
      </c>
      <c r="H554" s="17">
        <v>0</v>
      </c>
      <c r="I554" s="17">
        <v>0</v>
      </c>
      <c r="J554" s="17">
        <v>0</v>
      </c>
      <c r="K554" s="17">
        <v>0</v>
      </c>
      <c r="L554" s="17">
        <v>0</v>
      </c>
      <c r="M554" s="17">
        <v>0</v>
      </c>
      <c r="N554" s="17">
        <v>0</v>
      </c>
      <c r="O554" s="17">
        <v>0</v>
      </c>
      <c r="P554" s="17">
        <v>0</v>
      </c>
      <c r="Q554" s="17">
        <v>0</v>
      </c>
      <c r="R554" s="17">
        <v>0</v>
      </c>
      <c r="S554" s="17"/>
      <c r="T554" s="17" t="s">
        <v>2972</v>
      </c>
      <c r="U554" s="17" t="s">
        <v>3057</v>
      </c>
      <c r="V554" s="17" t="s">
        <v>3058</v>
      </c>
      <c r="W554" s="17"/>
      <c r="X554" s="17"/>
    </row>
    <row r="555" spans="1:24" hidden="1">
      <c r="A555" s="18">
        <v>554</v>
      </c>
      <c r="B555" s="17" t="s">
        <v>1277</v>
      </c>
      <c r="C555" s="17" t="s">
        <v>1278</v>
      </c>
      <c r="D555" s="17" t="s">
        <v>17</v>
      </c>
      <c r="E555" s="17" t="s">
        <v>8</v>
      </c>
      <c r="F555" s="17">
        <v>22</v>
      </c>
      <c r="G555" s="17">
        <v>0</v>
      </c>
      <c r="H555" s="17">
        <v>14</v>
      </c>
      <c r="I555" s="17">
        <v>8</v>
      </c>
      <c r="J555" s="17">
        <v>0</v>
      </c>
      <c r="K555" s="17">
        <v>0</v>
      </c>
      <c r="L555" s="17">
        <v>8</v>
      </c>
      <c r="M555" s="17">
        <v>0</v>
      </c>
      <c r="N555" s="17">
        <v>0</v>
      </c>
      <c r="O555" s="17">
        <v>8</v>
      </c>
      <c r="P555" s="17">
        <v>10</v>
      </c>
      <c r="Q555" s="17">
        <v>-2</v>
      </c>
      <c r="R555" s="17">
        <v>0</v>
      </c>
      <c r="S555" s="17"/>
      <c r="T555" s="17" t="s">
        <v>3052</v>
      </c>
      <c r="U555" s="17" t="s">
        <v>3062</v>
      </c>
      <c r="V555" s="17" t="s">
        <v>3056</v>
      </c>
      <c r="W555" s="17"/>
      <c r="X555" s="17"/>
    </row>
    <row r="556" spans="1:24" hidden="1">
      <c r="A556" s="18">
        <v>555</v>
      </c>
      <c r="B556" s="17" t="s">
        <v>1279</v>
      </c>
      <c r="C556" s="17" t="s">
        <v>1280</v>
      </c>
      <c r="D556" s="17" t="s">
        <v>17</v>
      </c>
      <c r="E556" s="17" t="s">
        <v>8</v>
      </c>
      <c r="F556" s="17">
        <v>12</v>
      </c>
      <c r="G556" s="17">
        <v>0</v>
      </c>
      <c r="H556" s="17">
        <v>4</v>
      </c>
      <c r="I556" s="17">
        <v>8</v>
      </c>
      <c r="J556" s="17">
        <v>0</v>
      </c>
      <c r="K556" s="17">
        <v>0</v>
      </c>
      <c r="L556" s="17">
        <v>8</v>
      </c>
      <c r="M556" s="17">
        <v>0</v>
      </c>
      <c r="N556" s="17">
        <v>0</v>
      </c>
      <c r="O556" s="17">
        <v>8</v>
      </c>
      <c r="P556" s="17">
        <v>0</v>
      </c>
      <c r="Q556" s="17">
        <v>8</v>
      </c>
      <c r="R556" s="17">
        <v>0</v>
      </c>
      <c r="S556" s="17"/>
      <c r="T556" s="17" t="s">
        <v>3052</v>
      </c>
      <c r="U556" s="17" t="s">
        <v>3062</v>
      </c>
      <c r="V556" s="17" t="s">
        <v>3056</v>
      </c>
      <c r="W556" s="17"/>
      <c r="X556" s="17"/>
    </row>
    <row r="557" spans="1:24" hidden="1">
      <c r="A557" s="18">
        <v>556</v>
      </c>
      <c r="B557" s="17" t="s">
        <v>1283</v>
      </c>
      <c r="C557" s="17" t="s">
        <v>1284</v>
      </c>
      <c r="D557" s="17" t="s">
        <v>17</v>
      </c>
      <c r="E557" s="17" t="s">
        <v>8</v>
      </c>
      <c r="F557" s="17">
        <v>18</v>
      </c>
      <c r="G557" s="17">
        <v>0</v>
      </c>
      <c r="H557" s="17">
        <v>0</v>
      </c>
      <c r="I557" s="17">
        <v>18</v>
      </c>
      <c r="J557" s="17">
        <v>0</v>
      </c>
      <c r="K557" s="17">
        <v>0</v>
      </c>
      <c r="L557" s="17">
        <v>18</v>
      </c>
      <c r="M557" s="17">
        <v>0</v>
      </c>
      <c r="N557" s="17">
        <v>0</v>
      </c>
      <c r="O557" s="17">
        <v>18</v>
      </c>
      <c r="P557" s="17">
        <v>5</v>
      </c>
      <c r="Q557" s="17">
        <v>13</v>
      </c>
      <c r="R557" s="17">
        <v>0</v>
      </c>
      <c r="S557" s="17"/>
      <c r="T557" s="17" t="s">
        <v>3052</v>
      </c>
      <c r="U557" s="17" t="s">
        <v>3062</v>
      </c>
      <c r="V557" s="17" t="s">
        <v>3056</v>
      </c>
      <c r="W557" s="17"/>
      <c r="X557" s="17"/>
    </row>
    <row r="558" spans="1:24" hidden="1">
      <c r="A558" s="18">
        <v>557</v>
      </c>
      <c r="B558" s="17" t="s">
        <v>1285</v>
      </c>
      <c r="C558" s="17" t="s">
        <v>1286</v>
      </c>
      <c r="D558" s="17" t="s">
        <v>7</v>
      </c>
      <c r="E558" s="17" t="s">
        <v>8</v>
      </c>
      <c r="F558" s="17">
        <v>0</v>
      </c>
      <c r="G558" s="17">
        <v>0</v>
      </c>
      <c r="H558" s="17">
        <v>0</v>
      </c>
      <c r="I558" s="17">
        <v>0</v>
      </c>
      <c r="J558" s="17">
        <v>0</v>
      </c>
      <c r="K558" s="17">
        <v>0</v>
      </c>
      <c r="L558" s="17">
        <v>0</v>
      </c>
      <c r="M558" s="17">
        <v>0</v>
      </c>
      <c r="N558" s="17">
        <v>0</v>
      </c>
      <c r="O558" s="17">
        <v>0</v>
      </c>
      <c r="P558" s="17">
        <v>0</v>
      </c>
      <c r="Q558" s="17">
        <v>0</v>
      </c>
      <c r="R558" s="17">
        <v>0</v>
      </c>
      <c r="S558" s="17"/>
      <c r="T558" s="17" t="s">
        <v>2965</v>
      </c>
      <c r="U558" s="17" t="s">
        <v>3055</v>
      </c>
      <c r="V558" s="17" t="s">
        <v>3056</v>
      </c>
      <c r="W558" s="17"/>
      <c r="X558" s="17"/>
    </row>
    <row r="559" spans="1:24" hidden="1">
      <c r="A559" s="18">
        <v>558</v>
      </c>
      <c r="B559" s="17" t="s">
        <v>1287</v>
      </c>
      <c r="C559" s="17" t="s">
        <v>1288</v>
      </c>
      <c r="D559" s="17" t="s">
        <v>7</v>
      </c>
      <c r="E559" s="17" t="s">
        <v>8</v>
      </c>
      <c r="F559" s="17">
        <v>0</v>
      </c>
      <c r="G559" s="17">
        <v>0</v>
      </c>
      <c r="H559" s="17">
        <v>0</v>
      </c>
      <c r="I559" s="17">
        <v>0</v>
      </c>
      <c r="J559" s="17">
        <v>0</v>
      </c>
      <c r="K559" s="17">
        <v>0</v>
      </c>
      <c r="L559" s="17">
        <v>0</v>
      </c>
      <c r="M559" s="17">
        <v>0</v>
      </c>
      <c r="N559" s="17">
        <v>0</v>
      </c>
      <c r="O559" s="17">
        <v>0</v>
      </c>
      <c r="P559" s="17">
        <v>0</v>
      </c>
      <c r="Q559" s="17">
        <v>0</v>
      </c>
      <c r="R559" s="17">
        <v>0</v>
      </c>
      <c r="S559" s="17"/>
      <c r="T559" s="17" t="s">
        <v>2965</v>
      </c>
      <c r="U559" s="17" t="s">
        <v>3055</v>
      </c>
      <c r="V559" s="17" t="s">
        <v>3056</v>
      </c>
      <c r="W559" s="17"/>
      <c r="X559" s="17"/>
    </row>
    <row r="560" spans="1:24" hidden="1">
      <c r="A560" s="18">
        <v>559</v>
      </c>
      <c r="B560" s="17" t="s">
        <v>1290</v>
      </c>
      <c r="C560" s="17" t="s">
        <v>1291</v>
      </c>
      <c r="D560" s="17" t="s">
        <v>7</v>
      </c>
      <c r="E560" s="17" t="s">
        <v>8</v>
      </c>
      <c r="F560" s="17">
        <v>0</v>
      </c>
      <c r="G560" s="17">
        <v>0</v>
      </c>
      <c r="H560" s="17">
        <v>0</v>
      </c>
      <c r="I560" s="17">
        <v>0</v>
      </c>
      <c r="J560" s="17">
        <v>0</v>
      </c>
      <c r="K560" s="17">
        <v>0</v>
      </c>
      <c r="L560" s="17">
        <v>0</v>
      </c>
      <c r="M560" s="17">
        <v>0</v>
      </c>
      <c r="N560" s="17">
        <v>0</v>
      </c>
      <c r="O560" s="17">
        <v>0</v>
      </c>
      <c r="P560" s="17">
        <v>0</v>
      </c>
      <c r="Q560" s="17">
        <v>0</v>
      </c>
      <c r="R560" s="17">
        <v>0</v>
      </c>
      <c r="S560" s="17"/>
      <c r="T560" s="17" t="s">
        <v>2965</v>
      </c>
      <c r="U560" s="17" t="s">
        <v>3055</v>
      </c>
      <c r="V560" s="17" t="s">
        <v>3056</v>
      </c>
      <c r="W560" s="17"/>
      <c r="X560" s="17"/>
    </row>
    <row r="561" spans="1:24" hidden="1">
      <c r="A561" s="18">
        <v>560</v>
      </c>
      <c r="B561" s="17" t="s">
        <v>1292</v>
      </c>
      <c r="C561" s="17" t="s">
        <v>1293</v>
      </c>
      <c r="D561" s="17" t="s">
        <v>7</v>
      </c>
      <c r="E561" s="17" t="s">
        <v>8</v>
      </c>
      <c r="F561" s="17">
        <v>120</v>
      </c>
      <c r="G561" s="17">
        <v>0</v>
      </c>
      <c r="H561" s="17">
        <v>0</v>
      </c>
      <c r="I561" s="17">
        <v>120</v>
      </c>
      <c r="J561" s="17">
        <v>0</v>
      </c>
      <c r="K561" s="17">
        <v>0</v>
      </c>
      <c r="L561" s="17">
        <v>120</v>
      </c>
      <c r="M561" s="17">
        <v>0</v>
      </c>
      <c r="N561" s="17">
        <v>0</v>
      </c>
      <c r="O561" s="17">
        <v>120</v>
      </c>
      <c r="P561" s="17">
        <v>100</v>
      </c>
      <c r="Q561" s="17">
        <v>20</v>
      </c>
      <c r="R561" s="17">
        <v>0</v>
      </c>
      <c r="S561" s="17"/>
      <c r="T561" s="17" t="s">
        <v>2965</v>
      </c>
      <c r="U561" s="17" t="s">
        <v>3055</v>
      </c>
      <c r="V561" s="17" t="s">
        <v>3056</v>
      </c>
      <c r="W561" s="17"/>
      <c r="X561" s="17"/>
    </row>
    <row r="562" spans="1:24" hidden="1">
      <c r="A562" s="18">
        <v>561</v>
      </c>
      <c r="B562" s="17" t="s">
        <v>1294</v>
      </c>
      <c r="C562" s="17" t="s">
        <v>1295</v>
      </c>
      <c r="D562" s="17" t="s">
        <v>7</v>
      </c>
      <c r="E562" s="17" t="s">
        <v>8</v>
      </c>
      <c r="F562" s="17">
        <v>140</v>
      </c>
      <c r="G562" s="17">
        <v>0</v>
      </c>
      <c r="H562" s="17">
        <v>0</v>
      </c>
      <c r="I562" s="17">
        <v>140</v>
      </c>
      <c r="J562" s="17">
        <v>0</v>
      </c>
      <c r="K562" s="17">
        <v>0</v>
      </c>
      <c r="L562" s="17">
        <v>140</v>
      </c>
      <c r="M562" s="17">
        <v>0</v>
      </c>
      <c r="N562" s="17">
        <v>0</v>
      </c>
      <c r="O562" s="17">
        <v>140</v>
      </c>
      <c r="P562" s="17">
        <v>100</v>
      </c>
      <c r="Q562" s="17">
        <v>40</v>
      </c>
      <c r="R562" s="17">
        <v>0</v>
      </c>
      <c r="S562" s="17"/>
      <c r="T562" s="17" t="s">
        <v>2965</v>
      </c>
      <c r="U562" s="17" t="s">
        <v>3055</v>
      </c>
      <c r="V562" s="17" t="s">
        <v>3056</v>
      </c>
      <c r="W562" s="17"/>
      <c r="X562" s="17"/>
    </row>
    <row r="563" spans="1:24" hidden="1">
      <c r="A563" s="18">
        <v>562</v>
      </c>
      <c r="B563" s="17" t="s">
        <v>1296</v>
      </c>
      <c r="C563" s="17" t="s">
        <v>2967</v>
      </c>
      <c r="D563" s="17" t="s">
        <v>7</v>
      </c>
      <c r="E563" s="17" t="s">
        <v>8</v>
      </c>
      <c r="F563" s="17">
        <v>284.5</v>
      </c>
      <c r="G563" s="17">
        <v>0</v>
      </c>
      <c r="H563" s="17">
        <v>136</v>
      </c>
      <c r="I563" s="17">
        <v>148.5</v>
      </c>
      <c r="J563" s="17">
        <v>0</v>
      </c>
      <c r="K563" s="17">
        <v>0</v>
      </c>
      <c r="L563" s="17">
        <v>148.5</v>
      </c>
      <c r="M563" s="17">
        <v>0</v>
      </c>
      <c r="N563" s="17">
        <v>0</v>
      </c>
      <c r="O563" s="17">
        <v>148.5</v>
      </c>
      <c r="P563" s="17">
        <v>100</v>
      </c>
      <c r="Q563" s="17">
        <v>48.5</v>
      </c>
      <c r="R563" s="17">
        <v>0</v>
      </c>
      <c r="S563" s="17"/>
      <c r="T563" s="17" t="s">
        <v>2965</v>
      </c>
      <c r="U563" s="17" t="s">
        <v>3055</v>
      </c>
      <c r="V563" s="17" t="s">
        <v>3056</v>
      </c>
      <c r="W563" s="17"/>
      <c r="X563" s="17"/>
    </row>
    <row r="564" spans="1:24" s="40" customFormat="1" hidden="1">
      <c r="A564" s="26">
        <v>563</v>
      </c>
      <c r="B564" s="25" t="s">
        <v>1297</v>
      </c>
      <c r="C564" s="25" t="s">
        <v>2968</v>
      </c>
      <c r="D564" s="25" t="s">
        <v>7</v>
      </c>
      <c r="E564" s="25" t="s">
        <v>8</v>
      </c>
      <c r="F564" s="25">
        <v>193</v>
      </c>
      <c r="G564" s="25">
        <v>0</v>
      </c>
      <c r="H564" s="25">
        <v>68</v>
      </c>
      <c r="I564" s="17">
        <v>125</v>
      </c>
      <c r="J564" s="17">
        <v>0</v>
      </c>
      <c r="K564" s="17">
        <v>0</v>
      </c>
      <c r="L564" s="17">
        <v>125</v>
      </c>
      <c r="M564" s="17">
        <v>0</v>
      </c>
      <c r="N564" s="17">
        <v>0</v>
      </c>
      <c r="O564" s="25">
        <v>125</v>
      </c>
      <c r="P564" s="25">
        <v>250</v>
      </c>
      <c r="Q564" s="25">
        <v>-125</v>
      </c>
      <c r="R564" s="25">
        <v>200</v>
      </c>
      <c r="S564" s="25"/>
      <c r="T564" s="25" t="s">
        <v>2965</v>
      </c>
      <c r="U564" s="25" t="s">
        <v>3055</v>
      </c>
      <c r="V564" s="25" t="s">
        <v>3056</v>
      </c>
      <c r="W564" s="25"/>
      <c r="X564" s="25"/>
    </row>
    <row r="565" spans="1:24" hidden="1">
      <c r="A565" s="18">
        <v>564</v>
      </c>
      <c r="B565" s="17" t="s">
        <v>1298</v>
      </c>
      <c r="C565" s="17" t="s">
        <v>1299</v>
      </c>
      <c r="D565" s="17" t="s">
        <v>7</v>
      </c>
      <c r="E565" s="17" t="s">
        <v>8</v>
      </c>
      <c r="F565" s="17">
        <v>450</v>
      </c>
      <c r="G565" s="17">
        <v>0</v>
      </c>
      <c r="H565" s="17">
        <v>0</v>
      </c>
      <c r="I565" s="17">
        <v>450</v>
      </c>
      <c r="J565" s="17">
        <v>0</v>
      </c>
      <c r="K565" s="17">
        <v>0</v>
      </c>
      <c r="L565" s="17">
        <v>450</v>
      </c>
      <c r="M565" s="17">
        <v>0</v>
      </c>
      <c r="N565" s="17">
        <v>0</v>
      </c>
      <c r="O565" s="17">
        <v>450</v>
      </c>
      <c r="P565" s="17">
        <v>200</v>
      </c>
      <c r="Q565" s="17">
        <v>250</v>
      </c>
      <c r="R565" s="17">
        <v>0</v>
      </c>
      <c r="S565" s="17"/>
      <c r="T565" s="17" t="s">
        <v>2965</v>
      </c>
      <c r="U565" s="17" t="s">
        <v>3055</v>
      </c>
      <c r="V565" s="17" t="s">
        <v>3056</v>
      </c>
      <c r="W565" s="17"/>
      <c r="X565" s="17"/>
    </row>
    <row r="566" spans="1:24" hidden="1">
      <c r="A566" s="18">
        <v>565</v>
      </c>
      <c r="B566" s="17" t="s">
        <v>2349</v>
      </c>
      <c r="C566" s="17" t="s">
        <v>3164</v>
      </c>
      <c r="D566" s="17" t="s">
        <v>7</v>
      </c>
      <c r="E566" s="17" t="s">
        <v>8</v>
      </c>
      <c r="F566" s="17">
        <v>1425.2</v>
      </c>
      <c r="G566" s="17">
        <v>0</v>
      </c>
      <c r="H566" s="17">
        <v>0</v>
      </c>
      <c r="I566" s="17">
        <v>1425.2</v>
      </c>
      <c r="J566" s="17">
        <v>0</v>
      </c>
      <c r="K566" s="17">
        <v>0</v>
      </c>
      <c r="L566" s="17">
        <v>1425.2</v>
      </c>
      <c r="M566" s="17">
        <v>0</v>
      </c>
      <c r="N566" s="17">
        <v>0</v>
      </c>
      <c r="O566" s="17">
        <v>1425.2</v>
      </c>
      <c r="P566" s="17">
        <v>300</v>
      </c>
      <c r="Q566" s="17">
        <v>1125.2</v>
      </c>
      <c r="R566" s="17">
        <v>0</v>
      </c>
      <c r="S566" s="17"/>
      <c r="T566" s="17" t="s">
        <v>2965</v>
      </c>
      <c r="U566" s="17" t="s">
        <v>3055</v>
      </c>
      <c r="V566" s="17" t="s">
        <v>3056</v>
      </c>
      <c r="W566" s="17"/>
      <c r="X566" s="17"/>
    </row>
    <row r="567" spans="1:24" hidden="1">
      <c r="A567" s="18">
        <v>566</v>
      </c>
      <c r="B567" s="17" t="s">
        <v>1986</v>
      </c>
      <c r="C567" s="17" t="s">
        <v>3165</v>
      </c>
      <c r="D567" s="17" t="s">
        <v>7</v>
      </c>
      <c r="E567" s="17" t="s">
        <v>8</v>
      </c>
      <c r="F567" s="17">
        <v>1389.2</v>
      </c>
      <c r="G567" s="17">
        <v>0</v>
      </c>
      <c r="H567" s="17">
        <v>0</v>
      </c>
      <c r="I567" s="17">
        <v>1389.2</v>
      </c>
      <c r="J567" s="17">
        <v>0</v>
      </c>
      <c r="K567" s="17">
        <v>0</v>
      </c>
      <c r="L567" s="17">
        <v>1389.2</v>
      </c>
      <c r="M567" s="17">
        <v>0</v>
      </c>
      <c r="N567" s="17">
        <v>0</v>
      </c>
      <c r="O567" s="17">
        <v>1389.2</v>
      </c>
      <c r="P567" s="17">
        <v>500</v>
      </c>
      <c r="Q567" s="17">
        <v>889.2</v>
      </c>
      <c r="R567" s="17">
        <v>0</v>
      </c>
      <c r="S567" s="17"/>
      <c r="T567" s="17" t="s">
        <v>2965</v>
      </c>
      <c r="U567" s="17" t="s">
        <v>3055</v>
      </c>
      <c r="V567" s="17" t="s">
        <v>3058</v>
      </c>
      <c r="W567" s="17"/>
      <c r="X567" s="17"/>
    </row>
    <row r="568" spans="1:24" hidden="1">
      <c r="A568" s="18">
        <v>567</v>
      </c>
      <c r="B568" s="17" t="s">
        <v>1302</v>
      </c>
      <c r="C568" s="17" t="s">
        <v>1303</v>
      </c>
      <c r="D568" s="17" t="s">
        <v>20</v>
      </c>
      <c r="E568" s="17" t="s">
        <v>8</v>
      </c>
      <c r="F568" s="17">
        <v>56.4</v>
      </c>
      <c r="G568" s="17">
        <v>0</v>
      </c>
      <c r="H568" s="17">
        <v>0</v>
      </c>
      <c r="I568" s="17">
        <v>56.4</v>
      </c>
      <c r="J568" s="17">
        <v>0</v>
      </c>
      <c r="K568" s="17">
        <v>0</v>
      </c>
      <c r="L568" s="17">
        <v>56.4</v>
      </c>
      <c r="M568" s="17">
        <v>0</v>
      </c>
      <c r="N568" s="17">
        <v>0</v>
      </c>
      <c r="O568" s="17">
        <v>56.4</v>
      </c>
      <c r="P568" s="17">
        <v>25</v>
      </c>
      <c r="Q568" s="17">
        <v>31.4</v>
      </c>
      <c r="R568" s="17">
        <v>0</v>
      </c>
      <c r="S568" s="17"/>
      <c r="T568" s="17" t="s">
        <v>2965</v>
      </c>
      <c r="U568" s="17" t="s">
        <v>3060</v>
      </c>
      <c r="V568" s="17" t="s">
        <v>3058</v>
      </c>
      <c r="W568" s="17"/>
      <c r="X568" s="17"/>
    </row>
    <row r="569" spans="1:24" hidden="1">
      <c r="A569" s="18">
        <v>568</v>
      </c>
      <c r="B569" s="17" t="s">
        <v>1304</v>
      </c>
      <c r="C569" s="17" t="s">
        <v>1305</v>
      </c>
      <c r="D569" s="17" t="s">
        <v>7</v>
      </c>
      <c r="E569" s="17" t="s">
        <v>8</v>
      </c>
      <c r="F569" s="17">
        <v>512.1</v>
      </c>
      <c r="G569" s="17">
        <v>1228</v>
      </c>
      <c r="H569" s="17">
        <v>44.7</v>
      </c>
      <c r="I569" s="17">
        <v>1695.4</v>
      </c>
      <c r="J569" s="17">
        <v>0</v>
      </c>
      <c r="K569" s="17">
        <v>0</v>
      </c>
      <c r="L569" s="17">
        <v>1695.4</v>
      </c>
      <c r="M569" s="17">
        <v>0</v>
      </c>
      <c r="N569" s="17">
        <v>0</v>
      </c>
      <c r="O569" s="17">
        <v>1695.4</v>
      </c>
      <c r="P569" s="17">
        <v>800</v>
      </c>
      <c r="Q569" s="17">
        <v>895.40000000000009</v>
      </c>
      <c r="R569" s="17">
        <v>1000</v>
      </c>
      <c r="S569" s="17"/>
      <c r="T569" s="17" t="s">
        <v>2965</v>
      </c>
      <c r="U569" s="17" t="s">
        <v>3055</v>
      </c>
      <c r="V569" s="17" t="s">
        <v>3056</v>
      </c>
      <c r="W569" s="17"/>
      <c r="X569" s="17"/>
    </row>
    <row r="570" spans="1:24" hidden="1">
      <c r="A570" s="18">
        <v>569</v>
      </c>
      <c r="B570" s="17" t="s">
        <v>1306</v>
      </c>
      <c r="C570" s="17" t="s">
        <v>1307</v>
      </c>
      <c r="D570" s="17" t="s">
        <v>7</v>
      </c>
      <c r="E570" s="17" t="s">
        <v>8</v>
      </c>
      <c r="F570" s="17">
        <v>0</v>
      </c>
      <c r="G570" s="17">
        <v>0</v>
      </c>
      <c r="H570" s="17">
        <v>0</v>
      </c>
      <c r="I570" s="17">
        <v>0</v>
      </c>
      <c r="J570" s="17">
        <v>0</v>
      </c>
      <c r="K570" s="17">
        <v>0</v>
      </c>
      <c r="L570" s="17">
        <v>0</v>
      </c>
      <c r="M570" s="17">
        <v>0</v>
      </c>
      <c r="N570" s="17">
        <v>0</v>
      </c>
      <c r="O570" s="17">
        <v>0</v>
      </c>
      <c r="P570" s="17">
        <v>0</v>
      </c>
      <c r="Q570" s="17">
        <v>0</v>
      </c>
      <c r="R570" s="17">
        <v>0</v>
      </c>
      <c r="S570" s="17"/>
      <c r="T570" s="17" t="s">
        <v>2965</v>
      </c>
      <c r="U570" s="17" t="s">
        <v>3055</v>
      </c>
      <c r="V570" s="17" t="s">
        <v>3056</v>
      </c>
      <c r="W570" s="17"/>
      <c r="X570" s="17"/>
    </row>
    <row r="571" spans="1:24" hidden="1">
      <c r="A571" s="18">
        <v>570</v>
      </c>
      <c r="B571" s="17" t="s">
        <v>1308</v>
      </c>
      <c r="C571" s="17" t="s">
        <v>1309</v>
      </c>
      <c r="D571" s="17" t="s">
        <v>7</v>
      </c>
      <c r="E571" s="17" t="s">
        <v>8</v>
      </c>
      <c r="F571" s="17">
        <v>785.1</v>
      </c>
      <c r="G571" s="17">
        <v>0</v>
      </c>
      <c r="H571" s="17">
        <v>270.39999999999998</v>
      </c>
      <c r="I571" s="17">
        <v>514.70000000000005</v>
      </c>
      <c r="J571" s="17">
        <v>0</v>
      </c>
      <c r="K571" s="17">
        <v>0</v>
      </c>
      <c r="L571" s="17">
        <v>514.70000000000005</v>
      </c>
      <c r="M571" s="17">
        <v>0</v>
      </c>
      <c r="N571" s="17">
        <v>0</v>
      </c>
      <c r="O571" s="17">
        <v>514.70000000000005</v>
      </c>
      <c r="P571" s="17">
        <v>500</v>
      </c>
      <c r="Q571" s="17">
        <v>14.700000000000045</v>
      </c>
      <c r="R571" s="17">
        <v>0</v>
      </c>
      <c r="S571" s="17"/>
      <c r="T571" s="17" t="s">
        <v>2965</v>
      </c>
      <c r="U571" s="17" t="s">
        <v>3055</v>
      </c>
      <c r="V571" s="17" t="s">
        <v>3058</v>
      </c>
      <c r="W571" s="17"/>
      <c r="X571" s="17"/>
    </row>
    <row r="572" spans="1:24" hidden="1">
      <c r="A572" s="18">
        <v>571</v>
      </c>
      <c r="B572" s="17" t="s">
        <v>1310</v>
      </c>
      <c r="C572" s="17" t="s">
        <v>1311</v>
      </c>
      <c r="D572" s="17" t="s">
        <v>7</v>
      </c>
      <c r="E572" s="17" t="s">
        <v>8</v>
      </c>
      <c r="F572" s="17">
        <v>178.3</v>
      </c>
      <c r="G572" s="17">
        <v>0</v>
      </c>
      <c r="H572" s="17">
        <v>49.4</v>
      </c>
      <c r="I572" s="17">
        <v>128.9</v>
      </c>
      <c r="J572" s="17">
        <v>0</v>
      </c>
      <c r="K572" s="17">
        <v>0</v>
      </c>
      <c r="L572" s="17">
        <v>128.9</v>
      </c>
      <c r="M572" s="17">
        <v>0</v>
      </c>
      <c r="N572" s="17">
        <v>0</v>
      </c>
      <c r="O572" s="17">
        <v>128.9</v>
      </c>
      <c r="P572" s="17">
        <v>120</v>
      </c>
      <c r="Q572" s="17">
        <v>8.9000000000000057</v>
      </c>
      <c r="R572" s="17">
        <v>0</v>
      </c>
      <c r="S572" s="17"/>
      <c r="T572" s="17" t="s">
        <v>2965</v>
      </c>
      <c r="U572" s="17" t="s">
        <v>3055</v>
      </c>
      <c r="V572" s="17" t="s">
        <v>3056</v>
      </c>
      <c r="W572" s="17"/>
      <c r="X572" s="17"/>
    </row>
    <row r="573" spans="1:24" s="40" customFormat="1" hidden="1">
      <c r="A573" s="26">
        <v>572</v>
      </c>
      <c r="B573" s="25" t="s">
        <v>1312</v>
      </c>
      <c r="C573" s="25" t="s">
        <v>1313</v>
      </c>
      <c r="D573" s="25" t="s">
        <v>7</v>
      </c>
      <c r="E573" s="25" t="s">
        <v>8</v>
      </c>
      <c r="F573" s="25">
        <v>128.1</v>
      </c>
      <c r="G573" s="25">
        <v>204.9</v>
      </c>
      <c r="H573" s="25">
        <v>121.5</v>
      </c>
      <c r="I573" s="17">
        <v>211.5</v>
      </c>
      <c r="J573" s="17">
        <v>0</v>
      </c>
      <c r="K573" s="17">
        <v>0</v>
      </c>
      <c r="L573" s="17">
        <v>211.5</v>
      </c>
      <c r="M573" s="17">
        <v>0</v>
      </c>
      <c r="N573" s="17">
        <v>0</v>
      </c>
      <c r="O573" s="25">
        <v>211.5</v>
      </c>
      <c r="P573" s="25">
        <v>250</v>
      </c>
      <c r="Q573" s="25">
        <v>-38.5</v>
      </c>
      <c r="R573" s="25">
        <v>205</v>
      </c>
      <c r="S573" s="25"/>
      <c r="T573" s="25" t="s">
        <v>2965</v>
      </c>
      <c r="U573" s="25" t="s">
        <v>3055</v>
      </c>
      <c r="V573" s="25" t="s">
        <v>3056</v>
      </c>
      <c r="W573" s="25"/>
      <c r="X573" s="25"/>
    </row>
    <row r="574" spans="1:24" hidden="1">
      <c r="A574" s="18">
        <v>573</v>
      </c>
      <c r="B574" s="17" t="s">
        <v>1314</v>
      </c>
      <c r="C574" s="17" t="s">
        <v>1315</v>
      </c>
      <c r="D574" s="17" t="s">
        <v>7</v>
      </c>
      <c r="E574" s="17" t="s">
        <v>8</v>
      </c>
      <c r="F574" s="17">
        <v>175</v>
      </c>
      <c r="G574" s="17">
        <v>0</v>
      </c>
      <c r="H574" s="17">
        <v>51</v>
      </c>
      <c r="I574" s="17">
        <v>124</v>
      </c>
      <c r="J574" s="17">
        <v>0</v>
      </c>
      <c r="K574" s="17">
        <v>0</v>
      </c>
      <c r="L574" s="17">
        <v>124</v>
      </c>
      <c r="M574" s="17">
        <v>0</v>
      </c>
      <c r="N574" s="17">
        <v>0</v>
      </c>
      <c r="O574" s="17">
        <v>124</v>
      </c>
      <c r="P574" s="17">
        <v>150</v>
      </c>
      <c r="Q574" s="17">
        <v>-26</v>
      </c>
      <c r="R574" s="17">
        <v>0</v>
      </c>
      <c r="S574" s="17"/>
      <c r="T574" s="17" t="s">
        <v>2965</v>
      </c>
      <c r="U574" s="17" t="s">
        <v>3055</v>
      </c>
      <c r="V574" s="17" t="s">
        <v>3056</v>
      </c>
      <c r="W574" s="17"/>
      <c r="X574" s="17"/>
    </row>
    <row r="575" spans="1:24" hidden="1">
      <c r="A575" s="18">
        <v>574</v>
      </c>
      <c r="B575" s="17" t="s">
        <v>1316</v>
      </c>
      <c r="C575" s="17" t="s">
        <v>1317</v>
      </c>
      <c r="D575" s="17" t="s">
        <v>7</v>
      </c>
      <c r="E575" s="17" t="s">
        <v>8</v>
      </c>
      <c r="F575" s="17">
        <v>261.5</v>
      </c>
      <c r="G575" s="17">
        <v>0</v>
      </c>
      <c r="H575" s="17">
        <v>0</v>
      </c>
      <c r="I575" s="17">
        <v>261.5</v>
      </c>
      <c r="J575" s="17">
        <v>0</v>
      </c>
      <c r="K575" s="17">
        <v>0</v>
      </c>
      <c r="L575" s="17">
        <v>261.5</v>
      </c>
      <c r="M575" s="17">
        <v>0</v>
      </c>
      <c r="N575" s="17">
        <v>0</v>
      </c>
      <c r="O575" s="17">
        <v>261.5</v>
      </c>
      <c r="P575" s="17">
        <v>150</v>
      </c>
      <c r="Q575" s="17">
        <v>111.5</v>
      </c>
      <c r="R575" s="17">
        <v>0</v>
      </c>
      <c r="S575" s="17"/>
      <c r="T575" s="17" t="s">
        <v>2965</v>
      </c>
      <c r="U575" s="17" t="s">
        <v>3055</v>
      </c>
      <c r="V575" s="17" t="s">
        <v>3056</v>
      </c>
      <c r="W575" s="17"/>
      <c r="X575" s="17"/>
    </row>
    <row r="576" spans="1:24" hidden="1">
      <c r="A576" s="18">
        <v>575</v>
      </c>
      <c r="B576" s="17" t="s">
        <v>1318</v>
      </c>
      <c r="C576" s="17" t="s">
        <v>1319</v>
      </c>
      <c r="D576" s="17" t="s">
        <v>7</v>
      </c>
      <c r="E576" s="17" t="s">
        <v>8</v>
      </c>
      <c r="F576" s="17">
        <v>2513</v>
      </c>
      <c r="G576" s="17">
        <v>0</v>
      </c>
      <c r="H576" s="17">
        <v>200</v>
      </c>
      <c r="I576" s="17">
        <v>2313</v>
      </c>
      <c r="J576" s="17">
        <v>0</v>
      </c>
      <c r="K576" s="17">
        <v>0</v>
      </c>
      <c r="L576" s="17">
        <v>2313</v>
      </c>
      <c r="M576" s="17">
        <v>0</v>
      </c>
      <c r="N576" s="17">
        <v>0</v>
      </c>
      <c r="O576" s="17">
        <v>2313</v>
      </c>
      <c r="P576" s="17">
        <v>1500</v>
      </c>
      <c r="Q576" s="17">
        <v>813</v>
      </c>
      <c r="R576" s="17">
        <v>0</v>
      </c>
      <c r="S576" s="17"/>
      <c r="T576" s="17" t="s">
        <v>2965</v>
      </c>
      <c r="U576" s="17" t="s">
        <v>3055</v>
      </c>
      <c r="V576" s="17" t="s">
        <v>3056</v>
      </c>
      <c r="W576" s="17"/>
      <c r="X576" s="17"/>
    </row>
    <row r="577" spans="1:24" hidden="1">
      <c r="A577" s="18">
        <v>576</v>
      </c>
      <c r="B577" s="17" t="s">
        <v>1320</v>
      </c>
      <c r="C577" s="17" t="s">
        <v>1321</v>
      </c>
      <c r="D577" s="17" t="s">
        <v>7</v>
      </c>
      <c r="E577" s="17" t="s">
        <v>8</v>
      </c>
      <c r="F577" s="17">
        <v>0</v>
      </c>
      <c r="G577" s="17">
        <v>0</v>
      </c>
      <c r="H577" s="17">
        <v>0</v>
      </c>
      <c r="I577" s="17">
        <v>0</v>
      </c>
      <c r="J577" s="17">
        <v>0</v>
      </c>
      <c r="K577" s="17">
        <v>0</v>
      </c>
      <c r="L577" s="17">
        <v>0</v>
      </c>
      <c r="M577" s="17">
        <v>0</v>
      </c>
      <c r="N577" s="17">
        <v>0</v>
      </c>
      <c r="O577" s="17">
        <v>0</v>
      </c>
      <c r="P577" s="17">
        <v>0</v>
      </c>
      <c r="Q577" s="17">
        <v>0</v>
      </c>
      <c r="R577" s="17">
        <v>0</v>
      </c>
      <c r="S577" s="17"/>
      <c r="T577" s="17" t="s">
        <v>2965</v>
      </c>
      <c r="U577" s="17" t="s">
        <v>3055</v>
      </c>
      <c r="V577" s="17" t="s">
        <v>3056</v>
      </c>
      <c r="W577" s="17"/>
      <c r="X577" s="17"/>
    </row>
    <row r="578" spans="1:24" s="40" customFormat="1" hidden="1">
      <c r="A578" s="26">
        <v>577</v>
      </c>
      <c r="B578" s="25" t="s">
        <v>1322</v>
      </c>
      <c r="C578" s="25" t="s">
        <v>1323</v>
      </c>
      <c r="D578" s="25" t="s">
        <v>7</v>
      </c>
      <c r="E578" s="25" t="s">
        <v>8</v>
      </c>
      <c r="F578" s="25">
        <v>736.4</v>
      </c>
      <c r="G578" s="25">
        <v>625</v>
      </c>
      <c r="H578" s="25">
        <v>850.9</v>
      </c>
      <c r="I578" s="17">
        <v>510.5</v>
      </c>
      <c r="J578" s="17">
        <v>0</v>
      </c>
      <c r="K578" s="17">
        <v>0</v>
      </c>
      <c r="L578" s="17">
        <v>510.5</v>
      </c>
      <c r="M578" s="17">
        <v>0</v>
      </c>
      <c r="N578" s="17">
        <v>0</v>
      </c>
      <c r="O578" s="25">
        <v>510.5</v>
      </c>
      <c r="P578" s="25">
        <v>1500</v>
      </c>
      <c r="Q578" s="25">
        <v>-989.5</v>
      </c>
      <c r="R578" s="25">
        <v>1000</v>
      </c>
      <c r="S578" s="25"/>
      <c r="T578" s="25" t="s">
        <v>2965</v>
      </c>
      <c r="U578" s="25" t="s">
        <v>3055</v>
      </c>
      <c r="V578" s="25" t="s">
        <v>3056</v>
      </c>
      <c r="W578" s="25"/>
      <c r="X578" s="25"/>
    </row>
    <row r="579" spans="1:24" hidden="1">
      <c r="A579" s="18">
        <v>578</v>
      </c>
      <c r="B579" s="17" t="s">
        <v>1324</v>
      </c>
      <c r="C579" s="17" t="s">
        <v>1325</v>
      </c>
      <c r="D579" s="17" t="s">
        <v>7</v>
      </c>
      <c r="E579" s="17" t="s">
        <v>8</v>
      </c>
      <c r="F579" s="17">
        <v>0</v>
      </c>
      <c r="G579" s="17">
        <v>0</v>
      </c>
      <c r="H579" s="17">
        <v>0</v>
      </c>
      <c r="I579" s="17">
        <v>0</v>
      </c>
      <c r="J579" s="17">
        <v>0</v>
      </c>
      <c r="K579" s="17">
        <v>0</v>
      </c>
      <c r="L579" s="17">
        <v>0</v>
      </c>
      <c r="M579" s="17">
        <v>0</v>
      </c>
      <c r="N579" s="17">
        <v>0</v>
      </c>
      <c r="O579" s="17">
        <v>0</v>
      </c>
      <c r="P579" s="17">
        <v>0</v>
      </c>
      <c r="Q579" s="17">
        <v>0</v>
      </c>
      <c r="R579" s="17">
        <v>0</v>
      </c>
      <c r="S579" s="17"/>
      <c r="T579" s="17" t="s">
        <v>2965</v>
      </c>
      <c r="U579" s="17" t="s">
        <v>3055</v>
      </c>
      <c r="V579" s="17" t="s">
        <v>3056</v>
      </c>
      <c r="W579" s="17"/>
      <c r="X579" s="17"/>
    </row>
    <row r="580" spans="1:24" hidden="1">
      <c r="A580" s="18">
        <v>579</v>
      </c>
      <c r="B580" s="17" t="s">
        <v>1328</v>
      </c>
      <c r="C580" s="17" t="s">
        <v>1329</v>
      </c>
      <c r="D580" s="17" t="s">
        <v>7</v>
      </c>
      <c r="E580" s="17" t="s">
        <v>8</v>
      </c>
      <c r="F580" s="17">
        <v>109</v>
      </c>
      <c r="G580" s="17">
        <v>0</v>
      </c>
      <c r="H580" s="17">
        <v>29</v>
      </c>
      <c r="I580" s="17">
        <v>80</v>
      </c>
      <c r="J580" s="17">
        <v>0</v>
      </c>
      <c r="K580" s="17">
        <v>0</v>
      </c>
      <c r="L580" s="17">
        <v>80</v>
      </c>
      <c r="M580" s="17">
        <v>0</v>
      </c>
      <c r="N580" s="17">
        <v>0</v>
      </c>
      <c r="O580" s="17">
        <v>80</v>
      </c>
      <c r="P580" s="17">
        <v>500</v>
      </c>
      <c r="Q580" s="17">
        <v>-420</v>
      </c>
      <c r="R580" s="17">
        <v>0</v>
      </c>
      <c r="S580" s="17"/>
      <c r="T580" s="17" t="s">
        <v>2965</v>
      </c>
      <c r="U580" s="17" t="s">
        <v>3055</v>
      </c>
      <c r="V580" s="17" t="s">
        <v>3056</v>
      </c>
      <c r="W580" s="17"/>
      <c r="X580" s="17"/>
    </row>
    <row r="581" spans="1:24" hidden="1">
      <c r="A581" s="18">
        <v>580</v>
      </c>
      <c r="B581" s="17" t="s">
        <v>1332</v>
      </c>
      <c r="C581" s="17" t="s">
        <v>1333</v>
      </c>
      <c r="D581" s="17" t="s">
        <v>7</v>
      </c>
      <c r="E581" s="17" t="s">
        <v>8</v>
      </c>
      <c r="F581" s="17">
        <v>168.5</v>
      </c>
      <c r="G581" s="17">
        <v>0</v>
      </c>
      <c r="H581" s="17">
        <v>59.5</v>
      </c>
      <c r="I581" s="17">
        <v>109</v>
      </c>
      <c r="J581" s="17">
        <v>0</v>
      </c>
      <c r="K581" s="17">
        <v>0</v>
      </c>
      <c r="L581" s="17">
        <v>109</v>
      </c>
      <c r="M581" s="17">
        <v>0</v>
      </c>
      <c r="N581" s="17">
        <v>0</v>
      </c>
      <c r="O581" s="17">
        <v>109</v>
      </c>
      <c r="P581" s="17">
        <v>0</v>
      </c>
      <c r="Q581" s="17">
        <v>109</v>
      </c>
      <c r="R581" s="17">
        <v>0</v>
      </c>
      <c r="S581" s="17"/>
      <c r="T581" s="17" t="s">
        <v>2965</v>
      </c>
      <c r="U581" s="17" t="s">
        <v>3055</v>
      </c>
      <c r="V581" s="17" t="s">
        <v>3056</v>
      </c>
      <c r="W581" s="17"/>
      <c r="X581" s="17"/>
    </row>
    <row r="582" spans="1:24" hidden="1">
      <c r="A582" s="18">
        <v>581</v>
      </c>
      <c r="B582" s="17" t="s">
        <v>1334</v>
      </c>
      <c r="C582" s="17" t="s">
        <v>1335</v>
      </c>
      <c r="D582" s="17" t="s">
        <v>7</v>
      </c>
      <c r="E582" s="17" t="s">
        <v>8</v>
      </c>
      <c r="F582" s="17">
        <v>368.8</v>
      </c>
      <c r="G582" s="17">
        <v>0</v>
      </c>
      <c r="H582" s="17">
        <v>0</v>
      </c>
      <c r="I582" s="17">
        <v>368.8</v>
      </c>
      <c r="J582" s="17">
        <v>0</v>
      </c>
      <c r="K582" s="17">
        <v>0</v>
      </c>
      <c r="L582" s="17">
        <v>368.8</v>
      </c>
      <c r="M582" s="17">
        <v>0</v>
      </c>
      <c r="N582" s="17">
        <v>0</v>
      </c>
      <c r="O582" s="17">
        <v>368.8</v>
      </c>
      <c r="P582" s="17">
        <v>0</v>
      </c>
      <c r="Q582" s="17">
        <v>368.8</v>
      </c>
      <c r="R582" s="17">
        <v>0</v>
      </c>
      <c r="S582" s="17"/>
      <c r="T582" s="17" t="s">
        <v>2965</v>
      </c>
      <c r="U582" s="17" t="s">
        <v>3055</v>
      </c>
      <c r="V582" s="17" t="s">
        <v>3056</v>
      </c>
      <c r="W582" s="17"/>
      <c r="X582" s="17"/>
    </row>
    <row r="583" spans="1:24" s="40" customFormat="1" hidden="1">
      <c r="A583" s="26">
        <v>582</v>
      </c>
      <c r="B583" s="25" t="s">
        <v>1338</v>
      </c>
      <c r="C583" s="25" t="s">
        <v>1339</v>
      </c>
      <c r="D583" s="25" t="s">
        <v>7</v>
      </c>
      <c r="E583" s="25" t="s">
        <v>8</v>
      </c>
      <c r="F583" s="25">
        <v>318</v>
      </c>
      <c r="G583" s="25">
        <v>0</v>
      </c>
      <c r="H583" s="25">
        <v>161.6</v>
      </c>
      <c r="I583" s="17">
        <v>156.4</v>
      </c>
      <c r="J583" s="17">
        <v>0</v>
      </c>
      <c r="K583" s="17">
        <v>0</v>
      </c>
      <c r="L583" s="17">
        <v>156.4</v>
      </c>
      <c r="M583" s="17">
        <v>0</v>
      </c>
      <c r="N583" s="17">
        <v>0</v>
      </c>
      <c r="O583" s="25">
        <v>156.4</v>
      </c>
      <c r="P583" s="25">
        <v>250</v>
      </c>
      <c r="Q583" s="25">
        <v>-93.6</v>
      </c>
      <c r="R583" s="25">
        <v>500</v>
      </c>
      <c r="S583" s="25"/>
      <c r="T583" s="25" t="s">
        <v>2965</v>
      </c>
      <c r="U583" s="25" t="s">
        <v>3055</v>
      </c>
      <c r="V583" s="25" t="s">
        <v>3056</v>
      </c>
      <c r="W583" s="25"/>
      <c r="X583" s="25"/>
    </row>
    <row r="584" spans="1:24" hidden="1">
      <c r="A584" s="18">
        <v>583</v>
      </c>
      <c r="B584" s="17" t="s">
        <v>1342</v>
      </c>
      <c r="C584" s="17" t="s">
        <v>1343</v>
      </c>
      <c r="D584" s="17" t="s">
        <v>7</v>
      </c>
      <c r="E584" s="17" t="s">
        <v>8</v>
      </c>
      <c r="F584" s="17">
        <v>1111.9000000000001</v>
      </c>
      <c r="G584" s="17">
        <v>257</v>
      </c>
      <c r="H584" s="17">
        <v>153</v>
      </c>
      <c r="I584" s="17">
        <v>1215.9000000000001</v>
      </c>
      <c r="J584" s="17">
        <v>0</v>
      </c>
      <c r="K584" s="17">
        <v>0</v>
      </c>
      <c r="L584" s="17">
        <v>1215.9000000000001</v>
      </c>
      <c r="M584" s="17">
        <v>0</v>
      </c>
      <c r="N584" s="17">
        <v>0</v>
      </c>
      <c r="O584" s="17">
        <v>1215.9000000000001</v>
      </c>
      <c r="P584" s="17">
        <v>500</v>
      </c>
      <c r="Q584" s="17">
        <v>715.90000000000009</v>
      </c>
      <c r="R584" s="17">
        <v>250</v>
      </c>
      <c r="S584" s="17"/>
      <c r="T584" s="17" t="s">
        <v>2965</v>
      </c>
      <c r="U584" s="17" t="s">
        <v>3055</v>
      </c>
      <c r="V584" s="17" t="s">
        <v>3056</v>
      </c>
      <c r="W584" s="17"/>
      <c r="X584" s="17"/>
    </row>
    <row r="585" spans="1:24" s="40" customFormat="1" hidden="1">
      <c r="A585" s="26">
        <v>584</v>
      </c>
      <c r="B585" s="25" t="s">
        <v>1344</v>
      </c>
      <c r="C585" s="25" t="s">
        <v>1345</v>
      </c>
      <c r="D585" s="25" t="s">
        <v>7</v>
      </c>
      <c r="E585" s="25" t="s">
        <v>8</v>
      </c>
      <c r="F585" s="25">
        <v>440.35</v>
      </c>
      <c r="G585" s="25">
        <v>0</v>
      </c>
      <c r="H585" s="25">
        <v>302</v>
      </c>
      <c r="I585" s="17">
        <v>138.35</v>
      </c>
      <c r="J585" s="17">
        <v>0</v>
      </c>
      <c r="K585" s="17">
        <v>0</v>
      </c>
      <c r="L585" s="17">
        <v>138.35</v>
      </c>
      <c r="M585" s="17">
        <v>0</v>
      </c>
      <c r="N585" s="17">
        <v>0</v>
      </c>
      <c r="O585" s="25">
        <v>138.35</v>
      </c>
      <c r="P585" s="25">
        <v>200</v>
      </c>
      <c r="Q585" s="25">
        <v>-61.650000000000006</v>
      </c>
      <c r="R585" s="25">
        <v>0</v>
      </c>
      <c r="S585" s="25"/>
      <c r="T585" s="25" t="s">
        <v>2965</v>
      </c>
      <c r="U585" s="25" t="s">
        <v>3055</v>
      </c>
      <c r="V585" s="25" t="s">
        <v>3056</v>
      </c>
      <c r="W585" s="25"/>
      <c r="X585" s="25"/>
    </row>
    <row r="586" spans="1:24" hidden="1">
      <c r="A586" s="18">
        <v>585</v>
      </c>
      <c r="B586" s="17" t="s">
        <v>1346</v>
      </c>
      <c r="C586" s="17" t="s">
        <v>1347</v>
      </c>
      <c r="D586" s="17" t="s">
        <v>7</v>
      </c>
      <c r="E586" s="17" t="s">
        <v>8</v>
      </c>
      <c r="F586" s="17">
        <v>1003.5</v>
      </c>
      <c r="G586" s="17">
        <v>0</v>
      </c>
      <c r="H586" s="17">
        <v>309.7</v>
      </c>
      <c r="I586" s="17">
        <v>693.8</v>
      </c>
      <c r="J586" s="17">
        <v>0</v>
      </c>
      <c r="K586" s="17">
        <v>0</v>
      </c>
      <c r="L586" s="17">
        <v>693.8</v>
      </c>
      <c r="M586" s="17">
        <v>0</v>
      </c>
      <c r="N586" s="17">
        <v>0</v>
      </c>
      <c r="O586" s="17">
        <v>693.8</v>
      </c>
      <c r="P586" s="17">
        <v>350</v>
      </c>
      <c r="Q586" s="17">
        <v>343.79999999999995</v>
      </c>
      <c r="R586" s="17">
        <v>0</v>
      </c>
      <c r="S586" s="17"/>
      <c r="T586" s="17" t="s">
        <v>2965</v>
      </c>
      <c r="U586" s="17" t="s">
        <v>3055</v>
      </c>
      <c r="V586" s="17" t="s">
        <v>3056</v>
      </c>
      <c r="W586" s="17"/>
      <c r="X586" s="17"/>
    </row>
    <row r="587" spans="1:24" hidden="1">
      <c r="A587" s="18">
        <v>586</v>
      </c>
      <c r="B587" s="17" t="s">
        <v>1348</v>
      </c>
      <c r="C587" s="17" t="s">
        <v>1349</v>
      </c>
      <c r="D587" s="17" t="s">
        <v>7</v>
      </c>
      <c r="E587" s="17" t="s">
        <v>8</v>
      </c>
      <c r="F587" s="17">
        <v>0</v>
      </c>
      <c r="G587" s="17">
        <v>0</v>
      </c>
      <c r="H587" s="17">
        <v>0</v>
      </c>
      <c r="I587" s="17">
        <v>0</v>
      </c>
      <c r="J587" s="17">
        <v>0</v>
      </c>
      <c r="K587" s="17">
        <v>0</v>
      </c>
      <c r="L587" s="17">
        <v>0</v>
      </c>
      <c r="M587" s="17">
        <v>0</v>
      </c>
      <c r="N587" s="17">
        <v>0</v>
      </c>
      <c r="O587" s="17">
        <v>0</v>
      </c>
      <c r="P587" s="17">
        <v>0</v>
      </c>
      <c r="Q587" s="17">
        <v>0</v>
      </c>
      <c r="R587" s="17">
        <v>0</v>
      </c>
      <c r="S587" s="17"/>
      <c r="T587" s="17" t="s">
        <v>2965</v>
      </c>
      <c r="U587" s="17" t="s">
        <v>3055</v>
      </c>
      <c r="V587" s="17" t="s">
        <v>3056</v>
      </c>
      <c r="W587" s="17"/>
      <c r="X587" s="17"/>
    </row>
    <row r="588" spans="1:24" hidden="1">
      <c r="A588" s="18">
        <v>587</v>
      </c>
      <c r="B588" s="17" t="s">
        <v>1350</v>
      </c>
      <c r="C588" s="17" t="s">
        <v>1351</v>
      </c>
      <c r="D588" s="17" t="s">
        <v>20</v>
      </c>
      <c r="E588" s="17" t="s">
        <v>8</v>
      </c>
      <c r="F588" s="17">
        <v>133.28</v>
      </c>
      <c r="G588" s="17">
        <v>0</v>
      </c>
      <c r="H588" s="17">
        <v>0</v>
      </c>
      <c r="I588" s="17">
        <v>133.28</v>
      </c>
      <c r="J588" s="17">
        <v>0</v>
      </c>
      <c r="K588" s="17">
        <v>0</v>
      </c>
      <c r="L588" s="17">
        <v>133.28</v>
      </c>
      <c r="M588" s="17">
        <v>0</v>
      </c>
      <c r="N588" s="17">
        <v>0</v>
      </c>
      <c r="O588" s="17">
        <v>133.28</v>
      </c>
      <c r="P588" s="17">
        <v>0</v>
      </c>
      <c r="Q588" s="17">
        <v>133.28</v>
      </c>
      <c r="R588" s="17">
        <v>0</v>
      </c>
      <c r="S588" s="17"/>
      <c r="T588" s="17" t="s">
        <v>2965</v>
      </c>
      <c r="U588" s="17" t="s">
        <v>3055</v>
      </c>
      <c r="V588" s="17" t="s">
        <v>3058</v>
      </c>
      <c r="W588" s="17"/>
      <c r="X588" s="17"/>
    </row>
    <row r="589" spans="1:24" hidden="1">
      <c r="A589" s="18">
        <v>588</v>
      </c>
      <c r="B589" s="17" t="s">
        <v>1356</v>
      </c>
      <c r="C589" s="17" t="s">
        <v>1357</v>
      </c>
      <c r="D589" s="17" t="s">
        <v>7</v>
      </c>
      <c r="E589" s="17" t="s">
        <v>8</v>
      </c>
      <c r="F589" s="17">
        <v>136</v>
      </c>
      <c r="G589" s="17">
        <v>0</v>
      </c>
      <c r="H589" s="17">
        <v>0</v>
      </c>
      <c r="I589" s="17">
        <v>136</v>
      </c>
      <c r="J589" s="17">
        <v>0</v>
      </c>
      <c r="K589" s="17">
        <v>0</v>
      </c>
      <c r="L589" s="17">
        <v>136</v>
      </c>
      <c r="M589" s="17">
        <v>0</v>
      </c>
      <c r="N589" s="17">
        <v>0</v>
      </c>
      <c r="O589" s="17">
        <v>136</v>
      </c>
      <c r="P589" s="17">
        <v>100</v>
      </c>
      <c r="Q589" s="17">
        <v>36</v>
      </c>
      <c r="R589" s="17">
        <v>0</v>
      </c>
      <c r="S589" s="17"/>
      <c r="T589" s="17" t="s">
        <v>2965</v>
      </c>
      <c r="U589" s="17" t="s">
        <v>3055</v>
      </c>
      <c r="V589" s="17" t="s">
        <v>3056</v>
      </c>
      <c r="W589" s="17"/>
      <c r="X589" s="17"/>
    </row>
    <row r="590" spans="1:24" hidden="1">
      <c r="A590" s="18">
        <v>589</v>
      </c>
      <c r="B590" s="17" t="s">
        <v>1358</v>
      </c>
      <c r="C590" s="17" t="s">
        <v>1359</v>
      </c>
      <c r="D590" s="17" t="s">
        <v>7</v>
      </c>
      <c r="E590" s="17" t="s">
        <v>8</v>
      </c>
      <c r="F590" s="17">
        <v>1821</v>
      </c>
      <c r="G590" s="17">
        <v>0</v>
      </c>
      <c r="H590" s="17">
        <v>0</v>
      </c>
      <c r="I590" s="17">
        <v>1821</v>
      </c>
      <c r="J590" s="17">
        <v>0</v>
      </c>
      <c r="K590" s="17">
        <v>0</v>
      </c>
      <c r="L590" s="17">
        <v>1821</v>
      </c>
      <c r="M590" s="17">
        <v>0</v>
      </c>
      <c r="N590" s="17">
        <v>0</v>
      </c>
      <c r="O590" s="17">
        <v>1821</v>
      </c>
      <c r="P590" s="17">
        <v>0</v>
      </c>
      <c r="Q590" s="17">
        <v>1821</v>
      </c>
      <c r="R590" s="17">
        <v>0</v>
      </c>
      <c r="S590" s="17"/>
      <c r="T590" s="17" t="s">
        <v>2965</v>
      </c>
      <c r="U590" s="17" t="s">
        <v>3055</v>
      </c>
      <c r="V590" s="17" t="s">
        <v>3056</v>
      </c>
      <c r="W590" s="17"/>
      <c r="X590" s="17"/>
    </row>
    <row r="591" spans="1:24" hidden="1">
      <c r="A591" s="18">
        <v>590</v>
      </c>
      <c r="B591" s="17" t="s">
        <v>1360</v>
      </c>
      <c r="C591" s="17" t="s">
        <v>1361</v>
      </c>
      <c r="D591" s="17" t="s">
        <v>7</v>
      </c>
      <c r="E591" s="17" t="s">
        <v>8</v>
      </c>
      <c r="F591" s="17">
        <v>816</v>
      </c>
      <c r="G591" s="17">
        <v>0</v>
      </c>
      <c r="H591" s="17">
        <v>0</v>
      </c>
      <c r="I591" s="17">
        <v>816</v>
      </c>
      <c r="J591" s="17">
        <v>0</v>
      </c>
      <c r="K591" s="17">
        <v>0</v>
      </c>
      <c r="L591" s="17">
        <v>816</v>
      </c>
      <c r="M591" s="17">
        <v>0</v>
      </c>
      <c r="N591" s="17">
        <v>0</v>
      </c>
      <c r="O591" s="17">
        <v>816</v>
      </c>
      <c r="P591" s="17">
        <v>0</v>
      </c>
      <c r="Q591" s="17">
        <v>816</v>
      </c>
      <c r="R591" s="17">
        <v>0</v>
      </c>
      <c r="S591" s="17"/>
      <c r="T591" s="17" t="s">
        <v>2965</v>
      </c>
      <c r="U591" s="17" t="s">
        <v>3055</v>
      </c>
      <c r="V591" s="17" t="s">
        <v>3056</v>
      </c>
      <c r="W591" s="17"/>
      <c r="X591" s="17"/>
    </row>
    <row r="592" spans="1:24" hidden="1">
      <c r="A592" s="18">
        <v>591</v>
      </c>
      <c r="B592" s="17" t="s">
        <v>1362</v>
      </c>
      <c r="C592" s="17" t="s">
        <v>1363</v>
      </c>
      <c r="D592" s="17" t="s">
        <v>7</v>
      </c>
      <c r="E592" s="17" t="s">
        <v>8</v>
      </c>
      <c r="F592" s="17">
        <v>648</v>
      </c>
      <c r="G592" s="17">
        <v>0</v>
      </c>
      <c r="H592" s="17">
        <v>0</v>
      </c>
      <c r="I592" s="17">
        <v>648</v>
      </c>
      <c r="J592" s="17">
        <v>0</v>
      </c>
      <c r="K592" s="17">
        <v>0</v>
      </c>
      <c r="L592" s="17">
        <v>648</v>
      </c>
      <c r="M592" s="17">
        <v>0</v>
      </c>
      <c r="N592" s="17">
        <v>0</v>
      </c>
      <c r="O592" s="17">
        <v>648</v>
      </c>
      <c r="P592" s="17">
        <v>500</v>
      </c>
      <c r="Q592" s="17">
        <v>148</v>
      </c>
      <c r="R592" s="17">
        <v>0</v>
      </c>
      <c r="S592" s="17"/>
      <c r="T592" s="17" t="s">
        <v>2965</v>
      </c>
      <c r="U592" s="17" t="s">
        <v>3055</v>
      </c>
      <c r="V592" s="17" t="s">
        <v>3056</v>
      </c>
      <c r="W592" s="17"/>
      <c r="X592" s="17"/>
    </row>
    <row r="593" spans="1:24" hidden="1">
      <c r="A593" s="18">
        <v>592</v>
      </c>
      <c r="B593" s="17" t="s">
        <v>1364</v>
      </c>
      <c r="C593" s="17" t="s">
        <v>1365</v>
      </c>
      <c r="D593" s="17" t="s">
        <v>7</v>
      </c>
      <c r="E593" s="17" t="s">
        <v>8</v>
      </c>
      <c r="F593" s="17">
        <v>102</v>
      </c>
      <c r="G593" s="17">
        <v>0</v>
      </c>
      <c r="H593" s="17">
        <v>0</v>
      </c>
      <c r="I593" s="17">
        <v>102</v>
      </c>
      <c r="J593" s="17">
        <v>0</v>
      </c>
      <c r="K593" s="17">
        <v>0</v>
      </c>
      <c r="L593" s="17">
        <v>102</v>
      </c>
      <c r="M593" s="17">
        <v>0</v>
      </c>
      <c r="N593" s="17">
        <v>0</v>
      </c>
      <c r="O593" s="17">
        <v>102</v>
      </c>
      <c r="P593" s="17">
        <v>0</v>
      </c>
      <c r="Q593" s="17">
        <v>102</v>
      </c>
      <c r="R593" s="17">
        <v>0</v>
      </c>
      <c r="S593" s="17"/>
      <c r="T593" s="17" t="s">
        <v>2965</v>
      </c>
      <c r="U593" s="17" t="s">
        <v>3055</v>
      </c>
      <c r="V593" s="17" t="s">
        <v>3056</v>
      </c>
      <c r="W593" s="17"/>
      <c r="X593" s="17"/>
    </row>
    <row r="594" spans="1:24" hidden="1">
      <c r="A594" s="18">
        <v>593</v>
      </c>
      <c r="B594" s="17" t="s">
        <v>1366</v>
      </c>
      <c r="C594" s="17" t="s">
        <v>1367</v>
      </c>
      <c r="D594" s="17" t="s">
        <v>7</v>
      </c>
      <c r="E594" s="17" t="s">
        <v>8</v>
      </c>
      <c r="F594" s="17">
        <v>578.79999999999995</v>
      </c>
      <c r="G594" s="17">
        <v>0</v>
      </c>
      <c r="H594" s="17">
        <v>0</v>
      </c>
      <c r="I594" s="17">
        <v>578.79999999999995</v>
      </c>
      <c r="J594" s="17">
        <v>0</v>
      </c>
      <c r="K594" s="17">
        <v>0</v>
      </c>
      <c r="L594" s="17">
        <v>578.79999999999995</v>
      </c>
      <c r="M594" s="17">
        <v>0</v>
      </c>
      <c r="N594" s="17">
        <v>0</v>
      </c>
      <c r="O594" s="17">
        <v>578.79999999999995</v>
      </c>
      <c r="P594" s="17">
        <v>0</v>
      </c>
      <c r="Q594" s="17">
        <v>578.79999999999995</v>
      </c>
      <c r="R594" s="17">
        <v>0</v>
      </c>
      <c r="S594" s="17"/>
      <c r="T594" s="17" t="s">
        <v>2965</v>
      </c>
      <c r="U594" s="17" t="s">
        <v>3055</v>
      </c>
      <c r="V594" s="17" t="s">
        <v>3056</v>
      </c>
      <c r="W594" s="17"/>
      <c r="X594" s="17"/>
    </row>
    <row r="595" spans="1:24" s="40" customFormat="1" hidden="1">
      <c r="A595" s="26">
        <v>594</v>
      </c>
      <c r="B595" s="25" t="s">
        <v>1368</v>
      </c>
      <c r="C595" s="25" t="s">
        <v>1369</v>
      </c>
      <c r="D595" s="25" t="s">
        <v>7</v>
      </c>
      <c r="E595" s="25" t="s">
        <v>8</v>
      </c>
      <c r="F595" s="25">
        <v>445.1</v>
      </c>
      <c r="G595" s="25">
        <v>0</v>
      </c>
      <c r="H595" s="25">
        <v>0</v>
      </c>
      <c r="I595" s="17">
        <v>445.1</v>
      </c>
      <c r="J595" s="17">
        <v>0</v>
      </c>
      <c r="K595" s="17">
        <v>0</v>
      </c>
      <c r="L595" s="17">
        <v>445.1</v>
      </c>
      <c r="M595" s="17">
        <v>0</v>
      </c>
      <c r="N595" s="17">
        <v>0</v>
      </c>
      <c r="O595" s="25">
        <v>445.1</v>
      </c>
      <c r="P595" s="25">
        <v>750</v>
      </c>
      <c r="Q595" s="25">
        <v>-304.89999999999998</v>
      </c>
      <c r="R595" s="25">
        <v>0</v>
      </c>
      <c r="S595" s="25"/>
      <c r="T595" s="25" t="s">
        <v>2965</v>
      </c>
      <c r="U595" s="25" t="s">
        <v>3055</v>
      </c>
      <c r="V595" s="25" t="s">
        <v>3056</v>
      </c>
      <c r="W595" s="25"/>
      <c r="X595" s="25"/>
    </row>
    <row r="596" spans="1:24" hidden="1">
      <c r="A596" s="18">
        <v>595</v>
      </c>
      <c r="B596" s="17" t="s">
        <v>1370</v>
      </c>
      <c r="C596" s="17" t="s">
        <v>1371</v>
      </c>
      <c r="D596" s="17" t="s">
        <v>7</v>
      </c>
      <c r="E596" s="17" t="s">
        <v>8</v>
      </c>
      <c r="F596" s="17">
        <v>1539</v>
      </c>
      <c r="G596" s="17">
        <v>0</v>
      </c>
      <c r="H596" s="17">
        <v>0</v>
      </c>
      <c r="I596" s="17">
        <v>1539</v>
      </c>
      <c r="J596" s="17">
        <v>0</v>
      </c>
      <c r="K596" s="17">
        <v>0</v>
      </c>
      <c r="L596" s="17">
        <v>1539</v>
      </c>
      <c r="M596" s="17">
        <v>0</v>
      </c>
      <c r="N596" s="17">
        <v>0</v>
      </c>
      <c r="O596" s="17">
        <v>1539</v>
      </c>
      <c r="P596" s="17">
        <v>250</v>
      </c>
      <c r="Q596" s="17">
        <v>1289</v>
      </c>
      <c r="R596" s="17">
        <v>0</v>
      </c>
      <c r="S596" s="17"/>
      <c r="T596" s="17" t="s">
        <v>2965</v>
      </c>
      <c r="U596" s="17" t="s">
        <v>3055</v>
      </c>
      <c r="V596" s="17" t="s">
        <v>3056</v>
      </c>
      <c r="W596" s="17"/>
      <c r="X596" s="17"/>
    </row>
    <row r="597" spans="1:24" hidden="1">
      <c r="A597" s="18">
        <v>596</v>
      </c>
      <c r="B597" s="17" t="s">
        <v>1374</v>
      </c>
      <c r="C597" s="17" t="s">
        <v>1375</v>
      </c>
      <c r="D597" s="17" t="s">
        <v>7</v>
      </c>
      <c r="E597" s="17" t="s">
        <v>8</v>
      </c>
      <c r="F597" s="17">
        <v>0</v>
      </c>
      <c r="G597" s="17">
        <v>0</v>
      </c>
      <c r="H597" s="17">
        <v>0</v>
      </c>
      <c r="I597" s="17">
        <v>0</v>
      </c>
      <c r="J597" s="17">
        <v>0</v>
      </c>
      <c r="K597" s="17">
        <v>0</v>
      </c>
      <c r="L597" s="17">
        <v>0</v>
      </c>
      <c r="M597" s="17">
        <v>0</v>
      </c>
      <c r="N597" s="17">
        <v>0</v>
      </c>
      <c r="O597" s="17">
        <v>0</v>
      </c>
      <c r="P597" s="17">
        <v>0</v>
      </c>
      <c r="Q597" s="17">
        <v>0</v>
      </c>
      <c r="R597" s="17">
        <v>0</v>
      </c>
      <c r="S597" s="17"/>
      <c r="T597" s="17" t="s">
        <v>2965</v>
      </c>
      <c r="U597" s="17" t="s">
        <v>3055</v>
      </c>
      <c r="V597" s="17" t="s">
        <v>3056</v>
      </c>
      <c r="W597" s="17"/>
      <c r="X597" s="17"/>
    </row>
    <row r="598" spans="1:24" hidden="1">
      <c r="A598" s="18">
        <v>597</v>
      </c>
      <c r="B598" s="17" t="s">
        <v>1376</v>
      </c>
      <c r="C598" s="17" t="s">
        <v>1377</v>
      </c>
      <c r="D598" s="17" t="s">
        <v>7</v>
      </c>
      <c r="E598" s="17" t="s">
        <v>8</v>
      </c>
      <c r="F598" s="17">
        <v>2645</v>
      </c>
      <c r="G598" s="17">
        <v>0</v>
      </c>
      <c r="H598" s="17">
        <v>730</v>
      </c>
      <c r="I598" s="17">
        <v>1915</v>
      </c>
      <c r="J598" s="17">
        <v>180</v>
      </c>
      <c r="K598" s="17">
        <v>0</v>
      </c>
      <c r="L598" s="17">
        <v>1735</v>
      </c>
      <c r="M598" s="17">
        <v>0</v>
      </c>
      <c r="N598" s="17">
        <v>0</v>
      </c>
      <c r="O598" s="17">
        <v>1735</v>
      </c>
      <c r="P598" s="17">
        <v>650</v>
      </c>
      <c r="Q598" s="17">
        <v>1085</v>
      </c>
      <c r="R598" s="17">
        <v>0</v>
      </c>
      <c r="S598" s="17"/>
      <c r="T598" s="17" t="s">
        <v>2965</v>
      </c>
      <c r="U598" s="17" t="s">
        <v>3055</v>
      </c>
      <c r="V598" s="17" t="s">
        <v>3056</v>
      </c>
      <c r="W598" s="17"/>
      <c r="X598" s="17"/>
    </row>
    <row r="599" spans="1:24" hidden="1">
      <c r="A599" s="18">
        <v>598</v>
      </c>
      <c r="B599" s="17" t="s">
        <v>1382</v>
      </c>
      <c r="C599" s="17" t="s">
        <v>1383</v>
      </c>
      <c r="D599" s="17" t="s">
        <v>7</v>
      </c>
      <c r="E599" s="17" t="s">
        <v>8</v>
      </c>
      <c r="F599" s="17">
        <v>857</v>
      </c>
      <c r="G599" s="17">
        <v>0</v>
      </c>
      <c r="H599" s="17">
        <v>40</v>
      </c>
      <c r="I599" s="17">
        <v>817</v>
      </c>
      <c r="J599" s="17">
        <v>0</v>
      </c>
      <c r="K599" s="17">
        <v>0</v>
      </c>
      <c r="L599" s="17">
        <v>817</v>
      </c>
      <c r="M599" s="17">
        <v>0</v>
      </c>
      <c r="N599" s="17">
        <v>0</v>
      </c>
      <c r="O599" s="17">
        <v>817</v>
      </c>
      <c r="P599" s="17">
        <v>200</v>
      </c>
      <c r="Q599" s="17">
        <v>617</v>
      </c>
      <c r="R599" s="17">
        <v>0</v>
      </c>
      <c r="S599" s="17"/>
      <c r="T599" s="17" t="s">
        <v>2965</v>
      </c>
      <c r="U599" s="17" t="s">
        <v>3055</v>
      </c>
      <c r="V599" s="17" t="s">
        <v>3056</v>
      </c>
      <c r="W599" s="17"/>
      <c r="X599" s="17"/>
    </row>
    <row r="600" spans="1:24" hidden="1">
      <c r="A600" s="18">
        <v>599</v>
      </c>
      <c r="B600" s="17" t="s">
        <v>1384</v>
      </c>
      <c r="C600" s="17" t="s">
        <v>1385</v>
      </c>
      <c r="D600" s="17" t="s">
        <v>20</v>
      </c>
      <c r="E600" s="17" t="s">
        <v>8</v>
      </c>
      <c r="F600" s="17">
        <v>1375.4</v>
      </c>
      <c r="G600" s="17">
        <v>0</v>
      </c>
      <c r="H600" s="17">
        <v>463.1</v>
      </c>
      <c r="I600" s="17">
        <v>912.3</v>
      </c>
      <c r="J600" s="17">
        <v>0</v>
      </c>
      <c r="K600" s="17">
        <v>0</v>
      </c>
      <c r="L600" s="17">
        <v>912.3</v>
      </c>
      <c r="M600" s="17">
        <v>495.2</v>
      </c>
      <c r="N600" s="17">
        <v>0</v>
      </c>
      <c r="O600" s="17">
        <v>1407.5</v>
      </c>
      <c r="P600" s="17">
        <v>500</v>
      </c>
      <c r="Q600" s="17">
        <v>907.5</v>
      </c>
      <c r="R600" s="17">
        <v>1500</v>
      </c>
      <c r="S600" s="17"/>
      <c r="T600" s="17" t="s">
        <v>2965</v>
      </c>
      <c r="U600" s="17" t="s">
        <v>3055</v>
      </c>
      <c r="V600" s="17" t="s">
        <v>3056</v>
      </c>
      <c r="W600" s="17"/>
      <c r="X600" s="17"/>
    </row>
    <row r="601" spans="1:24" hidden="1">
      <c r="A601" s="18">
        <v>600</v>
      </c>
      <c r="B601" s="17" t="s">
        <v>1386</v>
      </c>
      <c r="C601" s="17" t="s">
        <v>1387</v>
      </c>
      <c r="D601" s="17" t="s">
        <v>7</v>
      </c>
      <c r="E601" s="17" t="s">
        <v>8</v>
      </c>
      <c r="F601" s="17">
        <v>0</v>
      </c>
      <c r="G601" s="17">
        <v>0</v>
      </c>
      <c r="H601" s="17">
        <v>0</v>
      </c>
      <c r="I601" s="17">
        <v>0</v>
      </c>
      <c r="J601" s="17">
        <v>0</v>
      </c>
      <c r="K601" s="17">
        <v>0</v>
      </c>
      <c r="L601" s="17">
        <v>0</v>
      </c>
      <c r="M601" s="17">
        <v>0</v>
      </c>
      <c r="N601" s="17">
        <v>0</v>
      </c>
      <c r="O601" s="17">
        <v>0</v>
      </c>
      <c r="P601" s="17">
        <v>0</v>
      </c>
      <c r="Q601" s="17">
        <v>0</v>
      </c>
      <c r="R601" s="17">
        <v>0</v>
      </c>
      <c r="S601" s="17"/>
      <c r="T601" s="17" t="s">
        <v>2965</v>
      </c>
      <c r="U601" s="17" t="s">
        <v>3055</v>
      </c>
      <c r="V601" s="17" t="s">
        <v>3056</v>
      </c>
      <c r="W601" s="17"/>
      <c r="X601" s="17"/>
    </row>
    <row r="602" spans="1:24" hidden="1">
      <c r="A602" s="18">
        <v>601</v>
      </c>
      <c r="B602" s="17" t="s">
        <v>1388</v>
      </c>
      <c r="C602" s="17" t="s">
        <v>1389</v>
      </c>
      <c r="D602" s="17" t="s">
        <v>7</v>
      </c>
      <c r="E602" s="17" t="s">
        <v>8</v>
      </c>
      <c r="F602" s="17">
        <v>0</v>
      </c>
      <c r="G602" s="17">
        <v>0</v>
      </c>
      <c r="H602" s="17">
        <v>0</v>
      </c>
      <c r="I602" s="17">
        <v>0</v>
      </c>
      <c r="J602" s="17">
        <v>0</v>
      </c>
      <c r="K602" s="17">
        <v>0</v>
      </c>
      <c r="L602" s="17">
        <v>0</v>
      </c>
      <c r="M602" s="17">
        <v>0</v>
      </c>
      <c r="N602" s="17">
        <v>0</v>
      </c>
      <c r="O602" s="17">
        <v>0</v>
      </c>
      <c r="P602" s="17">
        <v>0</v>
      </c>
      <c r="Q602" s="17">
        <v>0</v>
      </c>
      <c r="R602" s="17">
        <v>0</v>
      </c>
      <c r="S602" s="17"/>
      <c r="T602" s="17" t="s">
        <v>2965</v>
      </c>
      <c r="U602" s="17" t="s">
        <v>3055</v>
      </c>
      <c r="V602" s="17" t="s">
        <v>3056</v>
      </c>
      <c r="W602" s="17"/>
      <c r="X602" s="17"/>
    </row>
    <row r="603" spans="1:24" hidden="1">
      <c r="A603" s="18">
        <v>602</v>
      </c>
      <c r="B603" s="17" t="s">
        <v>1390</v>
      </c>
      <c r="C603" s="17" t="s">
        <v>1391</v>
      </c>
      <c r="D603" s="17" t="s">
        <v>7</v>
      </c>
      <c r="E603" s="17" t="s">
        <v>8</v>
      </c>
      <c r="F603" s="17">
        <v>1014.5</v>
      </c>
      <c r="G603" s="17">
        <v>0</v>
      </c>
      <c r="H603" s="17">
        <v>0</v>
      </c>
      <c r="I603" s="17">
        <v>1014.5</v>
      </c>
      <c r="J603" s="17">
        <v>0</v>
      </c>
      <c r="K603" s="17">
        <v>0</v>
      </c>
      <c r="L603" s="17">
        <v>1014.5</v>
      </c>
      <c r="M603" s="17">
        <v>0</v>
      </c>
      <c r="N603" s="17">
        <v>0</v>
      </c>
      <c r="O603" s="17">
        <v>1014.5</v>
      </c>
      <c r="P603" s="17">
        <v>0</v>
      </c>
      <c r="Q603" s="17">
        <v>1014.5</v>
      </c>
      <c r="R603" s="17">
        <v>0</v>
      </c>
      <c r="S603" s="17"/>
      <c r="T603" s="17" t="s">
        <v>2965</v>
      </c>
      <c r="U603" s="17" t="s">
        <v>3055</v>
      </c>
      <c r="V603" s="17" t="s">
        <v>3056</v>
      </c>
      <c r="W603" s="17"/>
      <c r="X603" s="17"/>
    </row>
    <row r="604" spans="1:24" hidden="1">
      <c r="A604" s="18">
        <v>603</v>
      </c>
      <c r="B604" s="17" t="s">
        <v>1392</v>
      </c>
      <c r="C604" s="17" t="s">
        <v>1393</v>
      </c>
      <c r="D604" s="17" t="s">
        <v>7</v>
      </c>
      <c r="E604" s="17" t="s">
        <v>8</v>
      </c>
      <c r="F604" s="17">
        <v>0</v>
      </c>
      <c r="G604" s="17">
        <v>0</v>
      </c>
      <c r="H604" s="17">
        <v>0</v>
      </c>
      <c r="I604" s="17">
        <v>0</v>
      </c>
      <c r="J604" s="17">
        <v>0</v>
      </c>
      <c r="K604" s="17">
        <v>0</v>
      </c>
      <c r="L604" s="17">
        <v>0</v>
      </c>
      <c r="M604" s="17">
        <v>0</v>
      </c>
      <c r="N604" s="17">
        <v>0</v>
      </c>
      <c r="O604" s="17">
        <v>0</v>
      </c>
      <c r="P604" s="17">
        <v>0</v>
      </c>
      <c r="Q604" s="17">
        <v>0</v>
      </c>
      <c r="R604" s="17">
        <v>0</v>
      </c>
      <c r="S604" s="17"/>
      <c r="T604" s="17" t="s">
        <v>2965</v>
      </c>
      <c r="U604" s="17" t="s">
        <v>3055</v>
      </c>
      <c r="V604" s="17" t="s">
        <v>3056</v>
      </c>
      <c r="W604" s="17"/>
      <c r="X604" s="17"/>
    </row>
    <row r="605" spans="1:24" hidden="1">
      <c r="A605" s="18">
        <v>604</v>
      </c>
      <c r="B605" s="17" t="s">
        <v>1396</v>
      </c>
      <c r="C605" s="17" t="s">
        <v>1397</v>
      </c>
      <c r="D605" s="17" t="s">
        <v>7</v>
      </c>
      <c r="E605" s="17" t="s">
        <v>8</v>
      </c>
      <c r="F605" s="17">
        <v>0</v>
      </c>
      <c r="G605" s="17">
        <v>0</v>
      </c>
      <c r="H605" s="17">
        <v>0</v>
      </c>
      <c r="I605" s="17">
        <v>0</v>
      </c>
      <c r="J605" s="17">
        <v>0</v>
      </c>
      <c r="K605" s="17">
        <v>0</v>
      </c>
      <c r="L605" s="17">
        <v>0</v>
      </c>
      <c r="M605" s="17">
        <v>0</v>
      </c>
      <c r="N605" s="17">
        <v>0</v>
      </c>
      <c r="O605" s="17">
        <v>0</v>
      </c>
      <c r="P605" s="17">
        <v>0</v>
      </c>
      <c r="Q605" s="17">
        <v>0</v>
      </c>
      <c r="R605" s="17">
        <v>0</v>
      </c>
      <c r="S605" s="17"/>
      <c r="T605" s="17" t="s">
        <v>2965</v>
      </c>
      <c r="U605" s="17" t="s">
        <v>3055</v>
      </c>
      <c r="V605" s="17" t="s">
        <v>3056</v>
      </c>
      <c r="W605" s="17"/>
      <c r="X605" s="17"/>
    </row>
    <row r="606" spans="1:24" hidden="1">
      <c r="A606" s="18">
        <v>605</v>
      </c>
      <c r="B606" s="17" t="s">
        <v>1398</v>
      </c>
      <c r="C606" s="17" t="s">
        <v>1399</v>
      </c>
      <c r="D606" s="17" t="s">
        <v>7</v>
      </c>
      <c r="E606" s="17" t="s">
        <v>8</v>
      </c>
      <c r="F606" s="17">
        <v>0</v>
      </c>
      <c r="G606" s="17">
        <v>0</v>
      </c>
      <c r="H606" s="17">
        <v>0</v>
      </c>
      <c r="I606" s="17">
        <v>0</v>
      </c>
      <c r="J606" s="17">
        <v>0</v>
      </c>
      <c r="K606" s="17">
        <v>0</v>
      </c>
      <c r="L606" s="17">
        <v>0</v>
      </c>
      <c r="M606" s="17">
        <v>0</v>
      </c>
      <c r="N606" s="17">
        <v>0</v>
      </c>
      <c r="O606" s="17">
        <v>0</v>
      </c>
      <c r="P606" s="17">
        <v>0</v>
      </c>
      <c r="Q606" s="17">
        <v>0</v>
      </c>
      <c r="R606" s="17">
        <v>0</v>
      </c>
      <c r="S606" s="17"/>
      <c r="T606" s="17" t="s">
        <v>2965</v>
      </c>
      <c r="U606" s="17" t="s">
        <v>3055</v>
      </c>
      <c r="V606" s="17" t="s">
        <v>3056</v>
      </c>
      <c r="W606" s="17"/>
      <c r="X606" s="17"/>
    </row>
    <row r="607" spans="1:24" hidden="1">
      <c r="A607" s="18">
        <v>606</v>
      </c>
      <c r="B607" s="17" t="s">
        <v>1400</v>
      </c>
      <c r="C607" s="17" t="s">
        <v>1401</v>
      </c>
      <c r="D607" s="17" t="s">
        <v>7</v>
      </c>
      <c r="E607" s="17" t="s">
        <v>8</v>
      </c>
      <c r="F607" s="17">
        <v>2732</v>
      </c>
      <c r="G607" s="17">
        <v>0</v>
      </c>
      <c r="H607" s="17">
        <v>275.5</v>
      </c>
      <c r="I607" s="17">
        <v>2456.5</v>
      </c>
      <c r="J607" s="17">
        <v>0</v>
      </c>
      <c r="K607" s="17">
        <v>0</v>
      </c>
      <c r="L607" s="17">
        <v>2456.5</v>
      </c>
      <c r="M607" s="17">
        <v>0</v>
      </c>
      <c r="N607" s="17">
        <v>0</v>
      </c>
      <c r="O607" s="17">
        <v>2456.5</v>
      </c>
      <c r="P607" s="17">
        <v>500</v>
      </c>
      <c r="Q607" s="17">
        <v>1956.5</v>
      </c>
      <c r="R607" s="17">
        <v>0</v>
      </c>
      <c r="S607" s="17"/>
      <c r="T607" s="17" t="s">
        <v>2965</v>
      </c>
      <c r="U607" s="17" t="s">
        <v>3055</v>
      </c>
      <c r="V607" s="17" t="s">
        <v>3056</v>
      </c>
      <c r="W607" s="17"/>
      <c r="X607" s="17"/>
    </row>
    <row r="608" spans="1:24" hidden="1">
      <c r="A608" s="18">
        <v>607</v>
      </c>
      <c r="B608" s="17" t="s">
        <v>1402</v>
      </c>
      <c r="C608" s="17" t="s">
        <v>1403</v>
      </c>
      <c r="D608" s="17" t="s">
        <v>7</v>
      </c>
      <c r="E608" s="17" t="s">
        <v>8</v>
      </c>
      <c r="F608" s="17">
        <v>2184</v>
      </c>
      <c r="G608" s="17">
        <v>0</v>
      </c>
      <c r="H608" s="17">
        <v>0</v>
      </c>
      <c r="I608" s="17">
        <v>2184</v>
      </c>
      <c r="J608" s="17">
        <v>0</v>
      </c>
      <c r="K608" s="17">
        <v>0</v>
      </c>
      <c r="L608" s="17">
        <v>2184</v>
      </c>
      <c r="M608" s="17">
        <v>0</v>
      </c>
      <c r="N608" s="17">
        <v>0</v>
      </c>
      <c r="O608" s="17">
        <v>2184</v>
      </c>
      <c r="P608" s="17">
        <v>500</v>
      </c>
      <c r="Q608" s="17">
        <v>1684</v>
      </c>
      <c r="R608" s="17">
        <v>0</v>
      </c>
      <c r="S608" s="17"/>
      <c r="T608" s="17" t="s">
        <v>2965</v>
      </c>
      <c r="U608" s="17" t="s">
        <v>3055</v>
      </c>
      <c r="V608" s="17" t="s">
        <v>3056</v>
      </c>
      <c r="W608" s="17"/>
      <c r="X608" s="17"/>
    </row>
    <row r="609" spans="1:24" s="40" customFormat="1" hidden="1">
      <c r="A609" s="26">
        <v>608</v>
      </c>
      <c r="B609" s="25" t="s">
        <v>1404</v>
      </c>
      <c r="C609" s="25" t="s">
        <v>1405</v>
      </c>
      <c r="D609" s="25" t="s">
        <v>7</v>
      </c>
      <c r="E609" s="25" t="s">
        <v>8</v>
      </c>
      <c r="F609" s="25">
        <v>1448.7</v>
      </c>
      <c r="G609" s="25">
        <v>0</v>
      </c>
      <c r="H609" s="25">
        <v>156.4</v>
      </c>
      <c r="I609" s="17">
        <v>1292.3</v>
      </c>
      <c r="J609" s="17">
        <v>0</v>
      </c>
      <c r="K609" s="17">
        <v>0</v>
      </c>
      <c r="L609" s="17">
        <v>1292.3</v>
      </c>
      <c r="M609" s="17">
        <v>0</v>
      </c>
      <c r="N609" s="17">
        <v>0</v>
      </c>
      <c r="O609" s="25">
        <v>1292.3</v>
      </c>
      <c r="P609" s="25">
        <v>2000</v>
      </c>
      <c r="Q609" s="25">
        <v>-707.7</v>
      </c>
      <c r="R609" s="25">
        <v>1000</v>
      </c>
      <c r="S609" s="25"/>
      <c r="T609" s="25" t="s">
        <v>2965</v>
      </c>
      <c r="U609" s="25" t="s">
        <v>3055</v>
      </c>
      <c r="V609" s="25" t="s">
        <v>3056</v>
      </c>
      <c r="W609" s="25"/>
      <c r="X609" s="25"/>
    </row>
    <row r="610" spans="1:24" hidden="1">
      <c r="A610" s="18">
        <v>609</v>
      </c>
      <c r="B610" s="17" t="s">
        <v>1406</v>
      </c>
      <c r="C610" s="17" t="s">
        <v>1407</v>
      </c>
      <c r="D610" s="17" t="s">
        <v>7</v>
      </c>
      <c r="E610" s="17" t="s">
        <v>8</v>
      </c>
      <c r="F610" s="17">
        <v>0</v>
      </c>
      <c r="G610" s="17">
        <v>0</v>
      </c>
      <c r="H610" s="17">
        <v>0</v>
      </c>
      <c r="I610" s="17">
        <v>0</v>
      </c>
      <c r="J610" s="17">
        <v>0</v>
      </c>
      <c r="K610" s="17">
        <v>0</v>
      </c>
      <c r="L610" s="17">
        <v>0</v>
      </c>
      <c r="M610" s="17">
        <v>0</v>
      </c>
      <c r="N610" s="17">
        <v>0</v>
      </c>
      <c r="O610" s="17">
        <v>0</v>
      </c>
      <c r="P610" s="17">
        <v>0</v>
      </c>
      <c r="Q610" s="17">
        <v>0</v>
      </c>
      <c r="R610" s="17">
        <v>0</v>
      </c>
      <c r="S610" s="17"/>
      <c r="T610" s="17" t="s">
        <v>2965</v>
      </c>
      <c r="U610" s="17" t="s">
        <v>3055</v>
      </c>
      <c r="V610" s="17" t="s">
        <v>3056</v>
      </c>
      <c r="W610" s="17"/>
      <c r="X610" s="17"/>
    </row>
    <row r="611" spans="1:24" hidden="1">
      <c r="A611" s="18">
        <v>610</v>
      </c>
      <c r="B611" s="17" t="s">
        <v>1408</v>
      </c>
      <c r="C611" s="17" t="s">
        <v>1409</v>
      </c>
      <c r="D611" s="17" t="s">
        <v>7</v>
      </c>
      <c r="E611" s="17" t="s">
        <v>8</v>
      </c>
      <c r="F611" s="17">
        <v>17852</v>
      </c>
      <c r="G611" s="17">
        <v>0</v>
      </c>
      <c r="H611" s="17">
        <v>3343</v>
      </c>
      <c r="I611" s="17">
        <v>14509</v>
      </c>
      <c r="J611" s="17">
        <v>0</v>
      </c>
      <c r="K611" s="17">
        <v>0</v>
      </c>
      <c r="L611" s="17">
        <v>14509</v>
      </c>
      <c r="M611" s="17">
        <v>0</v>
      </c>
      <c r="N611" s="17">
        <v>0</v>
      </c>
      <c r="O611" s="17">
        <v>14509</v>
      </c>
      <c r="P611" s="17">
        <v>5000</v>
      </c>
      <c r="Q611" s="17">
        <v>9509</v>
      </c>
      <c r="R611" s="17">
        <v>0</v>
      </c>
      <c r="S611" s="17"/>
      <c r="T611" s="17" t="s">
        <v>2965</v>
      </c>
      <c r="U611" s="17" t="s">
        <v>3055</v>
      </c>
      <c r="V611" s="17" t="s">
        <v>3056</v>
      </c>
      <c r="W611" s="17"/>
      <c r="X611" s="17"/>
    </row>
    <row r="612" spans="1:24" hidden="1">
      <c r="A612" s="18">
        <v>611</v>
      </c>
      <c r="B612" s="17" t="s">
        <v>1410</v>
      </c>
      <c r="C612" s="17" t="s">
        <v>1411</v>
      </c>
      <c r="D612" s="17" t="s">
        <v>7</v>
      </c>
      <c r="E612" s="17" t="s">
        <v>8</v>
      </c>
      <c r="F612" s="17">
        <v>3604</v>
      </c>
      <c r="G612" s="17">
        <v>0</v>
      </c>
      <c r="H612" s="17">
        <v>305</v>
      </c>
      <c r="I612" s="17">
        <v>3299</v>
      </c>
      <c r="J612" s="17">
        <v>0</v>
      </c>
      <c r="K612" s="17">
        <v>0</v>
      </c>
      <c r="L612" s="17">
        <v>3299</v>
      </c>
      <c r="M612" s="17">
        <v>0</v>
      </c>
      <c r="N612" s="17">
        <v>0</v>
      </c>
      <c r="O612" s="17">
        <v>3299</v>
      </c>
      <c r="P612" s="17">
        <v>0</v>
      </c>
      <c r="Q612" s="17">
        <v>3299</v>
      </c>
      <c r="R612" s="17">
        <v>0</v>
      </c>
      <c r="S612" s="17"/>
      <c r="T612" s="17" t="s">
        <v>2965</v>
      </c>
      <c r="U612" s="17" t="s">
        <v>3055</v>
      </c>
      <c r="V612" s="17" t="s">
        <v>3056</v>
      </c>
      <c r="W612" s="17"/>
      <c r="X612" s="17"/>
    </row>
    <row r="613" spans="1:24" hidden="1">
      <c r="A613" s="18">
        <v>612</v>
      </c>
      <c r="B613" s="17" t="s">
        <v>1412</v>
      </c>
      <c r="C613" s="17" t="s">
        <v>1413</v>
      </c>
      <c r="D613" s="17" t="s">
        <v>7</v>
      </c>
      <c r="E613" s="17" t="s">
        <v>8</v>
      </c>
      <c r="F613" s="17">
        <v>1771</v>
      </c>
      <c r="G613" s="17">
        <v>0</v>
      </c>
      <c r="H613" s="17">
        <v>0</v>
      </c>
      <c r="I613" s="17">
        <v>1771</v>
      </c>
      <c r="J613" s="17">
        <v>0</v>
      </c>
      <c r="K613" s="17">
        <v>0</v>
      </c>
      <c r="L613" s="17">
        <v>1771</v>
      </c>
      <c r="M613" s="17">
        <v>0</v>
      </c>
      <c r="N613" s="17">
        <v>0</v>
      </c>
      <c r="O613" s="17">
        <v>1771</v>
      </c>
      <c r="P613" s="17">
        <v>0</v>
      </c>
      <c r="Q613" s="17">
        <v>1771</v>
      </c>
      <c r="R613" s="17">
        <v>0</v>
      </c>
      <c r="S613" s="17"/>
      <c r="T613" s="17" t="s">
        <v>2965</v>
      </c>
      <c r="U613" s="17" t="s">
        <v>3055</v>
      </c>
      <c r="V613" s="17" t="s">
        <v>3056</v>
      </c>
      <c r="W613" s="17"/>
      <c r="X613" s="17"/>
    </row>
    <row r="614" spans="1:24" hidden="1">
      <c r="A614" s="18">
        <v>613</v>
      </c>
      <c r="B614" s="17" t="s">
        <v>1414</v>
      </c>
      <c r="C614" s="17" t="s">
        <v>1415</v>
      </c>
      <c r="D614" s="17" t="s">
        <v>7</v>
      </c>
      <c r="E614" s="17" t="s">
        <v>8</v>
      </c>
      <c r="F614" s="17">
        <v>1991.2</v>
      </c>
      <c r="G614" s="17">
        <v>0</v>
      </c>
      <c r="H614" s="17">
        <v>321</v>
      </c>
      <c r="I614" s="17">
        <v>1670.2</v>
      </c>
      <c r="J614" s="17">
        <v>0</v>
      </c>
      <c r="K614" s="17">
        <v>0</v>
      </c>
      <c r="L614" s="17">
        <v>1670.2</v>
      </c>
      <c r="M614" s="17">
        <v>0</v>
      </c>
      <c r="N614" s="17">
        <v>0</v>
      </c>
      <c r="O614" s="17">
        <v>1670.2</v>
      </c>
      <c r="P614" s="17">
        <v>0</v>
      </c>
      <c r="Q614" s="17">
        <v>1670.2</v>
      </c>
      <c r="R614" s="17">
        <v>0</v>
      </c>
      <c r="S614" s="17"/>
      <c r="T614" s="17" t="s">
        <v>2965</v>
      </c>
      <c r="U614" s="17" t="s">
        <v>3055</v>
      </c>
      <c r="V614" s="17" t="s">
        <v>3056</v>
      </c>
      <c r="W614" s="17"/>
      <c r="X614" s="17"/>
    </row>
    <row r="615" spans="1:24" hidden="1">
      <c r="A615" s="18">
        <v>614</v>
      </c>
      <c r="B615" s="17" t="s">
        <v>1416</v>
      </c>
      <c r="C615" s="17" t="s">
        <v>1417</v>
      </c>
      <c r="D615" s="17" t="s">
        <v>7</v>
      </c>
      <c r="E615" s="17" t="s">
        <v>8</v>
      </c>
      <c r="F615" s="17">
        <v>540</v>
      </c>
      <c r="G615" s="17">
        <v>0</v>
      </c>
      <c r="H615" s="17">
        <v>0</v>
      </c>
      <c r="I615" s="17">
        <v>540</v>
      </c>
      <c r="J615" s="17">
        <v>0</v>
      </c>
      <c r="K615" s="17">
        <v>0</v>
      </c>
      <c r="L615" s="17">
        <v>540</v>
      </c>
      <c r="M615" s="17">
        <v>0</v>
      </c>
      <c r="N615" s="17">
        <v>0</v>
      </c>
      <c r="O615" s="17">
        <v>540</v>
      </c>
      <c r="P615" s="17">
        <v>0</v>
      </c>
      <c r="Q615" s="17">
        <v>540</v>
      </c>
      <c r="R615" s="17">
        <v>0</v>
      </c>
      <c r="S615" s="17"/>
      <c r="T615" s="17" t="s">
        <v>2965</v>
      </c>
      <c r="U615" s="17" t="s">
        <v>3055</v>
      </c>
      <c r="V615" s="17" t="s">
        <v>3056</v>
      </c>
      <c r="W615" s="17"/>
      <c r="X615" s="17"/>
    </row>
    <row r="616" spans="1:24" hidden="1">
      <c r="A616" s="18">
        <v>615</v>
      </c>
      <c r="B616" s="17" t="s">
        <v>1418</v>
      </c>
      <c r="C616" s="17" t="s">
        <v>1419</v>
      </c>
      <c r="D616" s="17" t="s">
        <v>7</v>
      </c>
      <c r="E616" s="17" t="s">
        <v>8</v>
      </c>
      <c r="F616" s="17">
        <v>9685</v>
      </c>
      <c r="G616" s="17">
        <v>0</v>
      </c>
      <c r="H616" s="17">
        <v>0</v>
      </c>
      <c r="I616" s="17">
        <v>9685</v>
      </c>
      <c r="J616" s="17">
        <v>0</v>
      </c>
      <c r="K616" s="17">
        <v>0</v>
      </c>
      <c r="L616" s="17">
        <v>9685</v>
      </c>
      <c r="M616" s="17">
        <v>0</v>
      </c>
      <c r="N616" s="17">
        <v>0</v>
      </c>
      <c r="O616" s="17">
        <v>9685</v>
      </c>
      <c r="P616" s="17">
        <v>0</v>
      </c>
      <c r="Q616" s="17">
        <v>9685</v>
      </c>
      <c r="R616" s="17">
        <v>0</v>
      </c>
      <c r="S616" s="17"/>
      <c r="T616" s="17" t="s">
        <v>2965</v>
      </c>
      <c r="U616" s="17" t="s">
        <v>3055</v>
      </c>
      <c r="V616" s="17" t="s">
        <v>3056</v>
      </c>
      <c r="W616" s="17"/>
      <c r="X616" s="17"/>
    </row>
    <row r="617" spans="1:24" hidden="1">
      <c r="A617" s="18">
        <v>616</v>
      </c>
      <c r="B617" s="17" t="s">
        <v>1420</v>
      </c>
      <c r="C617" s="17" t="s">
        <v>1421</v>
      </c>
      <c r="D617" s="17" t="s">
        <v>7</v>
      </c>
      <c r="E617" s="17" t="s">
        <v>8</v>
      </c>
      <c r="F617" s="17">
        <v>5774.6</v>
      </c>
      <c r="G617" s="17">
        <v>0</v>
      </c>
      <c r="H617" s="17">
        <v>290.5</v>
      </c>
      <c r="I617" s="17">
        <v>5484.1</v>
      </c>
      <c r="J617" s="17">
        <v>0</v>
      </c>
      <c r="K617" s="17">
        <v>0</v>
      </c>
      <c r="L617" s="17">
        <v>5484.1</v>
      </c>
      <c r="M617" s="17">
        <v>0</v>
      </c>
      <c r="N617" s="17">
        <v>0</v>
      </c>
      <c r="O617" s="17">
        <v>5484.1</v>
      </c>
      <c r="P617" s="17">
        <v>1000</v>
      </c>
      <c r="Q617" s="17">
        <v>4484.1000000000004</v>
      </c>
      <c r="R617" s="17">
        <v>0</v>
      </c>
      <c r="S617" s="17"/>
      <c r="T617" s="17" t="s">
        <v>2965</v>
      </c>
      <c r="U617" s="17" t="s">
        <v>3055</v>
      </c>
      <c r="V617" s="17" t="s">
        <v>3056</v>
      </c>
      <c r="W617" s="17"/>
      <c r="X617" s="17"/>
    </row>
    <row r="618" spans="1:24" hidden="1">
      <c r="A618" s="18">
        <v>617</v>
      </c>
      <c r="B618" s="17" t="s">
        <v>1422</v>
      </c>
      <c r="C618" s="17" t="s">
        <v>1423</v>
      </c>
      <c r="D618" s="17" t="s">
        <v>7</v>
      </c>
      <c r="E618" s="17" t="s">
        <v>8</v>
      </c>
      <c r="F618" s="17">
        <v>1564</v>
      </c>
      <c r="G618" s="17">
        <v>16767</v>
      </c>
      <c r="H618" s="17">
        <v>3334</v>
      </c>
      <c r="I618" s="17">
        <v>14997</v>
      </c>
      <c r="J618" s="17">
        <v>0</v>
      </c>
      <c r="K618" s="17">
        <v>0</v>
      </c>
      <c r="L618" s="17">
        <v>14997</v>
      </c>
      <c r="M618" s="17">
        <v>0</v>
      </c>
      <c r="N618" s="17">
        <v>0</v>
      </c>
      <c r="O618" s="17">
        <v>14997</v>
      </c>
      <c r="P618" s="17">
        <v>2500</v>
      </c>
      <c r="Q618" s="17">
        <v>12497</v>
      </c>
      <c r="R618" s="17">
        <v>8000</v>
      </c>
      <c r="S618" s="17"/>
      <c r="T618" s="17" t="s">
        <v>2965</v>
      </c>
      <c r="U618" s="17" t="s">
        <v>3055</v>
      </c>
      <c r="V618" s="17" t="s">
        <v>3056</v>
      </c>
      <c r="W618" s="17"/>
      <c r="X618" s="17"/>
    </row>
    <row r="619" spans="1:24" hidden="1">
      <c r="A619" s="18">
        <v>618</v>
      </c>
      <c r="B619" s="17" t="s">
        <v>1424</v>
      </c>
      <c r="C619" s="17" t="s">
        <v>1425</v>
      </c>
      <c r="D619" s="17" t="s">
        <v>7</v>
      </c>
      <c r="E619" s="17" t="s">
        <v>8</v>
      </c>
      <c r="F619" s="17">
        <v>2007.07</v>
      </c>
      <c r="G619" s="17">
        <v>0</v>
      </c>
      <c r="H619" s="17">
        <v>0</v>
      </c>
      <c r="I619" s="17">
        <v>2007.07</v>
      </c>
      <c r="J619" s="17">
        <v>479</v>
      </c>
      <c r="K619" s="17">
        <v>0</v>
      </c>
      <c r="L619" s="17">
        <v>1528.07</v>
      </c>
      <c r="M619" s="17">
        <v>0</v>
      </c>
      <c r="N619" s="17">
        <v>0</v>
      </c>
      <c r="O619" s="17">
        <v>1528.07</v>
      </c>
      <c r="P619" s="17">
        <v>1000</v>
      </c>
      <c r="Q619" s="17">
        <v>528.06999999999994</v>
      </c>
      <c r="R619" s="17">
        <v>0</v>
      </c>
      <c r="S619" s="17"/>
      <c r="T619" s="17" t="s">
        <v>2965</v>
      </c>
      <c r="U619" s="17" t="s">
        <v>3055</v>
      </c>
      <c r="V619" s="17" t="s">
        <v>3056</v>
      </c>
      <c r="W619" s="17"/>
      <c r="X619" s="17"/>
    </row>
    <row r="620" spans="1:24" hidden="1">
      <c r="A620" s="18">
        <v>619</v>
      </c>
      <c r="B620" s="17" t="s">
        <v>1426</v>
      </c>
      <c r="C620" s="17" t="s">
        <v>1427</v>
      </c>
      <c r="D620" s="17" t="s">
        <v>7</v>
      </c>
      <c r="E620" s="17" t="s">
        <v>8</v>
      </c>
      <c r="F620" s="17">
        <v>359.5</v>
      </c>
      <c r="G620" s="17">
        <v>0</v>
      </c>
      <c r="H620" s="17">
        <v>0</v>
      </c>
      <c r="I620" s="17">
        <v>359.5</v>
      </c>
      <c r="J620" s="17">
        <v>0</v>
      </c>
      <c r="K620" s="17">
        <v>0</v>
      </c>
      <c r="L620" s="17">
        <v>359.5</v>
      </c>
      <c r="M620" s="17">
        <v>0</v>
      </c>
      <c r="N620" s="17">
        <v>0</v>
      </c>
      <c r="O620" s="17">
        <v>359.5</v>
      </c>
      <c r="P620" s="17">
        <v>250</v>
      </c>
      <c r="Q620" s="17">
        <v>109.5</v>
      </c>
      <c r="R620" s="17">
        <v>0</v>
      </c>
      <c r="S620" s="17"/>
      <c r="T620" s="17" t="s">
        <v>2965</v>
      </c>
      <c r="U620" s="17" t="s">
        <v>3055</v>
      </c>
      <c r="V620" s="17" t="s">
        <v>3056</v>
      </c>
      <c r="W620" s="17"/>
      <c r="X620" s="17"/>
    </row>
    <row r="621" spans="1:24" hidden="1">
      <c r="A621" s="18">
        <v>620</v>
      </c>
      <c r="B621" s="17" t="s">
        <v>1428</v>
      </c>
      <c r="C621" s="17" t="s">
        <v>1429</v>
      </c>
      <c r="D621" s="17" t="s">
        <v>7</v>
      </c>
      <c r="E621" s="17" t="s">
        <v>8</v>
      </c>
      <c r="F621" s="17">
        <v>1310.5999999999999</v>
      </c>
      <c r="G621" s="17">
        <v>0</v>
      </c>
      <c r="H621" s="17">
        <v>0</v>
      </c>
      <c r="I621" s="17">
        <v>1310.5999999999999</v>
      </c>
      <c r="J621" s="17">
        <v>0</v>
      </c>
      <c r="K621" s="17">
        <v>0</v>
      </c>
      <c r="L621" s="17">
        <v>1310.5999999999999</v>
      </c>
      <c r="M621" s="17">
        <v>0</v>
      </c>
      <c r="N621" s="17">
        <v>0</v>
      </c>
      <c r="O621" s="17">
        <v>1310.5999999999999</v>
      </c>
      <c r="P621" s="17">
        <v>250</v>
      </c>
      <c r="Q621" s="17">
        <v>1060.5999999999999</v>
      </c>
      <c r="R621" s="17">
        <v>0</v>
      </c>
      <c r="S621" s="17"/>
      <c r="T621" s="17" t="s">
        <v>2965</v>
      </c>
      <c r="U621" s="17" t="s">
        <v>3055</v>
      </c>
      <c r="V621" s="17" t="s">
        <v>3056</v>
      </c>
      <c r="W621" s="17"/>
      <c r="X621" s="17"/>
    </row>
    <row r="622" spans="1:24" hidden="1">
      <c r="A622" s="18">
        <v>621</v>
      </c>
      <c r="B622" s="17" t="s">
        <v>1430</v>
      </c>
      <c r="C622" s="17" t="s">
        <v>1431</v>
      </c>
      <c r="D622" s="17" t="s">
        <v>7</v>
      </c>
      <c r="E622" s="17" t="s">
        <v>8</v>
      </c>
      <c r="F622" s="17">
        <v>1055</v>
      </c>
      <c r="G622" s="17">
        <v>0</v>
      </c>
      <c r="H622" s="17">
        <v>0</v>
      </c>
      <c r="I622" s="17">
        <v>1055</v>
      </c>
      <c r="J622" s="17">
        <v>0</v>
      </c>
      <c r="K622" s="17">
        <v>0</v>
      </c>
      <c r="L622" s="17">
        <v>1055</v>
      </c>
      <c r="M622" s="17">
        <v>0</v>
      </c>
      <c r="N622" s="17">
        <v>0</v>
      </c>
      <c r="O622" s="17">
        <v>1055</v>
      </c>
      <c r="P622" s="17">
        <v>250</v>
      </c>
      <c r="Q622" s="17">
        <v>805</v>
      </c>
      <c r="R622" s="17">
        <v>0</v>
      </c>
      <c r="S622" s="17"/>
      <c r="T622" s="17" t="s">
        <v>2965</v>
      </c>
      <c r="U622" s="17" t="s">
        <v>3055</v>
      </c>
      <c r="V622" s="17" t="s">
        <v>3056</v>
      </c>
      <c r="W622" s="17"/>
      <c r="X622" s="17"/>
    </row>
    <row r="623" spans="1:24" hidden="1">
      <c r="A623" s="18">
        <v>622</v>
      </c>
      <c r="B623" s="17" t="s">
        <v>1432</v>
      </c>
      <c r="C623" s="17" t="s">
        <v>1433</v>
      </c>
      <c r="D623" s="17" t="s">
        <v>7</v>
      </c>
      <c r="E623" s="17" t="s">
        <v>8</v>
      </c>
      <c r="F623" s="17">
        <v>470.58</v>
      </c>
      <c r="G623" s="17">
        <v>0</v>
      </c>
      <c r="H623" s="17">
        <v>0</v>
      </c>
      <c r="I623" s="17">
        <v>470.58</v>
      </c>
      <c r="J623" s="17">
        <v>0</v>
      </c>
      <c r="K623" s="17">
        <v>0</v>
      </c>
      <c r="L623" s="17">
        <v>470.58</v>
      </c>
      <c r="M623" s="17">
        <v>0</v>
      </c>
      <c r="N623" s="17">
        <v>0</v>
      </c>
      <c r="O623" s="17">
        <v>470.58</v>
      </c>
      <c r="P623" s="17">
        <v>250</v>
      </c>
      <c r="Q623" s="17">
        <v>220.57999999999998</v>
      </c>
      <c r="R623" s="17">
        <v>0</v>
      </c>
      <c r="S623" s="17"/>
      <c r="T623" s="17" t="s">
        <v>2965</v>
      </c>
      <c r="U623" s="17" t="s">
        <v>3055</v>
      </c>
      <c r="V623" s="17" t="s">
        <v>3056</v>
      </c>
      <c r="W623" s="17"/>
      <c r="X623" s="17"/>
    </row>
    <row r="624" spans="1:24" hidden="1">
      <c r="A624" s="18">
        <v>623</v>
      </c>
      <c r="B624" s="17" t="s">
        <v>1434</v>
      </c>
      <c r="C624" s="17" t="s">
        <v>1435</v>
      </c>
      <c r="D624" s="17" t="s">
        <v>7</v>
      </c>
      <c r="E624" s="17" t="s">
        <v>8</v>
      </c>
      <c r="F624" s="17">
        <v>161.30000000000001</v>
      </c>
      <c r="G624" s="17">
        <v>0</v>
      </c>
      <c r="H624" s="17">
        <v>0</v>
      </c>
      <c r="I624" s="17">
        <v>161.30000000000001</v>
      </c>
      <c r="J624" s="17">
        <v>0</v>
      </c>
      <c r="K624" s="17">
        <v>0</v>
      </c>
      <c r="L624" s="17">
        <v>161.30000000000001</v>
      </c>
      <c r="M624" s="17">
        <v>0</v>
      </c>
      <c r="N624" s="17">
        <v>0</v>
      </c>
      <c r="O624" s="17">
        <v>161.30000000000001</v>
      </c>
      <c r="P624" s="17">
        <v>250</v>
      </c>
      <c r="Q624" s="17">
        <v>-88.699999999999989</v>
      </c>
      <c r="R624" s="17">
        <v>0</v>
      </c>
      <c r="S624" s="17"/>
      <c r="T624" s="17" t="s">
        <v>2965</v>
      </c>
      <c r="U624" s="17" t="s">
        <v>3055</v>
      </c>
      <c r="V624" s="17" t="s">
        <v>3056</v>
      </c>
      <c r="W624" s="17"/>
      <c r="X624" s="17"/>
    </row>
    <row r="625" spans="1:24" hidden="1">
      <c r="A625" s="18">
        <v>624</v>
      </c>
      <c r="B625" s="17" t="s">
        <v>1436</v>
      </c>
      <c r="C625" s="17" t="s">
        <v>1437</v>
      </c>
      <c r="D625" s="17" t="s">
        <v>7</v>
      </c>
      <c r="E625" s="17" t="s">
        <v>8</v>
      </c>
      <c r="F625" s="17">
        <v>2494.1999999999998</v>
      </c>
      <c r="G625" s="17">
        <v>0</v>
      </c>
      <c r="H625" s="17">
        <v>0</v>
      </c>
      <c r="I625" s="17">
        <v>2494.1999999999998</v>
      </c>
      <c r="J625" s="17">
        <v>0</v>
      </c>
      <c r="K625" s="17">
        <v>0</v>
      </c>
      <c r="L625" s="17">
        <v>2494.1999999999998</v>
      </c>
      <c r="M625" s="17">
        <v>0</v>
      </c>
      <c r="N625" s="17">
        <v>0</v>
      </c>
      <c r="O625" s="17">
        <v>2494.1999999999998</v>
      </c>
      <c r="P625" s="17">
        <v>250</v>
      </c>
      <c r="Q625" s="17">
        <v>2244.1999999999998</v>
      </c>
      <c r="R625" s="17">
        <v>0</v>
      </c>
      <c r="S625" s="17"/>
      <c r="T625" s="17" t="s">
        <v>2965</v>
      </c>
      <c r="U625" s="17" t="s">
        <v>3055</v>
      </c>
      <c r="V625" s="17" t="s">
        <v>3056</v>
      </c>
      <c r="W625" s="17"/>
      <c r="X625" s="17"/>
    </row>
    <row r="626" spans="1:24" hidden="1">
      <c r="A626" s="18">
        <v>625</v>
      </c>
      <c r="B626" s="17" t="s">
        <v>1438</v>
      </c>
      <c r="C626" s="17" t="s">
        <v>1439</v>
      </c>
      <c r="D626" s="17" t="s">
        <v>20</v>
      </c>
      <c r="E626" s="17" t="s">
        <v>8</v>
      </c>
      <c r="F626" s="17">
        <v>195.6</v>
      </c>
      <c r="G626" s="17">
        <v>0</v>
      </c>
      <c r="H626" s="17">
        <v>0</v>
      </c>
      <c r="I626" s="17">
        <v>195.6</v>
      </c>
      <c r="J626" s="17">
        <v>0</v>
      </c>
      <c r="K626" s="17">
        <v>0</v>
      </c>
      <c r="L626" s="17">
        <v>195.6</v>
      </c>
      <c r="M626" s="17">
        <v>0</v>
      </c>
      <c r="N626" s="17">
        <v>0</v>
      </c>
      <c r="O626" s="17">
        <v>195.6</v>
      </c>
      <c r="P626" s="17">
        <v>200</v>
      </c>
      <c r="Q626" s="17">
        <v>-4.4000000000000057</v>
      </c>
      <c r="R626" s="17">
        <v>0</v>
      </c>
      <c r="S626" s="17"/>
      <c r="T626" s="17" t="s">
        <v>2965</v>
      </c>
      <c r="U626" s="17" t="s">
        <v>3055</v>
      </c>
      <c r="V626" s="17" t="s">
        <v>3056</v>
      </c>
      <c r="W626" s="17"/>
      <c r="X626" s="17"/>
    </row>
    <row r="627" spans="1:24" hidden="1">
      <c r="A627" s="18">
        <v>626</v>
      </c>
      <c r="B627" s="17" t="s">
        <v>1442</v>
      </c>
      <c r="C627" s="17" t="s">
        <v>1443</v>
      </c>
      <c r="D627" s="17" t="s">
        <v>7</v>
      </c>
      <c r="E627" s="17" t="s">
        <v>8</v>
      </c>
      <c r="F627" s="17">
        <v>0</v>
      </c>
      <c r="G627" s="17">
        <v>0</v>
      </c>
      <c r="H627" s="17">
        <v>0</v>
      </c>
      <c r="I627" s="17">
        <v>0</v>
      </c>
      <c r="J627" s="17">
        <v>0</v>
      </c>
      <c r="K627" s="17">
        <v>0</v>
      </c>
      <c r="L627" s="17">
        <v>0</v>
      </c>
      <c r="M627" s="17">
        <v>0</v>
      </c>
      <c r="N627" s="17">
        <v>0</v>
      </c>
      <c r="O627" s="17">
        <v>0</v>
      </c>
      <c r="P627" s="17">
        <v>0</v>
      </c>
      <c r="Q627" s="17">
        <v>0</v>
      </c>
      <c r="R627" s="17">
        <v>0</v>
      </c>
      <c r="S627" s="17"/>
      <c r="T627" s="17" t="s">
        <v>2965</v>
      </c>
      <c r="U627" s="17" t="s">
        <v>3055</v>
      </c>
      <c r="V627" s="17" t="s">
        <v>3056</v>
      </c>
      <c r="W627" s="17"/>
      <c r="X627" s="17"/>
    </row>
    <row r="628" spans="1:24" hidden="1">
      <c r="A628" s="18">
        <v>627</v>
      </c>
      <c r="B628" s="17" t="s">
        <v>1444</v>
      </c>
      <c r="C628" s="17" t="s">
        <v>1445</v>
      </c>
      <c r="D628" s="17" t="s">
        <v>7</v>
      </c>
      <c r="E628" s="17" t="s">
        <v>8</v>
      </c>
      <c r="F628" s="17">
        <v>1416</v>
      </c>
      <c r="G628" s="17">
        <v>0</v>
      </c>
      <c r="H628" s="17">
        <v>45.25</v>
      </c>
      <c r="I628" s="17">
        <v>1370.75</v>
      </c>
      <c r="J628" s="17">
        <v>0</v>
      </c>
      <c r="K628" s="17">
        <v>0</v>
      </c>
      <c r="L628" s="17">
        <v>1370.75</v>
      </c>
      <c r="M628" s="17">
        <v>0</v>
      </c>
      <c r="N628" s="17">
        <v>0</v>
      </c>
      <c r="O628" s="17">
        <v>1370.75</v>
      </c>
      <c r="P628" s="17">
        <v>400</v>
      </c>
      <c r="Q628" s="17">
        <v>970.75</v>
      </c>
      <c r="R628" s="17">
        <v>0</v>
      </c>
      <c r="S628" s="17"/>
      <c r="T628" s="17" t="s">
        <v>2965</v>
      </c>
      <c r="U628" s="17" t="s">
        <v>3055</v>
      </c>
      <c r="V628" s="17" t="s">
        <v>3056</v>
      </c>
      <c r="W628" s="17"/>
      <c r="X628" s="17"/>
    </row>
    <row r="629" spans="1:24" hidden="1">
      <c r="A629" s="18">
        <v>628</v>
      </c>
      <c r="B629" s="17" t="s">
        <v>1446</v>
      </c>
      <c r="C629" s="17" t="s">
        <v>1447</v>
      </c>
      <c r="D629" s="17" t="s">
        <v>7</v>
      </c>
      <c r="E629" s="17" t="s">
        <v>8</v>
      </c>
      <c r="F629" s="17">
        <v>671</v>
      </c>
      <c r="G629" s="17">
        <v>0</v>
      </c>
      <c r="H629" s="17">
        <v>55</v>
      </c>
      <c r="I629" s="17">
        <v>616</v>
      </c>
      <c r="J629" s="17">
        <v>0</v>
      </c>
      <c r="K629" s="17">
        <v>0</v>
      </c>
      <c r="L629" s="17">
        <v>616</v>
      </c>
      <c r="M629" s="17">
        <v>0</v>
      </c>
      <c r="N629" s="17">
        <v>0</v>
      </c>
      <c r="O629" s="17">
        <v>616</v>
      </c>
      <c r="P629" s="17">
        <v>200</v>
      </c>
      <c r="Q629" s="17">
        <v>416</v>
      </c>
      <c r="R629" s="17">
        <v>0</v>
      </c>
      <c r="S629" s="17"/>
      <c r="T629" s="17" t="s">
        <v>2965</v>
      </c>
      <c r="U629" s="17" t="s">
        <v>3055</v>
      </c>
      <c r="V629" s="17" t="s">
        <v>3056</v>
      </c>
      <c r="W629" s="17"/>
      <c r="X629" s="17"/>
    </row>
    <row r="630" spans="1:24" hidden="1">
      <c r="A630" s="18">
        <v>629</v>
      </c>
      <c r="B630" s="17" t="s">
        <v>1448</v>
      </c>
      <c r="C630" s="17" t="s">
        <v>1449</v>
      </c>
      <c r="D630" s="17" t="s">
        <v>7</v>
      </c>
      <c r="E630" s="17" t="s">
        <v>8</v>
      </c>
      <c r="F630" s="17">
        <v>390.05</v>
      </c>
      <c r="G630" s="17">
        <v>0</v>
      </c>
      <c r="H630" s="17">
        <v>84</v>
      </c>
      <c r="I630" s="17">
        <v>306.05</v>
      </c>
      <c r="J630" s="17">
        <v>0</v>
      </c>
      <c r="K630" s="17">
        <v>0</v>
      </c>
      <c r="L630" s="17">
        <v>306.05</v>
      </c>
      <c r="M630" s="17">
        <v>0</v>
      </c>
      <c r="N630" s="17">
        <v>0</v>
      </c>
      <c r="O630" s="17">
        <v>306.05</v>
      </c>
      <c r="P630" s="17">
        <v>300</v>
      </c>
      <c r="Q630" s="17">
        <v>6.0500000000000114</v>
      </c>
      <c r="R630" s="17">
        <v>100</v>
      </c>
      <c r="S630" s="17"/>
      <c r="T630" s="17" t="s">
        <v>2965</v>
      </c>
      <c r="U630" s="17" t="s">
        <v>3055</v>
      </c>
      <c r="V630" s="17" t="s">
        <v>3056</v>
      </c>
      <c r="W630" s="17"/>
      <c r="X630" s="17"/>
    </row>
    <row r="631" spans="1:24" hidden="1">
      <c r="A631" s="18">
        <v>630</v>
      </c>
      <c r="B631" s="17" t="s">
        <v>1450</v>
      </c>
      <c r="C631" s="17" t="s">
        <v>1451</v>
      </c>
      <c r="D631" s="17" t="s">
        <v>17</v>
      </c>
      <c r="E631" s="17" t="s">
        <v>8</v>
      </c>
      <c r="F631" s="17">
        <v>1036</v>
      </c>
      <c r="G631" s="17">
        <v>0</v>
      </c>
      <c r="H631" s="17">
        <v>0</v>
      </c>
      <c r="I631" s="17">
        <v>1036</v>
      </c>
      <c r="J631" s="17">
        <v>0</v>
      </c>
      <c r="K631" s="17">
        <v>0</v>
      </c>
      <c r="L631" s="17">
        <v>1036</v>
      </c>
      <c r="M631" s="17">
        <v>0</v>
      </c>
      <c r="N631" s="17">
        <v>0</v>
      </c>
      <c r="O631" s="17">
        <v>1036</v>
      </c>
      <c r="P631" s="17">
        <v>200</v>
      </c>
      <c r="Q631" s="17">
        <v>836</v>
      </c>
      <c r="R631" s="17">
        <v>0</v>
      </c>
      <c r="S631" s="17"/>
      <c r="T631" s="17" t="s">
        <v>2972</v>
      </c>
      <c r="U631" s="17" t="s">
        <v>3055</v>
      </c>
      <c r="V631" s="17" t="s">
        <v>3056</v>
      </c>
      <c r="W631" s="17"/>
      <c r="X631" s="17"/>
    </row>
    <row r="632" spans="1:24" hidden="1">
      <c r="A632" s="18">
        <v>631</v>
      </c>
      <c r="B632" s="17" t="s">
        <v>1074</v>
      </c>
      <c r="C632" s="17" t="s">
        <v>1075</v>
      </c>
      <c r="D632" s="17" t="s">
        <v>17</v>
      </c>
      <c r="E632" s="17" t="s">
        <v>8</v>
      </c>
      <c r="F632" s="17">
        <v>0</v>
      </c>
      <c r="G632" s="17">
        <v>0</v>
      </c>
      <c r="H632" s="17">
        <v>0</v>
      </c>
      <c r="I632" s="17">
        <v>0</v>
      </c>
      <c r="J632" s="17">
        <v>0</v>
      </c>
      <c r="K632" s="17">
        <v>0</v>
      </c>
      <c r="L632" s="17">
        <v>0</v>
      </c>
      <c r="M632" s="17">
        <v>0</v>
      </c>
      <c r="N632" s="17">
        <v>0</v>
      </c>
      <c r="O632" s="17">
        <v>0</v>
      </c>
      <c r="P632" s="17">
        <v>0</v>
      </c>
      <c r="Q632" s="17">
        <v>0</v>
      </c>
      <c r="R632" s="17">
        <v>0</v>
      </c>
      <c r="S632" s="17"/>
      <c r="T632" s="17" t="s">
        <v>2972</v>
      </c>
      <c r="U632" s="17" t="s">
        <v>3057</v>
      </c>
      <c r="V632" s="17" t="s">
        <v>3058</v>
      </c>
      <c r="W632" s="17"/>
      <c r="X632" s="17"/>
    </row>
    <row r="633" spans="1:24" hidden="1">
      <c r="A633" s="18">
        <v>632</v>
      </c>
      <c r="B633" s="17" t="s">
        <v>1076</v>
      </c>
      <c r="C633" s="17" t="s">
        <v>1077</v>
      </c>
      <c r="D633" s="17" t="s">
        <v>17</v>
      </c>
      <c r="E633" s="17" t="s">
        <v>8</v>
      </c>
      <c r="F633" s="17">
        <v>300</v>
      </c>
      <c r="G633" s="17">
        <v>0</v>
      </c>
      <c r="H633" s="17">
        <v>0</v>
      </c>
      <c r="I633" s="17">
        <v>300</v>
      </c>
      <c r="J633" s="17">
        <v>0</v>
      </c>
      <c r="K633" s="17">
        <v>0</v>
      </c>
      <c r="L633" s="17">
        <v>300</v>
      </c>
      <c r="M633" s="17">
        <v>0</v>
      </c>
      <c r="N633" s="17">
        <v>0</v>
      </c>
      <c r="O633" s="17">
        <v>300</v>
      </c>
      <c r="P633" s="17">
        <v>0</v>
      </c>
      <c r="Q633" s="17">
        <v>300</v>
      </c>
      <c r="R633" s="17">
        <v>0</v>
      </c>
      <c r="S633" s="17"/>
      <c r="T633" s="17" t="s">
        <v>2972</v>
      </c>
      <c r="U633" s="17" t="s">
        <v>3057</v>
      </c>
      <c r="V633" s="17" t="s">
        <v>3058</v>
      </c>
      <c r="W633" s="17"/>
      <c r="X633" s="17"/>
    </row>
    <row r="634" spans="1:24" hidden="1">
      <c r="A634" s="18">
        <v>633</v>
      </c>
      <c r="B634" s="17" t="s">
        <v>1456</v>
      </c>
      <c r="C634" s="17" t="s">
        <v>1457</v>
      </c>
      <c r="D634" s="17" t="s">
        <v>17</v>
      </c>
      <c r="E634" s="17" t="s">
        <v>8</v>
      </c>
      <c r="F634" s="17">
        <v>475</v>
      </c>
      <c r="G634" s="17">
        <v>0</v>
      </c>
      <c r="H634" s="17">
        <v>0</v>
      </c>
      <c r="I634" s="17">
        <v>475</v>
      </c>
      <c r="J634" s="17">
        <v>0</v>
      </c>
      <c r="K634" s="17">
        <v>0</v>
      </c>
      <c r="L634" s="17">
        <v>475</v>
      </c>
      <c r="M634" s="17">
        <v>0</v>
      </c>
      <c r="N634" s="17">
        <v>0</v>
      </c>
      <c r="O634" s="17">
        <v>475</v>
      </c>
      <c r="P634" s="17">
        <v>200</v>
      </c>
      <c r="Q634" s="17">
        <v>275</v>
      </c>
      <c r="R634" s="17">
        <v>0</v>
      </c>
      <c r="S634" s="17"/>
      <c r="T634" s="17" t="s">
        <v>2972</v>
      </c>
      <c r="U634" s="17" t="s">
        <v>3055</v>
      </c>
      <c r="V634" s="17" t="s">
        <v>3056</v>
      </c>
      <c r="W634" s="17"/>
      <c r="X634" s="17"/>
    </row>
    <row r="635" spans="1:24" hidden="1">
      <c r="A635" s="18">
        <v>634</v>
      </c>
      <c r="B635" s="17" t="s">
        <v>1458</v>
      </c>
      <c r="C635" s="17" t="s">
        <v>1459</v>
      </c>
      <c r="D635" s="17" t="s">
        <v>17</v>
      </c>
      <c r="E635" s="17" t="s">
        <v>8</v>
      </c>
      <c r="F635" s="17">
        <v>0</v>
      </c>
      <c r="G635" s="17">
        <v>0</v>
      </c>
      <c r="H635" s="17">
        <v>0</v>
      </c>
      <c r="I635" s="17">
        <v>0</v>
      </c>
      <c r="J635" s="17">
        <v>0</v>
      </c>
      <c r="K635" s="17">
        <v>0</v>
      </c>
      <c r="L635" s="17">
        <v>0</v>
      </c>
      <c r="M635" s="17">
        <v>0</v>
      </c>
      <c r="N635" s="17">
        <v>0</v>
      </c>
      <c r="O635" s="17">
        <v>0</v>
      </c>
      <c r="P635" s="17">
        <v>100</v>
      </c>
      <c r="Q635" s="17">
        <v>-100</v>
      </c>
      <c r="R635" s="17">
        <v>0</v>
      </c>
      <c r="S635" s="17"/>
      <c r="T635" s="17" t="s">
        <v>2972</v>
      </c>
      <c r="U635" s="17" t="s">
        <v>3055</v>
      </c>
      <c r="V635" s="17" t="s">
        <v>3056</v>
      </c>
      <c r="W635" s="17"/>
      <c r="X635" s="17"/>
    </row>
    <row r="636" spans="1:24" hidden="1">
      <c r="A636" s="18">
        <v>635</v>
      </c>
      <c r="B636" s="17" t="s">
        <v>1078</v>
      </c>
      <c r="C636" s="17" t="s">
        <v>1079</v>
      </c>
      <c r="D636" s="17" t="s">
        <v>17</v>
      </c>
      <c r="E636" s="17" t="s">
        <v>8</v>
      </c>
      <c r="F636" s="17">
        <v>0</v>
      </c>
      <c r="G636" s="17">
        <v>52</v>
      </c>
      <c r="H636" s="17">
        <v>0</v>
      </c>
      <c r="I636" s="17">
        <v>52</v>
      </c>
      <c r="J636" s="17">
        <v>0</v>
      </c>
      <c r="K636" s="17">
        <v>0</v>
      </c>
      <c r="L636" s="17">
        <v>52</v>
      </c>
      <c r="M636" s="17">
        <v>0</v>
      </c>
      <c r="N636" s="17">
        <v>0</v>
      </c>
      <c r="O636" s="17">
        <v>52</v>
      </c>
      <c r="P636" s="17">
        <v>0</v>
      </c>
      <c r="Q636" s="17">
        <v>52</v>
      </c>
      <c r="R636" s="17">
        <v>0</v>
      </c>
      <c r="S636" s="17"/>
      <c r="T636" s="17" t="s">
        <v>2972</v>
      </c>
      <c r="U636" s="17" t="s">
        <v>3057</v>
      </c>
      <c r="V636" s="17" t="s">
        <v>3058</v>
      </c>
      <c r="W636" s="17"/>
      <c r="X636" s="17"/>
    </row>
    <row r="637" spans="1:24" hidden="1">
      <c r="A637" s="18">
        <v>636</v>
      </c>
      <c r="B637" s="17" t="s">
        <v>1080</v>
      </c>
      <c r="C637" s="17" t="s">
        <v>1081</v>
      </c>
      <c r="D637" s="17" t="s">
        <v>17</v>
      </c>
      <c r="E637" s="17" t="s">
        <v>8</v>
      </c>
      <c r="F637" s="17">
        <v>0</v>
      </c>
      <c r="G637" s="17">
        <v>0</v>
      </c>
      <c r="H637" s="17">
        <v>0</v>
      </c>
      <c r="I637" s="17">
        <v>0</v>
      </c>
      <c r="J637" s="17">
        <v>0</v>
      </c>
      <c r="K637" s="17">
        <v>0</v>
      </c>
      <c r="L637" s="17">
        <v>0</v>
      </c>
      <c r="M637" s="17">
        <v>0</v>
      </c>
      <c r="N637" s="17">
        <v>0</v>
      </c>
      <c r="O637" s="17">
        <v>0</v>
      </c>
      <c r="P637" s="17">
        <v>0</v>
      </c>
      <c r="Q637" s="17">
        <v>0</v>
      </c>
      <c r="R637" s="17">
        <v>0</v>
      </c>
      <c r="S637" s="17"/>
      <c r="T637" s="17" t="s">
        <v>3002</v>
      </c>
      <c r="U637" s="17" t="s">
        <v>3057</v>
      </c>
      <c r="V637" s="17" t="s">
        <v>3056</v>
      </c>
      <c r="W637" s="17"/>
      <c r="X637" s="17"/>
    </row>
    <row r="638" spans="1:24" hidden="1">
      <c r="A638" s="18">
        <v>637</v>
      </c>
      <c r="B638" s="17" t="s">
        <v>1082</v>
      </c>
      <c r="C638" s="17" t="s">
        <v>1083</v>
      </c>
      <c r="D638" s="17" t="s">
        <v>17</v>
      </c>
      <c r="E638" s="17" t="s">
        <v>8</v>
      </c>
      <c r="F638" s="17">
        <v>0</v>
      </c>
      <c r="G638" s="17">
        <v>0</v>
      </c>
      <c r="H638" s="17">
        <v>0</v>
      </c>
      <c r="I638" s="17">
        <v>0</v>
      </c>
      <c r="J638" s="17">
        <v>0</v>
      </c>
      <c r="K638" s="17">
        <v>0</v>
      </c>
      <c r="L638" s="17">
        <v>0</v>
      </c>
      <c r="M638" s="17">
        <v>0</v>
      </c>
      <c r="N638" s="17">
        <v>0</v>
      </c>
      <c r="O638" s="17">
        <v>0</v>
      </c>
      <c r="P638" s="17">
        <v>0</v>
      </c>
      <c r="Q638" s="17">
        <v>0</v>
      </c>
      <c r="R638" s="17">
        <v>0</v>
      </c>
      <c r="S638" s="17"/>
      <c r="T638" s="17" t="s">
        <v>3002</v>
      </c>
      <c r="U638" s="17" t="s">
        <v>3057</v>
      </c>
      <c r="V638" s="17" t="s">
        <v>3056</v>
      </c>
      <c r="W638" s="17"/>
      <c r="X638" s="17"/>
    </row>
    <row r="639" spans="1:24" hidden="1">
      <c r="A639" s="18">
        <v>638</v>
      </c>
      <c r="B639" s="17" t="s">
        <v>1466</v>
      </c>
      <c r="C639" s="17" t="s">
        <v>1467</v>
      </c>
      <c r="D639" s="17" t="s">
        <v>17</v>
      </c>
      <c r="E639" s="17" t="s">
        <v>8</v>
      </c>
      <c r="F639" s="17">
        <v>129</v>
      </c>
      <c r="G639" s="17">
        <v>0</v>
      </c>
      <c r="H639" s="17">
        <v>13</v>
      </c>
      <c r="I639" s="17">
        <v>116</v>
      </c>
      <c r="J639" s="17">
        <v>0</v>
      </c>
      <c r="K639" s="17">
        <v>0</v>
      </c>
      <c r="L639" s="17">
        <v>116</v>
      </c>
      <c r="M639" s="17">
        <v>0</v>
      </c>
      <c r="N639" s="17">
        <v>0</v>
      </c>
      <c r="O639" s="17">
        <v>116</v>
      </c>
      <c r="P639" s="17">
        <v>100</v>
      </c>
      <c r="Q639" s="17">
        <v>16</v>
      </c>
      <c r="R639" s="17">
        <v>0</v>
      </c>
      <c r="S639" s="17"/>
      <c r="T639" s="17" t="s">
        <v>2972</v>
      </c>
      <c r="U639" s="17" t="s">
        <v>3055</v>
      </c>
      <c r="V639" s="17" t="s">
        <v>3056</v>
      </c>
      <c r="W639" s="17"/>
      <c r="X639" s="17"/>
    </row>
    <row r="640" spans="1:24" s="40" customFormat="1">
      <c r="A640" s="26">
        <v>639</v>
      </c>
      <c r="B640" s="25" t="s">
        <v>1468</v>
      </c>
      <c r="C640" s="25" t="s">
        <v>1469</v>
      </c>
      <c r="D640" s="25" t="s">
        <v>17</v>
      </c>
      <c r="E640" s="25" t="s">
        <v>8</v>
      </c>
      <c r="F640" s="25">
        <v>103</v>
      </c>
      <c r="G640" s="25">
        <v>0</v>
      </c>
      <c r="H640" s="25">
        <v>80</v>
      </c>
      <c r="I640" s="17">
        <v>23</v>
      </c>
      <c r="J640" s="17">
        <v>0</v>
      </c>
      <c r="K640" s="17">
        <v>0</v>
      </c>
      <c r="L640" s="17">
        <v>23</v>
      </c>
      <c r="M640" s="17">
        <v>0</v>
      </c>
      <c r="N640" s="17">
        <v>0</v>
      </c>
      <c r="O640" s="25">
        <v>23</v>
      </c>
      <c r="P640" s="25">
        <v>50</v>
      </c>
      <c r="Q640" s="25">
        <v>-27</v>
      </c>
      <c r="R640" s="25">
        <v>0</v>
      </c>
      <c r="S640" s="25"/>
      <c r="T640" s="25" t="s">
        <v>2982</v>
      </c>
      <c r="U640" s="25" t="s">
        <v>3060</v>
      </c>
      <c r="V640" s="25" t="s">
        <v>3064</v>
      </c>
      <c r="W640" s="25"/>
      <c r="X640" s="25"/>
    </row>
    <row r="641" spans="1:24" hidden="1">
      <c r="A641" s="18">
        <v>640</v>
      </c>
      <c r="B641" s="17" t="s">
        <v>1470</v>
      </c>
      <c r="C641" s="17" t="s">
        <v>1471</v>
      </c>
      <c r="D641" s="17" t="s">
        <v>17</v>
      </c>
      <c r="E641" s="17" t="s">
        <v>8</v>
      </c>
      <c r="F641" s="17">
        <v>182</v>
      </c>
      <c r="G641" s="17">
        <v>0</v>
      </c>
      <c r="H641" s="17">
        <v>85</v>
      </c>
      <c r="I641" s="17">
        <v>97</v>
      </c>
      <c r="J641" s="17">
        <v>0</v>
      </c>
      <c r="K641" s="17">
        <v>0</v>
      </c>
      <c r="L641" s="17">
        <v>97</v>
      </c>
      <c r="M641" s="17">
        <v>0</v>
      </c>
      <c r="N641" s="17">
        <v>0</v>
      </c>
      <c r="O641" s="17">
        <v>97</v>
      </c>
      <c r="P641" s="17">
        <v>50</v>
      </c>
      <c r="Q641" s="17">
        <v>47</v>
      </c>
      <c r="R641" s="17">
        <v>0</v>
      </c>
      <c r="S641" s="17"/>
      <c r="T641" s="17" t="s">
        <v>2982</v>
      </c>
      <c r="U641" s="17" t="s">
        <v>3060</v>
      </c>
      <c r="V641" s="17" t="s">
        <v>3064</v>
      </c>
      <c r="W641" s="17"/>
      <c r="X641" s="17"/>
    </row>
    <row r="642" spans="1:24" hidden="1">
      <c r="A642" s="18">
        <v>641</v>
      </c>
      <c r="B642" s="17" t="s">
        <v>1472</v>
      </c>
      <c r="C642" s="17" t="s">
        <v>1473</v>
      </c>
      <c r="D642" s="17" t="s">
        <v>17</v>
      </c>
      <c r="E642" s="17" t="s">
        <v>8</v>
      </c>
      <c r="F642" s="17">
        <v>181</v>
      </c>
      <c r="G642" s="17">
        <v>0</v>
      </c>
      <c r="H642" s="17">
        <v>110</v>
      </c>
      <c r="I642" s="17">
        <v>71</v>
      </c>
      <c r="J642" s="17">
        <v>0</v>
      </c>
      <c r="K642" s="17">
        <v>0</v>
      </c>
      <c r="L642" s="17">
        <v>71</v>
      </c>
      <c r="M642" s="17">
        <v>0</v>
      </c>
      <c r="N642" s="17">
        <v>0</v>
      </c>
      <c r="O642" s="17">
        <v>71</v>
      </c>
      <c r="P642" s="17">
        <v>50</v>
      </c>
      <c r="Q642" s="17">
        <v>21</v>
      </c>
      <c r="R642" s="17">
        <v>0</v>
      </c>
      <c r="S642" s="17"/>
      <c r="T642" s="17" t="s">
        <v>2982</v>
      </c>
      <c r="U642" s="17" t="s">
        <v>3060</v>
      </c>
      <c r="V642" s="17" t="s">
        <v>3064</v>
      </c>
      <c r="W642" s="17"/>
      <c r="X642" s="17"/>
    </row>
    <row r="643" spans="1:24" hidden="1">
      <c r="A643" s="18">
        <v>642</v>
      </c>
      <c r="B643" s="17" t="s">
        <v>1474</v>
      </c>
      <c r="C643" s="17" t="s">
        <v>1475</v>
      </c>
      <c r="D643" s="17" t="s">
        <v>17</v>
      </c>
      <c r="E643" s="17" t="s">
        <v>8</v>
      </c>
      <c r="F643" s="17">
        <v>124</v>
      </c>
      <c r="G643" s="17">
        <v>0</v>
      </c>
      <c r="H643" s="17">
        <v>85</v>
      </c>
      <c r="I643" s="17">
        <v>39</v>
      </c>
      <c r="J643" s="17">
        <v>0</v>
      </c>
      <c r="K643" s="17">
        <v>0</v>
      </c>
      <c r="L643" s="17">
        <v>39</v>
      </c>
      <c r="M643" s="17">
        <v>0</v>
      </c>
      <c r="N643" s="17">
        <v>0</v>
      </c>
      <c r="O643" s="17">
        <v>39</v>
      </c>
      <c r="P643" s="17">
        <v>50</v>
      </c>
      <c r="Q643" s="17">
        <v>-11</v>
      </c>
      <c r="R643" s="17">
        <v>0</v>
      </c>
      <c r="S643" s="17"/>
      <c r="T643" s="17" t="s">
        <v>2982</v>
      </c>
      <c r="U643" s="17" t="s">
        <v>3060</v>
      </c>
      <c r="V643" s="17" t="s">
        <v>3064</v>
      </c>
      <c r="W643" s="17"/>
      <c r="X643" s="17"/>
    </row>
    <row r="644" spans="1:24" hidden="1">
      <c r="A644" s="18">
        <v>643</v>
      </c>
      <c r="B644" s="17" t="s">
        <v>1476</v>
      </c>
      <c r="C644" s="17" t="s">
        <v>1477</v>
      </c>
      <c r="D644" s="17" t="s">
        <v>17</v>
      </c>
      <c r="E644" s="17" t="s">
        <v>8</v>
      </c>
      <c r="F644" s="17">
        <v>25</v>
      </c>
      <c r="G644" s="17">
        <v>0</v>
      </c>
      <c r="H644" s="17">
        <v>3</v>
      </c>
      <c r="I644" s="17">
        <v>22</v>
      </c>
      <c r="J644" s="17">
        <v>0</v>
      </c>
      <c r="K644" s="17">
        <v>0</v>
      </c>
      <c r="L644" s="17">
        <v>22</v>
      </c>
      <c r="M644" s="17">
        <v>0</v>
      </c>
      <c r="N644" s="17">
        <v>0</v>
      </c>
      <c r="O644" s="17">
        <v>22</v>
      </c>
      <c r="P644" s="17">
        <v>20</v>
      </c>
      <c r="Q644" s="17">
        <v>2</v>
      </c>
      <c r="R644" s="17">
        <v>0</v>
      </c>
      <c r="S644" s="17"/>
      <c r="T644" s="17" t="s">
        <v>2982</v>
      </c>
      <c r="U644" s="17" t="s">
        <v>3060</v>
      </c>
      <c r="V644" s="17" t="s">
        <v>3061</v>
      </c>
      <c r="W644" s="17"/>
      <c r="X644" s="17"/>
    </row>
    <row r="645" spans="1:24" hidden="1">
      <c r="A645" s="18">
        <v>644</v>
      </c>
      <c r="B645" s="17" t="s">
        <v>1478</v>
      </c>
      <c r="C645" s="17" t="s">
        <v>1479</v>
      </c>
      <c r="D645" s="17" t="s">
        <v>17</v>
      </c>
      <c r="E645" s="17" t="s">
        <v>8</v>
      </c>
      <c r="F645" s="17">
        <v>11</v>
      </c>
      <c r="G645" s="17">
        <v>0</v>
      </c>
      <c r="H645" s="17">
        <v>0</v>
      </c>
      <c r="I645" s="17">
        <v>11</v>
      </c>
      <c r="J645" s="17">
        <v>0</v>
      </c>
      <c r="K645" s="17">
        <v>0</v>
      </c>
      <c r="L645" s="17">
        <v>11</v>
      </c>
      <c r="M645" s="17">
        <v>0</v>
      </c>
      <c r="N645" s="17">
        <v>0</v>
      </c>
      <c r="O645" s="17">
        <v>11</v>
      </c>
      <c r="P645" s="17">
        <v>10</v>
      </c>
      <c r="Q645" s="17">
        <v>1</v>
      </c>
      <c r="R645" s="17">
        <v>0</v>
      </c>
      <c r="S645" s="17"/>
      <c r="T645" s="17" t="s">
        <v>2982</v>
      </c>
      <c r="U645" s="17" t="s">
        <v>3060</v>
      </c>
      <c r="V645" s="17" t="s">
        <v>3061</v>
      </c>
      <c r="W645" s="17"/>
      <c r="X645" s="17"/>
    </row>
    <row r="646" spans="1:24" hidden="1">
      <c r="A646" s="18">
        <v>645</v>
      </c>
      <c r="B646" s="17" t="s">
        <v>1480</v>
      </c>
      <c r="C646" s="17" t="s">
        <v>1481</v>
      </c>
      <c r="D646" s="17" t="s">
        <v>17</v>
      </c>
      <c r="E646" s="17" t="s">
        <v>8</v>
      </c>
      <c r="F646" s="17">
        <v>15</v>
      </c>
      <c r="G646" s="17">
        <v>0</v>
      </c>
      <c r="H646" s="17">
        <v>0</v>
      </c>
      <c r="I646" s="17">
        <v>15</v>
      </c>
      <c r="J646" s="17">
        <v>0</v>
      </c>
      <c r="K646" s="17">
        <v>0</v>
      </c>
      <c r="L646" s="17">
        <v>15</v>
      </c>
      <c r="M646" s="17">
        <v>0</v>
      </c>
      <c r="N646" s="17">
        <v>0</v>
      </c>
      <c r="O646" s="17">
        <v>15</v>
      </c>
      <c r="P646" s="17">
        <v>5</v>
      </c>
      <c r="Q646" s="17">
        <v>10</v>
      </c>
      <c r="R646" s="17">
        <v>0</v>
      </c>
      <c r="S646" s="17"/>
      <c r="T646" s="17" t="s">
        <v>2982</v>
      </c>
      <c r="U646" s="17" t="s">
        <v>3060</v>
      </c>
      <c r="V646" s="17" t="s">
        <v>3061</v>
      </c>
      <c r="W646" s="17"/>
      <c r="X646" s="17"/>
    </row>
    <row r="647" spans="1:24" s="40" customFormat="1">
      <c r="A647" s="26">
        <v>646</v>
      </c>
      <c r="B647" s="25" t="s">
        <v>1482</v>
      </c>
      <c r="C647" s="25" t="s">
        <v>1483</v>
      </c>
      <c r="D647" s="25" t="s">
        <v>17</v>
      </c>
      <c r="E647" s="25" t="s">
        <v>8</v>
      </c>
      <c r="F647" s="25">
        <v>9</v>
      </c>
      <c r="G647" s="25">
        <v>0</v>
      </c>
      <c r="H647" s="25">
        <v>7</v>
      </c>
      <c r="I647" s="17">
        <v>2</v>
      </c>
      <c r="J647" s="17">
        <v>0</v>
      </c>
      <c r="K647" s="17">
        <v>0</v>
      </c>
      <c r="L647" s="17">
        <v>2</v>
      </c>
      <c r="M647" s="17">
        <v>0</v>
      </c>
      <c r="N647" s="17">
        <v>0</v>
      </c>
      <c r="O647" s="25">
        <v>2</v>
      </c>
      <c r="P647" s="25">
        <v>10</v>
      </c>
      <c r="Q647" s="25">
        <v>-8</v>
      </c>
      <c r="R647" s="25">
        <v>0</v>
      </c>
      <c r="S647" s="25"/>
      <c r="T647" s="25" t="s">
        <v>2982</v>
      </c>
      <c r="U647" s="25" t="s">
        <v>3060</v>
      </c>
      <c r="V647" s="25" t="s">
        <v>3061</v>
      </c>
      <c r="W647" s="25"/>
      <c r="X647" s="25"/>
    </row>
    <row r="648" spans="1:24" hidden="1">
      <c r="A648" s="18">
        <v>647</v>
      </c>
      <c r="B648" s="17" t="s">
        <v>1484</v>
      </c>
      <c r="C648" s="17" t="s">
        <v>1485</v>
      </c>
      <c r="D648" s="17" t="s">
        <v>17</v>
      </c>
      <c r="E648" s="17" t="s">
        <v>8</v>
      </c>
      <c r="F648" s="17">
        <v>224</v>
      </c>
      <c r="G648" s="17">
        <v>0</v>
      </c>
      <c r="H648" s="17">
        <v>0</v>
      </c>
      <c r="I648" s="17">
        <v>224</v>
      </c>
      <c r="J648" s="17">
        <v>0</v>
      </c>
      <c r="K648" s="17">
        <v>0</v>
      </c>
      <c r="L648" s="17">
        <v>224</v>
      </c>
      <c r="M648" s="17">
        <v>0</v>
      </c>
      <c r="N648" s="17">
        <v>0</v>
      </c>
      <c r="O648" s="17">
        <v>224</v>
      </c>
      <c r="P648" s="17">
        <v>50</v>
      </c>
      <c r="Q648" s="17">
        <v>174</v>
      </c>
      <c r="R648" s="17">
        <v>0</v>
      </c>
      <c r="S648" s="17"/>
      <c r="T648" s="17" t="s">
        <v>2972</v>
      </c>
      <c r="U648" s="17" t="s">
        <v>3055</v>
      </c>
      <c r="V648" s="17" t="s">
        <v>3056</v>
      </c>
      <c r="W648" s="17"/>
      <c r="X648" s="17"/>
    </row>
    <row r="649" spans="1:24" hidden="1">
      <c r="A649" s="18">
        <v>648</v>
      </c>
      <c r="B649" s="17" t="s">
        <v>1084</v>
      </c>
      <c r="C649" s="17" t="s">
        <v>1085</v>
      </c>
      <c r="D649" s="17" t="s">
        <v>17</v>
      </c>
      <c r="E649" s="17" t="s">
        <v>8</v>
      </c>
      <c r="F649" s="17">
        <v>542</v>
      </c>
      <c r="G649" s="17">
        <v>0</v>
      </c>
      <c r="H649" s="17">
        <v>0</v>
      </c>
      <c r="I649" s="17">
        <v>542</v>
      </c>
      <c r="J649" s="17">
        <v>0</v>
      </c>
      <c r="K649" s="17">
        <v>0</v>
      </c>
      <c r="L649" s="17">
        <v>542</v>
      </c>
      <c r="M649" s="17">
        <v>0</v>
      </c>
      <c r="N649" s="17">
        <v>0</v>
      </c>
      <c r="O649" s="17">
        <v>542</v>
      </c>
      <c r="P649" s="17">
        <v>350</v>
      </c>
      <c r="Q649" s="17">
        <v>192</v>
      </c>
      <c r="R649" s="17">
        <v>0</v>
      </c>
      <c r="S649" s="17"/>
      <c r="T649" s="17" t="s">
        <v>2991</v>
      </c>
      <c r="U649" s="17" t="s">
        <v>3057</v>
      </c>
      <c r="V649" s="17" t="s">
        <v>3058</v>
      </c>
      <c r="W649" s="17"/>
      <c r="X649" s="17"/>
    </row>
    <row r="650" spans="1:24" hidden="1">
      <c r="A650" s="18">
        <v>649</v>
      </c>
      <c r="B650" s="17" t="s">
        <v>1488</v>
      </c>
      <c r="C650" s="17" t="s">
        <v>1489</v>
      </c>
      <c r="D650" s="17" t="s">
        <v>17</v>
      </c>
      <c r="E650" s="17" t="s">
        <v>8</v>
      </c>
      <c r="F650" s="17">
        <v>227</v>
      </c>
      <c r="G650" s="17">
        <v>0</v>
      </c>
      <c r="H650" s="17">
        <v>0</v>
      </c>
      <c r="I650" s="17">
        <v>227</v>
      </c>
      <c r="J650" s="17">
        <v>0</v>
      </c>
      <c r="K650" s="17">
        <v>0</v>
      </c>
      <c r="L650" s="17">
        <v>227</v>
      </c>
      <c r="M650" s="17">
        <v>0</v>
      </c>
      <c r="N650" s="17">
        <v>0</v>
      </c>
      <c r="O650" s="17">
        <v>227</v>
      </c>
      <c r="P650" s="17">
        <v>200</v>
      </c>
      <c r="Q650" s="17">
        <v>27</v>
      </c>
      <c r="R650" s="17">
        <v>0</v>
      </c>
      <c r="S650" s="17"/>
      <c r="T650" s="17" t="s">
        <v>2982</v>
      </c>
      <c r="U650" s="17" t="s">
        <v>3060</v>
      </c>
      <c r="V650" s="17" t="s">
        <v>3058</v>
      </c>
      <c r="W650" s="17"/>
      <c r="X650" s="17"/>
    </row>
    <row r="651" spans="1:24" hidden="1">
      <c r="A651" s="18">
        <v>650</v>
      </c>
      <c r="B651" s="17" t="s">
        <v>1490</v>
      </c>
      <c r="C651" s="17" t="s">
        <v>1491</v>
      </c>
      <c r="D651" s="17" t="s">
        <v>7</v>
      </c>
      <c r="E651" s="17" t="s">
        <v>8</v>
      </c>
      <c r="F651" s="17">
        <v>528.29999999999995</v>
      </c>
      <c r="G651" s="17">
        <v>0</v>
      </c>
      <c r="H651" s="17">
        <v>0</v>
      </c>
      <c r="I651" s="17">
        <v>528.29999999999995</v>
      </c>
      <c r="J651" s="17">
        <v>0</v>
      </c>
      <c r="K651" s="17">
        <v>0</v>
      </c>
      <c r="L651" s="17">
        <v>528.29999999999995</v>
      </c>
      <c r="M651" s="17">
        <v>0</v>
      </c>
      <c r="N651" s="17">
        <v>0</v>
      </c>
      <c r="O651" s="17">
        <v>528.29999999999995</v>
      </c>
      <c r="P651" s="17">
        <v>250</v>
      </c>
      <c r="Q651" s="17">
        <v>278.29999999999995</v>
      </c>
      <c r="R651" s="17">
        <v>0</v>
      </c>
      <c r="S651" s="17"/>
      <c r="T651" s="17" t="s">
        <v>2965</v>
      </c>
      <c r="U651" s="17" t="s">
        <v>3060</v>
      </c>
      <c r="V651" s="17" t="s">
        <v>3058</v>
      </c>
      <c r="W651" s="17"/>
      <c r="X651" s="17"/>
    </row>
    <row r="652" spans="1:24" hidden="1">
      <c r="A652" s="18">
        <v>651</v>
      </c>
      <c r="B652" s="17" t="s">
        <v>1492</v>
      </c>
      <c r="C652" s="17" t="s">
        <v>1493</v>
      </c>
      <c r="D652" s="17" t="s">
        <v>7</v>
      </c>
      <c r="E652" s="17" t="s">
        <v>8</v>
      </c>
      <c r="F652" s="17">
        <v>428.4</v>
      </c>
      <c r="G652" s="17">
        <v>0</v>
      </c>
      <c r="H652" s="17">
        <v>0</v>
      </c>
      <c r="I652" s="17">
        <v>428.4</v>
      </c>
      <c r="J652" s="17">
        <v>0</v>
      </c>
      <c r="K652" s="17">
        <v>0</v>
      </c>
      <c r="L652" s="17">
        <v>428.4</v>
      </c>
      <c r="M652" s="17">
        <v>0</v>
      </c>
      <c r="N652" s="17">
        <v>0</v>
      </c>
      <c r="O652" s="17">
        <v>428.4</v>
      </c>
      <c r="P652" s="17">
        <v>250</v>
      </c>
      <c r="Q652" s="17">
        <v>178.39999999999998</v>
      </c>
      <c r="R652" s="17">
        <v>0</v>
      </c>
      <c r="S652" s="17"/>
      <c r="T652" s="17" t="s">
        <v>2965</v>
      </c>
      <c r="U652" s="17" t="s">
        <v>3060</v>
      </c>
      <c r="V652" s="17" t="s">
        <v>3058</v>
      </c>
      <c r="W652" s="17"/>
      <c r="X652" s="17"/>
    </row>
    <row r="653" spans="1:24" s="40" customFormat="1" hidden="1">
      <c r="A653" s="26">
        <v>652</v>
      </c>
      <c r="B653" s="25" t="s">
        <v>1494</v>
      </c>
      <c r="C653" s="25" t="s">
        <v>1495</v>
      </c>
      <c r="D653" s="25" t="s">
        <v>7</v>
      </c>
      <c r="E653" s="25" t="s">
        <v>8</v>
      </c>
      <c r="F653" s="25">
        <v>180.3</v>
      </c>
      <c r="G653" s="25">
        <v>0</v>
      </c>
      <c r="H653" s="25">
        <v>0</v>
      </c>
      <c r="I653" s="17">
        <v>180.3</v>
      </c>
      <c r="J653" s="17">
        <v>0</v>
      </c>
      <c r="K653" s="17">
        <v>0</v>
      </c>
      <c r="L653" s="17">
        <v>180.3</v>
      </c>
      <c r="M653" s="17">
        <v>0</v>
      </c>
      <c r="N653" s="17">
        <v>0</v>
      </c>
      <c r="O653" s="25">
        <v>180.3</v>
      </c>
      <c r="P653" s="25">
        <v>250</v>
      </c>
      <c r="Q653" s="25">
        <v>-69.699999999999989</v>
      </c>
      <c r="R653" s="25">
        <v>250</v>
      </c>
      <c r="S653" s="25"/>
      <c r="T653" s="25" t="s">
        <v>2965</v>
      </c>
      <c r="U653" s="25" t="s">
        <v>3060</v>
      </c>
      <c r="V653" s="25" t="s">
        <v>3058</v>
      </c>
      <c r="W653" s="25"/>
      <c r="X653" s="25"/>
    </row>
    <row r="654" spans="1:24" hidden="1">
      <c r="A654" s="18">
        <v>653</v>
      </c>
      <c r="B654" s="17" t="s">
        <v>1496</v>
      </c>
      <c r="C654" s="17" t="s">
        <v>1497</v>
      </c>
      <c r="D654" s="17" t="s">
        <v>7</v>
      </c>
      <c r="E654" s="17" t="s">
        <v>8</v>
      </c>
      <c r="F654" s="17">
        <v>2355.9</v>
      </c>
      <c r="G654" s="17">
        <v>1579.95</v>
      </c>
      <c r="H654" s="17">
        <v>1264.25</v>
      </c>
      <c r="I654" s="17">
        <v>2671.6</v>
      </c>
      <c r="J654" s="17">
        <v>0</v>
      </c>
      <c r="K654" s="17">
        <v>0</v>
      </c>
      <c r="L654" s="17">
        <v>2671.6</v>
      </c>
      <c r="M654" s="17">
        <v>0</v>
      </c>
      <c r="N654" s="17">
        <v>0</v>
      </c>
      <c r="O654" s="17">
        <v>2671.6</v>
      </c>
      <c r="P654" s="17">
        <v>0</v>
      </c>
      <c r="Q654" s="17">
        <v>2671.6</v>
      </c>
      <c r="R654" s="17">
        <v>0</v>
      </c>
      <c r="S654" s="17"/>
      <c r="T654" s="17" t="s">
        <v>2965</v>
      </c>
      <c r="U654" s="17" t="s">
        <v>3055</v>
      </c>
      <c r="V654" s="17" t="s">
        <v>3056</v>
      </c>
      <c r="W654" s="17"/>
      <c r="X654" s="17"/>
    </row>
    <row r="655" spans="1:24" hidden="1">
      <c r="A655" s="18">
        <v>654</v>
      </c>
      <c r="B655" s="17" t="s">
        <v>1498</v>
      </c>
      <c r="C655" s="17" t="s">
        <v>1499</v>
      </c>
      <c r="D655" s="17" t="s">
        <v>20</v>
      </c>
      <c r="E655" s="17" t="s">
        <v>8</v>
      </c>
      <c r="F655" s="17">
        <v>0</v>
      </c>
      <c r="G655" s="17">
        <v>0</v>
      </c>
      <c r="H655" s="17">
        <v>0</v>
      </c>
      <c r="I655" s="17">
        <v>0</v>
      </c>
      <c r="J655" s="17">
        <v>0</v>
      </c>
      <c r="K655" s="17">
        <v>0</v>
      </c>
      <c r="L655" s="17">
        <v>0</v>
      </c>
      <c r="M655" s="17">
        <v>0</v>
      </c>
      <c r="N655" s="17">
        <v>0</v>
      </c>
      <c r="O655" s="17">
        <v>0</v>
      </c>
      <c r="P655" s="17">
        <v>0</v>
      </c>
      <c r="Q655" s="17">
        <v>0</v>
      </c>
      <c r="R655" s="17">
        <v>0</v>
      </c>
      <c r="S655" s="17"/>
      <c r="T655" s="17" t="s">
        <v>3000</v>
      </c>
      <c r="U655" s="17" t="s">
        <v>3059</v>
      </c>
      <c r="V655" s="17" t="s">
        <v>3056</v>
      </c>
      <c r="W655" s="17"/>
      <c r="X655" s="17"/>
    </row>
    <row r="656" spans="1:24" hidden="1">
      <c r="A656" s="18">
        <v>655</v>
      </c>
      <c r="B656" s="17" t="s">
        <v>1500</v>
      </c>
      <c r="C656" s="17" t="s">
        <v>1501</v>
      </c>
      <c r="D656" s="17" t="s">
        <v>17</v>
      </c>
      <c r="E656" s="17" t="s">
        <v>8</v>
      </c>
      <c r="F656" s="17">
        <v>67</v>
      </c>
      <c r="G656" s="17">
        <v>0</v>
      </c>
      <c r="H656" s="17">
        <v>0</v>
      </c>
      <c r="I656" s="17">
        <v>67</v>
      </c>
      <c r="J656" s="17">
        <v>0</v>
      </c>
      <c r="K656" s="17">
        <v>0</v>
      </c>
      <c r="L656" s="17">
        <v>67</v>
      </c>
      <c r="M656" s="17">
        <v>0</v>
      </c>
      <c r="N656" s="17">
        <v>0</v>
      </c>
      <c r="O656" s="17">
        <v>67</v>
      </c>
      <c r="P656" s="17">
        <v>0</v>
      </c>
      <c r="Q656" s="17">
        <v>67</v>
      </c>
      <c r="R656" s="17">
        <v>0</v>
      </c>
      <c r="S656" s="17"/>
      <c r="T656" s="17" t="s">
        <v>2972</v>
      </c>
      <c r="U656" s="17" t="s">
        <v>3055</v>
      </c>
      <c r="V656" s="17" t="s">
        <v>3056</v>
      </c>
      <c r="W656" s="17"/>
      <c r="X656" s="17"/>
    </row>
    <row r="657" spans="1:24" hidden="1">
      <c r="A657" s="18">
        <v>656</v>
      </c>
      <c r="B657" s="17" t="s">
        <v>1502</v>
      </c>
      <c r="C657" s="17" t="s">
        <v>1503</v>
      </c>
      <c r="D657" s="17" t="s">
        <v>17</v>
      </c>
      <c r="E657" s="17" t="s">
        <v>8</v>
      </c>
      <c r="F657" s="17">
        <v>57</v>
      </c>
      <c r="G657" s="17">
        <v>0</v>
      </c>
      <c r="H657" s="17">
        <v>0</v>
      </c>
      <c r="I657" s="17">
        <v>57</v>
      </c>
      <c r="J657" s="17">
        <v>0</v>
      </c>
      <c r="K657" s="17">
        <v>0</v>
      </c>
      <c r="L657" s="17">
        <v>57</v>
      </c>
      <c r="M657" s="17">
        <v>0</v>
      </c>
      <c r="N657" s="17">
        <v>0</v>
      </c>
      <c r="O657" s="17">
        <v>57</v>
      </c>
      <c r="P657" s="17">
        <v>0</v>
      </c>
      <c r="Q657" s="17">
        <v>57</v>
      </c>
      <c r="R657" s="17">
        <v>0</v>
      </c>
      <c r="S657" s="17"/>
      <c r="T657" s="17" t="s">
        <v>2972</v>
      </c>
      <c r="U657" s="17" t="s">
        <v>3055</v>
      </c>
      <c r="V657" s="17" t="s">
        <v>3056</v>
      </c>
      <c r="W657" s="17"/>
      <c r="X657" s="17"/>
    </row>
    <row r="658" spans="1:24" hidden="1">
      <c r="A658" s="18">
        <v>657</v>
      </c>
      <c r="B658" s="17" t="s">
        <v>1086</v>
      </c>
      <c r="C658" s="17" t="s">
        <v>1087</v>
      </c>
      <c r="D658" s="17" t="s">
        <v>7</v>
      </c>
      <c r="E658" s="17" t="s">
        <v>8</v>
      </c>
      <c r="F658" s="17">
        <v>0</v>
      </c>
      <c r="G658" s="17">
        <v>0</v>
      </c>
      <c r="H658" s="17">
        <v>0</v>
      </c>
      <c r="I658" s="17">
        <v>0</v>
      </c>
      <c r="J658" s="17">
        <v>0</v>
      </c>
      <c r="K658" s="17">
        <v>0</v>
      </c>
      <c r="L658" s="17">
        <v>0</v>
      </c>
      <c r="M658" s="17">
        <v>0</v>
      </c>
      <c r="N658" s="17">
        <v>0</v>
      </c>
      <c r="O658" s="17">
        <v>0</v>
      </c>
      <c r="P658" s="17">
        <v>0</v>
      </c>
      <c r="Q658" s="17">
        <v>0</v>
      </c>
      <c r="R658" s="17">
        <v>0</v>
      </c>
      <c r="S658" s="17"/>
      <c r="T658" s="17" t="s">
        <v>2972</v>
      </c>
      <c r="U658" s="17" t="s">
        <v>3057</v>
      </c>
      <c r="V658" s="17" t="s">
        <v>3056</v>
      </c>
      <c r="W658" s="17"/>
      <c r="X658" s="17"/>
    </row>
    <row r="659" spans="1:24" hidden="1">
      <c r="A659" s="18">
        <v>658</v>
      </c>
      <c r="B659" s="17" t="s">
        <v>1088</v>
      </c>
      <c r="C659" s="17" t="s">
        <v>1089</v>
      </c>
      <c r="D659" s="17" t="s">
        <v>7</v>
      </c>
      <c r="E659" s="17" t="s">
        <v>8</v>
      </c>
      <c r="F659" s="17">
        <v>175</v>
      </c>
      <c r="G659" s="17">
        <v>0</v>
      </c>
      <c r="H659" s="17">
        <v>25</v>
      </c>
      <c r="I659" s="17">
        <v>150</v>
      </c>
      <c r="J659" s="17">
        <v>0</v>
      </c>
      <c r="K659" s="17">
        <v>0</v>
      </c>
      <c r="L659" s="17">
        <v>150</v>
      </c>
      <c r="M659" s="17">
        <v>0</v>
      </c>
      <c r="N659" s="17">
        <v>0</v>
      </c>
      <c r="O659" s="17">
        <v>150</v>
      </c>
      <c r="P659" s="17">
        <v>100</v>
      </c>
      <c r="Q659" s="17">
        <v>50</v>
      </c>
      <c r="R659" s="17">
        <v>0</v>
      </c>
      <c r="S659" s="17"/>
      <c r="T659" s="17" t="s">
        <v>2972</v>
      </c>
      <c r="U659" s="17" t="s">
        <v>3057</v>
      </c>
      <c r="V659" s="17" t="s">
        <v>3056</v>
      </c>
      <c r="W659" s="17"/>
      <c r="X659" s="17"/>
    </row>
    <row r="660" spans="1:24" hidden="1">
      <c r="A660" s="18">
        <v>659</v>
      </c>
      <c r="B660" s="17" t="s">
        <v>1090</v>
      </c>
      <c r="C660" s="17" t="s">
        <v>1091</v>
      </c>
      <c r="D660" s="17" t="s">
        <v>17</v>
      </c>
      <c r="E660" s="17" t="s">
        <v>8</v>
      </c>
      <c r="F660" s="17">
        <v>0</v>
      </c>
      <c r="G660" s="17">
        <v>0</v>
      </c>
      <c r="H660" s="17">
        <v>0</v>
      </c>
      <c r="I660" s="17">
        <v>0</v>
      </c>
      <c r="J660" s="17">
        <v>0</v>
      </c>
      <c r="K660" s="17">
        <v>0</v>
      </c>
      <c r="L660" s="17">
        <v>0</v>
      </c>
      <c r="M660" s="17">
        <v>0</v>
      </c>
      <c r="N660" s="17">
        <v>0</v>
      </c>
      <c r="O660" s="17">
        <v>0</v>
      </c>
      <c r="P660" s="17">
        <v>0</v>
      </c>
      <c r="Q660" s="17">
        <v>0</v>
      </c>
      <c r="R660" s="17">
        <v>0</v>
      </c>
      <c r="S660" s="17"/>
      <c r="T660" s="17" t="s">
        <v>2972</v>
      </c>
      <c r="U660" s="17" t="s">
        <v>3057</v>
      </c>
      <c r="V660" s="17" t="s">
        <v>3056</v>
      </c>
      <c r="W660" s="17"/>
      <c r="X660" s="17"/>
    </row>
    <row r="661" spans="1:24" hidden="1">
      <c r="A661" s="18">
        <v>660</v>
      </c>
      <c r="B661" s="17" t="s">
        <v>1094</v>
      </c>
      <c r="C661" s="17" t="s">
        <v>1095</v>
      </c>
      <c r="D661" s="17" t="s">
        <v>20</v>
      </c>
      <c r="E661" s="17" t="s">
        <v>8</v>
      </c>
      <c r="F661" s="17">
        <v>613.6</v>
      </c>
      <c r="G661" s="17">
        <v>0</v>
      </c>
      <c r="H661" s="17">
        <v>0</v>
      </c>
      <c r="I661" s="17">
        <v>613.6</v>
      </c>
      <c r="J661" s="17">
        <v>0</v>
      </c>
      <c r="K661" s="17">
        <v>0</v>
      </c>
      <c r="L661" s="17">
        <v>613.6</v>
      </c>
      <c r="M661" s="17">
        <v>0</v>
      </c>
      <c r="N661" s="17">
        <v>0</v>
      </c>
      <c r="O661" s="17">
        <v>613.6</v>
      </c>
      <c r="P661" s="17">
        <v>0</v>
      </c>
      <c r="Q661" s="17">
        <v>613.6</v>
      </c>
      <c r="R661" s="17">
        <v>0</v>
      </c>
      <c r="S661" s="17"/>
      <c r="T661" s="17" t="s">
        <v>2991</v>
      </c>
      <c r="U661" s="17" t="s">
        <v>3057</v>
      </c>
      <c r="V661" s="17" t="s">
        <v>3056</v>
      </c>
      <c r="W661" s="17"/>
      <c r="X661" s="17"/>
    </row>
    <row r="662" spans="1:24" hidden="1">
      <c r="A662" s="18">
        <v>661</v>
      </c>
      <c r="B662" s="17" t="s">
        <v>1096</v>
      </c>
      <c r="C662" s="17" t="s">
        <v>1097</v>
      </c>
      <c r="D662" s="17" t="s">
        <v>20</v>
      </c>
      <c r="E662" s="17" t="s">
        <v>8</v>
      </c>
      <c r="F662" s="17">
        <v>811.88</v>
      </c>
      <c r="G662" s="17">
        <v>0</v>
      </c>
      <c r="H662" s="17">
        <v>0</v>
      </c>
      <c r="I662" s="17">
        <v>811.88</v>
      </c>
      <c r="J662" s="17">
        <v>0</v>
      </c>
      <c r="K662" s="17">
        <v>0</v>
      </c>
      <c r="L662" s="17">
        <v>811.88</v>
      </c>
      <c r="M662" s="17">
        <v>0</v>
      </c>
      <c r="N662" s="17">
        <v>0</v>
      </c>
      <c r="O662" s="17">
        <v>811.88</v>
      </c>
      <c r="P662" s="17">
        <v>0</v>
      </c>
      <c r="Q662" s="17">
        <v>811.88</v>
      </c>
      <c r="R662" s="17">
        <v>0</v>
      </c>
      <c r="S662" s="17"/>
      <c r="T662" s="17" t="s">
        <v>2991</v>
      </c>
      <c r="U662" s="17" t="s">
        <v>3057</v>
      </c>
      <c r="V662" s="17" t="s">
        <v>3056</v>
      </c>
      <c r="W662" s="17"/>
      <c r="X662" s="17"/>
    </row>
    <row r="663" spans="1:24" s="40" customFormat="1" hidden="1">
      <c r="A663" s="26">
        <v>662</v>
      </c>
      <c r="B663" s="25" t="s">
        <v>1098</v>
      </c>
      <c r="C663" s="25" t="s">
        <v>1099</v>
      </c>
      <c r="D663" s="25" t="s">
        <v>20</v>
      </c>
      <c r="E663" s="25" t="s">
        <v>8</v>
      </c>
      <c r="F663" s="25">
        <v>332.14</v>
      </c>
      <c r="G663" s="25">
        <v>443.84</v>
      </c>
      <c r="H663" s="25">
        <v>371.03</v>
      </c>
      <c r="I663" s="17">
        <v>404.95</v>
      </c>
      <c r="J663" s="17">
        <v>0</v>
      </c>
      <c r="K663" s="17">
        <v>0</v>
      </c>
      <c r="L663" s="17">
        <v>404.95</v>
      </c>
      <c r="M663" s="17">
        <v>0</v>
      </c>
      <c r="N663" s="17">
        <v>0</v>
      </c>
      <c r="O663" s="25">
        <v>404.95</v>
      </c>
      <c r="P663" s="25">
        <v>500</v>
      </c>
      <c r="Q663" s="25">
        <v>-95.050000000000011</v>
      </c>
      <c r="R663" s="25">
        <v>750</v>
      </c>
      <c r="S663" s="25"/>
      <c r="T663" s="25" t="s">
        <v>2991</v>
      </c>
      <c r="U663" s="25" t="s">
        <v>3057</v>
      </c>
      <c r="V663" s="25" t="s">
        <v>3056</v>
      </c>
      <c r="W663" s="25"/>
      <c r="X663" s="25"/>
    </row>
    <row r="664" spans="1:24" s="40" customFormat="1" hidden="1">
      <c r="A664" s="26">
        <v>663</v>
      </c>
      <c r="B664" s="25" t="s">
        <v>1100</v>
      </c>
      <c r="C664" s="25" t="s">
        <v>1101</v>
      </c>
      <c r="D664" s="25" t="s">
        <v>20</v>
      </c>
      <c r="E664" s="25" t="s">
        <v>8</v>
      </c>
      <c r="F664" s="25">
        <v>493.38</v>
      </c>
      <c r="G664" s="25">
        <v>562.72</v>
      </c>
      <c r="H664" s="25">
        <v>618.32000000000005</v>
      </c>
      <c r="I664" s="17">
        <v>437.78</v>
      </c>
      <c r="J664" s="17">
        <v>0</v>
      </c>
      <c r="K664" s="17">
        <v>0</v>
      </c>
      <c r="L664" s="17">
        <v>437.78</v>
      </c>
      <c r="M664" s="17">
        <v>0</v>
      </c>
      <c r="N664" s="17">
        <v>0</v>
      </c>
      <c r="O664" s="25">
        <v>437.78</v>
      </c>
      <c r="P664" s="25">
        <v>500</v>
      </c>
      <c r="Q664" s="25">
        <v>-62.220000000000027</v>
      </c>
      <c r="R664" s="25">
        <v>1100</v>
      </c>
      <c r="S664" s="25"/>
      <c r="T664" s="25" t="s">
        <v>2991</v>
      </c>
      <c r="U664" s="25" t="s">
        <v>3057</v>
      </c>
      <c r="V664" s="25" t="s">
        <v>3056</v>
      </c>
      <c r="W664" s="25"/>
      <c r="X664" s="25"/>
    </row>
    <row r="665" spans="1:24" s="40" customFormat="1" hidden="1">
      <c r="A665" s="26">
        <v>664</v>
      </c>
      <c r="B665" s="25" t="s">
        <v>1102</v>
      </c>
      <c r="C665" s="25" t="s">
        <v>1103</v>
      </c>
      <c r="D665" s="25" t="s">
        <v>20</v>
      </c>
      <c r="E665" s="25" t="s">
        <v>8</v>
      </c>
      <c r="F665" s="25">
        <v>1336.15</v>
      </c>
      <c r="G665" s="25">
        <v>0</v>
      </c>
      <c r="H665" s="25">
        <v>896.88</v>
      </c>
      <c r="I665" s="17">
        <v>439.27</v>
      </c>
      <c r="J665" s="17">
        <v>0</v>
      </c>
      <c r="K665" s="17">
        <v>0</v>
      </c>
      <c r="L665" s="17">
        <v>439.27</v>
      </c>
      <c r="M665" s="17">
        <v>0</v>
      </c>
      <c r="N665" s="17">
        <v>0</v>
      </c>
      <c r="O665" s="25">
        <v>439.27</v>
      </c>
      <c r="P665" s="25">
        <v>600</v>
      </c>
      <c r="Q665" s="25">
        <v>-160.73000000000002</v>
      </c>
      <c r="R665" s="25">
        <v>500</v>
      </c>
      <c r="S665" s="25"/>
      <c r="T665" s="25" t="s">
        <v>2991</v>
      </c>
      <c r="U665" s="25" t="s">
        <v>3057</v>
      </c>
      <c r="V665" s="25" t="s">
        <v>3056</v>
      </c>
      <c r="W665" s="25"/>
      <c r="X665" s="25"/>
    </row>
    <row r="666" spans="1:24" hidden="1">
      <c r="A666" s="18">
        <v>665</v>
      </c>
      <c r="B666" s="17" t="s">
        <v>1522</v>
      </c>
      <c r="C666" s="17" t="s">
        <v>1523</v>
      </c>
      <c r="D666" s="17" t="s">
        <v>135</v>
      </c>
      <c r="E666" s="17" t="s">
        <v>8</v>
      </c>
      <c r="F666" s="17">
        <v>5000</v>
      </c>
      <c r="G666" s="17">
        <v>0</v>
      </c>
      <c r="H666" s="17">
        <v>500</v>
      </c>
      <c r="I666" s="17">
        <v>4500</v>
      </c>
      <c r="J666" s="17">
        <v>0</v>
      </c>
      <c r="K666" s="17">
        <v>0</v>
      </c>
      <c r="L666" s="17">
        <v>4500</v>
      </c>
      <c r="M666" s="17">
        <v>0</v>
      </c>
      <c r="N666" s="17">
        <v>0</v>
      </c>
      <c r="O666" s="17">
        <v>4500</v>
      </c>
      <c r="P666" s="17">
        <v>5500</v>
      </c>
      <c r="Q666" s="17">
        <v>-1000</v>
      </c>
      <c r="R666" s="17">
        <v>0</v>
      </c>
      <c r="S666" s="17"/>
      <c r="T666" s="17" t="s">
        <v>2972</v>
      </c>
      <c r="U666" s="17" t="s">
        <v>3055</v>
      </c>
      <c r="V666" s="17" t="s">
        <v>3056</v>
      </c>
      <c r="W666" s="17"/>
      <c r="X666" s="17"/>
    </row>
    <row r="667" spans="1:24" hidden="1">
      <c r="A667" s="18">
        <v>666</v>
      </c>
      <c r="B667" s="17" t="s">
        <v>1110</v>
      </c>
      <c r="C667" s="17" t="s">
        <v>1111</v>
      </c>
      <c r="D667" s="17" t="s">
        <v>17</v>
      </c>
      <c r="E667" s="17" t="s">
        <v>8</v>
      </c>
      <c r="F667" s="17">
        <v>1200</v>
      </c>
      <c r="G667" s="17">
        <v>8500</v>
      </c>
      <c r="H667" s="17">
        <v>2200</v>
      </c>
      <c r="I667" s="17">
        <v>7500</v>
      </c>
      <c r="J667" s="17">
        <v>0</v>
      </c>
      <c r="K667" s="17">
        <v>0</v>
      </c>
      <c r="L667" s="17">
        <v>7500</v>
      </c>
      <c r="M667" s="17">
        <v>0</v>
      </c>
      <c r="N667" s="17">
        <v>0</v>
      </c>
      <c r="O667" s="17">
        <v>7500</v>
      </c>
      <c r="P667" s="17">
        <v>1500</v>
      </c>
      <c r="Q667" s="17">
        <v>6000</v>
      </c>
      <c r="R667" s="17">
        <v>8000</v>
      </c>
      <c r="S667" s="17"/>
      <c r="T667" s="17" t="s">
        <v>2972</v>
      </c>
      <c r="U667" s="17" t="s">
        <v>3057</v>
      </c>
      <c r="V667" s="17" t="s">
        <v>3056</v>
      </c>
      <c r="W667" s="17"/>
      <c r="X667" s="17"/>
    </row>
    <row r="668" spans="1:24" hidden="1">
      <c r="A668" s="18">
        <v>667</v>
      </c>
      <c r="B668" s="17" t="s">
        <v>1112</v>
      </c>
      <c r="C668" s="17" t="s">
        <v>1113</v>
      </c>
      <c r="D668" s="17" t="s">
        <v>17</v>
      </c>
      <c r="E668" s="17" t="s">
        <v>8</v>
      </c>
      <c r="F668" s="17">
        <v>500</v>
      </c>
      <c r="G668" s="17">
        <v>500</v>
      </c>
      <c r="H668" s="17">
        <v>0</v>
      </c>
      <c r="I668" s="17">
        <v>1000</v>
      </c>
      <c r="J668" s="17">
        <v>0</v>
      </c>
      <c r="K668" s="17">
        <v>0</v>
      </c>
      <c r="L668" s="17">
        <v>1000</v>
      </c>
      <c r="M668" s="17">
        <v>0</v>
      </c>
      <c r="N668" s="17">
        <v>0</v>
      </c>
      <c r="O668" s="17">
        <v>1000</v>
      </c>
      <c r="P668" s="17">
        <v>250</v>
      </c>
      <c r="Q668" s="17">
        <v>750</v>
      </c>
      <c r="R668" s="17">
        <v>500</v>
      </c>
      <c r="S668" s="17"/>
      <c r="T668" s="17" t="s">
        <v>2998</v>
      </c>
      <c r="U668" s="17" t="s">
        <v>3057</v>
      </c>
      <c r="V668" s="17" t="s">
        <v>3056</v>
      </c>
      <c r="W668" s="17"/>
      <c r="X668" s="17"/>
    </row>
    <row r="669" spans="1:24" hidden="1">
      <c r="A669" s="18">
        <v>668</v>
      </c>
      <c r="B669" s="17" t="s">
        <v>2427</v>
      </c>
      <c r="C669" s="17" t="s">
        <v>3166</v>
      </c>
      <c r="D669" s="17" t="s">
        <v>17</v>
      </c>
      <c r="E669" s="17" t="s">
        <v>8</v>
      </c>
      <c r="F669" s="17">
        <v>4000</v>
      </c>
      <c r="G669" s="17">
        <v>0</v>
      </c>
      <c r="H669" s="17">
        <v>1500</v>
      </c>
      <c r="I669" s="17">
        <v>2500</v>
      </c>
      <c r="J669" s="17">
        <v>0</v>
      </c>
      <c r="K669" s="17">
        <v>0</v>
      </c>
      <c r="L669" s="17">
        <v>2500</v>
      </c>
      <c r="M669" s="17">
        <v>0</v>
      </c>
      <c r="N669" s="17">
        <v>0</v>
      </c>
      <c r="O669" s="17">
        <v>2500</v>
      </c>
      <c r="P669" s="17">
        <v>2000</v>
      </c>
      <c r="Q669" s="17">
        <v>500</v>
      </c>
      <c r="R669" s="17">
        <v>0</v>
      </c>
      <c r="S669" s="17"/>
      <c r="T669" s="17" t="s">
        <v>2972</v>
      </c>
      <c r="U669" s="17" t="s">
        <v>3055</v>
      </c>
      <c r="V669" s="17" t="s">
        <v>3056</v>
      </c>
      <c r="W669" s="17"/>
      <c r="X669" s="17"/>
    </row>
    <row r="670" spans="1:24" hidden="1">
      <c r="A670" s="18">
        <v>669</v>
      </c>
      <c r="B670" s="17" t="s">
        <v>1528</v>
      </c>
      <c r="C670" s="17" t="s">
        <v>1529</v>
      </c>
      <c r="D670" s="17" t="s">
        <v>17</v>
      </c>
      <c r="E670" s="17" t="s">
        <v>8</v>
      </c>
      <c r="F670" s="17">
        <v>300</v>
      </c>
      <c r="G670" s="17">
        <v>0</v>
      </c>
      <c r="H670" s="17">
        <v>0</v>
      </c>
      <c r="I670" s="17">
        <v>300</v>
      </c>
      <c r="J670" s="17">
        <v>0</v>
      </c>
      <c r="K670" s="17">
        <v>0</v>
      </c>
      <c r="L670" s="17">
        <v>300</v>
      </c>
      <c r="M670" s="17">
        <v>0</v>
      </c>
      <c r="N670" s="17">
        <v>0</v>
      </c>
      <c r="O670" s="17">
        <v>300</v>
      </c>
      <c r="P670" s="17">
        <v>200</v>
      </c>
      <c r="Q670" s="17">
        <v>100</v>
      </c>
      <c r="R670" s="17">
        <v>0</v>
      </c>
      <c r="S670" s="17"/>
      <c r="T670" s="17" t="s">
        <v>2972</v>
      </c>
      <c r="U670" s="17" t="s">
        <v>3055</v>
      </c>
      <c r="V670" s="17" t="s">
        <v>3056</v>
      </c>
      <c r="W670" s="17"/>
      <c r="X670" s="17"/>
    </row>
    <row r="671" spans="1:24" s="40" customFormat="1" hidden="1">
      <c r="A671" s="26">
        <v>670</v>
      </c>
      <c r="B671" s="25" t="s">
        <v>1530</v>
      </c>
      <c r="C671" s="25" t="s">
        <v>1531</v>
      </c>
      <c r="D671" s="25" t="s">
        <v>135</v>
      </c>
      <c r="E671" s="25" t="s">
        <v>8</v>
      </c>
      <c r="F671" s="25">
        <v>64800</v>
      </c>
      <c r="G671" s="25">
        <v>0</v>
      </c>
      <c r="H671" s="25">
        <v>18000</v>
      </c>
      <c r="I671" s="17">
        <v>46800</v>
      </c>
      <c r="J671" s="17">
        <v>0</v>
      </c>
      <c r="K671" s="17">
        <v>0</v>
      </c>
      <c r="L671" s="17">
        <v>46800</v>
      </c>
      <c r="M671" s="17">
        <v>0</v>
      </c>
      <c r="N671" s="17">
        <v>0</v>
      </c>
      <c r="O671" s="25">
        <v>46800</v>
      </c>
      <c r="P671" s="25">
        <v>70000</v>
      </c>
      <c r="Q671" s="25">
        <v>-23200</v>
      </c>
      <c r="R671" s="25">
        <v>0</v>
      </c>
      <c r="S671" s="25"/>
      <c r="T671" s="25" t="s">
        <v>2974</v>
      </c>
      <c r="U671" s="25" t="s">
        <v>3055</v>
      </c>
      <c r="V671" s="25" t="s">
        <v>3056</v>
      </c>
      <c r="W671" s="25"/>
      <c r="X671" s="25"/>
    </row>
    <row r="672" spans="1:24" s="40" customFormat="1" hidden="1">
      <c r="A672" s="26">
        <v>671</v>
      </c>
      <c r="B672" s="25" t="s">
        <v>1532</v>
      </c>
      <c r="C672" s="25" t="s">
        <v>1533</v>
      </c>
      <c r="D672" s="25" t="s">
        <v>135</v>
      </c>
      <c r="E672" s="25" t="s">
        <v>8</v>
      </c>
      <c r="F672" s="25">
        <v>5300</v>
      </c>
      <c r="G672" s="25">
        <v>0</v>
      </c>
      <c r="H672" s="25">
        <v>600</v>
      </c>
      <c r="I672" s="17">
        <v>4700</v>
      </c>
      <c r="J672" s="17">
        <v>0</v>
      </c>
      <c r="K672" s="17">
        <v>0</v>
      </c>
      <c r="L672" s="17">
        <v>4700</v>
      </c>
      <c r="M672" s="17">
        <v>0</v>
      </c>
      <c r="N672" s="17">
        <v>0</v>
      </c>
      <c r="O672" s="25">
        <v>4700</v>
      </c>
      <c r="P672" s="25">
        <v>5000</v>
      </c>
      <c r="Q672" s="25">
        <v>-300</v>
      </c>
      <c r="R672" s="25">
        <v>10000</v>
      </c>
      <c r="S672" s="25"/>
      <c r="T672" s="25" t="s">
        <v>2974</v>
      </c>
      <c r="U672" s="25" t="s">
        <v>3055</v>
      </c>
      <c r="V672" s="25" t="s">
        <v>3058</v>
      </c>
      <c r="W672" s="25"/>
      <c r="X672" s="25"/>
    </row>
    <row r="673" spans="1:24" hidden="1">
      <c r="A673" s="18">
        <v>672</v>
      </c>
      <c r="B673" s="17" t="s">
        <v>1534</v>
      </c>
      <c r="C673" s="17" t="s">
        <v>1535</v>
      </c>
      <c r="D673" s="17" t="s">
        <v>135</v>
      </c>
      <c r="E673" s="17" t="s">
        <v>8</v>
      </c>
      <c r="F673" s="17">
        <v>8300</v>
      </c>
      <c r="G673" s="17">
        <v>0</v>
      </c>
      <c r="H673" s="17">
        <v>200</v>
      </c>
      <c r="I673" s="17">
        <v>8100</v>
      </c>
      <c r="J673" s="17">
        <v>0</v>
      </c>
      <c r="K673" s="17">
        <v>0</v>
      </c>
      <c r="L673" s="17">
        <v>8100</v>
      </c>
      <c r="M673" s="17">
        <v>0</v>
      </c>
      <c r="N673" s="17">
        <v>0</v>
      </c>
      <c r="O673" s="17">
        <v>8100</v>
      </c>
      <c r="P673" s="17">
        <v>3000</v>
      </c>
      <c r="Q673" s="17">
        <v>5100</v>
      </c>
      <c r="R673" s="17">
        <v>0</v>
      </c>
      <c r="S673" s="17"/>
      <c r="T673" s="17" t="s">
        <v>2974</v>
      </c>
      <c r="U673" s="17" t="s">
        <v>3055</v>
      </c>
      <c r="V673" s="17" t="s">
        <v>3058</v>
      </c>
      <c r="W673" s="17"/>
      <c r="X673" s="17"/>
    </row>
    <row r="674" spans="1:24" hidden="1">
      <c r="A674" s="18">
        <v>673</v>
      </c>
      <c r="B674" s="17" t="s">
        <v>1536</v>
      </c>
      <c r="C674" s="17" t="s">
        <v>1537</v>
      </c>
      <c r="D674" s="17" t="s">
        <v>135</v>
      </c>
      <c r="E674" s="17" t="s">
        <v>8</v>
      </c>
      <c r="F674" s="17">
        <v>6300</v>
      </c>
      <c r="G674" s="17">
        <v>0</v>
      </c>
      <c r="H674" s="17">
        <v>800</v>
      </c>
      <c r="I674" s="17">
        <v>5500</v>
      </c>
      <c r="J674" s="17">
        <v>0</v>
      </c>
      <c r="K674" s="17">
        <v>0</v>
      </c>
      <c r="L674" s="17">
        <v>5500</v>
      </c>
      <c r="M674" s="17">
        <v>0</v>
      </c>
      <c r="N674" s="17">
        <v>0</v>
      </c>
      <c r="O674" s="17">
        <v>5500</v>
      </c>
      <c r="P674" s="17">
        <v>5000</v>
      </c>
      <c r="Q674" s="17">
        <v>500</v>
      </c>
      <c r="R674" s="17">
        <v>10000</v>
      </c>
      <c r="S674" s="17"/>
      <c r="T674" s="17" t="s">
        <v>2974</v>
      </c>
      <c r="U674" s="17" t="s">
        <v>3055</v>
      </c>
      <c r="V674" s="17" t="s">
        <v>3058</v>
      </c>
      <c r="W674" s="17"/>
      <c r="X674" s="17"/>
    </row>
    <row r="675" spans="1:24" hidden="1">
      <c r="A675" s="18">
        <v>674</v>
      </c>
      <c r="B675" s="17" t="s">
        <v>1114</v>
      </c>
      <c r="C675" s="17" t="s">
        <v>1115</v>
      </c>
      <c r="D675" s="17" t="s">
        <v>1116</v>
      </c>
      <c r="E675" s="17" t="s">
        <v>8</v>
      </c>
      <c r="F675" s="17">
        <v>1830</v>
      </c>
      <c r="G675" s="17">
        <v>0</v>
      </c>
      <c r="H675" s="17">
        <v>0</v>
      </c>
      <c r="I675" s="17">
        <v>1830</v>
      </c>
      <c r="J675" s="17">
        <v>0</v>
      </c>
      <c r="K675" s="17">
        <v>0</v>
      </c>
      <c r="L675" s="17">
        <v>1830</v>
      </c>
      <c r="M675" s="17">
        <v>0</v>
      </c>
      <c r="N675" s="17">
        <v>0</v>
      </c>
      <c r="O675" s="17">
        <v>1830</v>
      </c>
      <c r="P675" s="17">
        <v>800</v>
      </c>
      <c r="Q675" s="17">
        <v>1030</v>
      </c>
      <c r="R675" s="17">
        <v>0</v>
      </c>
      <c r="S675" s="17"/>
      <c r="T675" s="17" t="s">
        <v>3029</v>
      </c>
      <c r="U675" s="17" t="s">
        <v>3057</v>
      </c>
      <c r="V675" s="17" t="s">
        <v>3056</v>
      </c>
      <c r="W675" s="17"/>
      <c r="X675" s="17"/>
    </row>
    <row r="676" spans="1:24" hidden="1">
      <c r="A676" s="18">
        <v>675</v>
      </c>
      <c r="B676" s="17" t="s">
        <v>1540</v>
      </c>
      <c r="C676" s="17" t="s">
        <v>1541</v>
      </c>
      <c r="D676" s="17" t="s">
        <v>17</v>
      </c>
      <c r="E676" s="17" t="s">
        <v>8</v>
      </c>
      <c r="F676" s="17">
        <v>500</v>
      </c>
      <c r="G676" s="17">
        <v>0</v>
      </c>
      <c r="H676" s="17">
        <v>0</v>
      </c>
      <c r="I676" s="17">
        <v>500</v>
      </c>
      <c r="J676" s="17">
        <v>0</v>
      </c>
      <c r="K676" s="17">
        <v>0</v>
      </c>
      <c r="L676" s="17">
        <v>500</v>
      </c>
      <c r="M676" s="17">
        <v>0</v>
      </c>
      <c r="N676" s="17">
        <v>0</v>
      </c>
      <c r="O676" s="17">
        <v>500</v>
      </c>
      <c r="P676" s="17">
        <v>500</v>
      </c>
      <c r="Q676" s="17">
        <v>0</v>
      </c>
      <c r="R676" s="17">
        <v>0</v>
      </c>
      <c r="S676" s="17"/>
      <c r="T676" s="17" t="s">
        <v>2972</v>
      </c>
      <c r="U676" s="17" t="s">
        <v>3055</v>
      </c>
      <c r="V676" s="17" t="s">
        <v>3056</v>
      </c>
      <c r="W676" s="17"/>
      <c r="X676" s="17"/>
    </row>
    <row r="677" spans="1:24" hidden="1">
      <c r="A677" s="18">
        <v>676</v>
      </c>
      <c r="B677" s="17" t="s">
        <v>1542</v>
      </c>
      <c r="C677" s="17" t="s">
        <v>1543</v>
      </c>
      <c r="D677" s="17" t="s">
        <v>20</v>
      </c>
      <c r="E677" s="17" t="s">
        <v>8</v>
      </c>
      <c r="F677" s="17">
        <v>215.16</v>
      </c>
      <c r="G677" s="17">
        <v>0</v>
      </c>
      <c r="H677" s="17">
        <v>55.44</v>
      </c>
      <c r="I677" s="17">
        <v>159.72</v>
      </c>
      <c r="J677" s="17">
        <v>0</v>
      </c>
      <c r="K677" s="17">
        <v>0</v>
      </c>
      <c r="L677" s="17">
        <v>159.72</v>
      </c>
      <c r="M677" s="17">
        <v>0</v>
      </c>
      <c r="N677" s="17">
        <v>0</v>
      </c>
      <c r="O677" s="17">
        <v>159.72</v>
      </c>
      <c r="P677" s="17">
        <v>0</v>
      </c>
      <c r="Q677" s="17">
        <v>159.72</v>
      </c>
      <c r="R677" s="17">
        <v>0</v>
      </c>
      <c r="S677" s="17"/>
      <c r="T677" s="17" t="s">
        <v>3000</v>
      </c>
      <c r="U677" s="17" t="s">
        <v>3059</v>
      </c>
      <c r="V677" s="17" t="s">
        <v>3056</v>
      </c>
      <c r="W677" s="17"/>
      <c r="X677" s="17"/>
    </row>
    <row r="678" spans="1:24" hidden="1">
      <c r="A678" s="18">
        <v>677</v>
      </c>
      <c r="B678" s="17" t="s">
        <v>1544</v>
      </c>
      <c r="C678" s="17" t="s">
        <v>1545</v>
      </c>
      <c r="D678" s="17" t="s">
        <v>20</v>
      </c>
      <c r="E678" s="17" t="s">
        <v>8</v>
      </c>
      <c r="F678" s="17">
        <v>1980</v>
      </c>
      <c r="G678" s="17">
        <v>0</v>
      </c>
      <c r="H678" s="17">
        <v>352</v>
      </c>
      <c r="I678" s="17">
        <v>1628</v>
      </c>
      <c r="J678" s="17">
        <v>0</v>
      </c>
      <c r="K678" s="17">
        <v>0</v>
      </c>
      <c r="L678" s="17">
        <v>1628</v>
      </c>
      <c r="M678" s="17">
        <v>0</v>
      </c>
      <c r="N678" s="17">
        <v>0</v>
      </c>
      <c r="O678" s="17">
        <v>1628</v>
      </c>
      <c r="P678" s="17">
        <v>0</v>
      </c>
      <c r="Q678" s="17">
        <v>1628</v>
      </c>
      <c r="R678" s="17">
        <v>0</v>
      </c>
      <c r="S678" s="17"/>
      <c r="T678" s="17" t="s">
        <v>3000</v>
      </c>
      <c r="U678" s="17" t="s">
        <v>3059</v>
      </c>
      <c r="V678" s="17" t="s">
        <v>3056</v>
      </c>
      <c r="W678" s="17"/>
      <c r="X678" s="17"/>
    </row>
    <row r="679" spans="1:24" hidden="1">
      <c r="A679" s="18">
        <v>678</v>
      </c>
      <c r="B679" s="17" t="s">
        <v>1548</v>
      </c>
      <c r="C679" s="17" t="s">
        <v>1549</v>
      </c>
      <c r="D679" s="17" t="s">
        <v>17</v>
      </c>
      <c r="E679" s="17" t="s">
        <v>8</v>
      </c>
      <c r="F679" s="17">
        <v>30</v>
      </c>
      <c r="G679" s="17">
        <v>0</v>
      </c>
      <c r="H679" s="17">
        <v>11</v>
      </c>
      <c r="I679" s="17">
        <v>19</v>
      </c>
      <c r="J679" s="17">
        <v>0</v>
      </c>
      <c r="K679" s="17">
        <v>0</v>
      </c>
      <c r="L679" s="17">
        <v>19</v>
      </c>
      <c r="M679" s="17">
        <v>0</v>
      </c>
      <c r="N679" s="17">
        <v>0</v>
      </c>
      <c r="O679" s="17">
        <v>19</v>
      </c>
      <c r="P679" s="17">
        <v>25</v>
      </c>
      <c r="Q679" s="17">
        <v>-6</v>
      </c>
      <c r="R679" s="17">
        <v>0</v>
      </c>
      <c r="S679" s="17"/>
      <c r="T679" s="17" t="s">
        <v>2972</v>
      </c>
      <c r="U679" s="17" t="s">
        <v>3055</v>
      </c>
      <c r="V679" s="17" t="s">
        <v>3056</v>
      </c>
      <c r="W679" s="17"/>
      <c r="X679" s="17"/>
    </row>
    <row r="680" spans="1:24" hidden="1">
      <c r="A680" s="18">
        <v>679</v>
      </c>
      <c r="B680" s="17" t="s">
        <v>1117</v>
      </c>
      <c r="C680" s="17" t="s">
        <v>1118</v>
      </c>
      <c r="D680" s="17" t="s">
        <v>17</v>
      </c>
      <c r="E680" s="17" t="s">
        <v>8</v>
      </c>
      <c r="F680" s="17">
        <v>8500</v>
      </c>
      <c r="G680" s="17">
        <v>0</v>
      </c>
      <c r="H680" s="17">
        <v>0</v>
      </c>
      <c r="I680" s="17">
        <v>8500</v>
      </c>
      <c r="J680" s="17">
        <v>0</v>
      </c>
      <c r="K680" s="17">
        <v>0</v>
      </c>
      <c r="L680" s="17">
        <v>8500</v>
      </c>
      <c r="M680" s="17">
        <v>0</v>
      </c>
      <c r="N680" s="17">
        <v>0</v>
      </c>
      <c r="O680" s="17">
        <v>8500</v>
      </c>
      <c r="P680" s="17">
        <v>1000</v>
      </c>
      <c r="Q680" s="17">
        <v>7500</v>
      </c>
      <c r="R680" s="17">
        <v>0</v>
      </c>
      <c r="S680" s="17"/>
      <c r="T680" s="17" t="s">
        <v>2972</v>
      </c>
      <c r="U680" s="17" t="s">
        <v>3057</v>
      </c>
      <c r="V680" s="17" t="s">
        <v>3058</v>
      </c>
      <c r="W680" s="17"/>
      <c r="X680" s="17"/>
    </row>
    <row r="681" spans="1:24" hidden="1">
      <c r="A681" s="18">
        <v>680</v>
      </c>
      <c r="B681" s="17" t="s">
        <v>1552</v>
      </c>
      <c r="C681" s="17" t="s">
        <v>1553</v>
      </c>
      <c r="D681" s="17" t="s">
        <v>17</v>
      </c>
      <c r="E681" s="17" t="s">
        <v>8</v>
      </c>
      <c r="F681" s="17">
        <v>7589</v>
      </c>
      <c r="G681" s="17">
        <v>0</v>
      </c>
      <c r="H681" s="17">
        <v>0</v>
      </c>
      <c r="I681" s="17">
        <v>7589</v>
      </c>
      <c r="J681" s="17">
        <v>0</v>
      </c>
      <c r="K681" s="17">
        <v>0</v>
      </c>
      <c r="L681" s="17">
        <v>7589</v>
      </c>
      <c r="M681" s="17">
        <v>0</v>
      </c>
      <c r="N681" s="17">
        <v>0</v>
      </c>
      <c r="O681" s="17">
        <v>7589</v>
      </c>
      <c r="P681" s="17">
        <v>250</v>
      </c>
      <c r="Q681" s="17">
        <v>7339</v>
      </c>
      <c r="R681" s="17">
        <v>0</v>
      </c>
      <c r="S681" s="17"/>
      <c r="T681" s="17" t="s">
        <v>2972</v>
      </c>
      <c r="U681" s="17" t="s">
        <v>3055</v>
      </c>
      <c r="V681" s="17" t="s">
        <v>3056</v>
      </c>
      <c r="W681" s="17"/>
      <c r="X681" s="17"/>
    </row>
    <row r="682" spans="1:24" hidden="1">
      <c r="A682" s="18">
        <v>681</v>
      </c>
      <c r="B682" s="17" t="s">
        <v>1554</v>
      </c>
      <c r="C682" s="17" t="s">
        <v>1555</v>
      </c>
      <c r="D682" s="17" t="s">
        <v>17</v>
      </c>
      <c r="E682" s="17" t="s">
        <v>8</v>
      </c>
      <c r="F682" s="17">
        <v>900</v>
      </c>
      <c r="G682" s="17">
        <v>0</v>
      </c>
      <c r="H682" s="17">
        <v>0</v>
      </c>
      <c r="I682" s="17">
        <v>900</v>
      </c>
      <c r="J682" s="17">
        <v>0</v>
      </c>
      <c r="K682" s="17">
        <v>0</v>
      </c>
      <c r="L682" s="17">
        <v>900</v>
      </c>
      <c r="M682" s="17">
        <v>0</v>
      </c>
      <c r="N682" s="17">
        <v>0</v>
      </c>
      <c r="O682" s="17">
        <v>900</v>
      </c>
      <c r="P682" s="17">
        <v>250</v>
      </c>
      <c r="Q682" s="17">
        <v>650</v>
      </c>
      <c r="R682" s="17">
        <v>0</v>
      </c>
      <c r="S682" s="17"/>
      <c r="T682" s="17" t="s">
        <v>2972</v>
      </c>
      <c r="U682" s="17" t="s">
        <v>3055</v>
      </c>
      <c r="V682" s="17" t="s">
        <v>3056</v>
      </c>
      <c r="W682" s="17"/>
      <c r="X682" s="17"/>
    </row>
    <row r="683" spans="1:24" hidden="1">
      <c r="A683" s="18">
        <v>682</v>
      </c>
      <c r="B683" s="17" t="s">
        <v>1556</v>
      </c>
      <c r="C683" s="17" t="s">
        <v>1557</v>
      </c>
      <c r="D683" s="17" t="s">
        <v>17</v>
      </c>
      <c r="E683" s="17" t="s">
        <v>8</v>
      </c>
      <c r="F683" s="17">
        <v>957</v>
      </c>
      <c r="G683" s="17">
        <v>0</v>
      </c>
      <c r="H683" s="17">
        <v>49</v>
      </c>
      <c r="I683" s="17">
        <v>908</v>
      </c>
      <c r="J683" s="17">
        <v>0</v>
      </c>
      <c r="K683" s="17">
        <v>0</v>
      </c>
      <c r="L683" s="17">
        <v>908</v>
      </c>
      <c r="M683" s="17">
        <v>0</v>
      </c>
      <c r="N683" s="17">
        <v>0</v>
      </c>
      <c r="O683" s="17">
        <v>908</v>
      </c>
      <c r="P683" s="17">
        <v>500</v>
      </c>
      <c r="Q683" s="17">
        <v>408</v>
      </c>
      <c r="R683" s="17">
        <v>0</v>
      </c>
      <c r="S683" s="17"/>
      <c r="T683" s="17" t="s">
        <v>2972</v>
      </c>
      <c r="U683" s="17" t="s">
        <v>3055</v>
      </c>
      <c r="V683" s="17" t="s">
        <v>3058</v>
      </c>
      <c r="W683" s="17"/>
      <c r="X683" s="17"/>
    </row>
    <row r="684" spans="1:24" hidden="1">
      <c r="A684" s="18">
        <v>683</v>
      </c>
      <c r="B684" s="17" t="s">
        <v>1558</v>
      </c>
      <c r="C684" s="17" t="s">
        <v>1559</v>
      </c>
      <c r="D684" s="17" t="s">
        <v>17</v>
      </c>
      <c r="E684" s="17" t="s">
        <v>8</v>
      </c>
      <c r="F684" s="17">
        <v>31</v>
      </c>
      <c r="G684" s="17">
        <v>52</v>
      </c>
      <c r="H684" s="17">
        <v>12</v>
      </c>
      <c r="I684" s="17">
        <v>71</v>
      </c>
      <c r="J684" s="17">
        <v>0</v>
      </c>
      <c r="K684" s="17">
        <v>0</v>
      </c>
      <c r="L684" s="17">
        <v>71</v>
      </c>
      <c r="M684" s="17">
        <v>0</v>
      </c>
      <c r="N684" s="17">
        <v>0</v>
      </c>
      <c r="O684" s="17">
        <v>71</v>
      </c>
      <c r="P684" s="17">
        <v>25</v>
      </c>
      <c r="Q684" s="17">
        <v>46</v>
      </c>
      <c r="R684" s="17">
        <v>50</v>
      </c>
      <c r="S684" s="17"/>
      <c r="T684" s="17" t="s">
        <v>2972</v>
      </c>
      <c r="U684" s="17" t="s">
        <v>3055</v>
      </c>
      <c r="V684" s="17" t="s">
        <v>3056</v>
      </c>
      <c r="W684" s="17"/>
      <c r="X684" s="17"/>
    </row>
    <row r="685" spans="1:24" hidden="1">
      <c r="A685" s="18">
        <v>684</v>
      </c>
      <c r="B685" s="17" t="s">
        <v>1123</v>
      </c>
      <c r="C685" s="17" t="s">
        <v>1124</v>
      </c>
      <c r="D685" s="17" t="s">
        <v>17</v>
      </c>
      <c r="E685" s="17" t="s">
        <v>8</v>
      </c>
      <c r="F685" s="17">
        <v>3100</v>
      </c>
      <c r="G685" s="17">
        <v>0</v>
      </c>
      <c r="H685" s="17">
        <v>0</v>
      </c>
      <c r="I685" s="17">
        <v>3100</v>
      </c>
      <c r="J685" s="17">
        <v>0</v>
      </c>
      <c r="K685" s="17">
        <v>0</v>
      </c>
      <c r="L685" s="17">
        <v>3100</v>
      </c>
      <c r="M685" s="17">
        <v>0</v>
      </c>
      <c r="N685" s="17">
        <v>0</v>
      </c>
      <c r="O685" s="17">
        <v>3100</v>
      </c>
      <c r="P685" s="17">
        <v>800</v>
      </c>
      <c r="Q685" s="17">
        <v>2300</v>
      </c>
      <c r="R685" s="17">
        <v>0</v>
      </c>
      <c r="S685" s="17"/>
      <c r="T685" s="17" t="s">
        <v>2972</v>
      </c>
      <c r="U685" s="17" t="s">
        <v>3057</v>
      </c>
      <c r="V685" s="17" t="s">
        <v>3056</v>
      </c>
      <c r="W685" s="17"/>
      <c r="X685" s="17"/>
    </row>
    <row r="686" spans="1:24" hidden="1">
      <c r="A686" s="18">
        <v>685</v>
      </c>
      <c r="B686" s="17" t="s">
        <v>1564</v>
      </c>
      <c r="C686" s="17" t="s">
        <v>1565</v>
      </c>
      <c r="D686" s="17" t="s">
        <v>17</v>
      </c>
      <c r="E686" s="17" t="s">
        <v>8</v>
      </c>
      <c r="F686" s="17">
        <v>6000</v>
      </c>
      <c r="G686" s="17">
        <v>0</v>
      </c>
      <c r="H686" s="17">
        <v>0</v>
      </c>
      <c r="I686" s="17">
        <v>6000</v>
      </c>
      <c r="J686" s="17">
        <v>0</v>
      </c>
      <c r="K686" s="17">
        <v>0</v>
      </c>
      <c r="L686" s="17">
        <v>6000</v>
      </c>
      <c r="M686" s="17">
        <v>0</v>
      </c>
      <c r="N686" s="17">
        <v>0</v>
      </c>
      <c r="O686" s="17">
        <v>6000</v>
      </c>
      <c r="P686" s="17">
        <v>2000</v>
      </c>
      <c r="Q686" s="17">
        <v>4000</v>
      </c>
      <c r="R686" s="17">
        <v>0</v>
      </c>
      <c r="S686" s="17"/>
      <c r="T686" s="17" t="s">
        <v>2972</v>
      </c>
      <c r="U686" s="17" t="s">
        <v>3055</v>
      </c>
      <c r="V686" s="17" t="s">
        <v>3056</v>
      </c>
      <c r="W686" s="17"/>
      <c r="X686" s="17"/>
    </row>
    <row r="687" spans="1:24" hidden="1">
      <c r="A687" s="18">
        <v>686</v>
      </c>
      <c r="B687" s="17" t="s">
        <v>1566</v>
      </c>
      <c r="C687" s="17" t="s">
        <v>1567</v>
      </c>
      <c r="D687" s="17" t="s">
        <v>20</v>
      </c>
      <c r="E687" s="17" t="s">
        <v>8</v>
      </c>
      <c r="F687" s="17">
        <v>4340.34</v>
      </c>
      <c r="G687" s="17">
        <v>0</v>
      </c>
      <c r="H687" s="17">
        <v>616.29999999999995</v>
      </c>
      <c r="I687" s="17">
        <v>3724.04</v>
      </c>
      <c r="J687" s="17">
        <v>0</v>
      </c>
      <c r="K687" s="17">
        <v>0</v>
      </c>
      <c r="L687" s="17">
        <v>3724.04</v>
      </c>
      <c r="M687" s="17">
        <v>0</v>
      </c>
      <c r="N687" s="17">
        <v>0</v>
      </c>
      <c r="O687" s="17">
        <v>3724.04</v>
      </c>
      <c r="P687" s="17">
        <v>0</v>
      </c>
      <c r="Q687" s="17">
        <v>3724.04</v>
      </c>
      <c r="R687" s="17">
        <v>0</v>
      </c>
      <c r="S687" s="17"/>
      <c r="T687" s="17" t="s">
        <v>3000</v>
      </c>
      <c r="U687" s="17" t="s">
        <v>3059</v>
      </c>
      <c r="V687" s="17" t="s">
        <v>3056</v>
      </c>
      <c r="W687" s="17"/>
      <c r="X687" s="17"/>
    </row>
    <row r="688" spans="1:24" hidden="1">
      <c r="A688" s="18">
        <v>687</v>
      </c>
      <c r="B688" s="17" t="s">
        <v>1127</v>
      </c>
      <c r="C688" s="17" t="s">
        <v>1128</v>
      </c>
      <c r="D688" s="17" t="s">
        <v>17</v>
      </c>
      <c r="E688" s="17" t="s">
        <v>8</v>
      </c>
      <c r="F688" s="17">
        <v>3000</v>
      </c>
      <c r="G688" s="17">
        <v>0</v>
      </c>
      <c r="H688" s="17">
        <v>0</v>
      </c>
      <c r="I688" s="17">
        <v>3000</v>
      </c>
      <c r="J688" s="17">
        <v>0</v>
      </c>
      <c r="K688" s="17">
        <v>0</v>
      </c>
      <c r="L688" s="17">
        <v>3000</v>
      </c>
      <c r="M688" s="17">
        <v>0</v>
      </c>
      <c r="N688" s="17">
        <v>0</v>
      </c>
      <c r="O688" s="17">
        <v>3000</v>
      </c>
      <c r="P688" s="17">
        <v>1500</v>
      </c>
      <c r="Q688" s="17">
        <v>1500</v>
      </c>
      <c r="R688" s="17">
        <v>0</v>
      </c>
      <c r="S688" s="17"/>
      <c r="T688" s="17" t="s">
        <v>2972</v>
      </c>
      <c r="U688" s="17" t="s">
        <v>3057</v>
      </c>
      <c r="V688" s="17" t="s">
        <v>3058</v>
      </c>
      <c r="W688" s="17"/>
      <c r="X688" s="17"/>
    </row>
    <row r="689" spans="1:24" hidden="1">
      <c r="A689" s="18">
        <v>688</v>
      </c>
      <c r="B689" s="17" t="s">
        <v>1129</v>
      </c>
      <c r="C689" s="17" t="s">
        <v>1130</v>
      </c>
      <c r="D689" s="17" t="s">
        <v>17</v>
      </c>
      <c r="E689" s="17" t="s">
        <v>8</v>
      </c>
      <c r="F689" s="17">
        <v>0</v>
      </c>
      <c r="G689" s="17">
        <v>0</v>
      </c>
      <c r="H689" s="17">
        <v>0</v>
      </c>
      <c r="I689" s="17">
        <v>0</v>
      </c>
      <c r="J689" s="17">
        <v>0</v>
      </c>
      <c r="K689" s="17">
        <v>0</v>
      </c>
      <c r="L689" s="17">
        <v>0</v>
      </c>
      <c r="M689" s="17">
        <v>0</v>
      </c>
      <c r="N689" s="17">
        <v>0</v>
      </c>
      <c r="O689" s="17">
        <v>0</v>
      </c>
      <c r="P689" s="17">
        <v>0</v>
      </c>
      <c r="Q689" s="17">
        <v>0</v>
      </c>
      <c r="R689" s="17">
        <v>0</v>
      </c>
      <c r="S689" s="17"/>
      <c r="T689" s="17" t="s">
        <v>2972</v>
      </c>
      <c r="U689" s="17" t="s">
        <v>3057</v>
      </c>
      <c r="V689" s="17" t="s">
        <v>3058</v>
      </c>
      <c r="W689" s="17"/>
      <c r="X689" s="17"/>
    </row>
    <row r="690" spans="1:24" hidden="1">
      <c r="A690" s="18">
        <v>689</v>
      </c>
      <c r="B690" s="17" t="s">
        <v>1576</v>
      </c>
      <c r="C690" s="17" t="s">
        <v>1577</v>
      </c>
      <c r="D690" s="17" t="s">
        <v>17</v>
      </c>
      <c r="E690" s="17" t="s">
        <v>8</v>
      </c>
      <c r="F690" s="17">
        <v>196</v>
      </c>
      <c r="G690" s="17">
        <v>0</v>
      </c>
      <c r="H690" s="17">
        <v>0</v>
      </c>
      <c r="I690" s="17">
        <v>196</v>
      </c>
      <c r="J690" s="17">
        <v>0</v>
      </c>
      <c r="K690" s="17">
        <v>0</v>
      </c>
      <c r="L690" s="17">
        <v>196</v>
      </c>
      <c r="M690" s="17">
        <v>0</v>
      </c>
      <c r="N690" s="17">
        <v>0</v>
      </c>
      <c r="O690" s="17">
        <v>196</v>
      </c>
      <c r="P690" s="17">
        <v>150</v>
      </c>
      <c r="Q690" s="17">
        <v>46</v>
      </c>
      <c r="R690" s="17">
        <v>0</v>
      </c>
      <c r="S690" s="17"/>
      <c r="T690" s="17" t="s">
        <v>2982</v>
      </c>
      <c r="U690" s="17" t="s">
        <v>3060</v>
      </c>
      <c r="V690" s="17" t="s">
        <v>3058</v>
      </c>
      <c r="W690" s="17"/>
      <c r="X690" s="17"/>
    </row>
    <row r="691" spans="1:24" hidden="1">
      <c r="A691" s="18">
        <v>690</v>
      </c>
      <c r="B691" s="17" t="s">
        <v>1578</v>
      </c>
      <c r="C691" s="17" t="s">
        <v>1579</v>
      </c>
      <c r="D691" s="17" t="s">
        <v>17</v>
      </c>
      <c r="E691" s="17" t="s">
        <v>8</v>
      </c>
      <c r="F691" s="17">
        <v>229</v>
      </c>
      <c r="G691" s="17">
        <v>0</v>
      </c>
      <c r="H691" s="17">
        <v>0</v>
      </c>
      <c r="I691" s="17">
        <v>229</v>
      </c>
      <c r="J691" s="17">
        <v>0</v>
      </c>
      <c r="K691" s="17">
        <v>0</v>
      </c>
      <c r="L691" s="17">
        <v>229</v>
      </c>
      <c r="M691" s="17">
        <v>0</v>
      </c>
      <c r="N691" s="17">
        <v>0</v>
      </c>
      <c r="O691" s="17">
        <v>229</v>
      </c>
      <c r="P691" s="17">
        <v>100</v>
      </c>
      <c r="Q691" s="17">
        <v>129</v>
      </c>
      <c r="R691" s="17">
        <v>0</v>
      </c>
      <c r="S691" s="17"/>
      <c r="T691" s="17" t="s">
        <v>2982</v>
      </c>
      <c r="U691" s="17" t="s">
        <v>3060</v>
      </c>
      <c r="V691" s="17" t="s">
        <v>3058</v>
      </c>
      <c r="W691" s="17"/>
      <c r="X691" s="17"/>
    </row>
    <row r="692" spans="1:24" hidden="1">
      <c r="A692" s="18">
        <v>691</v>
      </c>
      <c r="B692" s="17" t="s">
        <v>1580</v>
      </c>
      <c r="C692" s="17" t="s">
        <v>1581</v>
      </c>
      <c r="D692" s="17" t="s">
        <v>17</v>
      </c>
      <c r="E692" s="17" t="s">
        <v>8</v>
      </c>
      <c r="F692" s="17">
        <v>190</v>
      </c>
      <c r="G692" s="17">
        <v>0</v>
      </c>
      <c r="H692" s="17">
        <v>35</v>
      </c>
      <c r="I692" s="17">
        <v>155</v>
      </c>
      <c r="J692" s="17">
        <v>0</v>
      </c>
      <c r="K692" s="17">
        <v>0</v>
      </c>
      <c r="L692" s="17">
        <v>155</v>
      </c>
      <c r="M692" s="17">
        <v>0</v>
      </c>
      <c r="N692" s="17">
        <v>0</v>
      </c>
      <c r="O692" s="17">
        <v>155</v>
      </c>
      <c r="P692" s="17">
        <v>150</v>
      </c>
      <c r="Q692" s="17">
        <v>5</v>
      </c>
      <c r="R692" s="17">
        <v>0</v>
      </c>
      <c r="S692" s="17"/>
      <c r="T692" s="17" t="s">
        <v>2972</v>
      </c>
      <c r="U692" s="17" t="s">
        <v>3060</v>
      </c>
      <c r="V692" s="17" t="s">
        <v>3058</v>
      </c>
      <c r="W692" s="17"/>
      <c r="X692" s="17"/>
    </row>
    <row r="693" spans="1:24" hidden="1">
      <c r="A693" s="18">
        <v>692</v>
      </c>
      <c r="B693" s="17" t="s">
        <v>1584</v>
      </c>
      <c r="C693" s="17" t="s">
        <v>1585</v>
      </c>
      <c r="D693" s="17" t="s">
        <v>17</v>
      </c>
      <c r="E693" s="17" t="s">
        <v>8</v>
      </c>
      <c r="F693" s="17">
        <v>287</v>
      </c>
      <c r="G693" s="17">
        <v>0</v>
      </c>
      <c r="H693" s="17">
        <v>0</v>
      </c>
      <c r="I693" s="17">
        <v>287</v>
      </c>
      <c r="J693" s="17">
        <v>0</v>
      </c>
      <c r="K693" s="17">
        <v>0</v>
      </c>
      <c r="L693" s="17">
        <v>287</v>
      </c>
      <c r="M693" s="17">
        <v>0</v>
      </c>
      <c r="N693" s="17">
        <v>0</v>
      </c>
      <c r="O693" s="17">
        <v>287</v>
      </c>
      <c r="P693" s="17">
        <v>100</v>
      </c>
      <c r="Q693" s="17">
        <v>187</v>
      </c>
      <c r="R693" s="17">
        <v>0</v>
      </c>
      <c r="S693" s="17"/>
      <c r="T693" s="17" t="s">
        <v>2972</v>
      </c>
      <c r="U693" s="17" t="s">
        <v>3060</v>
      </c>
      <c r="V693" s="17" t="s">
        <v>3058</v>
      </c>
      <c r="W693" s="17"/>
      <c r="X693" s="17"/>
    </row>
    <row r="694" spans="1:24" hidden="1">
      <c r="A694" s="18">
        <v>693</v>
      </c>
      <c r="B694" s="17" t="s">
        <v>1131</v>
      </c>
      <c r="C694" s="17" t="s">
        <v>1132</v>
      </c>
      <c r="D694" s="17" t="s">
        <v>17</v>
      </c>
      <c r="E694" s="17" t="s">
        <v>8</v>
      </c>
      <c r="F694" s="17">
        <v>940</v>
      </c>
      <c r="G694" s="17">
        <v>600</v>
      </c>
      <c r="H694" s="17">
        <v>520</v>
      </c>
      <c r="I694" s="17">
        <v>1020</v>
      </c>
      <c r="J694" s="17">
        <v>0</v>
      </c>
      <c r="K694" s="17">
        <v>0</v>
      </c>
      <c r="L694" s="17">
        <v>1020</v>
      </c>
      <c r="M694" s="17">
        <v>0</v>
      </c>
      <c r="N694" s="17">
        <v>0</v>
      </c>
      <c r="O694" s="17">
        <v>1020</v>
      </c>
      <c r="P694" s="17">
        <v>200</v>
      </c>
      <c r="Q694" s="17">
        <v>820</v>
      </c>
      <c r="R694" s="17">
        <v>600</v>
      </c>
      <c r="S694" s="17"/>
      <c r="T694" s="17" t="s">
        <v>2991</v>
      </c>
      <c r="U694" s="17" t="s">
        <v>3057</v>
      </c>
      <c r="V694" s="17" t="s">
        <v>3056</v>
      </c>
      <c r="W694" s="17"/>
      <c r="X694" s="17"/>
    </row>
    <row r="695" spans="1:24" hidden="1">
      <c r="A695" s="18">
        <v>694</v>
      </c>
      <c r="B695" s="17" t="s">
        <v>1588</v>
      </c>
      <c r="C695" s="17" t="s">
        <v>1589</v>
      </c>
      <c r="D695" s="17" t="s">
        <v>17</v>
      </c>
      <c r="E695" s="17" t="s">
        <v>8</v>
      </c>
      <c r="F695" s="17">
        <v>204</v>
      </c>
      <c r="G695" s="17">
        <v>0</v>
      </c>
      <c r="H695" s="17">
        <v>0</v>
      </c>
      <c r="I695" s="17">
        <v>204</v>
      </c>
      <c r="J695" s="17">
        <v>0</v>
      </c>
      <c r="K695" s="17">
        <v>0</v>
      </c>
      <c r="L695" s="17">
        <v>204</v>
      </c>
      <c r="M695" s="17">
        <v>0</v>
      </c>
      <c r="N695" s="17">
        <v>0</v>
      </c>
      <c r="O695" s="17">
        <v>204</v>
      </c>
      <c r="P695" s="17">
        <v>0</v>
      </c>
      <c r="Q695" s="17">
        <v>204</v>
      </c>
      <c r="R695" s="17">
        <v>0</v>
      </c>
      <c r="S695" s="17"/>
      <c r="T695" s="17" t="s">
        <v>2982</v>
      </c>
      <c r="U695" s="17" t="s">
        <v>3060</v>
      </c>
      <c r="V695" s="17" t="s">
        <v>3058</v>
      </c>
      <c r="W695" s="17"/>
      <c r="X695" s="17"/>
    </row>
    <row r="696" spans="1:24" hidden="1">
      <c r="A696" s="18">
        <v>695</v>
      </c>
      <c r="B696" s="17" t="s">
        <v>1133</v>
      </c>
      <c r="C696" s="17" t="s">
        <v>1134</v>
      </c>
      <c r="D696" s="17" t="s">
        <v>17</v>
      </c>
      <c r="E696" s="17" t="s">
        <v>8</v>
      </c>
      <c r="F696" s="17">
        <v>2516</v>
      </c>
      <c r="G696" s="17">
        <v>0</v>
      </c>
      <c r="H696" s="17">
        <v>0</v>
      </c>
      <c r="I696" s="17">
        <v>2516</v>
      </c>
      <c r="J696" s="17">
        <v>0</v>
      </c>
      <c r="K696" s="17">
        <v>0</v>
      </c>
      <c r="L696" s="17">
        <v>2516</v>
      </c>
      <c r="M696" s="17">
        <v>0</v>
      </c>
      <c r="N696" s="17">
        <v>0</v>
      </c>
      <c r="O696" s="17">
        <v>2516</v>
      </c>
      <c r="P696" s="17">
        <v>1500</v>
      </c>
      <c r="Q696" s="17">
        <v>1016</v>
      </c>
      <c r="R696" s="17">
        <v>0</v>
      </c>
      <c r="S696" s="17"/>
      <c r="T696" s="17" t="s">
        <v>2972</v>
      </c>
      <c r="U696" s="17" t="s">
        <v>3057</v>
      </c>
      <c r="V696" s="17" t="s">
        <v>3056</v>
      </c>
      <c r="W696" s="17"/>
      <c r="X696" s="17"/>
    </row>
    <row r="697" spans="1:24" hidden="1">
      <c r="A697" s="18">
        <v>696</v>
      </c>
      <c r="B697" s="17" t="s">
        <v>1137</v>
      </c>
      <c r="C697" s="17" t="s">
        <v>1138</v>
      </c>
      <c r="D697" s="17" t="s">
        <v>17</v>
      </c>
      <c r="E697" s="17" t="s">
        <v>8</v>
      </c>
      <c r="F697" s="17">
        <v>0</v>
      </c>
      <c r="G697" s="17">
        <v>0</v>
      </c>
      <c r="H697" s="17">
        <v>0</v>
      </c>
      <c r="I697" s="17">
        <v>0</v>
      </c>
      <c r="J697" s="17">
        <v>0</v>
      </c>
      <c r="K697" s="17">
        <v>0</v>
      </c>
      <c r="L697" s="17">
        <v>0</v>
      </c>
      <c r="M697" s="17">
        <v>0</v>
      </c>
      <c r="N697" s="17">
        <v>0</v>
      </c>
      <c r="O697" s="17">
        <v>0</v>
      </c>
      <c r="P697" s="17">
        <v>2200</v>
      </c>
      <c r="Q697" s="17">
        <v>-2200</v>
      </c>
      <c r="R697" s="17">
        <v>0</v>
      </c>
      <c r="S697" s="17"/>
      <c r="T697" s="17" t="s">
        <v>2972</v>
      </c>
      <c r="U697" s="17" t="s">
        <v>3057</v>
      </c>
      <c r="V697" s="17" t="s">
        <v>3056</v>
      </c>
      <c r="W697" s="17"/>
      <c r="X697" s="17"/>
    </row>
    <row r="698" spans="1:24" hidden="1">
      <c r="A698" s="18">
        <v>697</v>
      </c>
      <c r="B698" s="17" t="s">
        <v>1139</v>
      </c>
      <c r="C698" s="17" t="s">
        <v>1140</v>
      </c>
      <c r="D698" s="17" t="s">
        <v>17</v>
      </c>
      <c r="E698" s="17" t="s">
        <v>8</v>
      </c>
      <c r="F698" s="17">
        <v>4200</v>
      </c>
      <c r="G698" s="17">
        <v>0</v>
      </c>
      <c r="H698" s="17">
        <v>0</v>
      </c>
      <c r="I698" s="17">
        <v>4200</v>
      </c>
      <c r="J698" s="17">
        <v>0</v>
      </c>
      <c r="K698" s="17">
        <v>0</v>
      </c>
      <c r="L698" s="17">
        <v>4200</v>
      </c>
      <c r="M698" s="17">
        <v>0</v>
      </c>
      <c r="N698" s="17">
        <v>0</v>
      </c>
      <c r="O698" s="17">
        <v>4200</v>
      </c>
      <c r="P698" s="17">
        <v>2200</v>
      </c>
      <c r="Q698" s="17">
        <v>2000</v>
      </c>
      <c r="R698" s="17">
        <v>0</v>
      </c>
      <c r="S698" s="17"/>
      <c r="T698" s="17" t="s">
        <v>2972</v>
      </c>
      <c r="U698" s="17" t="s">
        <v>3057</v>
      </c>
      <c r="V698" s="17" t="s">
        <v>3056</v>
      </c>
      <c r="W698" s="17"/>
      <c r="X698" s="17"/>
    </row>
    <row r="699" spans="1:24" s="40" customFormat="1" hidden="1">
      <c r="A699" s="26">
        <v>698</v>
      </c>
      <c r="B699" s="25" t="s">
        <v>1149</v>
      </c>
      <c r="C699" s="25" t="s">
        <v>1150</v>
      </c>
      <c r="D699" s="25" t="s">
        <v>20</v>
      </c>
      <c r="E699" s="25" t="s">
        <v>8</v>
      </c>
      <c r="F699" s="25">
        <v>994.2</v>
      </c>
      <c r="G699" s="25">
        <v>719</v>
      </c>
      <c r="H699" s="25">
        <v>854.6</v>
      </c>
      <c r="I699" s="17">
        <v>858.6</v>
      </c>
      <c r="J699" s="17">
        <v>0</v>
      </c>
      <c r="K699" s="17">
        <v>0</v>
      </c>
      <c r="L699" s="17">
        <v>858.6</v>
      </c>
      <c r="M699" s="17">
        <v>0</v>
      </c>
      <c r="N699" s="17">
        <v>0</v>
      </c>
      <c r="O699" s="25">
        <v>858.6</v>
      </c>
      <c r="P699" s="25">
        <v>1000</v>
      </c>
      <c r="Q699" s="25">
        <v>-141.39999999999998</v>
      </c>
      <c r="R699" s="25">
        <v>1000</v>
      </c>
      <c r="S699" s="25"/>
      <c r="T699" s="25" t="s">
        <v>3031</v>
      </c>
      <c r="U699" s="25" t="s">
        <v>3057</v>
      </c>
      <c r="V699" s="25" t="s">
        <v>3056</v>
      </c>
      <c r="W699" s="25"/>
      <c r="X699" s="25"/>
    </row>
    <row r="700" spans="1:24" hidden="1">
      <c r="A700" s="18">
        <v>699</v>
      </c>
      <c r="B700" s="17" t="s">
        <v>1151</v>
      </c>
      <c r="C700" s="17" t="s">
        <v>1152</v>
      </c>
      <c r="D700" s="17" t="s">
        <v>20</v>
      </c>
      <c r="E700" s="17" t="s">
        <v>8</v>
      </c>
      <c r="F700" s="17">
        <v>208.3</v>
      </c>
      <c r="G700" s="17">
        <v>0</v>
      </c>
      <c r="H700" s="17">
        <v>23.4</v>
      </c>
      <c r="I700" s="17">
        <v>184.9</v>
      </c>
      <c r="J700" s="17">
        <v>0</v>
      </c>
      <c r="K700" s="17">
        <v>0</v>
      </c>
      <c r="L700" s="17">
        <v>184.9</v>
      </c>
      <c r="M700" s="17">
        <v>0</v>
      </c>
      <c r="N700" s="17">
        <v>0</v>
      </c>
      <c r="O700" s="17">
        <v>184.9</v>
      </c>
      <c r="P700" s="17">
        <v>150</v>
      </c>
      <c r="Q700" s="17">
        <v>34.900000000000006</v>
      </c>
      <c r="R700" s="17">
        <v>0</v>
      </c>
      <c r="S700" s="17"/>
      <c r="T700" s="17" t="s">
        <v>3031</v>
      </c>
      <c r="U700" s="17" t="s">
        <v>3057</v>
      </c>
      <c r="V700" s="17" t="s">
        <v>3056</v>
      </c>
      <c r="W700" s="17"/>
      <c r="X700" s="17"/>
    </row>
    <row r="701" spans="1:24" hidden="1">
      <c r="A701" s="18">
        <v>700</v>
      </c>
      <c r="B701" s="17" t="s">
        <v>1153</v>
      </c>
      <c r="C701" s="17" t="s">
        <v>1154</v>
      </c>
      <c r="D701" s="17" t="s">
        <v>20</v>
      </c>
      <c r="E701" s="17" t="s">
        <v>8</v>
      </c>
      <c r="F701" s="17">
        <v>0.05</v>
      </c>
      <c r="G701" s="17">
        <v>610.9</v>
      </c>
      <c r="H701" s="17">
        <v>365.8</v>
      </c>
      <c r="I701" s="17">
        <v>245.15</v>
      </c>
      <c r="J701" s="17">
        <v>0</v>
      </c>
      <c r="K701" s="17">
        <v>0</v>
      </c>
      <c r="L701" s="17">
        <v>245.15</v>
      </c>
      <c r="M701" s="17">
        <v>0</v>
      </c>
      <c r="N701" s="17">
        <v>0</v>
      </c>
      <c r="O701" s="17">
        <v>245.15</v>
      </c>
      <c r="P701" s="17">
        <v>200</v>
      </c>
      <c r="Q701" s="17">
        <v>45.150000000000006</v>
      </c>
      <c r="R701" s="17">
        <v>450</v>
      </c>
      <c r="S701" s="17"/>
      <c r="T701" s="17" t="s">
        <v>3031</v>
      </c>
      <c r="U701" s="17" t="s">
        <v>3057</v>
      </c>
      <c r="V701" s="17" t="s">
        <v>3056</v>
      </c>
      <c r="W701" s="17"/>
      <c r="X701" s="17"/>
    </row>
    <row r="702" spans="1:24" hidden="1">
      <c r="A702" s="18">
        <v>701</v>
      </c>
      <c r="B702" s="17" t="s">
        <v>1203</v>
      </c>
      <c r="C702" s="17" t="s">
        <v>1204</v>
      </c>
      <c r="D702" s="17" t="s">
        <v>17</v>
      </c>
      <c r="E702" s="17" t="s">
        <v>8</v>
      </c>
      <c r="F702" s="17">
        <v>153</v>
      </c>
      <c r="G702" s="17">
        <v>0</v>
      </c>
      <c r="H702" s="17">
        <v>70</v>
      </c>
      <c r="I702" s="17">
        <v>83</v>
      </c>
      <c r="J702" s="17">
        <v>0</v>
      </c>
      <c r="K702" s="17">
        <v>0</v>
      </c>
      <c r="L702" s="17">
        <v>83</v>
      </c>
      <c r="M702" s="17">
        <v>0</v>
      </c>
      <c r="N702" s="17">
        <v>0</v>
      </c>
      <c r="O702" s="17">
        <v>83</v>
      </c>
      <c r="P702" s="17">
        <v>50</v>
      </c>
      <c r="Q702" s="17">
        <v>33</v>
      </c>
      <c r="R702" s="17">
        <v>0</v>
      </c>
      <c r="S702" s="17"/>
      <c r="T702" s="17" t="s">
        <v>3052</v>
      </c>
      <c r="U702" s="17" t="s">
        <v>3057</v>
      </c>
      <c r="V702" s="17" t="s">
        <v>3056</v>
      </c>
      <c r="W702" s="17"/>
      <c r="X702" s="17"/>
    </row>
    <row r="703" spans="1:24" hidden="1">
      <c r="A703" s="18">
        <v>702</v>
      </c>
      <c r="B703" s="17" t="s">
        <v>1213</v>
      </c>
      <c r="C703" s="17" t="s">
        <v>1214</v>
      </c>
      <c r="D703" s="17" t="s">
        <v>17</v>
      </c>
      <c r="E703" s="17" t="s">
        <v>8</v>
      </c>
      <c r="F703" s="17">
        <v>12</v>
      </c>
      <c r="G703" s="17">
        <v>0</v>
      </c>
      <c r="H703" s="17">
        <v>2</v>
      </c>
      <c r="I703" s="17">
        <v>10</v>
      </c>
      <c r="J703" s="17">
        <v>0</v>
      </c>
      <c r="K703" s="17">
        <v>0</v>
      </c>
      <c r="L703" s="17">
        <v>10</v>
      </c>
      <c r="M703" s="17">
        <v>0</v>
      </c>
      <c r="N703" s="17">
        <v>0</v>
      </c>
      <c r="O703" s="17">
        <v>10</v>
      </c>
      <c r="P703" s="17">
        <v>5</v>
      </c>
      <c r="Q703" s="17">
        <v>5</v>
      </c>
      <c r="R703" s="17">
        <v>0</v>
      </c>
      <c r="S703" s="17"/>
      <c r="T703" s="17" t="s">
        <v>3052</v>
      </c>
      <c r="U703" s="17" t="s">
        <v>3057</v>
      </c>
      <c r="V703" s="17" t="s">
        <v>3056</v>
      </c>
      <c r="W703" s="17"/>
      <c r="X703" s="17"/>
    </row>
    <row r="704" spans="1:24" hidden="1">
      <c r="A704" s="18">
        <v>703</v>
      </c>
      <c r="B704" s="17" t="s">
        <v>1261</v>
      </c>
      <c r="C704" s="17" t="s">
        <v>1262</v>
      </c>
      <c r="D704" s="17" t="s">
        <v>17</v>
      </c>
      <c r="E704" s="17" t="s">
        <v>8</v>
      </c>
      <c r="F704" s="17">
        <v>8</v>
      </c>
      <c r="G704" s="17">
        <v>65</v>
      </c>
      <c r="H704" s="17">
        <v>65</v>
      </c>
      <c r="I704" s="17">
        <v>8</v>
      </c>
      <c r="J704" s="17">
        <v>0</v>
      </c>
      <c r="K704" s="17">
        <v>0</v>
      </c>
      <c r="L704" s="17">
        <v>8</v>
      </c>
      <c r="M704" s="17">
        <v>0</v>
      </c>
      <c r="N704" s="17">
        <v>0</v>
      </c>
      <c r="O704" s="17">
        <v>8</v>
      </c>
      <c r="P704" s="17">
        <v>0</v>
      </c>
      <c r="Q704" s="17">
        <v>8</v>
      </c>
      <c r="R704" s="17">
        <v>0</v>
      </c>
      <c r="S704" s="17"/>
      <c r="T704" s="17" t="s">
        <v>3052</v>
      </c>
      <c r="U704" s="17" t="s">
        <v>3057</v>
      </c>
      <c r="V704" s="17" t="s">
        <v>3056</v>
      </c>
      <c r="W704" s="17"/>
      <c r="X704" s="17"/>
    </row>
    <row r="705" spans="1:24" hidden="1">
      <c r="A705" s="18">
        <v>704</v>
      </c>
      <c r="B705" s="17" t="s">
        <v>1271</v>
      </c>
      <c r="C705" s="17" t="s">
        <v>1272</v>
      </c>
      <c r="D705" s="17" t="s">
        <v>116</v>
      </c>
      <c r="E705" s="17" t="s">
        <v>8</v>
      </c>
      <c r="F705" s="17">
        <v>6</v>
      </c>
      <c r="G705" s="17">
        <v>0</v>
      </c>
      <c r="H705" s="17">
        <v>0</v>
      </c>
      <c r="I705" s="17">
        <v>6</v>
      </c>
      <c r="J705" s="17">
        <v>0</v>
      </c>
      <c r="K705" s="17">
        <v>0</v>
      </c>
      <c r="L705" s="17">
        <v>6</v>
      </c>
      <c r="M705" s="17">
        <v>0</v>
      </c>
      <c r="N705" s="17">
        <v>0</v>
      </c>
      <c r="O705" s="17">
        <v>6</v>
      </c>
      <c r="P705" s="17">
        <v>2</v>
      </c>
      <c r="Q705" s="17">
        <v>4</v>
      </c>
      <c r="R705" s="17">
        <v>0</v>
      </c>
      <c r="S705" s="17"/>
      <c r="T705" s="17" t="s">
        <v>3052</v>
      </c>
      <c r="U705" s="17" t="s">
        <v>3057</v>
      </c>
      <c r="V705" s="17" t="s">
        <v>3056</v>
      </c>
      <c r="W705" s="17"/>
      <c r="X705" s="17"/>
    </row>
    <row r="706" spans="1:24" hidden="1">
      <c r="A706" s="18">
        <v>705</v>
      </c>
      <c r="B706" s="17" t="s">
        <v>1273</v>
      </c>
      <c r="C706" s="17" t="s">
        <v>1274</v>
      </c>
      <c r="D706" s="17" t="s">
        <v>116</v>
      </c>
      <c r="E706" s="17" t="s">
        <v>8</v>
      </c>
      <c r="F706" s="17">
        <v>1</v>
      </c>
      <c r="G706" s="17">
        <v>0</v>
      </c>
      <c r="H706" s="17">
        <v>0</v>
      </c>
      <c r="I706" s="17">
        <v>1</v>
      </c>
      <c r="J706" s="17">
        <v>0</v>
      </c>
      <c r="K706" s="17">
        <v>0</v>
      </c>
      <c r="L706" s="17">
        <v>1</v>
      </c>
      <c r="M706" s="17">
        <v>0</v>
      </c>
      <c r="N706" s="17">
        <v>0</v>
      </c>
      <c r="O706" s="17">
        <v>1</v>
      </c>
      <c r="P706" s="17">
        <v>2</v>
      </c>
      <c r="Q706" s="17">
        <v>-1</v>
      </c>
      <c r="R706" s="17">
        <v>0</v>
      </c>
      <c r="S706" s="17"/>
      <c r="T706" s="17" t="s">
        <v>3052</v>
      </c>
      <c r="U706" s="17" t="s">
        <v>3057</v>
      </c>
      <c r="V706" s="17" t="s">
        <v>3056</v>
      </c>
      <c r="W706" s="17"/>
      <c r="X706" s="17"/>
    </row>
    <row r="707" spans="1:24" hidden="1">
      <c r="A707" s="18">
        <v>706</v>
      </c>
      <c r="B707" s="17" t="s">
        <v>1452</v>
      </c>
      <c r="C707" s="17" t="s">
        <v>1453</v>
      </c>
      <c r="D707" s="17" t="s">
        <v>17</v>
      </c>
      <c r="E707" s="17" t="s">
        <v>8</v>
      </c>
      <c r="F707" s="17">
        <v>0</v>
      </c>
      <c r="G707" s="17">
        <v>0</v>
      </c>
      <c r="H707" s="17">
        <v>0</v>
      </c>
      <c r="I707" s="17">
        <v>0</v>
      </c>
      <c r="J707" s="17">
        <v>0</v>
      </c>
      <c r="K707" s="17">
        <v>0</v>
      </c>
      <c r="L707" s="17">
        <v>0</v>
      </c>
      <c r="M707" s="17">
        <v>0</v>
      </c>
      <c r="N707" s="17">
        <v>0</v>
      </c>
      <c r="O707" s="17">
        <v>0</v>
      </c>
      <c r="P707" s="17">
        <v>0</v>
      </c>
      <c r="Q707" s="17">
        <v>0</v>
      </c>
      <c r="R707" s="17">
        <v>0</v>
      </c>
      <c r="S707" s="17"/>
      <c r="T707" s="17" t="s">
        <v>2972</v>
      </c>
      <c r="U707" s="17" t="s">
        <v>3057</v>
      </c>
      <c r="V707" s="17" t="s">
        <v>3056</v>
      </c>
      <c r="W707" s="17"/>
      <c r="X707" s="17"/>
    </row>
    <row r="708" spans="1:24" hidden="1">
      <c r="A708" s="18">
        <v>707</v>
      </c>
      <c r="B708" s="17" t="s">
        <v>1454</v>
      </c>
      <c r="C708" s="17" t="s">
        <v>1455</v>
      </c>
      <c r="D708" s="17" t="s">
        <v>17</v>
      </c>
      <c r="E708" s="17" t="s">
        <v>8</v>
      </c>
      <c r="F708" s="17">
        <v>1302</v>
      </c>
      <c r="G708" s="17">
        <v>0</v>
      </c>
      <c r="H708" s="17">
        <v>0</v>
      </c>
      <c r="I708" s="17">
        <v>1302</v>
      </c>
      <c r="J708" s="17">
        <v>0</v>
      </c>
      <c r="K708" s="17">
        <v>0</v>
      </c>
      <c r="L708" s="17">
        <v>1302</v>
      </c>
      <c r="M708" s="17">
        <v>0</v>
      </c>
      <c r="N708" s="17">
        <v>0</v>
      </c>
      <c r="O708" s="17">
        <v>1302</v>
      </c>
      <c r="P708" s="17">
        <v>0</v>
      </c>
      <c r="Q708" s="17">
        <v>1302</v>
      </c>
      <c r="R708" s="17">
        <v>0</v>
      </c>
      <c r="S708" s="17"/>
      <c r="T708" s="17" t="s">
        <v>2972</v>
      </c>
      <c r="U708" s="17" t="s">
        <v>3057</v>
      </c>
      <c r="V708" s="17" t="s">
        <v>3056</v>
      </c>
      <c r="W708" s="17"/>
      <c r="X708" s="17"/>
    </row>
    <row r="709" spans="1:24" hidden="1">
      <c r="A709" s="18">
        <v>708</v>
      </c>
      <c r="B709" s="17" t="s">
        <v>1460</v>
      </c>
      <c r="C709" s="17" t="s">
        <v>1461</v>
      </c>
      <c r="D709" s="17" t="s">
        <v>17</v>
      </c>
      <c r="E709" s="17" t="s">
        <v>8</v>
      </c>
      <c r="F709" s="17">
        <v>0</v>
      </c>
      <c r="G709" s="17">
        <v>0</v>
      </c>
      <c r="H709" s="17">
        <v>0</v>
      </c>
      <c r="I709" s="17">
        <v>0</v>
      </c>
      <c r="J709" s="17">
        <v>0</v>
      </c>
      <c r="K709" s="17">
        <v>0</v>
      </c>
      <c r="L709" s="17">
        <v>0</v>
      </c>
      <c r="M709" s="17">
        <v>0</v>
      </c>
      <c r="N709" s="17">
        <v>0</v>
      </c>
      <c r="O709" s="17">
        <v>0</v>
      </c>
      <c r="P709" s="17">
        <v>0</v>
      </c>
      <c r="Q709" s="17">
        <v>0</v>
      </c>
      <c r="R709" s="17">
        <v>0</v>
      </c>
      <c r="S709" s="17"/>
      <c r="T709" s="17" t="s">
        <v>2972</v>
      </c>
      <c r="U709" s="17" t="s">
        <v>3057</v>
      </c>
      <c r="V709" s="17" t="s">
        <v>3056</v>
      </c>
      <c r="W709" s="17"/>
      <c r="X709" s="17"/>
    </row>
    <row r="710" spans="1:24" hidden="1">
      <c r="A710" s="18">
        <v>709</v>
      </c>
      <c r="B710" s="17" t="s">
        <v>1462</v>
      </c>
      <c r="C710" s="17" t="s">
        <v>1463</v>
      </c>
      <c r="D710" s="17" t="s">
        <v>20</v>
      </c>
      <c r="E710" s="17" t="s">
        <v>8</v>
      </c>
      <c r="F710" s="17">
        <v>572.94000000000005</v>
      </c>
      <c r="G710" s="17">
        <v>0</v>
      </c>
      <c r="H710" s="17">
        <v>0</v>
      </c>
      <c r="I710" s="17">
        <v>572.94000000000005</v>
      </c>
      <c r="J710" s="17">
        <v>0</v>
      </c>
      <c r="K710" s="17">
        <v>0</v>
      </c>
      <c r="L710" s="17">
        <v>572.94000000000005</v>
      </c>
      <c r="M710" s="17">
        <v>0</v>
      </c>
      <c r="N710" s="17">
        <v>0</v>
      </c>
      <c r="O710" s="17">
        <v>572.94000000000005</v>
      </c>
      <c r="P710" s="17">
        <v>150</v>
      </c>
      <c r="Q710" s="17">
        <v>422.94000000000005</v>
      </c>
      <c r="R710" s="17">
        <v>0</v>
      </c>
      <c r="S710" s="17"/>
      <c r="T710" s="17" t="s">
        <v>2972</v>
      </c>
      <c r="U710" s="17" t="s">
        <v>3057</v>
      </c>
      <c r="V710" s="17" t="s">
        <v>3056</v>
      </c>
      <c r="W710" s="17"/>
      <c r="X710" s="17"/>
    </row>
    <row r="711" spans="1:24" hidden="1">
      <c r="A711" s="18">
        <v>710</v>
      </c>
      <c r="B711" s="17" t="s">
        <v>1464</v>
      </c>
      <c r="C711" s="17" t="s">
        <v>1465</v>
      </c>
      <c r="D711" s="17" t="s">
        <v>20</v>
      </c>
      <c r="E711" s="17" t="s">
        <v>8</v>
      </c>
      <c r="F711" s="17">
        <v>64</v>
      </c>
      <c r="G711" s="17">
        <v>0</v>
      </c>
      <c r="H711" s="17">
        <v>0</v>
      </c>
      <c r="I711" s="17">
        <v>64</v>
      </c>
      <c r="J711" s="17">
        <v>0</v>
      </c>
      <c r="K711" s="17">
        <v>0</v>
      </c>
      <c r="L711" s="17">
        <v>64</v>
      </c>
      <c r="M711" s="17">
        <v>0</v>
      </c>
      <c r="N711" s="17">
        <v>0</v>
      </c>
      <c r="O711" s="17">
        <v>64</v>
      </c>
      <c r="P711" s="17">
        <v>100</v>
      </c>
      <c r="Q711" s="17">
        <v>-36</v>
      </c>
      <c r="R711" s="17">
        <v>0</v>
      </c>
      <c r="S711" s="17"/>
      <c r="T711" s="17" t="s">
        <v>2972</v>
      </c>
      <c r="U711" s="17" t="s">
        <v>3057</v>
      </c>
      <c r="V711" s="17" t="s">
        <v>3056</v>
      </c>
      <c r="W711" s="17"/>
      <c r="X711" s="17"/>
    </row>
    <row r="712" spans="1:24" hidden="1">
      <c r="A712" s="18">
        <v>711</v>
      </c>
      <c r="B712" s="17" t="s">
        <v>3167</v>
      </c>
      <c r="C712" s="17" t="s">
        <v>3168</v>
      </c>
      <c r="D712" s="17" t="s">
        <v>20</v>
      </c>
      <c r="E712" s="17" t="s">
        <v>8</v>
      </c>
      <c r="F712" s="17">
        <v>0</v>
      </c>
      <c r="G712" s="17">
        <v>0</v>
      </c>
      <c r="H712" s="17">
        <v>0</v>
      </c>
      <c r="I712" s="17">
        <v>0</v>
      </c>
      <c r="J712" s="17">
        <v>0</v>
      </c>
      <c r="K712" s="17">
        <v>0</v>
      </c>
      <c r="L712" s="17">
        <v>0</v>
      </c>
      <c r="M712" s="17">
        <v>0</v>
      </c>
      <c r="N712" s="17">
        <v>0</v>
      </c>
      <c r="O712" s="17">
        <v>0</v>
      </c>
      <c r="P712" s="17">
        <v>0</v>
      </c>
      <c r="Q712" s="17">
        <v>0</v>
      </c>
      <c r="R712" s="17">
        <v>0</v>
      </c>
      <c r="S712" s="17"/>
      <c r="T712" s="17" t="s">
        <v>2972</v>
      </c>
      <c r="U712" s="17" t="s">
        <v>3057</v>
      </c>
      <c r="V712" s="17" t="s">
        <v>3056</v>
      </c>
      <c r="W712" s="17"/>
      <c r="X712" s="17"/>
    </row>
    <row r="713" spans="1:24" hidden="1">
      <c r="A713" s="18">
        <v>712</v>
      </c>
      <c r="B713" s="17" t="s">
        <v>1486</v>
      </c>
      <c r="C713" s="17" t="s">
        <v>1487</v>
      </c>
      <c r="D713" s="17" t="s">
        <v>17</v>
      </c>
      <c r="E713" s="17" t="s">
        <v>8</v>
      </c>
      <c r="F713" s="17">
        <v>171</v>
      </c>
      <c r="G713" s="17">
        <v>0</v>
      </c>
      <c r="H713" s="17">
        <v>110</v>
      </c>
      <c r="I713" s="17">
        <v>61</v>
      </c>
      <c r="J713" s="17">
        <v>0</v>
      </c>
      <c r="K713" s="17">
        <v>0</v>
      </c>
      <c r="L713" s="17">
        <v>61</v>
      </c>
      <c r="M713" s="17">
        <v>0</v>
      </c>
      <c r="N713" s="17">
        <v>0</v>
      </c>
      <c r="O713" s="17">
        <v>61</v>
      </c>
      <c r="P713" s="17">
        <v>0</v>
      </c>
      <c r="Q713" s="17">
        <v>61</v>
      </c>
      <c r="R713" s="17">
        <v>0</v>
      </c>
      <c r="S713" s="17"/>
      <c r="T713" s="17" t="s">
        <v>2998</v>
      </c>
      <c r="U713" s="17" t="s">
        <v>3057</v>
      </c>
      <c r="V713" s="17" t="s">
        <v>3056</v>
      </c>
      <c r="W713" s="17"/>
      <c r="X713" s="17"/>
    </row>
    <row r="714" spans="1:24" hidden="1">
      <c r="A714" s="18">
        <v>713</v>
      </c>
      <c r="B714" s="17" t="s">
        <v>1508</v>
      </c>
      <c r="C714" s="17" t="s">
        <v>1509</v>
      </c>
      <c r="D714" s="17" t="s">
        <v>17</v>
      </c>
      <c r="E714" s="17" t="s">
        <v>8</v>
      </c>
      <c r="F714" s="17">
        <v>250</v>
      </c>
      <c r="G714" s="17">
        <v>0</v>
      </c>
      <c r="H714" s="17">
        <v>0</v>
      </c>
      <c r="I714" s="17">
        <v>250</v>
      </c>
      <c r="J714" s="17">
        <v>0</v>
      </c>
      <c r="K714" s="17">
        <v>0</v>
      </c>
      <c r="L714" s="17">
        <v>250</v>
      </c>
      <c r="M714" s="17">
        <v>0</v>
      </c>
      <c r="N714" s="17">
        <v>0</v>
      </c>
      <c r="O714" s="17">
        <v>250</v>
      </c>
      <c r="P714" s="17">
        <v>150</v>
      </c>
      <c r="Q714" s="17">
        <v>100</v>
      </c>
      <c r="R714" s="17">
        <v>0</v>
      </c>
      <c r="S714" s="17"/>
      <c r="T714" s="17" t="s">
        <v>2991</v>
      </c>
      <c r="U714" s="17" t="s">
        <v>3057</v>
      </c>
      <c r="V714" s="17" t="s">
        <v>3058</v>
      </c>
      <c r="W714" s="17"/>
      <c r="X714" s="17"/>
    </row>
    <row r="715" spans="1:24" hidden="1">
      <c r="A715" s="18">
        <v>714</v>
      </c>
      <c r="B715" s="17" t="s">
        <v>1514</v>
      </c>
      <c r="C715" s="17" t="s">
        <v>1515</v>
      </c>
      <c r="D715" s="17" t="s">
        <v>135</v>
      </c>
      <c r="E715" s="17" t="s">
        <v>8</v>
      </c>
      <c r="F715" s="17">
        <v>26000</v>
      </c>
      <c r="G715" s="17">
        <v>0</v>
      </c>
      <c r="H715" s="17">
        <v>2000</v>
      </c>
      <c r="I715" s="17">
        <v>24000</v>
      </c>
      <c r="J715" s="17">
        <v>0</v>
      </c>
      <c r="K715" s="17">
        <v>0</v>
      </c>
      <c r="L715" s="17">
        <v>24000</v>
      </c>
      <c r="M715" s="17">
        <v>0</v>
      </c>
      <c r="N715" s="17">
        <v>0</v>
      </c>
      <c r="O715" s="17">
        <v>24000</v>
      </c>
      <c r="P715" s="17">
        <v>6000</v>
      </c>
      <c r="Q715" s="17">
        <v>18000</v>
      </c>
      <c r="R715" s="17">
        <v>0</v>
      </c>
      <c r="S715" s="17"/>
      <c r="T715" s="17" t="s">
        <v>2974</v>
      </c>
      <c r="U715" s="17" t="s">
        <v>3057</v>
      </c>
      <c r="V715" s="17" t="s">
        <v>3056</v>
      </c>
      <c r="W715" s="17"/>
      <c r="X715" s="17"/>
    </row>
    <row r="716" spans="1:24" hidden="1">
      <c r="A716" s="18">
        <v>715</v>
      </c>
      <c r="B716" s="17" t="s">
        <v>1516</v>
      </c>
      <c r="C716" s="17" t="s">
        <v>1517</v>
      </c>
      <c r="D716" s="17" t="s">
        <v>17</v>
      </c>
      <c r="E716" s="17" t="s">
        <v>8</v>
      </c>
      <c r="F716" s="17">
        <v>8600</v>
      </c>
      <c r="G716" s="17">
        <v>0</v>
      </c>
      <c r="H716" s="17">
        <v>0</v>
      </c>
      <c r="I716" s="17">
        <v>8600</v>
      </c>
      <c r="J716" s="17">
        <v>0</v>
      </c>
      <c r="K716" s="17">
        <v>0</v>
      </c>
      <c r="L716" s="17">
        <v>8600</v>
      </c>
      <c r="M716" s="17">
        <v>0</v>
      </c>
      <c r="N716" s="17">
        <v>0</v>
      </c>
      <c r="O716" s="17">
        <v>8600</v>
      </c>
      <c r="P716" s="17">
        <v>2500</v>
      </c>
      <c r="Q716" s="17">
        <v>6100</v>
      </c>
      <c r="R716" s="17">
        <v>0</v>
      </c>
      <c r="S716" s="17"/>
      <c r="T716" s="17" t="s">
        <v>2972</v>
      </c>
      <c r="U716" s="17" t="s">
        <v>3057</v>
      </c>
      <c r="V716" s="17" t="s">
        <v>3056</v>
      </c>
      <c r="W716" s="17"/>
      <c r="X716" s="17"/>
    </row>
    <row r="717" spans="1:24" hidden="1">
      <c r="A717" s="18">
        <v>716</v>
      </c>
      <c r="B717" s="17" t="s">
        <v>1518</v>
      </c>
      <c r="C717" s="17" t="s">
        <v>1519</v>
      </c>
      <c r="D717" s="17" t="s">
        <v>17</v>
      </c>
      <c r="E717" s="17" t="s">
        <v>8</v>
      </c>
      <c r="F717" s="17">
        <v>974</v>
      </c>
      <c r="G717" s="17">
        <v>0</v>
      </c>
      <c r="H717" s="17">
        <v>0</v>
      </c>
      <c r="I717" s="17">
        <v>974</v>
      </c>
      <c r="J717" s="17">
        <v>0</v>
      </c>
      <c r="K717" s="17">
        <v>0</v>
      </c>
      <c r="L717" s="17">
        <v>974</v>
      </c>
      <c r="M717" s="17">
        <v>0</v>
      </c>
      <c r="N717" s="17">
        <v>0</v>
      </c>
      <c r="O717" s="17">
        <v>974</v>
      </c>
      <c r="P717" s="17">
        <v>0</v>
      </c>
      <c r="Q717" s="17">
        <v>974</v>
      </c>
      <c r="R717" s="17">
        <v>0</v>
      </c>
      <c r="S717" s="17"/>
      <c r="T717" s="17" t="s">
        <v>2972</v>
      </c>
      <c r="U717" s="17" t="s">
        <v>3057</v>
      </c>
      <c r="V717" s="17" t="s">
        <v>3056</v>
      </c>
      <c r="W717" s="17"/>
      <c r="X717" s="17"/>
    </row>
    <row r="718" spans="1:24" hidden="1">
      <c r="A718" s="18">
        <v>717</v>
      </c>
      <c r="B718" s="17" t="s">
        <v>1520</v>
      </c>
      <c r="C718" s="17" t="s">
        <v>1521</v>
      </c>
      <c r="D718" s="17" t="s">
        <v>17</v>
      </c>
      <c r="E718" s="17" t="s">
        <v>8</v>
      </c>
      <c r="F718" s="17">
        <v>0</v>
      </c>
      <c r="G718" s="17">
        <v>0</v>
      </c>
      <c r="H718" s="17">
        <v>0</v>
      </c>
      <c r="I718" s="17">
        <v>0</v>
      </c>
      <c r="J718" s="17">
        <v>0</v>
      </c>
      <c r="K718" s="17">
        <v>0</v>
      </c>
      <c r="L718" s="17">
        <v>0</v>
      </c>
      <c r="M718" s="17">
        <v>0</v>
      </c>
      <c r="N718" s="17">
        <v>0</v>
      </c>
      <c r="O718" s="17">
        <v>0</v>
      </c>
      <c r="P718" s="17">
        <v>0</v>
      </c>
      <c r="Q718" s="17">
        <v>0</v>
      </c>
      <c r="R718" s="17">
        <v>0</v>
      </c>
      <c r="S718" s="17"/>
      <c r="T718" s="17" t="s">
        <v>2972</v>
      </c>
      <c r="U718" s="17" t="s">
        <v>3057</v>
      </c>
      <c r="V718" s="17" t="s">
        <v>3056</v>
      </c>
      <c r="W718" s="17"/>
      <c r="X718" s="17"/>
    </row>
    <row r="719" spans="1:24" hidden="1">
      <c r="A719" s="18">
        <v>718</v>
      </c>
      <c r="B719" s="17" t="s">
        <v>1524</v>
      </c>
      <c r="C719" s="17" t="s">
        <v>1525</v>
      </c>
      <c r="D719" s="17" t="s">
        <v>17</v>
      </c>
      <c r="E719" s="17" t="s">
        <v>8</v>
      </c>
      <c r="F719" s="17">
        <v>2000</v>
      </c>
      <c r="G719" s="17">
        <v>0</v>
      </c>
      <c r="H719" s="17">
        <v>0</v>
      </c>
      <c r="I719" s="17">
        <v>2000</v>
      </c>
      <c r="J719" s="17">
        <v>0</v>
      </c>
      <c r="K719" s="17">
        <v>0</v>
      </c>
      <c r="L719" s="17">
        <v>2000</v>
      </c>
      <c r="M719" s="17">
        <v>0</v>
      </c>
      <c r="N719" s="17">
        <v>0</v>
      </c>
      <c r="O719" s="17">
        <v>2000</v>
      </c>
      <c r="P719" s="17">
        <v>2000</v>
      </c>
      <c r="Q719" s="17">
        <v>0</v>
      </c>
      <c r="R719" s="17">
        <v>0</v>
      </c>
      <c r="S719" s="17"/>
      <c r="T719" s="17" t="s">
        <v>2972</v>
      </c>
      <c r="U719" s="17" t="s">
        <v>3057</v>
      </c>
      <c r="V719" s="17" t="s">
        <v>3056</v>
      </c>
      <c r="W719" s="17"/>
      <c r="X719" s="17"/>
    </row>
    <row r="720" spans="1:24" hidden="1">
      <c r="A720" s="18">
        <v>719</v>
      </c>
      <c r="B720" s="17" t="s">
        <v>1526</v>
      </c>
      <c r="C720" s="17" t="s">
        <v>1527</v>
      </c>
      <c r="D720" s="17" t="s">
        <v>17</v>
      </c>
      <c r="E720" s="17" t="s">
        <v>8</v>
      </c>
      <c r="F720" s="17">
        <v>0</v>
      </c>
      <c r="G720" s="17">
        <v>0</v>
      </c>
      <c r="H720" s="17">
        <v>0</v>
      </c>
      <c r="I720" s="17">
        <v>0</v>
      </c>
      <c r="J720" s="17">
        <v>0</v>
      </c>
      <c r="K720" s="17">
        <v>0</v>
      </c>
      <c r="L720" s="17">
        <v>0</v>
      </c>
      <c r="M720" s="17">
        <v>0</v>
      </c>
      <c r="N720" s="17">
        <v>0</v>
      </c>
      <c r="O720" s="17">
        <v>0</v>
      </c>
      <c r="P720" s="17">
        <v>0</v>
      </c>
      <c r="Q720" s="17">
        <v>0</v>
      </c>
      <c r="R720" s="17">
        <v>0</v>
      </c>
      <c r="S720" s="17"/>
      <c r="T720" s="17" t="s">
        <v>2972</v>
      </c>
      <c r="U720" s="17" t="s">
        <v>3057</v>
      </c>
      <c r="V720" s="17" t="s">
        <v>3056</v>
      </c>
      <c r="W720" s="17"/>
      <c r="X720" s="17"/>
    </row>
    <row r="721" spans="1:24" hidden="1">
      <c r="A721" s="18">
        <v>720</v>
      </c>
      <c r="B721" s="17" t="s">
        <v>1538</v>
      </c>
      <c r="C721" s="17" t="s">
        <v>1539</v>
      </c>
      <c r="D721" s="17" t="s">
        <v>17</v>
      </c>
      <c r="E721" s="17" t="s">
        <v>8</v>
      </c>
      <c r="F721" s="17">
        <v>3600</v>
      </c>
      <c r="G721" s="17">
        <v>4997</v>
      </c>
      <c r="H721" s="17">
        <v>2600</v>
      </c>
      <c r="I721" s="17">
        <v>5997</v>
      </c>
      <c r="J721" s="17">
        <v>0</v>
      </c>
      <c r="K721" s="17">
        <v>0</v>
      </c>
      <c r="L721" s="17">
        <v>5997</v>
      </c>
      <c r="M721" s="17">
        <v>0</v>
      </c>
      <c r="N721" s="17">
        <v>0</v>
      </c>
      <c r="O721" s="17">
        <v>5997</v>
      </c>
      <c r="P721" s="17">
        <v>3500</v>
      </c>
      <c r="Q721" s="17">
        <v>2497</v>
      </c>
      <c r="R721" s="17">
        <v>6000</v>
      </c>
      <c r="S721" s="17"/>
      <c r="T721" s="17" t="s">
        <v>2974</v>
      </c>
      <c r="U721" s="17" t="s">
        <v>3057</v>
      </c>
      <c r="V721" s="17" t="s">
        <v>3056</v>
      </c>
      <c r="W721" s="17"/>
      <c r="X721" s="17"/>
    </row>
    <row r="722" spans="1:24" hidden="1">
      <c r="A722" s="18">
        <v>721</v>
      </c>
      <c r="B722" s="17" t="s">
        <v>1550</v>
      </c>
      <c r="C722" s="17" t="s">
        <v>1551</v>
      </c>
      <c r="D722" s="17" t="s">
        <v>7</v>
      </c>
      <c r="E722" s="17" t="s">
        <v>8</v>
      </c>
      <c r="F722" s="17">
        <v>2400</v>
      </c>
      <c r="G722" s="17">
        <v>3800</v>
      </c>
      <c r="H722" s="17">
        <v>4200</v>
      </c>
      <c r="I722" s="17">
        <v>2000</v>
      </c>
      <c r="J722" s="17">
        <v>0</v>
      </c>
      <c r="K722" s="17">
        <v>0</v>
      </c>
      <c r="L722" s="17">
        <v>2000</v>
      </c>
      <c r="M722" s="17">
        <v>0</v>
      </c>
      <c r="N722" s="17">
        <v>0</v>
      </c>
      <c r="O722" s="17">
        <v>2000</v>
      </c>
      <c r="P722" s="17">
        <v>1500</v>
      </c>
      <c r="Q722" s="17">
        <v>500</v>
      </c>
      <c r="R722" s="17">
        <v>6400</v>
      </c>
      <c r="S722" s="17"/>
      <c r="T722" s="17" t="s">
        <v>2972</v>
      </c>
      <c r="U722" s="17" t="s">
        <v>3057</v>
      </c>
      <c r="V722" s="17" t="s">
        <v>3056</v>
      </c>
      <c r="W722" s="17"/>
      <c r="X722" s="17"/>
    </row>
    <row r="723" spans="1:24" hidden="1">
      <c r="A723" s="18">
        <v>722</v>
      </c>
      <c r="B723" s="17" t="s">
        <v>1560</v>
      </c>
      <c r="C723" s="17" t="s">
        <v>1561</v>
      </c>
      <c r="D723" s="17" t="s">
        <v>17</v>
      </c>
      <c r="E723" s="17" t="s">
        <v>8</v>
      </c>
      <c r="F723" s="17">
        <v>1400</v>
      </c>
      <c r="G723" s="17">
        <v>0</v>
      </c>
      <c r="H723" s="17">
        <v>0</v>
      </c>
      <c r="I723" s="17">
        <v>1400</v>
      </c>
      <c r="J723" s="17">
        <v>0</v>
      </c>
      <c r="K723" s="17">
        <v>0</v>
      </c>
      <c r="L723" s="17">
        <v>1400</v>
      </c>
      <c r="M723" s="17">
        <v>0</v>
      </c>
      <c r="N723" s="17">
        <v>0</v>
      </c>
      <c r="O723" s="17">
        <v>1400</v>
      </c>
      <c r="P723" s="17">
        <v>600</v>
      </c>
      <c r="Q723" s="17">
        <v>800</v>
      </c>
      <c r="R723" s="17">
        <v>0</v>
      </c>
      <c r="S723" s="17"/>
      <c r="T723" s="17" t="s">
        <v>2972</v>
      </c>
      <c r="U723" s="17" t="s">
        <v>3057</v>
      </c>
      <c r="V723" s="17" t="s">
        <v>3058</v>
      </c>
      <c r="W723" s="17"/>
      <c r="X723" s="17"/>
    </row>
    <row r="724" spans="1:24" hidden="1">
      <c r="A724" s="18">
        <v>723</v>
      </c>
      <c r="B724" s="17" t="s">
        <v>1562</v>
      </c>
      <c r="C724" s="17" t="s">
        <v>1563</v>
      </c>
      <c r="D724" s="17" t="s">
        <v>17</v>
      </c>
      <c r="E724" s="17" t="s">
        <v>8</v>
      </c>
      <c r="F724" s="17">
        <v>320</v>
      </c>
      <c r="G724" s="17">
        <v>0</v>
      </c>
      <c r="H724" s="17">
        <v>0</v>
      </c>
      <c r="I724" s="17">
        <v>320</v>
      </c>
      <c r="J724" s="17">
        <v>0</v>
      </c>
      <c r="K724" s="17">
        <v>0</v>
      </c>
      <c r="L724" s="17">
        <v>320</v>
      </c>
      <c r="M724" s="17">
        <v>0</v>
      </c>
      <c r="N724" s="17">
        <v>0</v>
      </c>
      <c r="O724" s="17">
        <v>320</v>
      </c>
      <c r="P724" s="17">
        <v>150</v>
      </c>
      <c r="Q724" s="17">
        <v>170</v>
      </c>
      <c r="R724" s="17">
        <v>0</v>
      </c>
      <c r="S724" s="17"/>
      <c r="T724" s="17" t="s">
        <v>2972</v>
      </c>
      <c r="U724" s="17" t="s">
        <v>3057</v>
      </c>
      <c r="V724" s="17" t="s">
        <v>3056</v>
      </c>
      <c r="W724" s="17"/>
      <c r="X724" s="17"/>
    </row>
    <row r="725" spans="1:24" hidden="1">
      <c r="A725" s="18">
        <v>724</v>
      </c>
      <c r="B725" s="17" t="s">
        <v>1572</v>
      </c>
      <c r="C725" s="17" t="s">
        <v>1573</v>
      </c>
      <c r="D725" s="17" t="s">
        <v>116</v>
      </c>
      <c r="E725" s="17" t="s">
        <v>8</v>
      </c>
      <c r="F725" s="17">
        <v>226</v>
      </c>
      <c r="G725" s="17">
        <v>0</v>
      </c>
      <c r="H725" s="17">
        <v>0</v>
      </c>
      <c r="I725" s="17">
        <v>226</v>
      </c>
      <c r="J725" s="17">
        <v>0</v>
      </c>
      <c r="K725" s="17">
        <v>0</v>
      </c>
      <c r="L725" s="17">
        <v>226</v>
      </c>
      <c r="M725" s="17">
        <v>0</v>
      </c>
      <c r="N725" s="17">
        <v>0</v>
      </c>
      <c r="O725" s="17">
        <v>226</v>
      </c>
      <c r="P725" s="17">
        <v>150</v>
      </c>
      <c r="Q725" s="17">
        <v>76</v>
      </c>
      <c r="R725" s="17">
        <v>0</v>
      </c>
      <c r="S725" s="17"/>
      <c r="T725" s="17" t="s">
        <v>2974</v>
      </c>
      <c r="U725" s="17" t="s">
        <v>3057</v>
      </c>
      <c r="V725" s="17" t="s">
        <v>3056</v>
      </c>
      <c r="W725" s="17"/>
      <c r="X725" s="17"/>
    </row>
    <row r="726" spans="1:24" hidden="1">
      <c r="A726" s="18">
        <v>725</v>
      </c>
      <c r="B726" s="17" t="s">
        <v>1574</v>
      </c>
      <c r="C726" s="17" t="s">
        <v>1575</v>
      </c>
      <c r="D726" s="17" t="s">
        <v>116</v>
      </c>
      <c r="E726" s="17" t="s">
        <v>8</v>
      </c>
      <c r="F726" s="17">
        <v>209</v>
      </c>
      <c r="G726" s="17">
        <v>0</v>
      </c>
      <c r="H726" s="17">
        <v>38</v>
      </c>
      <c r="I726" s="17">
        <v>171</v>
      </c>
      <c r="J726" s="17">
        <v>0</v>
      </c>
      <c r="K726" s="17">
        <v>0</v>
      </c>
      <c r="L726" s="17">
        <v>171</v>
      </c>
      <c r="M726" s="17">
        <v>0</v>
      </c>
      <c r="N726" s="17">
        <v>0</v>
      </c>
      <c r="O726" s="17">
        <v>171</v>
      </c>
      <c r="P726" s="17">
        <v>250</v>
      </c>
      <c r="Q726" s="17">
        <v>-79</v>
      </c>
      <c r="R726" s="17">
        <v>0</v>
      </c>
      <c r="S726" s="17"/>
      <c r="T726" s="17" t="s">
        <v>2974</v>
      </c>
      <c r="U726" s="17" t="s">
        <v>3057</v>
      </c>
      <c r="V726" s="17" t="s">
        <v>3056</v>
      </c>
      <c r="W726" s="17"/>
      <c r="X726" s="17"/>
    </row>
    <row r="727" spans="1:24" hidden="1">
      <c r="A727" s="18">
        <v>726</v>
      </c>
      <c r="B727" s="17" t="s">
        <v>1590</v>
      </c>
      <c r="C727" s="17" t="s">
        <v>1591</v>
      </c>
      <c r="D727" s="17" t="s">
        <v>17</v>
      </c>
      <c r="E727" s="17" t="s">
        <v>8</v>
      </c>
      <c r="F727" s="17">
        <v>800</v>
      </c>
      <c r="G727" s="17">
        <v>500</v>
      </c>
      <c r="H727" s="17">
        <v>400</v>
      </c>
      <c r="I727" s="17">
        <v>900</v>
      </c>
      <c r="J727" s="17">
        <v>0</v>
      </c>
      <c r="K727" s="17">
        <v>0</v>
      </c>
      <c r="L727" s="17">
        <v>900</v>
      </c>
      <c r="M727" s="17">
        <v>0</v>
      </c>
      <c r="N727" s="17">
        <v>0</v>
      </c>
      <c r="O727" s="17">
        <v>900</v>
      </c>
      <c r="P727" s="17">
        <v>500</v>
      </c>
      <c r="Q727" s="17">
        <v>400</v>
      </c>
      <c r="R727" s="17">
        <v>500</v>
      </c>
      <c r="S727" s="17"/>
      <c r="T727" s="17" t="s">
        <v>2972</v>
      </c>
      <c r="U727" s="17" t="s">
        <v>3057</v>
      </c>
      <c r="V727" s="17" t="s">
        <v>3056</v>
      </c>
      <c r="W727" s="17"/>
      <c r="X727" s="17"/>
    </row>
    <row r="728" spans="1:24" hidden="1">
      <c r="A728" s="18">
        <v>727</v>
      </c>
      <c r="B728" s="17" t="s">
        <v>1600</v>
      </c>
      <c r="C728" s="17" t="s">
        <v>1601</v>
      </c>
      <c r="D728" s="17" t="s">
        <v>17</v>
      </c>
      <c r="E728" s="17" t="s">
        <v>8</v>
      </c>
      <c r="F728" s="17">
        <v>40</v>
      </c>
      <c r="G728" s="17">
        <v>50</v>
      </c>
      <c r="H728" s="17">
        <v>0</v>
      </c>
      <c r="I728" s="17">
        <v>90</v>
      </c>
      <c r="J728" s="17">
        <v>0</v>
      </c>
      <c r="K728" s="17">
        <v>0</v>
      </c>
      <c r="L728" s="17">
        <v>90</v>
      </c>
      <c r="M728" s="17">
        <v>0</v>
      </c>
      <c r="N728" s="17">
        <v>0</v>
      </c>
      <c r="O728" s="17">
        <v>90</v>
      </c>
      <c r="P728" s="17">
        <v>50</v>
      </c>
      <c r="Q728" s="17">
        <v>40</v>
      </c>
      <c r="R728" s="17">
        <v>50</v>
      </c>
      <c r="S728" s="17"/>
      <c r="T728" s="17" t="s">
        <v>2972</v>
      </c>
      <c r="U728" s="17" t="s">
        <v>3057</v>
      </c>
      <c r="V728" s="17" t="s">
        <v>3056</v>
      </c>
      <c r="W728" s="17"/>
      <c r="X728" s="17"/>
    </row>
    <row r="729" spans="1:24" hidden="1">
      <c r="A729" s="18">
        <v>728</v>
      </c>
      <c r="B729" s="17" t="s">
        <v>1602</v>
      </c>
      <c r="C729" s="17" t="s">
        <v>1603</v>
      </c>
      <c r="D729" s="17" t="s">
        <v>17</v>
      </c>
      <c r="E729" s="17" t="s">
        <v>8</v>
      </c>
      <c r="F729" s="17">
        <v>100</v>
      </c>
      <c r="G729" s="17">
        <v>0</v>
      </c>
      <c r="H729" s="17">
        <v>0</v>
      </c>
      <c r="I729" s="17">
        <v>100</v>
      </c>
      <c r="J729" s="17">
        <v>0</v>
      </c>
      <c r="K729" s="17">
        <v>0</v>
      </c>
      <c r="L729" s="17">
        <v>100</v>
      </c>
      <c r="M729" s="17">
        <v>0</v>
      </c>
      <c r="N729" s="17">
        <v>0</v>
      </c>
      <c r="O729" s="17">
        <v>100</v>
      </c>
      <c r="P729" s="17">
        <v>75</v>
      </c>
      <c r="Q729" s="17">
        <v>25</v>
      </c>
      <c r="R729" s="17">
        <v>0</v>
      </c>
      <c r="S729" s="17"/>
      <c r="T729" s="17" t="s">
        <v>2972</v>
      </c>
      <c r="U729" s="17" t="s">
        <v>3057</v>
      </c>
      <c r="V729" s="17" t="s">
        <v>3056</v>
      </c>
      <c r="W729" s="17"/>
      <c r="X729" s="17"/>
    </row>
    <row r="730" spans="1:24" hidden="1">
      <c r="A730" s="18">
        <v>729</v>
      </c>
      <c r="B730" s="17" t="s">
        <v>1604</v>
      </c>
      <c r="C730" s="17" t="s">
        <v>1605</v>
      </c>
      <c r="D730" s="17" t="s">
        <v>17</v>
      </c>
      <c r="E730" s="17" t="s">
        <v>8</v>
      </c>
      <c r="F730" s="17">
        <v>1000</v>
      </c>
      <c r="G730" s="17">
        <v>0</v>
      </c>
      <c r="H730" s="17">
        <v>300</v>
      </c>
      <c r="I730" s="17">
        <v>700</v>
      </c>
      <c r="J730" s="17">
        <v>0</v>
      </c>
      <c r="K730" s="17">
        <v>0</v>
      </c>
      <c r="L730" s="17">
        <v>700</v>
      </c>
      <c r="M730" s="17">
        <v>0</v>
      </c>
      <c r="N730" s="17">
        <v>0</v>
      </c>
      <c r="O730" s="17">
        <v>700</v>
      </c>
      <c r="P730" s="17">
        <v>800</v>
      </c>
      <c r="Q730" s="17">
        <v>-100</v>
      </c>
      <c r="R730" s="17">
        <v>0</v>
      </c>
      <c r="S730" s="17"/>
      <c r="T730" s="17" t="s">
        <v>2972</v>
      </c>
      <c r="U730" s="17" t="s">
        <v>3057</v>
      </c>
      <c r="V730" s="17" t="s">
        <v>3056</v>
      </c>
      <c r="W730" s="17"/>
      <c r="X730" s="17"/>
    </row>
    <row r="731" spans="1:24" hidden="1">
      <c r="A731" s="18">
        <v>730</v>
      </c>
      <c r="B731" s="17" t="s">
        <v>1608</v>
      </c>
      <c r="C731" s="17" t="s">
        <v>1609</v>
      </c>
      <c r="D731" s="17" t="s">
        <v>17</v>
      </c>
      <c r="E731" s="17" t="s">
        <v>8</v>
      </c>
      <c r="F731" s="17">
        <v>28800</v>
      </c>
      <c r="G731" s="17">
        <v>35600</v>
      </c>
      <c r="H731" s="17">
        <v>24000</v>
      </c>
      <c r="I731" s="17">
        <v>40400</v>
      </c>
      <c r="J731" s="17">
        <v>0</v>
      </c>
      <c r="K731" s="17">
        <v>8600</v>
      </c>
      <c r="L731" s="17">
        <v>31800</v>
      </c>
      <c r="M731" s="17">
        <v>4400</v>
      </c>
      <c r="N731" s="17">
        <v>0</v>
      </c>
      <c r="O731" s="17">
        <v>36200</v>
      </c>
      <c r="P731" s="17">
        <v>15000</v>
      </c>
      <c r="Q731" s="17">
        <v>21200</v>
      </c>
      <c r="R731" s="17">
        <v>35000</v>
      </c>
      <c r="S731" s="17"/>
      <c r="T731" s="17" t="s">
        <v>2972</v>
      </c>
      <c r="U731" s="17" t="s">
        <v>3057</v>
      </c>
      <c r="V731" s="17" t="s">
        <v>3056</v>
      </c>
      <c r="W731" s="17"/>
      <c r="X731" s="17"/>
    </row>
    <row r="732" spans="1:24" hidden="1">
      <c r="A732" s="18">
        <v>731</v>
      </c>
      <c r="B732" s="17" t="s">
        <v>1610</v>
      </c>
      <c r="C732" s="17" t="s">
        <v>1611</v>
      </c>
      <c r="D732" s="17" t="s">
        <v>17</v>
      </c>
      <c r="E732" s="17" t="s">
        <v>8</v>
      </c>
      <c r="F732" s="17">
        <v>750</v>
      </c>
      <c r="G732" s="17">
        <v>0</v>
      </c>
      <c r="H732" s="17">
        <v>0</v>
      </c>
      <c r="I732" s="17">
        <v>750</v>
      </c>
      <c r="J732" s="17">
        <v>0</v>
      </c>
      <c r="K732" s="17">
        <v>0</v>
      </c>
      <c r="L732" s="17">
        <v>750</v>
      </c>
      <c r="M732" s="17">
        <v>0</v>
      </c>
      <c r="N732" s="17">
        <v>0</v>
      </c>
      <c r="O732" s="17">
        <v>750</v>
      </c>
      <c r="P732" s="17">
        <v>500</v>
      </c>
      <c r="Q732" s="17">
        <v>250</v>
      </c>
      <c r="R732" s="17">
        <v>0</v>
      </c>
      <c r="S732" s="17"/>
      <c r="T732" s="17" t="s">
        <v>2972</v>
      </c>
      <c r="U732" s="17" t="s">
        <v>3057</v>
      </c>
      <c r="V732" s="17" t="s">
        <v>3056</v>
      </c>
      <c r="W732" s="17"/>
      <c r="X732" s="17"/>
    </row>
    <row r="733" spans="1:24" hidden="1">
      <c r="A733" s="18">
        <v>732</v>
      </c>
      <c r="B733" s="17" t="s">
        <v>1614</v>
      </c>
      <c r="C733" s="17" t="s">
        <v>1615</v>
      </c>
      <c r="D733" s="17" t="s">
        <v>17</v>
      </c>
      <c r="E733" s="17" t="s">
        <v>8</v>
      </c>
      <c r="F733" s="17">
        <v>54</v>
      </c>
      <c r="G733" s="17">
        <v>165</v>
      </c>
      <c r="H733" s="17">
        <v>75</v>
      </c>
      <c r="I733" s="17">
        <v>144</v>
      </c>
      <c r="J733" s="17">
        <v>0</v>
      </c>
      <c r="K733" s="17">
        <v>0</v>
      </c>
      <c r="L733" s="17">
        <v>144</v>
      </c>
      <c r="M733" s="17">
        <v>0</v>
      </c>
      <c r="N733" s="17">
        <v>0</v>
      </c>
      <c r="O733" s="17">
        <v>144</v>
      </c>
      <c r="P733" s="17">
        <v>75</v>
      </c>
      <c r="Q733" s="17">
        <v>69</v>
      </c>
      <c r="R733" s="17">
        <v>0</v>
      </c>
      <c r="S733" s="17"/>
      <c r="T733" s="17" t="s">
        <v>2972</v>
      </c>
      <c r="U733" s="17" t="s">
        <v>3057</v>
      </c>
      <c r="V733" s="17" t="s">
        <v>3056</v>
      </c>
      <c r="W733" s="17"/>
      <c r="X733" s="17"/>
    </row>
    <row r="734" spans="1:24" s="4" customFormat="1" hidden="1">
      <c r="A734" s="2">
        <v>733</v>
      </c>
      <c r="B734" s="3" t="s">
        <v>1616</v>
      </c>
      <c r="C734" s="3" t="s">
        <v>1617</v>
      </c>
      <c r="D734" s="3" t="s">
        <v>17</v>
      </c>
      <c r="E734" s="3" t="s">
        <v>8</v>
      </c>
      <c r="F734" s="3">
        <v>100</v>
      </c>
      <c r="G734" s="3">
        <v>0</v>
      </c>
      <c r="H734" s="3">
        <v>100</v>
      </c>
      <c r="I734" s="17">
        <v>0</v>
      </c>
      <c r="J734" s="17">
        <v>0</v>
      </c>
      <c r="K734" s="17">
        <v>0</v>
      </c>
      <c r="L734" s="17">
        <v>0</v>
      </c>
      <c r="M734" s="17">
        <v>0</v>
      </c>
      <c r="N734" s="17">
        <v>0</v>
      </c>
      <c r="O734" s="3">
        <v>0</v>
      </c>
      <c r="P734" s="3">
        <v>110</v>
      </c>
      <c r="Q734" s="3">
        <v>-110</v>
      </c>
      <c r="R734" s="3">
        <v>0</v>
      </c>
      <c r="S734" s="3"/>
      <c r="T734" s="3" t="s">
        <v>2972</v>
      </c>
      <c r="U734" s="3" t="s">
        <v>3057</v>
      </c>
      <c r="V734" s="3" t="s">
        <v>3056</v>
      </c>
      <c r="W734" s="3"/>
      <c r="X734" s="3"/>
    </row>
    <row r="735" spans="1:24" hidden="1">
      <c r="A735" s="18">
        <v>734</v>
      </c>
      <c r="B735" s="17" t="s">
        <v>1624</v>
      </c>
      <c r="C735" s="17" t="s">
        <v>1625</v>
      </c>
      <c r="D735" s="17" t="s">
        <v>17</v>
      </c>
      <c r="E735" s="17" t="s">
        <v>8</v>
      </c>
      <c r="F735" s="17">
        <v>763</v>
      </c>
      <c r="G735" s="17">
        <v>0</v>
      </c>
      <c r="H735" s="17">
        <v>200</v>
      </c>
      <c r="I735" s="17">
        <v>563</v>
      </c>
      <c r="J735" s="17">
        <v>0</v>
      </c>
      <c r="K735" s="17">
        <v>0</v>
      </c>
      <c r="L735" s="17">
        <v>563</v>
      </c>
      <c r="M735" s="17">
        <v>0</v>
      </c>
      <c r="N735" s="17">
        <v>0</v>
      </c>
      <c r="O735" s="17">
        <v>563</v>
      </c>
      <c r="P735" s="17">
        <v>0</v>
      </c>
      <c r="Q735" s="17">
        <v>563</v>
      </c>
      <c r="R735" s="17">
        <v>0</v>
      </c>
      <c r="S735" s="17"/>
      <c r="T735" s="17" t="s">
        <v>2972</v>
      </c>
      <c r="U735" s="17" t="s">
        <v>3057</v>
      </c>
      <c r="V735" s="17" t="s">
        <v>3056</v>
      </c>
      <c r="W735" s="17"/>
      <c r="X735" s="17"/>
    </row>
    <row r="736" spans="1:24" hidden="1">
      <c r="A736" s="18">
        <v>735</v>
      </c>
      <c r="B736" s="17" t="s">
        <v>1626</v>
      </c>
      <c r="C736" s="17" t="s">
        <v>1627</v>
      </c>
      <c r="D736" s="17" t="s">
        <v>17</v>
      </c>
      <c r="E736" s="17" t="s">
        <v>8</v>
      </c>
      <c r="F736" s="17">
        <v>2837</v>
      </c>
      <c r="G736" s="17">
        <v>0</v>
      </c>
      <c r="H736" s="17">
        <v>0</v>
      </c>
      <c r="I736" s="17">
        <v>2837</v>
      </c>
      <c r="J736" s="17">
        <v>0</v>
      </c>
      <c r="K736" s="17">
        <v>0</v>
      </c>
      <c r="L736" s="17">
        <v>2837</v>
      </c>
      <c r="M736" s="17">
        <v>0</v>
      </c>
      <c r="N736" s="17">
        <v>0</v>
      </c>
      <c r="O736" s="17">
        <v>2837</v>
      </c>
      <c r="P736" s="17">
        <v>0</v>
      </c>
      <c r="Q736" s="17">
        <v>2837</v>
      </c>
      <c r="R736" s="17">
        <v>0</v>
      </c>
      <c r="S736" s="17"/>
      <c r="T736" s="17" t="s">
        <v>2972</v>
      </c>
      <c r="U736" s="17" t="s">
        <v>3057</v>
      </c>
      <c r="V736" s="17" t="s">
        <v>3056</v>
      </c>
      <c r="W736" s="17"/>
      <c r="X736" s="17"/>
    </row>
    <row r="737" spans="1:24" hidden="1">
      <c r="A737" s="18">
        <v>736</v>
      </c>
      <c r="B737" s="17" t="s">
        <v>1628</v>
      </c>
      <c r="C737" s="17" t="s">
        <v>1629</v>
      </c>
      <c r="D737" s="17" t="s">
        <v>17</v>
      </c>
      <c r="E737" s="17" t="s">
        <v>8</v>
      </c>
      <c r="F737" s="17">
        <v>800</v>
      </c>
      <c r="G737" s="17">
        <v>500</v>
      </c>
      <c r="H737" s="17">
        <v>400</v>
      </c>
      <c r="I737" s="17">
        <v>900</v>
      </c>
      <c r="J737" s="17">
        <v>0</v>
      </c>
      <c r="K737" s="17">
        <v>0</v>
      </c>
      <c r="L737" s="17">
        <v>900</v>
      </c>
      <c r="M737" s="17">
        <v>0</v>
      </c>
      <c r="N737" s="17">
        <v>0</v>
      </c>
      <c r="O737" s="17">
        <v>900</v>
      </c>
      <c r="P737" s="17">
        <v>500</v>
      </c>
      <c r="Q737" s="17">
        <v>400</v>
      </c>
      <c r="R737" s="17">
        <v>500</v>
      </c>
      <c r="S737" s="17"/>
      <c r="T737" s="17" t="s">
        <v>2972</v>
      </c>
      <c r="U737" s="17" t="s">
        <v>3057</v>
      </c>
      <c r="V737" s="17" t="s">
        <v>3056</v>
      </c>
      <c r="W737" s="17"/>
      <c r="X737" s="17"/>
    </row>
    <row r="738" spans="1:24" s="40" customFormat="1" hidden="1">
      <c r="A738" s="26">
        <v>737</v>
      </c>
      <c r="B738" s="25" t="s">
        <v>1630</v>
      </c>
      <c r="C738" s="25" t="s">
        <v>1631</v>
      </c>
      <c r="D738" s="25" t="s">
        <v>17</v>
      </c>
      <c r="E738" s="25" t="s">
        <v>8</v>
      </c>
      <c r="F738" s="25">
        <v>1650</v>
      </c>
      <c r="G738" s="25">
        <v>1690</v>
      </c>
      <c r="H738" s="25">
        <v>2100</v>
      </c>
      <c r="I738" s="17">
        <v>1240</v>
      </c>
      <c r="J738" s="17">
        <v>0</v>
      </c>
      <c r="K738" s="17">
        <v>0</v>
      </c>
      <c r="L738" s="17">
        <v>1240</v>
      </c>
      <c r="M738" s="17">
        <v>0</v>
      </c>
      <c r="N738" s="17">
        <v>0</v>
      </c>
      <c r="O738" s="25">
        <v>1240</v>
      </c>
      <c r="P738" s="25">
        <v>2000</v>
      </c>
      <c r="Q738" s="25">
        <v>-760</v>
      </c>
      <c r="R738" s="25">
        <v>1500</v>
      </c>
      <c r="S738" s="25"/>
      <c r="T738" s="25" t="s">
        <v>2972</v>
      </c>
      <c r="U738" s="25" t="s">
        <v>3057</v>
      </c>
      <c r="V738" s="25" t="s">
        <v>3056</v>
      </c>
      <c r="W738" s="25"/>
      <c r="X738" s="25"/>
    </row>
    <row r="739" spans="1:24" hidden="1">
      <c r="A739" s="18">
        <v>738</v>
      </c>
      <c r="B739" s="17" t="s">
        <v>1634</v>
      </c>
      <c r="C739" s="17" t="s">
        <v>1635</v>
      </c>
      <c r="D739" s="17" t="s">
        <v>17</v>
      </c>
      <c r="E739" s="17" t="s">
        <v>8</v>
      </c>
      <c r="F739" s="17">
        <v>5828</v>
      </c>
      <c r="G739" s="17">
        <v>7000</v>
      </c>
      <c r="H739" s="17">
        <v>6100</v>
      </c>
      <c r="I739" s="17">
        <v>6728</v>
      </c>
      <c r="J739" s="17">
        <v>0</v>
      </c>
      <c r="K739" s="17">
        <v>0</v>
      </c>
      <c r="L739" s="17">
        <v>6728</v>
      </c>
      <c r="M739" s="17">
        <v>800</v>
      </c>
      <c r="N739" s="17">
        <v>0</v>
      </c>
      <c r="O739" s="17">
        <v>7528</v>
      </c>
      <c r="P739" s="17">
        <v>2500</v>
      </c>
      <c r="Q739" s="17">
        <v>5028</v>
      </c>
      <c r="R739" s="17">
        <v>12000</v>
      </c>
      <c r="S739" s="17"/>
      <c r="T739" s="17" t="s">
        <v>2972</v>
      </c>
      <c r="U739" s="17" t="s">
        <v>3057</v>
      </c>
      <c r="V739" s="17" t="s">
        <v>3056</v>
      </c>
      <c r="W739" s="17"/>
      <c r="X739" s="17"/>
    </row>
    <row r="740" spans="1:24" hidden="1">
      <c r="A740" s="18">
        <v>739</v>
      </c>
      <c r="B740" s="17" t="s">
        <v>1640</v>
      </c>
      <c r="C740" s="17" t="s">
        <v>1641</v>
      </c>
      <c r="D740" s="17" t="s">
        <v>17</v>
      </c>
      <c r="E740" s="17" t="s">
        <v>8</v>
      </c>
      <c r="F740" s="17">
        <v>3500</v>
      </c>
      <c r="G740" s="17">
        <v>0</v>
      </c>
      <c r="H740" s="17">
        <v>300</v>
      </c>
      <c r="I740" s="17">
        <v>3200</v>
      </c>
      <c r="J740" s="17">
        <v>0</v>
      </c>
      <c r="K740" s="17">
        <v>0</v>
      </c>
      <c r="L740" s="17">
        <v>3200</v>
      </c>
      <c r="M740" s="17">
        <v>0</v>
      </c>
      <c r="N740" s="17">
        <v>0</v>
      </c>
      <c r="O740" s="17">
        <v>3200</v>
      </c>
      <c r="P740" s="17">
        <v>1000</v>
      </c>
      <c r="Q740" s="17">
        <v>2200</v>
      </c>
      <c r="R740" s="17">
        <v>0</v>
      </c>
      <c r="S740" s="17"/>
      <c r="T740" s="17" t="s">
        <v>2972</v>
      </c>
      <c r="U740" s="17" t="s">
        <v>3057</v>
      </c>
      <c r="V740" s="17" t="s">
        <v>3056</v>
      </c>
      <c r="W740" s="17"/>
      <c r="X740" s="17"/>
    </row>
    <row r="741" spans="1:24" hidden="1">
      <c r="A741" s="18">
        <v>740</v>
      </c>
      <c r="B741" s="17" t="s">
        <v>1642</v>
      </c>
      <c r="C741" s="17" t="s">
        <v>1643</v>
      </c>
      <c r="D741" s="17" t="s">
        <v>17</v>
      </c>
      <c r="E741" s="17" t="s">
        <v>8</v>
      </c>
      <c r="F741" s="17">
        <v>800</v>
      </c>
      <c r="G741" s="17">
        <v>4700</v>
      </c>
      <c r="H741" s="17">
        <v>1200</v>
      </c>
      <c r="I741" s="17">
        <v>4300</v>
      </c>
      <c r="J741" s="17">
        <v>0</v>
      </c>
      <c r="K741" s="17">
        <v>0</v>
      </c>
      <c r="L741" s="17">
        <v>4300</v>
      </c>
      <c r="M741" s="17">
        <v>800</v>
      </c>
      <c r="N741" s="17">
        <v>0</v>
      </c>
      <c r="O741" s="17">
        <v>5100</v>
      </c>
      <c r="P741" s="17">
        <v>2500</v>
      </c>
      <c r="Q741" s="17">
        <v>2600</v>
      </c>
      <c r="R741" s="17">
        <v>5500</v>
      </c>
      <c r="S741" s="17"/>
      <c r="T741" s="17" t="s">
        <v>2972</v>
      </c>
      <c r="U741" s="17" t="s">
        <v>3057</v>
      </c>
      <c r="V741" s="17" t="s">
        <v>3056</v>
      </c>
      <c r="W741" s="17"/>
      <c r="X741" s="17"/>
    </row>
    <row r="742" spans="1:24" hidden="1">
      <c r="A742" s="18">
        <v>741</v>
      </c>
      <c r="B742" s="17" t="s">
        <v>1650</v>
      </c>
      <c r="C742" s="17" t="s">
        <v>1651</v>
      </c>
      <c r="D742" s="17" t="s">
        <v>17</v>
      </c>
      <c r="E742" s="17" t="s">
        <v>8</v>
      </c>
      <c r="F742" s="17">
        <v>1100</v>
      </c>
      <c r="G742" s="17">
        <v>0</v>
      </c>
      <c r="H742" s="17">
        <v>100</v>
      </c>
      <c r="I742" s="17">
        <v>1000</v>
      </c>
      <c r="J742" s="17">
        <v>0</v>
      </c>
      <c r="K742" s="17">
        <v>0</v>
      </c>
      <c r="L742" s="17">
        <v>1000</v>
      </c>
      <c r="M742" s="17">
        <v>0</v>
      </c>
      <c r="N742" s="17">
        <v>0</v>
      </c>
      <c r="O742" s="17">
        <v>1000</v>
      </c>
      <c r="P742" s="17">
        <v>350</v>
      </c>
      <c r="Q742" s="17">
        <v>650</v>
      </c>
      <c r="R742" s="17">
        <v>0</v>
      </c>
      <c r="S742" s="17"/>
      <c r="T742" s="17" t="s">
        <v>2972</v>
      </c>
      <c r="U742" s="17" t="s">
        <v>3057</v>
      </c>
      <c r="V742" s="17" t="s">
        <v>3056</v>
      </c>
      <c r="W742" s="17"/>
      <c r="X742" s="17"/>
    </row>
    <row r="743" spans="1:24" hidden="1">
      <c r="A743" s="18">
        <v>742</v>
      </c>
      <c r="B743" s="17" t="s">
        <v>1652</v>
      </c>
      <c r="C743" s="17" t="s">
        <v>1653</v>
      </c>
      <c r="D743" s="17" t="s">
        <v>17</v>
      </c>
      <c r="E743" s="17" t="s">
        <v>8</v>
      </c>
      <c r="F743" s="17">
        <v>1000</v>
      </c>
      <c r="G743" s="17">
        <v>0</v>
      </c>
      <c r="H743" s="17">
        <v>0</v>
      </c>
      <c r="I743" s="17">
        <v>1000</v>
      </c>
      <c r="J743" s="17">
        <v>0</v>
      </c>
      <c r="K743" s="17">
        <v>0</v>
      </c>
      <c r="L743" s="17">
        <v>1000</v>
      </c>
      <c r="M743" s="17">
        <v>0</v>
      </c>
      <c r="N743" s="17">
        <v>0</v>
      </c>
      <c r="O743" s="17">
        <v>1000</v>
      </c>
      <c r="P743" s="17">
        <v>350</v>
      </c>
      <c r="Q743" s="17">
        <v>650</v>
      </c>
      <c r="R743" s="17">
        <v>0</v>
      </c>
      <c r="S743" s="17"/>
      <c r="T743" s="17" t="s">
        <v>2972</v>
      </c>
      <c r="U743" s="17" t="s">
        <v>3057</v>
      </c>
      <c r="V743" s="17" t="s">
        <v>3056</v>
      </c>
      <c r="W743" s="17"/>
      <c r="X743" s="17"/>
    </row>
    <row r="744" spans="1:24" hidden="1">
      <c r="A744" s="18">
        <v>743</v>
      </c>
      <c r="B744" s="17" t="s">
        <v>1654</v>
      </c>
      <c r="C744" s="17" t="s">
        <v>1655</v>
      </c>
      <c r="D744" s="17" t="s">
        <v>17</v>
      </c>
      <c r="E744" s="17" t="s">
        <v>8</v>
      </c>
      <c r="F744" s="17">
        <v>1000</v>
      </c>
      <c r="G744" s="17">
        <v>0</v>
      </c>
      <c r="H744" s="17">
        <v>100</v>
      </c>
      <c r="I744" s="17">
        <v>900</v>
      </c>
      <c r="J744" s="17">
        <v>0</v>
      </c>
      <c r="K744" s="17">
        <v>0</v>
      </c>
      <c r="L744" s="17">
        <v>900</v>
      </c>
      <c r="M744" s="17">
        <v>0</v>
      </c>
      <c r="N744" s="17">
        <v>0</v>
      </c>
      <c r="O744" s="17">
        <v>900</v>
      </c>
      <c r="P744" s="17">
        <v>500</v>
      </c>
      <c r="Q744" s="17">
        <v>400</v>
      </c>
      <c r="R744" s="17">
        <v>0</v>
      </c>
      <c r="S744" s="17"/>
      <c r="T744" s="17" t="s">
        <v>2972</v>
      </c>
      <c r="U744" s="17" t="s">
        <v>3057</v>
      </c>
      <c r="V744" s="17" t="s">
        <v>3056</v>
      </c>
      <c r="W744" s="17"/>
      <c r="X744" s="17"/>
    </row>
    <row r="745" spans="1:24" hidden="1">
      <c r="A745" s="18">
        <v>744</v>
      </c>
      <c r="B745" s="17" t="s">
        <v>1656</v>
      </c>
      <c r="C745" s="17" t="s">
        <v>1657</v>
      </c>
      <c r="D745" s="17" t="s">
        <v>17</v>
      </c>
      <c r="E745" s="17" t="s">
        <v>8</v>
      </c>
      <c r="F745" s="17">
        <v>1400</v>
      </c>
      <c r="G745" s="17">
        <v>2600</v>
      </c>
      <c r="H745" s="17">
        <v>1300</v>
      </c>
      <c r="I745" s="17">
        <v>2700</v>
      </c>
      <c r="J745" s="17">
        <v>0</v>
      </c>
      <c r="K745" s="17">
        <v>0</v>
      </c>
      <c r="L745" s="17">
        <v>2700</v>
      </c>
      <c r="M745" s="17">
        <v>0</v>
      </c>
      <c r="N745" s="17">
        <v>0</v>
      </c>
      <c r="O745" s="17">
        <v>2700</v>
      </c>
      <c r="P745" s="17">
        <v>1500</v>
      </c>
      <c r="Q745" s="17">
        <v>1200</v>
      </c>
      <c r="R745" s="17">
        <v>1000</v>
      </c>
      <c r="S745" s="17"/>
      <c r="T745" s="17" t="s">
        <v>2972</v>
      </c>
      <c r="U745" s="17" t="s">
        <v>3057</v>
      </c>
      <c r="V745" s="17" t="s">
        <v>3056</v>
      </c>
      <c r="W745" s="17"/>
      <c r="X745" s="17"/>
    </row>
    <row r="746" spans="1:24" hidden="1">
      <c r="A746" s="18">
        <v>745</v>
      </c>
      <c r="B746" s="17" t="s">
        <v>1660</v>
      </c>
      <c r="C746" s="17" t="s">
        <v>1661</v>
      </c>
      <c r="D746" s="17" t="s">
        <v>17</v>
      </c>
      <c r="E746" s="17" t="s">
        <v>8</v>
      </c>
      <c r="F746" s="17">
        <v>800</v>
      </c>
      <c r="G746" s="17">
        <v>0</v>
      </c>
      <c r="H746" s="17">
        <v>0</v>
      </c>
      <c r="I746" s="17">
        <v>800</v>
      </c>
      <c r="J746" s="17">
        <v>0</v>
      </c>
      <c r="K746" s="17">
        <v>0</v>
      </c>
      <c r="L746" s="17">
        <v>800</v>
      </c>
      <c r="M746" s="17">
        <v>0</v>
      </c>
      <c r="N746" s="17">
        <v>0</v>
      </c>
      <c r="O746" s="17">
        <v>800</v>
      </c>
      <c r="P746" s="17">
        <v>0</v>
      </c>
      <c r="Q746" s="17">
        <v>800</v>
      </c>
      <c r="R746" s="17">
        <v>0</v>
      </c>
      <c r="S746" s="17"/>
      <c r="T746" s="17" t="s">
        <v>2972</v>
      </c>
      <c r="U746" s="17" t="s">
        <v>3057</v>
      </c>
      <c r="V746" s="17" t="s">
        <v>3056</v>
      </c>
      <c r="W746" s="17"/>
      <c r="X746" s="17"/>
    </row>
    <row r="747" spans="1:24" hidden="1">
      <c r="A747" s="18">
        <v>746</v>
      </c>
      <c r="B747" s="17" t="s">
        <v>1662</v>
      </c>
      <c r="C747" s="17" t="s">
        <v>1663</v>
      </c>
      <c r="D747" s="17" t="s">
        <v>17</v>
      </c>
      <c r="E747" s="17" t="s">
        <v>8</v>
      </c>
      <c r="F747" s="17">
        <v>0</v>
      </c>
      <c r="G747" s="17">
        <v>0</v>
      </c>
      <c r="H747" s="17">
        <v>0</v>
      </c>
      <c r="I747" s="17">
        <v>0</v>
      </c>
      <c r="J747" s="17">
        <v>0</v>
      </c>
      <c r="K747" s="17">
        <v>0</v>
      </c>
      <c r="L747" s="17">
        <v>0</v>
      </c>
      <c r="M747" s="17">
        <v>0</v>
      </c>
      <c r="N747" s="17">
        <v>0</v>
      </c>
      <c r="O747" s="17">
        <v>0</v>
      </c>
      <c r="P747" s="17">
        <v>0</v>
      </c>
      <c r="Q747" s="17">
        <v>0</v>
      </c>
      <c r="R747" s="17">
        <v>0</v>
      </c>
      <c r="S747" s="17"/>
      <c r="T747" s="17" t="s">
        <v>2972</v>
      </c>
      <c r="U747" s="17" t="s">
        <v>3057</v>
      </c>
      <c r="V747" s="17" t="s">
        <v>3056</v>
      </c>
      <c r="W747" s="17"/>
      <c r="X747" s="17"/>
    </row>
    <row r="748" spans="1:24" hidden="1">
      <c r="A748" s="18">
        <v>747</v>
      </c>
      <c r="B748" s="17" t="s">
        <v>1664</v>
      </c>
      <c r="C748" s="17" t="s">
        <v>1665</v>
      </c>
      <c r="D748" s="17" t="s">
        <v>17</v>
      </c>
      <c r="E748" s="17" t="s">
        <v>8</v>
      </c>
      <c r="F748" s="17">
        <v>0</v>
      </c>
      <c r="G748" s="17">
        <v>0</v>
      </c>
      <c r="H748" s="17">
        <v>0</v>
      </c>
      <c r="I748" s="17">
        <v>0</v>
      </c>
      <c r="J748" s="17">
        <v>0</v>
      </c>
      <c r="K748" s="17">
        <v>0</v>
      </c>
      <c r="L748" s="17">
        <v>0</v>
      </c>
      <c r="M748" s="17">
        <v>0</v>
      </c>
      <c r="N748" s="17">
        <v>0</v>
      </c>
      <c r="O748" s="17">
        <v>0</v>
      </c>
      <c r="P748" s="17">
        <v>0</v>
      </c>
      <c r="Q748" s="17">
        <v>0</v>
      </c>
      <c r="R748" s="17">
        <v>0</v>
      </c>
      <c r="S748" s="17"/>
      <c r="T748" s="17" t="s">
        <v>2972</v>
      </c>
      <c r="U748" s="17" t="s">
        <v>3057</v>
      </c>
      <c r="V748" s="17" t="s">
        <v>3056</v>
      </c>
      <c r="W748" s="17"/>
      <c r="X748" s="17"/>
    </row>
    <row r="749" spans="1:24" hidden="1">
      <c r="A749" s="18">
        <v>748</v>
      </c>
      <c r="B749" s="17" t="s">
        <v>1666</v>
      </c>
      <c r="C749" s="17" t="s">
        <v>1667</v>
      </c>
      <c r="D749" s="17" t="s">
        <v>17</v>
      </c>
      <c r="E749" s="17" t="s">
        <v>8</v>
      </c>
      <c r="F749" s="17">
        <v>0</v>
      </c>
      <c r="G749" s="17">
        <v>0</v>
      </c>
      <c r="H749" s="17">
        <v>0</v>
      </c>
      <c r="I749" s="17">
        <v>0</v>
      </c>
      <c r="J749" s="17">
        <v>0</v>
      </c>
      <c r="K749" s="17">
        <v>0</v>
      </c>
      <c r="L749" s="17">
        <v>0</v>
      </c>
      <c r="M749" s="17">
        <v>0</v>
      </c>
      <c r="N749" s="17">
        <v>0</v>
      </c>
      <c r="O749" s="17">
        <v>0</v>
      </c>
      <c r="P749" s="17">
        <v>0</v>
      </c>
      <c r="Q749" s="17">
        <v>0</v>
      </c>
      <c r="R749" s="17">
        <v>0</v>
      </c>
      <c r="S749" s="17"/>
      <c r="T749" s="17" t="s">
        <v>2972</v>
      </c>
      <c r="U749" s="17" t="s">
        <v>3057</v>
      </c>
      <c r="V749" s="17" t="s">
        <v>3056</v>
      </c>
      <c r="W749" s="17"/>
      <c r="X749" s="17"/>
    </row>
    <row r="750" spans="1:24" hidden="1">
      <c r="A750" s="18">
        <v>749</v>
      </c>
      <c r="B750" s="17" t="s">
        <v>1668</v>
      </c>
      <c r="C750" s="17" t="s">
        <v>1669</v>
      </c>
      <c r="D750" s="17" t="s">
        <v>17</v>
      </c>
      <c r="E750" s="17" t="s">
        <v>8</v>
      </c>
      <c r="F750" s="17">
        <v>0</v>
      </c>
      <c r="G750" s="17">
        <v>0</v>
      </c>
      <c r="H750" s="17">
        <v>0</v>
      </c>
      <c r="I750" s="17">
        <v>0</v>
      </c>
      <c r="J750" s="17">
        <v>0</v>
      </c>
      <c r="K750" s="17">
        <v>0</v>
      </c>
      <c r="L750" s="17">
        <v>0</v>
      </c>
      <c r="M750" s="17">
        <v>0</v>
      </c>
      <c r="N750" s="17">
        <v>0</v>
      </c>
      <c r="O750" s="17">
        <v>0</v>
      </c>
      <c r="P750" s="17">
        <v>0</v>
      </c>
      <c r="Q750" s="17">
        <v>0</v>
      </c>
      <c r="R750" s="17">
        <v>0</v>
      </c>
      <c r="S750" s="17"/>
      <c r="T750" s="17" t="s">
        <v>2972</v>
      </c>
      <c r="U750" s="17" t="s">
        <v>3057</v>
      </c>
      <c r="V750" s="17" t="s">
        <v>3056</v>
      </c>
      <c r="W750" s="17"/>
      <c r="X750" s="17"/>
    </row>
    <row r="751" spans="1:24" hidden="1">
      <c r="A751" s="18">
        <v>750</v>
      </c>
      <c r="B751" s="17" t="s">
        <v>1670</v>
      </c>
      <c r="C751" s="17" t="s">
        <v>1671</v>
      </c>
      <c r="D751" s="17" t="s">
        <v>17</v>
      </c>
      <c r="E751" s="17" t="s">
        <v>8</v>
      </c>
      <c r="F751" s="17">
        <v>0</v>
      </c>
      <c r="G751" s="17">
        <v>0</v>
      </c>
      <c r="H751" s="17">
        <v>0</v>
      </c>
      <c r="I751" s="17">
        <v>0</v>
      </c>
      <c r="J751" s="17">
        <v>0</v>
      </c>
      <c r="K751" s="17">
        <v>0</v>
      </c>
      <c r="L751" s="17">
        <v>0</v>
      </c>
      <c r="M751" s="17">
        <v>0</v>
      </c>
      <c r="N751" s="17">
        <v>0</v>
      </c>
      <c r="O751" s="17">
        <v>0</v>
      </c>
      <c r="P751" s="17">
        <v>0</v>
      </c>
      <c r="Q751" s="17">
        <v>0</v>
      </c>
      <c r="R751" s="17">
        <v>0</v>
      </c>
      <c r="S751" s="17"/>
      <c r="T751" s="17" t="s">
        <v>2972</v>
      </c>
      <c r="U751" s="17" t="s">
        <v>3057</v>
      </c>
      <c r="V751" s="17" t="s">
        <v>3056</v>
      </c>
      <c r="W751" s="17"/>
      <c r="X751" s="17"/>
    </row>
    <row r="752" spans="1:24" hidden="1">
      <c r="A752" s="18">
        <v>751</v>
      </c>
      <c r="B752" s="17" t="s">
        <v>1672</v>
      </c>
      <c r="C752" s="17" t="s">
        <v>1673</v>
      </c>
      <c r="D752" s="17" t="s">
        <v>17</v>
      </c>
      <c r="E752" s="17" t="s">
        <v>8</v>
      </c>
      <c r="F752" s="17">
        <v>0</v>
      </c>
      <c r="G752" s="17">
        <v>0</v>
      </c>
      <c r="H752" s="17">
        <v>0</v>
      </c>
      <c r="I752" s="17">
        <v>0</v>
      </c>
      <c r="J752" s="17">
        <v>0</v>
      </c>
      <c r="K752" s="17">
        <v>0</v>
      </c>
      <c r="L752" s="17">
        <v>0</v>
      </c>
      <c r="M752" s="17">
        <v>0</v>
      </c>
      <c r="N752" s="17">
        <v>0</v>
      </c>
      <c r="O752" s="17">
        <v>0</v>
      </c>
      <c r="P752" s="17">
        <v>0</v>
      </c>
      <c r="Q752" s="17">
        <v>0</v>
      </c>
      <c r="R752" s="17">
        <v>0</v>
      </c>
      <c r="S752" s="17"/>
      <c r="T752" s="17" t="s">
        <v>2972</v>
      </c>
      <c r="U752" s="17" t="s">
        <v>3057</v>
      </c>
      <c r="V752" s="17" t="s">
        <v>3056</v>
      </c>
      <c r="W752" s="17"/>
      <c r="X752" s="17"/>
    </row>
    <row r="753" spans="1:24" hidden="1">
      <c r="A753" s="18">
        <v>752</v>
      </c>
      <c r="B753" s="17" t="s">
        <v>1720</v>
      </c>
      <c r="C753" s="17" t="s">
        <v>1721</v>
      </c>
      <c r="D753" s="17" t="s">
        <v>17</v>
      </c>
      <c r="E753" s="17" t="s">
        <v>8</v>
      </c>
      <c r="F753" s="17">
        <v>10000</v>
      </c>
      <c r="G753" s="17">
        <v>0</v>
      </c>
      <c r="H753" s="17">
        <v>0</v>
      </c>
      <c r="I753" s="17">
        <v>10000</v>
      </c>
      <c r="J753" s="17">
        <v>0</v>
      </c>
      <c r="K753" s="17">
        <v>0</v>
      </c>
      <c r="L753" s="17">
        <v>10000</v>
      </c>
      <c r="M753" s="17">
        <v>0</v>
      </c>
      <c r="N753" s="17">
        <v>0</v>
      </c>
      <c r="O753" s="17">
        <v>10000</v>
      </c>
      <c r="P753" s="17">
        <v>500</v>
      </c>
      <c r="Q753" s="17">
        <v>9500</v>
      </c>
      <c r="R753" s="17">
        <v>0</v>
      </c>
      <c r="S753" s="17"/>
      <c r="T753" s="17" t="s">
        <v>2972</v>
      </c>
      <c r="U753" s="17" t="s">
        <v>3060</v>
      </c>
      <c r="V753" s="17" t="s">
        <v>3058</v>
      </c>
      <c r="W753" s="17"/>
      <c r="X753" s="17"/>
    </row>
    <row r="754" spans="1:24" hidden="1">
      <c r="A754" s="18">
        <v>753</v>
      </c>
      <c r="B754" s="17" t="s">
        <v>1722</v>
      </c>
      <c r="C754" s="17" t="s">
        <v>1723</v>
      </c>
      <c r="D754" s="17" t="s">
        <v>17</v>
      </c>
      <c r="E754" s="17" t="s">
        <v>8</v>
      </c>
      <c r="F754" s="17">
        <v>684</v>
      </c>
      <c r="G754" s="17">
        <v>0</v>
      </c>
      <c r="H754" s="17">
        <v>78</v>
      </c>
      <c r="I754" s="17">
        <v>606</v>
      </c>
      <c r="J754" s="17">
        <v>0</v>
      </c>
      <c r="K754" s="17">
        <v>0</v>
      </c>
      <c r="L754" s="17">
        <v>606</v>
      </c>
      <c r="M754" s="17">
        <v>0</v>
      </c>
      <c r="N754" s="17">
        <v>0</v>
      </c>
      <c r="O754" s="17">
        <v>606</v>
      </c>
      <c r="P754" s="17">
        <v>500</v>
      </c>
      <c r="Q754" s="17">
        <v>106</v>
      </c>
      <c r="R754" s="17">
        <v>0</v>
      </c>
      <c r="S754" s="17"/>
      <c r="T754" s="17" t="s">
        <v>3006</v>
      </c>
      <c r="U754" s="17" t="s">
        <v>3060</v>
      </c>
      <c r="V754" s="17" t="s">
        <v>3058</v>
      </c>
      <c r="W754" s="17"/>
      <c r="X754" s="17"/>
    </row>
    <row r="755" spans="1:24" hidden="1">
      <c r="A755" s="18">
        <v>754</v>
      </c>
      <c r="B755" s="17" t="s">
        <v>1724</v>
      </c>
      <c r="C755" s="17" t="s">
        <v>1725</v>
      </c>
      <c r="D755" s="17" t="s">
        <v>17</v>
      </c>
      <c r="E755" s="17" t="s">
        <v>8</v>
      </c>
      <c r="F755" s="17">
        <v>2236</v>
      </c>
      <c r="G755" s="17">
        <v>0</v>
      </c>
      <c r="H755" s="17">
        <v>702</v>
      </c>
      <c r="I755" s="17">
        <v>1534</v>
      </c>
      <c r="J755" s="17">
        <v>0</v>
      </c>
      <c r="K755" s="17">
        <v>0</v>
      </c>
      <c r="L755" s="17">
        <v>1534</v>
      </c>
      <c r="M755" s="17">
        <v>0</v>
      </c>
      <c r="N755" s="17">
        <v>0</v>
      </c>
      <c r="O755" s="17">
        <v>1534</v>
      </c>
      <c r="P755" s="17">
        <v>1800</v>
      </c>
      <c r="Q755" s="17">
        <v>-266</v>
      </c>
      <c r="R755" s="17">
        <v>0</v>
      </c>
      <c r="S755" s="17"/>
      <c r="T755" s="17" t="s">
        <v>3006</v>
      </c>
      <c r="U755" s="17" t="s">
        <v>3060</v>
      </c>
      <c r="V755" s="17" t="s">
        <v>3058</v>
      </c>
      <c r="W755" s="17"/>
      <c r="X755" s="17"/>
    </row>
    <row r="756" spans="1:24" hidden="1">
      <c r="A756" s="18">
        <v>755</v>
      </c>
      <c r="B756" s="17" t="s">
        <v>1728</v>
      </c>
      <c r="C756" s="17" t="s">
        <v>1729</v>
      </c>
      <c r="D756" s="17" t="s">
        <v>17</v>
      </c>
      <c r="E756" s="17" t="s">
        <v>8</v>
      </c>
      <c r="F756" s="17">
        <v>4922</v>
      </c>
      <c r="G756" s="17">
        <v>11273</v>
      </c>
      <c r="H756" s="17">
        <v>7377</v>
      </c>
      <c r="I756" s="17">
        <v>8818</v>
      </c>
      <c r="J756" s="17">
        <v>2083</v>
      </c>
      <c r="K756" s="17">
        <v>0</v>
      </c>
      <c r="L756" s="17">
        <v>6735</v>
      </c>
      <c r="M756" s="17">
        <v>0</v>
      </c>
      <c r="N756" s="17">
        <v>0</v>
      </c>
      <c r="O756" s="17">
        <v>6735</v>
      </c>
      <c r="P756" s="17">
        <v>3000</v>
      </c>
      <c r="Q756" s="17">
        <v>3735</v>
      </c>
      <c r="R756" s="17">
        <v>12000</v>
      </c>
      <c r="S756" s="17"/>
      <c r="T756" s="17" t="s">
        <v>3006</v>
      </c>
      <c r="U756" s="17" t="s">
        <v>3060</v>
      </c>
      <c r="V756" s="17" t="s">
        <v>3058</v>
      </c>
      <c r="W756" s="17"/>
      <c r="X756" s="17"/>
    </row>
    <row r="757" spans="1:24" hidden="1">
      <c r="A757" s="18">
        <v>756</v>
      </c>
      <c r="B757" s="17" t="s">
        <v>1674</v>
      </c>
      <c r="C757" s="17" t="s">
        <v>1675</v>
      </c>
      <c r="D757" s="17" t="s">
        <v>17</v>
      </c>
      <c r="E757" s="17" t="s">
        <v>8</v>
      </c>
      <c r="F757" s="17">
        <v>0</v>
      </c>
      <c r="G757" s="17">
        <v>0</v>
      </c>
      <c r="H757" s="17">
        <v>0</v>
      </c>
      <c r="I757" s="17">
        <v>0</v>
      </c>
      <c r="J757" s="17">
        <v>0</v>
      </c>
      <c r="K757" s="17">
        <v>0</v>
      </c>
      <c r="L757" s="17">
        <v>0</v>
      </c>
      <c r="M757" s="17">
        <v>0</v>
      </c>
      <c r="N757" s="17">
        <v>0</v>
      </c>
      <c r="O757" s="17">
        <v>0</v>
      </c>
      <c r="P757" s="17">
        <v>0</v>
      </c>
      <c r="Q757" s="17">
        <v>0</v>
      </c>
      <c r="R757" s="17">
        <v>0</v>
      </c>
      <c r="S757" s="17"/>
      <c r="T757" s="17" t="s">
        <v>2972</v>
      </c>
      <c r="U757" s="17" t="s">
        <v>3057</v>
      </c>
      <c r="V757" s="17" t="s">
        <v>3056</v>
      </c>
      <c r="W757" s="17"/>
      <c r="X757" s="17"/>
    </row>
    <row r="758" spans="1:24" hidden="1">
      <c r="A758" s="18">
        <v>757</v>
      </c>
      <c r="B758" s="17" t="s">
        <v>1736</v>
      </c>
      <c r="C758" s="17" t="s">
        <v>1737</v>
      </c>
      <c r="D758" s="17" t="s">
        <v>17</v>
      </c>
      <c r="E758" s="17" t="s">
        <v>8</v>
      </c>
      <c r="F758" s="17">
        <v>306</v>
      </c>
      <c r="G758" s="17">
        <v>0</v>
      </c>
      <c r="H758" s="17">
        <v>0</v>
      </c>
      <c r="I758" s="17">
        <v>306</v>
      </c>
      <c r="J758" s="17">
        <v>0</v>
      </c>
      <c r="K758" s="17">
        <v>0</v>
      </c>
      <c r="L758" s="17">
        <v>306</v>
      </c>
      <c r="M758" s="17">
        <v>0</v>
      </c>
      <c r="N758" s="17">
        <v>0</v>
      </c>
      <c r="O758" s="17">
        <v>306</v>
      </c>
      <c r="P758" s="17">
        <v>0</v>
      </c>
      <c r="Q758" s="17">
        <v>306</v>
      </c>
      <c r="R758" s="17">
        <v>0</v>
      </c>
      <c r="S758" s="17"/>
      <c r="T758" s="17" t="s">
        <v>2972</v>
      </c>
      <c r="U758" s="17" t="s">
        <v>3055</v>
      </c>
      <c r="V758" s="17" t="s">
        <v>3056</v>
      </c>
      <c r="W758" s="17"/>
      <c r="X758" s="17"/>
    </row>
    <row r="759" spans="1:24" hidden="1">
      <c r="A759" s="18">
        <v>758</v>
      </c>
      <c r="B759" s="17" t="s">
        <v>1676</v>
      </c>
      <c r="C759" s="17" t="s">
        <v>1677</v>
      </c>
      <c r="D759" s="17" t="s">
        <v>17</v>
      </c>
      <c r="E759" s="17" t="s">
        <v>8</v>
      </c>
      <c r="F759" s="17">
        <v>0</v>
      </c>
      <c r="G759" s="17">
        <v>0</v>
      </c>
      <c r="H759" s="17">
        <v>0</v>
      </c>
      <c r="I759" s="17">
        <v>0</v>
      </c>
      <c r="J759" s="17">
        <v>0</v>
      </c>
      <c r="K759" s="17">
        <v>0</v>
      </c>
      <c r="L759" s="17">
        <v>0</v>
      </c>
      <c r="M759" s="17">
        <v>0</v>
      </c>
      <c r="N759" s="17">
        <v>0</v>
      </c>
      <c r="O759" s="17">
        <v>0</v>
      </c>
      <c r="P759" s="17">
        <v>0</v>
      </c>
      <c r="Q759" s="17">
        <v>0</v>
      </c>
      <c r="R759" s="17">
        <v>0</v>
      </c>
      <c r="S759" s="17"/>
      <c r="T759" s="17" t="s">
        <v>2972</v>
      </c>
      <c r="U759" s="17" t="s">
        <v>3057</v>
      </c>
      <c r="V759" s="17" t="s">
        <v>3056</v>
      </c>
      <c r="W759" s="17"/>
      <c r="X759" s="17"/>
    </row>
    <row r="760" spans="1:24" hidden="1">
      <c r="A760" s="18">
        <v>759</v>
      </c>
      <c r="B760" s="17" t="s">
        <v>1740</v>
      </c>
      <c r="C760" s="17" t="s">
        <v>1741</v>
      </c>
      <c r="D760" s="17" t="s">
        <v>17</v>
      </c>
      <c r="E760" s="17" t="s">
        <v>8</v>
      </c>
      <c r="F760" s="17">
        <v>0</v>
      </c>
      <c r="G760" s="17">
        <v>49</v>
      </c>
      <c r="H760" s="17">
        <v>25</v>
      </c>
      <c r="I760" s="17">
        <v>24</v>
      </c>
      <c r="J760" s="17">
        <v>0</v>
      </c>
      <c r="K760" s="17">
        <v>0</v>
      </c>
      <c r="L760" s="17">
        <v>24</v>
      </c>
      <c r="M760" s="17">
        <v>0</v>
      </c>
      <c r="N760" s="17">
        <v>0</v>
      </c>
      <c r="O760" s="17">
        <v>24</v>
      </c>
      <c r="P760" s="17">
        <v>80</v>
      </c>
      <c r="Q760" s="17">
        <v>-56</v>
      </c>
      <c r="R760" s="17">
        <v>40</v>
      </c>
      <c r="S760" s="17"/>
      <c r="T760" s="17" t="s">
        <v>2991</v>
      </c>
      <c r="U760" s="17" t="s">
        <v>3060</v>
      </c>
      <c r="V760" s="17" t="s">
        <v>3058</v>
      </c>
      <c r="W760" s="17"/>
      <c r="X760" s="17"/>
    </row>
    <row r="761" spans="1:24" hidden="1">
      <c r="A761" s="18">
        <v>760</v>
      </c>
      <c r="B761" s="17" t="s">
        <v>1678</v>
      </c>
      <c r="C761" s="17" t="s">
        <v>1679</v>
      </c>
      <c r="D761" s="17" t="s">
        <v>17</v>
      </c>
      <c r="E761" s="17" t="s">
        <v>8</v>
      </c>
      <c r="F761" s="17">
        <v>0</v>
      </c>
      <c r="G761" s="17">
        <v>0</v>
      </c>
      <c r="H761" s="17">
        <v>0</v>
      </c>
      <c r="I761" s="17">
        <v>0</v>
      </c>
      <c r="J761" s="17">
        <v>0</v>
      </c>
      <c r="K761" s="17">
        <v>0</v>
      </c>
      <c r="L761" s="17">
        <v>0</v>
      </c>
      <c r="M761" s="17">
        <v>0</v>
      </c>
      <c r="N761" s="17">
        <v>0</v>
      </c>
      <c r="O761" s="17">
        <v>0</v>
      </c>
      <c r="P761" s="17">
        <v>0</v>
      </c>
      <c r="Q761" s="17">
        <v>0</v>
      </c>
      <c r="R761" s="17">
        <v>0</v>
      </c>
      <c r="S761" s="17"/>
      <c r="T761" s="17" t="s">
        <v>2972</v>
      </c>
      <c r="U761" s="17" t="s">
        <v>3057</v>
      </c>
      <c r="V761" s="17" t="s">
        <v>3056</v>
      </c>
      <c r="W761" s="17"/>
      <c r="X761" s="17"/>
    </row>
    <row r="762" spans="1:24" hidden="1">
      <c r="A762" s="18">
        <v>761</v>
      </c>
      <c r="B762" s="17" t="s">
        <v>1680</v>
      </c>
      <c r="C762" s="17" t="s">
        <v>1681</v>
      </c>
      <c r="D762" s="17" t="s">
        <v>17</v>
      </c>
      <c r="E762" s="17" t="s">
        <v>8</v>
      </c>
      <c r="F762" s="17">
        <v>0</v>
      </c>
      <c r="G762" s="17">
        <v>0</v>
      </c>
      <c r="H762" s="17">
        <v>0</v>
      </c>
      <c r="I762" s="17">
        <v>0</v>
      </c>
      <c r="J762" s="17">
        <v>0</v>
      </c>
      <c r="K762" s="17">
        <v>0</v>
      </c>
      <c r="L762" s="17">
        <v>0</v>
      </c>
      <c r="M762" s="17">
        <v>0</v>
      </c>
      <c r="N762" s="17">
        <v>0</v>
      </c>
      <c r="O762" s="17">
        <v>0</v>
      </c>
      <c r="P762" s="17">
        <v>0</v>
      </c>
      <c r="Q762" s="17">
        <v>0</v>
      </c>
      <c r="R762" s="17">
        <v>0</v>
      </c>
      <c r="S762" s="17"/>
      <c r="T762" s="17" t="s">
        <v>2972</v>
      </c>
      <c r="U762" s="17" t="s">
        <v>3057</v>
      </c>
      <c r="V762" s="17" t="s">
        <v>3056</v>
      </c>
      <c r="W762" s="17"/>
      <c r="X762" s="17"/>
    </row>
    <row r="763" spans="1:24" hidden="1">
      <c r="A763" s="18">
        <v>762</v>
      </c>
      <c r="B763" s="17" t="s">
        <v>1746</v>
      </c>
      <c r="C763" s="17" t="s">
        <v>1747</v>
      </c>
      <c r="D763" s="17" t="s">
        <v>20</v>
      </c>
      <c r="E763" s="17" t="s">
        <v>8</v>
      </c>
      <c r="F763" s="17">
        <v>232.45</v>
      </c>
      <c r="G763" s="17">
        <v>0</v>
      </c>
      <c r="H763" s="17">
        <v>26.6</v>
      </c>
      <c r="I763" s="17">
        <v>205.85</v>
      </c>
      <c r="J763" s="17">
        <v>0</v>
      </c>
      <c r="K763" s="17">
        <v>0</v>
      </c>
      <c r="L763" s="17">
        <v>205.85</v>
      </c>
      <c r="M763" s="17">
        <v>0</v>
      </c>
      <c r="N763" s="17">
        <v>0</v>
      </c>
      <c r="O763" s="17">
        <v>205.85</v>
      </c>
      <c r="P763" s="17">
        <v>50</v>
      </c>
      <c r="Q763" s="17">
        <v>155.85</v>
      </c>
      <c r="R763" s="17">
        <v>0</v>
      </c>
      <c r="S763" s="17"/>
      <c r="T763" s="17" t="s">
        <v>2991</v>
      </c>
      <c r="U763" s="17" t="s">
        <v>3060</v>
      </c>
      <c r="V763" s="17" t="s">
        <v>3058</v>
      </c>
      <c r="W763" s="17"/>
      <c r="X763" s="17"/>
    </row>
    <row r="764" spans="1:24" hidden="1">
      <c r="A764" s="18">
        <v>763</v>
      </c>
      <c r="B764" s="17" t="s">
        <v>1748</v>
      </c>
      <c r="C764" s="17" t="s">
        <v>1749</v>
      </c>
      <c r="D764" s="17" t="s">
        <v>20</v>
      </c>
      <c r="E764" s="17" t="s">
        <v>8</v>
      </c>
      <c r="F764" s="17">
        <v>343.9</v>
      </c>
      <c r="G764" s="17">
        <v>112</v>
      </c>
      <c r="H764" s="17">
        <v>27.7</v>
      </c>
      <c r="I764" s="17">
        <v>428.2</v>
      </c>
      <c r="J764" s="17">
        <v>0</v>
      </c>
      <c r="K764" s="17">
        <v>0</v>
      </c>
      <c r="L764" s="17">
        <v>428.2</v>
      </c>
      <c r="M764" s="17">
        <v>0</v>
      </c>
      <c r="N764" s="17">
        <v>0</v>
      </c>
      <c r="O764" s="17">
        <v>428.2</v>
      </c>
      <c r="P764" s="17">
        <v>125</v>
      </c>
      <c r="Q764" s="17">
        <v>303.2</v>
      </c>
      <c r="R764" s="17">
        <v>250</v>
      </c>
      <c r="S764" s="17"/>
      <c r="T764" s="17" t="s">
        <v>2991</v>
      </c>
      <c r="U764" s="17" t="s">
        <v>3060</v>
      </c>
      <c r="V764" s="17" t="s">
        <v>3056</v>
      </c>
      <c r="W764" s="17"/>
      <c r="X764" s="17"/>
    </row>
    <row r="765" spans="1:24" hidden="1">
      <c r="A765" s="18">
        <v>764</v>
      </c>
      <c r="B765" s="17" t="s">
        <v>1750</v>
      </c>
      <c r="C765" s="17" t="s">
        <v>1751</v>
      </c>
      <c r="D765" s="17" t="s">
        <v>20</v>
      </c>
      <c r="E765" s="17" t="s">
        <v>8</v>
      </c>
      <c r="F765" s="17">
        <v>240</v>
      </c>
      <c r="G765" s="17">
        <v>0</v>
      </c>
      <c r="H765" s="17">
        <v>73.8</v>
      </c>
      <c r="I765" s="17">
        <v>166.2</v>
      </c>
      <c r="J765" s="17">
        <v>0</v>
      </c>
      <c r="K765" s="17">
        <v>0</v>
      </c>
      <c r="L765" s="17">
        <v>166.2</v>
      </c>
      <c r="M765" s="17">
        <v>0</v>
      </c>
      <c r="N765" s="17">
        <v>0</v>
      </c>
      <c r="O765" s="17">
        <v>166.2</v>
      </c>
      <c r="P765" s="17">
        <v>75</v>
      </c>
      <c r="Q765" s="17">
        <v>91.199999999999989</v>
      </c>
      <c r="R765" s="17">
        <v>0</v>
      </c>
      <c r="S765" s="17"/>
      <c r="T765" s="17" t="s">
        <v>2991</v>
      </c>
      <c r="U765" s="17" t="s">
        <v>3060</v>
      </c>
      <c r="V765" s="17" t="s">
        <v>3058</v>
      </c>
      <c r="W765" s="17"/>
      <c r="X765" s="17"/>
    </row>
    <row r="766" spans="1:24" hidden="1">
      <c r="A766" s="18">
        <v>765</v>
      </c>
      <c r="B766" s="17" t="s">
        <v>1682</v>
      </c>
      <c r="C766" s="17" t="s">
        <v>1683</v>
      </c>
      <c r="D766" s="17" t="s">
        <v>17</v>
      </c>
      <c r="E766" s="17" t="s">
        <v>8</v>
      </c>
      <c r="F766" s="17">
        <v>0</v>
      </c>
      <c r="G766" s="17">
        <v>0</v>
      </c>
      <c r="H766" s="17">
        <v>0</v>
      </c>
      <c r="I766" s="17">
        <v>0</v>
      </c>
      <c r="J766" s="17">
        <v>0</v>
      </c>
      <c r="K766" s="17">
        <v>0</v>
      </c>
      <c r="L766" s="17">
        <v>0</v>
      </c>
      <c r="M766" s="17">
        <v>0</v>
      </c>
      <c r="N766" s="17">
        <v>0</v>
      </c>
      <c r="O766" s="17">
        <v>0</v>
      </c>
      <c r="P766" s="17">
        <v>0</v>
      </c>
      <c r="Q766" s="17">
        <v>0</v>
      </c>
      <c r="R766" s="17">
        <v>0</v>
      </c>
      <c r="S766" s="17"/>
      <c r="T766" s="17" t="s">
        <v>2972</v>
      </c>
      <c r="U766" s="17" t="s">
        <v>3057</v>
      </c>
      <c r="V766" s="17" t="s">
        <v>3056</v>
      </c>
      <c r="W766" s="17"/>
      <c r="X766" s="17"/>
    </row>
    <row r="767" spans="1:24" hidden="1">
      <c r="A767" s="18">
        <v>766</v>
      </c>
      <c r="B767" s="17" t="s">
        <v>1684</v>
      </c>
      <c r="C767" s="17" t="s">
        <v>1685</v>
      </c>
      <c r="D767" s="17" t="s">
        <v>17</v>
      </c>
      <c r="E767" s="17" t="s">
        <v>8</v>
      </c>
      <c r="F767" s="17">
        <v>0</v>
      </c>
      <c r="G767" s="17">
        <v>0</v>
      </c>
      <c r="H767" s="17">
        <v>0</v>
      </c>
      <c r="I767" s="17">
        <v>0</v>
      </c>
      <c r="J767" s="17">
        <v>0</v>
      </c>
      <c r="K767" s="17">
        <v>0</v>
      </c>
      <c r="L767" s="17">
        <v>0</v>
      </c>
      <c r="M767" s="17">
        <v>0</v>
      </c>
      <c r="N767" s="17">
        <v>0</v>
      </c>
      <c r="O767" s="17">
        <v>0</v>
      </c>
      <c r="P767" s="17">
        <v>0</v>
      </c>
      <c r="Q767" s="17">
        <v>0</v>
      </c>
      <c r="R767" s="17">
        <v>0</v>
      </c>
      <c r="S767" s="17"/>
      <c r="T767" s="17" t="s">
        <v>2972</v>
      </c>
      <c r="U767" s="17" t="s">
        <v>3057</v>
      </c>
      <c r="V767" s="17" t="s">
        <v>3056</v>
      </c>
      <c r="W767" s="17"/>
      <c r="X767" s="17"/>
    </row>
    <row r="768" spans="1:24" hidden="1">
      <c r="A768" s="18">
        <v>767</v>
      </c>
      <c r="B768" s="17" t="s">
        <v>1686</v>
      </c>
      <c r="C768" s="17" t="s">
        <v>1687</v>
      </c>
      <c r="D768" s="17" t="s">
        <v>17</v>
      </c>
      <c r="E768" s="17" t="s">
        <v>8</v>
      </c>
      <c r="F768" s="17">
        <v>0</v>
      </c>
      <c r="G768" s="17">
        <v>0</v>
      </c>
      <c r="H768" s="17">
        <v>0</v>
      </c>
      <c r="I768" s="17">
        <v>0</v>
      </c>
      <c r="J768" s="17">
        <v>0</v>
      </c>
      <c r="K768" s="17">
        <v>0</v>
      </c>
      <c r="L768" s="17">
        <v>0</v>
      </c>
      <c r="M768" s="17">
        <v>0</v>
      </c>
      <c r="N768" s="17">
        <v>0</v>
      </c>
      <c r="O768" s="17">
        <v>0</v>
      </c>
      <c r="P768" s="17">
        <v>0</v>
      </c>
      <c r="Q768" s="17">
        <v>0</v>
      </c>
      <c r="R768" s="17">
        <v>0</v>
      </c>
      <c r="S768" s="17"/>
      <c r="T768" s="17" t="s">
        <v>2972</v>
      </c>
      <c r="U768" s="17" t="s">
        <v>3057</v>
      </c>
      <c r="V768" s="17" t="s">
        <v>3056</v>
      </c>
      <c r="W768" s="17"/>
      <c r="X768" s="17"/>
    </row>
    <row r="769" spans="1:24" hidden="1">
      <c r="A769" s="18">
        <v>768</v>
      </c>
      <c r="B769" s="17" t="s">
        <v>1688</v>
      </c>
      <c r="C769" s="17" t="s">
        <v>1689</v>
      </c>
      <c r="D769" s="17" t="s">
        <v>17</v>
      </c>
      <c r="E769" s="17" t="s">
        <v>8</v>
      </c>
      <c r="F769" s="17">
        <v>0</v>
      </c>
      <c r="G769" s="17">
        <v>0</v>
      </c>
      <c r="H769" s="17">
        <v>0</v>
      </c>
      <c r="I769" s="17">
        <v>0</v>
      </c>
      <c r="J769" s="17">
        <v>0</v>
      </c>
      <c r="K769" s="17">
        <v>0</v>
      </c>
      <c r="L769" s="17">
        <v>0</v>
      </c>
      <c r="M769" s="17">
        <v>0</v>
      </c>
      <c r="N769" s="17">
        <v>0</v>
      </c>
      <c r="O769" s="17">
        <v>0</v>
      </c>
      <c r="P769" s="17">
        <v>0</v>
      </c>
      <c r="Q769" s="17">
        <v>0</v>
      </c>
      <c r="R769" s="17">
        <v>0</v>
      </c>
      <c r="S769" s="17"/>
      <c r="T769" s="17" t="s">
        <v>2972</v>
      </c>
      <c r="U769" s="17" t="s">
        <v>3057</v>
      </c>
      <c r="V769" s="17" t="s">
        <v>3056</v>
      </c>
      <c r="W769" s="17"/>
      <c r="X769" s="17"/>
    </row>
    <row r="770" spans="1:24" hidden="1">
      <c r="A770" s="18">
        <v>769</v>
      </c>
      <c r="B770" s="17" t="s">
        <v>1760</v>
      </c>
      <c r="C770" s="17" t="s">
        <v>1761</v>
      </c>
      <c r="D770" s="17" t="s">
        <v>20</v>
      </c>
      <c r="E770" s="17" t="s">
        <v>8</v>
      </c>
      <c r="F770" s="17">
        <v>156.30000000000001</v>
      </c>
      <c r="G770" s="17">
        <v>0</v>
      </c>
      <c r="H770" s="17">
        <v>0</v>
      </c>
      <c r="I770" s="17">
        <v>156.30000000000001</v>
      </c>
      <c r="J770" s="17">
        <v>0</v>
      </c>
      <c r="K770" s="17">
        <v>0</v>
      </c>
      <c r="L770" s="17">
        <v>156.30000000000001</v>
      </c>
      <c r="M770" s="17">
        <v>0</v>
      </c>
      <c r="N770" s="17">
        <v>0</v>
      </c>
      <c r="O770" s="17">
        <v>156.30000000000001</v>
      </c>
      <c r="P770" s="17">
        <v>75</v>
      </c>
      <c r="Q770" s="17">
        <v>81.300000000000011</v>
      </c>
      <c r="R770" s="17">
        <v>0</v>
      </c>
      <c r="S770" s="17"/>
      <c r="T770" s="17" t="s">
        <v>2991</v>
      </c>
      <c r="U770" s="17" t="s">
        <v>3060</v>
      </c>
      <c r="V770" s="17" t="s">
        <v>3058</v>
      </c>
      <c r="W770" s="17"/>
      <c r="X770" s="17"/>
    </row>
    <row r="771" spans="1:24" hidden="1">
      <c r="A771" s="18">
        <v>770</v>
      </c>
      <c r="B771" s="17" t="s">
        <v>1690</v>
      </c>
      <c r="C771" s="17" t="s">
        <v>1691</v>
      </c>
      <c r="D771" s="17" t="s">
        <v>17</v>
      </c>
      <c r="E771" s="17" t="s">
        <v>8</v>
      </c>
      <c r="F771" s="17">
        <v>0</v>
      </c>
      <c r="G771" s="17">
        <v>0</v>
      </c>
      <c r="H771" s="17">
        <v>0</v>
      </c>
      <c r="I771" s="17">
        <v>0</v>
      </c>
      <c r="J771" s="17">
        <v>0</v>
      </c>
      <c r="K771" s="17">
        <v>0</v>
      </c>
      <c r="L771" s="17">
        <v>0</v>
      </c>
      <c r="M771" s="17">
        <v>0</v>
      </c>
      <c r="N771" s="17">
        <v>0</v>
      </c>
      <c r="O771" s="17">
        <v>0</v>
      </c>
      <c r="P771" s="17">
        <v>0</v>
      </c>
      <c r="Q771" s="17">
        <v>0</v>
      </c>
      <c r="R771" s="17">
        <v>0</v>
      </c>
      <c r="S771" s="17"/>
      <c r="T771" s="17" t="s">
        <v>2972</v>
      </c>
      <c r="U771" s="17" t="s">
        <v>3057</v>
      </c>
      <c r="V771" s="17" t="s">
        <v>3056</v>
      </c>
      <c r="W771" s="17"/>
      <c r="X771" s="17"/>
    </row>
    <row r="772" spans="1:24" hidden="1">
      <c r="A772" s="18">
        <v>771</v>
      </c>
      <c r="B772" s="17" t="s">
        <v>1764</v>
      </c>
      <c r="C772" s="17" t="s">
        <v>1765</v>
      </c>
      <c r="D772" s="17" t="s">
        <v>17</v>
      </c>
      <c r="E772" s="17" t="s">
        <v>8</v>
      </c>
      <c r="F772" s="17">
        <v>8</v>
      </c>
      <c r="G772" s="17">
        <v>4</v>
      </c>
      <c r="H772" s="17">
        <v>11</v>
      </c>
      <c r="I772" s="17">
        <v>1</v>
      </c>
      <c r="J772" s="17">
        <v>0</v>
      </c>
      <c r="K772" s="17">
        <v>0</v>
      </c>
      <c r="L772" s="17">
        <v>1</v>
      </c>
      <c r="M772" s="17">
        <v>10</v>
      </c>
      <c r="N772" s="17">
        <v>0</v>
      </c>
      <c r="O772" s="17">
        <v>11</v>
      </c>
      <c r="P772" s="17">
        <v>10</v>
      </c>
      <c r="Q772" s="17">
        <v>1</v>
      </c>
      <c r="R772" s="17">
        <v>0</v>
      </c>
      <c r="S772" s="17"/>
      <c r="T772" s="17" t="s">
        <v>3002</v>
      </c>
      <c r="U772" s="17" t="s">
        <v>3055</v>
      </c>
      <c r="V772" s="17" t="s">
        <v>3056</v>
      </c>
      <c r="W772" s="17"/>
      <c r="X772" s="17"/>
    </row>
    <row r="773" spans="1:24" hidden="1">
      <c r="A773" s="18">
        <v>772</v>
      </c>
      <c r="B773" s="17" t="s">
        <v>1692</v>
      </c>
      <c r="C773" s="17" t="s">
        <v>1693</v>
      </c>
      <c r="D773" s="17" t="s">
        <v>17</v>
      </c>
      <c r="E773" s="17" t="s">
        <v>8</v>
      </c>
      <c r="F773" s="17">
        <v>1600</v>
      </c>
      <c r="G773" s="17">
        <v>700</v>
      </c>
      <c r="H773" s="17">
        <v>900</v>
      </c>
      <c r="I773" s="17">
        <v>1400</v>
      </c>
      <c r="J773" s="17">
        <v>0</v>
      </c>
      <c r="K773" s="17">
        <v>0</v>
      </c>
      <c r="L773" s="17">
        <v>1400</v>
      </c>
      <c r="M773" s="17">
        <v>800</v>
      </c>
      <c r="N773" s="17">
        <v>0</v>
      </c>
      <c r="O773" s="17">
        <v>2200</v>
      </c>
      <c r="P773" s="17">
        <v>1800</v>
      </c>
      <c r="Q773" s="17">
        <v>400</v>
      </c>
      <c r="R773" s="17">
        <v>1500</v>
      </c>
      <c r="S773" s="17"/>
      <c r="T773" s="17" t="s">
        <v>2972</v>
      </c>
      <c r="U773" s="17" t="s">
        <v>3057</v>
      </c>
      <c r="V773" s="17" t="s">
        <v>3056</v>
      </c>
      <c r="W773" s="17"/>
      <c r="X773" s="17"/>
    </row>
    <row r="774" spans="1:24" hidden="1">
      <c r="A774" s="18">
        <v>773</v>
      </c>
      <c r="B774" s="17" t="s">
        <v>1698</v>
      </c>
      <c r="C774" s="17" t="s">
        <v>1699</v>
      </c>
      <c r="D774" s="17" t="s">
        <v>17</v>
      </c>
      <c r="E774" s="17" t="s">
        <v>8</v>
      </c>
      <c r="F774" s="17">
        <v>0</v>
      </c>
      <c r="G774" s="17">
        <v>0</v>
      </c>
      <c r="H774" s="17">
        <v>0</v>
      </c>
      <c r="I774" s="17">
        <v>0</v>
      </c>
      <c r="J774" s="17">
        <v>0</v>
      </c>
      <c r="K774" s="17">
        <v>0</v>
      </c>
      <c r="L774" s="17">
        <v>0</v>
      </c>
      <c r="M774" s="17">
        <v>0</v>
      </c>
      <c r="N774" s="17">
        <v>0</v>
      </c>
      <c r="O774" s="17">
        <v>0</v>
      </c>
      <c r="P774" s="17">
        <v>0</v>
      </c>
      <c r="Q774" s="17">
        <v>0</v>
      </c>
      <c r="R774" s="17">
        <v>0</v>
      </c>
      <c r="S774" s="17"/>
      <c r="T774" s="17" t="s">
        <v>2972</v>
      </c>
      <c r="U774" s="17" t="s">
        <v>3057</v>
      </c>
      <c r="V774" s="17" t="s">
        <v>3056</v>
      </c>
      <c r="W774" s="17"/>
      <c r="X774" s="17"/>
    </row>
    <row r="775" spans="1:24" hidden="1">
      <c r="A775" s="18">
        <v>774</v>
      </c>
      <c r="B775" s="17" t="s">
        <v>1700</v>
      </c>
      <c r="C775" s="17" t="s">
        <v>1701</v>
      </c>
      <c r="D775" s="17" t="s">
        <v>17</v>
      </c>
      <c r="E775" s="17" t="s">
        <v>8</v>
      </c>
      <c r="F775" s="17">
        <v>0</v>
      </c>
      <c r="G775" s="17">
        <v>0</v>
      </c>
      <c r="H775" s="17">
        <v>0</v>
      </c>
      <c r="I775" s="17">
        <v>0</v>
      </c>
      <c r="J775" s="17">
        <v>0</v>
      </c>
      <c r="K775" s="17">
        <v>0</v>
      </c>
      <c r="L775" s="17">
        <v>0</v>
      </c>
      <c r="M775" s="17">
        <v>0</v>
      </c>
      <c r="N775" s="17">
        <v>0</v>
      </c>
      <c r="O775" s="17">
        <v>0</v>
      </c>
      <c r="P775" s="17">
        <v>0</v>
      </c>
      <c r="Q775" s="17">
        <v>0</v>
      </c>
      <c r="R775" s="17">
        <v>0</v>
      </c>
      <c r="S775" s="17"/>
      <c r="T775" s="17" t="s">
        <v>2972</v>
      </c>
      <c r="U775" s="17" t="s">
        <v>3057</v>
      </c>
      <c r="V775" s="17" t="s">
        <v>3056</v>
      </c>
      <c r="W775" s="17"/>
      <c r="X775" s="17"/>
    </row>
    <row r="776" spans="1:24" hidden="1">
      <c r="A776" s="18">
        <v>775</v>
      </c>
      <c r="B776" s="17" t="s">
        <v>1702</v>
      </c>
      <c r="C776" s="17" t="s">
        <v>1703</v>
      </c>
      <c r="D776" s="17" t="s">
        <v>17</v>
      </c>
      <c r="E776" s="17" t="s">
        <v>8</v>
      </c>
      <c r="F776" s="17">
        <v>0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/>
      <c r="T776" s="17" t="s">
        <v>2972</v>
      </c>
      <c r="U776" s="17" t="s">
        <v>3057</v>
      </c>
      <c r="V776" s="17" t="s">
        <v>3056</v>
      </c>
      <c r="W776" s="17"/>
      <c r="X776" s="17"/>
    </row>
    <row r="777" spans="1:24" hidden="1">
      <c r="A777" s="18">
        <v>776</v>
      </c>
      <c r="B777" s="17" t="s">
        <v>1776</v>
      </c>
      <c r="C777" s="17" t="s">
        <v>1777</v>
      </c>
      <c r="D777" s="17" t="s">
        <v>17</v>
      </c>
      <c r="E777" s="17" t="s">
        <v>8</v>
      </c>
      <c r="F777" s="17">
        <v>53</v>
      </c>
      <c r="G777" s="17">
        <v>0</v>
      </c>
      <c r="H777" s="17">
        <v>0</v>
      </c>
      <c r="I777" s="17">
        <v>53</v>
      </c>
      <c r="J777" s="17">
        <v>0</v>
      </c>
      <c r="K777" s="17">
        <v>0</v>
      </c>
      <c r="L777" s="17">
        <v>53</v>
      </c>
      <c r="M777" s="17">
        <v>0</v>
      </c>
      <c r="N777" s="17">
        <v>0</v>
      </c>
      <c r="O777" s="17">
        <v>53</v>
      </c>
      <c r="P777" s="17">
        <v>0</v>
      </c>
      <c r="Q777" s="17">
        <v>53</v>
      </c>
      <c r="R777" s="17">
        <v>0</v>
      </c>
      <c r="S777" s="17"/>
      <c r="T777" s="17" t="s">
        <v>2972</v>
      </c>
      <c r="U777" s="17" t="s">
        <v>3055</v>
      </c>
      <c r="V777" s="17" t="s">
        <v>3056</v>
      </c>
      <c r="W777" s="17"/>
      <c r="X777" s="17"/>
    </row>
    <row r="778" spans="1:24" hidden="1">
      <c r="A778" s="18">
        <v>777</v>
      </c>
      <c r="B778" s="17" t="s">
        <v>1704</v>
      </c>
      <c r="C778" s="17" t="s">
        <v>1705</v>
      </c>
      <c r="D778" s="17" t="s">
        <v>17</v>
      </c>
      <c r="E778" s="17" t="s">
        <v>8</v>
      </c>
      <c r="F778" s="17">
        <v>0</v>
      </c>
      <c r="G778" s="17">
        <v>0</v>
      </c>
      <c r="H778" s="17">
        <v>0</v>
      </c>
      <c r="I778" s="17">
        <v>0</v>
      </c>
      <c r="J778" s="17">
        <v>0</v>
      </c>
      <c r="K778" s="17">
        <v>0</v>
      </c>
      <c r="L778" s="17">
        <v>0</v>
      </c>
      <c r="M778" s="17">
        <v>0</v>
      </c>
      <c r="N778" s="17">
        <v>0</v>
      </c>
      <c r="O778" s="17">
        <v>0</v>
      </c>
      <c r="P778" s="17">
        <v>0</v>
      </c>
      <c r="Q778" s="17">
        <v>0</v>
      </c>
      <c r="R778" s="17">
        <v>0</v>
      </c>
      <c r="S778" s="17"/>
      <c r="T778" s="17" t="s">
        <v>2972</v>
      </c>
      <c r="U778" s="17" t="s">
        <v>3057</v>
      </c>
      <c r="V778" s="17" t="s">
        <v>3056</v>
      </c>
      <c r="W778" s="17"/>
      <c r="X778" s="17"/>
    </row>
    <row r="779" spans="1:24" hidden="1">
      <c r="A779" s="18">
        <v>778</v>
      </c>
      <c r="B779" s="17" t="s">
        <v>1706</v>
      </c>
      <c r="C779" s="17" t="s">
        <v>1707</v>
      </c>
      <c r="D779" s="17" t="s">
        <v>17</v>
      </c>
      <c r="E779" s="17" t="s">
        <v>8</v>
      </c>
      <c r="F779" s="17">
        <v>0</v>
      </c>
      <c r="G779" s="17">
        <v>0</v>
      </c>
      <c r="H779" s="17">
        <v>0</v>
      </c>
      <c r="I779" s="17">
        <v>0</v>
      </c>
      <c r="J779" s="17">
        <v>0</v>
      </c>
      <c r="K779" s="17">
        <v>0</v>
      </c>
      <c r="L779" s="17">
        <v>0</v>
      </c>
      <c r="M779" s="17">
        <v>0</v>
      </c>
      <c r="N779" s="17">
        <v>0</v>
      </c>
      <c r="O779" s="17">
        <v>0</v>
      </c>
      <c r="P779" s="17">
        <v>0</v>
      </c>
      <c r="Q779" s="17">
        <v>0</v>
      </c>
      <c r="R779" s="17">
        <v>0</v>
      </c>
      <c r="S779" s="17"/>
      <c r="T779" s="17" t="s">
        <v>2972</v>
      </c>
      <c r="U779" s="17" t="s">
        <v>3057</v>
      </c>
      <c r="V779" s="17" t="s">
        <v>3056</v>
      </c>
      <c r="W779" s="17"/>
      <c r="X779" s="17"/>
    </row>
    <row r="780" spans="1:24" hidden="1">
      <c r="A780" s="18">
        <v>779</v>
      </c>
      <c r="B780" s="17" t="s">
        <v>1708</v>
      </c>
      <c r="C780" s="17" t="s">
        <v>1709</v>
      </c>
      <c r="D780" s="17" t="s">
        <v>17</v>
      </c>
      <c r="E780" s="17" t="s">
        <v>8</v>
      </c>
      <c r="F780" s="17">
        <v>0</v>
      </c>
      <c r="G780" s="17">
        <v>0</v>
      </c>
      <c r="H780" s="17">
        <v>0</v>
      </c>
      <c r="I780" s="17">
        <v>0</v>
      </c>
      <c r="J780" s="17">
        <v>0</v>
      </c>
      <c r="K780" s="17">
        <v>0</v>
      </c>
      <c r="L780" s="17">
        <v>0</v>
      </c>
      <c r="M780" s="17">
        <v>0</v>
      </c>
      <c r="N780" s="17">
        <v>0</v>
      </c>
      <c r="O780" s="17">
        <v>0</v>
      </c>
      <c r="P780" s="17">
        <v>0</v>
      </c>
      <c r="Q780" s="17">
        <v>0</v>
      </c>
      <c r="R780" s="17">
        <v>0</v>
      </c>
      <c r="S780" s="17"/>
      <c r="T780" s="17" t="s">
        <v>2972</v>
      </c>
      <c r="U780" s="17" t="s">
        <v>3057</v>
      </c>
      <c r="V780" s="17" t="s">
        <v>3056</v>
      </c>
      <c r="W780" s="17"/>
      <c r="X780" s="17"/>
    </row>
    <row r="781" spans="1:24" hidden="1">
      <c r="A781" s="18">
        <v>780</v>
      </c>
      <c r="B781" s="17" t="s">
        <v>1710</v>
      </c>
      <c r="C781" s="17" t="s">
        <v>1711</v>
      </c>
      <c r="D781" s="17" t="s">
        <v>17</v>
      </c>
      <c r="E781" s="17" t="s">
        <v>8</v>
      </c>
      <c r="F781" s="17">
        <v>0</v>
      </c>
      <c r="G781" s="17">
        <v>0</v>
      </c>
      <c r="H781" s="17">
        <v>0</v>
      </c>
      <c r="I781" s="17">
        <v>0</v>
      </c>
      <c r="J781" s="17">
        <v>0</v>
      </c>
      <c r="K781" s="17">
        <v>0</v>
      </c>
      <c r="L781" s="17">
        <v>0</v>
      </c>
      <c r="M781" s="17">
        <v>0</v>
      </c>
      <c r="N781" s="17">
        <v>0</v>
      </c>
      <c r="O781" s="17">
        <v>0</v>
      </c>
      <c r="P781" s="17">
        <v>0</v>
      </c>
      <c r="Q781" s="17">
        <v>0</v>
      </c>
      <c r="R781" s="17">
        <v>0</v>
      </c>
      <c r="S781" s="17"/>
      <c r="T781" s="17" t="s">
        <v>2972</v>
      </c>
      <c r="U781" s="17" t="s">
        <v>3057</v>
      </c>
      <c r="V781" s="17" t="s">
        <v>3056</v>
      </c>
      <c r="W781" s="17"/>
      <c r="X781" s="17"/>
    </row>
    <row r="782" spans="1:24" s="40" customFormat="1" hidden="1">
      <c r="A782" s="26">
        <v>781</v>
      </c>
      <c r="B782" s="25" t="s">
        <v>1712</v>
      </c>
      <c r="C782" s="25" t="s">
        <v>1713</v>
      </c>
      <c r="D782" s="25" t="s">
        <v>17</v>
      </c>
      <c r="E782" s="25" t="s">
        <v>8</v>
      </c>
      <c r="F782" s="25">
        <v>155</v>
      </c>
      <c r="G782" s="25">
        <v>0</v>
      </c>
      <c r="H782" s="25">
        <v>100</v>
      </c>
      <c r="I782" s="17">
        <v>55</v>
      </c>
      <c r="J782" s="17">
        <v>0</v>
      </c>
      <c r="K782" s="17">
        <v>0</v>
      </c>
      <c r="L782" s="17">
        <v>55</v>
      </c>
      <c r="M782" s="17">
        <v>0</v>
      </c>
      <c r="N782" s="17">
        <v>0</v>
      </c>
      <c r="O782" s="25">
        <v>55</v>
      </c>
      <c r="P782" s="25">
        <v>100</v>
      </c>
      <c r="Q782" s="25">
        <v>-45</v>
      </c>
      <c r="R782" s="25">
        <v>0</v>
      </c>
      <c r="S782" s="25"/>
      <c r="T782" s="25" t="s">
        <v>2972</v>
      </c>
      <c r="U782" s="25" t="s">
        <v>3057</v>
      </c>
      <c r="V782" s="25" t="s">
        <v>3056</v>
      </c>
      <c r="W782" s="25"/>
      <c r="X782" s="25"/>
    </row>
    <row r="783" spans="1:24" hidden="1">
      <c r="A783" s="18">
        <v>782</v>
      </c>
      <c r="B783" s="17" t="s">
        <v>1788</v>
      </c>
      <c r="C783" s="17" t="s">
        <v>1789</v>
      </c>
      <c r="D783" s="17" t="s">
        <v>17</v>
      </c>
      <c r="E783" s="17" t="s">
        <v>8</v>
      </c>
      <c r="F783" s="17">
        <v>6700</v>
      </c>
      <c r="G783" s="17">
        <v>0</v>
      </c>
      <c r="H783" s="17">
        <v>0</v>
      </c>
      <c r="I783" s="17">
        <v>6700</v>
      </c>
      <c r="J783" s="17">
        <v>0</v>
      </c>
      <c r="K783" s="17">
        <v>0</v>
      </c>
      <c r="L783" s="17">
        <v>6700</v>
      </c>
      <c r="M783" s="17">
        <v>0</v>
      </c>
      <c r="N783" s="17">
        <v>0</v>
      </c>
      <c r="O783" s="17">
        <v>6700</v>
      </c>
      <c r="P783" s="17">
        <v>0</v>
      </c>
      <c r="Q783" s="17">
        <v>6700</v>
      </c>
      <c r="R783" s="17">
        <v>0</v>
      </c>
      <c r="S783" s="17"/>
      <c r="T783" s="17" t="s">
        <v>2972</v>
      </c>
      <c r="U783" s="17" t="s">
        <v>3055</v>
      </c>
      <c r="V783" s="17" t="s">
        <v>3056</v>
      </c>
      <c r="W783" s="17"/>
      <c r="X783" s="17"/>
    </row>
    <row r="784" spans="1:24" hidden="1">
      <c r="A784" s="18">
        <v>783</v>
      </c>
      <c r="B784" s="17" t="s">
        <v>1716</v>
      </c>
      <c r="C784" s="17" t="s">
        <v>1717</v>
      </c>
      <c r="D784" s="17" t="s">
        <v>17</v>
      </c>
      <c r="E784" s="17" t="s">
        <v>8</v>
      </c>
      <c r="F784" s="17">
        <v>500</v>
      </c>
      <c r="G784" s="17">
        <v>0</v>
      </c>
      <c r="H784" s="17">
        <v>100</v>
      </c>
      <c r="I784" s="17">
        <v>400</v>
      </c>
      <c r="J784" s="17">
        <v>0</v>
      </c>
      <c r="K784" s="17">
        <v>0</v>
      </c>
      <c r="L784" s="17">
        <v>400</v>
      </c>
      <c r="M784" s="17">
        <v>0</v>
      </c>
      <c r="N784" s="17">
        <v>0</v>
      </c>
      <c r="O784" s="17">
        <v>400</v>
      </c>
      <c r="P784" s="17">
        <v>400</v>
      </c>
      <c r="Q784" s="17">
        <v>0</v>
      </c>
      <c r="R784" s="17">
        <v>0</v>
      </c>
      <c r="S784" s="17"/>
      <c r="T784" s="17" t="s">
        <v>2972</v>
      </c>
      <c r="U784" s="17" t="s">
        <v>3057</v>
      </c>
      <c r="V784" s="17" t="s">
        <v>3056</v>
      </c>
      <c r="W784" s="17"/>
      <c r="X784" s="17"/>
    </row>
    <row r="785" spans="1:24" hidden="1">
      <c r="A785" s="18">
        <v>784</v>
      </c>
      <c r="B785" s="17" t="s">
        <v>1792</v>
      </c>
      <c r="C785" s="17" t="s">
        <v>1793</v>
      </c>
      <c r="D785" s="17" t="s">
        <v>17</v>
      </c>
      <c r="E785" s="17" t="s">
        <v>8</v>
      </c>
      <c r="F785" s="17">
        <v>8650</v>
      </c>
      <c r="G785" s="17">
        <v>0</v>
      </c>
      <c r="H785" s="17">
        <v>2000</v>
      </c>
      <c r="I785" s="17">
        <v>6650</v>
      </c>
      <c r="J785" s="17">
        <v>0</v>
      </c>
      <c r="K785" s="17">
        <v>0</v>
      </c>
      <c r="L785" s="17">
        <v>6650</v>
      </c>
      <c r="M785" s="17">
        <v>0</v>
      </c>
      <c r="N785" s="17">
        <v>0</v>
      </c>
      <c r="O785" s="17">
        <v>6650</v>
      </c>
      <c r="P785" s="17">
        <v>4000</v>
      </c>
      <c r="Q785" s="17">
        <v>2650</v>
      </c>
      <c r="R785" s="17">
        <v>0</v>
      </c>
      <c r="S785" s="17"/>
      <c r="T785" s="17" t="s">
        <v>2972</v>
      </c>
      <c r="U785" s="17" t="s">
        <v>3055</v>
      </c>
      <c r="V785" s="17" t="s">
        <v>3056</v>
      </c>
      <c r="W785" s="17"/>
      <c r="X785" s="17"/>
    </row>
    <row r="786" spans="1:24" hidden="1">
      <c r="A786" s="18">
        <v>785</v>
      </c>
      <c r="B786" s="17" t="s">
        <v>1794</v>
      </c>
      <c r="C786" s="17" t="s">
        <v>1795</v>
      </c>
      <c r="D786" s="17" t="s">
        <v>17</v>
      </c>
      <c r="E786" s="17" t="s">
        <v>8</v>
      </c>
      <c r="F786" s="17">
        <v>1820</v>
      </c>
      <c r="G786" s="17">
        <v>0</v>
      </c>
      <c r="H786" s="17">
        <v>0</v>
      </c>
      <c r="I786" s="17">
        <v>1820</v>
      </c>
      <c r="J786" s="17">
        <v>0</v>
      </c>
      <c r="K786" s="17">
        <v>0</v>
      </c>
      <c r="L786" s="17">
        <v>1820</v>
      </c>
      <c r="M786" s="17">
        <v>0</v>
      </c>
      <c r="N786" s="17">
        <v>0</v>
      </c>
      <c r="O786" s="17">
        <v>1820</v>
      </c>
      <c r="P786" s="17">
        <v>400</v>
      </c>
      <c r="Q786" s="17">
        <v>1420</v>
      </c>
      <c r="R786" s="17">
        <v>0</v>
      </c>
      <c r="S786" s="17"/>
      <c r="T786" s="17" t="s">
        <v>2972</v>
      </c>
      <c r="U786" s="17" t="s">
        <v>3055</v>
      </c>
      <c r="V786" s="17" t="s">
        <v>3056</v>
      </c>
      <c r="W786" s="17"/>
      <c r="X786" s="17"/>
    </row>
    <row r="787" spans="1:24" hidden="1">
      <c r="A787" s="18">
        <v>786</v>
      </c>
      <c r="B787" s="17" t="s">
        <v>1734</v>
      </c>
      <c r="C787" s="17" t="s">
        <v>1735</v>
      </c>
      <c r="D787" s="17" t="s">
        <v>17</v>
      </c>
      <c r="E787" s="17" t="s">
        <v>8</v>
      </c>
      <c r="F787" s="17">
        <v>7000</v>
      </c>
      <c r="G787" s="17">
        <v>0</v>
      </c>
      <c r="H787" s="17">
        <v>0</v>
      </c>
      <c r="I787" s="17">
        <v>7000</v>
      </c>
      <c r="J787" s="17">
        <v>0</v>
      </c>
      <c r="K787" s="17">
        <v>0</v>
      </c>
      <c r="L787" s="17">
        <v>7000</v>
      </c>
      <c r="M787" s="17">
        <v>0</v>
      </c>
      <c r="N787" s="17">
        <v>0</v>
      </c>
      <c r="O787" s="17">
        <v>7000</v>
      </c>
      <c r="P787" s="17">
        <v>2500</v>
      </c>
      <c r="Q787" s="17">
        <v>4500</v>
      </c>
      <c r="R787" s="17">
        <v>0</v>
      </c>
      <c r="S787" s="17"/>
      <c r="T787" s="17" t="s">
        <v>2972</v>
      </c>
      <c r="U787" s="17" t="s">
        <v>3057</v>
      </c>
      <c r="V787" s="17" t="s">
        <v>3058</v>
      </c>
      <c r="W787" s="17"/>
      <c r="X787" s="17"/>
    </row>
    <row r="788" spans="1:24" hidden="1">
      <c r="A788" s="18">
        <v>787</v>
      </c>
      <c r="B788" s="17" t="s">
        <v>1738</v>
      </c>
      <c r="C788" s="17" t="s">
        <v>1739</v>
      </c>
      <c r="D788" s="17" t="s">
        <v>17</v>
      </c>
      <c r="E788" s="17" t="s">
        <v>8</v>
      </c>
      <c r="F788" s="17">
        <v>0</v>
      </c>
      <c r="G788" s="17">
        <v>0</v>
      </c>
      <c r="H788" s="17">
        <v>0</v>
      </c>
      <c r="I788" s="17">
        <v>0</v>
      </c>
      <c r="J788" s="17">
        <v>0</v>
      </c>
      <c r="K788" s="17">
        <v>0</v>
      </c>
      <c r="L788" s="17">
        <v>0</v>
      </c>
      <c r="M788" s="17">
        <v>0</v>
      </c>
      <c r="N788" s="17">
        <v>0</v>
      </c>
      <c r="O788" s="17">
        <v>0</v>
      </c>
      <c r="P788" s="17">
        <v>0</v>
      </c>
      <c r="Q788" s="17">
        <v>0</v>
      </c>
      <c r="R788" s="17">
        <v>0</v>
      </c>
      <c r="S788" s="17"/>
      <c r="T788" s="17" t="s">
        <v>2972</v>
      </c>
      <c r="U788" s="17" t="s">
        <v>3057</v>
      </c>
      <c r="V788" s="17" t="s">
        <v>3056</v>
      </c>
      <c r="W788" s="17"/>
      <c r="X788" s="17"/>
    </row>
    <row r="789" spans="1:24" hidden="1">
      <c r="A789" s="18">
        <v>788</v>
      </c>
      <c r="B789" s="17" t="s">
        <v>1742</v>
      </c>
      <c r="C789" s="17" t="s">
        <v>1743</v>
      </c>
      <c r="D789" s="17" t="s">
        <v>20</v>
      </c>
      <c r="E789" s="17" t="s">
        <v>8</v>
      </c>
      <c r="F789" s="17">
        <v>61.3</v>
      </c>
      <c r="G789" s="17">
        <v>0</v>
      </c>
      <c r="H789" s="17">
        <v>0</v>
      </c>
      <c r="I789" s="17">
        <v>61.3</v>
      </c>
      <c r="J789" s="17">
        <v>0</v>
      </c>
      <c r="K789" s="17">
        <v>0</v>
      </c>
      <c r="L789" s="17">
        <v>61.3</v>
      </c>
      <c r="M789" s="17">
        <v>0</v>
      </c>
      <c r="N789" s="17">
        <v>0</v>
      </c>
      <c r="O789" s="17">
        <v>61.3</v>
      </c>
      <c r="P789" s="17">
        <v>0</v>
      </c>
      <c r="Q789" s="17">
        <v>61.3</v>
      </c>
      <c r="R789" s="17">
        <v>0</v>
      </c>
      <c r="S789" s="17"/>
      <c r="T789" s="17" t="s">
        <v>2991</v>
      </c>
      <c r="U789" s="17" t="s">
        <v>3057</v>
      </c>
      <c r="V789" s="17" t="s">
        <v>3056</v>
      </c>
      <c r="W789" s="17"/>
      <c r="X789" s="17"/>
    </row>
    <row r="790" spans="1:24" hidden="1">
      <c r="A790" s="18">
        <v>789</v>
      </c>
      <c r="B790" s="17" t="s">
        <v>1744</v>
      </c>
      <c r="C790" s="17" t="s">
        <v>1745</v>
      </c>
      <c r="D790" s="17" t="s">
        <v>20</v>
      </c>
      <c r="E790" s="17" t="s">
        <v>8</v>
      </c>
      <c r="F790" s="17">
        <v>124</v>
      </c>
      <c r="G790" s="17">
        <v>0</v>
      </c>
      <c r="H790" s="17">
        <v>0</v>
      </c>
      <c r="I790" s="17">
        <v>124</v>
      </c>
      <c r="J790" s="17">
        <v>0</v>
      </c>
      <c r="K790" s="17">
        <v>124</v>
      </c>
      <c r="L790" s="17">
        <v>0</v>
      </c>
      <c r="M790" s="17">
        <v>0</v>
      </c>
      <c r="N790" s="17">
        <v>0</v>
      </c>
      <c r="O790" s="17">
        <v>0</v>
      </c>
      <c r="P790" s="17">
        <v>0</v>
      </c>
      <c r="Q790" s="17">
        <v>0</v>
      </c>
      <c r="R790" s="17">
        <v>0</v>
      </c>
      <c r="S790" s="17"/>
      <c r="T790" s="17" t="s">
        <v>2972</v>
      </c>
      <c r="U790" s="17" t="s">
        <v>3057</v>
      </c>
      <c r="V790" s="17" t="s">
        <v>3056</v>
      </c>
      <c r="W790" s="17"/>
      <c r="X790" s="17"/>
    </row>
    <row r="791" spans="1:24" hidden="1">
      <c r="A791" s="18">
        <v>790</v>
      </c>
      <c r="B791" s="17" t="s">
        <v>1752</v>
      </c>
      <c r="C791" s="17" t="s">
        <v>1753</v>
      </c>
      <c r="D791" s="17" t="s">
        <v>20</v>
      </c>
      <c r="E791" s="17" t="s">
        <v>8</v>
      </c>
      <c r="F791" s="17">
        <v>0</v>
      </c>
      <c r="G791" s="17">
        <v>0</v>
      </c>
      <c r="H791" s="17">
        <v>0</v>
      </c>
      <c r="I791" s="17">
        <v>0</v>
      </c>
      <c r="J791" s="17">
        <v>0</v>
      </c>
      <c r="K791" s="17">
        <v>0</v>
      </c>
      <c r="L791" s="17">
        <v>0</v>
      </c>
      <c r="M791" s="17">
        <v>0</v>
      </c>
      <c r="N791" s="17">
        <v>0</v>
      </c>
      <c r="O791" s="17">
        <v>0</v>
      </c>
      <c r="P791" s="17">
        <v>0</v>
      </c>
      <c r="Q791" s="17">
        <v>0</v>
      </c>
      <c r="R791" s="17">
        <v>0</v>
      </c>
      <c r="S791" s="17"/>
      <c r="T791" s="17" t="s">
        <v>2991</v>
      </c>
      <c r="U791" s="17" t="s">
        <v>3057</v>
      </c>
      <c r="V791" s="17" t="s">
        <v>3056</v>
      </c>
      <c r="W791" s="17"/>
      <c r="X791" s="17"/>
    </row>
    <row r="792" spans="1:24" hidden="1">
      <c r="A792" s="18">
        <v>791</v>
      </c>
      <c r="B792" s="17" t="s">
        <v>1754</v>
      </c>
      <c r="C792" s="17" t="s">
        <v>1755</v>
      </c>
      <c r="D792" s="17" t="s">
        <v>20</v>
      </c>
      <c r="E792" s="17" t="s">
        <v>8</v>
      </c>
      <c r="F792" s="17">
        <v>13.1</v>
      </c>
      <c r="G792" s="17">
        <v>0</v>
      </c>
      <c r="H792" s="17">
        <v>0</v>
      </c>
      <c r="I792" s="17">
        <v>13.1</v>
      </c>
      <c r="J792" s="17">
        <v>0</v>
      </c>
      <c r="K792" s="17">
        <v>0</v>
      </c>
      <c r="L792" s="17">
        <v>13.1</v>
      </c>
      <c r="M792" s="17">
        <v>0</v>
      </c>
      <c r="N792" s="17">
        <v>0</v>
      </c>
      <c r="O792" s="17">
        <v>13.1</v>
      </c>
      <c r="P792" s="17">
        <v>0</v>
      </c>
      <c r="Q792" s="17">
        <v>13.1</v>
      </c>
      <c r="R792" s="17">
        <v>0</v>
      </c>
      <c r="S792" s="17"/>
      <c r="T792" s="17" t="s">
        <v>2991</v>
      </c>
      <c r="U792" s="17" t="s">
        <v>3057</v>
      </c>
      <c r="V792" s="17" t="s">
        <v>3056</v>
      </c>
      <c r="W792" s="17"/>
      <c r="X792" s="17"/>
    </row>
    <row r="793" spans="1:24" hidden="1">
      <c r="A793" s="18">
        <v>792</v>
      </c>
      <c r="B793" s="17" t="s">
        <v>1758</v>
      </c>
      <c r="C793" s="17" t="s">
        <v>1759</v>
      </c>
      <c r="D793" s="17" t="s">
        <v>20</v>
      </c>
      <c r="E793" s="17" t="s">
        <v>8</v>
      </c>
      <c r="F793" s="17">
        <v>120.5</v>
      </c>
      <c r="G793" s="17">
        <v>0</v>
      </c>
      <c r="H793" s="17">
        <v>0</v>
      </c>
      <c r="I793" s="17">
        <v>120.5</v>
      </c>
      <c r="J793" s="17">
        <v>0</v>
      </c>
      <c r="K793" s="17">
        <v>0</v>
      </c>
      <c r="L793" s="17">
        <v>120.5</v>
      </c>
      <c r="M793" s="17">
        <v>0</v>
      </c>
      <c r="N793" s="17">
        <v>0</v>
      </c>
      <c r="O793" s="17">
        <v>120.5</v>
      </c>
      <c r="P793" s="17">
        <v>0</v>
      </c>
      <c r="Q793" s="17">
        <v>120.5</v>
      </c>
      <c r="R793" s="17">
        <v>0</v>
      </c>
      <c r="S793" s="17"/>
      <c r="T793" s="17" t="s">
        <v>2991</v>
      </c>
      <c r="U793" s="17" t="s">
        <v>3057</v>
      </c>
      <c r="V793" s="17" t="s">
        <v>3056</v>
      </c>
      <c r="W793" s="17"/>
      <c r="X793" s="17"/>
    </row>
    <row r="794" spans="1:24" hidden="1">
      <c r="A794" s="18">
        <v>793</v>
      </c>
      <c r="B794" s="17" t="s">
        <v>1762</v>
      </c>
      <c r="C794" s="17" t="s">
        <v>1763</v>
      </c>
      <c r="D794" s="17" t="s">
        <v>17</v>
      </c>
      <c r="E794" s="17" t="s">
        <v>8</v>
      </c>
      <c r="F794" s="17">
        <v>0</v>
      </c>
      <c r="G794" s="17">
        <v>0</v>
      </c>
      <c r="H794" s="17">
        <v>0</v>
      </c>
      <c r="I794" s="17">
        <v>0</v>
      </c>
      <c r="J794" s="17">
        <v>0</v>
      </c>
      <c r="K794" s="17">
        <v>0</v>
      </c>
      <c r="L794" s="17">
        <v>0</v>
      </c>
      <c r="M794" s="17">
        <v>0</v>
      </c>
      <c r="N794" s="17">
        <v>0</v>
      </c>
      <c r="O794" s="17">
        <v>0</v>
      </c>
      <c r="P794" s="17">
        <v>0</v>
      </c>
      <c r="Q794" s="17">
        <v>0</v>
      </c>
      <c r="R794" s="17">
        <v>0</v>
      </c>
      <c r="S794" s="17"/>
      <c r="T794" s="17" t="s">
        <v>3002</v>
      </c>
      <c r="U794" s="17" t="s">
        <v>3057</v>
      </c>
      <c r="V794" s="17" t="s">
        <v>3056</v>
      </c>
      <c r="W794" s="17"/>
      <c r="X794" s="17"/>
    </row>
    <row r="795" spans="1:24" hidden="1">
      <c r="A795" s="18">
        <v>794</v>
      </c>
      <c r="B795" s="17" t="s">
        <v>1768</v>
      </c>
      <c r="C795" s="17" t="s">
        <v>1769</v>
      </c>
      <c r="D795" s="17" t="s">
        <v>7</v>
      </c>
      <c r="E795" s="17" t="s">
        <v>8</v>
      </c>
      <c r="F795" s="17">
        <v>3000</v>
      </c>
      <c r="G795" s="17">
        <v>0</v>
      </c>
      <c r="H795" s="17">
        <v>0</v>
      </c>
      <c r="I795" s="17">
        <v>3000</v>
      </c>
      <c r="J795" s="17">
        <v>0</v>
      </c>
      <c r="K795" s="17">
        <v>0</v>
      </c>
      <c r="L795" s="17">
        <v>3000</v>
      </c>
      <c r="M795" s="17">
        <v>0</v>
      </c>
      <c r="N795" s="17">
        <v>0</v>
      </c>
      <c r="O795" s="17">
        <v>3000</v>
      </c>
      <c r="P795" s="17">
        <v>2000</v>
      </c>
      <c r="Q795" s="17">
        <v>1000</v>
      </c>
      <c r="R795" s="17">
        <v>0</v>
      </c>
      <c r="S795" s="17"/>
      <c r="T795" s="17" t="s">
        <v>2972</v>
      </c>
      <c r="U795" s="17" t="s">
        <v>3057</v>
      </c>
      <c r="V795" s="17" t="s">
        <v>3056</v>
      </c>
      <c r="W795" s="17"/>
      <c r="X795" s="17"/>
    </row>
    <row r="796" spans="1:24" hidden="1">
      <c r="A796" s="18">
        <v>795</v>
      </c>
      <c r="B796" s="17" t="s">
        <v>1770</v>
      </c>
      <c r="C796" s="17" t="s">
        <v>1771</v>
      </c>
      <c r="D796" s="17" t="s">
        <v>17</v>
      </c>
      <c r="E796" s="17" t="s">
        <v>8</v>
      </c>
      <c r="F796" s="17">
        <v>919</v>
      </c>
      <c r="G796" s="17">
        <v>0</v>
      </c>
      <c r="H796" s="17">
        <v>77</v>
      </c>
      <c r="I796" s="17">
        <v>842</v>
      </c>
      <c r="J796" s="17">
        <v>0</v>
      </c>
      <c r="K796" s="17">
        <v>0</v>
      </c>
      <c r="L796" s="17">
        <v>842</v>
      </c>
      <c r="M796" s="17">
        <v>0</v>
      </c>
      <c r="N796" s="17">
        <v>0</v>
      </c>
      <c r="O796" s="17">
        <v>842</v>
      </c>
      <c r="P796" s="17">
        <v>25</v>
      </c>
      <c r="Q796" s="17">
        <v>817</v>
      </c>
      <c r="R796" s="17">
        <v>0</v>
      </c>
      <c r="S796" s="17"/>
      <c r="T796" s="17" t="s">
        <v>2991</v>
      </c>
      <c r="U796" s="17" t="s">
        <v>3057</v>
      </c>
      <c r="V796" s="17" t="s">
        <v>3056</v>
      </c>
      <c r="W796" s="17"/>
      <c r="X796" s="17"/>
    </row>
    <row r="797" spans="1:24" hidden="1">
      <c r="A797" s="18">
        <v>796</v>
      </c>
      <c r="B797" s="17" t="s">
        <v>1772</v>
      </c>
      <c r="C797" s="17" t="s">
        <v>1773</v>
      </c>
      <c r="D797" s="17" t="s">
        <v>17</v>
      </c>
      <c r="E797" s="17" t="s">
        <v>8</v>
      </c>
      <c r="F797" s="17">
        <v>0</v>
      </c>
      <c r="G797" s="17">
        <v>0</v>
      </c>
      <c r="H797" s="17">
        <v>0</v>
      </c>
      <c r="I797" s="17">
        <v>0</v>
      </c>
      <c r="J797" s="17">
        <v>0</v>
      </c>
      <c r="K797" s="17">
        <v>0</v>
      </c>
      <c r="L797" s="17">
        <v>0</v>
      </c>
      <c r="M797" s="17">
        <v>0</v>
      </c>
      <c r="N797" s="17">
        <v>0</v>
      </c>
      <c r="O797" s="17">
        <v>0</v>
      </c>
      <c r="P797" s="17">
        <v>0</v>
      </c>
      <c r="Q797" s="17">
        <v>0</v>
      </c>
      <c r="R797" s="17">
        <v>0</v>
      </c>
      <c r="S797" s="17"/>
      <c r="T797" s="17" t="s">
        <v>2972</v>
      </c>
      <c r="U797" s="17" t="s">
        <v>3057</v>
      </c>
      <c r="V797" s="17" t="s">
        <v>3056</v>
      </c>
      <c r="W797" s="17"/>
      <c r="X797" s="17"/>
    </row>
    <row r="798" spans="1:24" hidden="1">
      <c r="A798" s="18">
        <v>797</v>
      </c>
      <c r="B798" s="17" t="s">
        <v>1822</v>
      </c>
      <c r="C798" s="17" t="s">
        <v>1823</v>
      </c>
      <c r="D798" s="17" t="s">
        <v>17</v>
      </c>
      <c r="E798" s="17" t="s">
        <v>8</v>
      </c>
      <c r="F798" s="17">
        <v>287</v>
      </c>
      <c r="G798" s="17">
        <v>0</v>
      </c>
      <c r="H798" s="17">
        <v>0</v>
      </c>
      <c r="I798" s="17">
        <v>287</v>
      </c>
      <c r="J798" s="17">
        <v>0</v>
      </c>
      <c r="K798" s="17">
        <v>0</v>
      </c>
      <c r="L798" s="17">
        <v>287</v>
      </c>
      <c r="M798" s="17">
        <v>0</v>
      </c>
      <c r="N798" s="17">
        <v>0</v>
      </c>
      <c r="O798" s="17">
        <v>287</v>
      </c>
      <c r="P798" s="17">
        <v>50</v>
      </c>
      <c r="Q798" s="17">
        <v>237</v>
      </c>
      <c r="R798" s="17">
        <v>0</v>
      </c>
      <c r="S798" s="17"/>
      <c r="T798" s="17" t="s">
        <v>2972</v>
      </c>
      <c r="U798" s="17" t="s">
        <v>3055</v>
      </c>
      <c r="V798" s="17" t="s">
        <v>3056</v>
      </c>
      <c r="W798" s="17"/>
      <c r="X798" s="17"/>
    </row>
    <row r="799" spans="1:24" hidden="1">
      <c r="A799" s="18">
        <v>798</v>
      </c>
      <c r="B799" s="17" t="s">
        <v>1824</v>
      </c>
      <c r="C799" s="17" t="s">
        <v>1825</v>
      </c>
      <c r="D799" s="17" t="s">
        <v>17</v>
      </c>
      <c r="E799" s="17" t="s">
        <v>8</v>
      </c>
      <c r="F799" s="17">
        <v>217</v>
      </c>
      <c r="G799" s="17">
        <v>0</v>
      </c>
      <c r="H799" s="17">
        <v>23</v>
      </c>
      <c r="I799" s="17">
        <v>194</v>
      </c>
      <c r="J799" s="17">
        <v>0</v>
      </c>
      <c r="K799" s="17">
        <v>0</v>
      </c>
      <c r="L799" s="17">
        <v>194</v>
      </c>
      <c r="M799" s="17">
        <v>0</v>
      </c>
      <c r="N799" s="17">
        <v>0</v>
      </c>
      <c r="O799" s="17">
        <v>194</v>
      </c>
      <c r="P799" s="17">
        <v>150</v>
      </c>
      <c r="Q799" s="17">
        <v>44</v>
      </c>
      <c r="R799" s="17">
        <v>0</v>
      </c>
      <c r="S799" s="17"/>
      <c r="T799" s="17" t="s">
        <v>2972</v>
      </c>
      <c r="U799" s="17" t="s">
        <v>3055</v>
      </c>
      <c r="V799" s="17" t="s">
        <v>3056</v>
      </c>
      <c r="W799" s="17"/>
      <c r="X799" s="17"/>
    </row>
    <row r="800" spans="1:24" hidden="1">
      <c r="A800" s="18">
        <v>799</v>
      </c>
      <c r="B800" s="17" t="s">
        <v>1778</v>
      </c>
      <c r="C800" s="17" t="s">
        <v>1779</v>
      </c>
      <c r="D800" s="17" t="s">
        <v>17</v>
      </c>
      <c r="E800" s="17" t="s">
        <v>8</v>
      </c>
      <c r="F800" s="17">
        <v>0</v>
      </c>
      <c r="G800" s="17">
        <v>0</v>
      </c>
      <c r="H800" s="17">
        <v>0</v>
      </c>
      <c r="I800" s="17">
        <v>0</v>
      </c>
      <c r="J800" s="17">
        <v>0</v>
      </c>
      <c r="K800" s="17">
        <v>0</v>
      </c>
      <c r="L800" s="17">
        <v>0</v>
      </c>
      <c r="M800" s="17">
        <v>0</v>
      </c>
      <c r="N800" s="17">
        <v>0</v>
      </c>
      <c r="O800" s="17">
        <v>0</v>
      </c>
      <c r="P800" s="17">
        <v>0</v>
      </c>
      <c r="Q800" s="17">
        <v>0</v>
      </c>
      <c r="R800" s="17">
        <v>0</v>
      </c>
      <c r="S800" s="17"/>
      <c r="T800" s="17" t="s">
        <v>2972</v>
      </c>
      <c r="U800" s="17" t="s">
        <v>3057</v>
      </c>
      <c r="V800" s="17" t="s">
        <v>3056</v>
      </c>
      <c r="W800" s="17"/>
      <c r="X800" s="17"/>
    </row>
    <row r="801" spans="1:24" hidden="1">
      <c r="A801" s="18">
        <v>800</v>
      </c>
      <c r="B801" s="17" t="s">
        <v>1780</v>
      </c>
      <c r="C801" s="17" t="s">
        <v>1781</v>
      </c>
      <c r="D801" s="17" t="s">
        <v>17</v>
      </c>
      <c r="E801" s="17" t="s">
        <v>8</v>
      </c>
      <c r="F801" s="17">
        <v>239</v>
      </c>
      <c r="G801" s="17">
        <v>0</v>
      </c>
      <c r="H801" s="17">
        <v>0</v>
      </c>
      <c r="I801" s="17">
        <v>239</v>
      </c>
      <c r="J801" s="17">
        <v>0</v>
      </c>
      <c r="K801" s="17">
        <v>0</v>
      </c>
      <c r="L801" s="17">
        <v>239</v>
      </c>
      <c r="M801" s="17">
        <v>0</v>
      </c>
      <c r="N801" s="17">
        <v>0</v>
      </c>
      <c r="O801" s="17">
        <v>239</v>
      </c>
      <c r="P801" s="17">
        <v>150</v>
      </c>
      <c r="Q801" s="17">
        <v>89</v>
      </c>
      <c r="R801" s="17">
        <v>0</v>
      </c>
      <c r="S801" s="17"/>
      <c r="T801" s="17" t="s">
        <v>2991</v>
      </c>
      <c r="U801" s="17" t="s">
        <v>3057</v>
      </c>
      <c r="V801" s="17" t="s">
        <v>3056</v>
      </c>
      <c r="W801" s="17"/>
      <c r="X801" s="17"/>
    </row>
    <row r="802" spans="1:24" hidden="1">
      <c r="A802" s="18">
        <v>801</v>
      </c>
      <c r="B802" s="17" t="s">
        <v>1782</v>
      </c>
      <c r="C802" s="17" t="s">
        <v>1783</v>
      </c>
      <c r="D802" s="17" t="s">
        <v>17</v>
      </c>
      <c r="E802" s="17" t="s">
        <v>8</v>
      </c>
      <c r="F802" s="17">
        <v>455</v>
      </c>
      <c r="G802" s="17">
        <v>0</v>
      </c>
      <c r="H802" s="17">
        <v>0</v>
      </c>
      <c r="I802" s="17">
        <v>455</v>
      </c>
      <c r="J802" s="17">
        <v>0</v>
      </c>
      <c r="K802" s="17">
        <v>0</v>
      </c>
      <c r="L802" s="17">
        <v>455</v>
      </c>
      <c r="M802" s="17">
        <v>0</v>
      </c>
      <c r="N802" s="17">
        <v>0</v>
      </c>
      <c r="O802" s="17">
        <v>455</v>
      </c>
      <c r="P802" s="17">
        <v>150</v>
      </c>
      <c r="Q802" s="17">
        <v>305</v>
      </c>
      <c r="R802" s="17">
        <v>0</v>
      </c>
      <c r="S802" s="17"/>
      <c r="T802" s="17" t="s">
        <v>2991</v>
      </c>
      <c r="U802" s="17" t="s">
        <v>3057</v>
      </c>
      <c r="V802" s="17" t="s">
        <v>3056</v>
      </c>
      <c r="W802" s="17"/>
      <c r="X802" s="17"/>
    </row>
    <row r="803" spans="1:24" hidden="1">
      <c r="A803" s="18">
        <v>802</v>
      </c>
      <c r="B803" s="17" t="s">
        <v>1784</v>
      </c>
      <c r="C803" s="17" t="s">
        <v>1785</v>
      </c>
      <c r="D803" s="17" t="s">
        <v>17</v>
      </c>
      <c r="E803" s="17" t="s">
        <v>8</v>
      </c>
      <c r="F803" s="17">
        <v>795</v>
      </c>
      <c r="G803" s="17">
        <v>0</v>
      </c>
      <c r="H803" s="17">
        <v>0</v>
      </c>
      <c r="I803" s="17">
        <v>795</v>
      </c>
      <c r="J803" s="17">
        <v>0</v>
      </c>
      <c r="K803" s="17">
        <v>0</v>
      </c>
      <c r="L803" s="17">
        <v>795</v>
      </c>
      <c r="M803" s="17">
        <v>0</v>
      </c>
      <c r="N803" s="17">
        <v>0</v>
      </c>
      <c r="O803" s="17">
        <v>795</v>
      </c>
      <c r="P803" s="17">
        <v>150</v>
      </c>
      <c r="Q803" s="17">
        <v>645</v>
      </c>
      <c r="R803" s="17">
        <v>0</v>
      </c>
      <c r="S803" s="17"/>
      <c r="T803" s="17" t="s">
        <v>2991</v>
      </c>
      <c r="U803" s="17" t="s">
        <v>3057</v>
      </c>
      <c r="V803" s="17" t="s">
        <v>3056</v>
      </c>
      <c r="W803" s="17"/>
      <c r="X803" s="17"/>
    </row>
    <row r="804" spans="1:24" hidden="1">
      <c r="A804" s="18">
        <v>803</v>
      </c>
      <c r="B804" s="17" t="s">
        <v>1786</v>
      </c>
      <c r="C804" s="17" t="s">
        <v>1787</v>
      </c>
      <c r="D804" s="17" t="s">
        <v>17</v>
      </c>
      <c r="E804" s="17" t="s">
        <v>8</v>
      </c>
      <c r="F804" s="17">
        <v>405</v>
      </c>
      <c r="G804" s="17">
        <v>0</v>
      </c>
      <c r="H804" s="17">
        <v>0</v>
      </c>
      <c r="I804" s="17">
        <v>405</v>
      </c>
      <c r="J804" s="17">
        <v>0</v>
      </c>
      <c r="K804" s="17">
        <v>0</v>
      </c>
      <c r="L804" s="17">
        <v>405</v>
      </c>
      <c r="M804" s="17">
        <v>0</v>
      </c>
      <c r="N804" s="17">
        <v>0</v>
      </c>
      <c r="O804" s="17">
        <v>405</v>
      </c>
      <c r="P804" s="17">
        <v>150</v>
      </c>
      <c r="Q804" s="17">
        <v>255</v>
      </c>
      <c r="R804" s="17">
        <v>0</v>
      </c>
      <c r="S804" s="17"/>
      <c r="T804" s="17" t="s">
        <v>2991</v>
      </c>
      <c r="U804" s="17" t="s">
        <v>3057</v>
      </c>
      <c r="V804" s="17" t="s">
        <v>3056</v>
      </c>
      <c r="W804" s="17"/>
      <c r="X804" s="17"/>
    </row>
    <row r="805" spans="1:24" hidden="1">
      <c r="A805" s="18">
        <v>804</v>
      </c>
      <c r="B805" s="17" t="s">
        <v>1790</v>
      </c>
      <c r="C805" s="17" t="s">
        <v>1791</v>
      </c>
      <c r="D805" s="17" t="s">
        <v>17</v>
      </c>
      <c r="E805" s="17" t="s">
        <v>8</v>
      </c>
      <c r="F805" s="17">
        <v>0</v>
      </c>
      <c r="G805" s="17">
        <v>0</v>
      </c>
      <c r="H805" s="17">
        <v>0</v>
      </c>
      <c r="I805" s="17">
        <v>0</v>
      </c>
      <c r="J805" s="17">
        <v>0</v>
      </c>
      <c r="K805" s="17">
        <v>0</v>
      </c>
      <c r="L805" s="17">
        <v>0</v>
      </c>
      <c r="M805" s="17">
        <v>0</v>
      </c>
      <c r="N805" s="17">
        <v>0</v>
      </c>
      <c r="O805" s="17">
        <v>0</v>
      </c>
      <c r="P805" s="17">
        <v>0</v>
      </c>
      <c r="Q805" s="17">
        <v>0</v>
      </c>
      <c r="R805" s="17">
        <v>0</v>
      </c>
      <c r="S805" s="17"/>
      <c r="T805" s="17" t="s">
        <v>2972</v>
      </c>
      <c r="U805" s="17" t="s">
        <v>3057</v>
      </c>
      <c r="V805" s="17" t="s">
        <v>3056</v>
      </c>
      <c r="W805" s="17"/>
      <c r="X805" s="17"/>
    </row>
    <row r="806" spans="1:24" hidden="1">
      <c r="A806" s="18">
        <v>805</v>
      </c>
      <c r="B806" s="17" t="s">
        <v>1796</v>
      </c>
      <c r="C806" s="17" t="s">
        <v>1797</v>
      </c>
      <c r="D806" s="17" t="s">
        <v>7</v>
      </c>
      <c r="E806" s="17" t="s">
        <v>8</v>
      </c>
      <c r="F806" s="17">
        <v>14381</v>
      </c>
      <c r="G806" s="17">
        <v>0</v>
      </c>
      <c r="H806" s="17">
        <v>4079</v>
      </c>
      <c r="I806" s="17">
        <v>10302</v>
      </c>
      <c r="J806" s="17">
        <v>0</v>
      </c>
      <c r="K806" s="17">
        <v>0</v>
      </c>
      <c r="L806" s="17">
        <v>10302</v>
      </c>
      <c r="M806" s="17">
        <v>0</v>
      </c>
      <c r="N806" s="17">
        <v>0</v>
      </c>
      <c r="O806" s="17">
        <v>10302</v>
      </c>
      <c r="P806" s="17">
        <v>0</v>
      </c>
      <c r="Q806" s="17">
        <v>10302</v>
      </c>
      <c r="R806" s="17">
        <v>0</v>
      </c>
      <c r="S806" s="17"/>
      <c r="T806" s="17" t="s">
        <v>3029</v>
      </c>
      <c r="U806" s="17" t="s">
        <v>3057</v>
      </c>
      <c r="V806" s="17" t="s">
        <v>3056</v>
      </c>
      <c r="W806" s="17"/>
      <c r="X806" s="17"/>
    </row>
    <row r="807" spans="1:24" hidden="1">
      <c r="A807" s="18">
        <v>806</v>
      </c>
      <c r="B807" s="17" t="s">
        <v>1798</v>
      </c>
      <c r="C807" s="17" t="s">
        <v>1799</v>
      </c>
      <c r="D807" s="17" t="s">
        <v>7</v>
      </c>
      <c r="E807" s="17" t="s">
        <v>8</v>
      </c>
      <c r="F807" s="17">
        <v>1755</v>
      </c>
      <c r="G807" s="17">
        <v>0</v>
      </c>
      <c r="H807" s="17">
        <v>0</v>
      </c>
      <c r="I807" s="17">
        <v>1755</v>
      </c>
      <c r="J807" s="17">
        <v>0</v>
      </c>
      <c r="K807" s="17">
        <v>0</v>
      </c>
      <c r="L807" s="17">
        <v>1755</v>
      </c>
      <c r="M807" s="17">
        <v>0</v>
      </c>
      <c r="N807" s="17">
        <v>0</v>
      </c>
      <c r="O807" s="17">
        <v>1755</v>
      </c>
      <c r="P807" s="17">
        <v>2500</v>
      </c>
      <c r="Q807" s="17">
        <v>-745</v>
      </c>
      <c r="R807" s="17">
        <v>0</v>
      </c>
      <c r="S807" s="17"/>
      <c r="T807" s="17" t="s">
        <v>2972</v>
      </c>
      <c r="U807" s="17" t="s">
        <v>3057</v>
      </c>
      <c r="V807" s="17" t="s">
        <v>3056</v>
      </c>
      <c r="W807" s="17"/>
      <c r="X807" s="17"/>
    </row>
    <row r="808" spans="1:24" hidden="1">
      <c r="A808" s="18">
        <v>807</v>
      </c>
      <c r="B808" s="17" t="s">
        <v>1800</v>
      </c>
      <c r="C808" s="17" t="s">
        <v>1801</v>
      </c>
      <c r="D808" s="17" t="s">
        <v>17</v>
      </c>
      <c r="E808" s="17" t="s">
        <v>8</v>
      </c>
      <c r="F808" s="17">
        <v>0</v>
      </c>
      <c r="G808" s="17">
        <v>2534</v>
      </c>
      <c r="H808" s="17">
        <v>784</v>
      </c>
      <c r="I808" s="17">
        <v>1750</v>
      </c>
      <c r="J808" s="17">
        <v>0</v>
      </c>
      <c r="K808" s="17">
        <v>0</v>
      </c>
      <c r="L808" s="17">
        <v>1750</v>
      </c>
      <c r="M808" s="17">
        <v>0</v>
      </c>
      <c r="N808" s="17">
        <v>0</v>
      </c>
      <c r="O808" s="17">
        <v>1750</v>
      </c>
      <c r="P808" s="17">
        <v>1000</v>
      </c>
      <c r="Q808" s="17">
        <v>750</v>
      </c>
      <c r="R808" s="17">
        <v>2500</v>
      </c>
      <c r="S808" s="17"/>
      <c r="T808" s="17" t="s">
        <v>2972</v>
      </c>
      <c r="U808" s="17" t="s">
        <v>3057</v>
      </c>
      <c r="V808" s="17" t="s">
        <v>3056</v>
      </c>
      <c r="W808" s="17"/>
      <c r="X808" s="17"/>
    </row>
    <row r="809" spans="1:24" hidden="1">
      <c r="A809" s="18">
        <v>808</v>
      </c>
      <c r="B809" s="17" t="s">
        <v>1802</v>
      </c>
      <c r="C809" s="17" t="s">
        <v>1803</v>
      </c>
      <c r="D809" s="17" t="s">
        <v>20</v>
      </c>
      <c r="E809" s="17" t="s">
        <v>8</v>
      </c>
      <c r="F809" s="17">
        <v>1103</v>
      </c>
      <c r="G809" s="17">
        <v>0</v>
      </c>
      <c r="H809" s="17">
        <v>115.6</v>
      </c>
      <c r="I809" s="17">
        <v>987.4</v>
      </c>
      <c r="J809" s="17">
        <v>0</v>
      </c>
      <c r="K809" s="17">
        <v>0</v>
      </c>
      <c r="L809" s="17">
        <v>987.4</v>
      </c>
      <c r="M809" s="17">
        <v>0</v>
      </c>
      <c r="N809" s="17">
        <v>0</v>
      </c>
      <c r="O809" s="17">
        <v>987.4</v>
      </c>
      <c r="P809" s="17">
        <v>350</v>
      </c>
      <c r="Q809" s="17">
        <v>637.4</v>
      </c>
      <c r="R809" s="17">
        <v>1500</v>
      </c>
      <c r="S809" s="17"/>
      <c r="T809" s="17" t="s">
        <v>3031</v>
      </c>
      <c r="U809" s="17" t="s">
        <v>3057</v>
      </c>
      <c r="V809" s="17" t="s">
        <v>3056</v>
      </c>
      <c r="W809" s="17"/>
      <c r="X809" s="17"/>
    </row>
    <row r="810" spans="1:24" hidden="1">
      <c r="A810" s="18">
        <v>809</v>
      </c>
      <c r="B810" s="17" t="s">
        <v>1804</v>
      </c>
      <c r="C810" s="17" t="s">
        <v>1805</v>
      </c>
      <c r="D810" s="17" t="s">
        <v>20</v>
      </c>
      <c r="E810" s="17" t="s">
        <v>8</v>
      </c>
      <c r="F810" s="17">
        <v>960.5</v>
      </c>
      <c r="G810" s="17">
        <v>2812.1</v>
      </c>
      <c r="H810" s="17">
        <v>2338.9</v>
      </c>
      <c r="I810" s="17">
        <v>1433.7</v>
      </c>
      <c r="J810" s="17">
        <v>0</v>
      </c>
      <c r="K810" s="17">
        <v>0</v>
      </c>
      <c r="L810" s="17">
        <v>1433.7</v>
      </c>
      <c r="M810" s="17">
        <v>0</v>
      </c>
      <c r="N810" s="17">
        <v>0</v>
      </c>
      <c r="O810" s="17">
        <v>1433.7</v>
      </c>
      <c r="P810" s="17">
        <v>1000</v>
      </c>
      <c r="Q810" s="17">
        <v>433.70000000000005</v>
      </c>
      <c r="R810" s="17">
        <v>3000</v>
      </c>
      <c r="S810" s="17"/>
      <c r="T810" s="17" t="s">
        <v>3031</v>
      </c>
      <c r="U810" s="17" t="s">
        <v>3057</v>
      </c>
      <c r="V810" s="17" t="s">
        <v>3056</v>
      </c>
      <c r="W810" s="17"/>
      <c r="X810" s="17"/>
    </row>
    <row r="811" spans="1:24" hidden="1">
      <c r="A811" s="18">
        <v>810</v>
      </c>
      <c r="B811" s="17" t="s">
        <v>1806</v>
      </c>
      <c r="C811" s="17" t="s">
        <v>1807</v>
      </c>
      <c r="D811" s="17" t="s">
        <v>20</v>
      </c>
      <c r="E811" s="17" t="s">
        <v>8</v>
      </c>
      <c r="F811" s="17">
        <v>253.6</v>
      </c>
      <c r="G811" s="17">
        <v>0</v>
      </c>
      <c r="H811" s="17">
        <v>144.19999999999999</v>
      </c>
      <c r="I811" s="17">
        <v>109.4</v>
      </c>
      <c r="J811" s="17">
        <v>0</v>
      </c>
      <c r="K811" s="17">
        <v>0</v>
      </c>
      <c r="L811" s="17">
        <v>109.4</v>
      </c>
      <c r="M811" s="17">
        <v>0</v>
      </c>
      <c r="N811" s="17">
        <v>0</v>
      </c>
      <c r="O811" s="17">
        <v>109.4</v>
      </c>
      <c r="P811" s="17">
        <v>100</v>
      </c>
      <c r="Q811" s="17">
        <v>9.4000000000000057</v>
      </c>
      <c r="R811" s="17">
        <v>0</v>
      </c>
      <c r="S811" s="17"/>
      <c r="T811" s="17" t="s">
        <v>3031</v>
      </c>
      <c r="U811" s="17" t="s">
        <v>3057</v>
      </c>
      <c r="V811" s="17" t="s">
        <v>3056</v>
      </c>
      <c r="W811" s="17"/>
      <c r="X811" s="17"/>
    </row>
    <row r="812" spans="1:24" hidden="1">
      <c r="A812" s="18">
        <v>811</v>
      </c>
      <c r="B812" s="17" t="s">
        <v>1808</v>
      </c>
      <c r="C812" s="17" t="s">
        <v>1809</v>
      </c>
      <c r="D812" s="17" t="s">
        <v>20</v>
      </c>
      <c r="E812" s="17" t="s">
        <v>8</v>
      </c>
      <c r="F812" s="17">
        <v>39.65</v>
      </c>
      <c r="G812" s="17">
        <v>494.7</v>
      </c>
      <c r="H812" s="17">
        <v>41.1</v>
      </c>
      <c r="I812" s="17">
        <v>493.25</v>
      </c>
      <c r="J812" s="17">
        <v>0</v>
      </c>
      <c r="K812" s="17">
        <v>0</v>
      </c>
      <c r="L812" s="17">
        <v>493.25</v>
      </c>
      <c r="M812" s="17">
        <v>0</v>
      </c>
      <c r="N812" s="17">
        <v>0</v>
      </c>
      <c r="O812" s="17">
        <v>493.25</v>
      </c>
      <c r="P812" s="17">
        <v>350</v>
      </c>
      <c r="Q812" s="17">
        <v>143.25</v>
      </c>
      <c r="R812" s="17">
        <v>500</v>
      </c>
      <c r="S812" s="17"/>
      <c r="T812" s="17" t="s">
        <v>3031</v>
      </c>
      <c r="U812" s="17" t="s">
        <v>3057</v>
      </c>
      <c r="V812" s="17" t="s">
        <v>3056</v>
      </c>
      <c r="W812" s="17"/>
      <c r="X812" s="17"/>
    </row>
    <row r="813" spans="1:24" hidden="1">
      <c r="A813" s="18">
        <v>812</v>
      </c>
      <c r="B813" s="17" t="s">
        <v>1812</v>
      </c>
      <c r="C813" s="17" t="s">
        <v>1813</v>
      </c>
      <c r="D813" s="17" t="s">
        <v>17</v>
      </c>
      <c r="E813" s="17" t="s">
        <v>8</v>
      </c>
      <c r="F813" s="17">
        <v>0</v>
      </c>
      <c r="G813" s="17">
        <v>0</v>
      </c>
      <c r="H813" s="17">
        <v>0</v>
      </c>
      <c r="I813" s="17">
        <v>0</v>
      </c>
      <c r="J813" s="17">
        <v>0</v>
      </c>
      <c r="K813" s="17">
        <v>0</v>
      </c>
      <c r="L813" s="17">
        <v>0</v>
      </c>
      <c r="M813" s="17">
        <v>0</v>
      </c>
      <c r="N813" s="17">
        <v>0</v>
      </c>
      <c r="O813" s="17">
        <v>0</v>
      </c>
      <c r="P813" s="17">
        <v>0</v>
      </c>
      <c r="Q813" s="17">
        <v>0</v>
      </c>
      <c r="R813" s="17">
        <v>0</v>
      </c>
      <c r="S813" s="17"/>
      <c r="T813" s="17" t="s">
        <v>2972</v>
      </c>
      <c r="U813" s="17" t="s">
        <v>3057</v>
      </c>
      <c r="V813" s="17" t="s">
        <v>3056</v>
      </c>
      <c r="W813" s="17"/>
      <c r="X813" s="17"/>
    </row>
    <row r="814" spans="1:24" hidden="1">
      <c r="A814" s="18">
        <v>813</v>
      </c>
      <c r="B814" s="17" t="s">
        <v>1814</v>
      </c>
      <c r="C814" s="17" t="s">
        <v>1815</v>
      </c>
      <c r="D814" s="17" t="s">
        <v>17</v>
      </c>
      <c r="E814" s="17" t="s">
        <v>8</v>
      </c>
      <c r="F814" s="17">
        <v>28812</v>
      </c>
      <c r="G814" s="17">
        <v>0</v>
      </c>
      <c r="H814" s="17">
        <v>2352</v>
      </c>
      <c r="I814" s="17">
        <v>26460</v>
      </c>
      <c r="J814" s="17">
        <v>0</v>
      </c>
      <c r="K814" s="17">
        <v>0</v>
      </c>
      <c r="L814" s="17">
        <v>26460</v>
      </c>
      <c r="M814" s="17">
        <v>0</v>
      </c>
      <c r="N814" s="17">
        <v>0</v>
      </c>
      <c r="O814" s="17">
        <v>26460</v>
      </c>
      <c r="P814" s="17">
        <v>10000</v>
      </c>
      <c r="Q814" s="17">
        <v>16460</v>
      </c>
      <c r="R814" s="17">
        <v>0</v>
      </c>
      <c r="S814" s="17"/>
      <c r="T814" s="17" t="s">
        <v>2972</v>
      </c>
      <c r="U814" s="17" t="s">
        <v>3057</v>
      </c>
      <c r="V814" s="17" t="s">
        <v>3056</v>
      </c>
      <c r="W814" s="17"/>
      <c r="X814" s="17"/>
    </row>
    <row r="815" spans="1:24" hidden="1">
      <c r="A815" s="18">
        <v>814</v>
      </c>
      <c r="B815" s="17" t="s">
        <v>1816</v>
      </c>
      <c r="C815" s="17" t="s">
        <v>1817</v>
      </c>
      <c r="D815" s="17" t="s">
        <v>17</v>
      </c>
      <c r="E815" s="17" t="s">
        <v>8</v>
      </c>
      <c r="F815" s="17">
        <v>16500</v>
      </c>
      <c r="G815" s="17">
        <v>0</v>
      </c>
      <c r="H815" s="17">
        <v>3000</v>
      </c>
      <c r="I815" s="17">
        <v>13500</v>
      </c>
      <c r="J815" s="17">
        <v>0</v>
      </c>
      <c r="K815" s="17">
        <v>0</v>
      </c>
      <c r="L815" s="17">
        <v>13500</v>
      </c>
      <c r="M815" s="17">
        <v>0</v>
      </c>
      <c r="N815" s="17">
        <v>0</v>
      </c>
      <c r="O815" s="17">
        <v>13500</v>
      </c>
      <c r="P815" s="17">
        <v>3000</v>
      </c>
      <c r="Q815" s="17">
        <v>10500</v>
      </c>
      <c r="R815" s="17">
        <v>5000</v>
      </c>
      <c r="S815" s="17"/>
      <c r="T815" s="17" t="s">
        <v>2972</v>
      </c>
      <c r="U815" s="17" t="s">
        <v>3060</v>
      </c>
      <c r="V815" s="17" t="s">
        <v>3058</v>
      </c>
      <c r="W815" s="17"/>
      <c r="X815" s="17"/>
    </row>
    <row r="816" spans="1:24" hidden="1">
      <c r="A816" s="18">
        <v>815</v>
      </c>
      <c r="B816" s="17" t="s">
        <v>1818</v>
      </c>
      <c r="C816" s="17" t="s">
        <v>1819</v>
      </c>
      <c r="D816" s="17" t="s">
        <v>17</v>
      </c>
      <c r="E816" s="17" t="s">
        <v>8</v>
      </c>
      <c r="F816" s="17">
        <v>1039</v>
      </c>
      <c r="G816" s="17">
        <v>0</v>
      </c>
      <c r="H816" s="17">
        <v>195</v>
      </c>
      <c r="I816" s="17">
        <v>844</v>
      </c>
      <c r="J816" s="17">
        <v>0</v>
      </c>
      <c r="K816" s="17">
        <v>0</v>
      </c>
      <c r="L816" s="17">
        <v>844</v>
      </c>
      <c r="M816" s="17">
        <v>0</v>
      </c>
      <c r="N816" s="17">
        <v>0</v>
      </c>
      <c r="O816" s="17">
        <v>844</v>
      </c>
      <c r="P816" s="17">
        <v>750</v>
      </c>
      <c r="Q816" s="17">
        <v>94</v>
      </c>
      <c r="R816" s="17">
        <v>0</v>
      </c>
      <c r="S816" s="17"/>
      <c r="T816" s="17" t="s">
        <v>2972</v>
      </c>
      <c r="U816" s="17" t="s">
        <v>3057</v>
      </c>
      <c r="V816" s="17" t="s">
        <v>3058</v>
      </c>
      <c r="W816" s="17"/>
      <c r="X816" s="17"/>
    </row>
    <row r="817" spans="1:24" hidden="1">
      <c r="A817" s="18">
        <v>816</v>
      </c>
      <c r="B817" s="17" t="s">
        <v>1826</v>
      </c>
      <c r="C817" s="17" t="s">
        <v>1827</v>
      </c>
      <c r="D817" s="17" t="s">
        <v>17</v>
      </c>
      <c r="E817" s="17" t="s">
        <v>8</v>
      </c>
      <c r="F817" s="17">
        <v>276</v>
      </c>
      <c r="G817" s="17">
        <v>0</v>
      </c>
      <c r="H817" s="17">
        <v>12</v>
      </c>
      <c r="I817" s="17">
        <v>264</v>
      </c>
      <c r="J817" s="17">
        <v>0</v>
      </c>
      <c r="K817" s="17">
        <v>0</v>
      </c>
      <c r="L817" s="17">
        <v>264</v>
      </c>
      <c r="M817" s="17">
        <v>0</v>
      </c>
      <c r="N817" s="17">
        <v>0</v>
      </c>
      <c r="O817" s="17">
        <v>264</v>
      </c>
      <c r="P817" s="17">
        <v>50</v>
      </c>
      <c r="Q817" s="17">
        <v>214</v>
      </c>
      <c r="R817" s="17">
        <v>0</v>
      </c>
      <c r="S817" s="17"/>
      <c r="T817" s="17" t="s">
        <v>2991</v>
      </c>
      <c r="U817" s="17" t="s">
        <v>3057</v>
      </c>
      <c r="V817" s="17" t="s">
        <v>3056</v>
      </c>
      <c r="W817" s="17"/>
      <c r="X817" s="17"/>
    </row>
    <row r="818" spans="1:24" hidden="1">
      <c r="A818" s="18">
        <v>817</v>
      </c>
      <c r="B818" s="17" t="s">
        <v>1828</v>
      </c>
      <c r="C818" s="17" t="s">
        <v>1829</v>
      </c>
      <c r="D818" s="17" t="s">
        <v>7</v>
      </c>
      <c r="E818" s="17" t="s">
        <v>8</v>
      </c>
      <c r="F818" s="17">
        <v>0</v>
      </c>
      <c r="G818" s="17">
        <v>0</v>
      </c>
      <c r="H818" s="17">
        <v>0</v>
      </c>
      <c r="I818" s="17">
        <v>0</v>
      </c>
      <c r="J818" s="17">
        <v>0</v>
      </c>
      <c r="K818" s="17">
        <v>0</v>
      </c>
      <c r="L818" s="17">
        <v>0</v>
      </c>
      <c r="M818" s="17">
        <v>0</v>
      </c>
      <c r="N818" s="17">
        <v>0</v>
      </c>
      <c r="O818" s="17">
        <v>0</v>
      </c>
      <c r="P818" s="17">
        <v>0</v>
      </c>
      <c r="Q818" s="17">
        <v>0</v>
      </c>
      <c r="R818" s="17">
        <v>0</v>
      </c>
      <c r="S818" s="17"/>
      <c r="T818" s="17" t="s">
        <v>2972</v>
      </c>
      <c r="U818" s="17" t="s">
        <v>3057</v>
      </c>
      <c r="V818" s="17" t="s">
        <v>3056</v>
      </c>
      <c r="W818" s="17"/>
      <c r="X818" s="17"/>
    </row>
    <row r="819" spans="1:24" hidden="1">
      <c r="A819" s="18">
        <v>818</v>
      </c>
      <c r="B819" s="17" t="s">
        <v>1830</v>
      </c>
      <c r="C819" s="17" t="s">
        <v>1831</v>
      </c>
      <c r="D819" s="17" t="s">
        <v>17</v>
      </c>
      <c r="E819" s="17" t="s">
        <v>8</v>
      </c>
      <c r="F819" s="17">
        <v>123</v>
      </c>
      <c r="G819" s="17">
        <v>0</v>
      </c>
      <c r="H819" s="17">
        <v>0</v>
      </c>
      <c r="I819" s="17">
        <v>123</v>
      </c>
      <c r="J819" s="17">
        <v>0</v>
      </c>
      <c r="K819" s="17">
        <v>0</v>
      </c>
      <c r="L819" s="17">
        <v>123</v>
      </c>
      <c r="M819" s="17">
        <v>0</v>
      </c>
      <c r="N819" s="17">
        <v>0</v>
      </c>
      <c r="O819" s="17">
        <v>123</v>
      </c>
      <c r="P819" s="17">
        <v>150</v>
      </c>
      <c r="Q819" s="17">
        <v>-27</v>
      </c>
      <c r="R819" s="17">
        <v>0</v>
      </c>
      <c r="S819" s="17"/>
      <c r="T819" s="17" t="s">
        <v>2991</v>
      </c>
      <c r="U819" s="17" t="s">
        <v>3057</v>
      </c>
      <c r="V819" s="17" t="s">
        <v>3056</v>
      </c>
      <c r="W819" s="17"/>
      <c r="X819" s="17"/>
    </row>
    <row r="820" spans="1:24" hidden="1">
      <c r="A820" s="18">
        <v>819</v>
      </c>
      <c r="B820" s="17" t="s">
        <v>1832</v>
      </c>
      <c r="C820" s="17" t="s">
        <v>1833</v>
      </c>
      <c r="D820" s="17" t="s">
        <v>17</v>
      </c>
      <c r="E820" s="17" t="s">
        <v>8</v>
      </c>
      <c r="F820" s="17">
        <v>80</v>
      </c>
      <c r="G820" s="17">
        <v>0</v>
      </c>
      <c r="H820" s="17">
        <v>0</v>
      </c>
      <c r="I820" s="17">
        <v>80</v>
      </c>
      <c r="J820" s="17">
        <v>0</v>
      </c>
      <c r="K820" s="17">
        <v>0</v>
      </c>
      <c r="L820" s="17">
        <v>80</v>
      </c>
      <c r="M820" s="17">
        <v>0</v>
      </c>
      <c r="N820" s="17">
        <v>0</v>
      </c>
      <c r="O820" s="17">
        <v>80</v>
      </c>
      <c r="P820" s="17">
        <v>150</v>
      </c>
      <c r="Q820" s="17">
        <v>-70</v>
      </c>
      <c r="R820" s="17">
        <v>0</v>
      </c>
      <c r="S820" s="17"/>
      <c r="T820" s="17" t="s">
        <v>2991</v>
      </c>
      <c r="U820" s="17" t="s">
        <v>3057</v>
      </c>
      <c r="V820" s="17" t="s">
        <v>3056</v>
      </c>
      <c r="W820" s="17"/>
      <c r="X820" s="17"/>
    </row>
    <row r="821" spans="1:24" hidden="1">
      <c r="A821" s="18">
        <v>820</v>
      </c>
      <c r="B821" s="17" t="s">
        <v>1870</v>
      </c>
      <c r="C821" s="17" t="s">
        <v>1871</v>
      </c>
      <c r="D821" s="17" t="s">
        <v>17</v>
      </c>
      <c r="E821" s="17" t="s">
        <v>8</v>
      </c>
      <c r="F821" s="17">
        <v>0</v>
      </c>
      <c r="G821" s="17">
        <v>0</v>
      </c>
      <c r="H821" s="17">
        <v>0</v>
      </c>
      <c r="I821" s="17">
        <v>0</v>
      </c>
      <c r="J821" s="17">
        <v>0</v>
      </c>
      <c r="K821" s="17">
        <v>0</v>
      </c>
      <c r="L821" s="17">
        <v>0</v>
      </c>
      <c r="M821" s="17">
        <v>0</v>
      </c>
      <c r="N821" s="17">
        <v>0</v>
      </c>
      <c r="O821" s="17">
        <v>0</v>
      </c>
      <c r="P821" s="17">
        <v>0</v>
      </c>
      <c r="Q821" s="17">
        <v>0</v>
      </c>
      <c r="R821" s="17">
        <v>0</v>
      </c>
      <c r="S821" s="17"/>
      <c r="T821" s="17" t="s">
        <v>2982</v>
      </c>
      <c r="U821" s="17" t="s">
        <v>3060</v>
      </c>
      <c r="V821" s="17" t="s">
        <v>3058</v>
      </c>
      <c r="W821" s="17"/>
      <c r="X821" s="17"/>
    </row>
    <row r="822" spans="1:24" hidden="1">
      <c r="A822" s="18">
        <v>821</v>
      </c>
      <c r="B822" s="17" t="s">
        <v>1872</v>
      </c>
      <c r="C822" s="17" t="s">
        <v>1873</v>
      </c>
      <c r="D822" s="17" t="s">
        <v>17</v>
      </c>
      <c r="E822" s="17" t="s">
        <v>8</v>
      </c>
      <c r="F822" s="17">
        <v>0</v>
      </c>
      <c r="G822" s="17">
        <v>0</v>
      </c>
      <c r="H822" s="17">
        <v>0</v>
      </c>
      <c r="I822" s="17">
        <v>0</v>
      </c>
      <c r="J822" s="17">
        <v>0</v>
      </c>
      <c r="K822" s="17">
        <v>0</v>
      </c>
      <c r="L822" s="17">
        <v>0</v>
      </c>
      <c r="M822" s="17">
        <v>0</v>
      </c>
      <c r="N822" s="17">
        <v>0</v>
      </c>
      <c r="O822" s="17">
        <v>0</v>
      </c>
      <c r="P822" s="17">
        <v>0</v>
      </c>
      <c r="Q822" s="17">
        <v>0</v>
      </c>
      <c r="R822" s="17">
        <v>0</v>
      </c>
      <c r="S822" s="17"/>
      <c r="T822" s="17" t="s">
        <v>2982</v>
      </c>
      <c r="U822" s="17" t="s">
        <v>3060</v>
      </c>
      <c r="V822" s="17" t="s">
        <v>3058</v>
      </c>
      <c r="W822" s="17"/>
      <c r="X822" s="17"/>
    </row>
    <row r="823" spans="1:24" hidden="1">
      <c r="A823" s="18">
        <v>822</v>
      </c>
      <c r="B823" s="17" t="s">
        <v>1874</v>
      </c>
      <c r="C823" s="17" t="s">
        <v>1875</v>
      </c>
      <c r="D823" s="17" t="s">
        <v>17</v>
      </c>
      <c r="E823" s="17" t="s">
        <v>8</v>
      </c>
      <c r="F823" s="17">
        <v>0</v>
      </c>
      <c r="G823" s="17">
        <v>0</v>
      </c>
      <c r="H823" s="17">
        <v>0</v>
      </c>
      <c r="I823" s="17">
        <v>0</v>
      </c>
      <c r="J823" s="17">
        <v>0</v>
      </c>
      <c r="K823" s="17">
        <v>0</v>
      </c>
      <c r="L823" s="17">
        <v>0</v>
      </c>
      <c r="M823" s="17">
        <v>0</v>
      </c>
      <c r="N823" s="17">
        <v>0</v>
      </c>
      <c r="O823" s="17">
        <v>0</v>
      </c>
      <c r="P823" s="17">
        <v>0</v>
      </c>
      <c r="Q823" s="17">
        <v>0</v>
      </c>
      <c r="R823" s="17">
        <v>0</v>
      </c>
      <c r="S823" s="17"/>
      <c r="T823" s="17" t="s">
        <v>2982</v>
      </c>
      <c r="U823" s="17" t="s">
        <v>3060</v>
      </c>
      <c r="V823" s="17" t="s">
        <v>3058</v>
      </c>
      <c r="W823" s="17"/>
      <c r="X823" s="17"/>
    </row>
    <row r="824" spans="1:24" hidden="1">
      <c r="A824" s="18">
        <v>823</v>
      </c>
      <c r="B824" s="17" t="s">
        <v>1876</v>
      </c>
      <c r="C824" s="17" t="s">
        <v>1877</v>
      </c>
      <c r="D824" s="17" t="s">
        <v>17</v>
      </c>
      <c r="E824" s="17" t="s">
        <v>8</v>
      </c>
      <c r="F824" s="17">
        <v>0</v>
      </c>
      <c r="G824" s="17">
        <v>0</v>
      </c>
      <c r="H824" s="17">
        <v>0</v>
      </c>
      <c r="I824" s="17">
        <v>0</v>
      </c>
      <c r="J824" s="17">
        <v>0</v>
      </c>
      <c r="K824" s="17">
        <v>0</v>
      </c>
      <c r="L824" s="17">
        <v>0</v>
      </c>
      <c r="M824" s="17">
        <v>0</v>
      </c>
      <c r="N824" s="17">
        <v>0</v>
      </c>
      <c r="O824" s="17">
        <v>0</v>
      </c>
      <c r="P824" s="17">
        <v>0</v>
      </c>
      <c r="Q824" s="17">
        <v>0</v>
      </c>
      <c r="R824" s="17">
        <v>0</v>
      </c>
      <c r="S824" s="17"/>
      <c r="T824" s="17" t="s">
        <v>2982</v>
      </c>
      <c r="U824" s="17" t="s">
        <v>3060</v>
      </c>
      <c r="V824" s="17" t="s">
        <v>3058</v>
      </c>
      <c r="W824" s="17"/>
      <c r="X824" s="17"/>
    </row>
    <row r="825" spans="1:24" hidden="1">
      <c r="A825" s="18">
        <v>824</v>
      </c>
      <c r="B825" s="17" t="s">
        <v>1878</v>
      </c>
      <c r="C825" s="17" t="s">
        <v>1879</v>
      </c>
      <c r="D825" s="17" t="s">
        <v>17</v>
      </c>
      <c r="E825" s="17" t="s">
        <v>8</v>
      </c>
      <c r="F825" s="17">
        <v>0</v>
      </c>
      <c r="G825" s="17">
        <v>0</v>
      </c>
      <c r="H825" s="17">
        <v>0</v>
      </c>
      <c r="I825" s="17">
        <v>0</v>
      </c>
      <c r="J825" s="17">
        <v>0</v>
      </c>
      <c r="K825" s="17">
        <v>0</v>
      </c>
      <c r="L825" s="17">
        <v>0</v>
      </c>
      <c r="M825" s="17">
        <v>0</v>
      </c>
      <c r="N825" s="17">
        <v>0</v>
      </c>
      <c r="O825" s="17">
        <v>0</v>
      </c>
      <c r="P825" s="17">
        <v>0</v>
      </c>
      <c r="Q825" s="17">
        <v>0</v>
      </c>
      <c r="R825" s="17">
        <v>0</v>
      </c>
      <c r="S825" s="17"/>
      <c r="T825" s="17" t="s">
        <v>2982</v>
      </c>
      <c r="U825" s="17" t="s">
        <v>3060</v>
      </c>
      <c r="V825" s="17" t="s">
        <v>3058</v>
      </c>
      <c r="W825" s="17"/>
      <c r="X825" s="17"/>
    </row>
    <row r="826" spans="1:24" hidden="1">
      <c r="A826" s="18">
        <v>825</v>
      </c>
      <c r="B826" s="17" t="s">
        <v>1880</v>
      </c>
      <c r="C826" s="17" t="s">
        <v>1881</v>
      </c>
      <c r="D826" s="17" t="s">
        <v>17</v>
      </c>
      <c r="E826" s="17" t="s">
        <v>8</v>
      </c>
      <c r="F826" s="17">
        <v>0</v>
      </c>
      <c r="G826" s="17">
        <v>0</v>
      </c>
      <c r="H826" s="17">
        <v>0</v>
      </c>
      <c r="I826" s="17">
        <v>0</v>
      </c>
      <c r="J826" s="17">
        <v>0</v>
      </c>
      <c r="K826" s="17">
        <v>0</v>
      </c>
      <c r="L826" s="17">
        <v>0</v>
      </c>
      <c r="M826" s="17">
        <v>0</v>
      </c>
      <c r="N826" s="17">
        <v>0</v>
      </c>
      <c r="O826" s="17">
        <v>0</v>
      </c>
      <c r="P826" s="17">
        <v>0</v>
      </c>
      <c r="Q826" s="17">
        <v>0</v>
      </c>
      <c r="R826" s="17">
        <v>0</v>
      </c>
      <c r="S826" s="17"/>
      <c r="T826" s="17" t="s">
        <v>2982</v>
      </c>
      <c r="U826" s="17" t="s">
        <v>3060</v>
      </c>
      <c r="V826" s="17" t="s">
        <v>3058</v>
      </c>
      <c r="W826" s="17"/>
      <c r="X826" s="17"/>
    </row>
    <row r="827" spans="1:24" hidden="1">
      <c r="A827" s="18">
        <v>826</v>
      </c>
      <c r="B827" s="17" t="s">
        <v>1882</v>
      </c>
      <c r="C827" s="17" t="s">
        <v>1883</v>
      </c>
      <c r="D827" s="17" t="s">
        <v>17</v>
      </c>
      <c r="E827" s="17" t="s">
        <v>8</v>
      </c>
      <c r="F827" s="17">
        <v>0</v>
      </c>
      <c r="G827" s="17">
        <v>0</v>
      </c>
      <c r="H827" s="17">
        <v>0</v>
      </c>
      <c r="I827" s="17">
        <v>0</v>
      </c>
      <c r="J827" s="17">
        <v>0</v>
      </c>
      <c r="K827" s="17">
        <v>0</v>
      </c>
      <c r="L827" s="17">
        <v>0</v>
      </c>
      <c r="M827" s="17">
        <v>0</v>
      </c>
      <c r="N827" s="17">
        <v>0</v>
      </c>
      <c r="O827" s="17">
        <v>0</v>
      </c>
      <c r="P827" s="17">
        <v>0</v>
      </c>
      <c r="Q827" s="17">
        <v>0</v>
      </c>
      <c r="R827" s="17">
        <v>0</v>
      </c>
      <c r="S827" s="17"/>
      <c r="T827" s="17" t="s">
        <v>2982</v>
      </c>
      <c r="U827" s="17" t="s">
        <v>3060</v>
      </c>
      <c r="V827" s="17" t="s">
        <v>3058</v>
      </c>
      <c r="W827" s="17"/>
      <c r="X827" s="17"/>
    </row>
    <row r="828" spans="1:24" hidden="1">
      <c r="A828" s="18">
        <v>827</v>
      </c>
      <c r="B828" s="17" t="s">
        <v>1884</v>
      </c>
      <c r="C828" s="17" t="s">
        <v>1885</v>
      </c>
      <c r="D828" s="17" t="s">
        <v>17</v>
      </c>
      <c r="E828" s="17" t="s">
        <v>8</v>
      </c>
      <c r="F828" s="17">
        <v>0</v>
      </c>
      <c r="G828" s="17">
        <v>0</v>
      </c>
      <c r="H828" s="17">
        <v>0</v>
      </c>
      <c r="I828" s="17">
        <v>0</v>
      </c>
      <c r="J828" s="17">
        <v>0</v>
      </c>
      <c r="K828" s="17">
        <v>0</v>
      </c>
      <c r="L828" s="17">
        <v>0</v>
      </c>
      <c r="M828" s="17">
        <v>0</v>
      </c>
      <c r="N828" s="17">
        <v>0</v>
      </c>
      <c r="O828" s="17">
        <v>0</v>
      </c>
      <c r="P828" s="17">
        <v>0</v>
      </c>
      <c r="Q828" s="17">
        <v>0</v>
      </c>
      <c r="R828" s="17">
        <v>0</v>
      </c>
      <c r="S828" s="17"/>
      <c r="T828" s="17" t="s">
        <v>2982</v>
      </c>
      <c r="U828" s="17" t="s">
        <v>3060</v>
      </c>
      <c r="V828" s="17" t="s">
        <v>3058</v>
      </c>
      <c r="W828" s="17"/>
      <c r="X828" s="17"/>
    </row>
    <row r="829" spans="1:24" hidden="1">
      <c r="A829" s="18">
        <v>828</v>
      </c>
      <c r="B829" s="17" t="s">
        <v>1886</v>
      </c>
      <c r="C829" s="17" t="s">
        <v>1887</v>
      </c>
      <c r="D829" s="17" t="s">
        <v>17</v>
      </c>
      <c r="E829" s="17" t="s">
        <v>8</v>
      </c>
      <c r="F829" s="17">
        <v>0</v>
      </c>
      <c r="G829" s="17">
        <v>0</v>
      </c>
      <c r="H829" s="17">
        <v>0</v>
      </c>
      <c r="I829" s="17">
        <v>0</v>
      </c>
      <c r="J829" s="17">
        <v>0</v>
      </c>
      <c r="K829" s="17">
        <v>0</v>
      </c>
      <c r="L829" s="17">
        <v>0</v>
      </c>
      <c r="M829" s="17">
        <v>0</v>
      </c>
      <c r="N829" s="17">
        <v>0</v>
      </c>
      <c r="O829" s="17">
        <v>0</v>
      </c>
      <c r="P829" s="17">
        <v>0</v>
      </c>
      <c r="Q829" s="17">
        <v>0</v>
      </c>
      <c r="R829" s="17">
        <v>0</v>
      </c>
      <c r="S829" s="17"/>
      <c r="T829" s="17" t="s">
        <v>2982</v>
      </c>
      <c r="U829" s="17" t="s">
        <v>3060</v>
      </c>
      <c r="V829" s="17" t="s">
        <v>3058</v>
      </c>
      <c r="W829" s="17"/>
      <c r="X829" s="17"/>
    </row>
    <row r="830" spans="1:24" hidden="1">
      <c r="A830" s="18">
        <v>829</v>
      </c>
      <c r="B830" s="17" t="s">
        <v>1888</v>
      </c>
      <c r="C830" s="17" t="s">
        <v>1889</v>
      </c>
      <c r="D830" s="17" t="s">
        <v>17</v>
      </c>
      <c r="E830" s="17" t="s">
        <v>8</v>
      </c>
      <c r="F830" s="17">
        <v>0</v>
      </c>
      <c r="G830" s="17">
        <v>0</v>
      </c>
      <c r="H830" s="17">
        <v>0</v>
      </c>
      <c r="I830" s="17">
        <v>0</v>
      </c>
      <c r="J830" s="17">
        <v>0</v>
      </c>
      <c r="K830" s="17">
        <v>0</v>
      </c>
      <c r="L830" s="17">
        <v>0</v>
      </c>
      <c r="M830" s="17">
        <v>0</v>
      </c>
      <c r="N830" s="17">
        <v>0</v>
      </c>
      <c r="O830" s="17">
        <v>0</v>
      </c>
      <c r="P830" s="17">
        <v>0</v>
      </c>
      <c r="Q830" s="17">
        <v>0</v>
      </c>
      <c r="R830" s="17">
        <v>0</v>
      </c>
      <c r="S830" s="17"/>
      <c r="T830" s="17" t="s">
        <v>2982</v>
      </c>
      <c r="U830" s="17" t="s">
        <v>3060</v>
      </c>
      <c r="V830" s="17" t="s">
        <v>3058</v>
      </c>
      <c r="W830" s="17"/>
      <c r="X830" s="17"/>
    </row>
    <row r="831" spans="1:24" hidden="1">
      <c r="A831" s="18">
        <v>830</v>
      </c>
      <c r="B831" s="17" t="s">
        <v>1890</v>
      </c>
      <c r="C831" s="17" t="s">
        <v>1891</v>
      </c>
      <c r="D831" s="17" t="s">
        <v>17</v>
      </c>
      <c r="E831" s="17" t="s">
        <v>8</v>
      </c>
      <c r="F831" s="17">
        <v>0</v>
      </c>
      <c r="G831" s="17">
        <v>0</v>
      </c>
      <c r="H831" s="17">
        <v>0</v>
      </c>
      <c r="I831" s="17">
        <v>0</v>
      </c>
      <c r="J831" s="17">
        <v>0</v>
      </c>
      <c r="K831" s="17">
        <v>0</v>
      </c>
      <c r="L831" s="17">
        <v>0</v>
      </c>
      <c r="M831" s="17">
        <v>0</v>
      </c>
      <c r="N831" s="17">
        <v>0</v>
      </c>
      <c r="O831" s="17">
        <v>0</v>
      </c>
      <c r="P831" s="17">
        <v>0</v>
      </c>
      <c r="Q831" s="17">
        <v>0</v>
      </c>
      <c r="R831" s="17">
        <v>0</v>
      </c>
      <c r="S831" s="17"/>
      <c r="T831" s="17" t="s">
        <v>2982</v>
      </c>
      <c r="U831" s="17" t="s">
        <v>3060</v>
      </c>
      <c r="V831" s="17" t="s">
        <v>3058</v>
      </c>
      <c r="W831" s="17"/>
      <c r="X831" s="17"/>
    </row>
    <row r="832" spans="1:24" hidden="1">
      <c r="A832" s="18">
        <v>831</v>
      </c>
      <c r="B832" s="17" t="s">
        <v>1892</v>
      </c>
      <c r="C832" s="17" t="s">
        <v>1893</v>
      </c>
      <c r="D832" s="17" t="s">
        <v>17</v>
      </c>
      <c r="E832" s="17" t="s">
        <v>8</v>
      </c>
      <c r="F832" s="17">
        <v>0</v>
      </c>
      <c r="G832" s="17">
        <v>0</v>
      </c>
      <c r="H832" s="17">
        <v>0</v>
      </c>
      <c r="I832" s="17">
        <v>0</v>
      </c>
      <c r="J832" s="17">
        <v>0</v>
      </c>
      <c r="K832" s="17">
        <v>0</v>
      </c>
      <c r="L832" s="17">
        <v>0</v>
      </c>
      <c r="M832" s="17">
        <v>0</v>
      </c>
      <c r="N832" s="17">
        <v>0</v>
      </c>
      <c r="O832" s="17">
        <v>0</v>
      </c>
      <c r="P832" s="17">
        <v>0</v>
      </c>
      <c r="Q832" s="17">
        <v>0</v>
      </c>
      <c r="R832" s="17">
        <v>0</v>
      </c>
      <c r="S832" s="17"/>
      <c r="T832" s="17" t="s">
        <v>2982</v>
      </c>
      <c r="U832" s="17" t="s">
        <v>3060</v>
      </c>
      <c r="V832" s="17" t="s">
        <v>3058</v>
      </c>
      <c r="W832" s="17"/>
      <c r="X832" s="17"/>
    </row>
    <row r="833" spans="1:24" hidden="1">
      <c r="A833" s="18">
        <v>832</v>
      </c>
      <c r="B833" s="17" t="s">
        <v>1894</v>
      </c>
      <c r="C833" s="17" t="s">
        <v>1895</v>
      </c>
      <c r="D833" s="17" t="s">
        <v>17</v>
      </c>
      <c r="E833" s="17" t="s">
        <v>8</v>
      </c>
      <c r="F833" s="17">
        <v>0</v>
      </c>
      <c r="G833" s="17">
        <v>0</v>
      </c>
      <c r="H833" s="17">
        <v>0</v>
      </c>
      <c r="I833" s="17">
        <v>0</v>
      </c>
      <c r="J833" s="17">
        <v>0</v>
      </c>
      <c r="K833" s="17">
        <v>0</v>
      </c>
      <c r="L833" s="17">
        <v>0</v>
      </c>
      <c r="M833" s="17">
        <v>0</v>
      </c>
      <c r="N833" s="17">
        <v>0</v>
      </c>
      <c r="O833" s="17">
        <v>0</v>
      </c>
      <c r="P833" s="17">
        <v>0</v>
      </c>
      <c r="Q833" s="17">
        <v>0</v>
      </c>
      <c r="R833" s="17">
        <v>0</v>
      </c>
      <c r="S833" s="17"/>
      <c r="T833" s="17" t="s">
        <v>2982</v>
      </c>
      <c r="U833" s="17" t="s">
        <v>3060</v>
      </c>
      <c r="V833" s="17" t="s">
        <v>3058</v>
      </c>
      <c r="W833" s="17"/>
      <c r="X833" s="17"/>
    </row>
    <row r="834" spans="1:24" hidden="1">
      <c r="A834" s="18">
        <v>833</v>
      </c>
      <c r="B834" s="17" t="s">
        <v>1896</v>
      </c>
      <c r="C834" s="17" t="s">
        <v>1897</v>
      </c>
      <c r="D834" s="17" t="s">
        <v>17</v>
      </c>
      <c r="E834" s="17" t="s">
        <v>8</v>
      </c>
      <c r="F834" s="17">
        <v>0</v>
      </c>
      <c r="G834" s="17">
        <v>0</v>
      </c>
      <c r="H834" s="17">
        <v>0</v>
      </c>
      <c r="I834" s="17">
        <v>0</v>
      </c>
      <c r="J834" s="17">
        <v>0</v>
      </c>
      <c r="K834" s="17">
        <v>0</v>
      </c>
      <c r="L834" s="17">
        <v>0</v>
      </c>
      <c r="M834" s="17">
        <v>0</v>
      </c>
      <c r="N834" s="17">
        <v>0</v>
      </c>
      <c r="O834" s="17">
        <v>0</v>
      </c>
      <c r="P834" s="17">
        <v>0</v>
      </c>
      <c r="Q834" s="17">
        <v>0</v>
      </c>
      <c r="R834" s="17">
        <v>0</v>
      </c>
      <c r="S834" s="17"/>
      <c r="T834" s="17" t="s">
        <v>2982</v>
      </c>
      <c r="U834" s="17" t="s">
        <v>3060</v>
      </c>
      <c r="V834" s="17" t="s">
        <v>3058</v>
      </c>
      <c r="W834" s="17"/>
      <c r="X834" s="17"/>
    </row>
    <row r="835" spans="1:24" hidden="1">
      <c r="A835" s="18">
        <v>834</v>
      </c>
      <c r="B835" s="17" t="s">
        <v>1898</v>
      </c>
      <c r="C835" s="17" t="s">
        <v>1899</v>
      </c>
      <c r="D835" s="17" t="s">
        <v>17</v>
      </c>
      <c r="E835" s="17" t="s">
        <v>8</v>
      </c>
      <c r="F835" s="17">
        <v>0</v>
      </c>
      <c r="G835" s="17">
        <v>0</v>
      </c>
      <c r="H835" s="17">
        <v>0</v>
      </c>
      <c r="I835" s="17">
        <v>0</v>
      </c>
      <c r="J835" s="17">
        <v>0</v>
      </c>
      <c r="K835" s="17">
        <v>0</v>
      </c>
      <c r="L835" s="17">
        <v>0</v>
      </c>
      <c r="M835" s="17">
        <v>0</v>
      </c>
      <c r="N835" s="17">
        <v>0</v>
      </c>
      <c r="O835" s="17">
        <v>0</v>
      </c>
      <c r="P835" s="17">
        <v>0</v>
      </c>
      <c r="Q835" s="17">
        <v>0</v>
      </c>
      <c r="R835" s="17">
        <v>0</v>
      </c>
      <c r="S835" s="17"/>
      <c r="T835" s="17" t="s">
        <v>2982</v>
      </c>
      <c r="U835" s="17" t="s">
        <v>3060</v>
      </c>
      <c r="V835" s="17" t="s">
        <v>3058</v>
      </c>
      <c r="W835" s="17"/>
      <c r="X835" s="17"/>
    </row>
    <row r="836" spans="1:24" hidden="1">
      <c r="A836" s="18">
        <v>835</v>
      </c>
      <c r="B836" s="17" t="s">
        <v>1900</v>
      </c>
      <c r="C836" s="17" t="s">
        <v>1901</v>
      </c>
      <c r="D836" s="17" t="s">
        <v>17</v>
      </c>
      <c r="E836" s="17" t="s">
        <v>8</v>
      </c>
      <c r="F836" s="17">
        <v>0</v>
      </c>
      <c r="G836" s="17">
        <v>0</v>
      </c>
      <c r="H836" s="17">
        <v>0</v>
      </c>
      <c r="I836" s="17">
        <v>0</v>
      </c>
      <c r="J836" s="17">
        <v>0</v>
      </c>
      <c r="K836" s="17">
        <v>0</v>
      </c>
      <c r="L836" s="17">
        <v>0</v>
      </c>
      <c r="M836" s="17">
        <v>0</v>
      </c>
      <c r="N836" s="17">
        <v>0</v>
      </c>
      <c r="O836" s="17">
        <v>0</v>
      </c>
      <c r="P836" s="17">
        <v>0</v>
      </c>
      <c r="Q836" s="17">
        <v>0</v>
      </c>
      <c r="R836" s="17">
        <v>0</v>
      </c>
      <c r="S836" s="17"/>
      <c r="T836" s="17" t="s">
        <v>2982</v>
      </c>
      <c r="U836" s="17" t="s">
        <v>3060</v>
      </c>
      <c r="V836" s="17" t="s">
        <v>3058</v>
      </c>
      <c r="W836" s="17"/>
      <c r="X836" s="17"/>
    </row>
    <row r="837" spans="1:24" hidden="1">
      <c r="A837" s="18">
        <v>836</v>
      </c>
      <c r="B837" s="17" t="s">
        <v>1902</v>
      </c>
      <c r="C837" s="17" t="s">
        <v>1903</v>
      </c>
      <c r="D837" s="17" t="s">
        <v>17</v>
      </c>
      <c r="E837" s="17" t="s">
        <v>8</v>
      </c>
      <c r="F837" s="17">
        <v>0</v>
      </c>
      <c r="G837" s="17">
        <v>0</v>
      </c>
      <c r="H837" s="17">
        <v>0</v>
      </c>
      <c r="I837" s="17">
        <v>0</v>
      </c>
      <c r="J837" s="17">
        <v>0</v>
      </c>
      <c r="K837" s="17">
        <v>0</v>
      </c>
      <c r="L837" s="17">
        <v>0</v>
      </c>
      <c r="M837" s="17">
        <v>0</v>
      </c>
      <c r="N837" s="17">
        <v>0</v>
      </c>
      <c r="O837" s="17">
        <v>0</v>
      </c>
      <c r="P837" s="17">
        <v>0</v>
      </c>
      <c r="Q837" s="17">
        <v>0</v>
      </c>
      <c r="R837" s="17">
        <v>0</v>
      </c>
      <c r="S837" s="17"/>
      <c r="T837" s="17" t="s">
        <v>2982</v>
      </c>
      <c r="U837" s="17" t="s">
        <v>3060</v>
      </c>
      <c r="V837" s="17" t="s">
        <v>3058</v>
      </c>
      <c r="W837" s="17"/>
      <c r="X837" s="17"/>
    </row>
    <row r="838" spans="1:24" hidden="1">
      <c r="A838" s="18">
        <v>837</v>
      </c>
      <c r="B838" s="17" t="s">
        <v>1904</v>
      </c>
      <c r="C838" s="17" t="s">
        <v>1905</v>
      </c>
      <c r="D838" s="17" t="s">
        <v>17</v>
      </c>
      <c r="E838" s="17" t="s">
        <v>8</v>
      </c>
      <c r="F838" s="17">
        <v>0</v>
      </c>
      <c r="G838" s="17">
        <v>0</v>
      </c>
      <c r="H838" s="17">
        <v>0</v>
      </c>
      <c r="I838" s="17">
        <v>0</v>
      </c>
      <c r="J838" s="17">
        <v>0</v>
      </c>
      <c r="K838" s="17">
        <v>0</v>
      </c>
      <c r="L838" s="17">
        <v>0</v>
      </c>
      <c r="M838" s="17">
        <v>0</v>
      </c>
      <c r="N838" s="17">
        <v>0</v>
      </c>
      <c r="O838" s="17">
        <v>0</v>
      </c>
      <c r="P838" s="17">
        <v>0</v>
      </c>
      <c r="Q838" s="17">
        <v>0</v>
      </c>
      <c r="R838" s="17">
        <v>0</v>
      </c>
      <c r="S838" s="17"/>
      <c r="T838" s="17" t="s">
        <v>2982</v>
      </c>
      <c r="U838" s="17" t="s">
        <v>3060</v>
      </c>
      <c r="V838" s="17" t="s">
        <v>3058</v>
      </c>
      <c r="W838" s="17"/>
      <c r="X838" s="17"/>
    </row>
    <row r="839" spans="1:24" hidden="1">
      <c r="A839" s="18">
        <v>838</v>
      </c>
      <c r="B839" s="17" t="s">
        <v>1906</v>
      </c>
      <c r="C839" s="17" t="s">
        <v>1907</v>
      </c>
      <c r="D839" s="17" t="s">
        <v>17</v>
      </c>
      <c r="E839" s="17" t="s">
        <v>8</v>
      </c>
      <c r="F839" s="17">
        <v>230</v>
      </c>
      <c r="G839" s="17">
        <v>0</v>
      </c>
      <c r="H839" s="17">
        <v>0</v>
      </c>
      <c r="I839" s="17">
        <v>230</v>
      </c>
      <c r="J839" s="17">
        <v>0</v>
      </c>
      <c r="K839" s="17">
        <v>0</v>
      </c>
      <c r="L839" s="17">
        <v>230</v>
      </c>
      <c r="M839" s="17">
        <v>0</v>
      </c>
      <c r="N839" s="17">
        <v>0</v>
      </c>
      <c r="O839" s="17">
        <v>230</v>
      </c>
      <c r="P839" s="17">
        <v>100</v>
      </c>
      <c r="Q839" s="17">
        <v>130</v>
      </c>
      <c r="R839" s="17">
        <v>0</v>
      </c>
      <c r="S839" s="17"/>
      <c r="T839" s="17" t="s">
        <v>2982</v>
      </c>
      <c r="U839" s="17" t="s">
        <v>3060</v>
      </c>
      <c r="V839" s="17" t="s">
        <v>3058</v>
      </c>
      <c r="W839" s="17"/>
      <c r="X839" s="17"/>
    </row>
    <row r="840" spans="1:24" hidden="1">
      <c r="A840" s="18">
        <v>839</v>
      </c>
      <c r="B840" s="17" t="s">
        <v>1908</v>
      </c>
      <c r="C840" s="17" t="s">
        <v>1909</v>
      </c>
      <c r="D840" s="17" t="s">
        <v>17</v>
      </c>
      <c r="E840" s="17" t="s">
        <v>8</v>
      </c>
      <c r="F840" s="17">
        <v>811</v>
      </c>
      <c r="G840" s="17">
        <v>0</v>
      </c>
      <c r="H840" s="17">
        <v>25</v>
      </c>
      <c r="I840" s="17">
        <v>786</v>
      </c>
      <c r="J840" s="17">
        <v>0</v>
      </c>
      <c r="K840" s="17">
        <v>0</v>
      </c>
      <c r="L840" s="17">
        <v>786</v>
      </c>
      <c r="M840" s="17">
        <v>0</v>
      </c>
      <c r="N840" s="17">
        <v>0</v>
      </c>
      <c r="O840" s="17">
        <v>786</v>
      </c>
      <c r="P840" s="17">
        <v>100</v>
      </c>
      <c r="Q840" s="17">
        <v>686</v>
      </c>
      <c r="R840" s="17">
        <v>0</v>
      </c>
      <c r="S840" s="17"/>
      <c r="T840" s="17" t="s">
        <v>2982</v>
      </c>
      <c r="U840" s="17" t="s">
        <v>3060</v>
      </c>
      <c r="V840" s="17" t="s">
        <v>3058</v>
      </c>
      <c r="W840" s="17"/>
      <c r="X840" s="17"/>
    </row>
    <row r="841" spans="1:24" hidden="1">
      <c r="A841" s="18">
        <v>840</v>
      </c>
      <c r="B841" s="17" t="s">
        <v>1910</v>
      </c>
      <c r="C841" s="17" t="s">
        <v>1911</v>
      </c>
      <c r="D841" s="17" t="s">
        <v>17</v>
      </c>
      <c r="E841" s="17" t="s">
        <v>8</v>
      </c>
      <c r="F841" s="17">
        <v>79</v>
      </c>
      <c r="G841" s="17">
        <v>350</v>
      </c>
      <c r="H841" s="17">
        <v>20</v>
      </c>
      <c r="I841" s="17">
        <v>409</v>
      </c>
      <c r="J841" s="17">
        <v>0</v>
      </c>
      <c r="K841" s="17">
        <v>0</v>
      </c>
      <c r="L841" s="17">
        <v>409</v>
      </c>
      <c r="M841" s="17">
        <v>0</v>
      </c>
      <c r="N841" s="17">
        <v>0</v>
      </c>
      <c r="O841" s="17">
        <v>409</v>
      </c>
      <c r="P841" s="17">
        <v>150</v>
      </c>
      <c r="Q841" s="17">
        <v>259</v>
      </c>
      <c r="R841" s="17">
        <v>150</v>
      </c>
      <c r="S841" s="17"/>
      <c r="T841" s="17" t="s">
        <v>2982</v>
      </c>
      <c r="U841" s="17" t="s">
        <v>3060</v>
      </c>
      <c r="V841" s="17" t="s">
        <v>3058</v>
      </c>
      <c r="W841" s="17"/>
      <c r="X841" s="17"/>
    </row>
    <row r="842" spans="1:24" hidden="1">
      <c r="A842" s="18">
        <v>841</v>
      </c>
      <c r="B842" s="17" t="s">
        <v>1912</v>
      </c>
      <c r="C842" s="17" t="s">
        <v>1913</v>
      </c>
      <c r="D842" s="17" t="s">
        <v>17</v>
      </c>
      <c r="E842" s="17" t="s">
        <v>8</v>
      </c>
      <c r="F842" s="17">
        <v>37</v>
      </c>
      <c r="G842" s="17">
        <v>250</v>
      </c>
      <c r="H842" s="17">
        <v>66</v>
      </c>
      <c r="I842" s="17">
        <v>221</v>
      </c>
      <c r="J842" s="17">
        <v>0</v>
      </c>
      <c r="K842" s="17">
        <v>0</v>
      </c>
      <c r="L842" s="17">
        <v>221</v>
      </c>
      <c r="M842" s="17">
        <v>0</v>
      </c>
      <c r="N842" s="17">
        <v>0</v>
      </c>
      <c r="O842" s="17">
        <v>221</v>
      </c>
      <c r="P842" s="17">
        <v>150</v>
      </c>
      <c r="Q842" s="17">
        <v>71</v>
      </c>
      <c r="R842" s="17">
        <v>150</v>
      </c>
      <c r="S842" s="17"/>
      <c r="T842" s="17" t="s">
        <v>2982</v>
      </c>
      <c r="U842" s="17" t="s">
        <v>3060</v>
      </c>
      <c r="V842" s="17" t="s">
        <v>3058</v>
      </c>
      <c r="W842" s="17"/>
      <c r="X842" s="17"/>
    </row>
    <row r="843" spans="1:24" hidden="1">
      <c r="A843" s="18">
        <v>842</v>
      </c>
      <c r="B843" s="17" t="s">
        <v>1834</v>
      </c>
      <c r="C843" s="17" t="s">
        <v>1835</v>
      </c>
      <c r="D843" s="17" t="s">
        <v>17</v>
      </c>
      <c r="E843" s="17" t="s">
        <v>8</v>
      </c>
      <c r="F843" s="17">
        <v>711</v>
      </c>
      <c r="G843" s="17">
        <v>0</v>
      </c>
      <c r="H843" s="17">
        <v>0</v>
      </c>
      <c r="I843" s="17">
        <v>711</v>
      </c>
      <c r="J843" s="17">
        <v>0</v>
      </c>
      <c r="K843" s="17">
        <v>0</v>
      </c>
      <c r="L843" s="17">
        <v>711</v>
      </c>
      <c r="M843" s="17">
        <v>0</v>
      </c>
      <c r="N843" s="17">
        <v>0</v>
      </c>
      <c r="O843" s="17">
        <v>711</v>
      </c>
      <c r="P843" s="17">
        <v>150</v>
      </c>
      <c r="Q843" s="17">
        <v>561</v>
      </c>
      <c r="R843" s="17">
        <v>0</v>
      </c>
      <c r="S843" s="17"/>
      <c r="T843" s="17" t="s">
        <v>2991</v>
      </c>
      <c r="U843" s="17" t="s">
        <v>3057</v>
      </c>
      <c r="V843" s="17" t="s">
        <v>3056</v>
      </c>
      <c r="W843" s="17"/>
      <c r="X843" s="17"/>
    </row>
    <row r="844" spans="1:24" hidden="1">
      <c r="A844" s="18">
        <v>843</v>
      </c>
      <c r="B844" s="17" t="s">
        <v>1836</v>
      </c>
      <c r="C844" s="17" t="s">
        <v>1837</v>
      </c>
      <c r="D844" s="17" t="s">
        <v>17</v>
      </c>
      <c r="E844" s="17" t="s">
        <v>8</v>
      </c>
      <c r="F844" s="17">
        <v>206</v>
      </c>
      <c r="G844" s="17">
        <v>0</v>
      </c>
      <c r="H844" s="17">
        <v>0</v>
      </c>
      <c r="I844" s="17">
        <v>206</v>
      </c>
      <c r="J844" s="17">
        <v>0</v>
      </c>
      <c r="K844" s="17">
        <v>0</v>
      </c>
      <c r="L844" s="17">
        <v>206</v>
      </c>
      <c r="M844" s="17">
        <v>0</v>
      </c>
      <c r="N844" s="17">
        <v>0</v>
      </c>
      <c r="O844" s="17">
        <v>206</v>
      </c>
      <c r="P844" s="17">
        <v>150</v>
      </c>
      <c r="Q844" s="17">
        <v>56</v>
      </c>
      <c r="R844" s="17">
        <v>0</v>
      </c>
      <c r="S844" s="17"/>
      <c r="T844" s="17" t="s">
        <v>2991</v>
      </c>
      <c r="U844" s="17" t="s">
        <v>3057</v>
      </c>
      <c r="V844" s="17" t="s">
        <v>3056</v>
      </c>
      <c r="W844" s="17"/>
      <c r="X844" s="17"/>
    </row>
    <row r="845" spans="1:24" hidden="1">
      <c r="A845" s="18">
        <v>844</v>
      </c>
      <c r="B845" s="17" t="s">
        <v>1838</v>
      </c>
      <c r="C845" s="17" t="s">
        <v>1839</v>
      </c>
      <c r="D845" s="17" t="s">
        <v>17</v>
      </c>
      <c r="E845" s="17" t="s">
        <v>8</v>
      </c>
      <c r="F845" s="17">
        <v>618</v>
      </c>
      <c r="G845" s="17">
        <v>0</v>
      </c>
      <c r="H845" s="17">
        <v>0</v>
      </c>
      <c r="I845" s="17">
        <v>618</v>
      </c>
      <c r="J845" s="17">
        <v>0</v>
      </c>
      <c r="K845" s="17">
        <v>0</v>
      </c>
      <c r="L845" s="17">
        <v>618</v>
      </c>
      <c r="M845" s="17">
        <v>0</v>
      </c>
      <c r="N845" s="17">
        <v>0</v>
      </c>
      <c r="O845" s="17">
        <v>618</v>
      </c>
      <c r="P845" s="17">
        <v>150</v>
      </c>
      <c r="Q845" s="17">
        <v>468</v>
      </c>
      <c r="R845" s="17">
        <v>0</v>
      </c>
      <c r="S845" s="17"/>
      <c r="T845" s="17" t="s">
        <v>2991</v>
      </c>
      <c r="U845" s="17" t="s">
        <v>3057</v>
      </c>
      <c r="V845" s="17" t="s">
        <v>3056</v>
      </c>
      <c r="W845" s="17"/>
      <c r="X845" s="17"/>
    </row>
    <row r="846" spans="1:24" hidden="1">
      <c r="A846" s="18">
        <v>845</v>
      </c>
      <c r="B846" s="17" t="s">
        <v>1840</v>
      </c>
      <c r="C846" s="17" t="s">
        <v>1841</v>
      </c>
      <c r="D846" s="17" t="s">
        <v>17</v>
      </c>
      <c r="E846" s="17" t="s">
        <v>8</v>
      </c>
      <c r="F846" s="17">
        <v>223</v>
      </c>
      <c r="G846" s="17">
        <v>0</v>
      </c>
      <c r="H846" s="17">
        <v>0</v>
      </c>
      <c r="I846" s="17">
        <v>223</v>
      </c>
      <c r="J846" s="17">
        <v>0</v>
      </c>
      <c r="K846" s="17">
        <v>0</v>
      </c>
      <c r="L846" s="17">
        <v>223</v>
      </c>
      <c r="M846" s="17">
        <v>0</v>
      </c>
      <c r="N846" s="17">
        <v>0</v>
      </c>
      <c r="O846" s="17">
        <v>223</v>
      </c>
      <c r="P846" s="17">
        <v>150</v>
      </c>
      <c r="Q846" s="17">
        <v>73</v>
      </c>
      <c r="R846" s="17">
        <v>0</v>
      </c>
      <c r="S846" s="17"/>
      <c r="T846" s="17" t="s">
        <v>2991</v>
      </c>
      <c r="U846" s="17" t="s">
        <v>3057</v>
      </c>
      <c r="V846" s="17" t="s">
        <v>3056</v>
      </c>
      <c r="W846" s="17"/>
      <c r="X846" s="17"/>
    </row>
    <row r="847" spans="1:24" hidden="1">
      <c r="A847" s="18">
        <v>846</v>
      </c>
      <c r="B847" s="17" t="s">
        <v>1842</v>
      </c>
      <c r="C847" s="17" t="s">
        <v>1843</v>
      </c>
      <c r="D847" s="17" t="s">
        <v>17</v>
      </c>
      <c r="E847" s="17" t="s">
        <v>8</v>
      </c>
      <c r="F847" s="17">
        <v>224</v>
      </c>
      <c r="G847" s="17">
        <v>0</v>
      </c>
      <c r="H847" s="17">
        <v>0</v>
      </c>
      <c r="I847" s="17">
        <v>224</v>
      </c>
      <c r="J847" s="17">
        <v>0</v>
      </c>
      <c r="K847" s="17">
        <v>0</v>
      </c>
      <c r="L847" s="17">
        <v>224</v>
      </c>
      <c r="M847" s="17">
        <v>0</v>
      </c>
      <c r="N847" s="17">
        <v>0</v>
      </c>
      <c r="O847" s="17">
        <v>224</v>
      </c>
      <c r="P847" s="17">
        <v>150</v>
      </c>
      <c r="Q847" s="17">
        <v>74</v>
      </c>
      <c r="R847" s="17">
        <v>0</v>
      </c>
      <c r="S847" s="17"/>
      <c r="T847" s="17" t="s">
        <v>2991</v>
      </c>
      <c r="U847" s="17" t="s">
        <v>3057</v>
      </c>
      <c r="V847" s="17" t="s">
        <v>3056</v>
      </c>
      <c r="W847" s="17"/>
      <c r="X847" s="17"/>
    </row>
    <row r="848" spans="1:24" hidden="1">
      <c r="A848" s="18">
        <v>847</v>
      </c>
      <c r="B848" s="17" t="s">
        <v>1844</v>
      </c>
      <c r="C848" s="17" t="s">
        <v>1845</v>
      </c>
      <c r="D848" s="17" t="s">
        <v>20</v>
      </c>
      <c r="E848" s="17" t="s">
        <v>8</v>
      </c>
      <c r="F848" s="17">
        <v>149.35</v>
      </c>
      <c r="G848" s="17">
        <v>85.9</v>
      </c>
      <c r="H848" s="17">
        <v>111.15</v>
      </c>
      <c r="I848" s="17">
        <v>124.1</v>
      </c>
      <c r="J848" s="17">
        <v>0</v>
      </c>
      <c r="K848" s="17">
        <v>0</v>
      </c>
      <c r="L848" s="17">
        <v>124.1</v>
      </c>
      <c r="M848" s="17">
        <v>0</v>
      </c>
      <c r="N848" s="17">
        <v>0</v>
      </c>
      <c r="O848" s="17">
        <v>124.1</v>
      </c>
      <c r="P848" s="17">
        <v>100</v>
      </c>
      <c r="Q848" s="17">
        <v>24.099999999999994</v>
      </c>
      <c r="R848" s="17">
        <v>100</v>
      </c>
      <c r="S848" s="17"/>
      <c r="T848" s="17" t="s">
        <v>3031</v>
      </c>
      <c r="U848" s="17" t="s">
        <v>3057</v>
      </c>
      <c r="V848" s="17" t="s">
        <v>3056</v>
      </c>
      <c r="W848" s="17"/>
      <c r="X848" s="17"/>
    </row>
    <row r="849" spans="1:24" hidden="1">
      <c r="A849" s="18">
        <v>848</v>
      </c>
      <c r="B849" s="17" t="s">
        <v>1848</v>
      </c>
      <c r="C849" s="17" t="s">
        <v>1849</v>
      </c>
      <c r="D849" s="17" t="s">
        <v>20</v>
      </c>
      <c r="E849" s="17" t="s">
        <v>8</v>
      </c>
      <c r="F849" s="17">
        <v>77.7</v>
      </c>
      <c r="G849" s="17">
        <v>0</v>
      </c>
      <c r="H849" s="17">
        <v>0</v>
      </c>
      <c r="I849" s="17">
        <v>77.7</v>
      </c>
      <c r="J849" s="17">
        <v>0</v>
      </c>
      <c r="K849" s="17">
        <v>0</v>
      </c>
      <c r="L849" s="17">
        <v>77.7</v>
      </c>
      <c r="M849" s="17">
        <v>0</v>
      </c>
      <c r="N849" s="17">
        <v>0</v>
      </c>
      <c r="O849" s="17">
        <v>77.7</v>
      </c>
      <c r="P849" s="17">
        <v>20</v>
      </c>
      <c r="Q849" s="17">
        <v>57.7</v>
      </c>
      <c r="R849" s="17">
        <v>100</v>
      </c>
      <c r="S849" s="17"/>
      <c r="T849" s="17" t="s">
        <v>3031</v>
      </c>
      <c r="U849" s="17" t="s">
        <v>3057</v>
      </c>
      <c r="V849" s="17" t="s">
        <v>3056</v>
      </c>
      <c r="W849" s="17"/>
      <c r="X849" s="17"/>
    </row>
    <row r="850" spans="1:24" hidden="1">
      <c r="A850" s="18">
        <v>849</v>
      </c>
      <c r="B850" s="17" t="s">
        <v>1928</v>
      </c>
      <c r="C850" s="17" t="s">
        <v>1929</v>
      </c>
      <c r="D850" s="17" t="s">
        <v>17</v>
      </c>
      <c r="E850" s="17" t="s">
        <v>8</v>
      </c>
      <c r="F850" s="17">
        <v>0</v>
      </c>
      <c r="G850" s="17">
        <v>0</v>
      </c>
      <c r="H850" s="17">
        <v>0</v>
      </c>
      <c r="I850" s="17">
        <v>0</v>
      </c>
      <c r="J850" s="17">
        <v>0</v>
      </c>
      <c r="K850" s="17">
        <v>0</v>
      </c>
      <c r="L850" s="17">
        <v>0</v>
      </c>
      <c r="M850" s="17">
        <v>0</v>
      </c>
      <c r="N850" s="17">
        <v>0</v>
      </c>
      <c r="O850" s="17">
        <v>0</v>
      </c>
      <c r="P850" s="17">
        <v>0</v>
      </c>
      <c r="Q850" s="17">
        <v>0</v>
      </c>
      <c r="R850" s="17">
        <v>0</v>
      </c>
      <c r="S850" s="17"/>
      <c r="T850" s="17" t="s">
        <v>2972</v>
      </c>
      <c r="U850" s="17" t="s">
        <v>3060</v>
      </c>
      <c r="V850" s="17" t="s">
        <v>3058</v>
      </c>
      <c r="W850" s="17"/>
      <c r="X850" s="17"/>
    </row>
    <row r="851" spans="1:24" hidden="1">
      <c r="A851" s="18">
        <v>850</v>
      </c>
      <c r="B851" s="17" t="s">
        <v>1930</v>
      </c>
      <c r="C851" s="17" t="s">
        <v>1931</v>
      </c>
      <c r="D851" s="17" t="s">
        <v>17</v>
      </c>
      <c r="E851" s="17" t="s">
        <v>8</v>
      </c>
      <c r="F851" s="17">
        <v>20</v>
      </c>
      <c r="G851" s="17">
        <v>0</v>
      </c>
      <c r="H851" s="17">
        <v>1</v>
      </c>
      <c r="I851" s="17">
        <v>19</v>
      </c>
      <c r="J851" s="17">
        <v>0</v>
      </c>
      <c r="K851" s="17">
        <v>0</v>
      </c>
      <c r="L851" s="17">
        <v>19</v>
      </c>
      <c r="M851" s="17">
        <v>0</v>
      </c>
      <c r="N851" s="17">
        <v>0</v>
      </c>
      <c r="O851" s="17">
        <v>19</v>
      </c>
      <c r="P851" s="17">
        <v>0</v>
      </c>
      <c r="Q851" s="17">
        <v>19</v>
      </c>
      <c r="R851" s="17">
        <v>0</v>
      </c>
      <c r="S851" s="17"/>
      <c r="T851" s="17" t="s">
        <v>3052</v>
      </c>
      <c r="U851" s="17" t="s">
        <v>3062</v>
      </c>
      <c r="V851" s="17" t="s">
        <v>3056</v>
      </c>
      <c r="W851" s="17"/>
      <c r="X851" s="17"/>
    </row>
    <row r="852" spans="1:24" hidden="1">
      <c r="A852" s="18">
        <v>851</v>
      </c>
      <c r="B852" s="17" t="s">
        <v>1932</v>
      </c>
      <c r="C852" s="17" t="s">
        <v>1933</v>
      </c>
      <c r="D852" s="17" t="s">
        <v>17</v>
      </c>
      <c r="E852" s="17" t="s">
        <v>8</v>
      </c>
      <c r="F852" s="17">
        <v>4</v>
      </c>
      <c r="G852" s="17">
        <v>0</v>
      </c>
      <c r="H852" s="17">
        <v>0</v>
      </c>
      <c r="I852" s="17">
        <v>4</v>
      </c>
      <c r="J852" s="17">
        <v>0</v>
      </c>
      <c r="K852" s="17">
        <v>0</v>
      </c>
      <c r="L852" s="17">
        <v>4</v>
      </c>
      <c r="M852" s="17">
        <v>0</v>
      </c>
      <c r="N852" s="17">
        <v>0</v>
      </c>
      <c r="O852" s="17">
        <v>4</v>
      </c>
      <c r="P852" s="17">
        <v>0</v>
      </c>
      <c r="Q852" s="17">
        <v>4</v>
      </c>
      <c r="R852" s="17">
        <v>0</v>
      </c>
      <c r="S852" s="17"/>
      <c r="T852" s="17" t="s">
        <v>3052</v>
      </c>
      <c r="U852" s="17" t="s">
        <v>3062</v>
      </c>
      <c r="V852" s="17" t="s">
        <v>3056</v>
      </c>
      <c r="W852" s="17"/>
      <c r="X852" s="17"/>
    </row>
    <row r="853" spans="1:24" hidden="1">
      <c r="A853" s="18">
        <v>852</v>
      </c>
      <c r="B853" s="17" t="s">
        <v>1934</v>
      </c>
      <c r="C853" s="17" t="s">
        <v>1935</v>
      </c>
      <c r="D853" s="17" t="s">
        <v>17</v>
      </c>
      <c r="E853" s="17" t="s">
        <v>8</v>
      </c>
      <c r="F853" s="17">
        <v>2</v>
      </c>
      <c r="G853" s="17">
        <v>0</v>
      </c>
      <c r="H853" s="17">
        <v>0</v>
      </c>
      <c r="I853" s="17">
        <v>2</v>
      </c>
      <c r="J853" s="17">
        <v>0</v>
      </c>
      <c r="K853" s="17">
        <v>0</v>
      </c>
      <c r="L853" s="17">
        <v>2</v>
      </c>
      <c r="M853" s="17">
        <v>0</v>
      </c>
      <c r="N853" s="17">
        <v>0</v>
      </c>
      <c r="O853" s="17">
        <v>2</v>
      </c>
      <c r="P853" s="17">
        <v>0</v>
      </c>
      <c r="Q853" s="17">
        <v>2</v>
      </c>
      <c r="R853" s="17">
        <v>0</v>
      </c>
      <c r="S853" s="17"/>
      <c r="T853" s="17" t="s">
        <v>3052</v>
      </c>
      <c r="U853" s="17" t="s">
        <v>3062</v>
      </c>
      <c r="V853" s="17" t="s">
        <v>3056</v>
      </c>
      <c r="W853" s="17"/>
      <c r="X853" s="17"/>
    </row>
    <row r="854" spans="1:24" hidden="1">
      <c r="A854" s="18">
        <v>853</v>
      </c>
      <c r="B854" s="17" t="s">
        <v>1936</v>
      </c>
      <c r="C854" s="17" t="s">
        <v>1937</v>
      </c>
      <c r="D854" s="17" t="s">
        <v>17</v>
      </c>
      <c r="E854" s="17" t="s">
        <v>8</v>
      </c>
      <c r="F854" s="17">
        <v>20</v>
      </c>
      <c r="G854" s="17">
        <v>0</v>
      </c>
      <c r="H854" s="17">
        <v>0</v>
      </c>
      <c r="I854" s="17">
        <v>20</v>
      </c>
      <c r="J854" s="17">
        <v>0</v>
      </c>
      <c r="K854" s="17">
        <v>0</v>
      </c>
      <c r="L854" s="17">
        <v>20</v>
      </c>
      <c r="M854" s="17">
        <v>0</v>
      </c>
      <c r="N854" s="17">
        <v>0</v>
      </c>
      <c r="O854" s="17">
        <v>20</v>
      </c>
      <c r="P854" s="17">
        <v>5</v>
      </c>
      <c r="Q854" s="17">
        <v>15</v>
      </c>
      <c r="R854" s="17">
        <v>0</v>
      </c>
      <c r="S854" s="17"/>
      <c r="T854" s="17" t="s">
        <v>3052</v>
      </c>
      <c r="U854" s="17" t="s">
        <v>3062</v>
      </c>
      <c r="V854" s="17" t="s">
        <v>3056</v>
      </c>
      <c r="W854" s="17"/>
      <c r="X854" s="17"/>
    </row>
    <row r="855" spans="1:24" hidden="1">
      <c r="A855" s="18">
        <v>854</v>
      </c>
      <c r="B855" s="17" t="s">
        <v>1938</v>
      </c>
      <c r="C855" s="17" t="s">
        <v>1939</v>
      </c>
      <c r="D855" s="17" t="s">
        <v>17</v>
      </c>
      <c r="E855" s="17" t="s">
        <v>8</v>
      </c>
      <c r="F855" s="17">
        <v>10</v>
      </c>
      <c r="G855" s="17">
        <v>0</v>
      </c>
      <c r="H855" s="17">
        <v>0</v>
      </c>
      <c r="I855" s="17">
        <v>10</v>
      </c>
      <c r="J855" s="17">
        <v>0</v>
      </c>
      <c r="K855" s="17">
        <v>0</v>
      </c>
      <c r="L855" s="17">
        <v>10</v>
      </c>
      <c r="M855" s="17">
        <v>0</v>
      </c>
      <c r="N855" s="17">
        <v>0</v>
      </c>
      <c r="O855" s="17">
        <v>10</v>
      </c>
      <c r="P855" s="17">
        <v>1</v>
      </c>
      <c r="Q855" s="17">
        <v>9</v>
      </c>
      <c r="R855" s="17">
        <v>0</v>
      </c>
      <c r="S855" s="17"/>
      <c r="T855" s="17" t="s">
        <v>3052</v>
      </c>
      <c r="U855" s="17" t="s">
        <v>3062</v>
      </c>
      <c r="V855" s="17" t="s">
        <v>3056</v>
      </c>
      <c r="W855" s="17"/>
      <c r="X855" s="17"/>
    </row>
    <row r="856" spans="1:24" hidden="1">
      <c r="A856" s="18">
        <v>855</v>
      </c>
      <c r="B856" s="17" t="s">
        <v>1940</v>
      </c>
      <c r="C856" s="17" t="s">
        <v>1941</v>
      </c>
      <c r="D856" s="17" t="s">
        <v>17</v>
      </c>
      <c r="E856" s="17" t="s">
        <v>8</v>
      </c>
      <c r="F856" s="17">
        <v>0</v>
      </c>
      <c r="G856" s="17">
        <v>5</v>
      </c>
      <c r="H856" s="17">
        <v>0</v>
      </c>
      <c r="I856" s="17">
        <v>5</v>
      </c>
      <c r="J856" s="17">
        <v>0</v>
      </c>
      <c r="K856" s="17">
        <v>0</v>
      </c>
      <c r="L856" s="17">
        <v>5</v>
      </c>
      <c r="M856" s="17">
        <v>0</v>
      </c>
      <c r="N856" s="17">
        <v>0</v>
      </c>
      <c r="O856" s="17">
        <v>5</v>
      </c>
      <c r="P856" s="17">
        <v>0</v>
      </c>
      <c r="Q856" s="17">
        <v>5</v>
      </c>
      <c r="R856" s="17">
        <v>5</v>
      </c>
      <c r="S856" s="17"/>
      <c r="T856" s="17" t="s">
        <v>3052</v>
      </c>
      <c r="U856" s="17" t="s">
        <v>3062</v>
      </c>
      <c r="V856" s="17" t="s">
        <v>3056</v>
      </c>
      <c r="W856" s="17"/>
      <c r="X856" s="17"/>
    </row>
    <row r="857" spans="1:24" hidden="1">
      <c r="A857" s="18">
        <v>856</v>
      </c>
      <c r="B857" s="17" t="s">
        <v>1942</v>
      </c>
      <c r="C857" s="17" t="s">
        <v>1943</v>
      </c>
      <c r="D857" s="17" t="s">
        <v>17</v>
      </c>
      <c r="E857" s="17" t="s">
        <v>8</v>
      </c>
      <c r="F857" s="17">
        <v>1</v>
      </c>
      <c r="G857" s="17">
        <v>0</v>
      </c>
      <c r="H857" s="17">
        <v>0</v>
      </c>
      <c r="I857" s="17">
        <v>1</v>
      </c>
      <c r="J857" s="17">
        <v>0</v>
      </c>
      <c r="K857" s="17">
        <v>0</v>
      </c>
      <c r="L857" s="17">
        <v>1</v>
      </c>
      <c r="M857" s="17">
        <v>0</v>
      </c>
      <c r="N857" s="17">
        <v>0</v>
      </c>
      <c r="O857" s="17">
        <v>1</v>
      </c>
      <c r="P857" s="17">
        <v>0</v>
      </c>
      <c r="Q857" s="17">
        <v>1</v>
      </c>
      <c r="R857" s="17">
        <v>0</v>
      </c>
      <c r="S857" s="17"/>
      <c r="T857" s="17" t="s">
        <v>3052</v>
      </c>
      <c r="U857" s="17" t="s">
        <v>3062</v>
      </c>
      <c r="V857" s="17" t="s">
        <v>3056</v>
      </c>
      <c r="W857" s="17"/>
      <c r="X857" s="17"/>
    </row>
    <row r="858" spans="1:24" hidden="1">
      <c r="A858" s="18">
        <v>857</v>
      </c>
      <c r="B858" s="17" t="s">
        <v>1944</v>
      </c>
      <c r="C858" s="17" t="s">
        <v>1945</v>
      </c>
      <c r="D858" s="17" t="s">
        <v>116</v>
      </c>
      <c r="E858" s="17" t="s">
        <v>8</v>
      </c>
      <c r="F858" s="17">
        <v>1</v>
      </c>
      <c r="G858" s="17">
        <v>0</v>
      </c>
      <c r="H858" s="17">
        <v>0</v>
      </c>
      <c r="I858" s="17">
        <v>1</v>
      </c>
      <c r="J858" s="17">
        <v>0</v>
      </c>
      <c r="K858" s="17">
        <v>0</v>
      </c>
      <c r="L858" s="17">
        <v>1</v>
      </c>
      <c r="M858" s="17">
        <v>0</v>
      </c>
      <c r="N858" s="17">
        <v>0</v>
      </c>
      <c r="O858" s="17">
        <v>1</v>
      </c>
      <c r="P858" s="17">
        <v>1</v>
      </c>
      <c r="Q858" s="17">
        <v>0</v>
      </c>
      <c r="R858" s="17">
        <v>0</v>
      </c>
      <c r="S858" s="17"/>
      <c r="T858" s="17" t="s">
        <v>3052</v>
      </c>
      <c r="U858" s="17" t="s">
        <v>3062</v>
      </c>
      <c r="V858" s="17" t="s">
        <v>3056</v>
      </c>
      <c r="W858" s="17"/>
      <c r="X858" s="17"/>
    </row>
    <row r="859" spans="1:24" hidden="1">
      <c r="A859" s="18">
        <v>858</v>
      </c>
      <c r="B859" s="17" t="s">
        <v>1946</v>
      </c>
      <c r="C859" s="17" t="s">
        <v>1947</v>
      </c>
      <c r="D859" s="17" t="s">
        <v>17</v>
      </c>
      <c r="E859" s="17" t="s">
        <v>8</v>
      </c>
      <c r="F859" s="17">
        <v>2</v>
      </c>
      <c r="G859" s="17">
        <v>0</v>
      </c>
      <c r="H859" s="17">
        <v>0</v>
      </c>
      <c r="I859" s="17">
        <v>2</v>
      </c>
      <c r="J859" s="17">
        <v>0</v>
      </c>
      <c r="K859" s="17">
        <v>0</v>
      </c>
      <c r="L859" s="17">
        <v>2</v>
      </c>
      <c r="M859" s="17">
        <v>0</v>
      </c>
      <c r="N859" s="17">
        <v>0</v>
      </c>
      <c r="O859" s="17">
        <v>2</v>
      </c>
      <c r="P859" s="17">
        <v>1</v>
      </c>
      <c r="Q859" s="17">
        <v>1</v>
      </c>
      <c r="R859" s="17">
        <v>0</v>
      </c>
      <c r="S859" s="17"/>
      <c r="T859" s="17" t="s">
        <v>3052</v>
      </c>
      <c r="U859" s="17" t="s">
        <v>3062</v>
      </c>
      <c r="V859" s="17" t="s">
        <v>3056</v>
      </c>
      <c r="W859" s="17"/>
      <c r="X859" s="17"/>
    </row>
    <row r="860" spans="1:24" hidden="1">
      <c r="A860" s="18">
        <v>859</v>
      </c>
      <c r="B860" s="17" t="s">
        <v>1948</v>
      </c>
      <c r="C860" s="17" t="s">
        <v>1949</v>
      </c>
      <c r="D860" s="17" t="s">
        <v>17</v>
      </c>
      <c r="E860" s="17" t="s">
        <v>8</v>
      </c>
      <c r="F860" s="17">
        <v>23</v>
      </c>
      <c r="G860" s="17">
        <v>0</v>
      </c>
      <c r="H860" s="17">
        <v>12</v>
      </c>
      <c r="I860" s="17">
        <v>11</v>
      </c>
      <c r="J860" s="17">
        <v>0</v>
      </c>
      <c r="K860" s="17">
        <v>0</v>
      </c>
      <c r="L860" s="17">
        <v>11</v>
      </c>
      <c r="M860" s="17">
        <v>0</v>
      </c>
      <c r="N860" s="17">
        <v>0</v>
      </c>
      <c r="O860" s="17">
        <v>11</v>
      </c>
      <c r="P860" s="17">
        <v>5</v>
      </c>
      <c r="Q860" s="17">
        <v>6</v>
      </c>
      <c r="R860" s="17">
        <v>0</v>
      </c>
      <c r="S860" s="17"/>
      <c r="T860" s="17" t="s">
        <v>3052</v>
      </c>
      <c r="U860" s="17" t="s">
        <v>3062</v>
      </c>
      <c r="V860" s="17" t="s">
        <v>3056</v>
      </c>
      <c r="W860" s="17"/>
      <c r="X860" s="17"/>
    </row>
    <row r="861" spans="1:24" hidden="1">
      <c r="A861" s="18">
        <v>860</v>
      </c>
      <c r="B861" s="17" t="s">
        <v>1950</v>
      </c>
      <c r="C861" s="17" t="s">
        <v>1951</v>
      </c>
      <c r="D861" s="17" t="s">
        <v>17</v>
      </c>
      <c r="E861" s="17" t="s">
        <v>8</v>
      </c>
      <c r="F861" s="17">
        <v>110</v>
      </c>
      <c r="G861" s="17">
        <v>0</v>
      </c>
      <c r="H861" s="17">
        <v>17</v>
      </c>
      <c r="I861" s="17">
        <v>93</v>
      </c>
      <c r="J861" s="17">
        <v>0</v>
      </c>
      <c r="K861" s="17">
        <v>0</v>
      </c>
      <c r="L861" s="17">
        <v>93</v>
      </c>
      <c r="M861" s="17">
        <v>0</v>
      </c>
      <c r="N861" s="17">
        <v>0</v>
      </c>
      <c r="O861" s="17">
        <v>93</v>
      </c>
      <c r="P861" s="17">
        <v>10</v>
      </c>
      <c r="Q861" s="17">
        <v>83</v>
      </c>
      <c r="R861" s="17">
        <v>0</v>
      </c>
      <c r="S861" s="17"/>
      <c r="T861" s="17" t="s">
        <v>3052</v>
      </c>
      <c r="U861" s="17" t="s">
        <v>3062</v>
      </c>
      <c r="V861" s="17" t="s">
        <v>3056</v>
      </c>
      <c r="W861" s="17"/>
      <c r="X861" s="17"/>
    </row>
    <row r="862" spans="1:24" hidden="1">
      <c r="A862" s="18">
        <v>861</v>
      </c>
      <c r="B862" s="17" t="s">
        <v>1952</v>
      </c>
      <c r="C862" s="17" t="s">
        <v>1953</v>
      </c>
      <c r="D862" s="17" t="s">
        <v>17</v>
      </c>
      <c r="E862" s="17" t="s">
        <v>8</v>
      </c>
      <c r="F862" s="17">
        <v>7</v>
      </c>
      <c r="G862" s="17">
        <v>0</v>
      </c>
      <c r="H862" s="17">
        <v>3</v>
      </c>
      <c r="I862" s="17">
        <v>4</v>
      </c>
      <c r="J862" s="17">
        <v>0</v>
      </c>
      <c r="K862" s="17">
        <v>0</v>
      </c>
      <c r="L862" s="17">
        <v>4</v>
      </c>
      <c r="M862" s="17">
        <v>0</v>
      </c>
      <c r="N862" s="17">
        <v>0</v>
      </c>
      <c r="O862" s="17">
        <v>4</v>
      </c>
      <c r="P862" s="17">
        <v>1</v>
      </c>
      <c r="Q862" s="17">
        <v>3</v>
      </c>
      <c r="R862" s="17">
        <v>0</v>
      </c>
      <c r="S862" s="17"/>
      <c r="T862" s="17" t="s">
        <v>3052</v>
      </c>
      <c r="U862" s="17" t="s">
        <v>3062</v>
      </c>
      <c r="V862" s="17" t="s">
        <v>3056</v>
      </c>
      <c r="W862" s="17"/>
      <c r="X862" s="17"/>
    </row>
    <row r="863" spans="1:24" hidden="1">
      <c r="A863" s="18">
        <v>862</v>
      </c>
      <c r="B863" s="17" t="s">
        <v>1954</v>
      </c>
      <c r="C863" s="17" t="s">
        <v>1955</v>
      </c>
      <c r="D863" s="17" t="s">
        <v>17</v>
      </c>
      <c r="E863" s="17" t="s">
        <v>8</v>
      </c>
      <c r="F863" s="17">
        <v>25</v>
      </c>
      <c r="G863" s="17">
        <v>0</v>
      </c>
      <c r="H863" s="17">
        <v>5</v>
      </c>
      <c r="I863" s="17">
        <v>20</v>
      </c>
      <c r="J863" s="17">
        <v>0</v>
      </c>
      <c r="K863" s="17">
        <v>0</v>
      </c>
      <c r="L863" s="17">
        <v>20</v>
      </c>
      <c r="M863" s="17">
        <v>0</v>
      </c>
      <c r="N863" s="17">
        <v>0</v>
      </c>
      <c r="O863" s="17">
        <v>20</v>
      </c>
      <c r="P863" s="17">
        <v>5</v>
      </c>
      <c r="Q863" s="17">
        <v>15</v>
      </c>
      <c r="R863" s="17">
        <v>0</v>
      </c>
      <c r="S863" s="17"/>
      <c r="T863" s="17" t="s">
        <v>3052</v>
      </c>
      <c r="U863" s="17" t="s">
        <v>3062</v>
      </c>
      <c r="V863" s="17" t="s">
        <v>3056</v>
      </c>
      <c r="W863" s="17"/>
      <c r="X863" s="17"/>
    </row>
    <row r="864" spans="1:24" hidden="1">
      <c r="A864" s="18">
        <v>863</v>
      </c>
      <c r="B864" s="17" t="s">
        <v>1852</v>
      </c>
      <c r="C864" s="17" t="s">
        <v>1853</v>
      </c>
      <c r="D864" s="17" t="s">
        <v>20</v>
      </c>
      <c r="E864" s="17" t="s">
        <v>8</v>
      </c>
      <c r="F864" s="17">
        <v>476.7</v>
      </c>
      <c r="G864" s="17">
        <v>483.8</v>
      </c>
      <c r="H864" s="17">
        <v>338.72</v>
      </c>
      <c r="I864" s="17">
        <v>621.78</v>
      </c>
      <c r="J864" s="17">
        <v>0</v>
      </c>
      <c r="K864" s="17">
        <v>0</v>
      </c>
      <c r="L864" s="17">
        <v>621.78</v>
      </c>
      <c r="M864" s="17">
        <v>0</v>
      </c>
      <c r="N864" s="17">
        <v>0</v>
      </c>
      <c r="O864" s="17">
        <v>621.78</v>
      </c>
      <c r="P864" s="17">
        <v>350</v>
      </c>
      <c r="Q864" s="17">
        <v>271.77999999999997</v>
      </c>
      <c r="R864" s="17">
        <v>0</v>
      </c>
      <c r="S864" s="17"/>
      <c r="T864" s="17" t="s">
        <v>3031</v>
      </c>
      <c r="U864" s="17" t="s">
        <v>3057</v>
      </c>
      <c r="V864" s="17" t="s">
        <v>3056</v>
      </c>
      <c r="W864" s="17"/>
      <c r="X864" s="17"/>
    </row>
    <row r="865" spans="1:24" hidden="1">
      <c r="A865" s="18">
        <v>864</v>
      </c>
      <c r="B865" s="17" t="s">
        <v>1958</v>
      </c>
      <c r="C865" s="17" t="s">
        <v>1959</v>
      </c>
      <c r="D865" s="17" t="s">
        <v>17</v>
      </c>
      <c r="E865" s="17" t="s">
        <v>8</v>
      </c>
      <c r="F865" s="17">
        <v>26</v>
      </c>
      <c r="G865" s="17">
        <v>0</v>
      </c>
      <c r="H865" s="17">
        <v>9</v>
      </c>
      <c r="I865" s="17">
        <v>17</v>
      </c>
      <c r="J865" s="17">
        <v>0</v>
      </c>
      <c r="K865" s="17">
        <v>0</v>
      </c>
      <c r="L865" s="17">
        <v>17</v>
      </c>
      <c r="M865" s="17">
        <v>0</v>
      </c>
      <c r="N865" s="17">
        <v>0</v>
      </c>
      <c r="O865" s="17">
        <v>17</v>
      </c>
      <c r="P865" s="17">
        <v>5</v>
      </c>
      <c r="Q865" s="17">
        <v>12</v>
      </c>
      <c r="R865" s="17">
        <v>0</v>
      </c>
      <c r="S865" s="17"/>
      <c r="T865" s="17" t="s">
        <v>3052</v>
      </c>
      <c r="U865" s="17" t="s">
        <v>3062</v>
      </c>
      <c r="V865" s="17" t="s">
        <v>3056</v>
      </c>
      <c r="W865" s="17"/>
      <c r="X865" s="17"/>
    </row>
    <row r="866" spans="1:24" hidden="1">
      <c r="A866" s="18">
        <v>865</v>
      </c>
      <c r="B866" s="17" t="s">
        <v>1960</v>
      </c>
      <c r="C866" s="17" t="s">
        <v>1961</v>
      </c>
      <c r="D866" s="17" t="s">
        <v>17</v>
      </c>
      <c r="E866" s="17" t="s">
        <v>8</v>
      </c>
      <c r="F866" s="17">
        <v>5</v>
      </c>
      <c r="G866" s="17">
        <v>0</v>
      </c>
      <c r="H866" s="17">
        <v>0</v>
      </c>
      <c r="I866" s="17">
        <v>5</v>
      </c>
      <c r="J866" s="17">
        <v>0</v>
      </c>
      <c r="K866" s="17">
        <v>0</v>
      </c>
      <c r="L866" s="17">
        <v>5</v>
      </c>
      <c r="M866" s="17">
        <v>0</v>
      </c>
      <c r="N866" s="17">
        <v>0</v>
      </c>
      <c r="O866" s="17">
        <v>5</v>
      </c>
      <c r="P866" s="17">
        <v>0</v>
      </c>
      <c r="Q866" s="17">
        <v>5</v>
      </c>
      <c r="R866" s="17">
        <v>0</v>
      </c>
      <c r="S866" s="17"/>
      <c r="T866" s="17" t="s">
        <v>3052</v>
      </c>
      <c r="U866" s="17" t="s">
        <v>3062</v>
      </c>
      <c r="V866" s="17" t="s">
        <v>3056</v>
      </c>
      <c r="W866" s="17"/>
      <c r="X866" s="17"/>
    </row>
    <row r="867" spans="1:24" hidden="1">
      <c r="A867" s="18">
        <v>866</v>
      </c>
      <c r="B867" s="17" t="s">
        <v>1962</v>
      </c>
      <c r="C867" s="17" t="s">
        <v>1963</v>
      </c>
      <c r="D867" s="17" t="s">
        <v>17</v>
      </c>
      <c r="E867" s="17" t="s">
        <v>8</v>
      </c>
      <c r="F867" s="17">
        <v>7</v>
      </c>
      <c r="G867" s="17">
        <v>10</v>
      </c>
      <c r="H867" s="17">
        <v>3</v>
      </c>
      <c r="I867" s="17">
        <v>14</v>
      </c>
      <c r="J867" s="17">
        <v>0</v>
      </c>
      <c r="K867" s="17">
        <v>0</v>
      </c>
      <c r="L867" s="17">
        <v>14</v>
      </c>
      <c r="M867" s="17">
        <v>0</v>
      </c>
      <c r="N867" s="17">
        <v>0</v>
      </c>
      <c r="O867" s="17">
        <v>14</v>
      </c>
      <c r="P867" s="17">
        <v>5</v>
      </c>
      <c r="Q867" s="17">
        <v>9</v>
      </c>
      <c r="R867" s="17">
        <v>10</v>
      </c>
      <c r="S867" s="17"/>
      <c r="T867" s="17" t="s">
        <v>3052</v>
      </c>
      <c r="U867" s="17" t="s">
        <v>3062</v>
      </c>
      <c r="V867" s="17" t="s">
        <v>3056</v>
      </c>
      <c r="W867" s="17"/>
      <c r="X867" s="17"/>
    </row>
    <row r="868" spans="1:24" hidden="1">
      <c r="A868" s="18">
        <v>867</v>
      </c>
      <c r="B868" s="17" t="s">
        <v>1964</v>
      </c>
      <c r="C868" s="17" t="s">
        <v>1965</v>
      </c>
      <c r="D868" s="17" t="s">
        <v>17</v>
      </c>
      <c r="E868" s="17" t="s">
        <v>8</v>
      </c>
      <c r="F868" s="17">
        <v>18</v>
      </c>
      <c r="G868" s="17">
        <v>0</v>
      </c>
      <c r="H868" s="17">
        <v>3</v>
      </c>
      <c r="I868" s="17">
        <v>15</v>
      </c>
      <c r="J868" s="17">
        <v>0</v>
      </c>
      <c r="K868" s="17">
        <v>0</v>
      </c>
      <c r="L868" s="17">
        <v>15</v>
      </c>
      <c r="M868" s="17">
        <v>0</v>
      </c>
      <c r="N868" s="17">
        <v>0</v>
      </c>
      <c r="O868" s="17">
        <v>15</v>
      </c>
      <c r="P868" s="17">
        <v>5</v>
      </c>
      <c r="Q868" s="17">
        <v>10</v>
      </c>
      <c r="R868" s="17">
        <v>0</v>
      </c>
      <c r="S868" s="17"/>
      <c r="T868" s="17" t="s">
        <v>3052</v>
      </c>
      <c r="U868" s="17" t="s">
        <v>3062</v>
      </c>
      <c r="V868" s="17" t="s">
        <v>3056</v>
      </c>
      <c r="W868" s="17"/>
      <c r="X868" s="17"/>
    </row>
    <row r="869" spans="1:24" hidden="1">
      <c r="A869" s="18">
        <v>868</v>
      </c>
      <c r="B869" s="17" t="s">
        <v>1966</v>
      </c>
      <c r="C869" s="17" t="s">
        <v>1967</v>
      </c>
      <c r="D869" s="17" t="s">
        <v>17</v>
      </c>
      <c r="E869" s="17" t="s">
        <v>8</v>
      </c>
      <c r="F869" s="17">
        <v>12</v>
      </c>
      <c r="G869" s="17">
        <v>0</v>
      </c>
      <c r="H869" s="17">
        <v>2</v>
      </c>
      <c r="I869" s="17">
        <v>10</v>
      </c>
      <c r="J869" s="17">
        <v>0</v>
      </c>
      <c r="K869" s="17">
        <v>0</v>
      </c>
      <c r="L869" s="17">
        <v>10</v>
      </c>
      <c r="M869" s="17">
        <v>0</v>
      </c>
      <c r="N869" s="17">
        <v>0</v>
      </c>
      <c r="O869" s="17">
        <v>10</v>
      </c>
      <c r="P869" s="17">
        <v>5</v>
      </c>
      <c r="Q869" s="17">
        <v>5</v>
      </c>
      <c r="R869" s="17">
        <v>0</v>
      </c>
      <c r="S869" s="17"/>
      <c r="T869" s="17" t="s">
        <v>3052</v>
      </c>
      <c r="U869" s="17" t="s">
        <v>3062</v>
      </c>
      <c r="V869" s="17" t="s">
        <v>3056</v>
      </c>
      <c r="W869" s="17"/>
      <c r="X869" s="17"/>
    </row>
    <row r="870" spans="1:24" hidden="1">
      <c r="A870" s="18">
        <v>869</v>
      </c>
      <c r="B870" s="17" t="s">
        <v>1968</v>
      </c>
      <c r="C870" s="17" t="s">
        <v>1969</v>
      </c>
      <c r="D870" s="17" t="s">
        <v>17</v>
      </c>
      <c r="E870" s="17" t="s">
        <v>8</v>
      </c>
      <c r="F870" s="17">
        <v>11</v>
      </c>
      <c r="G870" s="17">
        <v>0</v>
      </c>
      <c r="H870" s="17">
        <v>0</v>
      </c>
      <c r="I870" s="17">
        <v>11</v>
      </c>
      <c r="J870" s="17">
        <v>0</v>
      </c>
      <c r="K870" s="17">
        <v>0</v>
      </c>
      <c r="L870" s="17">
        <v>11</v>
      </c>
      <c r="M870" s="17">
        <v>0</v>
      </c>
      <c r="N870" s="17">
        <v>0</v>
      </c>
      <c r="O870" s="17">
        <v>11</v>
      </c>
      <c r="P870" s="17">
        <v>5</v>
      </c>
      <c r="Q870" s="17">
        <v>6</v>
      </c>
      <c r="R870" s="17">
        <v>0</v>
      </c>
      <c r="S870" s="17"/>
      <c r="T870" s="17" t="s">
        <v>3052</v>
      </c>
      <c r="U870" s="17" t="s">
        <v>3062</v>
      </c>
      <c r="V870" s="17" t="s">
        <v>3056</v>
      </c>
      <c r="W870" s="17"/>
      <c r="X870" s="17"/>
    </row>
    <row r="871" spans="1:24" hidden="1">
      <c r="A871" s="18">
        <v>870</v>
      </c>
      <c r="B871" s="17" t="s">
        <v>1970</v>
      </c>
      <c r="C871" s="17" t="s">
        <v>1971</v>
      </c>
      <c r="D871" s="17" t="s">
        <v>17</v>
      </c>
      <c r="E871" s="17" t="s">
        <v>8</v>
      </c>
      <c r="F871" s="17">
        <v>21</v>
      </c>
      <c r="G871" s="17">
        <v>10</v>
      </c>
      <c r="H871" s="17">
        <v>4</v>
      </c>
      <c r="I871" s="17">
        <v>27</v>
      </c>
      <c r="J871" s="17">
        <v>0</v>
      </c>
      <c r="K871" s="17">
        <v>0</v>
      </c>
      <c r="L871" s="17">
        <v>27</v>
      </c>
      <c r="M871" s="17">
        <v>0</v>
      </c>
      <c r="N871" s="17">
        <v>0</v>
      </c>
      <c r="O871" s="17">
        <v>27</v>
      </c>
      <c r="P871" s="17">
        <v>2</v>
      </c>
      <c r="Q871" s="17">
        <v>25</v>
      </c>
      <c r="R871" s="17">
        <v>10</v>
      </c>
      <c r="S871" s="17"/>
      <c r="T871" s="17" t="s">
        <v>3052</v>
      </c>
      <c r="U871" s="17" t="s">
        <v>3062</v>
      </c>
      <c r="V871" s="17" t="s">
        <v>3056</v>
      </c>
      <c r="W871" s="17"/>
      <c r="X871" s="17"/>
    </row>
    <row r="872" spans="1:24" hidden="1">
      <c r="A872" s="18">
        <v>871</v>
      </c>
      <c r="B872" s="17" t="s">
        <v>1856</v>
      </c>
      <c r="C872" s="17" t="s">
        <v>1857</v>
      </c>
      <c r="D872" s="17" t="s">
        <v>20</v>
      </c>
      <c r="E872" s="17" t="s">
        <v>8</v>
      </c>
      <c r="F872" s="17">
        <v>0</v>
      </c>
      <c r="G872" s="17">
        <v>0</v>
      </c>
      <c r="H872" s="17">
        <v>0</v>
      </c>
      <c r="I872" s="17">
        <v>0</v>
      </c>
      <c r="J872" s="17">
        <v>0</v>
      </c>
      <c r="K872" s="17">
        <v>0</v>
      </c>
      <c r="L872" s="17">
        <v>0</v>
      </c>
      <c r="M872" s="17">
        <v>0</v>
      </c>
      <c r="N872" s="17">
        <v>0</v>
      </c>
      <c r="O872" s="17">
        <v>0</v>
      </c>
      <c r="P872" s="17">
        <v>0</v>
      </c>
      <c r="Q872" s="17">
        <v>0</v>
      </c>
      <c r="R872" s="17">
        <v>0</v>
      </c>
      <c r="S872" s="17"/>
      <c r="T872" s="17" t="s">
        <v>3031</v>
      </c>
      <c r="U872" s="17" t="s">
        <v>3057</v>
      </c>
      <c r="V872" s="17" t="s">
        <v>3056</v>
      </c>
      <c r="W872" s="17"/>
      <c r="X872" s="17"/>
    </row>
    <row r="873" spans="1:24" hidden="1">
      <c r="A873" s="18">
        <v>872</v>
      </c>
      <c r="B873" s="17" t="s">
        <v>1974</v>
      </c>
      <c r="C873" s="17" t="s">
        <v>1975</v>
      </c>
      <c r="D873" s="17" t="s">
        <v>7</v>
      </c>
      <c r="E873" s="17" t="s">
        <v>8</v>
      </c>
      <c r="F873" s="17">
        <v>0</v>
      </c>
      <c r="G873" s="17">
        <v>0</v>
      </c>
      <c r="H873" s="17">
        <v>0</v>
      </c>
      <c r="I873" s="17">
        <v>0</v>
      </c>
      <c r="J873" s="17">
        <v>0</v>
      </c>
      <c r="K873" s="17">
        <v>0</v>
      </c>
      <c r="L873" s="17">
        <v>0</v>
      </c>
      <c r="M873" s="17">
        <v>0</v>
      </c>
      <c r="N873" s="17">
        <v>0</v>
      </c>
      <c r="O873" s="17">
        <v>0</v>
      </c>
      <c r="P873" s="17">
        <v>0</v>
      </c>
      <c r="Q873" s="17">
        <v>0</v>
      </c>
      <c r="R873" s="17">
        <v>0</v>
      </c>
      <c r="S873" s="17"/>
      <c r="T873" s="17" t="s">
        <v>2965</v>
      </c>
      <c r="U873" s="17" t="s">
        <v>3055</v>
      </c>
      <c r="V873" s="17" t="s">
        <v>3056</v>
      </c>
      <c r="W873" s="17"/>
      <c r="X873" s="17"/>
    </row>
    <row r="874" spans="1:24" hidden="1">
      <c r="A874" s="18">
        <v>873</v>
      </c>
      <c r="B874" s="17" t="s">
        <v>1976</v>
      </c>
      <c r="C874" s="17" t="s">
        <v>1977</v>
      </c>
      <c r="D874" s="17" t="s">
        <v>7</v>
      </c>
      <c r="E874" s="17" t="s">
        <v>8</v>
      </c>
      <c r="F874" s="17">
        <v>0</v>
      </c>
      <c r="G874" s="17">
        <v>0</v>
      </c>
      <c r="H874" s="17">
        <v>0</v>
      </c>
      <c r="I874" s="17">
        <v>0</v>
      </c>
      <c r="J874" s="17">
        <v>0</v>
      </c>
      <c r="K874" s="17">
        <v>0</v>
      </c>
      <c r="L874" s="17">
        <v>0</v>
      </c>
      <c r="M874" s="17">
        <v>0</v>
      </c>
      <c r="N874" s="17">
        <v>0</v>
      </c>
      <c r="O874" s="17">
        <v>0</v>
      </c>
      <c r="P874" s="17">
        <v>0</v>
      </c>
      <c r="Q874" s="17">
        <v>0</v>
      </c>
      <c r="R874" s="17">
        <v>0</v>
      </c>
      <c r="S874" s="17"/>
      <c r="T874" s="17" t="s">
        <v>2965</v>
      </c>
      <c r="U874" s="17" t="s">
        <v>3055</v>
      </c>
      <c r="V874" s="17" t="s">
        <v>3056</v>
      </c>
      <c r="W874" s="17"/>
      <c r="X874" s="17"/>
    </row>
    <row r="875" spans="1:24" hidden="1">
      <c r="A875" s="18">
        <v>874</v>
      </c>
      <c r="B875" s="17" t="s">
        <v>1978</v>
      </c>
      <c r="C875" s="17" t="s">
        <v>1979</v>
      </c>
      <c r="D875" s="17" t="s">
        <v>7</v>
      </c>
      <c r="E875" s="17" t="s">
        <v>8</v>
      </c>
      <c r="F875" s="17">
        <v>188.7</v>
      </c>
      <c r="G875" s="17">
        <v>0</v>
      </c>
      <c r="H875" s="17">
        <v>0</v>
      </c>
      <c r="I875" s="17">
        <v>188.7</v>
      </c>
      <c r="J875" s="17">
        <v>0</v>
      </c>
      <c r="K875" s="17">
        <v>0</v>
      </c>
      <c r="L875" s="17">
        <v>188.7</v>
      </c>
      <c r="M875" s="17">
        <v>0</v>
      </c>
      <c r="N875" s="17">
        <v>0</v>
      </c>
      <c r="O875" s="17">
        <v>188.7</v>
      </c>
      <c r="P875" s="17">
        <v>0</v>
      </c>
      <c r="Q875" s="17">
        <v>188.7</v>
      </c>
      <c r="R875" s="17">
        <v>0</v>
      </c>
      <c r="S875" s="17"/>
      <c r="T875" s="17" t="s">
        <v>2965</v>
      </c>
      <c r="U875" s="17" t="s">
        <v>3055</v>
      </c>
      <c r="V875" s="17" t="s">
        <v>3056</v>
      </c>
      <c r="W875" s="17"/>
      <c r="X875" s="17"/>
    </row>
    <row r="876" spans="1:24" s="40" customFormat="1" hidden="1">
      <c r="A876" s="26">
        <v>875</v>
      </c>
      <c r="B876" s="25" t="s">
        <v>1980</v>
      </c>
      <c r="C876" s="25" t="s">
        <v>1981</v>
      </c>
      <c r="D876" s="25" t="s">
        <v>7</v>
      </c>
      <c r="E876" s="25" t="s">
        <v>8</v>
      </c>
      <c r="F876" s="25">
        <v>80</v>
      </c>
      <c r="G876" s="25">
        <v>0</v>
      </c>
      <c r="H876" s="25">
        <v>40</v>
      </c>
      <c r="I876" s="17">
        <v>40</v>
      </c>
      <c r="J876" s="17">
        <v>0</v>
      </c>
      <c r="K876" s="17">
        <v>0</v>
      </c>
      <c r="L876" s="17">
        <v>40</v>
      </c>
      <c r="M876" s="17">
        <v>0</v>
      </c>
      <c r="N876" s="17">
        <v>0</v>
      </c>
      <c r="O876" s="25">
        <v>40</v>
      </c>
      <c r="P876" s="25">
        <v>100</v>
      </c>
      <c r="Q876" s="25">
        <v>-60</v>
      </c>
      <c r="R876" s="25">
        <v>200</v>
      </c>
      <c r="S876" s="25"/>
      <c r="T876" s="25" t="s">
        <v>2965</v>
      </c>
      <c r="U876" s="25" t="s">
        <v>3055</v>
      </c>
      <c r="V876" s="25" t="s">
        <v>3056</v>
      </c>
      <c r="W876" s="25"/>
      <c r="X876" s="25"/>
    </row>
    <row r="877" spans="1:24" hidden="1">
      <c r="A877" s="18">
        <v>876</v>
      </c>
      <c r="B877" s="17" t="s">
        <v>1982</v>
      </c>
      <c r="C877" s="17" t="s">
        <v>1983</v>
      </c>
      <c r="D877" s="17" t="s">
        <v>7</v>
      </c>
      <c r="E877" s="17" t="s">
        <v>8</v>
      </c>
      <c r="F877" s="17">
        <v>160</v>
      </c>
      <c r="G877" s="17">
        <v>0</v>
      </c>
      <c r="H877" s="17">
        <v>40</v>
      </c>
      <c r="I877" s="17">
        <v>120</v>
      </c>
      <c r="J877" s="17">
        <v>0</v>
      </c>
      <c r="K877" s="17">
        <v>0</v>
      </c>
      <c r="L877" s="17">
        <v>120</v>
      </c>
      <c r="M877" s="17">
        <v>0</v>
      </c>
      <c r="N877" s="17">
        <v>0</v>
      </c>
      <c r="O877" s="17">
        <v>120</v>
      </c>
      <c r="P877" s="17">
        <v>100</v>
      </c>
      <c r="Q877" s="17">
        <v>20</v>
      </c>
      <c r="R877" s="17">
        <v>0</v>
      </c>
      <c r="S877" s="17"/>
      <c r="T877" s="17" t="s">
        <v>2965</v>
      </c>
      <c r="U877" s="17" t="s">
        <v>3055</v>
      </c>
      <c r="V877" s="17" t="s">
        <v>3056</v>
      </c>
      <c r="W877" s="17"/>
      <c r="X877" s="17"/>
    </row>
    <row r="878" spans="1:24" hidden="1">
      <c r="A878" s="18">
        <v>877</v>
      </c>
      <c r="B878" s="17" t="s">
        <v>1984</v>
      </c>
      <c r="C878" s="17" t="s">
        <v>1985</v>
      </c>
      <c r="D878" s="17" t="s">
        <v>7</v>
      </c>
      <c r="E878" s="17" t="s">
        <v>8</v>
      </c>
      <c r="F878" s="17">
        <v>971.5</v>
      </c>
      <c r="G878" s="17">
        <v>0</v>
      </c>
      <c r="H878" s="17">
        <v>0</v>
      </c>
      <c r="I878" s="17">
        <v>971.5</v>
      </c>
      <c r="J878" s="17">
        <v>0</v>
      </c>
      <c r="K878" s="17">
        <v>0</v>
      </c>
      <c r="L878" s="17">
        <v>971.5</v>
      </c>
      <c r="M878" s="17">
        <v>0</v>
      </c>
      <c r="N878" s="17">
        <v>0</v>
      </c>
      <c r="O878" s="17">
        <v>971.5</v>
      </c>
      <c r="P878" s="17">
        <v>100</v>
      </c>
      <c r="Q878" s="17">
        <v>871.5</v>
      </c>
      <c r="R878" s="17">
        <v>0</v>
      </c>
      <c r="S878" s="17"/>
      <c r="T878" s="17" t="s">
        <v>2965</v>
      </c>
      <c r="U878" s="17" t="s">
        <v>3055</v>
      </c>
      <c r="V878" s="17" t="s">
        <v>3058</v>
      </c>
      <c r="W878" s="17"/>
      <c r="X878" s="17"/>
    </row>
    <row r="879" spans="1:24" hidden="1">
      <c r="A879" s="18">
        <v>878</v>
      </c>
      <c r="B879" s="17" t="s">
        <v>1988</v>
      </c>
      <c r="C879" s="17" t="s">
        <v>1989</v>
      </c>
      <c r="D879" s="17" t="s">
        <v>7</v>
      </c>
      <c r="E879" s="17" t="s">
        <v>8</v>
      </c>
      <c r="F879" s="17">
        <v>291.89999999999998</v>
      </c>
      <c r="G879" s="17">
        <v>0</v>
      </c>
      <c r="H879" s="17">
        <v>0</v>
      </c>
      <c r="I879" s="17">
        <v>291.89999999999998</v>
      </c>
      <c r="J879" s="17">
        <v>0</v>
      </c>
      <c r="K879" s="17">
        <v>0</v>
      </c>
      <c r="L879" s="17">
        <v>291.89999999999998</v>
      </c>
      <c r="M879" s="17">
        <v>0</v>
      </c>
      <c r="N879" s="17">
        <v>0</v>
      </c>
      <c r="O879" s="17">
        <v>291.89999999999998</v>
      </c>
      <c r="P879" s="17">
        <v>0</v>
      </c>
      <c r="Q879" s="17">
        <v>291.89999999999998</v>
      </c>
      <c r="R879" s="17">
        <v>0</v>
      </c>
      <c r="S879" s="17"/>
      <c r="T879" s="17" t="s">
        <v>2965</v>
      </c>
      <c r="U879" s="17" t="s">
        <v>3055</v>
      </c>
      <c r="V879" s="17" t="s">
        <v>3056</v>
      </c>
      <c r="W879" s="17"/>
      <c r="X879" s="17"/>
    </row>
    <row r="880" spans="1:24" hidden="1">
      <c r="A880" s="18">
        <v>879</v>
      </c>
      <c r="B880" s="17" t="s">
        <v>1990</v>
      </c>
      <c r="C880" s="17" t="s">
        <v>1991</v>
      </c>
      <c r="D880" s="17" t="s">
        <v>7</v>
      </c>
      <c r="E880" s="17" t="s">
        <v>8</v>
      </c>
      <c r="F880" s="17">
        <v>298.60000000000002</v>
      </c>
      <c r="G880" s="17">
        <v>0</v>
      </c>
      <c r="H880" s="17">
        <v>0</v>
      </c>
      <c r="I880" s="17">
        <v>298.60000000000002</v>
      </c>
      <c r="J880" s="17">
        <v>0</v>
      </c>
      <c r="K880" s="17">
        <v>0</v>
      </c>
      <c r="L880" s="17">
        <v>298.60000000000002</v>
      </c>
      <c r="M880" s="17">
        <v>0</v>
      </c>
      <c r="N880" s="17">
        <v>0</v>
      </c>
      <c r="O880" s="17">
        <v>298.60000000000002</v>
      </c>
      <c r="P880" s="17">
        <v>0</v>
      </c>
      <c r="Q880" s="17">
        <v>298.60000000000002</v>
      </c>
      <c r="R880" s="17">
        <v>0</v>
      </c>
      <c r="S880" s="17"/>
      <c r="T880" s="17" t="s">
        <v>2965</v>
      </c>
      <c r="U880" s="17" t="s">
        <v>3055</v>
      </c>
      <c r="V880" s="17" t="s">
        <v>3056</v>
      </c>
      <c r="W880" s="17"/>
      <c r="X880" s="17"/>
    </row>
    <row r="881" spans="1:24" hidden="1">
      <c r="A881" s="18">
        <v>880</v>
      </c>
      <c r="B881" s="17" t="s">
        <v>1992</v>
      </c>
      <c r="C881" s="17" t="s">
        <v>1993</v>
      </c>
      <c r="D881" s="17" t="s">
        <v>17</v>
      </c>
      <c r="E881" s="17" t="s">
        <v>8</v>
      </c>
      <c r="F881" s="17">
        <v>0</v>
      </c>
      <c r="G881" s="17">
        <v>0</v>
      </c>
      <c r="H881" s="17">
        <v>0</v>
      </c>
      <c r="I881" s="17">
        <v>0</v>
      </c>
      <c r="J881" s="17">
        <v>0</v>
      </c>
      <c r="K881" s="17">
        <v>0</v>
      </c>
      <c r="L881" s="17">
        <v>0</v>
      </c>
      <c r="M881" s="17">
        <v>0</v>
      </c>
      <c r="N881" s="17">
        <v>0</v>
      </c>
      <c r="O881" s="17">
        <v>0</v>
      </c>
      <c r="P881" s="17">
        <v>0</v>
      </c>
      <c r="Q881" s="17">
        <v>0</v>
      </c>
      <c r="R881" s="17">
        <v>0</v>
      </c>
      <c r="S881" s="17"/>
      <c r="T881" s="17" t="s">
        <v>2982</v>
      </c>
      <c r="U881" s="17" t="s">
        <v>3060</v>
      </c>
      <c r="V881" s="17" t="s">
        <v>3058</v>
      </c>
      <c r="W881" s="17"/>
      <c r="X881" s="17"/>
    </row>
    <row r="882" spans="1:24" hidden="1">
      <c r="A882" s="18">
        <v>881</v>
      </c>
      <c r="B882" s="17" t="s">
        <v>1994</v>
      </c>
      <c r="C882" s="17" t="s">
        <v>1995</v>
      </c>
      <c r="D882" s="17" t="s">
        <v>17</v>
      </c>
      <c r="E882" s="17" t="s">
        <v>8</v>
      </c>
      <c r="F882" s="17">
        <v>0</v>
      </c>
      <c r="G882" s="17">
        <v>0</v>
      </c>
      <c r="H882" s="17">
        <v>0</v>
      </c>
      <c r="I882" s="17">
        <v>0</v>
      </c>
      <c r="J882" s="17">
        <v>0</v>
      </c>
      <c r="K882" s="17">
        <v>0</v>
      </c>
      <c r="L882" s="17">
        <v>0</v>
      </c>
      <c r="M882" s="17">
        <v>0</v>
      </c>
      <c r="N882" s="17">
        <v>0</v>
      </c>
      <c r="O882" s="17">
        <v>0</v>
      </c>
      <c r="P882" s="17">
        <v>0</v>
      </c>
      <c r="Q882" s="17">
        <v>0</v>
      </c>
      <c r="R882" s="17">
        <v>0</v>
      </c>
      <c r="S882" s="17"/>
      <c r="T882" s="17" t="s">
        <v>2982</v>
      </c>
      <c r="U882" s="17" t="s">
        <v>3060</v>
      </c>
      <c r="V882" s="17" t="s">
        <v>3058</v>
      </c>
      <c r="W882" s="17"/>
      <c r="X882" s="17"/>
    </row>
    <row r="883" spans="1:24" hidden="1">
      <c r="A883" s="18">
        <v>882</v>
      </c>
      <c r="B883" s="17" t="s">
        <v>1996</v>
      </c>
      <c r="C883" s="17" t="s">
        <v>1997</v>
      </c>
      <c r="D883" s="17" t="s">
        <v>17</v>
      </c>
      <c r="E883" s="17" t="s">
        <v>8</v>
      </c>
      <c r="F883" s="17">
        <v>0</v>
      </c>
      <c r="G883" s="17">
        <v>0</v>
      </c>
      <c r="H883" s="17">
        <v>0</v>
      </c>
      <c r="I883" s="17">
        <v>0</v>
      </c>
      <c r="J883" s="17">
        <v>0</v>
      </c>
      <c r="K883" s="17">
        <v>0</v>
      </c>
      <c r="L883" s="17">
        <v>0</v>
      </c>
      <c r="M883" s="17">
        <v>0</v>
      </c>
      <c r="N883" s="17">
        <v>0</v>
      </c>
      <c r="O883" s="17">
        <v>0</v>
      </c>
      <c r="P883" s="17">
        <v>0</v>
      </c>
      <c r="Q883" s="17">
        <v>0</v>
      </c>
      <c r="R883" s="17">
        <v>0</v>
      </c>
      <c r="S883" s="17"/>
      <c r="T883" s="17" t="s">
        <v>2991</v>
      </c>
      <c r="U883" s="17" t="s">
        <v>3060</v>
      </c>
      <c r="V883" s="17" t="s">
        <v>3058</v>
      </c>
      <c r="W883" s="17"/>
      <c r="X883" s="17"/>
    </row>
    <row r="884" spans="1:24" hidden="1">
      <c r="A884" s="18">
        <v>883</v>
      </c>
      <c r="B884" s="17" t="s">
        <v>1858</v>
      </c>
      <c r="C884" s="17" t="s">
        <v>1859</v>
      </c>
      <c r="D884" s="17" t="s">
        <v>20</v>
      </c>
      <c r="E884" s="17" t="s">
        <v>8</v>
      </c>
      <c r="F884" s="17">
        <v>153.4</v>
      </c>
      <c r="G884" s="17">
        <v>592.1</v>
      </c>
      <c r="H884" s="17">
        <v>0</v>
      </c>
      <c r="I884" s="17">
        <v>745.5</v>
      </c>
      <c r="J884" s="17">
        <v>0</v>
      </c>
      <c r="K884" s="17">
        <v>0</v>
      </c>
      <c r="L884" s="17">
        <v>745.5</v>
      </c>
      <c r="M884" s="17">
        <v>0</v>
      </c>
      <c r="N884" s="17">
        <v>0</v>
      </c>
      <c r="O884" s="17">
        <v>745.5</v>
      </c>
      <c r="P884" s="17">
        <v>500</v>
      </c>
      <c r="Q884" s="17">
        <v>245.5</v>
      </c>
      <c r="R884" s="17">
        <v>750</v>
      </c>
      <c r="S884" s="17"/>
      <c r="T884" s="17" t="s">
        <v>3031</v>
      </c>
      <c r="U884" s="17" t="s">
        <v>3057</v>
      </c>
      <c r="V884" s="17" t="s">
        <v>3056</v>
      </c>
      <c r="W884" s="17"/>
      <c r="X884" s="17"/>
    </row>
    <row r="885" spans="1:24" hidden="1">
      <c r="A885" s="18">
        <v>884</v>
      </c>
      <c r="B885" s="17" t="s">
        <v>1862</v>
      </c>
      <c r="C885" s="17" t="s">
        <v>1863</v>
      </c>
      <c r="D885" s="17" t="s">
        <v>20</v>
      </c>
      <c r="E885" s="17" t="s">
        <v>8</v>
      </c>
      <c r="F885" s="17">
        <v>625.70000000000005</v>
      </c>
      <c r="G885" s="17">
        <v>203.8</v>
      </c>
      <c r="H885" s="17">
        <v>197.7</v>
      </c>
      <c r="I885" s="17">
        <v>631.79999999999995</v>
      </c>
      <c r="J885" s="17">
        <v>0</v>
      </c>
      <c r="K885" s="17">
        <v>0</v>
      </c>
      <c r="L885" s="17">
        <v>631.79999999999995</v>
      </c>
      <c r="M885" s="17">
        <v>0</v>
      </c>
      <c r="N885" s="17">
        <v>0</v>
      </c>
      <c r="O885" s="17">
        <v>631.79999999999995</v>
      </c>
      <c r="P885" s="17">
        <v>500</v>
      </c>
      <c r="Q885" s="17">
        <v>131.79999999999995</v>
      </c>
      <c r="R885" s="17">
        <v>500</v>
      </c>
      <c r="S885" s="17"/>
      <c r="T885" s="17" t="s">
        <v>3031</v>
      </c>
      <c r="U885" s="17" t="s">
        <v>3057</v>
      </c>
      <c r="V885" s="17" t="s">
        <v>3056</v>
      </c>
      <c r="W885" s="17"/>
      <c r="X885" s="17"/>
    </row>
    <row r="886" spans="1:24" hidden="1">
      <c r="A886" s="18">
        <v>885</v>
      </c>
      <c r="B886" s="17" t="s">
        <v>1864</v>
      </c>
      <c r="C886" s="17" t="s">
        <v>1865</v>
      </c>
      <c r="D886" s="17" t="s">
        <v>20</v>
      </c>
      <c r="E886" s="17" t="s">
        <v>8</v>
      </c>
      <c r="F886" s="17">
        <v>0</v>
      </c>
      <c r="G886" s="17">
        <v>0</v>
      </c>
      <c r="H886" s="17">
        <v>0</v>
      </c>
      <c r="I886" s="17">
        <v>0</v>
      </c>
      <c r="J886" s="17">
        <v>0</v>
      </c>
      <c r="K886" s="17">
        <v>0</v>
      </c>
      <c r="L886" s="17">
        <v>0</v>
      </c>
      <c r="M886" s="17">
        <v>0</v>
      </c>
      <c r="N886" s="17">
        <v>0</v>
      </c>
      <c r="O886" s="17">
        <v>0</v>
      </c>
      <c r="P886" s="17">
        <v>0</v>
      </c>
      <c r="Q886" s="17">
        <v>0</v>
      </c>
      <c r="R886" s="17">
        <v>0</v>
      </c>
      <c r="S886" s="17"/>
      <c r="T886" s="17" t="s">
        <v>3031</v>
      </c>
      <c r="U886" s="17" t="s">
        <v>3057</v>
      </c>
      <c r="V886" s="17" t="s">
        <v>3056</v>
      </c>
      <c r="W886" s="17"/>
      <c r="X886" s="17"/>
    </row>
    <row r="887" spans="1:24" hidden="1">
      <c r="A887" s="18">
        <v>886</v>
      </c>
      <c r="B887" s="17" t="s">
        <v>1866</v>
      </c>
      <c r="C887" s="17" t="s">
        <v>1867</v>
      </c>
      <c r="D887" s="17" t="s">
        <v>20</v>
      </c>
      <c r="E887" s="17" t="s">
        <v>8</v>
      </c>
      <c r="F887" s="17">
        <v>1034.0999999999999</v>
      </c>
      <c r="G887" s="17">
        <v>3080.1</v>
      </c>
      <c r="H887" s="17">
        <v>2254.9</v>
      </c>
      <c r="I887" s="17">
        <v>1859.3</v>
      </c>
      <c r="J887" s="17">
        <v>0</v>
      </c>
      <c r="K887" s="17">
        <v>0</v>
      </c>
      <c r="L887" s="17">
        <v>1859.3</v>
      </c>
      <c r="M887" s="17">
        <v>0</v>
      </c>
      <c r="N887" s="17">
        <v>0</v>
      </c>
      <c r="O887" s="17">
        <v>1859.3</v>
      </c>
      <c r="P887" s="17">
        <v>1500</v>
      </c>
      <c r="Q887" s="17">
        <v>359.29999999999995</v>
      </c>
      <c r="R887" s="17">
        <v>3000</v>
      </c>
      <c r="S887" s="17"/>
      <c r="T887" s="17" t="s">
        <v>3031</v>
      </c>
      <c r="U887" s="17" t="s">
        <v>3057</v>
      </c>
      <c r="V887" s="17" t="s">
        <v>3056</v>
      </c>
      <c r="W887" s="17"/>
      <c r="X887" s="17"/>
    </row>
    <row r="888" spans="1:24" hidden="1">
      <c r="A888" s="18">
        <v>887</v>
      </c>
      <c r="B888" s="17" t="s">
        <v>1868</v>
      </c>
      <c r="C888" s="17" t="s">
        <v>1869</v>
      </c>
      <c r="D888" s="17" t="s">
        <v>20</v>
      </c>
      <c r="E888" s="17" t="s">
        <v>8</v>
      </c>
      <c r="F888" s="17">
        <v>280.2</v>
      </c>
      <c r="G888" s="17">
        <v>0</v>
      </c>
      <c r="H888" s="17">
        <v>138.93</v>
      </c>
      <c r="I888" s="17">
        <v>141.27000000000001</v>
      </c>
      <c r="J888" s="17">
        <v>0</v>
      </c>
      <c r="K888" s="17">
        <v>0</v>
      </c>
      <c r="L888" s="17">
        <v>141.27000000000001</v>
      </c>
      <c r="M888" s="17">
        <v>0</v>
      </c>
      <c r="N888" s="17">
        <v>0</v>
      </c>
      <c r="O888" s="17">
        <v>141.27000000000001</v>
      </c>
      <c r="P888" s="17">
        <v>120</v>
      </c>
      <c r="Q888" s="17">
        <v>21.27000000000001</v>
      </c>
      <c r="R888" s="17">
        <v>200</v>
      </c>
      <c r="S888" s="17"/>
      <c r="T888" s="17" t="s">
        <v>3031</v>
      </c>
      <c r="U888" s="17" t="s">
        <v>3057</v>
      </c>
      <c r="V888" s="17" t="s">
        <v>3056</v>
      </c>
      <c r="W888" s="17"/>
      <c r="X888" s="17"/>
    </row>
    <row r="889" spans="1:24" hidden="1">
      <c r="A889" s="18">
        <v>888</v>
      </c>
      <c r="B889" s="17" t="s">
        <v>1916</v>
      </c>
      <c r="C889" s="17" t="s">
        <v>1917</v>
      </c>
      <c r="D889" s="17" t="s">
        <v>17</v>
      </c>
      <c r="E889" s="17" t="s">
        <v>8</v>
      </c>
      <c r="F889" s="17">
        <v>3500</v>
      </c>
      <c r="G889" s="17">
        <v>0</v>
      </c>
      <c r="H889" s="17">
        <v>285</v>
      </c>
      <c r="I889" s="17">
        <v>3215</v>
      </c>
      <c r="J889" s="17">
        <v>0</v>
      </c>
      <c r="K889" s="17">
        <v>0</v>
      </c>
      <c r="L889" s="17">
        <v>3215</v>
      </c>
      <c r="M889" s="17">
        <v>0</v>
      </c>
      <c r="N889" s="17">
        <v>0</v>
      </c>
      <c r="O889" s="17">
        <v>3215</v>
      </c>
      <c r="P889" s="17">
        <v>2500</v>
      </c>
      <c r="Q889" s="17">
        <v>715</v>
      </c>
      <c r="R889" s="17">
        <v>0</v>
      </c>
      <c r="S889" s="17"/>
      <c r="T889" s="17" t="s">
        <v>2972</v>
      </c>
      <c r="U889" s="17" t="s">
        <v>3057</v>
      </c>
      <c r="V889" s="17" t="s">
        <v>3056</v>
      </c>
      <c r="W889" s="17"/>
      <c r="X889" s="17"/>
    </row>
    <row r="890" spans="1:24" hidden="1">
      <c r="A890" s="18">
        <v>889</v>
      </c>
      <c r="B890" s="17" t="s">
        <v>1918</v>
      </c>
      <c r="C890" s="17" t="s">
        <v>1919</v>
      </c>
      <c r="D890" s="17" t="s">
        <v>17</v>
      </c>
      <c r="E890" s="17" t="s">
        <v>8</v>
      </c>
      <c r="F890" s="17">
        <v>5228</v>
      </c>
      <c r="G890" s="17">
        <v>0</v>
      </c>
      <c r="H890" s="17">
        <v>0</v>
      </c>
      <c r="I890" s="17">
        <v>5228</v>
      </c>
      <c r="J890" s="17">
        <v>0</v>
      </c>
      <c r="K890" s="17">
        <v>0</v>
      </c>
      <c r="L890" s="17">
        <v>5228</v>
      </c>
      <c r="M890" s="17">
        <v>0</v>
      </c>
      <c r="N890" s="17">
        <v>0</v>
      </c>
      <c r="O890" s="17">
        <v>5228</v>
      </c>
      <c r="P890" s="17">
        <v>2500</v>
      </c>
      <c r="Q890" s="17">
        <v>2728</v>
      </c>
      <c r="R890" s="17">
        <v>0</v>
      </c>
      <c r="S890" s="17"/>
      <c r="T890" s="17" t="s">
        <v>2972</v>
      </c>
      <c r="U890" s="17" t="s">
        <v>3057</v>
      </c>
      <c r="V890" s="17" t="s">
        <v>3056</v>
      </c>
      <c r="W890" s="17"/>
      <c r="X890" s="17"/>
    </row>
    <row r="891" spans="1:24" hidden="1">
      <c r="A891" s="18">
        <v>890</v>
      </c>
      <c r="B891" s="17" t="s">
        <v>1920</v>
      </c>
      <c r="C891" s="17" t="s">
        <v>1921</v>
      </c>
      <c r="D891" s="17" t="s">
        <v>17</v>
      </c>
      <c r="E891" s="17" t="s">
        <v>8</v>
      </c>
      <c r="F891" s="17">
        <v>500</v>
      </c>
      <c r="G891" s="17">
        <v>5750</v>
      </c>
      <c r="H891" s="17">
        <v>3250</v>
      </c>
      <c r="I891" s="17">
        <v>3000</v>
      </c>
      <c r="J891" s="17">
        <v>0</v>
      </c>
      <c r="K891" s="17">
        <v>0</v>
      </c>
      <c r="L891" s="17">
        <v>3000</v>
      </c>
      <c r="M891" s="17">
        <v>0</v>
      </c>
      <c r="N891" s="17">
        <v>0</v>
      </c>
      <c r="O891" s="17">
        <v>3000</v>
      </c>
      <c r="P891" s="17">
        <v>2500</v>
      </c>
      <c r="Q891" s="17">
        <v>500</v>
      </c>
      <c r="R891" s="17">
        <v>0</v>
      </c>
      <c r="S891" s="17"/>
      <c r="T891" s="17" t="s">
        <v>2972</v>
      </c>
      <c r="U891" s="17" t="s">
        <v>3057</v>
      </c>
      <c r="V891" s="17" t="s">
        <v>3056</v>
      </c>
      <c r="W891" s="17"/>
      <c r="X891" s="17"/>
    </row>
    <row r="892" spans="1:24" hidden="1">
      <c r="A892" s="18">
        <v>891</v>
      </c>
      <c r="B892" s="17" t="s">
        <v>1922</v>
      </c>
      <c r="C892" s="17" t="s">
        <v>1923</v>
      </c>
      <c r="D892" s="17" t="s">
        <v>17</v>
      </c>
      <c r="E892" s="17" t="s">
        <v>8</v>
      </c>
      <c r="F892" s="17">
        <v>0</v>
      </c>
      <c r="G892" s="17">
        <v>0</v>
      </c>
      <c r="H892" s="17">
        <v>0</v>
      </c>
      <c r="I892" s="17">
        <v>0</v>
      </c>
      <c r="J892" s="17">
        <v>0</v>
      </c>
      <c r="K892" s="17">
        <v>0</v>
      </c>
      <c r="L892" s="17">
        <v>0</v>
      </c>
      <c r="M892" s="17">
        <v>0</v>
      </c>
      <c r="N892" s="17">
        <v>0</v>
      </c>
      <c r="O892" s="17">
        <v>0</v>
      </c>
      <c r="P892" s="17">
        <v>0</v>
      </c>
      <c r="Q892" s="17">
        <v>0</v>
      </c>
      <c r="R892" s="17">
        <v>0</v>
      </c>
      <c r="S892" s="17"/>
      <c r="T892" s="17" t="s">
        <v>2972</v>
      </c>
      <c r="U892" s="17" t="s">
        <v>3057</v>
      </c>
      <c r="V892" s="17" t="s">
        <v>3056</v>
      </c>
      <c r="W892" s="17"/>
      <c r="X892" s="17"/>
    </row>
    <row r="893" spans="1:24" hidden="1">
      <c r="A893" s="18">
        <v>892</v>
      </c>
      <c r="B893" s="17" t="s">
        <v>1924</v>
      </c>
      <c r="C893" s="17" t="s">
        <v>1925</v>
      </c>
      <c r="D893" s="17" t="s">
        <v>17</v>
      </c>
      <c r="E893" s="17" t="s">
        <v>8</v>
      </c>
      <c r="F893" s="17">
        <v>0</v>
      </c>
      <c r="G893" s="17">
        <v>0</v>
      </c>
      <c r="H893" s="17">
        <v>0</v>
      </c>
      <c r="I893" s="17">
        <v>0</v>
      </c>
      <c r="J893" s="17">
        <v>0</v>
      </c>
      <c r="K893" s="17">
        <v>0</v>
      </c>
      <c r="L893" s="17">
        <v>0</v>
      </c>
      <c r="M893" s="17">
        <v>0</v>
      </c>
      <c r="N893" s="17">
        <v>0</v>
      </c>
      <c r="O893" s="17">
        <v>0</v>
      </c>
      <c r="P893" s="17">
        <v>0</v>
      </c>
      <c r="Q893" s="17">
        <v>0</v>
      </c>
      <c r="R893" s="17">
        <v>0</v>
      </c>
      <c r="S893" s="17"/>
      <c r="T893" s="17" t="s">
        <v>2972</v>
      </c>
      <c r="U893" s="17" t="s">
        <v>3057</v>
      </c>
      <c r="V893" s="17" t="s">
        <v>3056</v>
      </c>
      <c r="W893" s="17"/>
      <c r="X893" s="17"/>
    </row>
    <row r="894" spans="1:24" hidden="1">
      <c r="A894" s="18">
        <v>893</v>
      </c>
      <c r="B894" s="17" t="s">
        <v>1926</v>
      </c>
      <c r="C894" s="17" t="s">
        <v>1927</v>
      </c>
      <c r="D894" s="17" t="s">
        <v>17</v>
      </c>
      <c r="E894" s="17" t="s">
        <v>8</v>
      </c>
      <c r="F894" s="17">
        <v>400</v>
      </c>
      <c r="G894" s="17">
        <v>500</v>
      </c>
      <c r="H894" s="17">
        <v>350</v>
      </c>
      <c r="I894" s="17">
        <v>550</v>
      </c>
      <c r="J894" s="17">
        <v>0</v>
      </c>
      <c r="K894" s="17">
        <v>0</v>
      </c>
      <c r="L894" s="17">
        <v>550</v>
      </c>
      <c r="M894" s="17">
        <v>0</v>
      </c>
      <c r="N894" s="17">
        <v>0</v>
      </c>
      <c r="O894" s="17">
        <v>550</v>
      </c>
      <c r="P894" s="17">
        <v>250</v>
      </c>
      <c r="Q894" s="17">
        <v>300</v>
      </c>
      <c r="R894" s="17">
        <v>0</v>
      </c>
      <c r="S894" s="17"/>
      <c r="T894" s="17" t="s">
        <v>2991</v>
      </c>
      <c r="U894" s="17" t="s">
        <v>3057</v>
      </c>
      <c r="V894" s="17" t="s">
        <v>3056</v>
      </c>
      <c r="W894" s="17"/>
      <c r="X894" s="17"/>
    </row>
    <row r="895" spans="1:24" hidden="1">
      <c r="A895" s="18">
        <v>894</v>
      </c>
      <c r="B895" s="17" t="s">
        <v>2020</v>
      </c>
      <c r="C895" s="17" t="s">
        <v>2021</v>
      </c>
      <c r="D895" s="17" t="s">
        <v>17</v>
      </c>
      <c r="E895" s="17" t="s">
        <v>8</v>
      </c>
      <c r="F895" s="17">
        <v>0</v>
      </c>
      <c r="G895" s="17">
        <v>0</v>
      </c>
      <c r="H895" s="17">
        <v>0</v>
      </c>
      <c r="I895" s="17">
        <v>0</v>
      </c>
      <c r="J895" s="17">
        <v>0</v>
      </c>
      <c r="K895" s="17">
        <v>0</v>
      </c>
      <c r="L895" s="17">
        <v>0</v>
      </c>
      <c r="M895" s="17">
        <v>0</v>
      </c>
      <c r="N895" s="17">
        <v>0</v>
      </c>
      <c r="O895" s="17">
        <v>0</v>
      </c>
      <c r="P895" s="17">
        <v>0</v>
      </c>
      <c r="Q895" s="17">
        <v>0</v>
      </c>
      <c r="R895" s="17">
        <v>0</v>
      </c>
      <c r="S895" s="17"/>
      <c r="T895" s="17" t="s">
        <v>2991</v>
      </c>
      <c r="U895" s="17" t="s">
        <v>3060</v>
      </c>
      <c r="V895" s="17" t="s">
        <v>3058</v>
      </c>
      <c r="W895" s="17"/>
      <c r="X895" s="17"/>
    </row>
    <row r="896" spans="1:24" hidden="1">
      <c r="A896" s="18">
        <v>895</v>
      </c>
      <c r="B896" s="17" t="s">
        <v>2022</v>
      </c>
      <c r="C896" s="17" t="s">
        <v>2023</v>
      </c>
      <c r="D896" s="17" t="s">
        <v>17</v>
      </c>
      <c r="E896" s="17" t="s">
        <v>8</v>
      </c>
      <c r="F896" s="17">
        <v>0</v>
      </c>
      <c r="G896" s="17">
        <v>0</v>
      </c>
      <c r="H896" s="17">
        <v>0</v>
      </c>
      <c r="I896" s="17">
        <v>0</v>
      </c>
      <c r="J896" s="17">
        <v>0</v>
      </c>
      <c r="K896" s="17">
        <v>0</v>
      </c>
      <c r="L896" s="17">
        <v>0</v>
      </c>
      <c r="M896" s="17">
        <v>0</v>
      </c>
      <c r="N896" s="17">
        <v>0</v>
      </c>
      <c r="O896" s="17">
        <v>0</v>
      </c>
      <c r="P896" s="17">
        <v>0</v>
      </c>
      <c r="Q896" s="17">
        <v>0</v>
      </c>
      <c r="R896" s="17">
        <v>0</v>
      </c>
      <c r="S896" s="17"/>
      <c r="T896" s="17" t="s">
        <v>2982</v>
      </c>
      <c r="U896" s="17" t="s">
        <v>3060</v>
      </c>
      <c r="V896" s="17" t="s">
        <v>3058</v>
      </c>
      <c r="W896" s="17"/>
      <c r="X896" s="17"/>
    </row>
    <row r="897" spans="1:24" hidden="1">
      <c r="A897" s="18">
        <v>896</v>
      </c>
      <c r="B897" s="17" t="s">
        <v>2024</v>
      </c>
      <c r="C897" s="17" t="s">
        <v>2025</v>
      </c>
      <c r="D897" s="17" t="s">
        <v>17</v>
      </c>
      <c r="E897" s="17" t="s">
        <v>8</v>
      </c>
      <c r="F897" s="17">
        <v>0</v>
      </c>
      <c r="G897" s="17">
        <v>0</v>
      </c>
      <c r="H897" s="17">
        <v>0</v>
      </c>
      <c r="I897" s="17">
        <v>0</v>
      </c>
      <c r="J897" s="17">
        <v>0</v>
      </c>
      <c r="K897" s="17">
        <v>0</v>
      </c>
      <c r="L897" s="17">
        <v>0</v>
      </c>
      <c r="M897" s="17">
        <v>0</v>
      </c>
      <c r="N897" s="17">
        <v>0</v>
      </c>
      <c r="O897" s="17">
        <v>0</v>
      </c>
      <c r="P897" s="17">
        <v>0</v>
      </c>
      <c r="Q897" s="17">
        <v>0</v>
      </c>
      <c r="R897" s="17">
        <v>0</v>
      </c>
      <c r="S897" s="17"/>
      <c r="T897" s="17" t="s">
        <v>2982</v>
      </c>
      <c r="U897" s="17" t="s">
        <v>3060</v>
      </c>
      <c r="V897" s="17" t="s">
        <v>3058</v>
      </c>
      <c r="W897" s="17"/>
      <c r="X897" s="17"/>
    </row>
    <row r="898" spans="1:24" hidden="1">
      <c r="A898" s="18">
        <v>897</v>
      </c>
      <c r="B898" s="17" t="s">
        <v>2026</v>
      </c>
      <c r="C898" s="17" t="s">
        <v>2027</v>
      </c>
      <c r="D898" s="17" t="s">
        <v>17</v>
      </c>
      <c r="E898" s="17" t="s">
        <v>8</v>
      </c>
      <c r="F898" s="17">
        <v>0</v>
      </c>
      <c r="G898" s="17">
        <v>0</v>
      </c>
      <c r="H898" s="17">
        <v>0</v>
      </c>
      <c r="I898" s="17">
        <v>0</v>
      </c>
      <c r="J898" s="17">
        <v>0</v>
      </c>
      <c r="K898" s="17">
        <v>0</v>
      </c>
      <c r="L898" s="17">
        <v>0</v>
      </c>
      <c r="M898" s="17">
        <v>0</v>
      </c>
      <c r="N898" s="17">
        <v>0</v>
      </c>
      <c r="O898" s="17">
        <v>0</v>
      </c>
      <c r="P898" s="17">
        <v>0</v>
      </c>
      <c r="Q898" s="17">
        <v>0</v>
      </c>
      <c r="R898" s="17">
        <v>0</v>
      </c>
      <c r="S898" s="17"/>
      <c r="T898" s="17" t="s">
        <v>2982</v>
      </c>
      <c r="U898" s="17" t="s">
        <v>3060</v>
      </c>
      <c r="V898" s="17" t="s">
        <v>3058</v>
      </c>
      <c r="W898" s="17"/>
      <c r="X898" s="17"/>
    </row>
    <row r="899" spans="1:24" hidden="1">
      <c r="A899" s="18">
        <v>898</v>
      </c>
      <c r="B899" s="17" t="s">
        <v>2028</v>
      </c>
      <c r="C899" s="17" t="s">
        <v>2029</v>
      </c>
      <c r="D899" s="17" t="s">
        <v>17</v>
      </c>
      <c r="E899" s="17" t="s">
        <v>8</v>
      </c>
      <c r="F899" s="17">
        <v>0</v>
      </c>
      <c r="G899" s="17">
        <v>0</v>
      </c>
      <c r="H899" s="17">
        <v>0</v>
      </c>
      <c r="I899" s="17">
        <v>0</v>
      </c>
      <c r="J899" s="17">
        <v>0</v>
      </c>
      <c r="K899" s="17">
        <v>0</v>
      </c>
      <c r="L899" s="17">
        <v>0</v>
      </c>
      <c r="M899" s="17">
        <v>0</v>
      </c>
      <c r="N899" s="17">
        <v>0</v>
      </c>
      <c r="O899" s="17">
        <v>0</v>
      </c>
      <c r="P899" s="17">
        <v>0</v>
      </c>
      <c r="Q899" s="17">
        <v>0</v>
      </c>
      <c r="R899" s="17">
        <v>0</v>
      </c>
      <c r="S899" s="17"/>
      <c r="T899" s="17" t="s">
        <v>2982</v>
      </c>
      <c r="U899" s="17" t="s">
        <v>3060</v>
      </c>
      <c r="V899" s="17" t="s">
        <v>3058</v>
      </c>
      <c r="W899" s="17"/>
      <c r="X899" s="17"/>
    </row>
    <row r="900" spans="1:24" hidden="1">
      <c r="A900" s="18">
        <v>899</v>
      </c>
      <c r="B900" s="17" t="s">
        <v>2030</v>
      </c>
      <c r="C900" s="17" t="s">
        <v>2031</v>
      </c>
      <c r="D900" s="17" t="s">
        <v>17</v>
      </c>
      <c r="E900" s="17" t="s">
        <v>8</v>
      </c>
      <c r="F900" s="17">
        <v>0</v>
      </c>
      <c r="G900" s="17">
        <v>0</v>
      </c>
      <c r="H900" s="17">
        <v>0</v>
      </c>
      <c r="I900" s="17">
        <v>0</v>
      </c>
      <c r="J900" s="17">
        <v>0</v>
      </c>
      <c r="K900" s="17">
        <v>0</v>
      </c>
      <c r="L900" s="17">
        <v>0</v>
      </c>
      <c r="M900" s="17">
        <v>0</v>
      </c>
      <c r="N900" s="17">
        <v>0</v>
      </c>
      <c r="O900" s="17">
        <v>0</v>
      </c>
      <c r="P900" s="17">
        <v>0</v>
      </c>
      <c r="Q900" s="17">
        <v>0</v>
      </c>
      <c r="R900" s="17">
        <v>0</v>
      </c>
      <c r="S900" s="17"/>
      <c r="T900" s="17" t="s">
        <v>2982</v>
      </c>
      <c r="U900" s="17" t="s">
        <v>3060</v>
      </c>
      <c r="V900" s="17" t="s">
        <v>3058</v>
      </c>
      <c r="W900" s="17"/>
      <c r="X900" s="17"/>
    </row>
    <row r="901" spans="1:24" hidden="1">
      <c r="A901" s="18">
        <v>900</v>
      </c>
      <c r="B901" s="17" t="s">
        <v>2032</v>
      </c>
      <c r="C901" s="17" t="s">
        <v>2033</v>
      </c>
      <c r="D901" s="17" t="s">
        <v>17</v>
      </c>
      <c r="E901" s="17" t="s">
        <v>8</v>
      </c>
      <c r="F901" s="17">
        <v>0</v>
      </c>
      <c r="G901" s="17">
        <v>0</v>
      </c>
      <c r="H901" s="17">
        <v>0</v>
      </c>
      <c r="I901" s="17">
        <v>0</v>
      </c>
      <c r="J901" s="17">
        <v>0</v>
      </c>
      <c r="K901" s="17">
        <v>0</v>
      </c>
      <c r="L901" s="17">
        <v>0</v>
      </c>
      <c r="M901" s="17">
        <v>0</v>
      </c>
      <c r="N901" s="17">
        <v>0</v>
      </c>
      <c r="O901" s="17">
        <v>0</v>
      </c>
      <c r="P901" s="17">
        <v>0</v>
      </c>
      <c r="Q901" s="17">
        <v>0</v>
      </c>
      <c r="R901" s="17">
        <v>0</v>
      </c>
      <c r="S901" s="17"/>
      <c r="T901" s="17" t="s">
        <v>2982</v>
      </c>
      <c r="U901" s="17" t="s">
        <v>3060</v>
      </c>
      <c r="V901" s="17" t="s">
        <v>3058</v>
      </c>
      <c r="W901" s="17"/>
      <c r="X901" s="17"/>
    </row>
    <row r="902" spans="1:24" hidden="1">
      <c r="A902" s="18">
        <v>901</v>
      </c>
      <c r="B902" s="17" t="s">
        <v>1956</v>
      </c>
      <c r="C902" s="17" t="s">
        <v>1957</v>
      </c>
      <c r="D902" s="17" t="s">
        <v>17</v>
      </c>
      <c r="E902" s="17" t="s">
        <v>8</v>
      </c>
      <c r="F902" s="17">
        <v>210</v>
      </c>
      <c r="G902" s="17">
        <v>0</v>
      </c>
      <c r="H902" s="17">
        <v>55</v>
      </c>
      <c r="I902" s="17">
        <v>155</v>
      </c>
      <c r="J902" s="17">
        <v>0</v>
      </c>
      <c r="K902" s="17">
        <v>0</v>
      </c>
      <c r="L902" s="17">
        <v>155</v>
      </c>
      <c r="M902" s="17">
        <v>0</v>
      </c>
      <c r="N902" s="17">
        <v>0</v>
      </c>
      <c r="O902" s="17">
        <v>155</v>
      </c>
      <c r="P902" s="17">
        <v>50</v>
      </c>
      <c r="Q902" s="17">
        <v>105</v>
      </c>
      <c r="R902" s="17">
        <v>0</v>
      </c>
      <c r="S902" s="17"/>
      <c r="T902" s="17" t="s">
        <v>3052</v>
      </c>
      <c r="U902" s="17" t="s">
        <v>3057</v>
      </c>
      <c r="V902" s="17" t="s">
        <v>3056</v>
      </c>
      <c r="W902" s="17"/>
      <c r="X902" s="17"/>
    </row>
    <row r="903" spans="1:24" hidden="1">
      <c r="A903" s="18">
        <v>902</v>
      </c>
      <c r="B903" s="17" t="s">
        <v>1972</v>
      </c>
      <c r="C903" s="17" t="s">
        <v>1973</v>
      </c>
      <c r="D903" s="17" t="s">
        <v>17</v>
      </c>
      <c r="E903" s="17" t="s">
        <v>8</v>
      </c>
      <c r="F903" s="17">
        <v>11</v>
      </c>
      <c r="G903" s="17">
        <v>10</v>
      </c>
      <c r="H903" s="17">
        <v>1</v>
      </c>
      <c r="I903" s="17">
        <v>20</v>
      </c>
      <c r="J903" s="17">
        <v>0</v>
      </c>
      <c r="K903" s="17">
        <v>0</v>
      </c>
      <c r="L903" s="17">
        <v>20</v>
      </c>
      <c r="M903" s="17">
        <v>0</v>
      </c>
      <c r="N903" s="17">
        <v>0</v>
      </c>
      <c r="O903" s="17">
        <v>20</v>
      </c>
      <c r="P903" s="17">
        <v>10</v>
      </c>
      <c r="Q903" s="17">
        <v>10</v>
      </c>
      <c r="R903" s="17">
        <v>10</v>
      </c>
      <c r="S903" s="17"/>
      <c r="T903" s="17" t="s">
        <v>3052</v>
      </c>
      <c r="U903" s="17" t="s">
        <v>3057</v>
      </c>
      <c r="V903" s="17" t="s">
        <v>3056</v>
      </c>
      <c r="W903" s="17"/>
      <c r="X903" s="17"/>
    </row>
    <row r="904" spans="1:24" hidden="1">
      <c r="A904" s="18">
        <v>903</v>
      </c>
      <c r="B904" s="17" t="s">
        <v>1998</v>
      </c>
      <c r="C904" s="17" t="s">
        <v>1999</v>
      </c>
      <c r="D904" s="17" t="s">
        <v>17</v>
      </c>
      <c r="E904" s="17" t="s">
        <v>8</v>
      </c>
      <c r="F904" s="17">
        <v>0</v>
      </c>
      <c r="G904" s="17">
        <v>0</v>
      </c>
      <c r="H904" s="17">
        <v>0</v>
      </c>
      <c r="I904" s="17">
        <v>0</v>
      </c>
      <c r="J904" s="17">
        <v>0</v>
      </c>
      <c r="K904" s="17">
        <v>0</v>
      </c>
      <c r="L904" s="17">
        <v>0</v>
      </c>
      <c r="M904" s="17">
        <v>0</v>
      </c>
      <c r="N904" s="17">
        <v>0</v>
      </c>
      <c r="O904" s="17">
        <v>0</v>
      </c>
      <c r="P904" s="17">
        <v>0</v>
      </c>
      <c r="Q904" s="17">
        <v>0</v>
      </c>
      <c r="R904" s="17">
        <v>0</v>
      </c>
      <c r="S904" s="17"/>
      <c r="T904" s="17" t="s">
        <v>2991</v>
      </c>
      <c r="U904" s="17" t="s">
        <v>3057</v>
      </c>
      <c r="V904" s="17" t="s">
        <v>3058</v>
      </c>
      <c r="W904" s="17"/>
      <c r="X904" s="17"/>
    </row>
    <row r="905" spans="1:24" hidden="1">
      <c r="A905" s="18">
        <v>904</v>
      </c>
      <c r="B905" s="17" t="s">
        <v>2000</v>
      </c>
      <c r="C905" s="17" t="s">
        <v>2001</v>
      </c>
      <c r="D905" s="17" t="s">
        <v>17</v>
      </c>
      <c r="E905" s="17" t="s">
        <v>8</v>
      </c>
      <c r="F905" s="17">
        <v>0</v>
      </c>
      <c r="G905" s="17">
        <v>0</v>
      </c>
      <c r="H905" s="17">
        <v>0</v>
      </c>
      <c r="I905" s="17">
        <v>0</v>
      </c>
      <c r="J905" s="17">
        <v>0</v>
      </c>
      <c r="K905" s="17">
        <v>0</v>
      </c>
      <c r="L905" s="17">
        <v>0</v>
      </c>
      <c r="M905" s="17">
        <v>0</v>
      </c>
      <c r="N905" s="17">
        <v>0</v>
      </c>
      <c r="O905" s="17">
        <v>0</v>
      </c>
      <c r="P905" s="17">
        <v>0</v>
      </c>
      <c r="Q905" s="17">
        <v>0</v>
      </c>
      <c r="R905" s="17">
        <v>0</v>
      </c>
      <c r="S905" s="17"/>
      <c r="T905" s="17" t="s">
        <v>2991</v>
      </c>
      <c r="U905" s="17" t="s">
        <v>3057</v>
      </c>
      <c r="V905" s="17" t="s">
        <v>3056</v>
      </c>
      <c r="W905" s="17"/>
      <c r="X905" s="17"/>
    </row>
    <row r="906" spans="1:24" hidden="1">
      <c r="A906" s="18">
        <v>905</v>
      </c>
      <c r="B906" s="17" t="s">
        <v>2002</v>
      </c>
      <c r="C906" s="17" t="s">
        <v>2003</v>
      </c>
      <c r="D906" s="17" t="s">
        <v>17</v>
      </c>
      <c r="E906" s="17" t="s">
        <v>8</v>
      </c>
      <c r="F906" s="17">
        <v>0</v>
      </c>
      <c r="G906" s="17">
        <v>0</v>
      </c>
      <c r="H906" s="17">
        <v>0</v>
      </c>
      <c r="I906" s="17">
        <v>0</v>
      </c>
      <c r="J906" s="17">
        <v>0</v>
      </c>
      <c r="K906" s="17">
        <v>0</v>
      </c>
      <c r="L906" s="17">
        <v>0</v>
      </c>
      <c r="M906" s="17">
        <v>0</v>
      </c>
      <c r="N906" s="17">
        <v>0</v>
      </c>
      <c r="O906" s="17">
        <v>0</v>
      </c>
      <c r="P906" s="17">
        <v>0</v>
      </c>
      <c r="Q906" s="17">
        <v>0</v>
      </c>
      <c r="R906" s="17">
        <v>0</v>
      </c>
      <c r="S906" s="17"/>
      <c r="T906" s="17" t="s">
        <v>2991</v>
      </c>
      <c r="U906" s="17" t="s">
        <v>3057</v>
      </c>
      <c r="V906" s="17" t="s">
        <v>3058</v>
      </c>
      <c r="W906" s="17"/>
      <c r="X906" s="17"/>
    </row>
    <row r="907" spans="1:24" hidden="1">
      <c r="A907" s="18">
        <v>906</v>
      </c>
      <c r="B907" s="17" t="s">
        <v>2004</v>
      </c>
      <c r="C907" s="17" t="s">
        <v>2005</v>
      </c>
      <c r="D907" s="17" t="s">
        <v>17</v>
      </c>
      <c r="E907" s="17" t="s">
        <v>8</v>
      </c>
      <c r="F907" s="17">
        <v>0</v>
      </c>
      <c r="G907" s="17">
        <v>0</v>
      </c>
      <c r="H907" s="17">
        <v>0</v>
      </c>
      <c r="I907" s="17">
        <v>0</v>
      </c>
      <c r="J907" s="17">
        <v>0</v>
      </c>
      <c r="K907" s="17">
        <v>0</v>
      </c>
      <c r="L907" s="17">
        <v>0</v>
      </c>
      <c r="M907" s="17">
        <v>0</v>
      </c>
      <c r="N907" s="17">
        <v>0</v>
      </c>
      <c r="O907" s="17">
        <v>0</v>
      </c>
      <c r="P907" s="17">
        <v>0</v>
      </c>
      <c r="Q907" s="17">
        <v>0</v>
      </c>
      <c r="R907" s="17">
        <v>0</v>
      </c>
      <c r="S907" s="17"/>
      <c r="T907" s="17" t="s">
        <v>2991</v>
      </c>
      <c r="U907" s="17" t="s">
        <v>3057</v>
      </c>
      <c r="V907" s="17" t="s">
        <v>3056</v>
      </c>
      <c r="W907" s="17"/>
      <c r="X907" s="17"/>
    </row>
    <row r="908" spans="1:24" hidden="1">
      <c r="A908" s="18">
        <v>907</v>
      </c>
      <c r="B908" s="17" t="s">
        <v>2006</v>
      </c>
      <c r="C908" s="17" t="s">
        <v>2007</v>
      </c>
      <c r="D908" s="17" t="s">
        <v>17</v>
      </c>
      <c r="E908" s="17" t="s">
        <v>8</v>
      </c>
      <c r="F908" s="17">
        <v>0</v>
      </c>
      <c r="G908" s="17">
        <v>0</v>
      </c>
      <c r="H908" s="17">
        <v>0</v>
      </c>
      <c r="I908" s="17">
        <v>0</v>
      </c>
      <c r="J908" s="17">
        <v>0</v>
      </c>
      <c r="K908" s="17">
        <v>0</v>
      </c>
      <c r="L908" s="17">
        <v>0</v>
      </c>
      <c r="M908" s="17">
        <v>0</v>
      </c>
      <c r="N908" s="17">
        <v>0</v>
      </c>
      <c r="O908" s="17">
        <v>0</v>
      </c>
      <c r="P908" s="17">
        <v>0</v>
      </c>
      <c r="Q908" s="17">
        <v>0</v>
      </c>
      <c r="R908" s="17">
        <v>0</v>
      </c>
      <c r="S908" s="17"/>
      <c r="T908" s="17" t="s">
        <v>2991</v>
      </c>
      <c r="U908" s="17" t="s">
        <v>3057</v>
      </c>
      <c r="V908" s="17" t="s">
        <v>3058</v>
      </c>
      <c r="W908" s="17"/>
      <c r="X908" s="17"/>
    </row>
    <row r="909" spans="1:24" hidden="1">
      <c r="A909" s="18">
        <v>908</v>
      </c>
      <c r="B909" s="17" t="s">
        <v>2008</v>
      </c>
      <c r="C909" s="17" t="s">
        <v>2009</v>
      </c>
      <c r="D909" s="17" t="s">
        <v>17</v>
      </c>
      <c r="E909" s="17" t="s">
        <v>8</v>
      </c>
      <c r="F909" s="17">
        <v>0</v>
      </c>
      <c r="G909" s="17">
        <v>0</v>
      </c>
      <c r="H909" s="17">
        <v>0</v>
      </c>
      <c r="I909" s="17">
        <v>0</v>
      </c>
      <c r="J909" s="17">
        <v>0</v>
      </c>
      <c r="K909" s="17">
        <v>0</v>
      </c>
      <c r="L909" s="17">
        <v>0</v>
      </c>
      <c r="M909" s="17">
        <v>0</v>
      </c>
      <c r="N909" s="17">
        <v>0</v>
      </c>
      <c r="O909" s="17">
        <v>0</v>
      </c>
      <c r="P909" s="17">
        <v>0</v>
      </c>
      <c r="Q909" s="17">
        <v>0</v>
      </c>
      <c r="R909" s="17">
        <v>0</v>
      </c>
      <c r="S909" s="17"/>
      <c r="T909" s="17" t="s">
        <v>2991</v>
      </c>
      <c r="U909" s="17" t="s">
        <v>3057</v>
      </c>
      <c r="V909" s="17" t="s">
        <v>3056</v>
      </c>
      <c r="W909" s="17"/>
      <c r="X909" s="17"/>
    </row>
    <row r="910" spans="1:24" hidden="1">
      <c r="A910" s="18">
        <v>909</v>
      </c>
      <c r="B910" s="17" t="s">
        <v>2010</v>
      </c>
      <c r="C910" s="17" t="s">
        <v>2011</v>
      </c>
      <c r="D910" s="17" t="s">
        <v>17</v>
      </c>
      <c r="E910" s="17" t="s">
        <v>8</v>
      </c>
      <c r="F910" s="17">
        <v>0</v>
      </c>
      <c r="G910" s="17">
        <v>0</v>
      </c>
      <c r="H910" s="17">
        <v>0</v>
      </c>
      <c r="I910" s="17">
        <v>0</v>
      </c>
      <c r="J910" s="17">
        <v>0</v>
      </c>
      <c r="K910" s="17">
        <v>0</v>
      </c>
      <c r="L910" s="17">
        <v>0</v>
      </c>
      <c r="M910" s="17">
        <v>0</v>
      </c>
      <c r="N910" s="17">
        <v>0</v>
      </c>
      <c r="O910" s="17">
        <v>0</v>
      </c>
      <c r="P910" s="17">
        <v>0</v>
      </c>
      <c r="Q910" s="17">
        <v>0</v>
      </c>
      <c r="R910" s="17">
        <v>0</v>
      </c>
      <c r="S910" s="17"/>
      <c r="T910" s="17" t="s">
        <v>2991</v>
      </c>
      <c r="U910" s="17" t="s">
        <v>3057</v>
      </c>
      <c r="V910" s="17" t="s">
        <v>3056</v>
      </c>
      <c r="W910" s="17"/>
      <c r="X910" s="17"/>
    </row>
    <row r="911" spans="1:24" hidden="1">
      <c r="A911" s="18">
        <v>910</v>
      </c>
      <c r="B911" s="17" t="s">
        <v>2012</v>
      </c>
      <c r="C911" s="17" t="s">
        <v>2013</v>
      </c>
      <c r="D911" s="17" t="s">
        <v>17</v>
      </c>
      <c r="E911" s="17" t="s">
        <v>8</v>
      </c>
      <c r="F911" s="17">
        <v>0</v>
      </c>
      <c r="G911" s="17">
        <v>0</v>
      </c>
      <c r="H911" s="17">
        <v>0</v>
      </c>
      <c r="I911" s="17">
        <v>0</v>
      </c>
      <c r="J911" s="17">
        <v>0</v>
      </c>
      <c r="K911" s="17">
        <v>0</v>
      </c>
      <c r="L911" s="17">
        <v>0</v>
      </c>
      <c r="M911" s="17">
        <v>0</v>
      </c>
      <c r="N911" s="17">
        <v>0</v>
      </c>
      <c r="O911" s="17">
        <v>0</v>
      </c>
      <c r="P911" s="17">
        <v>0</v>
      </c>
      <c r="Q911" s="17">
        <v>0</v>
      </c>
      <c r="R911" s="17">
        <v>0</v>
      </c>
      <c r="S911" s="17"/>
      <c r="T911" s="17" t="s">
        <v>2991</v>
      </c>
      <c r="U911" s="17" t="s">
        <v>3057</v>
      </c>
      <c r="V911" s="17" t="s">
        <v>3058</v>
      </c>
      <c r="W911" s="17"/>
      <c r="X911" s="17"/>
    </row>
    <row r="912" spans="1:24" hidden="1">
      <c r="A912" s="18">
        <v>911</v>
      </c>
      <c r="B912" s="17" t="s">
        <v>2014</v>
      </c>
      <c r="C912" s="17" t="s">
        <v>2015</v>
      </c>
      <c r="D912" s="17" t="s">
        <v>17</v>
      </c>
      <c r="E912" s="17" t="s">
        <v>8</v>
      </c>
      <c r="F912" s="17">
        <v>0</v>
      </c>
      <c r="G912" s="17">
        <v>0</v>
      </c>
      <c r="H912" s="17">
        <v>0</v>
      </c>
      <c r="I912" s="17">
        <v>0</v>
      </c>
      <c r="J912" s="17">
        <v>0</v>
      </c>
      <c r="K912" s="17">
        <v>0</v>
      </c>
      <c r="L912" s="17">
        <v>0</v>
      </c>
      <c r="M912" s="17">
        <v>0</v>
      </c>
      <c r="N912" s="17">
        <v>0</v>
      </c>
      <c r="O912" s="17">
        <v>0</v>
      </c>
      <c r="P912" s="17">
        <v>0</v>
      </c>
      <c r="Q912" s="17">
        <v>0</v>
      </c>
      <c r="R912" s="17">
        <v>0</v>
      </c>
      <c r="S912" s="17"/>
      <c r="T912" s="17" t="s">
        <v>2991</v>
      </c>
      <c r="U912" s="17" t="s">
        <v>3057</v>
      </c>
      <c r="V912" s="17" t="s">
        <v>3056</v>
      </c>
      <c r="W912" s="17"/>
      <c r="X912" s="17"/>
    </row>
    <row r="913" spans="1:24" hidden="1">
      <c r="A913" s="18">
        <v>912</v>
      </c>
      <c r="B913" s="17" t="s">
        <v>2016</v>
      </c>
      <c r="C913" s="17" t="s">
        <v>2017</v>
      </c>
      <c r="D913" s="17" t="s">
        <v>17</v>
      </c>
      <c r="E913" s="17" t="s">
        <v>8</v>
      </c>
      <c r="F913" s="17">
        <v>0</v>
      </c>
      <c r="G913" s="17">
        <v>0</v>
      </c>
      <c r="H913" s="17">
        <v>0</v>
      </c>
      <c r="I913" s="17">
        <v>0</v>
      </c>
      <c r="J913" s="17">
        <v>0</v>
      </c>
      <c r="K913" s="17">
        <v>0</v>
      </c>
      <c r="L913" s="17">
        <v>0</v>
      </c>
      <c r="M913" s="17">
        <v>0</v>
      </c>
      <c r="N913" s="17">
        <v>0</v>
      </c>
      <c r="O913" s="17">
        <v>0</v>
      </c>
      <c r="P913" s="17">
        <v>0</v>
      </c>
      <c r="Q913" s="17">
        <v>0</v>
      </c>
      <c r="R913" s="17">
        <v>0</v>
      </c>
      <c r="S913" s="17"/>
      <c r="T913" s="17" t="s">
        <v>2991</v>
      </c>
      <c r="U913" s="17" t="s">
        <v>3057</v>
      </c>
      <c r="V913" s="17" t="s">
        <v>3056</v>
      </c>
      <c r="W913" s="17"/>
      <c r="X913" s="17"/>
    </row>
    <row r="914" spans="1:24" hidden="1">
      <c r="A914" s="18">
        <v>913</v>
      </c>
      <c r="B914" s="17" t="s">
        <v>2058</v>
      </c>
      <c r="C914" s="17" t="s">
        <v>2059</v>
      </c>
      <c r="D914" s="17" t="s">
        <v>20</v>
      </c>
      <c r="E914" s="17" t="s">
        <v>8</v>
      </c>
      <c r="F914" s="17">
        <v>0</v>
      </c>
      <c r="G914" s="17">
        <v>0</v>
      </c>
      <c r="H914" s="17">
        <v>0</v>
      </c>
      <c r="I914" s="17">
        <v>0</v>
      </c>
      <c r="J914" s="17">
        <v>0</v>
      </c>
      <c r="K914" s="17">
        <v>0</v>
      </c>
      <c r="L914" s="17">
        <v>0</v>
      </c>
      <c r="M914" s="17">
        <v>0</v>
      </c>
      <c r="N914" s="17">
        <v>0</v>
      </c>
      <c r="O914" s="17">
        <v>0</v>
      </c>
      <c r="P914" s="17">
        <v>0</v>
      </c>
      <c r="Q914" s="17">
        <v>0</v>
      </c>
      <c r="R914" s="17">
        <v>0</v>
      </c>
      <c r="S914" s="17"/>
      <c r="T914" s="17" t="s">
        <v>2965</v>
      </c>
      <c r="U914" s="17" t="s">
        <v>3060</v>
      </c>
      <c r="V914" s="17" t="s">
        <v>3058</v>
      </c>
      <c r="W914" s="17"/>
      <c r="X914" s="17"/>
    </row>
    <row r="915" spans="1:24" hidden="1">
      <c r="A915" s="18">
        <v>914</v>
      </c>
      <c r="B915" s="17" t="s">
        <v>2018</v>
      </c>
      <c r="C915" s="17" t="s">
        <v>2019</v>
      </c>
      <c r="D915" s="17" t="s">
        <v>17</v>
      </c>
      <c r="E915" s="17" t="s">
        <v>8</v>
      </c>
      <c r="F915" s="17">
        <v>0</v>
      </c>
      <c r="G915" s="17">
        <v>0</v>
      </c>
      <c r="H915" s="17">
        <v>0</v>
      </c>
      <c r="I915" s="17">
        <v>0</v>
      </c>
      <c r="J915" s="17">
        <v>0</v>
      </c>
      <c r="K915" s="17">
        <v>0</v>
      </c>
      <c r="L915" s="17">
        <v>0</v>
      </c>
      <c r="M915" s="17">
        <v>0</v>
      </c>
      <c r="N915" s="17">
        <v>0</v>
      </c>
      <c r="O915" s="17">
        <v>0</v>
      </c>
      <c r="P915" s="17">
        <v>0</v>
      </c>
      <c r="Q915" s="17">
        <v>0</v>
      </c>
      <c r="R915" s="17">
        <v>0</v>
      </c>
      <c r="S915" s="17"/>
      <c r="T915" s="17" t="s">
        <v>2991</v>
      </c>
      <c r="U915" s="17" t="s">
        <v>3057</v>
      </c>
      <c r="V915" s="17" t="s">
        <v>3058</v>
      </c>
      <c r="W915" s="17"/>
      <c r="X915" s="17"/>
    </row>
    <row r="916" spans="1:24" hidden="1">
      <c r="A916" s="18">
        <v>915</v>
      </c>
      <c r="B916" s="17" t="s">
        <v>2060</v>
      </c>
      <c r="C916" s="17" t="s">
        <v>2061</v>
      </c>
      <c r="D916" s="17" t="s">
        <v>17</v>
      </c>
      <c r="E916" s="17" t="s">
        <v>8</v>
      </c>
      <c r="F916" s="17">
        <v>0</v>
      </c>
      <c r="G916" s="17">
        <v>0</v>
      </c>
      <c r="H916" s="17">
        <v>0</v>
      </c>
      <c r="I916" s="17">
        <v>0</v>
      </c>
      <c r="J916" s="17">
        <v>0</v>
      </c>
      <c r="K916" s="17">
        <v>0</v>
      </c>
      <c r="L916" s="17">
        <v>0</v>
      </c>
      <c r="M916" s="17">
        <v>0</v>
      </c>
      <c r="N916" s="17">
        <v>0</v>
      </c>
      <c r="O916" s="17">
        <v>0</v>
      </c>
      <c r="P916" s="17">
        <v>25</v>
      </c>
      <c r="Q916" s="17">
        <v>-25</v>
      </c>
      <c r="R916" s="17">
        <v>0</v>
      </c>
      <c r="S916" s="17"/>
      <c r="T916" s="17" t="s">
        <v>2972</v>
      </c>
      <c r="U916" s="17" t="s">
        <v>3055</v>
      </c>
      <c r="V916" s="17" t="s">
        <v>3056</v>
      </c>
      <c r="W916" s="17"/>
      <c r="X916" s="17"/>
    </row>
    <row r="917" spans="1:24" hidden="1">
      <c r="A917" s="18">
        <v>916</v>
      </c>
      <c r="B917" s="17" t="s">
        <v>2034</v>
      </c>
      <c r="C917" s="17" t="s">
        <v>2035</v>
      </c>
      <c r="D917" s="17" t="s">
        <v>17</v>
      </c>
      <c r="E917" s="17" t="s">
        <v>8</v>
      </c>
      <c r="F917" s="17">
        <v>0</v>
      </c>
      <c r="G917" s="17">
        <v>0</v>
      </c>
      <c r="H917" s="17">
        <v>0</v>
      </c>
      <c r="I917" s="17">
        <v>0</v>
      </c>
      <c r="J917" s="17">
        <v>0</v>
      </c>
      <c r="K917" s="17">
        <v>0</v>
      </c>
      <c r="L917" s="17">
        <v>0</v>
      </c>
      <c r="M917" s="17">
        <v>0</v>
      </c>
      <c r="N917" s="17">
        <v>0</v>
      </c>
      <c r="O917" s="17">
        <v>0</v>
      </c>
      <c r="P917" s="17">
        <v>0</v>
      </c>
      <c r="Q917" s="17">
        <v>0</v>
      </c>
      <c r="R917" s="17">
        <v>0</v>
      </c>
      <c r="S917" s="17"/>
      <c r="T917" s="17" t="s">
        <v>2972</v>
      </c>
      <c r="U917" s="17" t="s">
        <v>3057</v>
      </c>
      <c r="V917" s="17" t="s">
        <v>3056</v>
      </c>
      <c r="W917" s="17"/>
      <c r="X917" s="17"/>
    </row>
    <row r="918" spans="1:24" hidden="1">
      <c r="A918" s="18">
        <v>917</v>
      </c>
      <c r="B918" s="17" t="s">
        <v>2036</v>
      </c>
      <c r="C918" s="17" t="s">
        <v>2037</v>
      </c>
      <c r="D918" s="17" t="s">
        <v>17</v>
      </c>
      <c r="E918" s="17" t="s">
        <v>8</v>
      </c>
      <c r="F918" s="17">
        <v>150</v>
      </c>
      <c r="G918" s="17">
        <v>0</v>
      </c>
      <c r="H918" s="17">
        <v>0</v>
      </c>
      <c r="I918" s="17">
        <v>150</v>
      </c>
      <c r="J918" s="17">
        <v>0</v>
      </c>
      <c r="K918" s="17">
        <v>0</v>
      </c>
      <c r="L918" s="17">
        <v>150</v>
      </c>
      <c r="M918" s="17">
        <v>0</v>
      </c>
      <c r="N918" s="17">
        <v>0</v>
      </c>
      <c r="O918" s="17">
        <v>150</v>
      </c>
      <c r="P918" s="17">
        <v>100</v>
      </c>
      <c r="Q918" s="17">
        <v>50</v>
      </c>
      <c r="R918" s="17">
        <v>0</v>
      </c>
      <c r="S918" s="17"/>
      <c r="T918" s="17" t="s">
        <v>2972</v>
      </c>
      <c r="U918" s="17" t="s">
        <v>3057</v>
      </c>
      <c r="V918" s="17" t="s">
        <v>3056</v>
      </c>
      <c r="W918" s="17"/>
      <c r="X918" s="17"/>
    </row>
    <row r="919" spans="1:24" hidden="1">
      <c r="A919" s="18">
        <v>918</v>
      </c>
      <c r="B919" s="17" t="s">
        <v>2038</v>
      </c>
      <c r="C919" s="17" t="s">
        <v>2039</v>
      </c>
      <c r="D919" s="17" t="s">
        <v>17</v>
      </c>
      <c r="E919" s="17" t="s">
        <v>8</v>
      </c>
      <c r="F919" s="17">
        <v>276</v>
      </c>
      <c r="G919" s="17">
        <v>0</v>
      </c>
      <c r="H919" s="17">
        <v>0</v>
      </c>
      <c r="I919" s="17">
        <v>276</v>
      </c>
      <c r="J919" s="17">
        <v>0</v>
      </c>
      <c r="K919" s="17">
        <v>0</v>
      </c>
      <c r="L919" s="17">
        <v>276</v>
      </c>
      <c r="M919" s="17">
        <v>0</v>
      </c>
      <c r="N919" s="17">
        <v>0</v>
      </c>
      <c r="O919" s="17">
        <v>276</v>
      </c>
      <c r="P919" s="17">
        <v>100</v>
      </c>
      <c r="Q919" s="17">
        <v>176</v>
      </c>
      <c r="R919" s="17">
        <v>0</v>
      </c>
      <c r="S919" s="17"/>
      <c r="T919" s="17" t="s">
        <v>2972</v>
      </c>
      <c r="U919" s="17" t="s">
        <v>3057</v>
      </c>
      <c r="V919" s="17" t="s">
        <v>3056</v>
      </c>
      <c r="W919" s="17"/>
      <c r="X919" s="17"/>
    </row>
    <row r="920" spans="1:24" hidden="1">
      <c r="A920" s="18">
        <v>919</v>
      </c>
      <c r="B920" s="17" t="s">
        <v>2068</v>
      </c>
      <c r="C920" s="17" t="s">
        <v>2069</v>
      </c>
      <c r="D920" s="17" t="s">
        <v>17</v>
      </c>
      <c r="E920" s="17" t="s">
        <v>8</v>
      </c>
      <c r="F920" s="17">
        <v>1193</v>
      </c>
      <c r="G920" s="17">
        <v>0</v>
      </c>
      <c r="H920" s="17">
        <v>0</v>
      </c>
      <c r="I920" s="17">
        <v>1193</v>
      </c>
      <c r="J920" s="17">
        <v>0</v>
      </c>
      <c r="K920" s="17">
        <v>0</v>
      </c>
      <c r="L920" s="17">
        <v>1193</v>
      </c>
      <c r="M920" s="17">
        <v>0</v>
      </c>
      <c r="N920" s="17">
        <v>0</v>
      </c>
      <c r="O920" s="17">
        <v>1193</v>
      </c>
      <c r="P920" s="17">
        <v>500</v>
      </c>
      <c r="Q920" s="17">
        <v>693</v>
      </c>
      <c r="R920" s="17">
        <v>0</v>
      </c>
      <c r="S920" s="17"/>
      <c r="T920" s="17" t="s">
        <v>2972</v>
      </c>
      <c r="U920" s="17" t="s">
        <v>3060</v>
      </c>
      <c r="V920" s="17" t="s">
        <v>3058</v>
      </c>
      <c r="W920" s="17"/>
      <c r="X920" s="17"/>
    </row>
    <row r="921" spans="1:24" hidden="1">
      <c r="A921" s="18">
        <v>920</v>
      </c>
      <c r="B921" s="17" t="s">
        <v>2070</v>
      </c>
      <c r="C921" s="17" t="s">
        <v>2071</v>
      </c>
      <c r="D921" s="17" t="s">
        <v>17</v>
      </c>
      <c r="E921" s="17" t="s">
        <v>8</v>
      </c>
      <c r="F921" s="17">
        <v>1000</v>
      </c>
      <c r="G921" s="17">
        <v>0</v>
      </c>
      <c r="H921" s="17">
        <v>100</v>
      </c>
      <c r="I921" s="17">
        <v>900</v>
      </c>
      <c r="J921" s="17">
        <v>0</v>
      </c>
      <c r="K921" s="17">
        <v>0</v>
      </c>
      <c r="L921" s="17">
        <v>900</v>
      </c>
      <c r="M921" s="17">
        <v>0</v>
      </c>
      <c r="N921" s="17">
        <v>0</v>
      </c>
      <c r="O921" s="17">
        <v>900</v>
      </c>
      <c r="P921" s="17">
        <v>500</v>
      </c>
      <c r="Q921" s="17">
        <v>400</v>
      </c>
      <c r="R921" s="17">
        <v>0</v>
      </c>
      <c r="S921" s="17"/>
      <c r="T921" s="17" t="s">
        <v>2972</v>
      </c>
      <c r="U921" s="17" t="s">
        <v>3060</v>
      </c>
      <c r="V921" s="17" t="s">
        <v>3058</v>
      </c>
      <c r="W921" s="17"/>
      <c r="X921" s="17"/>
    </row>
    <row r="922" spans="1:24" hidden="1">
      <c r="A922" s="18">
        <v>921</v>
      </c>
      <c r="B922" s="17" t="s">
        <v>2040</v>
      </c>
      <c r="C922" s="17" t="s">
        <v>2041</v>
      </c>
      <c r="D922" s="17" t="s">
        <v>17</v>
      </c>
      <c r="E922" s="17" t="s">
        <v>8</v>
      </c>
      <c r="F922" s="17">
        <v>0</v>
      </c>
      <c r="G922" s="17">
        <v>0</v>
      </c>
      <c r="H922" s="17">
        <v>0</v>
      </c>
      <c r="I922" s="17">
        <v>0</v>
      </c>
      <c r="J922" s="17">
        <v>0</v>
      </c>
      <c r="K922" s="17">
        <v>0</v>
      </c>
      <c r="L922" s="17">
        <v>0</v>
      </c>
      <c r="M922" s="17">
        <v>0</v>
      </c>
      <c r="N922" s="17">
        <v>0</v>
      </c>
      <c r="O922" s="17">
        <v>0</v>
      </c>
      <c r="P922" s="17">
        <v>0</v>
      </c>
      <c r="Q922" s="17">
        <v>0</v>
      </c>
      <c r="R922" s="17">
        <v>0</v>
      </c>
      <c r="S922" s="17"/>
      <c r="T922" s="17" t="s">
        <v>2972</v>
      </c>
      <c r="U922" s="17" t="s">
        <v>3057</v>
      </c>
      <c r="V922" s="17" t="s">
        <v>3056</v>
      </c>
      <c r="W922" s="17"/>
      <c r="X922" s="17"/>
    </row>
    <row r="923" spans="1:24" hidden="1">
      <c r="A923" s="18">
        <v>922</v>
      </c>
      <c r="B923" s="17" t="s">
        <v>2042</v>
      </c>
      <c r="C923" s="17" t="s">
        <v>2043</v>
      </c>
      <c r="D923" s="17" t="s">
        <v>17</v>
      </c>
      <c r="E923" s="17" t="s">
        <v>8</v>
      </c>
      <c r="F923" s="17">
        <v>0</v>
      </c>
      <c r="G923" s="17">
        <v>0</v>
      </c>
      <c r="H923" s="17">
        <v>0</v>
      </c>
      <c r="I923" s="17">
        <v>0</v>
      </c>
      <c r="J923" s="17">
        <v>0</v>
      </c>
      <c r="K923" s="17">
        <v>0</v>
      </c>
      <c r="L923" s="17">
        <v>0</v>
      </c>
      <c r="M923" s="17">
        <v>0</v>
      </c>
      <c r="N923" s="17">
        <v>0</v>
      </c>
      <c r="O923" s="17">
        <v>0</v>
      </c>
      <c r="P923" s="17">
        <v>0</v>
      </c>
      <c r="Q923" s="17">
        <v>0</v>
      </c>
      <c r="R923" s="17">
        <v>0</v>
      </c>
      <c r="S923" s="17"/>
      <c r="T923" s="17" t="s">
        <v>2972</v>
      </c>
      <c r="U923" s="17" t="s">
        <v>3057</v>
      </c>
      <c r="V923" s="17" t="s">
        <v>3056</v>
      </c>
      <c r="W923" s="17"/>
      <c r="X923" s="17"/>
    </row>
    <row r="924" spans="1:24" hidden="1">
      <c r="A924" s="18">
        <v>923</v>
      </c>
      <c r="B924" s="17" t="s">
        <v>2044</v>
      </c>
      <c r="C924" s="17" t="s">
        <v>2045</v>
      </c>
      <c r="D924" s="17" t="s">
        <v>17</v>
      </c>
      <c r="E924" s="17" t="s">
        <v>8</v>
      </c>
      <c r="F924" s="17">
        <v>300</v>
      </c>
      <c r="G924" s="17">
        <v>0</v>
      </c>
      <c r="H924" s="17">
        <v>0</v>
      </c>
      <c r="I924" s="17">
        <v>300</v>
      </c>
      <c r="J924" s="17">
        <v>0</v>
      </c>
      <c r="K924" s="17">
        <v>0</v>
      </c>
      <c r="L924" s="17">
        <v>300</v>
      </c>
      <c r="M924" s="17">
        <v>0</v>
      </c>
      <c r="N924" s="17">
        <v>0</v>
      </c>
      <c r="O924" s="17">
        <v>300</v>
      </c>
      <c r="P924" s="17">
        <v>100</v>
      </c>
      <c r="Q924" s="17">
        <v>200</v>
      </c>
      <c r="R924" s="17">
        <v>0</v>
      </c>
      <c r="S924" s="17"/>
      <c r="T924" s="17" t="s">
        <v>2972</v>
      </c>
      <c r="U924" s="17" t="s">
        <v>3057</v>
      </c>
      <c r="V924" s="17" t="s">
        <v>3056</v>
      </c>
      <c r="W924" s="17"/>
      <c r="X924" s="17"/>
    </row>
    <row r="925" spans="1:24" hidden="1">
      <c r="A925" s="18">
        <v>924</v>
      </c>
      <c r="B925" s="17" t="s">
        <v>2078</v>
      </c>
      <c r="C925" s="17" t="s">
        <v>2079</v>
      </c>
      <c r="D925" s="17" t="s">
        <v>17</v>
      </c>
      <c r="E925" s="17" t="s">
        <v>8</v>
      </c>
      <c r="F925" s="17">
        <v>55</v>
      </c>
      <c r="G925" s="17">
        <v>0</v>
      </c>
      <c r="H925" s="17">
        <v>0</v>
      </c>
      <c r="I925" s="17">
        <v>55</v>
      </c>
      <c r="J925" s="17">
        <v>0</v>
      </c>
      <c r="K925" s="17">
        <v>0</v>
      </c>
      <c r="L925" s="17">
        <v>55</v>
      </c>
      <c r="M925" s="17">
        <v>0</v>
      </c>
      <c r="N925" s="17">
        <v>0</v>
      </c>
      <c r="O925" s="17">
        <v>55</v>
      </c>
      <c r="P925" s="17">
        <v>25</v>
      </c>
      <c r="Q925" s="17">
        <v>30</v>
      </c>
      <c r="R925" s="17">
        <v>0</v>
      </c>
      <c r="S925" s="17"/>
      <c r="T925" s="17" t="s">
        <v>2972</v>
      </c>
      <c r="U925" s="17" t="s">
        <v>3055</v>
      </c>
      <c r="V925" s="17" t="s">
        <v>3056</v>
      </c>
      <c r="W925" s="17"/>
      <c r="X925" s="17"/>
    </row>
    <row r="926" spans="1:24" hidden="1">
      <c r="A926" s="18">
        <v>925</v>
      </c>
      <c r="B926" s="17" t="s">
        <v>2080</v>
      </c>
      <c r="C926" s="17" t="s">
        <v>2081</v>
      </c>
      <c r="D926" s="17" t="s">
        <v>17</v>
      </c>
      <c r="E926" s="17" t="s">
        <v>8</v>
      </c>
      <c r="F926" s="17">
        <v>205</v>
      </c>
      <c r="G926" s="17">
        <v>0</v>
      </c>
      <c r="H926" s="17">
        <v>0</v>
      </c>
      <c r="I926" s="17">
        <v>205</v>
      </c>
      <c r="J926" s="17">
        <v>0</v>
      </c>
      <c r="K926" s="17">
        <v>0</v>
      </c>
      <c r="L926" s="17">
        <v>205</v>
      </c>
      <c r="M926" s="17">
        <v>0</v>
      </c>
      <c r="N926" s="17">
        <v>0</v>
      </c>
      <c r="O926" s="17">
        <v>205</v>
      </c>
      <c r="P926" s="17">
        <v>250</v>
      </c>
      <c r="Q926" s="17">
        <v>-45</v>
      </c>
      <c r="R926" s="17">
        <v>0</v>
      </c>
      <c r="S926" s="17"/>
      <c r="T926" s="17" t="s">
        <v>2991</v>
      </c>
      <c r="U926" s="17" t="s">
        <v>3060</v>
      </c>
      <c r="V926" s="17" t="s">
        <v>3058</v>
      </c>
      <c r="W926" s="17"/>
      <c r="X926" s="17"/>
    </row>
    <row r="927" spans="1:24" hidden="1">
      <c r="A927" s="18">
        <v>926</v>
      </c>
      <c r="B927" s="17" t="s">
        <v>2082</v>
      </c>
      <c r="C927" s="17" t="s">
        <v>2083</v>
      </c>
      <c r="D927" s="17" t="s">
        <v>17</v>
      </c>
      <c r="E927" s="17" t="s">
        <v>8</v>
      </c>
      <c r="F927" s="17">
        <v>780</v>
      </c>
      <c r="G927" s="17">
        <v>0</v>
      </c>
      <c r="H927" s="17">
        <v>0</v>
      </c>
      <c r="I927" s="17">
        <v>780</v>
      </c>
      <c r="J927" s="17">
        <v>0</v>
      </c>
      <c r="K927" s="17">
        <v>0</v>
      </c>
      <c r="L927" s="17">
        <v>780</v>
      </c>
      <c r="M927" s="17">
        <v>0</v>
      </c>
      <c r="N927" s="17">
        <v>0</v>
      </c>
      <c r="O927" s="17">
        <v>780</v>
      </c>
      <c r="P927" s="17">
        <v>400</v>
      </c>
      <c r="Q927" s="17">
        <v>380</v>
      </c>
      <c r="R927" s="17">
        <v>0</v>
      </c>
      <c r="S927" s="17"/>
      <c r="T927" s="17" t="s">
        <v>2991</v>
      </c>
      <c r="U927" s="17" t="s">
        <v>3060</v>
      </c>
      <c r="V927" s="17" t="s">
        <v>3058</v>
      </c>
      <c r="W927" s="17"/>
      <c r="X927" s="17"/>
    </row>
    <row r="928" spans="1:24" hidden="1">
      <c r="A928" s="18">
        <v>927</v>
      </c>
      <c r="B928" s="17" t="s">
        <v>2046</v>
      </c>
      <c r="C928" s="17" t="s">
        <v>2047</v>
      </c>
      <c r="D928" s="17" t="s">
        <v>17</v>
      </c>
      <c r="E928" s="17" t="s">
        <v>8</v>
      </c>
      <c r="F928" s="17">
        <v>0</v>
      </c>
      <c r="G928" s="17">
        <v>0</v>
      </c>
      <c r="H928" s="17">
        <v>0</v>
      </c>
      <c r="I928" s="17">
        <v>0</v>
      </c>
      <c r="J928" s="17">
        <v>0</v>
      </c>
      <c r="K928" s="17">
        <v>0</v>
      </c>
      <c r="L928" s="17">
        <v>0</v>
      </c>
      <c r="M928" s="17">
        <v>0</v>
      </c>
      <c r="N928" s="17">
        <v>0</v>
      </c>
      <c r="O928" s="17">
        <v>0</v>
      </c>
      <c r="P928" s="17">
        <v>0</v>
      </c>
      <c r="Q928" s="17">
        <v>0</v>
      </c>
      <c r="R928" s="17">
        <v>0</v>
      </c>
      <c r="S928" s="17"/>
      <c r="T928" s="17" t="s">
        <v>2972</v>
      </c>
      <c r="U928" s="17" t="s">
        <v>3057</v>
      </c>
      <c r="V928" s="17" t="s">
        <v>3056</v>
      </c>
      <c r="W928" s="17"/>
      <c r="X928" s="17"/>
    </row>
    <row r="929" spans="1:24" hidden="1">
      <c r="A929" s="18">
        <v>928</v>
      </c>
      <c r="B929" s="17" t="s">
        <v>2086</v>
      </c>
      <c r="C929" s="17" t="s">
        <v>2087</v>
      </c>
      <c r="D929" s="17" t="s">
        <v>17</v>
      </c>
      <c r="E929" s="17" t="s">
        <v>8</v>
      </c>
      <c r="F929" s="17">
        <v>1806</v>
      </c>
      <c r="G929" s="17">
        <v>0</v>
      </c>
      <c r="H929" s="17">
        <v>0</v>
      </c>
      <c r="I929" s="17">
        <v>1806</v>
      </c>
      <c r="J929" s="17">
        <v>0</v>
      </c>
      <c r="K929" s="17">
        <v>0</v>
      </c>
      <c r="L929" s="17">
        <v>1806</v>
      </c>
      <c r="M929" s="17">
        <v>0</v>
      </c>
      <c r="N929" s="17">
        <v>0</v>
      </c>
      <c r="O929" s="17">
        <v>1806</v>
      </c>
      <c r="P929" s="17">
        <v>500</v>
      </c>
      <c r="Q929" s="17">
        <v>1306</v>
      </c>
      <c r="R929" s="17">
        <v>0</v>
      </c>
      <c r="S929" s="17"/>
      <c r="T929" s="17" t="s">
        <v>2972</v>
      </c>
      <c r="U929" s="17" t="s">
        <v>3060</v>
      </c>
      <c r="V929" s="17" t="s">
        <v>3058</v>
      </c>
      <c r="W929" s="17"/>
      <c r="X929" s="17"/>
    </row>
    <row r="930" spans="1:24" hidden="1">
      <c r="A930" s="18">
        <v>929</v>
      </c>
      <c r="B930" s="17" t="s">
        <v>2088</v>
      </c>
      <c r="C930" s="17" t="s">
        <v>2089</v>
      </c>
      <c r="D930" s="17" t="s">
        <v>17</v>
      </c>
      <c r="E930" s="17" t="s">
        <v>8</v>
      </c>
      <c r="F930" s="17">
        <v>859</v>
      </c>
      <c r="G930" s="17">
        <v>0</v>
      </c>
      <c r="H930" s="17">
        <v>0</v>
      </c>
      <c r="I930" s="17">
        <v>859</v>
      </c>
      <c r="J930" s="17">
        <v>0</v>
      </c>
      <c r="K930" s="17">
        <v>0</v>
      </c>
      <c r="L930" s="17">
        <v>859</v>
      </c>
      <c r="M930" s="17">
        <v>0</v>
      </c>
      <c r="N930" s="17">
        <v>0</v>
      </c>
      <c r="O930" s="17">
        <v>859</v>
      </c>
      <c r="P930" s="17">
        <v>500</v>
      </c>
      <c r="Q930" s="17">
        <v>359</v>
      </c>
      <c r="R930" s="17">
        <v>0</v>
      </c>
      <c r="S930" s="17"/>
      <c r="T930" s="17" t="s">
        <v>2972</v>
      </c>
      <c r="U930" s="17" t="s">
        <v>3060</v>
      </c>
      <c r="V930" s="17" t="s">
        <v>3058</v>
      </c>
      <c r="W930" s="17"/>
      <c r="X930" s="17"/>
    </row>
    <row r="931" spans="1:24" hidden="1">
      <c r="A931" s="18">
        <v>930</v>
      </c>
      <c r="B931" s="17" t="s">
        <v>2048</v>
      </c>
      <c r="C931" s="17" t="s">
        <v>2049</v>
      </c>
      <c r="D931" s="17" t="s">
        <v>17</v>
      </c>
      <c r="E931" s="17" t="s">
        <v>8</v>
      </c>
      <c r="F931" s="17">
        <v>0</v>
      </c>
      <c r="G931" s="17">
        <v>0</v>
      </c>
      <c r="H931" s="17">
        <v>0</v>
      </c>
      <c r="I931" s="17">
        <v>0</v>
      </c>
      <c r="J931" s="17">
        <v>0</v>
      </c>
      <c r="K931" s="17">
        <v>0</v>
      </c>
      <c r="L931" s="17">
        <v>0</v>
      </c>
      <c r="M931" s="17">
        <v>0</v>
      </c>
      <c r="N931" s="17">
        <v>0</v>
      </c>
      <c r="O931" s="17">
        <v>0</v>
      </c>
      <c r="P931" s="17">
        <v>0</v>
      </c>
      <c r="Q931" s="17">
        <v>0</v>
      </c>
      <c r="R931" s="17">
        <v>0</v>
      </c>
      <c r="S931" s="17"/>
      <c r="T931" s="17" t="s">
        <v>2972</v>
      </c>
      <c r="U931" s="17" t="s">
        <v>3057</v>
      </c>
      <c r="V931" s="17" t="s">
        <v>3056</v>
      </c>
      <c r="W931" s="17"/>
      <c r="X931" s="17"/>
    </row>
    <row r="932" spans="1:24" hidden="1">
      <c r="A932" s="18">
        <v>931</v>
      </c>
      <c r="B932" s="17" t="s">
        <v>2050</v>
      </c>
      <c r="C932" s="17" t="s">
        <v>2051</v>
      </c>
      <c r="D932" s="17" t="s">
        <v>17</v>
      </c>
      <c r="E932" s="17" t="s">
        <v>8</v>
      </c>
      <c r="F932" s="17">
        <v>19</v>
      </c>
      <c r="G932" s="17">
        <v>0</v>
      </c>
      <c r="H932" s="17">
        <v>0</v>
      </c>
      <c r="I932" s="17">
        <v>19</v>
      </c>
      <c r="J932" s="17">
        <v>0</v>
      </c>
      <c r="K932" s="17">
        <v>0</v>
      </c>
      <c r="L932" s="17">
        <v>19</v>
      </c>
      <c r="M932" s="17">
        <v>0</v>
      </c>
      <c r="N932" s="17">
        <v>0</v>
      </c>
      <c r="O932" s="17">
        <v>19</v>
      </c>
      <c r="P932" s="17">
        <v>0</v>
      </c>
      <c r="Q932" s="17">
        <v>19</v>
      </c>
      <c r="R932" s="17">
        <v>0</v>
      </c>
      <c r="S932" s="17"/>
      <c r="T932" s="17" t="s">
        <v>2972</v>
      </c>
      <c r="U932" s="17" t="s">
        <v>3057</v>
      </c>
      <c r="V932" s="17" t="s">
        <v>3056</v>
      </c>
      <c r="W932" s="17"/>
      <c r="X932" s="17"/>
    </row>
    <row r="933" spans="1:24" hidden="1">
      <c r="A933" s="18">
        <v>932</v>
      </c>
      <c r="B933" s="17" t="s">
        <v>2098</v>
      </c>
      <c r="C933" s="17" t="s">
        <v>2099</v>
      </c>
      <c r="D933" s="17" t="s">
        <v>17</v>
      </c>
      <c r="E933" s="17" t="s">
        <v>8</v>
      </c>
      <c r="F933" s="17">
        <v>194</v>
      </c>
      <c r="G933" s="17">
        <v>0</v>
      </c>
      <c r="H933" s="17">
        <v>0</v>
      </c>
      <c r="I933" s="17">
        <v>194</v>
      </c>
      <c r="J933" s="17">
        <v>0</v>
      </c>
      <c r="K933" s="17">
        <v>0</v>
      </c>
      <c r="L933" s="17">
        <v>194</v>
      </c>
      <c r="M933" s="17">
        <v>0</v>
      </c>
      <c r="N933" s="17">
        <v>0</v>
      </c>
      <c r="O933" s="17">
        <v>194</v>
      </c>
      <c r="P933" s="17">
        <v>150</v>
      </c>
      <c r="Q933" s="17">
        <v>44</v>
      </c>
      <c r="R933" s="17">
        <v>0</v>
      </c>
      <c r="S933" s="17"/>
      <c r="T933" s="17" t="s">
        <v>3006</v>
      </c>
      <c r="U933" s="17" t="s">
        <v>3060</v>
      </c>
      <c r="V933" s="17" t="s">
        <v>3064</v>
      </c>
      <c r="W933" s="17"/>
      <c r="X933" s="17"/>
    </row>
    <row r="934" spans="1:24" hidden="1">
      <c r="A934" s="18">
        <v>933</v>
      </c>
      <c r="B934" s="17" t="s">
        <v>2052</v>
      </c>
      <c r="C934" s="17" t="s">
        <v>2053</v>
      </c>
      <c r="D934" s="17" t="s">
        <v>17</v>
      </c>
      <c r="E934" s="17" t="s">
        <v>8</v>
      </c>
      <c r="F934" s="17">
        <v>350</v>
      </c>
      <c r="G934" s="17">
        <v>0</v>
      </c>
      <c r="H934" s="17">
        <v>0</v>
      </c>
      <c r="I934" s="17">
        <v>350</v>
      </c>
      <c r="J934" s="17">
        <v>0</v>
      </c>
      <c r="K934" s="17">
        <v>0</v>
      </c>
      <c r="L934" s="17">
        <v>350</v>
      </c>
      <c r="M934" s="17">
        <v>0</v>
      </c>
      <c r="N934" s="17">
        <v>0</v>
      </c>
      <c r="O934" s="17">
        <v>350</v>
      </c>
      <c r="P934" s="17">
        <v>100</v>
      </c>
      <c r="Q934" s="17">
        <v>250</v>
      </c>
      <c r="R934" s="17">
        <v>0</v>
      </c>
      <c r="S934" s="17"/>
      <c r="T934" s="17" t="s">
        <v>2972</v>
      </c>
      <c r="U934" s="17" t="s">
        <v>3057</v>
      </c>
      <c r="V934" s="17" t="s">
        <v>3056</v>
      </c>
      <c r="W934" s="17"/>
      <c r="X934" s="17"/>
    </row>
    <row r="935" spans="1:24" hidden="1">
      <c r="A935" s="18">
        <v>934</v>
      </c>
      <c r="B935" s="17" t="s">
        <v>2054</v>
      </c>
      <c r="C935" s="17" t="s">
        <v>2055</v>
      </c>
      <c r="D935" s="17" t="s">
        <v>17</v>
      </c>
      <c r="E935" s="17" t="s">
        <v>8</v>
      </c>
      <c r="F935" s="17">
        <v>0</v>
      </c>
      <c r="G935" s="17">
        <v>0</v>
      </c>
      <c r="H935" s="17">
        <v>0</v>
      </c>
      <c r="I935" s="17">
        <v>0</v>
      </c>
      <c r="J935" s="17">
        <v>0</v>
      </c>
      <c r="K935" s="17">
        <v>0</v>
      </c>
      <c r="L935" s="17">
        <v>0</v>
      </c>
      <c r="M935" s="17">
        <v>0</v>
      </c>
      <c r="N935" s="17">
        <v>0</v>
      </c>
      <c r="O935" s="17">
        <v>0</v>
      </c>
      <c r="P935" s="17">
        <v>0</v>
      </c>
      <c r="Q935" s="17">
        <v>0</v>
      </c>
      <c r="R935" s="17">
        <v>0</v>
      </c>
      <c r="S935" s="17"/>
      <c r="T935" s="17" t="s">
        <v>2972</v>
      </c>
      <c r="U935" s="17" t="s">
        <v>3057</v>
      </c>
      <c r="V935" s="17" t="s">
        <v>3056</v>
      </c>
      <c r="W935" s="17"/>
      <c r="X935" s="17"/>
    </row>
    <row r="936" spans="1:24" hidden="1">
      <c r="A936" s="18">
        <v>935</v>
      </c>
      <c r="B936" s="17" t="s">
        <v>2056</v>
      </c>
      <c r="C936" s="17" t="s">
        <v>2057</v>
      </c>
      <c r="D936" s="17" t="s">
        <v>17</v>
      </c>
      <c r="E936" s="17" t="s">
        <v>8</v>
      </c>
      <c r="F936" s="17">
        <v>0</v>
      </c>
      <c r="G936" s="17">
        <v>0</v>
      </c>
      <c r="H936" s="17">
        <v>0</v>
      </c>
      <c r="I936" s="17">
        <v>0</v>
      </c>
      <c r="J936" s="17">
        <v>0</v>
      </c>
      <c r="K936" s="17">
        <v>0</v>
      </c>
      <c r="L936" s="17">
        <v>0</v>
      </c>
      <c r="M936" s="17">
        <v>0</v>
      </c>
      <c r="N936" s="17">
        <v>0</v>
      </c>
      <c r="O936" s="17">
        <v>0</v>
      </c>
      <c r="P936" s="17">
        <v>0</v>
      </c>
      <c r="Q936" s="17">
        <v>0</v>
      </c>
      <c r="R936" s="17">
        <v>0</v>
      </c>
      <c r="S936" s="17"/>
      <c r="T936" s="17" t="s">
        <v>2972</v>
      </c>
      <c r="U936" s="17" t="s">
        <v>3057</v>
      </c>
      <c r="V936" s="17" t="s">
        <v>3056</v>
      </c>
      <c r="W936" s="17"/>
      <c r="X936" s="17"/>
    </row>
    <row r="937" spans="1:24" hidden="1">
      <c r="A937" s="18">
        <v>936</v>
      </c>
      <c r="B937" s="17" t="s">
        <v>2516</v>
      </c>
      <c r="C937" s="17" t="s">
        <v>2517</v>
      </c>
      <c r="D937" s="17" t="s">
        <v>17</v>
      </c>
      <c r="E937" s="17" t="s">
        <v>8</v>
      </c>
      <c r="F937" s="17">
        <v>119</v>
      </c>
      <c r="G937" s="17">
        <v>0</v>
      </c>
      <c r="H937" s="17">
        <v>0</v>
      </c>
      <c r="I937" s="17">
        <v>119</v>
      </c>
      <c r="J937" s="17">
        <v>0</v>
      </c>
      <c r="K937" s="17">
        <v>0</v>
      </c>
      <c r="L937" s="17">
        <v>119</v>
      </c>
      <c r="M937" s="17">
        <v>0</v>
      </c>
      <c r="N937" s="17">
        <v>0</v>
      </c>
      <c r="O937" s="17">
        <v>119</v>
      </c>
      <c r="P937" s="17">
        <v>100</v>
      </c>
      <c r="Q937" s="17">
        <v>19</v>
      </c>
      <c r="R937" s="17">
        <v>0</v>
      </c>
      <c r="S937" s="17"/>
      <c r="T937" s="17" t="s">
        <v>2982</v>
      </c>
      <c r="U937" s="17" t="s">
        <v>3057</v>
      </c>
      <c r="V937" s="17" t="s">
        <v>3058</v>
      </c>
      <c r="W937" s="17"/>
      <c r="X937" s="17"/>
    </row>
    <row r="938" spans="1:24" hidden="1">
      <c r="A938" s="18">
        <v>937</v>
      </c>
      <c r="B938" s="17" t="s">
        <v>2110</v>
      </c>
      <c r="C938" s="17" t="s">
        <v>2111</v>
      </c>
      <c r="D938" s="17" t="s">
        <v>17</v>
      </c>
      <c r="E938" s="17" t="s">
        <v>8</v>
      </c>
      <c r="F938" s="17">
        <v>75</v>
      </c>
      <c r="G938" s="17">
        <v>0</v>
      </c>
      <c r="H938" s="17">
        <v>0</v>
      </c>
      <c r="I938" s="17">
        <v>75</v>
      </c>
      <c r="J938" s="17">
        <v>0</v>
      </c>
      <c r="K938" s="17">
        <v>0</v>
      </c>
      <c r="L938" s="17">
        <v>75</v>
      </c>
      <c r="M938" s="17">
        <v>0</v>
      </c>
      <c r="N938" s="17">
        <v>0</v>
      </c>
      <c r="O938" s="17">
        <v>75</v>
      </c>
      <c r="P938" s="17">
        <v>0</v>
      </c>
      <c r="Q938" s="17">
        <v>75</v>
      </c>
      <c r="R938" s="17">
        <v>0</v>
      </c>
      <c r="S938" s="17"/>
      <c r="T938" s="17" t="s">
        <v>2972</v>
      </c>
      <c r="U938" s="17" t="s">
        <v>3060</v>
      </c>
      <c r="V938" s="17" t="s">
        <v>3058</v>
      </c>
      <c r="W938" s="17"/>
      <c r="X938" s="17"/>
    </row>
    <row r="939" spans="1:24" hidden="1">
      <c r="A939" s="18">
        <v>938</v>
      </c>
      <c r="B939" s="17" t="s">
        <v>2112</v>
      </c>
      <c r="C939" s="17" t="s">
        <v>2113</v>
      </c>
      <c r="D939" s="17" t="s">
        <v>17</v>
      </c>
      <c r="E939" s="17" t="s">
        <v>8</v>
      </c>
      <c r="F939" s="17">
        <v>0</v>
      </c>
      <c r="G939" s="17">
        <v>0</v>
      </c>
      <c r="H939" s="17">
        <v>0</v>
      </c>
      <c r="I939" s="17">
        <v>0</v>
      </c>
      <c r="J939" s="17">
        <v>0</v>
      </c>
      <c r="K939" s="17">
        <v>0</v>
      </c>
      <c r="L939" s="17">
        <v>0</v>
      </c>
      <c r="M939" s="17">
        <v>0</v>
      </c>
      <c r="N939" s="17">
        <v>0</v>
      </c>
      <c r="O939" s="17">
        <v>0</v>
      </c>
      <c r="P939" s="17">
        <v>0</v>
      </c>
      <c r="Q939" s="17">
        <v>0</v>
      </c>
      <c r="R939" s="17">
        <v>0</v>
      </c>
      <c r="S939" s="17"/>
      <c r="T939" s="17" t="s">
        <v>2982</v>
      </c>
      <c r="U939" s="17" t="s">
        <v>3060</v>
      </c>
      <c r="V939" s="17" t="s">
        <v>3058</v>
      </c>
      <c r="W939" s="17"/>
      <c r="X939" s="17"/>
    </row>
    <row r="940" spans="1:24" hidden="1">
      <c r="A940" s="18">
        <v>939</v>
      </c>
      <c r="B940" s="17" t="s">
        <v>2114</v>
      </c>
      <c r="C940" s="17" t="s">
        <v>2115</v>
      </c>
      <c r="D940" s="17" t="s">
        <v>17</v>
      </c>
      <c r="E940" s="17" t="s">
        <v>8</v>
      </c>
      <c r="F940" s="17">
        <v>2</v>
      </c>
      <c r="G940" s="17">
        <v>0</v>
      </c>
      <c r="H940" s="17">
        <v>0</v>
      </c>
      <c r="I940" s="17">
        <v>2</v>
      </c>
      <c r="J940" s="17">
        <v>0</v>
      </c>
      <c r="K940" s="17">
        <v>0</v>
      </c>
      <c r="L940" s="17">
        <v>2</v>
      </c>
      <c r="M940" s="17">
        <v>0</v>
      </c>
      <c r="N940" s="17">
        <v>0</v>
      </c>
      <c r="O940" s="17">
        <v>2</v>
      </c>
      <c r="P940" s="17">
        <v>0</v>
      </c>
      <c r="Q940" s="17">
        <v>2</v>
      </c>
      <c r="R940" s="17">
        <v>0</v>
      </c>
      <c r="S940" s="17"/>
      <c r="T940" s="17" t="s">
        <v>2982</v>
      </c>
      <c r="U940" s="17" t="s">
        <v>3060</v>
      </c>
      <c r="V940" s="17" t="s">
        <v>3058</v>
      </c>
      <c r="W940" s="17"/>
      <c r="X940" s="17"/>
    </row>
    <row r="941" spans="1:24" hidden="1">
      <c r="A941" s="18">
        <v>940</v>
      </c>
      <c r="B941" s="17" t="s">
        <v>2064</v>
      </c>
      <c r="C941" s="17" t="s">
        <v>2065</v>
      </c>
      <c r="D941" s="17" t="s">
        <v>17</v>
      </c>
      <c r="E941" s="17" t="s">
        <v>8</v>
      </c>
      <c r="F941" s="17">
        <v>290</v>
      </c>
      <c r="G941" s="17">
        <v>504</v>
      </c>
      <c r="H941" s="17">
        <v>0</v>
      </c>
      <c r="I941" s="17">
        <v>794</v>
      </c>
      <c r="J941" s="17">
        <v>0</v>
      </c>
      <c r="K941" s="17">
        <v>0</v>
      </c>
      <c r="L941" s="17">
        <v>794</v>
      </c>
      <c r="M941" s="17">
        <v>0</v>
      </c>
      <c r="N941" s="17">
        <v>0</v>
      </c>
      <c r="O941" s="17">
        <v>794</v>
      </c>
      <c r="P941" s="17">
        <v>750</v>
      </c>
      <c r="Q941" s="17">
        <v>44</v>
      </c>
      <c r="R941" s="17">
        <v>0</v>
      </c>
      <c r="S941" s="17"/>
      <c r="T941" s="17" t="s">
        <v>2972</v>
      </c>
      <c r="U941" s="17" t="s">
        <v>3057</v>
      </c>
      <c r="V941" s="17" t="s">
        <v>3058</v>
      </c>
      <c r="W941" s="17"/>
      <c r="X941" s="17"/>
    </row>
    <row r="942" spans="1:24" hidden="1">
      <c r="A942" s="18">
        <v>941</v>
      </c>
      <c r="B942" s="17" t="s">
        <v>2118</v>
      </c>
      <c r="C942" s="17" t="s">
        <v>2119</v>
      </c>
      <c r="D942" s="17" t="s">
        <v>20</v>
      </c>
      <c r="E942" s="17" t="s">
        <v>8</v>
      </c>
      <c r="F942" s="17">
        <v>99.1</v>
      </c>
      <c r="G942" s="17">
        <v>0</v>
      </c>
      <c r="H942" s="17">
        <v>0</v>
      </c>
      <c r="I942" s="17">
        <v>99.1</v>
      </c>
      <c r="J942" s="17">
        <v>0</v>
      </c>
      <c r="K942" s="17">
        <v>0</v>
      </c>
      <c r="L942" s="17">
        <v>99.1</v>
      </c>
      <c r="M942" s="17">
        <v>0</v>
      </c>
      <c r="N942" s="17">
        <v>0</v>
      </c>
      <c r="O942" s="17">
        <v>99.1</v>
      </c>
      <c r="P942" s="17">
        <v>0</v>
      </c>
      <c r="Q942" s="17">
        <v>99.1</v>
      </c>
      <c r="R942" s="17">
        <v>0</v>
      </c>
      <c r="S942" s="17"/>
      <c r="T942" s="17" t="s">
        <v>3034</v>
      </c>
      <c r="U942" s="17" t="s">
        <v>3059</v>
      </c>
      <c r="V942" s="17" t="s">
        <v>3056</v>
      </c>
      <c r="W942" s="17"/>
      <c r="X942" s="17"/>
    </row>
    <row r="943" spans="1:24" hidden="1">
      <c r="A943" s="18">
        <v>942</v>
      </c>
      <c r="B943" s="17" t="s">
        <v>2120</v>
      </c>
      <c r="C943" s="17" t="s">
        <v>2121</v>
      </c>
      <c r="D943" s="17" t="s">
        <v>20</v>
      </c>
      <c r="E943" s="17" t="s">
        <v>8</v>
      </c>
      <c r="F943" s="17">
        <v>11709.96</v>
      </c>
      <c r="G943" s="17">
        <v>0</v>
      </c>
      <c r="H943" s="17">
        <v>3679.82</v>
      </c>
      <c r="I943" s="17">
        <v>8030.14</v>
      </c>
      <c r="J943" s="17">
        <v>0</v>
      </c>
      <c r="K943" s="17">
        <v>0</v>
      </c>
      <c r="L943" s="17">
        <v>8030.14</v>
      </c>
      <c r="M943" s="17">
        <v>0</v>
      </c>
      <c r="N943" s="17">
        <v>0</v>
      </c>
      <c r="O943" s="17">
        <v>8030.14</v>
      </c>
      <c r="P943" s="17">
        <v>5000</v>
      </c>
      <c r="Q943" s="17">
        <v>3030.1400000000003</v>
      </c>
      <c r="R943" s="17">
        <v>0</v>
      </c>
      <c r="S943" s="17"/>
      <c r="T943" s="17" t="s">
        <v>3034</v>
      </c>
      <c r="U943" s="17" t="s">
        <v>3059</v>
      </c>
      <c r="V943" s="17" t="s">
        <v>3056</v>
      </c>
      <c r="W943" s="17"/>
      <c r="X943" s="17"/>
    </row>
    <row r="944" spans="1:24" hidden="1">
      <c r="A944" s="18">
        <v>943</v>
      </c>
      <c r="B944" s="17" t="s">
        <v>2122</v>
      </c>
      <c r="C944" s="17" t="s">
        <v>2123</v>
      </c>
      <c r="D944" s="17" t="s">
        <v>20</v>
      </c>
      <c r="E944" s="17" t="s">
        <v>8</v>
      </c>
      <c r="F944" s="17">
        <v>0</v>
      </c>
      <c r="G944" s="17">
        <v>0</v>
      </c>
      <c r="H944" s="17">
        <v>0</v>
      </c>
      <c r="I944" s="17">
        <v>0</v>
      </c>
      <c r="J944" s="17">
        <v>0</v>
      </c>
      <c r="K944" s="17">
        <v>0</v>
      </c>
      <c r="L944" s="17">
        <v>0</v>
      </c>
      <c r="M944" s="17">
        <v>0</v>
      </c>
      <c r="N944" s="17">
        <v>0</v>
      </c>
      <c r="O944" s="17">
        <v>0</v>
      </c>
      <c r="P944" s="17">
        <v>0</v>
      </c>
      <c r="Q944" s="17">
        <v>0</v>
      </c>
      <c r="R944" s="17">
        <v>0</v>
      </c>
      <c r="S944" s="17"/>
      <c r="T944" s="17" t="s">
        <v>3034</v>
      </c>
      <c r="U944" s="17" t="s">
        <v>3059</v>
      </c>
      <c r="V944" s="17" t="s">
        <v>3056</v>
      </c>
      <c r="W944" s="17"/>
      <c r="X944" s="17"/>
    </row>
    <row r="945" spans="1:24" hidden="1">
      <c r="A945" s="18">
        <v>944</v>
      </c>
      <c r="B945" s="17" t="s">
        <v>2124</v>
      </c>
      <c r="C945" s="17" t="s">
        <v>2125</v>
      </c>
      <c r="D945" s="17" t="s">
        <v>17</v>
      </c>
      <c r="E945" s="17" t="s">
        <v>8</v>
      </c>
      <c r="F945" s="17">
        <v>0</v>
      </c>
      <c r="G945" s="17">
        <v>0</v>
      </c>
      <c r="H945" s="17">
        <v>0</v>
      </c>
      <c r="I945" s="17">
        <v>0</v>
      </c>
      <c r="J945" s="17">
        <v>0</v>
      </c>
      <c r="K945" s="17">
        <v>0</v>
      </c>
      <c r="L945" s="17">
        <v>0</v>
      </c>
      <c r="M945" s="17">
        <v>0</v>
      </c>
      <c r="N945" s="17">
        <v>0</v>
      </c>
      <c r="O945" s="17">
        <v>0</v>
      </c>
      <c r="P945" s="17">
        <v>0</v>
      </c>
      <c r="Q945" s="17">
        <v>0</v>
      </c>
      <c r="R945" s="17">
        <v>0</v>
      </c>
      <c r="S945" s="17"/>
      <c r="T945" s="17" t="s">
        <v>3002</v>
      </c>
      <c r="U945" s="17" t="s">
        <v>3055</v>
      </c>
      <c r="V945" s="17" t="s">
        <v>3056</v>
      </c>
      <c r="W945" s="17"/>
      <c r="X945" s="17"/>
    </row>
    <row r="946" spans="1:24" hidden="1">
      <c r="A946" s="18">
        <v>945</v>
      </c>
      <c r="B946" s="17" t="s">
        <v>2126</v>
      </c>
      <c r="C946" s="17" t="s">
        <v>2127</v>
      </c>
      <c r="D946" s="17" t="s">
        <v>17</v>
      </c>
      <c r="E946" s="17" t="s">
        <v>8</v>
      </c>
      <c r="F946" s="17">
        <v>0</v>
      </c>
      <c r="G946" s="17">
        <v>0</v>
      </c>
      <c r="H946" s="17">
        <v>0</v>
      </c>
      <c r="I946" s="17">
        <v>0</v>
      </c>
      <c r="J946" s="17">
        <v>0</v>
      </c>
      <c r="K946" s="17">
        <v>0</v>
      </c>
      <c r="L946" s="17">
        <v>0</v>
      </c>
      <c r="M946" s="17">
        <v>0</v>
      </c>
      <c r="N946" s="17">
        <v>0</v>
      </c>
      <c r="O946" s="17">
        <v>0</v>
      </c>
      <c r="P946" s="17">
        <v>0</v>
      </c>
      <c r="Q946" s="17">
        <v>0</v>
      </c>
      <c r="R946" s="17">
        <v>0</v>
      </c>
      <c r="S946" s="17"/>
      <c r="T946" s="17" t="s">
        <v>2982</v>
      </c>
      <c r="U946" s="17" t="s">
        <v>3060</v>
      </c>
      <c r="V946" s="17" t="s">
        <v>3058</v>
      </c>
      <c r="W946" s="17"/>
      <c r="X946" s="17"/>
    </row>
    <row r="947" spans="1:24" hidden="1">
      <c r="A947" s="18">
        <v>946</v>
      </c>
      <c r="B947" s="17" t="s">
        <v>2072</v>
      </c>
      <c r="C947" s="17" t="s">
        <v>2073</v>
      </c>
      <c r="D947" s="17" t="s">
        <v>7</v>
      </c>
      <c r="E947" s="17" t="s">
        <v>8</v>
      </c>
      <c r="F947" s="17">
        <v>7600</v>
      </c>
      <c r="G947" s="17">
        <v>0</v>
      </c>
      <c r="H947" s="17">
        <v>400</v>
      </c>
      <c r="I947" s="17">
        <v>7200</v>
      </c>
      <c r="J947" s="17">
        <v>0</v>
      </c>
      <c r="K947" s="17">
        <v>0</v>
      </c>
      <c r="L947" s="17">
        <v>7200</v>
      </c>
      <c r="M947" s="17">
        <v>0</v>
      </c>
      <c r="N947" s="17">
        <v>0</v>
      </c>
      <c r="O947" s="17">
        <v>7200</v>
      </c>
      <c r="P947" s="17">
        <v>1500</v>
      </c>
      <c r="Q947" s="17">
        <v>5700</v>
      </c>
      <c r="R947" s="17">
        <v>0</v>
      </c>
      <c r="S947" s="17"/>
      <c r="T947" s="17" t="s">
        <v>2972</v>
      </c>
      <c r="U947" s="17" t="s">
        <v>3057</v>
      </c>
      <c r="V947" s="17" t="s">
        <v>3056</v>
      </c>
      <c r="W947" s="17"/>
      <c r="X947" s="17"/>
    </row>
    <row r="948" spans="1:24" hidden="1">
      <c r="A948" s="18">
        <v>947</v>
      </c>
      <c r="B948" s="17" t="s">
        <v>2074</v>
      </c>
      <c r="C948" s="17" t="s">
        <v>2075</v>
      </c>
      <c r="D948" s="17" t="s">
        <v>7</v>
      </c>
      <c r="E948" s="17" t="s">
        <v>8</v>
      </c>
      <c r="F948" s="17">
        <v>3100</v>
      </c>
      <c r="G948" s="17">
        <v>0</v>
      </c>
      <c r="H948" s="17">
        <v>400</v>
      </c>
      <c r="I948" s="17">
        <v>2700</v>
      </c>
      <c r="J948" s="17">
        <v>0</v>
      </c>
      <c r="K948" s="17">
        <v>0</v>
      </c>
      <c r="L948" s="17">
        <v>2700</v>
      </c>
      <c r="M948" s="17">
        <v>0</v>
      </c>
      <c r="N948" s="17">
        <v>0</v>
      </c>
      <c r="O948" s="17">
        <v>2700</v>
      </c>
      <c r="P948" s="17">
        <v>1500</v>
      </c>
      <c r="Q948" s="17">
        <v>1200</v>
      </c>
      <c r="R948" s="17">
        <v>0</v>
      </c>
      <c r="S948" s="17"/>
      <c r="T948" s="17" t="s">
        <v>2972</v>
      </c>
      <c r="U948" s="17" t="s">
        <v>3057</v>
      </c>
      <c r="V948" s="17" t="s">
        <v>3056</v>
      </c>
      <c r="W948" s="17"/>
      <c r="X948" s="17"/>
    </row>
    <row r="949" spans="1:24" hidden="1">
      <c r="A949" s="18">
        <v>948</v>
      </c>
      <c r="B949" s="17" t="s">
        <v>2076</v>
      </c>
      <c r="C949" s="17" t="s">
        <v>2077</v>
      </c>
      <c r="D949" s="17" t="s">
        <v>7</v>
      </c>
      <c r="E949" s="17" t="s">
        <v>8</v>
      </c>
      <c r="F949" s="17">
        <v>1800</v>
      </c>
      <c r="G949" s="17">
        <v>1600</v>
      </c>
      <c r="H949" s="17">
        <v>400</v>
      </c>
      <c r="I949" s="17">
        <v>3000</v>
      </c>
      <c r="J949" s="17">
        <v>0</v>
      </c>
      <c r="K949" s="17">
        <v>0</v>
      </c>
      <c r="L949" s="17">
        <v>3000</v>
      </c>
      <c r="M949" s="17">
        <v>0</v>
      </c>
      <c r="N949" s="17">
        <v>0</v>
      </c>
      <c r="O949" s="17">
        <v>3000</v>
      </c>
      <c r="P949" s="17">
        <v>1500</v>
      </c>
      <c r="Q949" s="17">
        <v>1500</v>
      </c>
      <c r="R949" s="17">
        <v>1600</v>
      </c>
      <c r="S949" s="17"/>
      <c r="T949" s="17" t="s">
        <v>2972</v>
      </c>
      <c r="U949" s="17" t="s">
        <v>3057</v>
      </c>
      <c r="V949" s="17" t="s">
        <v>3056</v>
      </c>
      <c r="W949" s="17"/>
      <c r="X949" s="17"/>
    </row>
    <row r="950" spans="1:24" hidden="1">
      <c r="A950" s="18">
        <v>949</v>
      </c>
      <c r="B950" s="17" t="s">
        <v>2084</v>
      </c>
      <c r="C950" s="17" t="s">
        <v>2085</v>
      </c>
      <c r="D950" s="17" t="s">
        <v>17</v>
      </c>
      <c r="E950" s="17" t="s">
        <v>8</v>
      </c>
      <c r="F950" s="17">
        <v>0</v>
      </c>
      <c r="G950" s="17">
        <v>0</v>
      </c>
      <c r="H950" s="17">
        <v>0</v>
      </c>
      <c r="I950" s="17">
        <v>0</v>
      </c>
      <c r="J950" s="17">
        <v>0</v>
      </c>
      <c r="K950" s="17">
        <v>0</v>
      </c>
      <c r="L950" s="17">
        <v>0</v>
      </c>
      <c r="M950" s="17">
        <v>0</v>
      </c>
      <c r="N950" s="17">
        <v>0</v>
      </c>
      <c r="O950" s="17">
        <v>0</v>
      </c>
      <c r="P950" s="17">
        <v>0</v>
      </c>
      <c r="Q950" s="17">
        <v>0</v>
      </c>
      <c r="R950" s="17">
        <v>0</v>
      </c>
      <c r="S950" s="17"/>
      <c r="T950" s="17" t="s">
        <v>2972</v>
      </c>
      <c r="U950" s="17" t="s">
        <v>3057</v>
      </c>
      <c r="V950" s="17" t="s">
        <v>3056</v>
      </c>
      <c r="W950" s="17"/>
      <c r="X950" s="17"/>
    </row>
    <row r="951" spans="1:24" hidden="1">
      <c r="A951" s="18">
        <v>950</v>
      </c>
      <c r="B951" s="17" t="s">
        <v>2090</v>
      </c>
      <c r="C951" s="17" t="s">
        <v>2091</v>
      </c>
      <c r="D951" s="17" t="s">
        <v>17</v>
      </c>
      <c r="E951" s="17" t="s">
        <v>8</v>
      </c>
      <c r="F951" s="17">
        <v>1140</v>
      </c>
      <c r="G951" s="17">
        <v>0</v>
      </c>
      <c r="H951" s="17">
        <v>0</v>
      </c>
      <c r="I951" s="17">
        <v>1140</v>
      </c>
      <c r="J951" s="17">
        <v>0</v>
      </c>
      <c r="K951" s="17">
        <v>0</v>
      </c>
      <c r="L951" s="17">
        <v>1140</v>
      </c>
      <c r="M951" s="17">
        <v>0</v>
      </c>
      <c r="N951" s="17">
        <v>0</v>
      </c>
      <c r="O951" s="17">
        <v>1140</v>
      </c>
      <c r="P951" s="17">
        <v>350</v>
      </c>
      <c r="Q951" s="17">
        <v>790</v>
      </c>
      <c r="R951" s="17">
        <v>0</v>
      </c>
      <c r="S951" s="17"/>
      <c r="T951" s="17" t="s">
        <v>2963</v>
      </c>
      <c r="U951" s="17" t="s">
        <v>3057</v>
      </c>
      <c r="V951" s="17" t="s">
        <v>3056</v>
      </c>
      <c r="W951" s="17"/>
      <c r="X951" s="17"/>
    </row>
    <row r="952" spans="1:24" hidden="1">
      <c r="A952" s="18">
        <v>951</v>
      </c>
      <c r="B952" s="17" t="s">
        <v>2139</v>
      </c>
      <c r="C952" s="17" t="s">
        <v>2140</v>
      </c>
      <c r="D952" s="17" t="s">
        <v>7</v>
      </c>
      <c r="E952" s="17" t="s">
        <v>8</v>
      </c>
      <c r="F952" s="17">
        <v>965</v>
      </c>
      <c r="G952" s="17">
        <v>0</v>
      </c>
      <c r="H952" s="17">
        <v>0</v>
      </c>
      <c r="I952" s="17">
        <v>965</v>
      </c>
      <c r="J952" s="17">
        <v>0</v>
      </c>
      <c r="K952" s="17">
        <v>0</v>
      </c>
      <c r="L952" s="17">
        <v>965</v>
      </c>
      <c r="M952" s="17">
        <v>0</v>
      </c>
      <c r="N952" s="17">
        <v>0</v>
      </c>
      <c r="O952" s="17">
        <v>965</v>
      </c>
      <c r="P952" s="17">
        <v>100</v>
      </c>
      <c r="Q952" s="17">
        <v>865</v>
      </c>
      <c r="R952" s="17">
        <v>0</v>
      </c>
      <c r="S952" s="17"/>
      <c r="T952" s="17" t="s">
        <v>2965</v>
      </c>
      <c r="U952" s="17" t="s">
        <v>3055</v>
      </c>
      <c r="V952" s="17" t="s">
        <v>3056</v>
      </c>
      <c r="W952" s="17"/>
      <c r="X952" s="17"/>
    </row>
    <row r="953" spans="1:24" hidden="1">
      <c r="A953" s="18">
        <v>952</v>
      </c>
      <c r="B953" s="17" t="s">
        <v>2143</v>
      </c>
      <c r="C953" s="17" t="s">
        <v>2144</v>
      </c>
      <c r="D953" s="17" t="s">
        <v>7</v>
      </c>
      <c r="E953" s="17" t="s">
        <v>8</v>
      </c>
      <c r="F953" s="17">
        <v>0</v>
      </c>
      <c r="G953" s="17">
        <v>0</v>
      </c>
      <c r="H953" s="17">
        <v>0</v>
      </c>
      <c r="I953" s="17">
        <v>0</v>
      </c>
      <c r="J953" s="17">
        <v>0</v>
      </c>
      <c r="K953" s="17">
        <v>0</v>
      </c>
      <c r="L953" s="17">
        <v>0</v>
      </c>
      <c r="M953" s="17">
        <v>0</v>
      </c>
      <c r="N953" s="17">
        <v>0</v>
      </c>
      <c r="O953" s="17">
        <v>0</v>
      </c>
      <c r="P953" s="17">
        <v>0</v>
      </c>
      <c r="Q953" s="17">
        <v>0</v>
      </c>
      <c r="R953" s="17">
        <v>0</v>
      </c>
      <c r="S953" s="17"/>
      <c r="T953" s="17" t="s">
        <v>2965</v>
      </c>
      <c r="U953" s="17" t="s">
        <v>3060</v>
      </c>
      <c r="V953" s="17" t="s">
        <v>3058</v>
      </c>
      <c r="W953" s="17"/>
      <c r="X953" s="17"/>
    </row>
    <row r="954" spans="1:24" hidden="1">
      <c r="A954" s="18">
        <v>953</v>
      </c>
      <c r="B954" s="17" t="s">
        <v>2145</v>
      </c>
      <c r="C954" s="17" t="s">
        <v>2146</v>
      </c>
      <c r="D954" s="17" t="s">
        <v>17</v>
      </c>
      <c r="E954" s="17" t="s">
        <v>8</v>
      </c>
      <c r="F954" s="17">
        <v>0</v>
      </c>
      <c r="G954" s="17">
        <v>0</v>
      </c>
      <c r="H954" s="17">
        <v>0</v>
      </c>
      <c r="I954" s="17">
        <v>0</v>
      </c>
      <c r="J954" s="17">
        <v>0</v>
      </c>
      <c r="K954" s="17">
        <v>0</v>
      </c>
      <c r="L954" s="17">
        <v>0</v>
      </c>
      <c r="M954" s="17">
        <v>0</v>
      </c>
      <c r="N954" s="17">
        <v>0</v>
      </c>
      <c r="O954" s="17">
        <v>0</v>
      </c>
      <c r="P954" s="17">
        <v>0</v>
      </c>
      <c r="Q954" s="17">
        <v>0</v>
      </c>
      <c r="R954" s="17">
        <v>0</v>
      </c>
      <c r="S954" s="17"/>
      <c r="T954" s="17" t="s">
        <v>2982</v>
      </c>
      <c r="U954" s="17" t="s">
        <v>3060</v>
      </c>
      <c r="V954" s="17" t="s">
        <v>3058</v>
      </c>
      <c r="W954" s="17"/>
      <c r="X954" s="17"/>
    </row>
    <row r="955" spans="1:24" hidden="1">
      <c r="A955" s="18">
        <v>954</v>
      </c>
      <c r="B955" s="17" t="s">
        <v>2147</v>
      </c>
      <c r="C955" s="17" t="s">
        <v>2148</v>
      </c>
      <c r="D955" s="17" t="s">
        <v>20</v>
      </c>
      <c r="E955" s="17" t="s">
        <v>8</v>
      </c>
      <c r="F955" s="17">
        <v>0</v>
      </c>
      <c r="G955" s="17">
        <v>0</v>
      </c>
      <c r="H955" s="17">
        <v>0</v>
      </c>
      <c r="I955" s="17">
        <v>0</v>
      </c>
      <c r="J955" s="17">
        <v>0</v>
      </c>
      <c r="K955" s="17">
        <v>0</v>
      </c>
      <c r="L955" s="17">
        <v>0</v>
      </c>
      <c r="M955" s="17">
        <v>0</v>
      </c>
      <c r="N955" s="17">
        <v>0</v>
      </c>
      <c r="O955" s="17">
        <v>0</v>
      </c>
      <c r="P955" s="17">
        <v>0</v>
      </c>
      <c r="Q955" s="17">
        <v>0</v>
      </c>
      <c r="R955" s="17">
        <v>0</v>
      </c>
      <c r="S955" s="17"/>
      <c r="T955" s="17" t="s">
        <v>3000</v>
      </c>
      <c r="U955" s="17" t="s">
        <v>3059</v>
      </c>
      <c r="V955" s="17" t="s">
        <v>3056</v>
      </c>
      <c r="W955" s="17"/>
      <c r="X955" s="17"/>
    </row>
    <row r="956" spans="1:24" hidden="1">
      <c r="A956" s="18">
        <v>955</v>
      </c>
      <c r="B956" s="17" t="s">
        <v>2149</v>
      </c>
      <c r="C956" s="17" t="s">
        <v>2150</v>
      </c>
      <c r="D956" s="17" t="s">
        <v>20</v>
      </c>
      <c r="E956" s="17" t="s">
        <v>8</v>
      </c>
      <c r="F956" s="17">
        <v>0</v>
      </c>
      <c r="G956" s="17">
        <v>0</v>
      </c>
      <c r="H956" s="17">
        <v>0</v>
      </c>
      <c r="I956" s="17">
        <v>0</v>
      </c>
      <c r="J956" s="17">
        <v>0</v>
      </c>
      <c r="K956" s="17">
        <v>0</v>
      </c>
      <c r="L956" s="17">
        <v>0</v>
      </c>
      <c r="M956" s="17">
        <v>0</v>
      </c>
      <c r="N956" s="17">
        <v>0</v>
      </c>
      <c r="O956" s="17">
        <v>0</v>
      </c>
      <c r="P956" s="17">
        <v>0</v>
      </c>
      <c r="Q956" s="17">
        <v>0</v>
      </c>
      <c r="R956" s="17">
        <v>0</v>
      </c>
      <c r="S956" s="17"/>
      <c r="T956" s="17" t="s">
        <v>3000</v>
      </c>
      <c r="U956" s="17" t="s">
        <v>3059</v>
      </c>
      <c r="V956" s="17" t="s">
        <v>3056</v>
      </c>
      <c r="W956" s="17"/>
      <c r="X956" s="17"/>
    </row>
    <row r="957" spans="1:24" hidden="1">
      <c r="A957" s="18">
        <v>956</v>
      </c>
      <c r="B957" s="17" t="s">
        <v>2151</v>
      </c>
      <c r="C957" s="17" t="s">
        <v>2152</v>
      </c>
      <c r="D957" s="17" t="s">
        <v>20</v>
      </c>
      <c r="E957" s="17" t="s">
        <v>8</v>
      </c>
      <c r="F957" s="17">
        <v>0</v>
      </c>
      <c r="G957" s="17">
        <v>0</v>
      </c>
      <c r="H957" s="17">
        <v>0</v>
      </c>
      <c r="I957" s="17">
        <v>0</v>
      </c>
      <c r="J957" s="17">
        <v>0</v>
      </c>
      <c r="K957" s="17">
        <v>0</v>
      </c>
      <c r="L957" s="17">
        <v>0</v>
      </c>
      <c r="M957" s="17">
        <v>0</v>
      </c>
      <c r="N957" s="17">
        <v>0</v>
      </c>
      <c r="O957" s="17">
        <v>0</v>
      </c>
      <c r="P957" s="17">
        <v>0</v>
      </c>
      <c r="Q957" s="17">
        <v>0</v>
      </c>
      <c r="R957" s="17">
        <v>0</v>
      </c>
      <c r="S957" s="17"/>
      <c r="T957" s="17" t="s">
        <v>3000</v>
      </c>
      <c r="U957" s="17" t="s">
        <v>3059</v>
      </c>
      <c r="V957" s="17" t="s">
        <v>3056</v>
      </c>
      <c r="W957" s="17"/>
      <c r="X957" s="17"/>
    </row>
    <row r="958" spans="1:24" hidden="1">
      <c r="A958" s="18">
        <v>957</v>
      </c>
      <c r="B958" s="17" t="s">
        <v>2153</v>
      </c>
      <c r="C958" s="17" t="s">
        <v>2154</v>
      </c>
      <c r="D958" s="17" t="s">
        <v>20</v>
      </c>
      <c r="E958" s="17" t="s">
        <v>8</v>
      </c>
      <c r="F958" s="17">
        <v>0</v>
      </c>
      <c r="G958" s="17">
        <v>0</v>
      </c>
      <c r="H958" s="17">
        <v>0</v>
      </c>
      <c r="I958" s="17">
        <v>0</v>
      </c>
      <c r="J958" s="17">
        <v>0</v>
      </c>
      <c r="K958" s="17">
        <v>0</v>
      </c>
      <c r="L958" s="17">
        <v>0</v>
      </c>
      <c r="M958" s="17">
        <v>0</v>
      </c>
      <c r="N958" s="17">
        <v>0</v>
      </c>
      <c r="O958" s="17">
        <v>0</v>
      </c>
      <c r="P958" s="17">
        <v>0</v>
      </c>
      <c r="Q958" s="17">
        <v>0</v>
      </c>
      <c r="R958" s="17">
        <v>0</v>
      </c>
      <c r="S958" s="17"/>
      <c r="T958" s="17" t="s">
        <v>3000</v>
      </c>
      <c r="U958" s="17" t="s">
        <v>3059</v>
      </c>
      <c r="V958" s="17" t="s">
        <v>3056</v>
      </c>
      <c r="W958" s="17"/>
      <c r="X958" s="17"/>
    </row>
    <row r="959" spans="1:24" hidden="1">
      <c r="A959" s="18">
        <v>958</v>
      </c>
      <c r="B959" s="17" t="s">
        <v>2092</v>
      </c>
      <c r="C959" s="17" t="s">
        <v>2093</v>
      </c>
      <c r="D959" s="17" t="s">
        <v>17</v>
      </c>
      <c r="E959" s="17" t="s">
        <v>8</v>
      </c>
      <c r="F959" s="17">
        <v>0</v>
      </c>
      <c r="G959" s="17">
        <v>0</v>
      </c>
      <c r="H959" s="17">
        <v>0</v>
      </c>
      <c r="I959" s="17">
        <v>0</v>
      </c>
      <c r="J959" s="17">
        <v>0</v>
      </c>
      <c r="K959" s="17">
        <v>0</v>
      </c>
      <c r="L959" s="17">
        <v>0</v>
      </c>
      <c r="M959" s="17">
        <v>0</v>
      </c>
      <c r="N959" s="17">
        <v>0</v>
      </c>
      <c r="O959" s="17">
        <v>0</v>
      </c>
      <c r="P959" s="17">
        <v>0</v>
      </c>
      <c r="Q959" s="17">
        <v>0</v>
      </c>
      <c r="R959" s="17">
        <v>0</v>
      </c>
      <c r="S959" s="17"/>
      <c r="T959" s="17" t="s">
        <v>2972</v>
      </c>
      <c r="U959" s="17" t="s">
        <v>3057</v>
      </c>
      <c r="V959" s="17" t="s">
        <v>3056</v>
      </c>
      <c r="W959" s="17"/>
      <c r="X959" s="17"/>
    </row>
    <row r="960" spans="1:24" hidden="1">
      <c r="A960" s="18">
        <v>959</v>
      </c>
      <c r="B960" s="17" t="s">
        <v>2100</v>
      </c>
      <c r="C960" s="17" t="s">
        <v>2101</v>
      </c>
      <c r="D960" s="17" t="s">
        <v>17</v>
      </c>
      <c r="E960" s="17" t="s">
        <v>8</v>
      </c>
      <c r="F960" s="17">
        <v>233</v>
      </c>
      <c r="G960" s="17">
        <v>0</v>
      </c>
      <c r="H960" s="17">
        <v>0</v>
      </c>
      <c r="I960" s="17">
        <v>233</v>
      </c>
      <c r="J960" s="17">
        <v>0</v>
      </c>
      <c r="K960" s="17">
        <v>0</v>
      </c>
      <c r="L960" s="17">
        <v>233</v>
      </c>
      <c r="M960" s="17">
        <v>0</v>
      </c>
      <c r="N960" s="17">
        <v>0</v>
      </c>
      <c r="O960" s="17">
        <v>233</v>
      </c>
      <c r="P960" s="17">
        <v>100</v>
      </c>
      <c r="Q960" s="17">
        <v>133</v>
      </c>
      <c r="R960" s="17">
        <v>0</v>
      </c>
      <c r="S960" s="17"/>
      <c r="T960" s="17" t="s">
        <v>2972</v>
      </c>
      <c r="U960" s="17" t="s">
        <v>3057</v>
      </c>
      <c r="V960" s="17" t="s">
        <v>3056</v>
      </c>
      <c r="W960" s="17"/>
      <c r="X960" s="17"/>
    </row>
    <row r="961" spans="1:24" hidden="1">
      <c r="A961" s="18">
        <v>960</v>
      </c>
      <c r="B961" s="17" t="s">
        <v>2102</v>
      </c>
      <c r="C961" s="17" t="s">
        <v>2103</v>
      </c>
      <c r="D961" s="17" t="s">
        <v>17</v>
      </c>
      <c r="E961" s="17" t="s">
        <v>8</v>
      </c>
      <c r="F961" s="17">
        <v>1056</v>
      </c>
      <c r="G961" s="17">
        <v>0</v>
      </c>
      <c r="H961" s="17">
        <v>0</v>
      </c>
      <c r="I961" s="17">
        <v>1056</v>
      </c>
      <c r="J961" s="17">
        <v>0</v>
      </c>
      <c r="K961" s="17">
        <v>0</v>
      </c>
      <c r="L961" s="17">
        <v>1056</v>
      </c>
      <c r="M961" s="17">
        <v>0</v>
      </c>
      <c r="N961" s="17">
        <v>0</v>
      </c>
      <c r="O961" s="17">
        <v>1056</v>
      </c>
      <c r="P961" s="17">
        <v>100</v>
      </c>
      <c r="Q961" s="17">
        <v>956</v>
      </c>
      <c r="R961" s="17">
        <v>0</v>
      </c>
      <c r="S961" s="17"/>
      <c r="T961" s="17" t="s">
        <v>2972</v>
      </c>
      <c r="U961" s="17" t="s">
        <v>3057</v>
      </c>
      <c r="V961" s="17" t="s">
        <v>3056</v>
      </c>
      <c r="W961" s="17"/>
      <c r="X961" s="17"/>
    </row>
    <row r="962" spans="1:24" hidden="1">
      <c r="A962" s="18">
        <v>961</v>
      </c>
      <c r="B962" s="17" t="s">
        <v>2104</v>
      </c>
      <c r="C962" s="17" t="s">
        <v>2105</v>
      </c>
      <c r="D962" s="17" t="s">
        <v>17</v>
      </c>
      <c r="E962" s="17" t="s">
        <v>8</v>
      </c>
      <c r="F962" s="17">
        <v>0</v>
      </c>
      <c r="G962" s="17">
        <v>0</v>
      </c>
      <c r="H962" s="17">
        <v>0</v>
      </c>
      <c r="I962" s="17">
        <v>0</v>
      </c>
      <c r="J962" s="17">
        <v>0</v>
      </c>
      <c r="K962" s="17">
        <v>0</v>
      </c>
      <c r="L962" s="17">
        <v>0</v>
      </c>
      <c r="M962" s="17">
        <v>0</v>
      </c>
      <c r="N962" s="17">
        <v>0</v>
      </c>
      <c r="O962" s="17">
        <v>0</v>
      </c>
      <c r="P962" s="17">
        <v>0</v>
      </c>
      <c r="Q962" s="17">
        <v>0</v>
      </c>
      <c r="R962" s="17">
        <v>0</v>
      </c>
      <c r="S962" s="17"/>
      <c r="T962" s="17" t="s">
        <v>2991</v>
      </c>
      <c r="U962" s="17" t="s">
        <v>3057</v>
      </c>
      <c r="V962" s="17" t="s">
        <v>3056</v>
      </c>
      <c r="W962" s="17"/>
      <c r="X962" s="17"/>
    </row>
    <row r="963" spans="1:24" hidden="1">
      <c r="A963" s="18">
        <v>962</v>
      </c>
      <c r="B963" s="17" t="s">
        <v>2106</v>
      </c>
      <c r="C963" s="17" t="s">
        <v>2107</v>
      </c>
      <c r="D963" s="17" t="s">
        <v>17</v>
      </c>
      <c r="E963" s="17" t="s">
        <v>8</v>
      </c>
      <c r="F963" s="17">
        <v>0</v>
      </c>
      <c r="G963" s="17">
        <v>0</v>
      </c>
      <c r="H963" s="17">
        <v>0</v>
      </c>
      <c r="I963" s="17">
        <v>0</v>
      </c>
      <c r="J963" s="17">
        <v>0</v>
      </c>
      <c r="K963" s="17">
        <v>0</v>
      </c>
      <c r="L963" s="17">
        <v>0</v>
      </c>
      <c r="M963" s="17">
        <v>0</v>
      </c>
      <c r="N963" s="17">
        <v>0</v>
      </c>
      <c r="O963" s="17">
        <v>0</v>
      </c>
      <c r="P963" s="17">
        <v>0</v>
      </c>
      <c r="Q963" s="17">
        <v>0</v>
      </c>
      <c r="R963" s="17">
        <v>0</v>
      </c>
      <c r="S963" s="17"/>
      <c r="T963" s="17" t="s">
        <v>2998</v>
      </c>
      <c r="U963" s="17" t="s">
        <v>3057</v>
      </c>
      <c r="V963" s="17" t="s">
        <v>3056</v>
      </c>
      <c r="W963" s="17"/>
      <c r="X963" s="17"/>
    </row>
    <row r="964" spans="1:24" hidden="1">
      <c r="A964" s="18">
        <v>963</v>
      </c>
      <c r="B964" s="17" t="s">
        <v>2108</v>
      </c>
      <c r="C964" s="17" t="s">
        <v>2109</v>
      </c>
      <c r="D964" s="17" t="s">
        <v>17</v>
      </c>
      <c r="E964" s="17" t="s">
        <v>8</v>
      </c>
      <c r="F964" s="17">
        <v>150</v>
      </c>
      <c r="G964" s="17">
        <v>0</v>
      </c>
      <c r="H964" s="17">
        <v>100</v>
      </c>
      <c r="I964" s="17">
        <v>50</v>
      </c>
      <c r="J964" s="17">
        <v>0</v>
      </c>
      <c r="K964" s="17">
        <v>0</v>
      </c>
      <c r="L964" s="17">
        <v>50</v>
      </c>
      <c r="M964" s="17">
        <v>0</v>
      </c>
      <c r="N964" s="17">
        <v>0</v>
      </c>
      <c r="O964" s="17">
        <v>50</v>
      </c>
      <c r="P964" s="17">
        <v>0</v>
      </c>
      <c r="Q964" s="17">
        <v>50</v>
      </c>
      <c r="R964" s="17">
        <v>0</v>
      </c>
      <c r="S964" s="17"/>
      <c r="T964" s="17" t="s">
        <v>2998</v>
      </c>
      <c r="U964" s="17" t="s">
        <v>3057</v>
      </c>
      <c r="V964" s="17" t="s">
        <v>3056</v>
      </c>
      <c r="W964" s="17"/>
      <c r="X964" s="17"/>
    </row>
    <row r="965" spans="1:24" hidden="1">
      <c r="A965" s="18">
        <v>964</v>
      </c>
      <c r="B965" s="17" t="s">
        <v>2116</v>
      </c>
      <c r="C965" s="17" t="s">
        <v>2117</v>
      </c>
      <c r="D965" s="17" t="s">
        <v>17</v>
      </c>
      <c r="E965" s="17" t="s">
        <v>8</v>
      </c>
      <c r="F965" s="17">
        <v>0</v>
      </c>
      <c r="G965" s="17">
        <v>0</v>
      </c>
      <c r="H965" s="17">
        <v>0</v>
      </c>
      <c r="I965" s="17">
        <v>0</v>
      </c>
      <c r="J965" s="17">
        <v>0</v>
      </c>
      <c r="K965" s="17">
        <v>0</v>
      </c>
      <c r="L965" s="17">
        <v>0</v>
      </c>
      <c r="M965" s="17">
        <v>0</v>
      </c>
      <c r="N965" s="17">
        <v>0</v>
      </c>
      <c r="O965" s="17">
        <v>0</v>
      </c>
      <c r="P965" s="17">
        <v>0</v>
      </c>
      <c r="Q965" s="17">
        <v>0</v>
      </c>
      <c r="R965" s="17">
        <v>0</v>
      </c>
      <c r="S965" s="17"/>
      <c r="T965" s="17" t="s">
        <v>2998</v>
      </c>
      <c r="U965" s="17" t="s">
        <v>3057</v>
      </c>
      <c r="V965" s="17" t="s">
        <v>3056</v>
      </c>
      <c r="W965" s="17"/>
      <c r="X965" s="17"/>
    </row>
    <row r="966" spans="1:24" hidden="1">
      <c r="A966" s="18">
        <v>965</v>
      </c>
      <c r="B966" s="17" t="s">
        <v>2167</v>
      </c>
      <c r="C966" s="17" t="s">
        <v>2168</v>
      </c>
      <c r="D966" s="17" t="s">
        <v>17</v>
      </c>
      <c r="E966" s="17" t="s">
        <v>8</v>
      </c>
      <c r="F966" s="17">
        <v>0</v>
      </c>
      <c r="G966" s="17">
        <v>0</v>
      </c>
      <c r="H966" s="17">
        <v>0</v>
      </c>
      <c r="I966" s="17">
        <v>0</v>
      </c>
      <c r="J966" s="17">
        <v>0</v>
      </c>
      <c r="K966" s="17">
        <v>0</v>
      </c>
      <c r="L966" s="17">
        <v>0</v>
      </c>
      <c r="M966" s="17">
        <v>0</v>
      </c>
      <c r="N966" s="17">
        <v>0</v>
      </c>
      <c r="O966" s="17">
        <v>0</v>
      </c>
      <c r="P966" s="17">
        <v>0</v>
      </c>
      <c r="Q966" s="17">
        <v>0</v>
      </c>
      <c r="R966" s="17">
        <v>0</v>
      </c>
      <c r="S966" s="17"/>
      <c r="T966" s="17" t="s">
        <v>2982</v>
      </c>
      <c r="U966" s="17" t="s">
        <v>3060</v>
      </c>
      <c r="V966" s="17" t="s">
        <v>3064</v>
      </c>
      <c r="W966" s="17"/>
      <c r="X966" s="17"/>
    </row>
    <row r="967" spans="1:24" hidden="1">
      <c r="A967" s="18">
        <v>966</v>
      </c>
      <c r="B967" s="17" t="s">
        <v>2128</v>
      </c>
      <c r="C967" s="17" t="s">
        <v>2129</v>
      </c>
      <c r="D967" s="17" t="s">
        <v>2130</v>
      </c>
      <c r="E967" s="17" t="s">
        <v>8</v>
      </c>
      <c r="F967" s="17">
        <v>0</v>
      </c>
      <c r="G967" s="17">
        <v>110.026</v>
      </c>
      <c r="H967" s="17">
        <v>110.026</v>
      </c>
      <c r="I967" s="17">
        <v>0</v>
      </c>
      <c r="J967" s="17">
        <v>0</v>
      </c>
      <c r="K967" s="17">
        <v>0</v>
      </c>
      <c r="L967" s="17">
        <v>0</v>
      </c>
      <c r="M967" s="17">
        <v>0</v>
      </c>
      <c r="N967" s="17">
        <v>0</v>
      </c>
      <c r="O967" s="17">
        <v>0</v>
      </c>
      <c r="P967" s="17">
        <v>0</v>
      </c>
      <c r="Q967" s="17">
        <v>0</v>
      </c>
      <c r="R967" s="17">
        <v>0</v>
      </c>
      <c r="S967" s="17"/>
      <c r="T967" s="17" t="s">
        <v>2998</v>
      </c>
      <c r="U967" s="17" t="s">
        <v>3057</v>
      </c>
      <c r="V967" s="17" t="s">
        <v>3056</v>
      </c>
      <c r="W967" s="17"/>
      <c r="X967" s="17"/>
    </row>
    <row r="968" spans="1:24" hidden="1">
      <c r="A968" s="18">
        <v>967</v>
      </c>
      <c r="B968" s="17" t="s">
        <v>2173</v>
      </c>
      <c r="C968" s="17" t="s">
        <v>2174</v>
      </c>
      <c r="D968" s="17" t="s">
        <v>17</v>
      </c>
      <c r="E968" s="17" t="s">
        <v>8</v>
      </c>
      <c r="F968" s="17">
        <v>0</v>
      </c>
      <c r="G968" s="17">
        <v>0</v>
      </c>
      <c r="H968" s="17">
        <v>0</v>
      </c>
      <c r="I968" s="17">
        <v>0</v>
      </c>
      <c r="J968" s="17">
        <v>0</v>
      </c>
      <c r="K968" s="17">
        <v>0</v>
      </c>
      <c r="L968" s="17">
        <v>0</v>
      </c>
      <c r="M968" s="17">
        <v>0</v>
      </c>
      <c r="N968" s="17">
        <v>0</v>
      </c>
      <c r="O968" s="17">
        <v>0</v>
      </c>
      <c r="P968" s="17">
        <v>0</v>
      </c>
      <c r="Q968" s="17">
        <v>0</v>
      </c>
      <c r="R968" s="17">
        <v>0</v>
      </c>
      <c r="S968" s="17"/>
      <c r="T968" s="17" t="s">
        <v>2982</v>
      </c>
      <c r="U968" s="17" t="s">
        <v>3060</v>
      </c>
      <c r="V968" s="17" t="s">
        <v>3064</v>
      </c>
      <c r="W968" s="17"/>
      <c r="X968" s="17"/>
    </row>
    <row r="969" spans="1:24" hidden="1">
      <c r="A969" s="18">
        <v>968</v>
      </c>
      <c r="B969" s="17" t="s">
        <v>2175</v>
      </c>
      <c r="C969" s="17" t="s">
        <v>2176</v>
      </c>
      <c r="D969" s="17" t="s">
        <v>17</v>
      </c>
      <c r="E969" s="17" t="s">
        <v>8</v>
      </c>
      <c r="F969" s="17">
        <v>300</v>
      </c>
      <c r="G969" s="17">
        <v>0</v>
      </c>
      <c r="H969" s="17">
        <v>0</v>
      </c>
      <c r="I969" s="17">
        <v>300</v>
      </c>
      <c r="J969" s="17">
        <v>0</v>
      </c>
      <c r="K969" s="17">
        <v>0</v>
      </c>
      <c r="L969" s="17">
        <v>300</v>
      </c>
      <c r="M969" s="17">
        <v>0</v>
      </c>
      <c r="N969" s="17">
        <v>0</v>
      </c>
      <c r="O969" s="17">
        <v>300</v>
      </c>
      <c r="P969" s="17">
        <v>200</v>
      </c>
      <c r="Q969" s="17">
        <v>100</v>
      </c>
      <c r="R969" s="17">
        <v>0</v>
      </c>
      <c r="S969" s="17"/>
      <c r="T969" s="17" t="s">
        <v>2972</v>
      </c>
      <c r="U969" s="17" t="s">
        <v>3060</v>
      </c>
      <c r="V969" s="17" t="s">
        <v>3058</v>
      </c>
      <c r="W969" s="17"/>
      <c r="X969" s="17"/>
    </row>
    <row r="970" spans="1:24" hidden="1">
      <c r="A970" s="18">
        <v>969</v>
      </c>
      <c r="B970" s="17" t="s">
        <v>2177</v>
      </c>
      <c r="C970" s="17" t="s">
        <v>2178</v>
      </c>
      <c r="D970" s="17" t="s">
        <v>17</v>
      </c>
      <c r="E970" s="17" t="s">
        <v>8</v>
      </c>
      <c r="F970" s="17">
        <v>90</v>
      </c>
      <c r="G970" s="17">
        <v>0</v>
      </c>
      <c r="H970" s="17">
        <v>0</v>
      </c>
      <c r="I970" s="17">
        <v>90</v>
      </c>
      <c r="J970" s="17">
        <v>0</v>
      </c>
      <c r="K970" s="17">
        <v>0</v>
      </c>
      <c r="L970" s="17">
        <v>90</v>
      </c>
      <c r="M970" s="17">
        <v>0</v>
      </c>
      <c r="N970" s="17">
        <v>0</v>
      </c>
      <c r="O970" s="17">
        <v>90</v>
      </c>
      <c r="P970" s="17">
        <v>25</v>
      </c>
      <c r="Q970" s="17">
        <v>65</v>
      </c>
      <c r="R970" s="17">
        <v>0</v>
      </c>
      <c r="S970" s="17"/>
      <c r="T970" s="17" t="s">
        <v>2972</v>
      </c>
      <c r="U970" s="17" t="s">
        <v>3055</v>
      </c>
      <c r="V970" s="17" t="s">
        <v>3056</v>
      </c>
      <c r="W970" s="17"/>
      <c r="X970" s="17"/>
    </row>
    <row r="971" spans="1:24" hidden="1">
      <c r="A971" s="18">
        <v>970</v>
      </c>
      <c r="B971" s="17" t="s">
        <v>2179</v>
      </c>
      <c r="C971" s="17" t="s">
        <v>2180</v>
      </c>
      <c r="D971" s="17" t="s">
        <v>17</v>
      </c>
      <c r="E971" s="17" t="s">
        <v>8</v>
      </c>
      <c r="F971" s="17">
        <v>0</v>
      </c>
      <c r="G971" s="17">
        <v>0</v>
      </c>
      <c r="H971" s="17">
        <v>0</v>
      </c>
      <c r="I971" s="17">
        <v>0</v>
      </c>
      <c r="J971" s="17">
        <v>0</v>
      </c>
      <c r="K971" s="17">
        <v>0</v>
      </c>
      <c r="L971" s="17">
        <v>0</v>
      </c>
      <c r="M971" s="17">
        <v>0</v>
      </c>
      <c r="N971" s="17">
        <v>0</v>
      </c>
      <c r="O971" s="17">
        <v>0</v>
      </c>
      <c r="P971" s="17">
        <v>25</v>
      </c>
      <c r="Q971" s="17">
        <v>-25</v>
      </c>
      <c r="R971" s="17">
        <v>0</v>
      </c>
      <c r="S971" s="17"/>
      <c r="T971" s="17" t="s">
        <v>2972</v>
      </c>
      <c r="U971" s="17" t="s">
        <v>3055</v>
      </c>
      <c r="V971" s="17" t="s">
        <v>3056</v>
      </c>
      <c r="W971" s="17"/>
      <c r="X971" s="17"/>
    </row>
    <row r="972" spans="1:24" hidden="1">
      <c r="A972" s="18">
        <v>971</v>
      </c>
      <c r="B972" s="17" t="s">
        <v>2181</v>
      </c>
      <c r="C972" s="17" t="s">
        <v>2182</v>
      </c>
      <c r="D972" s="17" t="s">
        <v>17</v>
      </c>
      <c r="E972" s="17" t="s">
        <v>8</v>
      </c>
      <c r="F972" s="17">
        <v>0</v>
      </c>
      <c r="G972" s="17">
        <v>0</v>
      </c>
      <c r="H972" s="17">
        <v>0</v>
      </c>
      <c r="I972" s="17">
        <v>0</v>
      </c>
      <c r="J972" s="17">
        <v>0</v>
      </c>
      <c r="K972" s="17">
        <v>0</v>
      </c>
      <c r="L972" s="17">
        <v>0</v>
      </c>
      <c r="M972" s="17">
        <v>0</v>
      </c>
      <c r="N972" s="17">
        <v>0</v>
      </c>
      <c r="O972" s="17">
        <v>0</v>
      </c>
      <c r="P972" s="17">
        <v>25</v>
      </c>
      <c r="Q972" s="17">
        <v>-25</v>
      </c>
      <c r="R972" s="17">
        <v>0</v>
      </c>
      <c r="S972" s="17"/>
      <c r="T972" s="17" t="s">
        <v>2972</v>
      </c>
      <c r="U972" s="17" t="s">
        <v>3055</v>
      </c>
      <c r="V972" s="17" t="s">
        <v>3056</v>
      </c>
      <c r="W972" s="17"/>
      <c r="X972" s="17"/>
    </row>
    <row r="973" spans="1:24" hidden="1">
      <c r="A973" s="18">
        <v>972</v>
      </c>
      <c r="B973" s="17" t="s">
        <v>2183</v>
      </c>
      <c r="C973" s="17" t="s">
        <v>2184</v>
      </c>
      <c r="D973" s="17" t="s">
        <v>17</v>
      </c>
      <c r="E973" s="17" t="s">
        <v>8</v>
      </c>
      <c r="F973" s="17">
        <v>400</v>
      </c>
      <c r="G973" s="17">
        <v>0</v>
      </c>
      <c r="H973" s="17">
        <v>0</v>
      </c>
      <c r="I973" s="17">
        <v>400</v>
      </c>
      <c r="J973" s="17">
        <v>0</v>
      </c>
      <c r="K973" s="17">
        <v>0</v>
      </c>
      <c r="L973" s="17">
        <v>400</v>
      </c>
      <c r="M973" s="17">
        <v>0</v>
      </c>
      <c r="N973" s="17">
        <v>0</v>
      </c>
      <c r="O973" s="17">
        <v>400</v>
      </c>
      <c r="P973" s="17">
        <v>200</v>
      </c>
      <c r="Q973" s="17">
        <v>200</v>
      </c>
      <c r="R973" s="17">
        <v>0</v>
      </c>
      <c r="S973" s="17"/>
      <c r="T973" s="17" t="s">
        <v>2972</v>
      </c>
      <c r="U973" s="17" t="s">
        <v>3060</v>
      </c>
      <c r="V973" s="17" t="s">
        <v>3058</v>
      </c>
      <c r="W973" s="17"/>
      <c r="X973" s="17"/>
    </row>
    <row r="974" spans="1:24" hidden="1">
      <c r="A974" s="18">
        <v>973</v>
      </c>
      <c r="B974" s="17" t="s">
        <v>2185</v>
      </c>
      <c r="C974" s="17" t="s">
        <v>2186</v>
      </c>
      <c r="D974" s="17" t="s">
        <v>17</v>
      </c>
      <c r="E974" s="17" t="s">
        <v>8</v>
      </c>
      <c r="F974" s="17">
        <v>1000</v>
      </c>
      <c r="G974" s="17">
        <v>0</v>
      </c>
      <c r="H974" s="17">
        <v>0</v>
      </c>
      <c r="I974" s="17">
        <v>1000</v>
      </c>
      <c r="J974" s="17">
        <v>0</v>
      </c>
      <c r="K974" s="17">
        <v>0</v>
      </c>
      <c r="L974" s="17">
        <v>1000</v>
      </c>
      <c r="M974" s="17">
        <v>0</v>
      </c>
      <c r="N974" s="17">
        <v>0</v>
      </c>
      <c r="O974" s="17">
        <v>1000</v>
      </c>
      <c r="P974" s="17">
        <v>500</v>
      </c>
      <c r="Q974" s="17">
        <v>500</v>
      </c>
      <c r="R974" s="17">
        <v>0</v>
      </c>
      <c r="S974" s="17"/>
      <c r="T974" s="17" t="s">
        <v>2972</v>
      </c>
      <c r="U974" s="17" t="s">
        <v>3060</v>
      </c>
      <c r="V974" s="17" t="s">
        <v>3058</v>
      </c>
      <c r="W974" s="17"/>
      <c r="X974" s="17"/>
    </row>
    <row r="975" spans="1:24" hidden="1">
      <c r="A975" s="18">
        <v>974</v>
      </c>
      <c r="B975" s="17" t="s">
        <v>2187</v>
      </c>
      <c r="C975" s="17" t="s">
        <v>2188</v>
      </c>
      <c r="D975" s="17" t="s">
        <v>17</v>
      </c>
      <c r="E975" s="17" t="s">
        <v>8</v>
      </c>
      <c r="F975" s="17">
        <v>0</v>
      </c>
      <c r="G975" s="17">
        <v>0</v>
      </c>
      <c r="H975" s="17">
        <v>0</v>
      </c>
      <c r="I975" s="17">
        <v>0</v>
      </c>
      <c r="J975" s="17">
        <v>0</v>
      </c>
      <c r="K975" s="17">
        <v>0</v>
      </c>
      <c r="L975" s="17">
        <v>0</v>
      </c>
      <c r="M975" s="17">
        <v>0</v>
      </c>
      <c r="N975" s="17">
        <v>0</v>
      </c>
      <c r="O975" s="17">
        <v>0</v>
      </c>
      <c r="P975" s="17">
        <v>0</v>
      </c>
      <c r="Q975" s="17">
        <v>0</v>
      </c>
      <c r="R975" s="17">
        <v>0</v>
      </c>
      <c r="S975" s="17"/>
      <c r="T975" s="17" t="s">
        <v>3006</v>
      </c>
      <c r="U975" s="17" t="s">
        <v>3060</v>
      </c>
      <c r="V975" s="17" t="s">
        <v>3058</v>
      </c>
      <c r="W975" s="17"/>
      <c r="X975" s="17"/>
    </row>
    <row r="976" spans="1:24" hidden="1">
      <c r="A976" s="18">
        <v>975</v>
      </c>
      <c r="B976" s="17" t="s">
        <v>2189</v>
      </c>
      <c r="C976" s="17" t="s">
        <v>2190</v>
      </c>
      <c r="D976" s="17" t="s">
        <v>17</v>
      </c>
      <c r="E976" s="17" t="s">
        <v>8</v>
      </c>
      <c r="F976" s="17">
        <v>0</v>
      </c>
      <c r="G976" s="17">
        <v>0</v>
      </c>
      <c r="H976" s="17">
        <v>0</v>
      </c>
      <c r="I976" s="17">
        <v>0</v>
      </c>
      <c r="J976" s="17">
        <v>0</v>
      </c>
      <c r="K976" s="17">
        <v>0</v>
      </c>
      <c r="L976" s="17">
        <v>0</v>
      </c>
      <c r="M976" s="17">
        <v>0</v>
      </c>
      <c r="N976" s="17">
        <v>0</v>
      </c>
      <c r="O976" s="17">
        <v>0</v>
      </c>
      <c r="P976" s="17">
        <v>0</v>
      </c>
      <c r="Q976" s="17">
        <v>0</v>
      </c>
      <c r="R976" s="17">
        <v>0</v>
      </c>
      <c r="S976" s="17"/>
      <c r="T976" s="17" t="s">
        <v>3006</v>
      </c>
      <c r="U976" s="17" t="s">
        <v>3060</v>
      </c>
      <c r="V976" s="17" t="s">
        <v>3058</v>
      </c>
      <c r="W976" s="17"/>
      <c r="X976" s="17"/>
    </row>
    <row r="977" spans="1:24" hidden="1">
      <c r="A977" s="18">
        <v>976</v>
      </c>
      <c r="B977" s="17" t="s">
        <v>2191</v>
      </c>
      <c r="C977" s="17" t="s">
        <v>2192</v>
      </c>
      <c r="D977" s="17" t="s">
        <v>17</v>
      </c>
      <c r="E977" s="17" t="s">
        <v>8</v>
      </c>
      <c r="F977" s="17">
        <v>0</v>
      </c>
      <c r="G977" s="17">
        <v>0</v>
      </c>
      <c r="H977" s="17">
        <v>0</v>
      </c>
      <c r="I977" s="17">
        <v>0</v>
      </c>
      <c r="J977" s="17">
        <v>0</v>
      </c>
      <c r="K977" s="17">
        <v>0</v>
      </c>
      <c r="L977" s="17">
        <v>0</v>
      </c>
      <c r="M977" s="17">
        <v>0</v>
      </c>
      <c r="N977" s="17">
        <v>0</v>
      </c>
      <c r="O977" s="17">
        <v>0</v>
      </c>
      <c r="P977" s="17">
        <v>0</v>
      </c>
      <c r="Q977" s="17">
        <v>0</v>
      </c>
      <c r="R977" s="17">
        <v>0</v>
      </c>
      <c r="S977" s="17"/>
      <c r="T977" s="17" t="s">
        <v>3006</v>
      </c>
      <c r="U977" s="17" t="s">
        <v>3060</v>
      </c>
      <c r="V977" s="17" t="s">
        <v>3058</v>
      </c>
      <c r="W977" s="17"/>
      <c r="X977" s="17"/>
    </row>
    <row r="978" spans="1:24" hidden="1">
      <c r="A978" s="18">
        <v>977</v>
      </c>
      <c r="B978" s="17" t="s">
        <v>2193</v>
      </c>
      <c r="C978" s="17" t="s">
        <v>2194</v>
      </c>
      <c r="D978" s="17" t="s">
        <v>17</v>
      </c>
      <c r="E978" s="17" t="s">
        <v>8</v>
      </c>
      <c r="F978" s="17">
        <v>0</v>
      </c>
      <c r="G978" s="17">
        <v>0</v>
      </c>
      <c r="H978" s="17">
        <v>0</v>
      </c>
      <c r="I978" s="17">
        <v>0</v>
      </c>
      <c r="J978" s="17">
        <v>0</v>
      </c>
      <c r="K978" s="17">
        <v>0</v>
      </c>
      <c r="L978" s="17">
        <v>0</v>
      </c>
      <c r="M978" s="17">
        <v>0</v>
      </c>
      <c r="N978" s="17">
        <v>0</v>
      </c>
      <c r="O978" s="17">
        <v>0</v>
      </c>
      <c r="P978" s="17">
        <v>0</v>
      </c>
      <c r="Q978" s="17">
        <v>0</v>
      </c>
      <c r="R978" s="17">
        <v>0</v>
      </c>
      <c r="S978" s="17"/>
      <c r="T978" s="17" t="s">
        <v>3006</v>
      </c>
      <c r="U978" s="17" t="s">
        <v>3060</v>
      </c>
      <c r="V978" s="17" t="s">
        <v>3058</v>
      </c>
      <c r="W978" s="17"/>
      <c r="X978" s="17"/>
    </row>
    <row r="979" spans="1:24" hidden="1">
      <c r="A979" s="18">
        <v>978</v>
      </c>
      <c r="B979" s="17" t="s">
        <v>2195</v>
      </c>
      <c r="C979" s="17" t="s">
        <v>2196</v>
      </c>
      <c r="D979" s="17" t="s">
        <v>17</v>
      </c>
      <c r="E979" s="17" t="s">
        <v>8</v>
      </c>
      <c r="F979" s="17">
        <v>2</v>
      </c>
      <c r="G979" s="17">
        <v>0</v>
      </c>
      <c r="H979" s="17">
        <v>0</v>
      </c>
      <c r="I979" s="17">
        <v>2</v>
      </c>
      <c r="J979" s="17">
        <v>0</v>
      </c>
      <c r="K979" s="17">
        <v>0</v>
      </c>
      <c r="L979" s="17">
        <v>2</v>
      </c>
      <c r="M979" s="17">
        <v>0</v>
      </c>
      <c r="N979" s="17">
        <v>0</v>
      </c>
      <c r="O979" s="17">
        <v>2</v>
      </c>
      <c r="P979" s="17">
        <v>0</v>
      </c>
      <c r="Q979" s="17">
        <v>2</v>
      </c>
      <c r="R979" s="17">
        <v>0</v>
      </c>
      <c r="S979" s="17"/>
      <c r="T979" s="17" t="s">
        <v>3006</v>
      </c>
      <c r="U979" s="17" t="s">
        <v>3060</v>
      </c>
      <c r="V979" s="17" t="s">
        <v>3058</v>
      </c>
      <c r="W979" s="17"/>
      <c r="X979" s="17"/>
    </row>
    <row r="980" spans="1:24" hidden="1">
      <c r="A980" s="18">
        <v>979</v>
      </c>
      <c r="B980" s="17" t="s">
        <v>2197</v>
      </c>
      <c r="C980" s="17" t="s">
        <v>2198</v>
      </c>
      <c r="D980" s="17" t="s">
        <v>17</v>
      </c>
      <c r="E980" s="17" t="s">
        <v>8</v>
      </c>
      <c r="F980" s="17">
        <v>0</v>
      </c>
      <c r="G980" s="17">
        <v>0</v>
      </c>
      <c r="H980" s="17">
        <v>0</v>
      </c>
      <c r="I980" s="17">
        <v>0</v>
      </c>
      <c r="J980" s="17">
        <v>0</v>
      </c>
      <c r="K980" s="17">
        <v>0</v>
      </c>
      <c r="L980" s="17">
        <v>0</v>
      </c>
      <c r="M980" s="17">
        <v>0</v>
      </c>
      <c r="N980" s="17">
        <v>0</v>
      </c>
      <c r="O980" s="17">
        <v>0</v>
      </c>
      <c r="P980" s="17">
        <v>0</v>
      </c>
      <c r="Q980" s="17">
        <v>0</v>
      </c>
      <c r="R980" s="17">
        <v>0</v>
      </c>
      <c r="S980" s="17"/>
      <c r="T980" s="17" t="s">
        <v>3006</v>
      </c>
      <c r="U980" s="17" t="s">
        <v>3060</v>
      </c>
      <c r="V980" s="17" t="s">
        <v>3058</v>
      </c>
      <c r="W980" s="17"/>
      <c r="X980" s="17"/>
    </row>
    <row r="981" spans="1:24" hidden="1">
      <c r="A981" s="18">
        <v>980</v>
      </c>
      <c r="B981" s="17" t="s">
        <v>2199</v>
      </c>
      <c r="C981" s="17" t="s">
        <v>2200</v>
      </c>
      <c r="D981" s="17" t="s">
        <v>17</v>
      </c>
      <c r="E981" s="17" t="s">
        <v>8</v>
      </c>
      <c r="F981" s="17">
        <v>1</v>
      </c>
      <c r="G981" s="17">
        <v>0</v>
      </c>
      <c r="H981" s="17">
        <v>1</v>
      </c>
      <c r="I981" s="17">
        <v>0</v>
      </c>
      <c r="J981" s="17">
        <v>0</v>
      </c>
      <c r="K981" s="17">
        <v>0</v>
      </c>
      <c r="L981" s="17">
        <v>0</v>
      </c>
      <c r="M981" s="17">
        <v>0</v>
      </c>
      <c r="N981" s="17">
        <v>0</v>
      </c>
      <c r="O981" s="17">
        <v>0</v>
      </c>
      <c r="P981" s="17">
        <v>0</v>
      </c>
      <c r="Q981" s="17">
        <v>0</v>
      </c>
      <c r="R981" s="17">
        <v>0</v>
      </c>
      <c r="S981" s="17"/>
      <c r="T981" s="17" t="s">
        <v>3006</v>
      </c>
      <c r="U981" s="17" t="s">
        <v>3060</v>
      </c>
      <c r="V981" s="17" t="s">
        <v>3058</v>
      </c>
      <c r="W981" s="17"/>
      <c r="X981" s="17"/>
    </row>
    <row r="982" spans="1:24" hidden="1">
      <c r="A982" s="18">
        <v>981</v>
      </c>
      <c r="B982" s="17" t="s">
        <v>2201</v>
      </c>
      <c r="C982" s="17" t="s">
        <v>2202</v>
      </c>
      <c r="D982" s="17" t="s">
        <v>17</v>
      </c>
      <c r="E982" s="17" t="s">
        <v>8</v>
      </c>
      <c r="F982" s="17">
        <v>0</v>
      </c>
      <c r="G982" s="17">
        <v>0</v>
      </c>
      <c r="H982" s="17">
        <v>0</v>
      </c>
      <c r="I982" s="17">
        <v>0</v>
      </c>
      <c r="J982" s="17">
        <v>0</v>
      </c>
      <c r="K982" s="17">
        <v>0</v>
      </c>
      <c r="L982" s="17">
        <v>0</v>
      </c>
      <c r="M982" s="17">
        <v>0</v>
      </c>
      <c r="N982" s="17">
        <v>0</v>
      </c>
      <c r="O982" s="17">
        <v>0</v>
      </c>
      <c r="P982" s="17">
        <v>0</v>
      </c>
      <c r="Q982" s="17">
        <v>0</v>
      </c>
      <c r="R982" s="17">
        <v>0</v>
      </c>
      <c r="S982" s="17"/>
      <c r="T982" s="17" t="s">
        <v>3006</v>
      </c>
      <c r="U982" s="17" t="s">
        <v>3060</v>
      </c>
      <c r="V982" s="17" t="s">
        <v>3058</v>
      </c>
      <c r="W982" s="17"/>
      <c r="X982" s="17"/>
    </row>
    <row r="983" spans="1:24" hidden="1">
      <c r="A983" s="18">
        <v>982</v>
      </c>
      <c r="B983" s="17" t="s">
        <v>2203</v>
      </c>
      <c r="C983" s="17" t="s">
        <v>2204</v>
      </c>
      <c r="D983" s="17" t="s">
        <v>17</v>
      </c>
      <c r="E983" s="17" t="s">
        <v>8</v>
      </c>
      <c r="F983" s="17">
        <v>1</v>
      </c>
      <c r="G983" s="17">
        <v>0</v>
      </c>
      <c r="H983" s="17">
        <v>0</v>
      </c>
      <c r="I983" s="17">
        <v>1</v>
      </c>
      <c r="J983" s="17">
        <v>0</v>
      </c>
      <c r="K983" s="17">
        <v>0</v>
      </c>
      <c r="L983" s="17">
        <v>1</v>
      </c>
      <c r="M983" s="17">
        <v>0</v>
      </c>
      <c r="N983" s="17">
        <v>0</v>
      </c>
      <c r="O983" s="17">
        <v>1</v>
      </c>
      <c r="P983" s="17">
        <v>0</v>
      </c>
      <c r="Q983" s="17">
        <v>1</v>
      </c>
      <c r="R983" s="17">
        <v>0</v>
      </c>
      <c r="S983" s="17"/>
      <c r="T983" s="17" t="s">
        <v>3006</v>
      </c>
      <c r="U983" s="17" t="s">
        <v>3060</v>
      </c>
      <c r="V983" s="17" t="s">
        <v>3058</v>
      </c>
      <c r="W983" s="17"/>
      <c r="X983" s="17"/>
    </row>
    <row r="984" spans="1:24" hidden="1">
      <c r="A984" s="18">
        <v>983</v>
      </c>
      <c r="B984" s="17" t="s">
        <v>2205</v>
      </c>
      <c r="C984" s="17" t="s">
        <v>2206</v>
      </c>
      <c r="D984" s="17" t="s">
        <v>17</v>
      </c>
      <c r="E984" s="17" t="s">
        <v>8</v>
      </c>
      <c r="F984" s="17">
        <v>1</v>
      </c>
      <c r="G984" s="17">
        <v>0</v>
      </c>
      <c r="H984" s="17">
        <v>0</v>
      </c>
      <c r="I984" s="17">
        <v>1</v>
      </c>
      <c r="J984" s="17">
        <v>0</v>
      </c>
      <c r="K984" s="17">
        <v>0</v>
      </c>
      <c r="L984" s="17">
        <v>1</v>
      </c>
      <c r="M984" s="17">
        <v>0</v>
      </c>
      <c r="N984" s="17">
        <v>0</v>
      </c>
      <c r="O984" s="17">
        <v>1</v>
      </c>
      <c r="P984" s="17">
        <v>0</v>
      </c>
      <c r="Q984" s="17">
        <v>1</v>
      </c>
      <c r="R984" s="17">
        <v>0</v>
      </c>
      <c r="S984" s="17"/>
      <c r="T984" s="17" t="s">
        <v>3006</v>
      </c>
      <c r="U984" s="17" t="s">
        <v>3060</v>
      </c>
      <c r="V984" s="17" t="s">
        <v>3058</v>
      </c>
      <c r="W984" s="17"/>
      <c r="X984" s="17"/>
    </row>
    <row r="985" spans="1:24" hidden="1">
      <c r="A985" s="18">
        <v>984</v>
      </c>
      <c r="B985" s="17" t="s">
        <v>2207</v>
      </c>
      <c r="C985" s="17" t="s">
        <v>2208</v>
      </c>
      <c r="D985" s="17" t="s">
        <v>17</v>
      </c>
      <c r="E985" s="17" t="s">
        <v>8</v>
      </c>
      <c r="F985" s="17">
        <v>0</v>
      </c>
      <c r="G985" s="17">
        <v>0</v>
      </c>
      <c r="H985" s="17">
        <v>0</v>
      </c>
      <c r="I985" s="17">
        <v>0</v>
      </c>
      <c r="J985" s="17">
        <v>0</v>
      </c>
      <c r="K985" s="17">
        <v>0</v>
      </c>
      <c r="L985" s="17">
        <v>0</v>
      </c>
      <c r="M985" s="17">
        <v>0</v>
      </c>
      <c r="N985" s="17">
        <v>0</v>
      </c>
      <c r="O985" s="17">
        <v>0</v>
      </c>
      <c r="P985" s="17">
        <v>0</v>
      </c>
      <c r="Q985" s="17">
        <v>0</v>
      </c>
      <c r="R985" s="17">
        <v>0</v>
      </c>
      <c r="S985" s="17"/>
      <c r="T985" s="17" t="s">
        <v>3006</v>
      </c>
      <c r="U985" s="17" t="s">
        <v>3060</v>
      </c>
      <c r="V985" s="17" t="s">
        <v>3058</v>
      </c>
      <c r="W985" s="17"/>
      <c r="X985" s="17"/>
    </row>
    <row r="986" spans="1:24" hidden="1">
      <c r="A986" s="18">
        <v>985</v>
      </c>
      <c r="B986" s="17" t="s">
        <v>2209</v>
      </c>
      <c r="C986" s="17" t="s">
        <v>2210</v>
      </c>
      <c r="D986" s="17" t="s">
        <v>17</v>
      </c>
      <c r="E986" s="17" t="s">
        <v>8</v>
      </c>
      <c r="F986" s="17">
        <v>0</v>
      </c>
      <c r="G986" s="17">
        <v>0</v>
      </c>
      <c r="H986" s="17">
        <v>0</v>
      </c>
      <c r="I986" s="17">
        <v>0</v>
      </c>
      <c r="J986" s="17">
        <v>0</v>
      </c>
      <c r="K986" s="17">
        <v>0</v>
      </c>
      <c r="L986" s="17">
        <v>0</v>
      </c>
      <c r="M986" s="17">
        <v>0</v>
      </c>
      <c r="N986" s="17">
        <v>0</v>
      </c>
      <c r="O986" s="17">
        <v>0</v>
      </c>
      <c r="P986" s="17">
        <v>0</v>
      </c>
      <c r="Q986" s="17">
        <v>0</v>
      </c>
      <c r="R986" s="17">
        <v>0</v>
      </c>
      <c r="S986" s="17"/>
      <c r="T986" s="17" t="s">
        <v>3006</v>
      </c>
      <c r="U986" s="17" t="s">
        <v>3060</v>
      </c>
      <c r="V986" s="17" t="s">
        <v>3058</v>
      </c>
      <c r="W986" s="17"/>
      <c r="X986" s="17"/>
    </row>
    <row r="987" spans="1:24" hidden="1">
      <c r="A987" s="18">
        <v>986</v>
      </c>
      <c r="B987" s="17" t="s">
        <v>2211</v>
      </c>
      <c r="C987" s="17" t="s">
        <v>2212</v>
      </c>
      <c r="D987" s="17" t="s">
        <v>17</v>
      </c>
      <c r="E987" s="17" t="s">
        <v>8</v>
      </c>
      <c r="F987" s="17">
        <v>0</v>
      </c>
      <c r="G987" s="17">
        <v>0</v>
      </c>
      <c r="H987" s="17">
        <v>0</v>
      </c>
      <c r="I987" s="17">
        <v>0</v>
      </c>
      <c r="J987" s="17">
        <v>0</v>
      </c>
      <c r="K987" s="17">
        <v>0</v>
      </c>
      <c r="L987" s="17">
        <v>0</v>
      </c>
      <c r="M987" s="17">
        <v>0</v>
      </c>
      <c r="N987" s="17">
        <v>0</v>
      </c>
      <c r="O987" s="17">
        <v>0</v>
      </c>
      <c r="P987" s="17">
        <v>0</v>
      </c>
      <c r="Q987" s="17">
        <v>0</v>
      </c>
      <c r="R987" s="17">
        <v>0</v>
      </c>
      <c r="S987" s="17"/>
      <c r="T987" s="17" t="s">
        <v>3006</v>
      </c>
      <c r="U987" s="17" t="s">
        <v>3060</v>
      </c>
      <c r="V987" s="17" t="s">
        <v>3058</v>
      </c>
      <c r="W987" s="17"/>
      <c r="X987" s="17"/>
    </row>
    <row r="988" spans="1:24" hidden="1">
      <c r="A988" s="18">
        <v>987</v>
      </c>
      <c r="B988" s="17" t="s">
        <v>2213</v>
      </c>
      <c r="C988" s="17" t="s">
        <v>2214</v>
      </c>
      <c r="D988" s="17" t="s">
        <v>17</v>
      </c>
      <c r="E988" s="17" t="s">
        <v>8</v>
      </c>
      <c r="F988" s="17">
        <v>1</v>
      </c>
      <c r="G988" s="17">
        <v>0</v>
      </c>
      <c r="H988" s="17">
        <v>0</v>
      </c>
      <c r="I988" s="17">
        <v>1</v>
      </c>
      <c r="J988" s="17">
        <v>0</v>
      </c>
      <c r="K988" s="17">
        <v>0</v>
      </c>
      <c r="L988" s="17">
        <v>1</v>
      </c>
      <c r="M988" s="17">
        <v>0</v>
      </c>
      <c r="N988" s="17">
        <v>0</v>
      </c>
      <c r="O988" s="17">
        <v>1</v>
      </c>
      <c r="P988" s="17">
        <v>0</v>
      </c>
      <c r="Q988" s="17">
        <v>1</v>
      </c>
      <c r="R988" s="17">
        <v>0</v>
      </c>
      <c r="S988" s="17"/>
      <c r="T988" s="17" t="s">
        <v>3006</v>
      </c>
      <c r="U988" s="17" t="s">
        <v>3060</v>
      </c>
      <c r="V988" s="17" t="s">
        <v>3058</v>
      </c>
      <c r="W988" s="17"/>
      <c r="X988" s="17"/>
    </row>
    <row r="989" spans="1:24" hidden="1">
      <c r="A989" s="18">
        <v>988</v>
      </c>
      <c r="B989" s="17" t="s">
        <v>2215</v>
      </c>
      <c r="C989" s="17" t="s">
        <v>2216</v>
      </c>
      <c r="D989" s="17" t="s">
        <v>17</v>
      </c>
      <c r="E989" s="17" t="s">
        <v>8</v>
      </c>
      <c r="F989" s="17">
        <v>1</v>
      </c>
      <c r="G989" s="17">
        <v>0</v>
      </c>
      <c r="H989" s="17">
        <v>0</v>
      </c>
      <c r="I989" s="17">
        <v>1</v>
      </c>
      <c r="J989" s="17">
        <v>0</v>
      </c>
      <c r="K989" s="17">
        <v>0</v>
      </c>
      <c r="L989" s="17">
        <v>1</v>
      </c>
      <c r="M989" s="17">
        <v>0</v>
      </c>
      <c r="N989" s="17">
        <v>0</v>
      </c>
      <c r="O989" s="17">
        <v>1</v>
      </c>
      <c r="P989" s="17">
        <v>0</v>
      </c>
      <c r="Q989" s="17">
        <v>1</v>
      </c>
      <c r="R989" s="17">
        <v>0</v>
      </c>
      <c r="S989" s="17"/>
      <c r="T989" s="17" t="s">
        <v>3006</v>
      </c>
      <c r="U989" s="17" t="s">
        <v>3060</v>
      </c>
      <c r="V989" s="17" t="s">
        <v>3058</v>
      </c>
      <c r="W989" s="17"/>
      <c r="X989" s="17"/>
    </row>
    <row r="990" spans="1:24" hidden="1">
      <c r="A990" s="18">
        <v>989</v>
      </c>
      <c r="B990" s="17" t="s">
        <v>2217</v>
      </c>
      <c r="C990" s="17" t="s">
        <v>2218</v>
      </c>
      <c r="D990" s="17" t="s">
        <v>17</v>
      </c>
      <c r="E990" s="17" t="s">
        <v>8</v>
      </c>
      <c r="F990" s="17">
        <v>1</v>
      </c>
      <c r="G990" s="17">
        <v>0</v>
      </c>
      <c r="H990" s="17">
        <v>0</v>
      </c>
      <c r="I990" s="17">
        <v>1</v>
      </c>
      <c r="J990" s="17">
        <v>0</v>
      </c>
      <c r="K990" s="17">
        <v>0</v>
      </c>
      <c r="L990" s="17">
        <v>1</v>
      </c>
      <c r="M990" s="17">
        <v>0</v>
      </c>
      <c r="N990" s="17">
        <v>0</v>
      </c>
      <c r="O990" s="17">
        <v>1</v>
      </c>
      <c r="P990" s="17">
        <v>0</v>
      </c>
      <c r="Q990" s="17">
        <v>1</v>
      </c>
      <c r="R990" s="17">
        <v>0</v>
      </c>
      <c r="S990" s="17"/>
      <c r="T990" s="17" t="s">
        <v>3006</v>
      </c>
      <c r="U990" s="17" t="s">
        <v>3060</v>
      </c>
      <c r="V990" s="17" t="s">
        <v>3058</v>
      </c>
      <c r="W990" s="17"/>
      <c r="X990" s="17"/>
    </row>
    <row r="991" spans="1:24" hidden="1">
      <c r="A991" s="18">
        <v>990</v>
      </c>
      <c r="B991" s="17" t="s">
        <v>2219</v>
      </c>
      <c r="C991" s="17" t="s">
        <v>2220</v>
      </c>
      <c r="D991" s="17" t="s">
        <v>17</v>
      </c>
      <c r="E991" s="17" t="s">
        <v>8</v>
      </c>
      <c r="F991" s="17">
        <v>2</v>
      </c>
      <c r="G991" s="17">
        <v>0</v>
      </c>
      <c r="H991" s="17">
        <v>0</v>
      </c>
      <c r="I991" s="17">
        <v>2</v>
      </c>
      <c r="J991" s="17">
        <v>0</v>
      </c>
      <c r="K991" s="17">
        <v>0</v>
      </c>
      <c r="L991" s="17">
        <v>2</v>
      </c>
      <c r="M991" s="17">
        <v>0</v>
      </c>
      <c r="N991" s="17">
        <v>0</v>
      </c>
      <c r="O991" s="17">
        <v>2</v>
      </c>
      <c r="P991" s="17">
        <v>0</v>
      </c>
      <c r="Q991" s="17">
        <v>2</v>
      </c>
      <c r="R991" s="17">
        <v>0</v>
      </c>
      <c r="S991" s="17"/>
      <c r="T991" s="17" t="s">
        <v>3006</v>
      </c>
      <c r="U991" s="17" t="s">
        <v>3060</v>
      </c>
      <c r="V991" s="17" t="s">
        <v>3058</v>
      </c>
      <c r="W991" s="17"/>
      <c r="X991" s="17"/>
    </row>
    <row r="992" spans="1:24" hidden="1">
      <c r="A992" s="18">
        <v>991</v>
      </c>
      <c r="B992" s="17" t="s">
        <v>2221</v>
      </c>
      <c r="C992" s="17" t="s">
        <v>2222</v>
      </c>
      <c r="D992" s="17" t="s">
        <v>17</v>
      </c>
      <c r="E992" s="17" t="s">
        <v>8</v>
      </c>
      <c r="F992" s="17">
        <v>0</v>
      </c>
      <c r="G992" s="17">
        <v>0</v>
      </c>
      <c r="H992" s="17">
        <v>0</v>
      </c>
      <c r="I992" s="17">
        <v>0</v>
      </c>
      <c r="J992" s="17">
        <v>0</v>
      </c>
      <c r="K992" s="17">
        <v>0</v>
      </c>
      <c r="L992" s="17">
        <v>0</v>
      </c>
      <c r="M992" s="17">
        <v>0</v>
      </c>
      <c r="N992" s="17">
        <v>0</v>
      </c>
      <c r="O992" s="17">
        <v>0</v>
      </c>
      <c r="P992" s="17">
        <v>0</v>
      </c>
      <c r="Q992" s="17">
        <v>0</v>
      </c>
      <c r="R992" s="17">
        <v>0</v>
      </c>
      <c r="S992" s="17"/>
      <c r="T992" s="17" t="s">
        <v>3006</v>
      </c>
      <c r="U992" s="17" t="s">
        <v>3060</v>
      </c>
      <c r="V992" s="17" t="s">
        <v>3058</v>
      </c>
      <c r="W992" s="17"/>
      <c r="X992" s="17"/>
    </row>
    <row r="993" spans="1:24" hidden="1">
      <c r="A993" s="18">
        <v>992</v>
      </c>
      <c r="B993" s="17" t="s">
        <v>2131</v>
      </c>
      <c r="C993" s="17" t="s">
        <v>2132</v>
      </c>
      <c r="D993" s="17" t="s">
        <v>2130</v>
      </c>
      <c r="E993" s="17" t="s">
        <v>8</v>
      </c>
      <c r="F993" s="17">
        <v>0</v>
      </c>
      <c r="G993" s="17">
        <v>44.957999999999998</v>
      </c>
      <c r="H993" s="17">
        <v>44.957999999999998</v>
      </c>
      <c r="I993" s="17">
        <v>0</v>
      </c>
      <c r="J993" s="17">
        <v>0</v>
      </c>
      <c r="K993" s="17">
        <v>0</v>
      </c>
      <c r="L993" s="17">
        <v>0</v>
      </c>
      <c r="M993" s="17">
        <v>0</v>
      </c>
      <c r="N993" s="17">
        <v>0</v>
      </c>
      <c r="O993" s="17">
        <v>0</v>
      </c>
      <c r="P993" s="17">
        <v>0</v>
      </c>
      <c r="Q993" s="17">
        <v>0</v>
      </c>
      <c r="R993" s="17">
        <v>0</v>
      </c>
      <c r="S993" s="17"/>
      <c r="T993" s="17" t="s">
        <v>2998</v>
      </c>
      <c r="U993" s="17" t="s">
        <v>3057</v>
      </c>
      <c r="V993" s="17" t="s">
        <v>3056</v>
      </c>
      <c r="W993" s="17"/>
      <c r="X993" s="17"/>
    </row>
    <row r="994" spans="1:24" hidden="1">
      <c r="A994" s="18">
        <v>993</v>
      </c>
      <c r="B994" s="17" t="s">
        <v>2133</v>
      </c>
      <c r="C994" s="17" t="s">
        <v>2134</v>
      </c>
      <c r="D994" s="17" t="s">
        <v>2130</v>
      </c>
      <c r="E994" s="17" t="s">
        <v>8</v>
      </c>
      <c r="F994" s="17">
        <v>0</v>
      </c>
      <c r="G994" s="17">
        <v>66.608999999999995</v>
      </c>
      <c r="H994" s="17">
        <v>66.608999999999995</v>
      </c>
      <c r="I994" s="17">
        <v>0</v>
      </c>
      <c r="J994" s="17">
        <v>0</v>
      </c>
      <c r="K994" s="17">
        <v>0</v>
      </c>
      <c r="L994" s="17">
        <v>0</v>
      </c>
      <c r="M994" s="17">
        <v>0</v>
      </c>
      <c r="N994" s="17">
        <v>0</v>
      </c>
      <c r="O994" s="17">
        <v>0</v>
      </c>
      <c r="P994" s="17">
        <v>0</v>
      </c>
      <c r="Q994" s="17">
        <v>0</v>
      </c>
      <c r="R994" s="17">
        <v>0</v>
      </c>
      <c r="S994" s="17"/>
      <c r="T994" s="17" t="s">
        <v>2998</v>
      </c>
      <c r="U994" s="17" t="s">
        <v>3057</v>
      </c>
      <c r="V994" s="17" t="s">
        <v>3056</v>
      </c>
      <c r="W994" s="17"/>
      <c r="X994" s="17"/>
    </row>
    <row r="995" spans="1:24" hidden="1">
      <c r="A995" s="18">
        <v>994</v>
      </c>
      <c r="B995" s="17" t="s">
        <v>2227</v>
      </c>
      <c r="C995" s="17" t="s">
        <v>2228</v>
      </c>
      <c r="D995" s="17" t="s">
        <v>17</v>
      </c>
      <c r="E995" s="17" t="s">
        <v>8</v>
      </c>
      <c r="F995" s="17">
        <v>45</v>
      </c>
      <c r="G995" s="17">
        <v>5</v>
      </c>
      <c r="H995" s="17">
        <v>11</v>
      </c>
      <c r="I995" s="17">
        <v>39</v>
      </c>
      <c r="J995" s="17">
        <v>0</v>
      </c>
      <c r="K995" s="17">
        <v>0</v>
      </c>
      <c r="L995" s="17">
        <v>39</v>
      </c>
      <c r="M995" s="17">
        <v>25</v>
      </c>
      <c r="N995" s="17">
        <v>0</v>
      </c>
      <c r="O995" s="17">
        <v>64</v>
      </c>
      <c r="P995" s="17">
        <v>40</v>
      </c>
      <c r="Q995" s="17">
        <v>24</v>
      </c>
      <c r="R995" s="17">
        <v>25</v>
      </c>
      <c r="S995" s="17"/>
      <c r="T995" s="17" t="s">
        <v>3002</v>
      </c>
      <c r="U995" s="17" t="s">
        <v>3055</v>
      </c>
      <c r="V995" s="17" t="s">
        <v>3056</v>
      </c>
      <c r="W995" s="17"/>
      <c r="X995" s="17"/>
    </row>
    <row r="996" spans="1:24" hidden="1">
      <c r="A996" s="18">
        <v>995</v>
      </c>
      <c r="B996" s="17" t="s">
        <v>2229</v>
      </c>
      <c r="C996" s="17" t="s">
        <v>2230</v>
      </c>
      <c r="D996" s="17" t="s">
        <v>7</v>
      </c>
      <c r="E996" s="17" t="s">
        <v>8</v>
      </c>
      <c r="F996" s="17">
        <v>0</v>
      </c>
      <c r="G996" s="17">
        <v>0</v>
      </c>
      <c r="H996" s="17">
        <v>0</v>
      </c>
      <c r="I996" s="17">
        <v>0</v>
      </c>
      <c r="J996" s="17">
        <v>0</v>
      </c>
      <c r="K996" s="17">
        <v>0</v>
      </c>
      <c r="L996" s="17">
        <v>0</v>
      </c>
      <c r="M996" s="17">
        <v>0</v>
      </c>
      <c r="N996" s="17">
        <v>0</v>
      </c>
      <c r="O996" s="17">
        <v>0</v>
      </c>
      <c r="P996" s="17">
        <v>0</v>
      </c>
      <c r="Q996" s="17">
        <v>0</v>
      </c>
      <c r="R996" s="17">
        <v>0</v>
      </c>
      <c r="S996" s="17"/>
      <c r="T996" s="17" t="s">
        <v>2965</v>
      </c>
      <c r="U996" s="17" t="s">
        <v>3055</v>
      </c>
      <c r="V996" s="17" t="s">
        <v>3056</v>
      </c>
      <c r="W996" s="17"/>
      <c r="X996" s="17"/>
    </row>
    <row r="997" spans="1:24" hidden="1">
      <c r="A997" s="18">
        <v>996</v>
      </c>
      <c r="B997" s="17" t="s">
        <v>2233</v>
      </c>
      <c r="C997" s="17" t="s">
        <v>2234</v>
      </c>
      <c r="D997" s="17" t="s">
        <v>17</v>
      </c>
      <c r="E997" s="17" t="s">
        <v>8</v>
      </c>
      <c r="F997" s="17">
        <v>0</v>
      </c>
      <c r="G997" s="17">
        <v>0</v>
      </c>
      <c r="H997" s="17">
        <v>0</v>
      </c>
      <c r="I997" s="17">
        <v>0</v>
      </c>
      <c r="J997" s="17">
        <v>0</v>
      </c>
      <c r="K997" s="17">
        <v>0</v>
      </c>
      <c r="L997" s="17">
        <v>0</v>
      </c>
      <c r="M997" s="17">
        <v>0</v>
      </c>
      <c r="N997" s="17">
        <v>0</v>
      </c>
      <c r="O997" s="17">
        <v>0</v>
      </c>
      <c r="P997" s="17">
        <v>0</v>
      </c>
      <c r="Q997" s="17">
        <v>0</v>
      </c>
      <c r="R997" s="17">
        <v>0</v>
      </c>
      <c r="S997" s="17"/>
      <c r="T997" s="17" t="s">
        <v>2982</v>
      </c>
      <c r="U997" s="17" t="s">
        <v>3060</v>
      </c>
      <c r="V997" s="17" t="s">
        <v>3058</v>
      </c>
      <c r="W997" s="17"/>
      <c r="X997" s="17"/>
    </row>
    <row r="998" spans="1:24" hidden="1">
      <c r="A998" s="18">
        <v>997</v>
      </c>
      <c r="B998" s="17" t="s">
        <v>2235</v>
      </c>
      <c r="C998" s="17" t="s">
        <v>2236</v>
      </c>
      <c r="D998" s="17" t="s">
        <v>20</v>
      </c>
      <c r="E998" s="17" t="s">
        <v>8</v>
      </c>
      <c r="F998" s="17">
        <v>2117.4</v>
      </c>
      <c r="G998" s="17">
        <v>0</v>
      </c>
      <c r="H998" s="17">
        <v>0</v>
      </c>
      <c r="I998" s="17">
        <v>2117.4</v>
      </c>
      <c r="J998" s="17">
        <v>0</v>
      </c>
      <c r="K998" s="17">
        <v>0</v>
      </c>
      <c r="L998" s="17">
        <v>2117.4</v>
      </c>
      <c r="M998" s="17">
        <v>0</v>
      </c>
      <c r="N998" s="17">
        <v>0</v>
      </c>
      <c r="O998" s="17">
        <v>2117.4</v>
      </c>
      <c r="P998" s="17">
        <v>0</v>
      </c>
      <c r="Q998" s="17">
        <v>2117.4</v>
      </c>
      <c r="R998" s="17">
        <v>0</v>
      </c>
      <c r="S998" s="17"/>
      <c r="T998" s="17" t="s">
        <v>3034</v>
      </c>
      <c r="U998" s="17" t="s">
        <v>3059</v>
      </c>
      <c r="V998" s="17" t="s">
        <v>3056</v>
      </c>
      <c r="W998" s="17"/>
      <c r="X998" s="17"/>
    </row>
    <row r="999" spans="1:24" hidden="1">
      <c r="A999" s="18">
        <v>998</v>
      </c>
      <c r="B999" s="17" t="s">
        <v>2237</v>
      </c>
      <c r="C999" s="17" t="s">
        <v>2238</v>
      </c>
      <c r="D999" s="17" t="s">
        <v>17</v>
      </c>
      <c r="E999" s="17" t="s">
        <v>8</v>
      </c>
      <c r="F999" s="17">
        <v>8</v>
      </c>
      <c r="G999" s="17">
        <v>0</v>
      </c>
      <c r="H999" s="17">
        <v>0</v>
      </c>
      <c r="I999" s="17">
        <v>8</v>
      </c>
      <c r="J999" s="17">
        <v>0</v>
      </c>
      <c r="K999" s="17">
        <v>0</v>
      </c>
      <c r="L999" s="17">
        <v>8</v>
      </c>
      <c r="M999" s="17">
        <v>0</v>
      </c>
      <c r="N999" s="17">
        <v>0</v>
      </c>
      <c r="O999" s="17">
        <v>8</v>
      </c>
      <c r="P999" s="17">
        <v>5</v>
      </c>
      <c r="Q999" s="17">
        <v>3</v>
      </c>
      <c r="R999" s="17">
        <v>0</v>
      </c>
      <c r="S999" s="17"/>
      <c r="T999" s="17" t="s">
        <v>3052</v>
      </c>
      <c r="U999" s="17" t="s">
        <v>3062</v>
      </c>
      <c r="V999" s="17" t="s">
        <v>3056</v>
      </c>
      <c r="W999" s="17"/>
      <c r="X999" s="17"/>
    </row>
    <row r="1000" spans="1:24" hidden="1">
      <c r="A1000" s="18">
        <v>999</v>
      </c>
      <c r="B1000" s="17" t="s">
        <v>2239</v>
      </c>
      <c r="C1000" s="17" t="s">
        <v>2240</v>
      </c>
      <c r="D1000" s="17" t="s">
        <v>17</v>
      </c>
      <c r="E1000" s="17" t="s">
        <v>8</v>
      </c>
      <c r="F1000" s="17">
        <v>5</v>
      </c>
      <c r="G1000" s="17">
        <v>0</v>
      </c>
      <c r="H1000" s="17">
        <v>0</v>
      </c>
      <c r="I1000" s="17">
        <v>5</v>
      </c>
      <c r="J1000" s="17">
        <v>0</v>
      </c>
      <c r="K1000" s="17">
        <v>0</v>
      </c>
      <c r="L1000" s="17">
        <v>5</v>
      </c>
      <c r="M1000" s="17">
        <v>0</v>
      </c>
      <c r="N1000" s="17">
        <v>0</v>
      </c>
      <c r="O1000" s="17">
        <v>5</v>
      </c>
      <c r="P1000" s="17">
        <v>1</v>
      </c>
      <c r="Q1000" s="17">
        <v>4</v>
      </c>
      <c r="R1000" s="17">
        <v>0</v>
      </c>
      <c r="S1000" s="17"/>
      <c r="T1000" s="17" t="s">
        <v>3052</v>
      </c>
      <c r="U1000" s="17" t="s">
        <v>3062</v>
      </c>
      <c r="V1000" s="17" t="s">
        <v>3056</v>
      </c>
      <c r="W1000" s="17"/>
      <c r="X1000" s="17"/>
    </row>
    <row r="1001" spans="1:24" s="40" customFormat="1" hidden="1">
      <c r="A1001" s="26">
        <v>1000</v>
      </c>
      <c r="B1001" s="25" t="s">
        <v>2241</v>
      </c>
      <c r="C1001" s="25" t="s">
        <v>2242</v>
      </c>
      <c r="D1001" s="25" t="s">
        <v>7</v>
      </c>
      <c r="E1001" s="25" t="s">
        <v>8</v>
      </c>
      <c r="F1001" s="25">
        <v>393</v>
      </c>
      <c r="G1001" s="25">
        <v>0</v>
      </c>
      <c r="H1001" s="25">
        <v>80</v>
      </c>
      <c r="I1001" s="17">
        <v>313</v>
      </c>
      <c r="J1001" s="17">
        <v>0</v>
      </c>
      <c r="K1001" s="17">
        <v>0</v>
      </c>
      <c r="L1001" s="17">
        <v>313</v>
      </c>
      <c r="M1001" s="17">
        <v>0</v>
      </c>
      <c r="N1001" s="17">
        <v>0</v>
      </c>
      <c r="O1001" s="25">
        <v>313</v>
      </c>
      <c r="P1001" s="25">
        <v>400</v>
      </c>
      <c r="Q1001" s="25">
        <v>-87</v>
      </c>
      <c r="R1001" s="25">
        <v>750</v>
      </c>
      <c r="S1001" s="25"/>
      <c r="T1001" s="25" t="s">
        <v>2965</v>
      </c>
      <c r="U1001" s="25" t="s">
        <v>3055</v>
      </c>
      <c r="V1001" s="25" t="s">
        <v>3056</v>
      </c>
      <c r="W1001" s="25"/>
      <c r="X1001" s="25"/>
    </row>
    <row r="1002" spans="1:24" hidden="1">
      <c r="A1002" s="18">
        <v>1001</v>
      </c>
      <c r="B1002" s="17" t="s">
        <v>2243</v>
      </c>
      <c r="C1002" s="17" t="s">
        <v>2244</v>
      </c>
      <c r="D1002" s="17" t="s">
        <v>7</v>
      </c>
      <c r="E1002" s="17" t="s">
        <v>8</v>
      </c>
      <c r="F1002" s="17">
        <v>822</v>
      </c>
      <c r="G1002" s="17">
        <v>0</v>
      </c>
      <c r="H1002" s="17">
        <v>80</v>
      </c>
      <c r="I1002" s="17">
        <v>742</v>
      </c>
      <c r="J1002" s="17">
        <v>0</v>
      </c>
      <c r="K1002" s="17">
        <v>0</v>
      </c>
      <c r="L1002" s="17">
        <v>742</v>
      </c>
      <c r="M1002" s="17">
        <v>0</v>
      </c>
      <c r="N1002" s="17">
        <v>0</v>
      </c>
      <c r="O1002" s="17">
        <v>742</v>
      </c>
      <c r="P1002" s="17">
        <v>400</v>
      </c>
      <c r="Q1002" s="17">
        <v>342</v>
      </c>
      <c r="R1002" s="17">
        <v>0</v>
      </c>
      <c r="S1002" s="17"/>
      <c r="T1002" s="17" t="s">
        <v>2965</v>
      </c>
      <c r="U1002" s="17" t="s">
        <v>3055</v>
      </c>
      <c r="V1002" s="17" t="s">
        <v>3056</v>
      </c>
      <c r="W1002" s="17"/>
      <c r="X1002" s="17"/>
    </row>
    <row r="1003" spans="1:24" hidden="1">
      <c r="A1003" s="18">
        <v>1002</v>
      </c>
      <c r="B1003" s="17" t="s">
        <v>2245</v>
      </c>
      <c r="C1003" s="17" t="s">
        <v>2246</v>
      </c>
      <c r="D1003" s="17" t="s">
        <v>7</v>
      </c>
      <c r="E1003" s="17" t="s">
        <v>8</v>
      </c>
      <c r="F1003" s="17">
        <v>1364</v>
      </c>
      <c r="G1003" s="17">
        <v>366</v>
      </c>
      <c r="H1003" s="17">
        <v>154</v>
      </c>
      <c r="I1003" s="17">
        <v>1576</v>
      </c>
      <c r="J1003" s="17">
        <v>0</v>
      </c>
      <c r="K1003" s="17">
        <v>0</v>
      </c>
      <c r="L1003" s="17">
        <v>1576</v>
      </c>
      <c r="M1003" s="17">
        <v>0</v>
      </c>
      <c r="N1003" s="17">
        <v>0</v>
      </c>
      <c r="O1003" s="17">
        <v>1576</v>
      </c>
      <c r="P1003" s="17">
        <v>800</v>
      </c>
      <c r="Q1003" s="17">
        <v>776</v>
      </c>
      <c r="R1003" s="17">
        <v>200</v>
      </c>
      <c r="S1003" s="17"/>
      <c r="T1003" s="17" t="s">
        <v>2965</v>
      </c>
      <c r="U1003" s="17" t="s">
        <v>3055</v>
      </c>
      <c r="V1003" s="17" t="s">
        <v>3056</v>
      </c>
      <c r="W1003" s="17"/>
      <c r="X1003" s="17"/>
    </row>
    <row r="1004" spans="1:24" hidden="1">
      <c r="A1004" s="18">
        <v>1003</v>
      </c>
      <c r="B1004" s="17" t="s">
        <v>2247</v>
      </c>
      <c r="C1004" s="17" t="s">
        <v>2248</v>
      </c>
      <c r="D1004" s="17" t="s">
        <v>7</v>
      </c>
      <c r="E1004" s="17" t="s">
        <v>8</v>
      </c>
      <c r="F1004" s="17">
        <v>268</v>
      </c>
      <c r="G1004" s="17">
        <v>341</v>
      </c>
      <c r="H1004" s="17">
        <v>134</v>
      </c>
      <c r="I1004" s="17">
        <v>475</v>
      </c>
      <c r="J1004" s="17">
        <v>0</v>
      </c>
      <c r="K1004" s="17">
        <v>0</v>
      </c>
      <c r="L1004" s="17">
        <v>475</v>
      </c>
      <c r="M1004" s="17">
        <v>0</v>
      </c>
      <c r="N1004" s="17">
        <v>0</v>
      </c>
      <c r="O1004" s="17">
        <v>475</v>
      </c>
      <c r="P1004" s="17">
        <v>400</v>
      </c>
      <c r="Q1004" s="17">
        <v>75</v>
      </c>
      <c r="R1004" s="17">
        <v>300</v>
      </c>
      <c r="S1004" s="17"/>
      <c r="T1004" s="17" t="s">
        <v>2965</v>
      </c>
      <c r="U1004" s="17" t="s">
        <v>3055</v>
      </c>
      <c r="V1004" s="17" t="s">
        <v>3056</v>
      </c>
      <c r="W1004" s="17"/>
      <c r="X1004" s="17"/>
    </row>
    <row r="1005" spans="1:24" s="40" customFormat="1" hidden="1">
      <c r="A1005" s="26">
        <v>1004</v>
      </c>
      <c r="B1005" s="25" t="s">
        <v>2249</v>
      </c>
      <c r="C1005" s="25" t="s">
        <v>2250</v>
      </c>
      <c r="D1005" s="25" t="s">
        <v>7</v>
      </c>
      <c r="E1005" s="25" t="s">
        <v>8</v>
      </c>
      <c r="F1005" s="25">
        <v>1089</v>
      </c>
      <c r="G1005" s="25">
        <v>0</v>
      </c>
      <c r="H1005" s="25">
        <v>307</v>
      </c>
      <c r="I1005" s="17">
        <v>782</v>
      </c>
      <c r="J1005" s="17">
        <v>0</v>
      </c>
      <c r="K1005" s="17">
        <v>0</v>
      </c>
      <c r="L1005" s="17">
        <v>782</v>
      </c>
      <c r="M1005" s="17">
        <v>0</v>
      </c>
      <c r="N1005" s="17">
        <v>0</v>
      </c>
      <c r="O1005" s="25">
        <v>782</v>
      </c>
      <c r="P1005" s="25">
        <v>800</v>
      </c>
      <c r="Q1005" s="25">
        <v>-18</v>
      </c>
      <c r="R1005" s="25">
        <v>500</v>
      </c>
      <c r="S1005" s="25"/>
      <c r="T1005" s="25" t="s">
        <v>2965</v>
      </c>
      <c r="U1005" s="25" t="s">
        <v>3055</v>
      </c>
      <c r="V1005" s="25" t="s">
        <v>3056</v>
      </c>
      <c r="W1005" s="25"/>
      <c r="X1005" s="25"/>
    </row>
    <row r="1006" spans="1:24" hidden="1">
      <c r="A1006" s="18">
        <v>1005</v>
      </c>
      <c r="B1006" s="17" t="s">
        <v>2135</v>
      </c>
      <c r="C1006" s="17" t="s">
        <v>2136</v>
      </c>
      <c r="D1006" s="17" t="s">
        <v>2130</v>
      </c>
      <c r="E1006" s="17" t="s">
        <v>8</v>
      </c>
      <c r="F1006" s="17">
        <v>0</v>
      </c>
      <c r="G1006" s="17">
        <v>0</v>
      </c>
      <c r="H1006" s="17">
        <v>0</v>
      </c>
      <c r="I1006" s="17">
        <v>0</v>
      </c>
      <c r="J1006" s="17">
        <v>0</v>
      </c>
      <c r="K1006" s="17">
        <v>0</v>
      </c>
      <c r="L1006" s="17">
        <v>0</v>
      </c>
      <c r="M1006" s="17">
        <v>0</v>
      </c>
      <c r="N1006" s="17">
        <v>0</v>
      </c>
      <c r="O1006" s="17">
        <v>0</v>
      </c>
      <c r="P1006" s="17">
        <v>0</v>
      </c>
      <c r="Q1006" s="17">
        <v>0</v>
      </c>
      <c r="R1006" s="17">
        <v>0</v>
      </c>
      <c r="S1006" s="17"/>
      <c r="T1006" s="17" t="s">
        <v>2998</v>
      </c>
      <c r="U1006" s="17" t="s">
        <v>3057</v>
      </c>
      <c r="V1006" s="17" t="s">
        <v>3056</v>
      </c>
      <c r="W1006" s="17"/>
      <c r="X1006" s="17"/>
    </row>
    <row r="1007" spans="1:24" hidden="1">
      <c r="A1007" s="18">
        <v>1006</v>
      </c>
      <c r="B1007" s="17" t="s">
        <v>2137</v>
      </c>
      <c r="C1007" s="17" t="s">
        <v>2138</v>
      </c>
      <c r="D1007" s="17" t="s">
        <v>2130</v>
      </c>
      <c r="E1007" s="17" t="s">
        <v>8</v>
      </c>
      <c r="F1007" s="17">
        <v>0</v>
      </c>
      <c r="G1007" s="17">
        <v>0</v>
      </c>
      <c r="H1007" s="17">
        <v>0</v>
      </c>
      <c r="I1007" s="17">
        <v>0</v>
      </c>
      <c r="J1007" s="17">
        <v>0</v>
      </c>
      <c r="K1007" s="17">
        <v>0</v>
      </c>
      <c r="L1007" s="17">
        <v>0</v>
      </c>
      <c r="M1007" s="17">
        <v>0</v>
      </c>
      <c r="N1007" s="17">
        <v>0</v>
      </c>
      <c r="O1007" s="17">
        <v>0</v>
      </c>
      <c r="P1007" s="17">
        <v>0</v>
      </c>
      <c r="Q1007" s="17">
        <v>0</v>
      </c>
      <c r="R1007" s="17">
        <v>0</v>
      </c>
      <c r="S1007" s="17"/>
      <c r="T1007" s="17" t="s">
        <v>2998</v>
      </c>
      <c r="U1007" s="17" t="s">
        <v>3057</v>
      </c>
      <c r="V1007" s="17" t="s">
        <v>3056</v>
      </c>
      <c r="W1007" s="17"/>
      <c r="X1007" s="17"/>
    </row>
    <row r="1008" spans="1:24" hidden="1">
      <c r="A1008" s="18">
        <v>1007</v>
      </c>
      <c r="B1008" s="17" t="s">
        <v>2257</v>
      </c>
      <c r="C1008" s="17" t="s">
        <v>2258</v>
      </c>
      <c r="D1008" s="17" t="s">
        <v>17</v>
      </c>
      <c r="E1008" s="17" t="s">
        <v>8</v>
      </c>
      <c r="F1008" s="17">
        <v>0</v>
      </c>
      <c r="G1008" s="17">
        <v>0</v>
      </c>
      <c r="H1008" s="17">
        <v>0</v>
      </c>
      <c r="I1008" s="17">
        <v>0</v>
      </c>
      <c r="J1008" s="17">
        <v>0</v>
      </c>
      <c r="K1008" s="17">
        <v>0</v>
      </c>
      <c r="L1008" s="17">
        <v>0</v>
      </c>
      <c r="M1008" s="17">
        <v>0</v>
      </c>
      <c r="N1008" s="17">
        <v>0</v>
      </c>
      <c r="O1008" s="17">
        <v>0</v>
      </c>
      <c r="P1008" s="17">
        <v>0</v>
      </c>
      <c r="Q1008" s="17">
        <v>0</v>
      </c>
      <c r="R1008" s="17">
        <v>0</v>
      </c>
      <c r="S1008" s="17"/>
      <c r="T1008" s="17" t="s">
        <v>3000</v>
      </c>
      <c r="U1008" s="17" t="s">
        <v>3059</v>
      </c>
      <c r="V1008" s="17" t="s">
        <v>3056</v>
      </c>
      <c r="W1008" s="17"/>
      <c r="X1008" s="17"/>
    </row>
    <row r="1009" spans="1:24" hidden="1">
      <c r="A1009" s="18">
        <v>1008</v>
      </c>
      <c r="B1009" s="17" t="s">
        <v>2259</v>
      </c>
      <c r="C1009" s="17" t="s">
        <v>2260</v>
      </c>
      <c r="D1009" s="17" t="s">
        <v>17</v>
      </c>
      <c r="E1009" s="17" t="s">
        <v>8</v>
      </c>
      <c r="F1009" s="17">
        <v>0</v>
      </c>
      <c r="G1009" s="17">
        <v>0</v>
      </c>
      <c r="H1009" s="17">
        <v>0</v>
      </c>
      <c r="I1009" s="17">
        <v>0</v>
      </c>
      <c r="J1009" s="17">
        <v>0</v>
      </c>
      <c r="K1009" s="17">
        <v>0</v>
      </c>
      <c r="L1009" s="17">
        <v>0</v>
      </c>
      <c r="M1009" s="17">
        <v>0</v>
      </c>
      <c r="N1009" s="17">
        <v>0</v>
      </c>
      <c r="O1009" s="17">
        <v>0</v>
      </c>
      <c r="P1009" s="17">
        <v>0</v>
      </c>
      <c r="Q1009" s="17">
        <v>0</v>
      </c>
      <c r="R1009" s="17">
        <v>0</v>
      </c>
      <c r="S1009" s="17"/>
      <c r="T1009" s="17" t="s">
        <v>2982</v>
      </c>
      <c r="U1009" s="17" t="s">
        <v>3060</v>
      </c>
      <c r="V1009" s="17" t="s">
        <v>3064</v>
      </c>
      <c r="W1009" s="17"/>
      <c r="X1009" s="17"/>
    </row>
    <row r="1010" spans="1:24" hidden="1">
      <c r="A1010" s="18">
        <v>1009</v>
      </c>
      <c r="B1010" s="17" t="s">
        <v>2261</v>
      </c>
      <c r="C1010" s="17" t="s">
        <v>2262</v>
      </c>
      <c r="D1010" s="17" t="s">
        <v>17</v>
      </c>
      <c r="E1010" s="17" t="s">
        <v>8</v>
      </c>
      <c r="F1010" s="17">
        <v>0</v>
      </c>
      <c r="G1010" s="17">
        <v>0</v>
      </c>
      <c r="H1010" s="17">
        <v>0</v>
      </c>
      <c r="I1010" s="17">
        <v>0</v>
      </c>
      <c r="J1010" s="17">
        <v>0</v>
      </c>
      <c r="K1010" s="17">
        <v>0</v>
      </c>
      <c r="L1010" s="17">
        <v>0</v>
      </c>
      <c r="M1010" s="17">
        <v>0</v>
      </c>
      <c r="N1010" s="17">
        <v>0</v>
      </c>
      <c r="O1010" s="17">
        <v>0</v>
      </c>
      <c r="P1010" s="17">
        <v>0</v>
      </c>
      <c r="Q1010" s="17">
        <v>0</v>
      </c>
      <c r="R1010" s="17">
        <v>0</v>
      </c>
      <c r="S1010" s="17"/>
      <c r="T1010" s="17" t="s">
        <v>2982</v>
      </c>
      <c r="U1010" s="17" t="s">
        <v>3060</v>
      </c>
      <c r="V1010" s="17" t="s">
        <v>3058</v>
      </c>
      <c r="W1010" s="17"/>
      <c r="X1010" s="17"/>
    </row>
    <row r="1011" spans="1:24" hidden="1">
      <c r="A1011" s="18">
        <v>1010</v>
      </c>
      <c r="B1011" s="17" t="s">
        <v>2263</v>
      </c>
      <c r="C1011" s="17" t="s">
        <v>2264</v>
      </c>
      <c r="D1011" s="17" t="s">
        <v>17</v>
      </c>
      <c r="E1011" s="17" t="s">
        <v>8</v>
      </c>
      <c r="F1011" s="17">
        <v>0</v>
      </c>
      <c r="G1011" s="17">
        <v>0</v>
      </c>
      <c r="H1011" s="17">
        <v>0</v>
      </c>
      <c r="I1011" s="17">
        <v>0</v>
      </c>
      <c r="J1011" s="17">
        <v>0</v>
      </c>
      <c r="K1011" s="17">
        <v>0</v>
      </c>
      <c r="L1011" s="17">
        <v>0</v>
      </c>
      <c r="M1011" s="17">
        <v>0</v>
      </c>
      <c r="N1011" s="17">
        <v>0</v>
      </c>
      <c r="O1011" s="17">
        <v>0</v>
      </c>
      <c r="P1011" s="17">
        <v>0</v>
      </c>
      <c r="Q1011" s="17">
        <v>0</v>
      </c>
      <c r="R1011" s="17">
        <v>0</v>
      </c>
      <c r="S1011" s="17"/>
      <c r="T1011" s="17" t="s">
        <v>2982</v>
      </c>
      <c r="U1011" s="17" t="s">
        <v>3060</v>
      </c>
      <c r="V1011" s="17" t="s">
        <v>3058</v>
      </c>
      <c r="W1011" s="17"/>
      <c r="X1011" s="17"/>
    </row>
    <row r="1012" spans="1:24" hidden="1">
      <c r="A1012" s="18">
        <v>1011</v>
      </c>
      <c r="B1012" s="17" t="s">
        <v>2265</v>
      </c>
      <c r="C1012" s="17" t="s">
        <v>2266</v>
      </c>
      <c r="D1012" s="17" t="s">
        <v>17</v>
      </c>
      <c r="E1012" s="17" t="s">
        <v>8</v>
      </c>
      <c r="F1012" s="17">
        <v>0</v>
      </c>
      <c r="G1012" s="17">
        <v>0</v>
      </c>
      <c r="H1012" s="17">
        <v>0</v>
      </c>
      <c r="I1012" s="17">
        <v>0</v>
      </c>
      <c r="J1012" s="17">
        <v>0</v>
      </c>
      <c r="K1012" s="17">
        <v>0</v>
      </c>
      <c r="L1012" s="17">
        <v>0</v>
      </c>
      <c r="M1012" s="17">
        <v>0</v>
      </c>
      <c r="N1012" s="17">
        <v>0</v>
      </c>
      <c r="O1012" s="17">
        <v>0</v>
      </c>
      <c r="P1012" s="17">
        <v>0</v>
      </c>
      <c r="Q1012" s="17">
        <v>0</v>
      </c>
      <c r="R1012" s="17">
        <v>0</v>
      </c>
      <c r="S1012" s="17"/>
      <c r="T1012" s="17" t="s">
        <v>2982</v>
      </c>
      <c r="U1012" s="17" t="s">
        <v>3060</v>
      </c>
      <c r="V1012" s="17" t="s">
        <v>3058</v>
      </c>
      <c r="W1012" s="17"/>
      <c r="X1012" s="17"/>
    </row>
    <row r="1013" spans="1:24" hidden="1">
      <c r="A1013" s="18">
        <v>1012</v>
      </c>
      <c r="B1013" s="17" t="s">
        <v>2267</v>
      </c>
      <c r="C1013" s="17" t="s">
        <v>2268</v>
      </c>
      <c r="D1013" s="17" t="s">
        <v>17</v>
      </c>
      <c r="E1013" s="17" t="s">
        <v>8</v>
      </c>
      <c r="F1013" s="17">
        <v>0</v>
      </c>
      <c r="G1013" s="17">
        <v>0</v>
      </c>
      <c r="H1013" s="17">
        <v>0</v>
      </c>
      <c r="I1013" s="17">
        <v>0</v>
      </c>
      <c r="J1013" s="17">
        <v>0</v>
      </c>
      <c r="K1013" s="17">
        <v>0</v>
      </c>
      <c r="L1013" s="17">
        <v>0</v>
      </c>
      <c r="M1013" s="17">
        <v>0</v>
      </c>
      <c r="N1013" s="17">
        <v>0</v>
      </c>
      <c r="O1013" s="17">
        <v>0</v>
      </c>
      <c r="P1013" s="17">
        <v>0</v>
      </c>
      <c r="Q1013" s="17">
        <v>0</v>
      </c>
      <c r="R1013" s="17">
        <v>0</v>
      </c>
      <c r="S1013" s="17"/>
      <c r="T1013" s="17" t="s">
        <v>2982</v>
      </c>
      <c r="U1013" s="17" t="s">
        <v>3060</v>
      </c>
      <c r="V1013" s="17" t="s">
        <v>3058</v>
      </c>
      <c r="W1013" s="17"/>
      <c r="X1013" s="17"/>
    </row>
    <row r="1014" spans="1:24" hidden="1">
      <c r="A1014" s="18">
        <v>1013</v>
      </c>
      <c r="B1014" s="17" t="s">
        <v>2155</v>
      </c>
      <c r="C1014" s="17" t="s">
        <v>2156</v>
      </c>
      <c r="D1014" s="17" t="s">
        <v>17</v>
      </c>
      <c r="E1014" s="17" t="s">
        <v>8</v>
      </c>
      <c r="F1014" s="17">
        <v>0</v>
      </c>
      <c r="G1014" s="17">
        <v>0</v>
      </c>
      <c r="H1014" s="17">
        <v>0</v>
      </c>
      <c r="I1014" s="17">
        <v>0</v>
      </c>
      <c r="J1014" s="17">
        <v>0</v>
      </c>
      <c r="K1014" s="17">
        <v>0</v>
      </c>
      <c r="L1014" s="17">
        <v>0</v>
      </c>
      <c r="M1014" s="17">
        <v>0</v>
      </c>
      <c r="N1014" s="17">
        <v>0</v>
      </c>
      <c r="O1014" s="17">
        <v>0</v>
      </c>
      <c r="P1014" s="17">
        <v>0</v>
      </c>
      <c r="Q1014" s="17">
        <v>0</v>
      </c>
      <c r="R1014" s="17">
        <v>0</v>
      </c>
      <c r="S1014" s="17"/>
      <c r="T1014" s="17" t="s">
        <v>2991</v>
      </c>
      <c r="U1014" s="17" t="s">
        <v>3057</v>
      </c>
      <c r="V1014" s="17" t="s">
        <v>3056</v>
      </c>
      <c r="W1014" s="17"/>
      <c r="X1014" s="17"/>
    </row>
    <row r="1015" spans="1:24" hidden="1">
      <c r="A1015" s="18">
        <v>1014</v>
      </c>
      <c r="B1015" s="17" t="s">
        <v>2157</v>
      </c>
      <c r="C1015" s="17" t="s">
        <v>2158</v>
      </c>
      <c r="D1015" s="17" t="s">
        <v>17</v>
      </c>
      <c r="E1015" s="17" t="s">
        <v>8</v>
      </c>
      <c r="F1015" s="17">
        <v>0</v>
      </c>
      <c r="G1015" s="17">
        <v>0</v>
      </c>
      <c r="H1015" s="17">
        <v>0</v>
      </c>
      <c r="I1015" s="17">
        <v>0</v>
      </c>
      <c r="J1015" s="17">
        <v>0</v>
      </c>
      <c r="K1015" s="17">
        <v>0</v>
      </c>
      <c r="L1015" s="17">
        <v>0</v>
      </c>
      <c r="M1015" s="17">
        <v>0</v>
      </c>
      <c r="N1015" s="17">
        <v>0</v>
      </c>
      <c r="O1015" s="17">
        <v>0</v>
      </c>
      <c r="P1015" s="17">
        <v>0</v>
      </c>
      <c r="Q1015" s="17">
        <v>0</v>
      </c>
      <c r="R1015" s="17">
        <v>0</v>
      </c>
      <c r="S1015" s="17"/>
      <c r="T1015" s="17" t="s">
        <v>2991</v>
      </c>
      <c r="U1015" s="17" t="s">
        <v>3057</v>
      </c>
      <c r="V1015" s="17" t="s">
        <v>3056</v>
      </c>
      <c r="W1015" s="17"/>
      <c r="X1015" s="17"/>
    </row>
    <row r="1016" spans="1:24" hidden="1">
      <c r="A1016" s="18">
        <v>1015</v>
      </c>
      <c r="B1016" s="17" t="s">
        <v>2159</v>
      </c>
      <c r="C1016" s="17" t="s">
        <v>2160</v>
      </c>
      <c r="D1016" s="17" t="s">
        <v>17</v>
      </c>
      <c r="E1016" s="17" t="s">
        <v>8</v>
      </c>
      <c r="F1016" s="17">
        <v>0</v>
      </c>
      <c r="G1016" s="17">
        <v>0</v>
      </c>
      <c r="H1016" s="17">
        <v>0</v>
      </c>
      <c r="I1016" s="17">
        <v>0</v>
      </c>
      <c r="J1016" s="17">
        <v>0</v>
      </c>
      <c r="K1016" s="17">
        <v>0</v>
      </c>
      <c r="L1016" s="17">
        <v>0</v>
      </c>
      <c r="M1016" s="17">
        <v>0</v>
      </c>
      <c r="N1016" s="17">
        <v>0</v>
      </c>
      <c r="O1016" s="17">
        <v>0</v>
      </c>
      <c r="P1016" s="17">
        <v>0</v>
      </c>
      <c r="Q1016" s="17">
        <v>0</v>
      </c>
      <c r="R1016" s="17">
        <v>0</v>
      </c>
      <c r="S1016" s="17"/>
      <c r="T1016" s="17" t="s">
        <v>2991</v>
      </c>
      <c r="U1016" s="17" t="s">
        <v>3057</v>
      </c>
      <c r="V1016" s="17" t="s">
        <v>3056</v>
      </c>
      <c r="W1016" s="17"/>
      <c r="X1016" s="17"/>
    </row>
    <row r="1017" spans="1:24" hidden="1">
      <c r="A1017" s="18">
        <v>1016</v>
      </c>
      <c r="B1017" s="17" t="s">
        <v>2161</v>
      </c>
      <c r="C1017" s="17" t="s">
        <v>2162</v>
      </c>
      <c r="D1017" s="17" t="s">
        <v>17</v>
      </c>
      <c r="E1017" s="17" t="s">
        <v>8</v>
      </c>
      <c r="F1017" s="17">
        <v>0</v>
      </c>
      <c r="G1017" s="17">
        <v>0</v>
      </c>
      <c r="H1017" s="17">
        <v>0</v>
      </c>
      <c r="I1017" s="17">
        <v>0</v>
      </c>
      <c r="J1017" s="17">
        <v>0</v>
      </c>
      <c r="K1017" s="17">
        <v>0</v>
      </c>
      <c r="L1017" s="17">
        <v>0</v>
      </c>
      <c r="M1017" s="17">
        <v>0</v>
      </c>
      <c r="N1017" s="17">
        <v>0</v>
      </c>
      <c r="O1017" s="17">
        <v>0</v>
      </c>
      <c r="P1017" s="17">
        <v>0</v>
      </c>
      <c r="Q1017" s="17">
        <v>0</v>
      </c>
      <c r="R1017" s="17">
        <v>0</v>
      </c>
      <c r="S1017" s="17"/>
      <c r="T1017" s="17" t="s">
        <v>2991</v>
      </c>
      <c r="U1017" s="17" t="s">
        <v>3057</v>
      </c>
      <c r="V1017" s="17" t="s">
        <v>3056</v>
      </c>
      <c r="W1017" s="17"/>
      <c r="X1017" s="17"/>
    </row>
    <row r="1018" spans="1:24" hidden="1">
      <c r="A1018" s="18">
        <v>1017</v>
      </c>
      <c r="B1018" s="17" t="s">
        <v>2163</v>
      </c>
      <c r="C1018" s="17" t="s">
        <v>2164</v>
      </c>
      <c r="D1018" s="17" t="s">
        <v>17</v>
      </c>
      <c r="E1018" s="17" t="s">
        <v>8</v>
      </c>
      <c r="F1018" s="17">
        <v>0</v>
      </c>
      <c r="G1018" s="17">
        <v>0</v>
      </c>
      <c r="H1018" s="17">
        <v>0</v>
      </c>
      <c r="I1018" s="17">
        <v>0</v>
      </c>
      <c r="J1018" s="17">
        <v>0</v>
      </c>
      <c r="K1018" s="17">
        <v>0</v>
      </c>
      <c r="L1018" s="17">
        <v>0</v>
      </c>
      <c r="M1018" s="17">
        <v>0</v>
      </c>
      <c r="N1018" s="17">
        <v>0</v>
      </c>
      <c r="O1018" s="17">
        <v>0</v>
      </c>
      <c r="P1018" s="17">
        <v>0</v>
      </c>
      <c r="Q1018" s="17">
        <v>0</v>
      </c>
      <c r="R1018" s="17">
        <v>0</v>
      </c>
      <c r="S1018" s="17"/>
      <c r="T1018" s="17" t="s">
        <v>2991</v>
      </c>
      <c r="U1018" s="17" t="s">
        <v>3057</v>
      </c>
      <c r="V1018" s="17" t="s">
        <v>3056</v>
      </c>
      <c r="W1018" s="17"/>
      <c r="X1018" s="17"/>
    </row>
    <row r="1019" spans="1:24" hidden="1">
      <c r="A1019" s="18">
        <v>1018</v>
      </c>
      <c r="B1019" s="17" t="s">
        <v>2165</v>
      </c>
      <c r="C1019" s="17" t="s">
        <v>2166</v>
      </c>
      <c r="D1019" s="17" t="s">
        <v>17</v>
      </c>
      <c r="E1019" s="17" t="s">
        <v>8</v>
      </c>
      <c r="F1019" s="17">
        <v>0</v>
      </c>
      <c r="G1019" s="17">
        <v>0</v>
      </c>
      <c r="H1019" s="17">
        <v>0</v>
      </c>
      <c r="I1019" s="17">
        <v>0</v>
      </c>
      <c r="J1019" s="17">
        <v>0</v>
      </c>
      <c r="K1019" s="17">
        <v>0</v>
      </c>
      <c r="L1019" s="17">
        <v>0</v>
      </c>
      <c r="M1019" s="17">
        <v>0</v>
      </c>
      <c r="N1019" s="17">
        <v>0</v>
      </c>
      <c r="O1019" s="17">
        <v>0</v>
      </c>
      <c r="P1019" s="17">
        <v>0</v>
      </c>
      <c r="Q1019" s="17">
        <v>0</v>
      </c>
      <c r="R1019" s="17">
        <v>0</v>
      </c>
      <c r="S1019" s="17"/>
      <c r="T1019" s="17" t="s">
        <v>2991</v>
      </c>
      <c r="U1019" s="17" t="s">
        <v>3057</v>
      </c>
      <c r="V1019" s="17" t="s">
        <v>3058</v>
      </c>
      <c r="W1019" s="17"/>
      <c r="X1019" s="17"/>
    </row>
    <row r="1020" spans="1:24" hidden="1">
      <c r="A1020" s="18">
        <v>1019</v>
      </c>
      <c r="B1020" s="17" t="s">
        <v>2169</v>
      </c>
      <c r="C1020" s="17" t="s">
        <v>2170</v>
      </c>
      <c r="D1020" s="17" t="s">
        <v>20</v>
      </c>
      <c r="E1020" s="17" t="s">
        <v>8</v>
      </c>
      <c r="F1020" s="17">
        <v>0</v>
      </c>
      <c r="G1020" s="17">
        <v>0</v>
      </c>
      <c r="H1020" s="17">
        <v>0</v>
      </c>
      <c r="I1020" s="17">
        <v>0</v>
      </c>
      <c r="J1020" s="17">
        <v>0</v>
      </c>
      <c r="K1020" s="17">
        <v>0</v>
      </c>
      <c r="L1020" s="17">
        <v>0</v>
      </c>
      <c r="M1020" s="17">
        <v>0</v>
      </c>
      <c r="N1020" s="17">
        <v>0</v>
      </c>
      <c r="O1020" s="17">
        <v>0</v>
      </c>
      <c r="P1020" s="17">
        <v>0</v>
      </c>
      <c r="Q1020" s="17">
        <v>0</v>
      </c>
      <c r="R1020" s="17">
        <v>300</v>
      </c>
      <c r="S1020" s="17"/>
      <c r="T1020" s="17" t="s">
        <v>2991</v>
      </c>
      <c r="U1020" s="17" t="s">
        <v>3057</v>
      </c>
      <c r="V1020" s="17" t="s">
        <v>3056</v>
      </c>
      <c r="W1020" s="17"/>
      <c r="X1020" s="17"/>
    </row>
    <row r="1021" spans="1:24" hidden="1">
      <c r="A1021" s="18">
        <v>1020</v>
      </c>
      <c r="B1021" s="17" t="s">
        <v>2171</v>
      </c>
      <c r="C1021" s="17" t="s">
        <v>2172</v>
      </c>
      <c r="D1021" s="17" t="s">
        <v>17</v>
      </c>
      <c r="E1021" s="17" t="s">
        <v>8</v>
      </c>
      <c r="F1021" s="17">
        <v>8352</v>
      </c>
      <c r="G1021" s="17">
        <v>0</v>
      </c>
      <c r="H1021" s="17">
        <v>2136</v>
      </c>
      <c r="I1021" s="17">
        <v>6216</v>
      </c>
      <c r="J1021" s="17">
        <v>0</v>
      </c>
      <c r="K1021" s="17">
        <v>0</v>
      </c>
      <c r="L1021" s="17">
        <v>6216</v>
      </c>
      <c r="M1021" s="17">
        <v>0</v>
      </c>
      <c r="N1021" s="17">
        <v>0</v>
      </c>
      <c r="O1021" s="17">
        <v>6216</v>
      </c>
      <c r="P1021" s="17">
        <v>4000</v>
      </c>
      <c r="Q1021" s="17">
        <v>2216</v>
      </c>
      <c r="R1021" s="17">
        <v>0</v>
      </c>
      <c r="S1021" s="17"/>
      <c r="T1021" s="17" t="s">
        <v>2972</v>
      </c>
      <c r="U1021" s="17" t="s">
        <v>3057</v>
      </c>
      <c r="V1021" s="17" t="s">
        <v>3056</v>
      </c>
      <c r="W1021" s="17"/>
      <c r="X1021" s="17"/>
    </row>
    <row r="1022" spans="1:24" hidden="1">
      <c r="A1022" s="18">
        <v>1021</v>
      </c>
      <c r="B1022" s="17" t="s">
        <v>2287</v>
      </c>
      <c r="C1022" s="17" t="s">
        <v>2288</v>
      </c>
      <c r="D1022" s="17" t="s">
        <v>135</v>
      </c>
      <c r="E1022" s="17" t="s">
        <v>8</v>
      </c>
      <c r="F1022" s="17">
        <v>0</v>
      </c>
      <c r="G1022" s="17">
        <v>0</v>
      </c>
      <c r="H1022" s="17">
        <v>0</v>
      </c>
      <c r="I1022" s="17">
        <v>0</v>
      </c>
      <c r="J1022" s="17">
        <v>0</v>
      </c>
      <c r="K1022" s="17">
        <v>0</v>
      </c>
      <c r="L1022" s="17">
        <v>0</v>
      </c>
      <c r="M1022" s="17">
        <v>0</v>
      </c>
      <c r="N1022" s="17">
        <v>0</v>
      </c>
      <c r="O1022" s="17">
        <v>0</v>
      </c>
      <c r="P1022" s="17">
        <v>0</v>
      </c>
      <c r="Q1022" s="17">
        <v>0</v>
      </c>
      <c r="R1022" s="17">
        <v>0</v>
      </c>
      <c r="S1022" s="17"/>
      <c r="T1022" s="17" t="s">
        <v>2982</v>
      </c>
      <c r="U1022" s="17" t="s">
        <v>3060</v>
      </c>
      <c r="V1022" s="17" t="s">
        <v>3058</v>
      </c>
      <c r="W1022" s="17"/>
      <c r="X1022" s="17"/>
    </row>
    <row r="1023" spans="1:24" hidden="1">
      <c r="A1023" s="18">
        <v>1022</v>
      </c>
      <c r="B1023" s="17" t="s">
        <v>2253</v>
      </c>
      <c r="C1023" s="17" t="s">
        <v>2254</v>
      </c>
      <c r="D1023" s="17" t="s">
        <v>17</v>
      </c>
      <c r="E1023" s="17" t="s">
        <v>8</v>
      </c>
      <c r="F1023" s="17">
        <v>0</v>
      </c>
      <c r="G1023" s="17">
        <v>0</v>
      </c>
      <c r="H1023" s="17">
        <v>0</v>
      </c>
      <c r="I1023" s="17">
        <v>0</v>
      </c>
      <c r="J1023" s="17">
        <v>0</v>
      </c>
      <c r="K1023" s="17">
        <v>0</v>
      </c>
      <c r="L1023" s="17">
        <v>0</v>
      </c>
      <c r="M1023" s="17">
        <v>0</v>
      </c>
      <c r="N1023" s="17">
        <v>0</v>
      </c>
      <c r="O1023" s="17">
        <v>0</v>
      </c>
      <c r="P1023" s="17">
        <v>0</v>
      </c>
      <c r="Q1023" s="17">
        <v>0</v>
      </c>
      <c r="R1023" s="17">
        <v>0</v>
      </c>
      <c r="S1023" s="17"/>
      <c r="T1023" s="17" t="s">
        <v>2998</v>
      </c>
      <c r="U1023" s="17" t="s">
        <v>3057</v>
      </c>
      <c r="V1023" s="17" t="s">
        <v>3056</v>
      </c>
      <c r="W1023" s="17"/>
      <c r="X1023" s="17"/>
    </row>
    <row r="1024" spans="1:24" hidden="1">
      <c r="A1024" s="18">
        <v>1023</v>
      </c>
      <c r="B1024" s="17" t="s">
        <v>2457</v>
      </c>
      <c r="C1024" s="17" t="s">
        <v>3169</v>
      </c>
      <c r="D1024" s="17" t="s">
        <v>17</v>
      </c>
      <c r="E1024" s="17" t="s">
        <v>8</v>
      </c>
      <c r="F1024" s="17">
        <v>0</v>
      </c>
      <c r="G1024" s="17">
        <v>0</v>
      </c>
      <c r="H1024" s="17">
        <v>0</v>
      </c>
      <c r="I1024" s="17">
        <v>0</v>
      </c>
      <c r="J1024" s="17">
        <v>0</v>
      </c>
      <c r="K1024" s="17">
        <v>0</v>
      </c>
      <c r="L1024" s="17">
        <v>0</v>
      </c>
      <c r="M1024" s="17">
        <v>0</v>
      </c>
      <c r="N1024" s="17">
        <v>0</v>
      </c>
      <c r="O1024" s="17">
        <v>0</v>
      </c>
      <c r="P1024" s="17">
        <v>0</v>
      </c>
      <c r="Q1024" s="17">
        <v>0</v>
      </c>
      <c r="R1024" s="17">
        <v>0</v>
      </c>
      <c r="S1024" s="17"/>
      <c r="T1024" s="17" t="s">
        <v>2972</v>
      </c>
      <c r="U1024" s="17" t="s">
        <v>3055</v>
      </c>
      <c r="V1024" s="17" t="s">
        <v>3056</v>
      </c>
      <c r="W1024" s="17"/>
      <c r="X1024" s="17"/>
    </row>
    <row r="1025" spans="1:24" hidden="1">
      <c r="A1025" s="18">
        <v>1024</v>
      </c>
      <c r="B1025" s="17" t="s">
        <v>2291</v>
      </c>
      <c r="C1025" s="17" t="s">
        <v>2292</v>
      </c>
      <c r="D1025" s="17" t="s">
        <v>17</v>
      </c>
      <c r="E1025" s="17" t="s">
        <v>8</v>
      </c>
      <c r="F1025" s="17">
        <v>377</v>
      </c>
      <c r="G1025" s="17">
        <v>0</v>
      </c>
      <c r="H1025" s="17">
        <v>0</v>
      </c>
      <c r="I1025" s="17">
        <v>377</v>
      </c>
      <c r="J1025" s="17">
        <v>0</v>
      </c>
      <c r="K1025" s="17">
        <v>0</v>
      </c>
      <c r="L1025" s="17">
        <v>377</v>
      </c>
      <c r="M1025" s="17">
        <v>0</v>
      </c>
      <c r="N1025" s="17">
        <v>0</v>
      </c>
      <c r="O1025" s="17">
        <v>377</v>
      </c>
      <c r="P1025" s="17">
        <v>0</v>
      </c>
      <c r="Q1025" s="17">
        <v>377</v>
      </c>
      <c r="R1025" s="17">
        <v>0</v>
      </c>
      <c r="S1025" s="17"/>
      <c r="T1025" s="17" t="s">
        <v>2972</v>
      </c>
      <c r="U1025" s="17" t="s">
        <v>3055</v>
      </c>
      <c r="V1025" s="17" t="s">
        <v>3056</v>
      </c>
      <c r="W1025" s="17"/>
      <c r="X1025" s="17"/>
    </row>
    <row r="1026" spans="1:24" hidden="1">
      <c r="A1026" s="18">
        <v>1025</v>
      </c>
      <c r="B1026" s="17" t="s">
        <v>2293</v>
      </c>
      <c r="C1026" s="17" t="s">
        <v>2294</v>
      </c>
      <c r="D1026" s="17" t="s">
        <v>17</v>
      </c>
      <c r="E1026" s="17" t="s">
        <v>8</v>
      </c>
      <c r="F1026" s="17">
        <v>0</v>
      </c>
      <c r="G1026" s="17">
        <v>0</v>
      </c>
      <c r="H1026" s="17">
        <v>0</v>
      </c>
      <c r="I1026" s="17">
        <v>0</v>
      </c>
      <c r="J1026" s="17">
        <v>0</v>
      </c>
      <c r="K1026" s="17">
        <v>0</v>
      </c>
      <c r="L1026" s="17">
        <v>0</v>
      </c>
      <c r="M1026" s="17">
        <v>0</v>
      </c>
      <c r="N1026" s="17">
        <v>0</v>
      </c>
      <c r="O1026" s="17">
        <v>0</v>
      </c>
      <c r="P1026" s="17">
        <v>0</v>
      </c>
      <c r="Q1026" s="17">
        <v>0</v>
      </c>
      <c r="R1026" s="17">
        <v>0</v>
      </c>
      <c r="S1026" s="17"/>
      <c r="T1026" s="17" t="s">
        <v>2982</v>
      </c>
      <c r="U1026" s="17" t="s">
        <v>3060</v>
      </c>
      <c r="V1026" s="17" t="s">
        <v>3058</v>
      </c>
      <c r="W1026" s="17"/>
      <c r="X1026" s="17"/>
    </row>
    <row r="1027" spans="1:24" hidden="1">
      <c r="A1027" s="18">
        <v>1026</v>
      </c>
      <c r="B1027" s="17" t="s">
        <v>2255</v>
      </c>
      <c r="C1027" s="17" t="s">
        <v>2256</v>
      </c>
      <c r="D1027" s="17" t="s">
        <v>17</v>
      </c>
      <c r="E1027" s="17" t="s">
        <v>8</v>
      </c>
      <c r="F1027" s="17">
        <v>0</v>
      </c>
      <c r="G1027" s="17">
        <v>0</v>
      </c>
      <c r="H1027" s="17">
        <v>0</v>
      </c>
      <c r="I1027" s="17">
        <v>0</v>
      </c>
      <c r="J1027" s="17">
        <v>0</v>
      </c>
      <c r="K1027" s="17">
        <v>0</v>
      </c>
      <c r="L1027" s="17">
        <v>0</v>
      </c>
      <c r="M1027" s="17">
        <v>0</v>
      </c>
      <c r="N1027" s="17">
        <v>0</v>
      </c>
      <c r="O1027" s="17">
        <v>0</v>
      </c>
      <c r="P1027" s="17">
        <v>0</v>
      </c>
      <c r="Q1027" s="17">
        <v>0</v>
      </c>
      <c r="R1027" s="17">
        <v>0</v>
      </c>
      <c r="S1027" s="17"/>
      <c r="T1027" s="17" t="s">
        <v>2998</v>
      </c>
      <c r="U1027" s="17" t="s">
        <v>3057</v>
      </c>
      <c r="V1027" s="17" t="s">
        <v>3056</v>
      </c>
      <c r="W1027" s="17"/>
      <c r="X1027" s="17"/>
    </row>
    <row r="1028" spans="1:24" hidden="1">
      <c r="A1028" s="18">
        <v>1027</v>
      </c>
      <c r="B1028" s="17" t="s">
        <v>2269</v>
      </c>
      <c r="C1028" s="17" t="s">
        <v>2270</v>
      </c>
      <c r="D1028" s="17" t="s">
        <v>17</v>
      </c>
      <c r="E1028" s="17" t="s">
        <v>8</v>
      </c>
      <c r="F1028" s="17">
        <v>0</v>
      </c>
      <c r="G1028" s="17">
        <v>0</v>
      </c>
      <c r="H1028" s="17">
        <v>0</v>
      </c>
      <c r="I1028" s="17">
        <v>0</v>
      </c>
      <c r="J1028" s="17">
        <v>0</v>
      </c>
      <c r="K1028" s="17">
        <v>0</v>
      </c>
      <c r="L1028" s="17">
        <v>0</v>
      </c>
      <c r="M1028" s="17">
        <v>0</v>
      </c>
      <c r="N1028" s="17">
        <v>0</v>
      </c>
      <c r="O1028" s="17">
        <v>0</v>
      </c>
      <c r="P1028" s="17">
        <v>0</v>
      </c>
      <c r="Q1028" s="17">
        <v>0</v>
      </c>
      <c r="R1028" s="17">
        <v>0</v>
      </c>
      <c r="S1028" s="17"/>
      <c r="T1028" s="17" t="s">
        <v>2972</v>
      </c>
      <c r="U1028" s="17" t="s">
        <v>3057</v>
      </c>
      <c r="V1028" s="17" t="s">
        <v>3056</v>
      </c>
      <c r="W1028" s="17"/>
      <c r="X1028" s="17"/>
    </row>
    <row r="1029" spans="1:24" hidden="1">
      <c r="A1029" s="18">
        <v>1028</v>
      </c>
      <c r="B1029" s="17" t="s">
        <v>2271</v>
      </c>
      <c r="C1029" s="17" t="s">
        <v>2272</v>
      </c>
      <c r="D1029" s="17" t="s">
        <v>17</v>
      </c>
      <c r="E1029" s="17" t="s">
        <v>8</v>
      </c>
      <c r="F1029" s="17">
        <v>0</v>
      </c>
      <c r="G1029" s="17">
        <v>0</v>
      </c>
      <c r="H1029" s="17">
        <v>0</v>
      </c>
      <c r="I1029" s="17">
        <v>0</v>
      </c>
      <c r="J1029" s="17">
        <v>0</v>
      </c>
      <c r="K1029" s="17">
        <v>0</v>
      </c>
      <c r="L1029" s="17">
        <v>0</v>
      </c>
      <c r="M1029" s="17">
        <v>0</v>
      </c>
      <c r="N1029" s="17">
        <v>0</v>
      </c>
      <c r="O1029" s="17">
        <v>0</v>
      </c>
      <c r="P1029" s="17">
        <v>0</v>
      </c>
      <c r="Q1029" s="17">
        <v>0</v>
      </c>
      <c r="R1029" s="17">
        <v>0</v>
      </c>
      <c r="S1029" s="17"/>
      <c r="T1029" s="17" t="s">
        <v>2991</v>
      </c>
      <c r="U1029" s="17" t="s">
        <v>3057</v>
      </c>
      <c r="V1029" s="17" t="s">
        <v>3058</v>
      </c>
      <c r="W1029" s="17"/>
      <c r="X1029" s="17"/>
    </row>
    <row r="1030" spans="1:24" hidden="1">
      <c r="A1030" s="18">
        <v>1029</v>
      </c>
      <c r="B1030" s="17" t="s">
        <v>2273</v>
      </c>
      <c r="C1030" s="17" t="s">
        <v>2274</v>
      </c>
      <c r="D1030" s="17" t="s">
        <v>17</v>
      </c>
      <c r="E1030" s="17" t="s">
        <v>8</v>
      </c>
      <c r="F1030" s="17">
        <v>0</v>
      </c>
      <c r="G1030" s="17">
        <v>0</v>
      </c>
      <c r="H1030" s="17">
        <v>0</v>
      </c>
      <c r="I1030" s="17">
        <v>0</v>
      </c>
      <c r="J1030" s="17">
        <v>0</v>
      </c>
      <c r="K1030" s="17">
        <v>0</v>
      </c>
      <c r="L1030" s="17">
        <v>0</v>
      </c>
      <c r="M1030" s="17">
        <v>0</v>
      </c>
      <c r="N1030" s="17">
        <v>0</v>
      </c>
      <c r="O1030" s="17">
        <v>0</v>
      </c>
      <c r="P1030" s="17">
        <v>0</v>
      </c>
      <c r="Q1030" s="17">
        <v>0</v>
      </c>
      <c r="R1030" s="17">
        <v>0</v>
      </c>
      <c r="S1030" s="17"/>
      <c r="T1030" s="17" t="s">
        <v>2991</v>
      </c>
      <c r="U1030" s="17" t="s">
        <v>3057</v>
      </c>
      <c r="V1030" s="17" t="s">
        <v>3056</v>
      </c>
      <c r="W1030" s="17"/>
      <c r="X1030" s="17"/>
    </row>
    <row r="1031" spans="1:24" hidden="1">
      <c r="A1031" s="18">
        <v>1030</v>
      </c>
      <c r="B1031" s="17" t="s">
        <v>2275</v>
      </c>
      <c r="C1031" s="17" t="s">
        <v>2276</v>
      </c>
      <c r="D1031" s="17" t="s">
        <v>17</v>
      </c>
      <c r="E1031" s="17" t="s">
        <v>8</v>
      </c>
      <c r="F1031" s="17">
        <v>0</v>
      </c>
      <c r="G1031" s="17">
        <v>0</v>
      </c>
      <c r="H1031" s="17">
        <v>0</v>
      </c>
      <c r="I1031" s="17">
        <v>0</v>
      </c>
      <c r="J1031" s="17">
        <v>0</v>
      </c>
      <c r="K1031" s="17">
        <v>0</v>
      </c>
      <c r="L1031" s="17">
        <v>0</v>
      </c>
      <c r="M1031" s="17">
        <v>0</v>
      </c>
      <c r="N1031" s="17">
        <v>0</v>
      </c>
      <c r="O1031" s="17">
        <v>0</v>
      </c>
      <c r="P1031" s="17">
        <v>0</v>
      </c>
      <c r="Q1031" s="17">
        <v>0</v>
      </c>
      <c r="R1031" s="17">
        <v>0</v>
      </c>
      <c r="S1031" s="17"/>
      <c r="T1031" s="17" t="s">
        <v>2991</v>
      </c>
      <c r="U1031" s="17" t="s">
        <v>3057</v>
      </c>
      <c r="V1031" s="17" t="s">
        <v>3056</v>
      </c>
      <c r="W1031" s="17"/>
      <c r="X1031" s="17"/>
    </row>
    <row r="1032" spans="1:24" hidden="1">
      <c r="A1032" s="18">
        <v>1031</v>
      </c>
      <c r="B1032" s="17" t="s">
        <v>2277</v>
      </c>
      <c r="C1032" s="17" t="s">
        <v>2278</v>
      </c>
      <c r="D1032" s="17" t="s">
        <v>17</v>
      </c>
      <c r="E1032" s="17" t="s">
        <v>8</v>
      </c>
      <c r="F1032" s="17">
        <v>0</v>
      </c>
      <c r="G1032" s="17">
        <v>0</v>
      </c>
      <c r="H1032" s="17">
        <v>0</v>
      </c>
      <c r="I1032" s="17">
        <v>0</v>
      </c>
      <c r="J1032" s="17">
        <v>0</v>
      </c>
      <c r="K1032" s="17">
        <v>0</v>
      </c>
      <c r="L1032" s="17">
        <v>0</v>
      </c>
      <c r="M1032" s="17">
        <v>0</v>
      </c>
      <c r="N1032" s="17">
        <v>0</v>
      </c>
      <c r="O1032" s="17">
        <v>0</v>
      </c>
      <c r="P1032" s="17">
        <v>0</v>
      </c>
      <c r="Q1032" s="17">
        <v>0</v>
      </c>
      <c r="R1032" s="17">
        <v>0</v>
      </c>
      <c r="S1032" s="17"/>
      <c r="T1032" s="17" t="s">
        <v>2991</v>
      </c>
      <c r="U1032" s="17" t="s">
        <v>3057</v>
      </c>
      <c r="V1032" s="17" t="s">
        <v>3056</v>
      </c>
      <c r="W1032" s="17"/>
      <c r="X1032" s="17"/>
    </row>
    <row r="1033" spans="1:24" hidden="1">
      <c r="A1033" s="18">
        <v>1032</v>
      </c>
      <c r="B1033" s="17" t="s">
        <v>2279</v>
      </c>
      <c r="C1033" s="17" t="s">
        <v>2280</v>
      </c>
      <c r="D1033" s="17" t="s">
        <v>17</v>
      </c>
      <c r="E1033" s="17" t="s">
        <v>8</v>
      </c>
      <c r="F1033" s="17">
        <v>0</v>
      </c>
      <c r="G1033" s="17">
        <v>0</v>
      </c>
      <c r="H1033" s="17">
        <v>0</v>
      </c>
      <c r="I1033" s="17">
        <v>0</v>
      </c>
      <c r="J1033" s="17">
        <v>0</v>
      </c>
      <c r="K1033" s="17">
        <v>0</v>
      </c>
      <c r="L1033" s="17">
        <v>0</v>
      </c>
      <c r="M1033" s="17">
        <v>0</v>
      </c>
      <c r="N1033" s="17">
        <v>0</v>
      </c>
      <c r="O1033" s="17">
        <v>0</v>
      </c>
      <c r="P1033" s="17">
        <v>0</v>
      </c>
      <c r="Q1033" s="17">
        <v>0</v>
      </c>
      <c r="R1033" s="17">
        <v>0</v>
      </c>
      <c r="S1033" s="17"/>
      <c r="T1033" s="17" t="s">
        <v>2991</v>
      </c>
      <c r="U1033" s="17" t="s">
        <v>3057</v>
      </c>
      <c r="V1033" s="17" t="s">
        <v>3058</v>
      </c>
      <c r="W1033" s="17"/>
      <c r="X1033" s="17"/>
    </row>
    <row r="1034" spans="1:24" hidden="1">
      <c r="A1034" s="18">
        <v>1033</v>
      </c>
      <c r="B1034" s="17" t="s">
        <v>2281</v>
      </c>
      <c r="C1034" s="17" t="s">
        <v>2282</v>
      </c>
      <c r="D1034" s="17" t="s">
        <v>17</v>
      </c>
      <c r="E1034" s="17" t="s">
        <v>8</v>
      </c>
      <c r="F1034" s="17">
        <v>0</v>
      </c>
      <c r="G1034" s="17">
        <v>0</v>
      </c>
      <c r="H1034" s="17">
        <v>0</v>
      </c>
      <c r="I1034" s="17">
        <v>0</v>
      </c>
      <c r="J1034" s="17">
        <v>0</v>
      </c>
      <c r="K1034" s="17">
        <v>0</v>
      </c>
      <c r="L1034" s="17">
        <v>0</v>
      </c>
      <c r="M1034" s="17">
        <v>0</v>
      </c>
      <c r="N1034" s="17">
        <v>0</v>
      </c>
      <c r="O1034" s="17">
        <v>0</v>
      </c>
      <c r="P1034" s="17">
        <v>0</v>
      </c>
      <c r="Q1034" s="17">
        <v>0</v>
      </c>
      <c r="R1034" s="17">
        <v>0</v>
      </c>
      <c r="S1034" s="17"/>
      <c r="T1034" s="17" t="s">
        <v>2991</v>
      </c>
      <c r="U1034" s="17" t="s">
        <v>3057</v>
      </c>
      <c r="V1034" s="17" t="s">
        <v>3056</v>
      </c>
      <c r="W1034" s="17"/>
      <c r="X1034" s="17"/>
    </row>
    <row r="1035" spans="1:24" hidden="1">
      <c r="A1035" s="18">
        <v>1034</v>
      </c>
      <c r="B1035" s="17" t="s">
        <v>2283</v>
      </c>
      <c r="C1035" s="17" t="s">
        <v>2284</v>
      </c>
      <c r="D1035" s="17" t="s">
        <v>17</v>
      </c>
      <c r="E1035" s="17" t="s">
        <v>8</v>
      </c>
      <c r="F1035" s="17">
        <v>0</v>
      </c>
      <c r="G1035" s="17">
        <v>0</v>
      </c>
      <c r="H1035" s="17">
        <v>0</v>
      </c>
      <c r="I1035" s="17">
        <v>0</v>
      </c>
      <c r="J1035" s="17">
        <v>0</v>
      </c>
      <c r="K1035" s="17">
        <v>0</v>
      </c>
      <c r="L1035" s="17">
        <v>0</v>
      </c>
      <c r="M1035" s="17">
        <v>0</v>
      </c>
      <c r="N1035" s="17">
        <v>0</v>
      </c>
      <c r="O1035" s="17">
        <v>0</v>
      </c>
      <c r="P1035" s="17">
        <v>0</v>
      </c>
      <c r="Q1035" s="17">
        <v>0</v>
      </c>
      <c r="R1035" s="17">
        <v>0</v>
      </c>
      <c r="S1035" s="17"/>
      <c r="T1035" s="17" t="s">
        <v>2991</v>
      </c>
      <c r="U1035" s="17" t="s">
        <v>3057</v>
      </c>
      <c r="V1035" s="17" t="s">
        <v>3056</v>
      </c>
      <c r="W1035" s="17"/>
      <c r="X1035" s="17"/>
    </row>
    <row r="1036" spans="1:24" hidden="1">
      <c r="A1036" s="18">
        <v>1035</v>
      </c>
      <c r="B1036" s="17" t="s">
        <v>2285</v>
      </c>
      <c r="C1036" s="17" t="s">
        <v>2286</v>
      </c>
      <c r="D1036" s="17" t="s">
        <v>17</v>
      </c>
      <c r="E1036" s="17" t="s">
        <v>8</v>
      </c>
      <c r="F1036" s="17">
        <v>0</v>
      </c>
      <c r="G1036" s="17">
        <v>0</v>
      </c>
      <c r="H1036" s="17">
        <v>0</v>
      </c>
      <c r="I1036" s="17">
        <v>0</v>
      </c>
      <c r="J1036" s="17">
        <v>0</v>
      </c>
      <c r="K1036" s="17">
        <v>0</v>
      </c>
      <c r="L1036" s="17">
        <v>0</v>
      </c>
      <c r="M1036" s="17">
        <v>0</v>
      </c>
      <c r="N1036" s="17">
        <v>0</v>
      </c>
      <c r="O1036" s="17">
        <v>0</v>
      </c>
      <c r="P1036" s="17">
        <v>0</v>
      </c>
      <c r="Q1036" s="17">
        <v>0</v>
      </c>
      <c r="R1036" s="17">
        <v>0</v>
      </c>
      <c r="S1036" s="17"/>
      <c r="T1036" s="17" t="s">
        <v>2991</v>
      </c>
      <c r="U1036" s="17" t="s">
        <v>3057</v>
      </c>
      <c r="V1036" s="17" t="s">
        <v>3058</v>
      </c>
      <c r="W1036" s="17"/>
      <c r="X1036" s="17"/>
    </row>
    <row r="1037" spans="1:24" hidden="1">
      <c r="A1037" s="18">
        <v>1036</v>
      </c>
      <c r="B1037" s="17" t="s">
        <v>2289</v>
      </c>
      <c r="C1037" s="17" t="s">
        <v>2290</v>
      </c>
      <c r="D1037" s="17" t="s">
        <v>20</v>
      </c>
      <c r="E1037" s="17" t="s">
        <v>8</v>
      </c>
      <c r="F1037" s="17">
        <v>0</v>
      </c>
      <c r="G1037" s="17">
        <v>0</v>
      </c>
      <c r="H1037" s="17">
        <v>0</v>
      </c>
      <c r="I1037" s="17">
        <v>0</v>
      </c>
      <c r="J1037" s="17">
        <v>0</v>
      </c>
      <c r="K1037" s="17">
        <v>0</v>
      </c>
      <c r="L1037" s="17">
        <v>0</v>
      </c>
      <c r="M1037" s="17">
        <v>0</v>
      </c>
      <c r="N1037" s="17">
        <v>0</v>
      </c>
      <c r="O1037" s="17">
        <v>0</v>
      </c>
      <c r="P1037" s="17">
        <v>0</v>
      </c>
      <c r="Q1037" s="17">
        <v>0</v>
      </c>
      <c r="R1037" s="17">
        <v>0</v>
      </c>
      <c r="S1037" s="17"/>
      <c r="T1037" s="17" t="s">
        <v>2991</v>
      </c>
      <c r="U1037" s="17" t="s">
        <v>3057</v>
      </c>
      <c r="V1037" s="17" t="s">
        <v>3056</v>
      </c>
      <c r="W1037" s="17"/>
      <c r="X1037" s="17"/>
    </row>
    <row r="1038" spans="1:24" hidden="1">
      <c r="A1038" s="18">
        <v>1037</v>
      </c>
      <c r="B1038" s="17" t="s">
        <v>2295</v>
      </c>
      <c r="C1038" s="17" t="s">
        <v>2296</v>
      </c>
      <c r="D1038" s="17" t="s">
        <v>17</v>
      </c>
      <c r="E1038" s="17" t="s">
        <v>8</v>
      </c>
      <c r="F1038" s="17">
        <v>0</v>
      </c>
      <c r="G1038" s="17">
        <v>0</v>
      </c>
      <c r="H1038" s="17">
        <v>0</v>
      </c>
      <c r="I1038" s="17">
        <v>0</v>
      </c>
      <c r="J1038" s="17">
        <v>0</v>
      </c>
      <c r="K1038" s="17">
        <v>0</v>
      </c>
      <c r="L1038" s="17">
        <v>0</v>
      </c>
      <c r="M1038" s="17">
        <v>0</v>
      </c>
      <c r="N1038" s="17">
        <v>0</v>
      </c>
      <c r="O1038" s="17">
        <v>0</v>
      </c>
      <c r="P1038" s="17">
        <v>40</v>
      </c>
      <c r="Q1038" s="17">
        <v>-40</v>
      </c>
      <c r="R1038" s="17">
        <v>0</v>
      </c>
      <c r="S1038" s="17"/>
      <c r="T1038" s="17" t="s">
        <v>2972</v>
      </c>
      <c r="U1038" s="17" t="s">
        <v>3057</v>
      </c>
      <c r="V1038" s="17" t="s">
        <v>3056</v>
      </c>
      <c r="W1038" s="17"/>
      <c r="X1038" s="17"/>
    </row>
    <row r="1039" spans="1:24" hidden="1">
      <c r="A1039" s="18">
        <v>1038</v>
      </c>
      <c r="B1039" s="17" t="s">
        <v>2297</v>
      </c>
      <c r="C1039" s="17" t="s">
        <v>2298</v>
      </c>
      <c r="D1039" s="17" t="s">
        <v>7</v>
      </c>
      <c r="E1039" s="17" t="s">
        <v>8</v>
      </c>
      <c r="F1039" s="17">
        <v>2800</v>
      </c>
      <c r="G1039" s="17">
        <v>0</v>
      </c>
      <c r="H1039" s="17">
        <v>400</v>
      </c>
      <c r="I1039" s="17">
        <v>2400</v>
      </c>
      <c r="J1039" s="17">
        <v>0</v>
      </c>
      <c r="K1039" s="17">
        <v>0</v>
      </c>
      <c r="L1039" s="17">
        <v>2400</v>
      </c>
      <c r="M1039" s="17">
        <v>0</v>
      </c>
      <c r="N1039" s="17">
        <v>0</v>
      </c>
      <c r="O1039" s="17">
        <v>2400</v>
      </c>
      <c r="P1039" s="17">
        <v>1500</v>
      </c>
      <c r="Q1039" s="17">
        <v>900</v>
      </c>
      <c r="R1039" s="17">
        <v>0</v>
      </c>
      <c r="S1039" s="17"/>
      <c r="T1039" s="17" t="s">
        <v>2972</v>
      </c>
      <c r="U1039" s="17" t="s">
        <v>3057</v>
      </c>
      <c r="V1039" s="17" t="s">
        <v>3056</v>
      </c>
      <c r="W1039" s="17"/>
      <c r="X1039" s="17"/>
    </row>
    <row r="1040" spans="1:24" s="40" customFormat="1" hidden="1">
      <c r="A1040" s="26">
        <v>1039</v>
      </c>
      <c r="B1040" s="25" t="s">
        <v>2299</v>
      </c>
      <c r="C1040" s="25" t="s">
        <v>2300</v>
      </c>
      <c r="D1040" s="25" t="s">
        <v>7</v>
      </c>
      <c r="E1040" s="25" t="s">
        <v>8</v>
      </c>
      <c r="F1040" s="25">
        <v>2400</v>
      </c>
      <c r="G1040" s="25">
        <v>0</v>
      </c>
      <c r="H1040" s="25">
        <v>1600</v>
      </c>
      <c r="I1040" s="17">
        <v>800</v>
      </c>
      <c r="J1040" s="17">
        <v>0</v>
      </c>
      <c r="K1040" s="17">
        <v>0</v>
      </c>
      <c r="L1040" s="17">
        <v>800</v>
      </c>
      <c r="M1040" s="17">
        <v>0</v>
      </c>
      <c r="N1040" s="17">
        <v>0</v>
      </c>
      <c r="O1040" s="25">
        <v>800</v>
      </c>
      <c r="P1040" s="25">
        <v>1500</v>
      </c>
      <c r="Q1040" s="25">
        <v>-700</v>
      </c>
      <c r="R1040" s="25">
        <v>0</v>
      </c>
      <c r="S1040" s="25"/>
      <c r="T1040" s="25" t="s">
        <v>2972</v>
      </c>
      <c r="U1040" s="25" t="s">
        <v>3057</v>
      </c>
      <c r="V1040" s="25" t="s">
        <v>3056</v>
      </c>
      <c r="W1040" s="25"/>
      <c r="X1040" s="25"/>
    </row>
    <row r="1041" spans="1:24" hidden="1">
      <c r="A1041" s="18">
        <v>1040</v>
      </c>
      <c r="B1041" s="17" t="s">
        <v>2323</v>
      </c>
      <c r="C1041" s="17" t="s">
        <v>2324</v>
      </c>
      <c r="D1041" s="17" t="s">
        <v>17</v>
      </c>
      <c r="E1041" s="17" t="s">
        <v>8</v>
      </c>
      <c r="F1041" s="17">
        <v>0</v>
      </c>
      <c r="G1041" s="17">
        <v>0</v>
      </c>
      <c r="H1041" s="17">
        <v>0</v>
      </c>
      <c r="I1041" s="17">
        <v>0</v>
      </c>
      <c r="J1041" s="17">
        <v>0</v>
      </c>
      <c r="K1041" s="17">
        <v>0</v>
      </c>
      <c r="L1041" s="17">
        <v>0</v>
      </c>
      <c r="M1041" s="17">
        <v>0</v>
      </c>
      <c r="N1041" s="17">
        <v>0</v>
      </c>
      <c r="O1041" s="17">
        <v>0</v>
      </c>
      <c r="P1041" s="17">
        <v>0</v>
      </c>
      <c r="Q1041" s="17">
        <v>0</v>
      </c>
      <c r="R1041" s="17">
        <v>0</v>
      </c>
      <c r="S1041" s="17"/>
      <c r="T1041" s="17" t="s">
        <v>2982</v>
      </c>
      <c r="U1041" s="17" t="s">
        <v>3060</v>
      </c>
      <c r="V1041" s="17" t="s">
        <v>3058</v>
      </c>
      <c r="W1041" s="17"/>
      <c r="X1041" s="17"/>
    </row>
    <row r="1042" spans="1:24" hidden="1">
      <c r="A1042" s="18">
        <v>1041</v>
      </c>
      <c r="B1042" s="17" t="s">
        <v>2325</v>
      </c>
      <c r="C1042" s="17" t="s">
        <v>2326</v>
      </c>
      <c r="D1042" s="17" t="s">
        <v>17</v>
      </c>
      <c r="E1042" s="17" t="s">
        <v>8</v>
      </c>
      <c r="F1042" s="17">
        <v>0</v>
      </c>
      <c r="G1042" s="17">
        <v>0</v>
      </c>
      <c r="H1042" s="17">
        <v>0</v>
      </c>
      <c r="I1042" s="17">
        <v>0</v>
      </c>
      <c r="J1042" s="17">
        <v>0</v>
      </c>
      <c r="K1042" s="17">
        <v>0</v>
      </c>
      <c r="L1042" s="17">
        <v>0</v>
      </c>
      <c r="M1042" s="17">
        <v>0</v>
      </c>
      <c r="N1042" s="17">
        <v>0</v>
      </c>
      <c r="O1042" s="17">
        <v>0</v>
      </c>
      <c r="P1042" s="17">
        <v>0</v>
      </c>
      <c r="Q1042" s="17">
        <v>0</v>
      </c>
      <c r="R1042" s="17">
        <v>0</v>
      </c>
      <c r="S1042" s="17"/>
      <c r="T1042" s="17" t="s">
        <v>2982</v>
      </c>
      <c r="U1042" s="17" t="s">
        <v>3060</v>
      </c>
      <c r="V1042" s="17" t="s">
        <v>3058</v>
      </c>
      <c r="W1042" s="17"/>
      <c r="X1042" s="17"/>
    </row>
    <row r="1043" spans="1:24" hidden="1">
      <c r="A1043" s="18">
        <v>1042</v>
      </c>
      <c r="B1043" s="17" t="s">
        <v>2327</v>
      </c>
      <c r="C1043" s="17" t="s">
        <v>2328</v>
      </c>
      <c r="D1043" s="17" t="s">
        <v>17</v>
      </c>
      <c r="E1043" s="17" t="s">
        <v>8</v>
      </c>
      <c r="F1043" s="17">
        <v>43</v>
      </c>
      <c r="G1043" s="17">
        <v>0</v>
      </c>
      <c r="H1043" s="17">
        <v>8</v>
      </c>
      <c r="I1043" s="17">
        <v>35</v>
      </c>
      <c r="J1043" s="17">
        <v>0</v>
      </c>
      <c r="K1043" s="17">
        <v>0</v>
      </c>
      <c r="L1043" s="17">
        <v>35</v>
      </c>
      <c r="M1043" s="17">
        <v>0</v>
      </c>
      <c r="N1043" s="17">
        <v>0</v>
      </c>
      <c r="O1043" s="17">
        <v>35</v>
      </c>
      <c r="P1043" s="17">
        <v>25</v>
      </c>
      <c r="Q1043" s="17">
        <v>10</v>
      </c>
      <c r="R1043" s="17">
        <v>0</v>
      </c>
      <c r="S1043" s="17"/>
      <c r="T1043" s="17" t="s">
        <v>3052</v>
      </c>
      <c r="U1043" s="17" t="s">
        <v>3062</v>
      </c>
      <c r="V1043" s="17" t="s">
        <v>3056</v>
      </c>
      <c r="W1043" s="17"/>
      <c r="X1043" s="17"/>
    </row>
    <row r="1044" spans="1:24" hidden="1">
      <c r="A1044" s="18">
        <v>1043</v>
      </c>
      <c r="B1044" s="17" t="s">
        <v>2329</v>
      </c>
      <c r="C1044" s="17" t="s">
        <v>2330</v>
      </c>
      <c r="D1044" s="17" t="s">
        <v>17</v>
      </c>
      <c r="E1044" s="17" t="s">
        <v>8</v>
      </c>
      <c r="F1044" s="17">
        <v>82</v>
      </c>
      <c r="G1044" s="17">
        <v>0</v>
      </c>
      <c r="H1044" s="17">
        <v>10</v>
      </c>
      <c r="I1044" s="17">
        <v>72</v>
      </c>
      <c r="J1044" s="17">
        <v>0</v>
      </c>
      <c r="K1044" s="17">
        <v>0</v>
      </c>
      <c r="L1044" s="17">
        <v>72</v>
      </c>
      <c r="M1044" s="17">
        <v>0</v>
      </c>
      <c r="N1044" s="17">
        <v>0</v>
      </c>
      <c r="O1044" s="17">
        <v>72</v>
      </c>
      <c r="P1044" s="17">
        <v>25</v>
      </c>
      <c r="Q1044" s="17">
        <v>47</v>
      </c>
      <c r="R1044" s="17">
        <v>0</v>
      </c>
      <c r="S1044" s="17"/>
      <c r="T1044" s="17" t="s">
        <v>3052</v>
      </c>
      <c r="U1044" s="17" t="s">
        <v>3062</v>
      </c>
      <c r="V1044" s="17" t="s">
        <v>3056</v>
      </c>
      <c r="W1044" s="17"/>
      <c r="X1044" s="17"/>
    </row>
    <row r="1045" spans="1:24" hidden="1">
      <c r="A1045" s="18">
        <v>1044</v>
      </c>
      <c r="B1045" s="17" t="s">
        <v>2331</v>
      </c>
      <c r="C1045" s="17" t="s">
        <v>2332</v>
      </c>
      <c r="D1045" s="17" t="s">
        <v>17</v>
      </c>
      <c r="E1045" s="17" t="s">
        <v>8</v>
      </c>
      <c r="F1045" s="17">
        <v>33</v>
      </c>
      <c r="G1045" s="17">
        <v>0</v>
      </c>
      <c r="H1045" s="17">
        <v>9</v>
      </c>
      <c r="I1045" s="17">
        <v>24</v>
      </c>
      <c r="J1045" s="17">
        <v>0</v>
      </c>
      <c r="K1045" s="17">
        <v>0</v>
      </c>
      <c r="L1045" s="17">
        <v>24</v>
      </c>
      <c r="M1045" s="17">
        <v>0</v>
      </c>
      <c r="N1045" s="17">
        <v>0</v>
      </c>
      <c r="O1045" s="17">
        <v>24</v>
      </c>
      <c r="P1045" s="17">
        <v>25</v>
      </c>
      <c r="Q1045" s="17">
        <v>-1</v>
      </c>
      <c r="R1045" s="17">
        <v>0</v>
      </c>
      <c r="S1045" s="17"/>
      <c r="T1045" s="17" t="s">
        <v>3052</v>
      </c>
      <c r="U1045" s="17" t="s">
        <v>3062</v>
      </c>
      <c r="V1045" s="17" t="s">
        <v>3056</v>
      </c>
      <c r="W1045" s="17"/>
      <c r="X1045" s="17"/>
    </row>
    <row r="1046" spans="1:24" hidden="1">
      <c r="A1046" s="18">
        <v>1045</v>
      </c>
      <c r="B1046" s="17" t="s">
        <v>2333</v>
      </c>
      <c r="C1046" s="17" t="s">
        <v>2334</v>
      </c>
      <c r="D1046" s="17" t="s">
        <v>17</v>
      </c>
      <c r="E1046" s="17" t="s">
        <v>8</v>
      </c>
      <c r="F1046" s="17">
        <v>90</v>
      </c>
      <c r="G1046" s="17">
        <v>0</v>
      </c>
      <c r="H1046" s="17">
        <v>0</v>
      </c>
      <c r="I1046" s="17">
        <v>90</v>
      </c>
      <c r="J1046" s="17">
        <v>0</v>
      </c>
      <c r="K1046" s="17">
        <v>0</v>
      </c>
      <c r="L1046" s="17">
        <v>90</v>
      </c>
      <c r="M1046" s="17">
        <v>0</v>
      </c>
      <c r="N1046" s="17">
        <v>0</v>
      </c>
      <c r="O1046" s="17">
        <v>90</v>
      </c>
      <c r="P1046" s="17">
        <v>30</v>
      </c>
      <c r="Q1046" s="17">
        <v>60</v>
      </c>
      <c r="R1046" s="17">
        <v>0</v>
      </c>
      <c r="S1046" s="17"/>
      <c r="T1046" s="17" t="s">
        <v>3052</v>
      </c>
      <c r="U1046" s="17" t="s">
        <v>3062</v>
      </c>
      <c r="V1046" s="17" t="s">
        <v>3056</v>
      </c>
      <c r="W1046" s="17"/>
      <c r="X1046" s="17"/>
    </row>
    <row r="1047" spans="1:24" hidden="1">
      <c r="A1047" s="18">
        <v>1046</v>
      </c>
      <c r="B1047" s="17" t="s">
        <v>2335</v>
      </c>
      <c r="C1047" s="17" t="s">
        <v>2336</v>
      </c>
      <c r="D1047" s="17" t="s">
        <v>7</v>
      </c>
      <c r="E1047" s="17" t="s">
        <v>8</v>
      </c>
      <c r="F1047" s="17">
        <v>1159</v>
      </c>
      <c r="G1047" s="17">
        <v>450</v>
      </c>
      <c r="H1047" s="17">
        <v>0</v>
      </c>
      <c r="I1047" s="17">
        <v>1609</v>
      </c>
      <c r="J1047" s="17">
        <v>0</v>
      </c>
      <c r="K1047" s="17">
        <v>0</v>
      </c>
      <c r="L1047" s="17">
        <v>1609</v>
      </c>
      <c r="M1047" s="17">
        <v>0</v>
      </c>
      <c r="N1047" s="17">
        <v>0</v>
      </c>
      <c r="O1047" s="17">
        <v>1609</v>
      </c>
      <c r="P1047" s="17">
        <v>800</v>
      </c>
      <c r="Q1047" s="17">
        <v>809</v>
      </c>
      <c r="R1047" s="17">
        <v>0</v>
      </c>
      <c r="S1047" s="17"/>
      <c r="T1047" s="17" t="s">
        <v>2965</v>
      </c>
      <c r="U1047" s="17" t="s">
        <v>3055</v>
      </c>
      <c r="V1047" s="17" t="s">
        <v>3056</v>
      </c>
      <c r="W1047" s="17"/>
      <c r="X1047" s="17"/>
    </row>
    <row r="1048" spans="1:24" s="40" customFormat="1" hidden="1">
      <c r="A1048" s="26">
        <v>1047</v>
      </c>
      <c r="B1048" s="25" t="s">
        <v>2337</v>
      </c>
      <c r="C1048" s="25" t="s">
        <v>2338</v>
      </c>
      <c r="D1048" s="25" t="s">
        <v>7</v>
      </c>
      <c r="E1048" s="25" t="s">
        <v>8</v>
      </c>
      <c r="F1048" s="25">
        <v>257</v>
      </c>
      <c r="G1048" s="25">
        <v>141</v>
      </c>
      <c r="H1048" s="25">
        <v>287</v>
      </c>
      <c r="I1048" s="17">
        <v>111</v>
      </c>
      <c r="J1048" s="17">
        <v>0</v>
      </c>
      <c r="K1048" s="17">
        <v>0</v>
      </c>
      <c r="L1048" s="17">
        <v>111</v>
      </c>
      <c r="M1048" s="17">
        <v>0</v>
      </c>
      <c r="N1048" s="17">
        <v>0</v>
      </c>
      <c r="O1048" s="25">
        <v>111</v>
      </c>
      <c r="P1048" s="25">
        <v>400</v>
      </c>
      <c r="Q1048" s="25">
        <v>-289</v>
      </c>
      <c r="R1048" s="25">
        <v>750</v>
      </c>
      <c r="S1048" s="25"/>
      <c r="T1048" s="25" t="s">
        <v>2965</v>
      </c>
      <c r="U1048" s="25" t="s">
        <v>3055</v>
      </c>
      <c r="V1048" s="25" t="s">
        <v>3056</v>
      </c>
      <c r="W1048" s="25"/>
      <c r="X1048" s="25"/>
    </row>
    <row r="1049" spans="1:24" hidden="1">
      <c r="A1049" s="18">
        <v>1048</v>
      </c>
      <c r="B1049" s="17" t="s">
        <v>2339</v>
      </c>
      <c r="C1049" s="17" t="s">
        <v>2340</v>
      </c>
      <c r="D1049" s="17" t="s">
        <v>7</v>
      </c>
      <c r="E1049" s="17" t="s">
        <v>8</v>
      </c>
      <c r="F1049" s="17">
        <v>0</v>
      </c>
      <c r="G1049" s="17">
        <v>0</v>
      </c>
      <c r="H1049" s="17">
        <v>0</v>
      </c>
      <c r="I1049" s="17">
        <v>0</v>
      </c>
      <c r="J1049" s="17">
        <v>0</v>
      </c>
      <c r="K1049" s="17">
        <v>0</v>
      </c>
      <c r="L1049" s="17">
        <v>0</v>
      </c>
      <c r="M1049" s="17">
        <v>0</v>
      </c>
      <c r="N1049" s="17">
        <v>0</v>
      </c>
      <c r="O1049" s="17">
        <v>0</v>
      </c>
      <c r="P1049" s="17">
        <v>0</v>
      </c>
      <c r="Q1049" s="17">
        <v>0</v>
      </c>
      <c r="R1049" s="17">
        <v>0</v>
      </c>
      <c r="S1049" s="17"/>
      <c r="T1049" s="17" t="s">
        <v>2965</v>
      </c>
      <c r="U1049" s="17" t="s">
        <v>3055</v>
      </c>
      <c r="V1049" s="17" t="s">
        <v>3056</v>
      </c>
      <c r="W1049" s="17"/>
      <c r="X1049" s="17"/>
    </row>
    <row r="1050" spans="1:24" hidden="1">
      <c r="A1050" s="18">
        <v>1049</v>
      </c>
      <c r="B1050" s="17" t="s">
        <v>2341</v>
      </c>
      <c r="C1050" s="17" t="s">
        <v>2342</v>
      </c>
      <c r="D1050" s="17" t="s">
        <v>7</v>
      </c>
      <c r="E1050" s="17" t="s">
        <v>8</v>
      </c>
      <c r="F1050" s="17">
        <v>958.7</v>
      </c>
      <c r="G1050" s="17">
        <v>0</v>
      </c>
      <c r="H1050" s="17">
        <v>50</v>
      </c>
      <c r="I1050" s="17">
        <v>908.7</v>
      </c>
      <c r="J1050" s="17">
        <v>0</v>
      </c>
      <c r="K1050" s="17">
        <v>0</v>
      </c>
      <c r="L1050" s="17">
        <v>908.7</v>
      </c>
      <c r="M1050" s="17">
        <v>0</v>
      </c>
      <c r="N1050" s="17">
        <v>0</v>
      </c>
      <c r="O1050" s="17">
        <v>908.7</v>
      </c>
      <c r="P1050" s="17">
        <v>300</v>
      </c>
      <c r="Q1050" s="17">
        <v>608.70000000000005</v>
      </c>
      <c r="R1050" s="17">
        <v>0</v>
      </c>
      <c r="S1050" s="17"/>
      <c r="T1050" s="17" t="s">
        <v>2965</v>
      </c>
      <c r="U1050" s="17" t="s">
        <v>3055</v>
      </c>
      <c r="V1050" s="17" t="s">
        <v>3056</v>
      </c>
      <c r="W1050" s="17"/>
      <c r="X1050" s="17"/>
    </row>
    <row r="1051" spans="1:24" hidden="1">
      <c r="A1051" s="18">
        <v>1050</v>
      </c>
      <c r="B1051" s="17" t="s">
        <v>2343</v>
      </c>
      <c r="C1051" s="17" t="s">
        <v>2344</v>
      </c>
      <c r="D1051" s="17" t="s">
        <v>7</v>
      </c>
      <c r="E1051" s="17" t="s">
        <v>8</v>
      </c>
      <c r="F1051" s="17">
        <v>1683.8</v>
      </c>
      <c r="G1051" s="17">
        <v>0</v>
      </c>
      <c r="H1051" s="17">
        <v>0</v>
      </c>
      <c r="I1051" s="17">
        <v>1683.8</v>
      </c>
      <c r="J1051" s="17">
        <v>0</v>
      </c>
      <c r="K1051" s="17">
        <v>0</v>
      </c>
      <c r="L1051" s="17">
        <v>1683.8</v>
      </c>
      <c r="M1051" s="17">
        <v>0</v>
      </c>
      <c r="N1051" s="17">
        <v>0</v>
      </c>
      <c r="O1051" s="17">
        <v>1683.8</v>
      </c>
      <c r="P1051" s="17">
        <v>300</v>
      </c>
      <c r="Q1051" s="17">
        <v>1383.8</v>
      </c>
      <c r="R1051" s="17">
        <v>0</v>
      </c>
      <c r="S1051" s="17"/>
      <c r="T1051" s="17" t="s">
        <v>2965</v>
      </c>
      <c r="U1051" s="17" t="s">
        <v>3055</v>
      </c>
      <c r="V1051" s="17" t="s">
        <v>3056</v>
      </c>
      <c r="W1051" s="17"/>
      <c r="X1051" s="17"/>
    </row>
    <row r="1052" spans="1:24" hidden="1">
      <c r="A1052" s="18">
        <v>1051</v>
      </c>
      <c r="B1052" s="17" t="s">
        <v>2345</v>
      </c>
      <c r="C1052" s="17" t="s">
        <v>2346</v>
      </c>
      <c r="D1052" s="17" t="s">
        <v>7</v>
      </c>
      <c r="E1052" s="17" t="s">
        <v>8</v>
      </c>
      <c r="F1052" s="17">
        <v>484</v>
      </c>
      <c r="G1052" s="17">
        <v>0</v>
      </c>
      <c r="H1052" s="17">
        <v>0</v>
      </c>
      <c r="I1052" s="17">
        <v>484</v>
      </c>
      <c r="J1052" s="17">
        <v>0</v>
      </c>
      <c r="K1052" s="17">
        <v>0</v>
      </c>
      <c r="L1052" s="17">
        <v>484</v>
      </c>
      <c r="M1052" s="17">
        <v>0</v>
      </c>
      <c r="N1052" s="17">
        <v>0</v>
      </c>
      <c r="O1052" s="17">
        <v>484</v>
      </c>
      <c r="P1052" s="17">
        <v>200</v>
      </c>
      <c r="Q1052" s="17">
        <v>284</v>
      </c>
      <c r="R1052" s="17">
        <v>0</v>
      </c>
      <c r="S1052" s="17"/>
      <c r="T1052" s="17" t="s">
        <v>2965</v>
      </c>
      <c r="U1052" s="17" t="s">
        <v>3055</v>
      </c>
      <c r="V1052" s="17" t="s">
        <v>3056</v>
      </c>
      <c r="W1052" s="17"/>
      <c r="X1052" s="17"/>
    </row>
    <row r="1053" spans="1:24" hidden="1">
      <c r="A1053" s="18">
        <v>1052</v>
      </c>
      <c r="B1053" s="17" t="s">
        <v>2347</v>
      </c>
      <c r="C1053" s="17" t="s">
        <v>2348</v>
      </c>
      <c r="D1053" s="17" t="s">
        <v>7</v>
      </c>
      <c r="E1053" s="17" t="s">
        <v>8</v>
      </c>
      <c r="F1053" s="17">
        <v>585.9</v>
      </c>
      <c r="G1053" s="17">
        <v>0</v>
      </c>
      <c r="H1053" s="17">
        <v>35</v>
      </c>
      <c r="I1053" s="17">
        <v>550.9</v>
      </c>
      <c r="J1053" s="17">
        <v>0</v>
      </c>
      <c r="K1053" s="17">
        <v>0</v>
      </c>
      <c r="L1053" s="17">
        <v>550.9</v>
      </c>
      <c r="M1053" s="17">
        <v>0</v>
      </c>
      <c r="N1053" s="17">
        <v>0</v>
      </c>
      <c r="O1053" s="17">
        <v>550.9</v>
      </c>
      <c r="P1053" s="17">
        <v>400</v>
      </c>
      <c r="Q1053" s="17">
        <v>150.89999999999998</v>
      </c>
      <c r="R1053" s="17">
        <v>0</v>
      </c>
      <c r="S1053" s="17"/>
      <c r="T1053" s="17" t="s">
        <v>2965</v>
      </c>
      <c r="U1053" s="17" t="s">
        <v>3055</v>
      </c>
      <c r="V1053" s="17" t="s">
        <v>3056</v>
      </c>
      <c r="W1053" s="17"/>
      <c r="X1053" s="17"/>
    </row>
    <row r="1054" spans="1:24" hidden="1">
      <c r="A1054" s="18">
        <v>1053</v>
      </c>
      <c r="B1054" s="17" t="s">
        <v>2351</v>
      </c>
      <c r="C1054" s="17" t="s">
        <v>2352</v>
      </c>
      <c r="D1054" s="17" t="s">
        <v>7</v>
      </c>
      <c r="E1054" s="17" t="s">
        <v>8</v>
      </c>
      <c r="F1054" s="17">
        <v>352.2</v>
      </c>
      <c r="G1054" s="17">
        <v>0</v>
      </c>
      <c r="H1054" s="17">
        <v>0</v>
      </c>
      <c r="I1054" s="17">
        <v>352.2</v>
      </c>
      <c r="J1054" s="17">
        <v>0</v>
      </c>
      <c r="K1054" s="17">
        <v>101.2</v>
      </c>
      <c r="L1054" s="17">
        <v>251</v>
      </c>
      <c r="M1054" s="17">
        <v>0</v>
      </c>
      <c r="N1054" s="17">
        <v>0</v>
      </c>
      <c r="O1054" s="17">
        <v>251</v>
      </c>
      <c r="P1054" s="17">
        <v>200</v>
      </c>
      <c r="Q1054" s="17">
        <v>51</v>
      </c>
      <c r="R1054" s="17">
        <v>0</v>
      </c>
      <c r="S1054" s="17"/>
      <c r="T1054" s="17" t="s">
        <v>2965</v>
      </c>
      <c r="U1054" s="17" t="s">
        <v>3055</v>
      </c>
      <c r="V1054" s="17" t="s">
        <v>3056</v>
      </c>
      <c r="W1054" s="17"/>
      <c r="X1054" s="17"/>
    </row>
    <row r="1055" spans="1:24" hidden="1">
      <c r="A1055" s="18">
        <v>1054</v>
      </c>
      <c r="B1055" s="17" t="s">
        <v>2353</v>
      </c>
      <c r="C1055" s="17" t="s">
        <v>2354</v>
      </c>
      <c r="D1055" s="17" t="s">
        <v>7</v>
      </c>
      <c r="E1055" s="17" t="s">
        <v>8</v>
      </c>
      <c r="F1055" s="17">
        <v>263</v>
      </c>
      <c r="G1055" s="17">
        <v>0</v>
      </c>
      <c r="H1055" s="17">
        <v>0</v>
      </c>
      <c r="I1055" s="17">
        <v>263</v>
      </c>
      <c r="J1055" s="17">
        <v>0</v>
      </c>
      <c r="K1055" s="17">
        <v>0</v>
      </c>
      <c r="L1055" s="17">
        <v>263</v>
      </c>
      <c r="M1055" s="17">
        <v>0</v>
      </c>
      <c r="N1055" s="17">
        <v>0</v>
      </c>
      <c r="O1055" s="17">
        <v>263</v>
      </c>
      <c r="P1055" s="17">
        <v>200</v>
      </c>
      <c r="Q1055" s="17">
        <v>63</v>
      </c>
      <c r="R1055" s="17">
        <v>0</v>
      </c>
      <c r="S1055" s="17"/>
      <c r="T1055" s="17" t="s">
        <v>2965</v>
      </c>
      <c r="U1055" s="17" t="s">
        <v>3055</v>
      </c>
      <c r="V1055" s="17" t="s">
        <v>3056</v>
      </c>
      <c r="W1055" s="17"/>
      <c r="X1055" s="17"/>
    </row>
    <row r="1056" spans="1:24" hidden="1">
      <c r="A1056" s="18">
        <v>1055</v>
      </c>
      <c r="B1056" s="17" t="s">
        <v>2355</v>
      </c>
      <c r="C1056" s="17" t="s">
        <v>2356</v>
      </c>
      <c r="D1056" s="17" t="s">
        <v>7</v>
      </c>
      <c r="E1056" s="17" t="s">
        <v>8</v>
      </c>
      <c r="F1056" s="17">
        <v>546</v>
      </c>
      <c r="G1056" s="17">
        <v>0</v>
      </c>
      <c r="H1056" s="17">
        <v>0</v>
      </c>
      <c r="I1056" s="17">
        <v>546</v>
      </c>
      <c r="J1056" s="17">
        <v>0</v>
      </c>
      <c r="K1056" s="17">
        <v>102.5</v>
      </c>
      <c r="L1056" s="17">
        <v>443.5</v>
      </c>
      <c r="M1056" s="17">
        <v>0</v>
      </c>
      <c r="N1056" s="17">
        <v>0</v>
      </c>
      <c r="O1056" s="17">
        <v>443.5</v>
      </c>
      <c r="P1056" s="17">
        <v>200</v>
      </c>
      <c r="Q1056" s="17">
        <v>243.5</v>
      </c>
      <c r="R1056" s="17">
        <v>0</v>
      </c>
      <c r="S1056" s="17"/>
      <c r="T1056" s="17" t="s">
        <v>2965</v>
      </c>
      <c r="U1056" s="17" t="s">
        <v>3055</v>
      </c>
      <c r="V1056" s="17" t="s">
        <v>3056</v>
      </c>
      <c r="W1056" s="17"/>
      <c r="X1056" s="17"/>
    </row>
    <row r="1057" spans="1:24" hidden="1">
      <c r="A1057" s="18">
        <v>1056</v>
      </c>
      <c r="B1057" s="17" t="s">
        <v>2357</v>
      </c>
      <c r="C1057" s="17" t="s">
        <v>2358</v>
      </c>
      <c r="D1057" s="17" t="s">
        <v>7</v>
      </c>
      <c r="E1057" s="17" t="s">
        <v>8</v>
      </c>
      <c r="F1057" s="17">
        <v>634.20000000000005</v>
      </c>
      <c r="G1057" s="17">
        <v>0</v>
      </c>
      <c r="H1057" s="17">
        <v>65</v>
      </c>
      <c r="I1057" s="17">
        <v>569.20000000000005</v>
      </c>
      <c r="J1057" s="17">
        <v>0</v>
      </c>
      <c r="K1057" s="17">
        <v>101.2</v>
      </c>
      <c r="L1057" s="17">
        <v>468.00000000000006</v>
      </c>
      <c r="M1057" s="17">
        <v>0</v>
      </c>
      <c r="N1057" s="17">
        <v>0</v>
      </c>
      <c r="O1057" s="17">
        <v>468.00000000000006</v>
      </c>
      <c r="P1057" s="17">
        <v>200</v>
      </c>
      <c r="Q1057" s="17">
        <v>268.00000000000006</v>
      </c>
      <c r="R1057" s="17">
        <v>0</v>
      </c>
      <c r="S1057" s="17"/>
      <c r="T1057" s="17" t="s">
        <v>2965</v>
      </c>
      <c r="U1057" s="17" t="s">
        <v>3055</v>
      </c>
      <c r="V1057" s="17" t="s">
        <v>3056</v>
      </c>
      <c r="W1057" s="17"/>
      <c r="X1057" s="17"/>
    </row>
    <row r="1058" spans="1:24" hidden="1">
      <c r="A1058" s="18">
        <v>1057</v>
      </c>
      <c r="B1058" s="17" t="s">
        <v>2359</v>
      </c>
      <c r="C1058" s="17" t="s">
        <v>2360</v>
      </c>
      <c r="D1058" s="17" t="s">
        <v>7</v>
      </c>
      <c r="E1058" s="17" t="s">
        <v>8</v>
      </c>
      <c r="F1058" s="17">
        <v>2886.7</v>
      </c>
      <c r="G1058" s="17">
        <v>0</v>
      </c>
      <c r="H1058" s="17">
        <v>89.5</v>
      </c>
      <c r="I1058" s="17">
        <v>2797.2</v>
      </c>
      <c r="J1058" s="17">
        <v>0</v>
      </c>
      <c r="K1058" s="17">
        <v>0</v>
      </c>
      <c r="L1058" s="17">
        <v>2797.2</v>
      </c>
      <c r="M1058" s="17">
        <v>0</v>
      </c>
      <c r="N1058" s="17">
        <v>0</v>
      </c>
      <c r="O1058" s="17">
        <v>2797.2</v>
      </c>
      <c r="P1058" s="17">
        <v>1500</v>
      </c>
      <c r="Q1058" s="17">
        <v>1297.1999999999998</v>
      </c>
      <c r="R1058" s="17">
        <v>0</v>
      </c>
      <c r="S1058" s="17"/>
      <c r="T1058" s="17" t="s">
        <v>2965</v>
      </c>
      <c r="U1058" s="17" t="s">
        <v>3055</v>
      </c>
      <c r="V1058" s="17" t="s">
        <v>3056</v>
      </c>
      <c r="W1058" s="17"/>
      <c r="X1058" s="17"/>
    </row>
    <row r="1059" spans="1:24" hidden="1">
      <c r="A1059" s="18">
        <v>1058</v>
      </c>
      <c r="B1059" s="17" t="s">
        <v>2361</v>
      </c>
      <c r="C1059" s="17" t="s">
        <v>2362</v>
      </c>
      <c r="D1059" s="17" t="s">
        <v>7</v>
      </c>
      <c r="E1059" s="17" t="s">
        <v>8</v>
      </c>
      <c r="F1059" s="17">
        <v>2563.25</v>
      </c>
      <c r="G1059" s="17">
        <v>0</v>
      </c>
      <c r="H1059" s="17">
        <v>0</v>
      </c>
      <c r="I1059" s="17">
        <v>2563.25</v>
      </c>
      <c r="J1059" s="17">
        <v>262.5</v>
      </c>
      <c r="K1059" s="17">
        <v>0</v>
      </c>
      <c r="L1059" s="17">
        <v>2300.75</v>
      </c>
      <c r="M1059" s="17">
        <v>0</v>
      </c>
      <c r="N1059" s="17">
        <v>0</v>
      </c>
      <c r="O1059" s="17">
        <v>2300.75</v>
      </c>
      <c r="P1059" s="17">
        <v>1500</v>
      </c>
      <c r="Q1059" s="17">
        <v>800.75</v>
      </c>
      <c r="R1059" s="17">
        <v>0</v>
      </c>
      <c r="S1059" s="17"/>
      <c r="T1059" s="17" t="s">
        <v>2965</v>
      </c>
      <c r="U1059" s="17" t="s">
        <v>3055</v>
      </c>
      <c r="V1059" s="17" t="s">
        <v>3056</v>
      </c>
      <c r="W1059" s="17"/>
      <c r="X1059" s="17"/>
    </row>
    <row r="1060" spans="1:24" hidden="1">
      <c r="A1060" s="18">
        <v>1059</v>
      </c>
      <c r="B1060" s="17" t="s">
        <v>2363</v>
      </c>
      <c r="C1060" s="17" t="s">
        <v>2364</v>
      </c>
      <c r="D1060" s="17" t="s">
        <v>7</v>
      </c>
      <c r="E1060" s="17" t="s">
        <v>8</v>
      </c>
      <c r="F1060" s="17">
        <v>2489.1</v>
      </c>
      <c r="G1060" s="17">
        <v>0</v>
      </c>
      <c r="H1060" s="17">
        <v>0</v>
      </c>
      <c r="I1060" s="17">
        <v>2489.1</v>
      </c>
      <c r="J1060" s="17">
        <v>0</v>
      </c>
      <c r="K1060" s="17">
        <v>0</v>
      </c>
      <c r="L1060" s="17">
        <v>2489.1</v>
      </c>
      <c r="M1060" s="17">
        <v>0</v>
      </c>
      <c r="N1060" s="17">
        <v>0</v>
      </c>
      <c r="O1060" s="17">
        <v>2489.1</v>
      </c>
      <c r="P1060" s="17">
        <v>1500</v>
      </c>
      <c r="Q1060" s="17">
        <v>989.09999999999991</v>
      </c>
      <c r="R1060" s="17">
        <v>0</v>
      </c>
      <c r="S1060" s="17"/>
      <c r="T1060" s="17" t="s">
        <v>2965</v>
      </c>
      <c r="U1060" s="17" t="s">
        <v>3055</v>
      </c>
      <c r="V1060" s="17" t="s">
        <v>3056</v>
      </c>
      <c r="W1060" s="17"/>
      <c r="X1060" s="17"/>
    </row>
    <row r="1061" spans="1:24" hidden="1">
      <c r="A1061" s="18">
        <v>1060</v>
      </c>
      <c r="B1061" s="17" t="s">
        <v>2365</v>
      </c>
      <c r="C1061" s="17" t="s">
        <v>2366</v>
      </c>
      <c r="D1061" s="17" t="s">
        <v>7</v>
      </c>
      <c r="E1061" s="17" t="s">
        <v>8</v>
      </c>
      <c r="F1061" s="17">
        <v>1596.1</v>
      </c>
      <c r="G1061" s="17">
        <v>0</v>
      </c>
      <c r="H1061" s="17">
        <v>0</v>
      </c>
      <c r="I1061" s="17">
        <v>1596.1</v>
      </c>
      <c r="J1061" s="17">
        <v>0</v>
      </c>
      <c r="K1061" s="17">
        <v>0</v>
      </c>
      <c r="L1061" s="17">
        <v>1596.1</v>
      </c>
      <c r="M1061" s="17">
        <v>0</v>
      </c>
      <c r="N1061" s="17">
        <v>0</v>
      </c>
      <c r="O1061" s="17">
        <v>1596.1</v>
      </c>
      <c r="P1061" s="17">
        <v>1500</v>
      </c>
      <c r="Q1061" s="17">
        <v>96.099999999999909</v>
      </c>
      <c r="R1061" s="17">
        <v>0</v>
      </c>
      <c r="S1061" s="17"/>
      <c r="T1061" s="17" t="s">
        <v>2965</v>
      </c>
      <c r="U1061" s="17" t="s">
        <v>3055</v>
      </c>
      <c r="V1061" s="17" t="s">
        <v>3056</v>
      </c>
      <c r="W1061" s="17"/>
      <c r="X1061" s="17"/>
    </row>
    <row r="1062" spans="1:24" hidden="1">
      <c r="A1062" s="18">
        <v>1061</v>
      </c>
      <c r="B1062" s="17" t="s">
        <v>2367</v>
      </c>
      <c r="C1062" s="17" t="s">
        <v>2368</v>
      </c>
      <c r="D1062" s="17" t="s">
        <v>17</v>
      </c>
      <c r="E1062" s="17" t="s">
        <v>8</v>
      </c>
      <c r="F1062" s="17">
        <v>1900</v>
      </c>
      <c r="G1062" s="17">
        <v>0</v>
      </c>
      <c r="H1062" s="17">
        <v>0</v>
      </c>
      <c r="I1062" s="17">
        <v>1900</v>
      </c>
      <c r="J1062" s="17">
        <v>0</v>
      </c>
      <c r="K1062" s="17">
        <v>0</v>
      </c>
      <c r="L1062" s="17">
        <v>1900</v>
      </c>
      <c r="M1062" s="17">
        <v>0</v>
      </c>
      <c r="N1062" s="17">
        <v>0</v>
      </c>
      <c r="O1062" s="17">
        <v>1900</v>
      </c>
      <c r="P1062" s="17">
        <v>1000</v>
      </c>
      <c r="Q1062" s="17">
        <v>900</v>
      </c>
      <c r="R1062" s="17">
        <v>0</v>
      </c>
      <c r="S1062" s="17"/>
      <c r="T1062" s="17" t="s">
        <v>2972</v>
      </c>
      <c r="U1062" s="17" t="s">
        <v>3055</v>
      </c>
      <c r="V1062" s="17" t="s">
        <v>3056</v>
      </c>
      <c r="W1062" s="17"/>
      <c r="X1062" s="17"/>
    </row>
    <row r="1063" spans="1:24" hidden="1">
      <c r="A1063" s="18">
        <v>1062</v>
      </c>
      <c r="B1063" s="17" t="s">
        <v>2369</v>
      </c>
      <c r="C1063" s="17" t="s">
        <v>2370</v>
      </c>
      <c r="D1063" s="17" t="s">
        <v>17</v>
      </c>
      <c r="E1063" s="17" t="s">
        <v>8</v>
      </c>
      <c r="F1063" s="17">
        <v>0</v>
      </c>
      <c r="G1063" s="17">
        <v>0</v>
      </c>
      <c r="H1063" s="17">
        <v>0</v>
      </c>
      <c r="I1063" s="17">
        <v>0</v>
      </c>
      <c r="J1063" s="17">
        <v>0</v>
      </c>
      <c r="K1063" s="17">
        <v>0</v>
      </c>
      <c r="L1063" s="17">
        <v>0</v>
      </c>
      <c r="M1063" s="17">
        <v>0</v>
      </c>
      <c r="N1063" s="17">
        <v>0</v>
      </c>
      <c r="O1063" s="17">
        <v>0</v>
      </c>
      <c r="P1063" s="17">
        <v>0</v>
      </c>
      <c r="Q1063" s="17">
        <v>0</v>
      </c>
      <c r="R1063" s="17">
        <v>0</v>
      </c>
      <c r="S1063" s="17"/>
      <c r="T1063" s="17" t="s">
        <v>2972</v>
      </c>
      <c r="U1063" s="17" t="s">
        <v>3055</v>
      </c>
      <c r="V1063" s="17" t="s">
        <v>3056</v>
      </c>
      <c r="W1063" s="17"/>
      <c r="X1063" s="17"/>
    </row>
    <row r="1064" spans="1:24" hidden="1">
      <c r="A1064" s="18">
        <v>1063</v>
      </c>
      <c r="B1064" s="17" t="s">
        <v>2371</v>
      </c>
      <c r="C1064" s="17" t="s">
        <v>2372</v>
      </c>
      <c r="D1064" s="17" t="s">
        <v>17</v>
      </c>
      <c r="E1064" s="17" t="s">
        <v>8</v>
      </c>
      <c r="F1064" s="17">
        <v>0</v>
      </c>
      <c r="G1064" s="17">
        <v>0</v>
      </c>
      <c r="H1064" s="17">
        <v>0</v>
      </c>
      <c r="I1064" s="17">
        <v>0</v>
      </c>
      <c r="J1064" s="17">
        <v>0</v>
      </c>
      <c r="K1064" s="17">
        <v>0</v>
      </c>
      <c r="L1064" s="17">
        <v>0</v>
      </c>
      <c r="M1064" s="17">
        <v>0</v>
      </c>
      <c r="N1064" s="17">
        <v>0</v>
      </c>
      <c r="O1064" s="17">
        <v>0</v>
      </c>
      <c r="P1064" s="17">
        <v>0</v>
      </c>
      <c r="Q1064" s="17">
        <v>0</v>
      </c>
      <c r="R1064" s="17">
        <v>0</v>
      </c>
      <c r="S1064" s="17"/>
      <c r="T1064" s="17" t="s">
        <v>2972</v>
      </c>
      <c r="U1064" s="17" t="s">
        <v>3055</v>
      </c>
      <c r="V1064" s="17" t="s">
        <v>3056</v>
      </c>
      <c r="W1064" s="17"/>
      <c r="X1064" s="17"/>
    </row>
    <row r="1065" spans="1:24" hidden="1">
      <c r="A1065" s="18">
        <v>1064</v>
      </c>
      <c r="B1065" s="17" t="s">
        <v>2373</v>
      </c>
      <c r="C1065" s="17" t="s">
        <v>2374</v>
      </c>
      <c r="D1065" s="17" t="s">
        <v>17</v>
      </c>
      <c r="E1065" s="17" t="s">
        <v>8</v>
      </c>
      <c r="F1065" s="17">
        <v>0</v>
      </c>
      <c r="G1065" s="17">
        <v>0</v>
      </c>
      <c r="H1065" s="17">
        <v>0</v>
      </c>
      <c r="I1065" s="17">
        <v>0</v>
      </c>
      <c r="J1065" s="17">
        <v>0</v>
      </c>
      <c r="K1065" s="17">
        <v>0</v>
      </c>
      <c r="L1065" s="17">
        <v>0</v>
      </c>
      <c r="M1065" s="17">
        <v>0</v>
      </c>
      <c r="N1065" s="17">
        <v>0</v>
      </c>
      <c r="O1065" s="17">
        <v>0</v>
      </c>
      <c r="P1065" s="17">
        <v>0</v>
      </c>
      <c r="Q1065" s="17">
        <v>0</v>
      </c>
      <c r="R1065" s="17">
        <v>0</v>
      </c>
      <c r="S1065" s="17"/>
      <c r="T1065" s="17" t="s">
        <v>2972</v>
      </c>
      <c r="U1065" s="17" t="s">
        <v>3055</v>
      </c>
      <c r="V1065" s="17" t="s">
        <v>3056</v>
      </c>
      <c r="W1065" s="17"/>
      <c r="X1065" s="17"/>
    </row>
    <row r="1066" spans="1:24" hidden="1">
      <c r="A1066" s="18">
        <v>1065</v>
      </c>
      <c r="B1066" s="17" t="s">
        <v>2375</v>
      </c>
      <c r="C1066" s="17" t="s">
        <v>2376</v>
      </c>
      <c r="D1066" s="17" t="s">
        <v>17</v>
      </c>
      <c r="E1066" s="17" t="s">
        <v>8</v>
      </c>
      <c r="F1066" s="17">
        <v>0</v>
      </c>
      <c r="G1066" s="17">
        <v>0</v>
      </c>
      <c r="H1066" s="17">
        <v>0</v>
      </c>
      <c r="I1066" s="17">
        <v>0</v>
      </c>
      <c r="J1066" s="17">
        <v>0</v>
      </c>
      <c r="K1066" s="17">
        <v>0</v>
      </c>
      <c r="L1066" s="17">
        <v>0</v>
      </c>
      <c r="M1066" s="17">
        <v>0</v>
      </c>
      <c r="N1066" s="17">
        <v>0</v>
      </c>
      <c r="O1066" s="17">
        <v>0</v>
      </c>
      <c r="P1066" s="17">
        <v>0</v>
      </c>
      <c r="Q1066" s="17">
        <v>0</v>
      </c>
      <c r="R1066" s="17">
        <v>0</v>
      </c>
      <c r="S1066" s="17"/>
      <c r="T1066" s="17" t="s">
        <v>2982</v>
      </c>
      <c r="U1066" s="17" t="s">
        <v>3060</v>
      </c>
      <c r="V1066" s="17" t="s">
        <v>3064</v>
      </c>
      <c r="W1066" s="17"/>
      <c r="X1066" s="17"/>
    </row>
    <row r="1067" spans="1:24" hidden="1">
      <c r="A1067" s="18">
        <v>1066</v>
      </c>
      <c r="B1067" s="17" t="s">
        <v>2301</v>
      </c>
      <c r="C1067" s="17" t="s">
        <v>2302</v>
      </c>
      <c r="D1067" s="17" t="s">
        <v>17</v>
      </c>
      <c r="E1067" s="17" t="s">
        <v>8</v>
      </c>
      <c r="F1067" s="17">
        <v>0</v>
      </c>
      <c r="G1067" s="17">
        <v>0</v>
      </c>
      <c r="H1067" s="17">
        <v>0</v>
      </c>
      <c r="I1067" s="17">
        <v>0</v>
      </c>
      <c r="J1067" s="17">
        <v>0</v>
      </c>
      <c r="K1067" s="17">
        <v>0</v>
      </c>
      <c r="L1067" s="17">
        <v>0</v>
      </c>
      <c r="M1067" s="17">
        <v>0</v>
      </c>
      <c r="N1067" s="17">
        <v>0</v>
      </c>
      <c r="O1067" s="17">
        <v>0</v>
      </c>
      <c r="P1067" s="17">
        <v>40</v>
      </c>
      <c r="Q1067" s="17">
        <v>-40</v>
      </c>
      <c r="R1067" s="17">
        <v>0</v>
      </c>
      <c r="S1067" s="17"/>
      <c r="T1067" s="17" t="s">
        <v>2972</v>
      </c>
      <c r="U1067" s="17" t="s">
        <v>3057</v>
      </c>
      <c r="V1067" s="17" t="s">
        <v>3056</v>
      </c>
      <c r="W1067" s="17"/>
      <c r="X1067" s="17"/>
    </row>
    <row r="1068" spans="1:24" hidden="1">
      <c r="A1068" s="18">
        <v>1067</v>
      </c>
      <c r="B1068" s="17" t="s">
        <v>2303</v>
      </c>
      <c r="C1068" s="17" t="s">
        <v>2304</v>
      </c>
      <c r="D1068" s="17" t="s">
        <v>17</v>
      </c>
      <c r="E1068" s="17" t="s">
        <v>8</v>
      </c>
      <c r="F1068" s="17">
        <v>0</v>
      </c>
      <c r="G1068" s="17">
        <v>0</v>
      </c>
      <c r="H1068" s="17">
        <v>0</v>
      </c>
      <c r="I1068" s="17">
        <v>0</v>
      </c>
      <c r="J1068" s="17">
        <v>0</v>
      </c>
      <c r="K1068" s="17">
        <v>0</v>
      </c>
      <c r="L1068" s="17">
        <v>0</v>
      </c>
      <c r="M1068" s="17">
        <v>0</v>
      </c>
      <c r="N1068" s="17">
        <v>0</v>
      </c>
      <c r="O1068" s="17">
        <v>0</v>
      </c>
      <c r="P1068" s="17">
        <v>40</v>
      </c>
      <c r="Q1068" s="17">
        <v>-40</v>
      </c>
      <c r="R1068" s="17">
        <v>0</v>
      </c>
      <c r="S1068" s="17"/>
      <c r="T1068" s="17" t="s">
        <v>2972</v>
      </c>
      <c r="U1068" s="17" t="s">
        <v>3057</v>
      </c>
      <c r="V1068" s="17" t="s">
        <v>3056</v>
      </c>
      <c r="W1068" s="17"/>
      <c r="X1068" s="17"/>
    </row>
    <row r="1069" spans="1:24" hidden="1">
      <c r="A1069" s="18">
        <v>1068</v>
      </c>
      <c r="B1069" s="17" t="s">
        <v>2305</v>
      </c>
      <c r="C1069" s="17" t="s">
        <v>2306</v>
      </c>
      <c r="D1069" s="17" t="s">
        <v>17</v>
      </c>
      <c r="E1069" s="17" t="s">
        <v>8</v>
      </c>
      <c r="F1069" s="17">
        <v>0</v>
      </c>
      <c r="G1069" s="17">
        <v>0</v>
      </c>
      <c r="H1069" s="17">
        <v>0</v>
      </c>
      <c r="I1069" s="17">
        <v>0</v>
      </c>
      <c r="J1069" s="17">
        <v>0</v>
      </c>
      <c r="K1069" s="17">
        <v>0</v>
      </c>
      <c r="L1069" s="17">
        <v>0</v>
      </c>
      <c r="M1069" s="17">
        <v>0</v>
      </c>
      <c r="N1069" s="17">
        <v>0</v>
      </c>
      <c r="O1069" s="17">
        <v>0</v>
      </c>
      <c r="P1069" s="17">
        <v>40</v>
      </c>
      <c r="Q1069" s="17">
        <v>-40</v>
      </c>
      <c r="R1069" s="17">
        <v>0</v>
      </c>
      <c r="S1069" s="17"/>
      <c r="T1069" s="17" t="s">
        <v>2972</v>
      </c>
      <c r="U1069" s="17" t="s">
        <v>3057</v>
      </c>
      <c r="V1069" s="17" t="s">
        <v>3056</v>
      </c>
      <c r="W1069" s="17"/>
      <c r="X1069" s="17"/>
    </row>
    <row r="1070" spans="1:24" hidden="1">
      <c r="A1070" s="18">
        <v>1069</v>
      </c>
      <c r="B1070" s="17" t="s">
        <v>2307</v>
      </c>
      <c r="C1070" s="17" t="s">
        <v>2308</v>
      </c>
      <c r="D1070" s="17" t="s">
        <v>17</v>
      </c>
      <c r="E1070" s="17" t="s">
        <v>8</v>
      </c>
      <c r="F1070" s="17">
        <v>50</v>
      </c>
      <c r="G1070" s="17">
        <v>0</v>
      </c>
      <c r="H1070" s="17">
        <v>0</v>
      </c>
      <c r="I1070" s="17">
        <v>50</v>
      </c>
      <c r="J1070" s="17">
        <v>0</v>
      </c>
      <c r="K1070" s="17">
        <v>0</v>
      </c>
      <c r="L1070" s="17">
        <v>50</v>
      </c>
      <c r="M1070" s="17">
        <v>0</v>
      </c>
      <c r="N1070" s="17">
        <v>0</v>
      </c>
      <c r="O1070" s="17">
        <v>50</v>
      </c>
      <c r="P1070" s="17">
        <v>40</v>
      </c>
      <c r="Q1070" s="17">
        <v>10</v>
      </c>
      <c r="R1070" s="17">
        <v>0</v>
      </c>
      <c r="S1070" s="17"/>
      <c r="T1070" s="17" t="s">
        <v>2972</v>
      </c>
      <c r="U1070" s="17" t="s">
        <v>3057</v>
      </c>
      <c r="V1070" s="17" t="s">
        <v>3056</v>
      </c>
      <c r="W1070" s="17"/>
      <c r="X1070" s="17"/>
    </row>
    <row r="1071" spans="1:24" hidden="1">
      <c r="A1071" s="18">
        <v>1070</v>
      </c>
      <c r="B1071" s="17" t="s">
        <v>2385</v>
      </c>
      <c r="C1071" s="17" t="s">
        <v>2386</v>
      </c>
      <c r="D1071" s="17" t="s">
        <v>17</v>
      </c>
      <c r="E1071" s="17" t="s">
        <v>8</v>
      </c>
      <c r="F1071" s="17">
        <v>366</v>
      </c>
      <c r="G1071" s="17">
        <v>0</v>
      </c>
      <c r="H1071" s="17">
        <v>3</v>
      </c>
      <c r="I1071" s="17">
        <v>363</v>
      </c>
      <c r="J1071" s="17">
        <v>0</v>
      </c>
      <c r="K1071" s="17">
        <v>0</v>
      </c>
      <c r="L1071" s="17">
        <v>363</v>
      </c>
      <c r="M1071" s="17">
        <v>0</v>
      </c>
      <c r="N1071" s="17">
        <v>0</v>
      </c>
      <c r="O1071" s="17">
        <v>363</v>
      </c>
      <c r="P1071" s="17">
        <v>200</v>
      </c>
      <c r="Q1071" s="17">
        <v>163</v>
      </c>
      <c r="R1071" s="17">
        <v>0</v>
      </c>
      <c r="S1071" s="17"/>
      <c r="T1071" s="17" t="s">
        <v>2972</v>
      </c>
      <c r="U1071" s="17" t="s">
        <v>3055</v>
      </c>
      <c r="V1071" s="17" t="s">
        <v>3056</v>
      </c>
      <c r="W1071" s="17"/>
      <c r="X1071" s="17"/>
    </row>
    <row r="1072" spans="1:24" hidden="1">
      <c r="A1072" s="18">
        <v>1071</v>
      </c>
      <c r="B1072" s="17" t="s">
        <v>2387</v>
      </c>
      <c r="C1072" s="17" t="s">
        <v>2388</v>
      </c>
      <c r="D1072" s="17" t="s">
        <v>17</v>
      </c>
      <c r="E1072" s="17" t="s">
        <v>8</v>
      </c>
      <c r="F1072" s="17">
        <v>162</v>
      </c>
      <c r="G1072" s="17">
        <v>0</v>
      </c>
      <c r="H1072" s="17">
        <v>0</v>
      </c>
      <c r="I1072" s="17">
        <v>162</v>
      </c>
      <c r="J1072" s="17">
        <v>0</v>
      </c>
      <c r="K1072" s="17">
        <v>0</v>
      </c>
      <c r="L1072" s="17">
        <v>162</v>
      </c>
      <c r="M1072" s="17">
        <v>0</v>
      </c>
      <c r="N1072" s="17">
        <v>0</v>
      </c>
      <c r="O1072" s="17">
        <v>162</v>
      </c>
      <c r="P1072" s="17">
        <v>200</v>
      </c>
      <c r="Q1072" s="17">
        <v>-38</v>
      </c>
      <c r="R1072" s="17">
        <v>0</v>
      </c>
      <c r="S1072" s="17"/>
      <c r="T1072" s="17" t="s">
        <v>2972</v>
      </c>
      <c r="U1072" s="17" t="s">
        <v>3055</v>
      </c>
      <c r="V1072" s="17" t="s">
        <v>3056</v>
      </c>
      <c r="W1072" s="17"/>
      <c r="X1072" s="17"/>
    </row>
    <row r="1073" spans="1:24" hidden="1">
      <c r="A1073" s="18">
        <v>1072</v>
      </c>
      <c r="B1073" s="17" t="s">
        <v>2309</v>
      </c>
      <c r="C1073" s="17" t="s">
        <v>2310</v>
      </c>
      <c r="D1073" s="17" t="s">
        <v>17</v>
      </c>
      <c r="E1073" s="17" t="s">
        <v>8</v>
      </c>
      <c r="F1073" s="17">
        <v>0</v>
      </c>
      <c r="G1073" s="17">
        <v>0</v>
      </c>
      <c r="H1073" s="17">
        <v>0</v>
      </c>
      <c r="I1073" s="17">
        <v>0</v>
      </c>
      <c r="J1073" s="17">
        <v>0</v>
      </c>
      <c r="K1073" s="17">
        <v>0</v>
      </c>
      <c r="L1073" s="17">
        <v>0</v>
      </c>
      <c r="M1073" s="17">
        <v>0</v>
      </c>
      <c r="N1073" s="17">
        <v>0</v>
      </c>
      <c r="O1073" s="17">
        <v>0</v>
      </c>
      <c r="P1073" s="17">
        <v>0</v>
      </c>
      <c r="Q1073" s="17">
        <v>0</v>
      </c>
      <c r="R1073" s="17">
        <v>0</v>
      </c>
      <c r="S1073" s="17"/>
      <c r="T1073" s="17" t="s">
        <v>2998</v>
      </c>
      <c r="U1073" s="17" t="s">
        <v>3057</v>
      </c>
      <c r="V1073" s="17" t="s">
        <v>3056</v>
      </c>
      <c r="W1073" s="17"/>
      <c r="X1073" s="17"/>
    </row>
    <row r="1074" spans="1:24" hidden="1">
      <c r="A1074" s="18">
        <v>1073</v>
      </c>
      <c r="B1074" s="17" t="s">
        <v>2311</v>
      </c>
      <c r="C1074" s="17" t="s">
        <v>2312</v>
      </c>
      <c r="D1074" s="17" t="s">
        <v>17</v>
      </c>
      <c r="E1074" s="17" t="s">
        <v>8</v>
      </c>
      <c r="F1074" s="17">
        <v>0</v>
      </c>
      <c r="G1074" s="17">
        <v>0</v>
      </c>
      <c r="H1074" s="17">
        <v>0</v>
      </c>
      <c r="I1074" s="17">
        <v>0</v>
      </c>
      <c r="J1074" s="17">
        <v>0</v>
      </c>
      <c r="K1074" s="17">
        <v>0</v>
      </c>
      <c r="L1074" s="17">
        <v>0</v>
      </c>
      <c r="M1074" s="17">
        <v>0</v>
      </c>
      <c r="N1074" s="17">
        <v>0</v>
      </c>
      <c r="O1074" s="17">
        <v>0</v>
      </c>
      <c r="P1074" s="17">
        <v>0</v>
      </c>
      <c r="Q1074" s="17">
        <v>0</v>
      </c>
      <c r="R1074" s="17">
        <v>0</v>
      </c>
      <c r="S1074" s="17"/>
      <c r="T1074" s="17" t="s">
        <v>2998</v>
      </c>
      <c r="U1074" s="17" t="s">
        <v>3057</v>
      </c>
      <c r="V1074" s="17" t="s">
        <v>3056</v>
      </c>
      <c r="W1074" s="17"/>
      <c r="X1074" s="17"/>
    </row>
    <row r="1075" spans="1:24" hidden="1">
      <c r="A1075" s="18">
        <v>1074</v>
      </c>
      <c r="B1075" s="17" t="s">
        <v>2313</v>
      </c>
      <c r="C1075" s="17" t="s">
        <v>2314</v>
      </c>
      <c r="D1075" s="17" t="s">
        <v>17</v>
      </c>
      <c r="E1075" s="17" t="s">
        <v>8</v>
      </c>
      <c r="F1075" s="17">
        <v>0</v>
      </c>
      <c r="G1075" s="17">
        <v>0</v>
      </c>
      <c r="H1075" s="17">
        <v>0</v>
      </c>
      <c r="I1075" s="17">
        <v>0</v>
      </c>
      <c r="J1075" s="17">
        <v>0</v>
      </c>
      <c r="K1075" s="17">
        <v>0</v>
      </c>
      <c r="L1075" s="17">
        <v>0</v>
      </c>
      <c r="M1075" s="17">
        <v>0</v>
      </c>
      <c r="N1075" s="17">
        <v>0</v>
      </c>
      <c r="O1075" s="17">
        <v>0</v>
      </c>
      <c r="P1075" s="17">
        <v>0</v>
      </c>
      <c r="Q1075" s="17">
        <v>0</v>
      </c>
      <c r="R1075" s="17">
        <v>0</v>
      </c>
      <c r="S1075" s="17"/>
      <c r="T1075" s="17" t="s">
        <v>2998</v>
      </c>
      <c r="U1075" s="17" t="s">
        <v>3057</v>
      </c>
      <c r="V1075" s="17" t="s">
        <v>3056</v>
      </c>
      <c r="W1075" s="17"/>
      <c r="X1075" s="17"/>
    </row>
    <row r="1076" spans="1:24" hidden="1">
      <c r="A1076" s="18">
        <v>1075</v>
      </c>
      <c r="B1076" s="17" t="s">
        <v>2315</v>
      </c>
      <c r="C1076" s="17" t="s">
        <v>2316</v>
      </c>
      <c r="D1076" s="17" t="s">
        <v>17</v>
      </c>
      <c r="E1076" s="17" t="s">
        <v>8</v>
      </c>
      <c r="F1076" s="17">
        <v>3000</v>
      </c>
      <c r="G1076" s="17">
        <v>0</v>
      </c>
      <c r="H1076" s="17">
        <v>500</v>
      </c>
      <c r="I1076" s="17">
        <v>2500</v>
      </c>
      <c r="J1076" s="17">
        <v>0</v>
      </c>
      <c r="K1076" s="17">
        <v>0</v>
      </c>
      <c r="L1076" s="17">
        <v>2500</v>
      </c>
      <c r="M1076" s="17">
        <v>0</v>
      </c>
      <c r="N1076" s="17">
        <v>0</v>
      </c>
      <c r="O1076" s="17">
        <v>2500</v>
      </c>
      <c r="P1076" s="17">
        <v>1500</v>
      </c>
      <c r="Q1076" s="17">
        <v>1000</v>
      </c>
      <c r="R1076" s="17">
        <v>0</v>
      </c>
      <c r="S1076" s="17"/>
      <c r="T1076" s="17" t="s">
        <v>2972</v>
      </c>
      <c r="U1076" s="17" t="s">
        <v>3057</v>
      </c>
      <c r="V1076" s="17" t="s">
        <v>3056</v>
      </c>
      <c r="W1076" s="17"/>
      <c r="X1076" s="17"/>
    </row>
    <row r="1077" spans="1:24" hidden="1">
      <c r="A1077" s="18">
        <v>1076</v>
      </c>
      <c r="B1077" s="17" t="s">
        <v>2397</v>
      </c>
      <c r="C1077" s="17" t="s">
        <v>2398</v>
      </c>
      <c r="D1077" s="17" t="s">
        <v>17</v>
      </c>
      <c r="E1077" s="17" t="s">
        <v>8</v>
      </c>
      <c r="F1077" s="17">
        <v>30</v>
      </c>
      <c r="G1077" s="17">
        <v>0</v>
      </c>
      <c r="H1077" s="17">
        <v>0</v>
      </c>
      <c r="I1077" s="17">
        <v>30</v>
      </c>
      <c r="J1077" s="17">
        <v>0</v>
      </c>
      <c r="K1077" s="17">
        <v>0</v>
      </c>
      <c r="L1077" s="17">
        <v>30</v>
      </c>
      <c r="M1077" s="17">
        <v>0</v>
      </c>
      <c r="N1077" s="17">
        <v>0</v>
      </c>
      <c r="O1077" s="17">
        <v>30</v>
      </c>
      <c r="P1077" s="17">
        <v>0</v>
      </c>
      <c r="Q1077" s="17">
        <v>30</v>
      </c>
      <c r="R1077" s="17">
        <v>0</v>
      </c>
      <c r="S1077" s="17"/>
      <c r="T1077" s="17" t="s">
        <v>2991</v>
      </c>
      <c r="U1077" s="17" t="s">
        <v>3060</v>
      </c>
      <c r="V1077" s="17" t="s">
        <v>3058</v>
      </c>
      <c r="W1077" s="17"/>
      <c r="X1077" s="17"/>
    </row>
    <row r="1078" spans="1:24" hidden="1">
      <c r="A1078" s="18">
        <v>1077</v>
      </c>
      <c r="B1078" s="17" t="s">
        <v>2399</v>
      </c>
      <c r="C1078" s="17" t="s">
        <v>2400</v>
      </c>
      <c r="D1078" s="17" t="s">
        <v>17</v>
      </c>
      <c r="E1078" s="17" t="s">
        <v>8</v>
      </c>
      <c r="F1078" s="17">
        <v>0</v>
      </c>
      <c r="G1078" s="17">
        <v>0</v>
      </c>
      <c r="H1078" s="17">
        <v>0</v>
      </c>
      <c r="I1078" s="17">
        <v>0</v>
      </c>
      <c r="J1078" s="17">
        <v>0</v>
      </c>
      <c r="K1078" s="17">
        <v>0</v>
      </c>
      <c r="L1078" s="17">
        <v>0</v>
      </c>
      <c r="M1078" s="17">
        <v>0</v>
      </c>
      <c r="N1078" s="17">
        <v>0</v>
      </c>
      <c r="O1078" s="17">
        <v>0</v>
      </c>
      <c r="P1078" s="17">
        <v>0</v>
      </c>
      <c r="Q1078" s="17">
        <v>0</v>
      </c>
      <c r="R1078" s="17">
        <v>0</v>
      </c>
      <c r="S1078" s="17"/>
      <c r="T1078" s="17" t="s">
        <v>2982</v>
      </c>
      <c r="U1078" s="17" t="s">
        <v>3060</v>
      </c>
      <c r="V1078" s="17" t="s">
        <v>3058</v>
      </c>
      <c r="W1078" s="17"/>
      <c r="X1078" s="17"/>
    </row>
    <row r="1079" spans="1:24" hidden="1">
      <c r="A1079" s="18">
        <v>1078</v>
      </c>
      <c r="B1079" s="17" t="s">
        <v>2401</v>
      </c>
      <c r="C1079" s="17" t="s">
        <v>2402</v>
      </c>
      <c r="D1079" s="17" t="s">
        <v>17</v>
      </c>
      <c r="E1079" s="17" t="s">
        <v>8</v>
      </c>
      <c r="F1079" s="17">
        <v>0</v>
      </c>
      <c r="G1079" s="17">
        <v>0</v>
      </c>
      <c r="H1079" s="17">
        <v>0</v>
      </c>
      <c r="I1079" s="17">
        <v>0</v>
      </c>
      <c r="J1079" s="17">
        <v>0</v>
      </c>
      <c r="K1079" s="17">
        <v>0</v>
      </c>
      <c r="L1079" s="17">
        <v>0</v>
      </c>
      <c r="M1079" s="17">
        <v>0</v>
      </c>
      <c r="N1079" s="17">
        <v>0</v>
      </c>
      <c r="O1079" s="17">
        <v>0</v>
      </c>
      <c r="P1079" s="17">
        <v>0</v>
      </c>
      <c r="Q1079" s="17">
        <v>0</v>
      </c>
      <c r="R1079" s="17">
        <v>0</v>
      </c>
      <c r="S1079" s="17"/>
      <c r="T1079" s="17" t="s">
        <v>2982</v>
      </c>
      <c r="U1079" s="17" t="s">
        <v>3060</v>
      </c>
      <c r="V1079" s="17" t="s">
        <v>3058</v>
      </c>
      <c r="W1079" s="17"/>
      <c r="X1079" s="17"/>
    </row>
    <row r="1080" spans="1:24" hidden="1">
      <c r="A1080" s="18">
        <v>1079</v>
      </c>
      <c r="B1080" s="17" t="s">
        <v>2403</v>
      </c>
      <c r="C1080" s="17" t="s">
        <v>2404</v>
      </c>
      <c r="D1080" s="17" t="s">
        <v>17</v>
      </c>
      <c r="E1080" s="17" t="s">
        <v>8</v>
      </c>
      <c r="F1080" s="17">
        <v>0</v>
      </c>
      <c r="G1080" s="17">
        <v>0</v>
      </c>
      <c r="H1080" s="17">
        <v>0</v>
      </c>
      <c r="I1080" s="17">
        <v>0</v>
      </c>
      <c r="J1080" s="17">
        <v>0</v>
      </c>
      <c r="K1080" s="17">
        <v>0</v>
      </c>
      <c r="L1080" s="17">
        <v>0</v>
      </c>
      <c r="M1080" s="17">
        <v>0</v>
      </c>
      <c r="N1080" s="17">
        <v>0</v>
      </c>
      <c r="O1080" s="17">
        <v>0</v>
      </c>
      <c r="P1080" s="17">
        <v>0</v>
      </c>
      <c r="Q1080" s="17">
        <v>0</v>
      </c>
      <c r="R1080" s="17">
        <v>0</v>
      </c>
      <c r="S1080" s="17"/>
      <c r="T1080" s="17" t="s">
        <v>2982</v>
      </c>
      <c r="U1080" s="17" t="s">
        <v>3060</v>
      </c>
      <c r="V1080" s="17" t="s">
        <v>3058</v>
      </c>
      <c r="W1080" s="17"/>
      <c r="X1080" s="17"/>
    </row>
    <row r="1081" spans="1:24" hidden="1">
      <c r="A1081" s="18">
        <v>1080</v>
      </c>
      <c r="B1081" s="17" t="s">
        <v>2405</v>
      </c>
      <c r="C1081" s="17" t="s">
        <v>2406</v>
      </c>
      <c r="D1081" s="17" t="s">
        <v>17</v>
      </c>
      <c r="E1081" s="17" t="s">
        <v>8</v>
      </c>
      <c r="F1081" s="17">
        <v>0</v>
      </c>
      <c r="G1081" s="17">
        <v>0</v>
      </c>
      <c r="H1081" s="17">
        <v>0</v>
      </c>
      <c r="I1081" s="17">
        <v>0</v>
      </c>
      <c r="J1081" s="17">
        <v>0</v>
      </c>
      <c r="K1081" s="17">
        <v>0</v>
      </c>
      <c r="L1081" s="17">
        <v>0</v>
      </c>
      <c r="M1081" s="17">
        <v>0</v>
      </c>
      <c r="N1081" s="17">
        <v>0</v>
      </c>
      <c r="O1081" s="17">
        <v>0</v>
      </c>
      <c r="P1081" s="17">
        <v>0</v>
      </c>
      <c r="Q1081" s="17">
        <v>0</v>
      </c>
      <c r="R1081" s="17">
        <v>0</v>
      </c>
      <c r="S1081" s="17"/>
      <c r="T1081" s="17" t="s">
        <v>2982</v>
      </c>
      <c r="U1081" s="17" t="s">
        <v>3060</v>
      </c>
      <c r="V1081" s="17" t="s">
        <v>3058</v>
      </c>
      <c r="W1081" s="17"/>
      <c r="X1081" s="17"/>
    </row>
    <row r="1082" spans="1:24" hidden="1">
      <c r="A1082" s="18">
        <v>1081</v>
      </c>
      <c r="B1082" s="17" t="s">
        <v>2407</v>
      </c>
      <c r="C1082" s="17" t="s">
        <v>2408</v>
      </c>
      <c r="D1082" s="17" t="s">
        <v>17</v>
      </c>
      <c r="E1082" s="17" t="s">
        <v>8</v>
      </c>
      <c r="F1082" s="17">
        <v>0</v>
      </c>
      <c r="G1082" s="17">
        <v>0</v>
      </c>
      <c r="H1082" s="17">
        <v>0</v>
      </c>
      <c r="I1082" s="17">
        <v>0</v>
      </c>
      <c r="J1082" s="17">
        <v>0</v>
      </c>
      <c r="K1082" s="17">
        <v>0</v>
      </c>
      <c r="L1082" s="17">
        <v>0</v>
      </c>
      <c r="M1082" s="17">
        <v>0</v>
      </c>
      <c r="N1082" s="17">
        <v>0</v>
      </c>
      <c r="O1082" s="17">
        <v>0</v>
      </c>
      <c r="P1082" s="17">
        <v>0</v>
      </c>
      <c r="Q1082" s="17">
        <v>0</v>
      </c>
      <c r="R1082" s="17">
        <v>0</v>
      </c>
      <c r="S1082" s="17"/>
      <c r="T1082" s="17" t="s">
        <v>2982</v>
      </c>
      <c r="U1082" s="17" t="s">
        <v>3060</v>
      </c>
      <c r="V1082" s="17" t="s">
        <v>3058</v>
      </c>
      <c r="W1082" s="17"/>
      <c r="X1082" s="17"/>
    </row>
    <row r="1083" spans="1:24" hidden="1">
      <c r="A1083" s="18">
        <v>1082</v>
      </c>
      <c r="B1083" s="17" t="s">
        <v>2409</v>
      </c>
      <c r="C1083" s="17" t="s">
        <v>2410</v>
      </c>
      <c r="D1083" s="17" t="s">
        <v>17</v>
      </c>
      <c r="E1083" s="17" t="s">
        <v>8</v>
      </c>
      <c r="F1083" s="17">
        <v>0</v>
      </c>
      <c r="G1083" s="17">
        <v>0</v>
      </c>
      <c r="H1083" s="17">
        <v>0</v>
      </c>
      <c r="I1083" s="17">
        <v>0</v>
      </c>
      <c r="J1083" s="17">
        <v>0</v>
      </c>
      <c r="K1083" s="17">
        <v>0</v>
      </c>
      <c r="L1083" s="17">
        <v>0</v>
      </c>
      <c r="M1083" s="17">
        <v>0</v>
      </c>
      <c r="N1083" s="17">
        <v>0</v>
      </c>
      <c r="O1083" s="17">
        <v>0</v>
      </c>
      <c r="P1083" s="17">
        <v>0</v>
      </c>
      <c r="Q1083" s="17">
        <v>0</v>
      </c>
      <c r="R1083" s="17">
        <v>0</v>
      </c>
      <c r="S1083" s="17"/>
      <c r="T1083" s="17" t="s">
        <v>2982</v>
      </c>
      <c r="U1083" s="17" t="s">
        <v>3060</v>
      </c>
      <c r="V1083" s="17" t="s">
        <v>3058</v>
      </c>
      <c r="W1083" s="17"/>
      <c r="X1083" s="17"/>
    </row>
    <row r="1084" spans="1:24" hidden="1">
      <c r="A1084" s="18">
        <v>1083</v>
      </c>
      <c r="B1084" s="17" t="s">
        <v>2411</v>
      </c>
      <c r="C1084" s="17" t="s">
        <v>2412</v>
      </c>
      <c r="D1084" s="17" t="s">
        <v>17</v>
      </c>
      <c r="E1084" s="17" t="s">
        <v>8</v>
      </c>
      <c r="F1084" s="17">
        <v>0</v>
      </c>
      <c r="G1084" s="17">
        <v>0</v>
      </c>
      <c r="H1084" s="17">
        <v>0</v>
      </c>
      <c r="I1084" s="17">
        <v>0</v>
      </c>
      <c r="J1084" s="17">
        <v>0</v>
      </c>
      <c r="K1084" s="17">
        <v>0</v>
      </c>
      <c r="L1084" s="17">
        <v>0</v>
      </c>
      <c r="M1084" s="17">
        <v>0</v>
      </c>
      <c r="N1084" s="17">
        <v>0</v>
      </c>
      <c r="O1084" s="17">
        <v>0</v>
      </c>
      <c r="P1084" s="17">
        <v>0</v>
      </c>
      <c r="Q1084" s="17">
        <v>0</v>
      </c>
      <c r="R1084" s="17">
        <v>0</v>
      </c>
      <c r="S1084" s="17"/>
      <c r="T1084" s="17" t="s">
        <v>2982</v>
      </c>
      <c r="U1084" s="17" t="s">
        <v>3060</v>
      </c>
      <c r="V1084" s="17" t="s">
        <v>3058</v>
      </c>
      <c r="W1084" s="17"/>
      <c r="X1084" s="17"/>
    </row>
    <row r="1085" spans="1:24" hidden="1">
      <c r="A1085" s="18">
        <v>1084</v>
      </c>
      <c r="B1085" s="17" t="s">
        <v>2413</v>
      </c>
      <c r="C1085" s="17" t="s">
        <v>2414</v>
      </c>
      <c r="D1085" s="17" t="s">
        <v>17</v>
      </c>
      <c r="E1085" s="17" t="s">
        <v>8</v>
      </c>
      <c r="F1085" s="17">
        <v>0</v>
      </c>
      <c r="G1085" s="17">
        <v>0</v>
      </c>
      <c r="H1085" s="17">
        <v>0</v>
      </c>
      <c r="I1085" s="17">
        <v>0</v>
      </c>
      <c r="J1085" s="17">
        <v>0</v>
      </c>
      <c r="K1085" s="17">
        <v>0</v>
      </c>
      <c r="L1085" s="17">
        <v>0</v>
      </c>
      <c r="M1085" s="17">
        <v>0</v>
      </c>
      <c r="N1085" s="17">
        <v>0</v>
      </c>
      <c r="O1085" s="17">
        <v>0</v>
      </c>
      <c r="P1085" s="17">
        <v>0</v>
      </c>
      <c r="Q1085" s="17">
        <v>0</v>
      </c>
      <c r="R1085" s="17">
        <v>0</v>
      </c>
      <c r="S1085" s="17"/>
      <c r="T1085" s="17" t="s">
        <v>2982</v>
      </c>
      <c r="U1085" s="17" t="s">
        <v>3060</v>
      </c>
      <c r="V1085" s="17" t="s">
        <v>3058</v>
      </c>
      <c r="W1085" s="17"/>
      <c r="X1085" s="17"/>
    </row>
    <row r="1086" spans="1:24" hidden="1">
      <c r="A1086" s="18">
        <v>1085</v>
      </c>
      <c r="B1086" s="17" t="s">
        <v>2415</v>
      </c>
      <c r="C1086" s="17" t="s">
        <v>2416</v>
      </c>
      <c r="D1086" s="17" t="s">
        <v>17</v>
      </c>
      <c r="E1086" s="17" t="s">
        <v>8</v>
      </c>
      <c r="F1086" s="17">
        <v>0</v>
      </c>
      <c r="G1086" s="17">
        <v>0</v>
      </c>
      <c r="H1086" s="17">
        <v>0</v>
      </c>
      <c r="I1086" s="17">
        <v>0</v>
      </c>
      <c r="J1086" s="17">
        <v>0</v>
      </c>
      <c r="K1086" s="17">
        <v>0</v>
      </c>
      <c r="L1086" s="17">
        <v>0</v>
      </c>
      <c r="M1086" s="17">
        <v>0</v>
      </c>
      <c r="N1086" s="17">
        <v>0</v>
      </c>
      <c r="O1086" s="17">
        <v>0</v>
      </c>
      <c r="P1086" s="17">
        <v>0</v>
      </c>
      <c r="Q1086" s="17">
        <v>0</v>
      </c>
      <c r="R1086" s="17">
        <v>0</v>
      </c>
      <c r="S1086" s="17"/>
      <c r="T1086" s="17" t="s">
        <v>2982</v>
      </c>
      <c r="U1086" s="17" t="s">
        <v>3060</v>
      </c>
      <c r="V1086" s="17" t="s">
        <v>3058</v>
      </c>
      <c r="W1086" s="17"/>
      <c r="X1086" s="17"/>
    </row>
    <row r="1087" spans="1:24" hidden="1">
      <c r="A1087" s="18">
        <v>1086</v>
      </c>
      <c r="B1087" s="17" t="s">
        <v>2417</v>
      </c>
      <c r="C1087" s="17" t="s">
        <v>2418</v>
      </c>
      <c r="D1087" s="17" t="s">
        <v>17</v>
      </c>
      <c r="E1087" s="17" t="s">
        <v>8</v>
      </c>
      <c r="F1087" s="17">
        <v>0</v>
      </c>
      <c r="G1087" s="17">
        <v>0</v>
      </c>
      <c r="H1087" s="17">
        <v>0</v>
      </c>
      <c r="I1087" s="17">
        <v>0</v>
      </c>
      <c r="J1087" s="17">
        <v>0</v>
      </c>
      <c r="K1087" s="17">
        <v>0</v>
      </c>
      <c r="L1087" s="17">
        <v>0</v>
      </c>
      <c r="M1087" s="17">
        <v>0</v>
      </c>
      <c r="N1087" s="17">
        <v>0</v>
      </c>
      <c r="O1087" s="17">
        <v>0</v>
      </c>
      <c r="P1087" s="17">
        <v>0</v>
      </c>
      <c r="Q1087" s="17">
        <v>0</v>
      </c>
      <c r="R1087" s="17">
        <v>0</v>
      </c>
      <c r="S1087" s="17"/>
      <c r="T1087" s="17" t="s">
        <v>2982</v>
      </c>
      <c r="U1087" s="17" t="s">
        <v>3060</v>
      </c>
      <c r="V1087" s="17" t="s">
        <v>3058</v>
      </c>
      <c r="W1087" s="17"/>
      <c r="X1087" s="17"/>
    </row>
    <row r="1088" spans="1:24" hidden="1">
      <c r="A1088" s="18">
        <v>1087</v>
      </c>
      <c r="B1088" s="17" t="s">
        <v>2317</v>
      </c>
      <c r="C1088" s="17" t="s">
        <v>2318</v>
      </c>
      <c r="D1088" s="17" t="s">
        <v>7</v>
      </c>
      <c r="E1088" s="17" t="s">
        <v>8</v>
      </c>
      <c r="F1088" s="17">
        <v>0</v>
      </c>
      <c r="G1088" s="17">
        <v>0</v>
      </c>
      <c r="H1088" s="17">
        <v>0</v>
      </c>
      <c r="I1088" s="17">
        <v>0</v>
      </c>
      <c r="J1088" s="17">
        <v>0</v>
      </c>
      <c r="K1088" s="17">
        <v>0</v>
      </c>
      <c r="L1088" s="17">
        <v>0</v>
      </c>
      <c r="M1088" s="17">
        <v>0</v>
      </c>
      <c r="N1088" s="17">
        <v>0</v>
      </c>
      <c r="O1088" s="17">
        <v>0</v>
      </c>
      <c r="P1088" s="17">
        <v>0</v>
      </c>
      <c r="Q1088" s="17">
        <v>0</v>
      </c>
      <c r="R1088" s="17">
        <v>0</v>
      </c>
      <c r="S1088" s="17"/>
      <c r="T1088" s="17" t="s">
        <v>2972</v>
      </c>
      <c r="U1088" s="17" t="s">
        <v>3057</v>
      </c>
      <c r="V1088" s="17" t="s">
        <v>3056</v>
      </c>
      <c r="W1088" s="17"/>
      <c r="X1088" s="17"/>
    </row>
    <row r="1089" spans="1:24" hidden="1">
      <c r="A1089" s="18">
        <v>1088</v>
      </c>
      <c r="B1089" s="17" t="s">
        <v>2421</v>
      </c>
      <c r="C1089" s="17" t="s">
        <v>2422</v>
      </c>
      <c r="D1089" s="17" t="s">
        <v>17</v>
      </c>
      <c r="E1089" s="17" t="s">
        <v>8</v>
      </c>
      <c r="F1089" s="17">
        <v>0</v>
      </c>
      <c r="G1089" s="17">
        <v>4</v>
      </c>
      <c r="H1089" s="17">
        <v>4</v>
      </c>
      <c r="I1089" s="17">
        <v>0</v>
      </c>
      <c r="J1089" s="17">
        <v>0</v>
      </c>
      <c r="K1089" s="17">
        <v>0</v>
      </c>
      <c r="L1089" s="17">
        <v>0</v>
      </c>
      <c r="M1089" s="17">
        <v>0</v>
      </c>
      <c r="N1089" s="17">
        <v>0</v>
      </c>
      <c r="O1089" s="17">
        <v>0</v>
      </c>
      <c r="P1089" s="17">
        <v>0</v>
      </c>
      <c r="Q1089" s="17">
        <v>0</v>
      </c>
      <c r="R1089" s="17">
        <v>0</v>
      </c>
      <c r="S1089" s="17"/>
      <c r="T1089" s="17" t="s">
        <v>2965</v>
      </c>
      <c r="U1089" s="17" t="s">
        <v>3060</v>
      </c>
      <c r="V1089" s="17" t="s">
        <v>3058</v>
      </c>
      <c r="W1089" s="17"/>
      <c r="X1089" s="17"/>
    </row>
    <row r="1090" spans="1:24" hidden="1">
      <c r="A1090" s="18">
        <v>1089</v>
      </c>
      <c r="B1090" s="17" t="s">
        <v>2423</v>
      </c>
      <c r="C1090" s="17" t="s">
        <v>2424</v>
      </c>
      <c r="D1090" s="17" t="s">
        <v>17</v>
      </c>
      <c r="E1090" s="17" t="s">
        <v>8</v>
      </c>
      <c r="F1090" s="17">
        <v>0</v>
      </c>
      <c r="G1090" s="17">
        <v>0</v>
      </c>
      <c r="H1090" s="17">
        <v>0</v>
      </c>
      <c r="I1090" s="17">
        <v>0</v>
      </c>
      <c r="J1090" s="17">
        <v>0</v>
      </c>
      <c r="K1090" s="17">
        <v>0</v>
      </c>
      <c r="L1090" s="17">
        <v>0</v>
      </c>
      <c r="M1090" s="17">
        <v>0</v>
      </c>
      <c r="N1090" s="17">
        <v>0</v>
      </c>
      <c r="O1090" s="17">
        <v>0</v>
      </c>
      <c r="P1090" s="17">
        <v>0</v>
      </c>
      <c r="Q1090" s="17">
        <v>0</v>
      </c>
      <c r="R1090" s="17">
        <v>0</v>
      </c>
      <c r="S1090" s="17"/>
      <c r="T1090" s="17" t="s">
        <v>2982</v>
      </c>
      <c r="U1090" s="17" t="s">
        <v>3060</v>
      </c>
      <c r="V1090" s="17" t="s">
        <v>3058</v>
      </c>
      <c r="W1090" s="17"/>
      <c r="X1090" s="17"/>
    </row>
    <row r="1091" spans="1:24" hidden="1">
      <c r="A1091" s="18">
        <v>1090</v>
      </c>
      <c r="B1091" s="17" t="s">
        <v>2321</v>
      </c>
      <c r="C1091" s="17" t="s">
        <v>2322</v>
      </c>
      <c r="D1091" s="17" t="s">
        <v>2130</v>
      </c>
      <c r="E1091" s="17" t="s">
        <v>8</v>
      </c>
      <c r="F1091" s="17">
        <v>0</v>
      </c>
      <c r="G1091" s="17">
        <v>0</v>
      </c>
      <c r="H1091" s="17">
        <v>0</v>
      </c>
      <c r="I1091" s="17">
        <v>0</v>
      </c>
      <c r="J1091" s="17">
        <v>0</v>
      </c>
      <c r="K1091" s="17">
        <v>0</v>
      </c>
      <c r="L1091" s="17">
        <v>0</v>
      </c>
      <c r="M1091" s="17">
        <v>0</v>
      </c>
      <c r="N1091" s="17">
        <v>0</v>
      </c>
      <c r="O1091" s="17">
        <v>0</v>
      </c>
      <c r="P1091" s="17">
        <v>0</v>
      </c>
      <c r="Q1091" s="17">
        <v>0</v>
      </c>
      <c r="R1091" s="17">
        <v>0</v>
      </c>
      <c r="S1091" s="17"/>
      <c r="T1091" s="17" t="s">
        <v>2998</v>
      </c>
      <c r="U1091" s="17" t="s">
        <v>3057</v>
      </c>
      <c r="V1091" s="17" t="s">
        <v>3056</v>
      </c>
      <c r="W1091" s="17"/>
      <c r="X1091" s="17"/>
    </row>
    <row r="1092" spans="1:24" hidden="1">
      <c r="A1092" s="18">
        <v>1091</v>
      </c>
      <c r="B1092" s="17" t="s">
        <v>2429</v>
      </c>
      <c r="C1092" s="17" t="s">
        <v>2430</v>
      </c>
      <c r="D1092" s="17" t="s">
        <v>17</v>
      </c>
      <c r="E1092" s="17" t="s">
        <v>8</v>
      </c>
      <c r="F1092" s="17">
        <v>0</v>
      </c>
      <c r="G1092" s="17">
        <v>0</v>
      </c>
      <c r="H1092" s="17">
        <v>0</v>
      </c>
      <c r="I1092" s="17">
        <v>0</v>
      </c>
      <c r="J1092" s="17">
        <v>0</v>
      </c>
      <c r="K1092" s="17">
        <v>0</v>
      </c>
      <c r="L1092" s="17">
        <v>0</v>
      </c>
      <c r="M1092" s="17">
        <v>0</v>
      </c>
      <c r="N1092" s="17">
        <v>0</v>
      </c>
      <c r="O1092" s="17">
        <v>0</v>
      </c>
      <c r="P1092" s="17">
        <v>0</v>
      </c>
      <c r="Q1092" s="17">
        <v>0</v>
      </c>
      <c r="R1092" s="17">
        <v>0</v>
      </c>
      <c r="S1092" s="17"/>
      <c r="T1092" s="17" t="s">
        <v>2982</v>
      </c>
      <c r="U1092" s="17" t="s">
        <v>3060</v>
      </c>
      <c r="V1092" s="17" t="s">
        <v>3058</v>
      </c>
      <c r="W1092" s="17"/>
      <c r="X1092" s="17"/>
    </row>
    <row r="1093" spans="1:24" hidden="1">
      <c r="A1093" s="18">
        <v>1092</v>
      </c>
      <c r="B1093" s="17" t="s">
        <v>2431</v>
      </c>
      <c r="C1093" s="17" t="s">
        <v>2432</v>
      </c>
      <c r="D1093" s="17" t="s">
        <v>17</v>
      </c>
      <c r="E1093" s="17" t="s">
        <v>8</v>
      </c>
      <c r="F1093" s="17">
        <v>0</v>
      </c>
      <c r="G1093" s="17">
        <v>0</v>
      </c>
      <c r="H1093" s="17">
        <v>0</v>
      </c>
      <c r="I1093" s="17">
        <v>0</v>
      </c>
      <c r="J1093" s="17">
        <v>0</v>
      </c>
      <c r="K1093" s="17">
        <v>0</v>
      </c>
      <c r="L1093" s="17">
        <v>0</v>
      </c>
      <c r="M1093" s="17">
        <v>0</v>
      </c>
      <c r="N1093" s="17">
        <v>0</v>
      </c>
      <c r="O1093" s="17">
        <v>0</v>
      </c>
      <c r="P1093" s="17">
        <v>0</v>
      </c>
      <c r="Q1093" s="17">
        <v>0</v>
      </c>
      <c r="R1093" s="17">
        <v>0</v>
      </c>
      <c r="S1093" s="17"/>
      <c r="T1093" s="17" t="s">
        <v>2982</v>
      </c>
      <c r="U1093" s="17" t="s">
        <v>3060</v>
      </c>
      <c r="V1093" s="17" t="s">
        <v>3058</v>
      </c>
      <c r="W1093" s="17"/>
      <c r="X1093" s="17"/>
    </row>
    <row r="1094" spans="1:24" hidden="1">
      <c r="A1094" s="18">
        <v>1093</v>
      </c>
      <c r="B1094" s="17" t="s">
        <v>2433</v>
      </c>
      <c r="C1094" s="17" t="s">
        <v>2434</v>
      </c>
      <c r="D1094" s="17" t="s">
        <v>17</v>
      </c>
      <c r="E1094" s="17" t="s">
        <v>8</v>
      </c>
      <c r="F1094" s="17">
        <v>0</v>
      </c>
      <c r="G1094" s="17">
        <v>0</v>
      </c>
      <c r="H1094" s="17">
        <v>0</v>
      </c>
      <c r="I1094" s="17">
        <v>0</v>
      </c>
      <c r="J1094" s="17">
        <v>0</v>
      </c>
      <c r="K1094" s="17">
        <v>0</v>
      </c>
      <c r="L1094" s="17">
        <v>0</v>
      </c>
      <c r="M1094" s="17">
        <v>0</v>
      </c>
      <c r="N1094" s="17">
        <v>0</v>
      </c>
      <c r="O1094" s="17">
        <v>0</v>
      </c>
      <c r="P1094" s="17">
        <v>0</v>
      </c>
      <c r="Q1094" s="17">
        <v>0</v>
      </c>
      <c r="R1094" s="17">
        <v>0</v>
      </c>
      <c r="S1094" s="17"/>
      <c r="T1094" s="17" t="s">
        <v>2982</v>
      </c>
      <c r="U1094" s="17" t="s">
        <v>3060</v>
      </c>
      <c r="V1094" s="17" t="s">
        <v>3058</v>
      </c>
      <c r="W1094" s="17"/>
      <c r="X1094" s="17"/>
    </row>
    <row r="1095" spans="1:24" hidden="1">
      <c r="A1095" s="18">
        <v>1094</v>
      </c>
      <c r="B1095" s="17" t="s">
        <v>2435</v>
      </c>
      <c r="C1095" s="17" t="s">
        <v>2436</v>
      </c>
      <c r="D1095" s="17" t="s">
        <v>17</v>
      </c>
      <c r="E1095" s="17" t="s">
        <v>8</v>
      </c>
      <c r="F1095" s="17">
        <v>0</v>
      </c>
      <c r="G1095" s="17">
        <v>0</v>
      </c>
      <c r="H1095" s="17">
        <v>0</v>
      </c>
      <c r="I1095" s="17">
        <v>0</v>
      </c>
      <c r="J1095" s="17">
        <v>0</v>
      </c>
      <c r="K1095" s="17">
        <v>0</v>
      </c>
      <c r="L1095" s="17">
        <v>0</v>
      </c>
      <c r="M1095" s="17">
        <v>0</v>
      </c>
      <c r="N1095" s="17">
        <v>0</v>
      </c>
      <c r="O1095" s="17">
        <v>0</v>
      </c>
      <c r="P1095" s="17">
        <v>0</v>
      </c>
      <c r="Q1095" s="17">
        <v>0</v>
      </c>
      <c r="R1095" s="17">
        <v>0</v>
      </c>
      <c r="S1095" s="17"/>
      <c r="T1095" s="17" t="s">
        <v>2982</v>
      </c>
      <c r="U1095" s="17" t="s">
        <v>3060</v>
      </c>
      <c r="V1095" s="17" t="s">
        <v>3058</v>
      </c>
      <c r="W1095" s="17"/>
      <c r="X1095" s="17"/>
    </row>
    <row r="1096" spans="1:24" hidden="1">
      <c r="A1096" s="18">
        <v>1095</v>
      </c>
      <c r="B1096" s="17" t="s">
        <v>2437</v>
      </c>
      <c r="C1096" s="17" t="s">
        <v>2438</v>
      </c>
      <c r="D1096" s="17" t="s">
        <v>17</v>
      </c>
      <c r="E1096" s="17" t="s">
        <v>8</v>
      </c>
      <c r="F1096" s="17">
        <v>0</v>
      </c>
      <c r="G1096" s="17">
        <v>0</v>
      </c>
      <c r="H1096" s="17">
        <v>0</v>
      </c>
      <c r="I1096" s="17">
        <v>0</v>
      </c>
      <c r="J1096" s="17">
        <v>0</v>
      </c>
      <c r="K1096" s="17">
        <v>0</v>
      </c>
      <c r="L1096" s="17">
        <v>0</v>
      </c>
      <c r="M1096" s="17">
        <v>0</v>
      </c>
      <c r="N1096" s="17">
        <v>0</v>
      </c>
      <c r="O1096" s="17">
        <v>0</v>
      </c>
      <c r="P1096" s="17">
        <v>0</v>
      </c>
      <c r="Q1096" s="17">
        <v>0</v>
      </c>
      <c r="R1096" s="17">
        <v>0</v>
      </c>
      <c r="S1096" s="17"/>
      <c r="T1096" s="17" t="s">
        <v>2982</v>
      </c>
      <c r="U1096" s="17" t="s">
        <v>3060</v>
      </c>
      <c r="V1096" s="17" t="s">
        <v>3058</v>
      </c>
      <c r="W1096" s="17"/>
      <c r="X1096" s="17"/>
    </row>
    <row r="1097" spans="1:24" hidden="1">
      <c r="A1097" s="18">
        <v>1096</v>
      </c>
      <c r="B1097" s="17" t="s">
        <v>2439</v>
      </c>
      <c r="C1097" s="17" t="s">
        <v>2440</v>
      </c>
      <c r="D1097" s="17" t="s">
        <v>17</v>
      </c>
      <c r="E1097" s="17" t="s">
        <v>8</v>
      </c>
      <c r="F1097" s="17">
        <v>0</v>
      </c>
      <c r="G1097" s="17">
        <v>0</v>
      </c>
      <c r="H1097" s="17">
        <v>0</v>
      </c>
      <c r="I1097" s="17">
        <v>0</v>
      </c>
      <c r="J1097" s="17">
        <v>0</v>
      </c>
      <c r="K1097" s="17">
        <v>0</v>
      </c>
      <c r="L1097" s="17">
        <v>0</v>
      </c>
      <c r="M1097" s="17">
        <v>0</v>
      </c>
      <c r="N1097" s="17">
        <v>0</v>
      </c>
      <c r="O1097" s="17">
        <v>0</v>
      </c>
      <c r="P1097" s="17">
        <v>0</v>
      </c>
      <c r="Q1097" s="17">
        <v>0</v>
      </c>
      <c r="R1097" s="17">
        <v>0</v>
      </c>
      <c r="S1097" s="17"/>
      <c r="T1097" s="17" t="s">
        <v>2982</v>
      </c>
      <c r="U1097" s="17" t="s">
        <v>3060</v>
      </c>
      <c r="V1097" s="17" t="s">
        <v>3058</v>
      </c>
      <c r="W1097" s="17"/>
      <c r="X1097" s="17"/>
    </row>
    <row r="1098" spans="1:24" hidden="1">
      <c r="A1098" s="18">
        <v>1097</v>
      </c>
      <c r="B1098" s="17" t="s">
        <v>2377</v>
      </c>
      <c r="C1098" s="17" t="s">
        <v>2378</v>
      </c>
      <c r="D1098" s="17" t="s">
        <v>17</v>
      </c>
      <c r="E1098" s="17" t="s">
        <v>8</v>
      </c>
      <c r="F1098" s="17">
        <v>131</v>
      </c>
      <c r="G1098" s="17">
        <v>0</v>
      </c>
      <c r="H1098" s="17">
        <v>0</v>
      </c>
      <c r="I1098" s="17">
        <v>131</v>
      </c>
      <c r="J1098" s="17">
        <v>0</v>
      </c>
      <c r="K1098" s="17">
        <v>0</v>
      </c>
      <c r="L1098" s="17">
        <v>131</v>
      </c>
      <c r="M1098" s="17">
        <v>0</v>
      </c>
      <c r="N1098" s="17">
        <v>0</v>
      </c>
      <c r="O1098" s="17">
        <v>131</v>
      </c>
      <c r="P1098" s="17">
        <v>100</v>
      </c>
      <c r="Q1098" s="17">
        <v>31</v>
      </c>
      <c r="R1098" s="17">
        <v>0</v>
      </c>
      <c r="S1098" s="17"/>
      <c r="T1098" s="17" t="s">
        <v>2972</v>
      </c>
      <c r="U1098" s="17" t="s">
        <v>3057</v>
      </c>
      <c r="V1098" s="17" t="s">
        <v>3056</v>
      </c>
      <c r="W1098" s="17"/>
      <c r="X1098" s="17"/>
    </row>
    <row r="1099" spans="1:24" hidden="1">
      <c r="A1099" s="18">
        <v>1098</v>
      </c>
      <c r="B1099" s="17" t="s">
        <v>2443</v>
      </c>
      <c r="C1099" s="17" t="s">
        <v>2444</v>
      </c>
      <c r="D1099" s="17" t="s">
        <v>17</v>
      </c>
      <c r="E1099" s="17" t="s">
        <v>8</v>
      </c>
      <c r="F1099" s="17">
        <v>0</v>
      </c>
      <c r="G1099" s="17">
        <v>0</v>
      </c>
      <c r="H1099" s="17">
        <v>0</v>
      </c>
      <c r="I1099" s="17">
        <v>0</v>
      </c>
      <c r="J1099" s="17">
        <v>0</v>
      </c>
      <c r="K1099" s="17">
        <v>0</v>
      </c>
      <c r="L1099" s="17">
        <v>0</v>
      </c>
      <c r="M1099" s="17">
        <v>0</v>
      </c>
      <c r="N1099" s="17">
        <v>0</v>
      </c>
      <c r="O1099" s="17">
        <v>0</v>
      </c>
      <c r="P1099" s="17">
        <v>0</v>
      </c>
      <c r="Q1099" s="17">
        <v>0</v>
      </c>
      <c r="R1099" s="17">
        <v>0</v>
      </c>
      <c r="S1099" s="17"/>
      <c r="T1099" s="17" t="s">
        <v>2982</v>
      </c>
      <c r="U1099" s="17" t="s">
        <v>3060</v>
      </c>
      <c r="V1099" s="17" t="s">
        <v>3064</v>
      </c>
      <c r="W1099" s="17"/>
      <c r="X1099" s="17"/>
    </row>
    <row r="1100" spans="1:24" hidden="1">
      <c r="A1100" s="18">
        <v>1099</v>
      </c>
      <c r="B1100" s="17" t="s">
        <v>2445</v>
      </c>
      <c r="C1100" s="17" t="s">
        <v>2446</v>
      </c>
      <c r="D1100" s="17" t="s">
        <v>17</v>
      </c>
      <c r="E1100" s="17" t="s">
        <v>8</v>
      </c>
      <c r="F1100" s="17">
        <v>0</v>
      </c>
      <c r="G1100" s="17">
        <v>0</v>
      </c>
      <c r="H1100" s="17">
        <v>0</v>
      </c>
      <c r="I1100" s="17">
        <v>0</v>
      </c>
      <c r="J1100" s="17">
        <v>0</v>
      </c>
      <c r="K1100" s="17">
        <v>0</v>
      </c>
      <c r="L1100" s="17">
        <v>0</v>
      </c>
      <c r="M1100" s="17">
        <v>0</v>
      </c>
      <c r="N1100" s="17">
        <v>0</v>
      </c>
      <c r="O1100" s="17">
        <v>0</v>
      </c>
      <c r="P1100" s="17">
        <v>0</v>
      </c>
      <c r="Q1100" s="17">
        <v>0</v>
      </c>
      <c r="R1100" s="17">
        <v>0</v>
      </c>
      <c r="S1100" s="17"/>
      <c r="T1100" s="17" t="s">
        <v>2982</v>
      </c>
      <c r="U1100" s="17" t="s">
        <v>3060</v>
      </c>
      <c r="V1100" s="17" t="s">
        <v>3058</v>
      </c>
      <c r="W1100" s="17"/>
      <c r="X1100" s="17"/>
    </row>
    <row r="1101" spans="1:24" hidden="1">
      <c r="A1101" s="18">
        <v>1100</v>
      </c>
      <c r="B1101" s="17" t="s">
        <v>2447</v>
      </c>
      <c r="C1101" s="17" t="s">
        <v>2448</v>
      </c>
      <c r="D1101" s="17" t="s">
        <v>17</v>
      </c>
      <c r="E1101" s="17" t="s">
        <v>8</v>
      </c>
      <c r="F1101" s="17">
        <v>0</v>
      </c>
      <c r="G1101" s="17">
        <v>0</v>
      </c>
      <c r="H1101" s="17">
        <v>0</v>
      </c>
      <c r="I1101" s="17">
        <v>0</v>
      </c>
      <c r="J1101" s="17">
        <v>0</v>
      </c>
      <c r="K1101" s="17">
        <v>0</v>
      </c>
      <c r="L1101" s="17">
        <v>0</v>
      </c>
      <c r="M1101" s="17">
        <v>0</v>
      </c>
      <c r="N1101" s="17">
        <v>0</v>
      </c>
      <c r="O1101" s="17">
        <v>0</v>
      </c>
      <c r="P1101" s="17">
        <v>0</v>
      </c>
      <c r="Q1101" s="17">
        <v>0</v>
      </c>
      <c r="R1101" s="17">
        <v>0</v>
      </c>
      <c r="S1101" s="17"/>
      <c r="T1101" s="17" t="s">
        <v>2982</v>
      </c>
      <c r="U1101" s="17" t="s">
        <v>3060</v>
      </c>
      <c r="V1101" s="17" t="s">
        <v>3058</v>
      </c>
      <c r="W1101" s="17"/>
      <c r="X1101" s="17"/>
    </row>
    <row r="1102" spans="1:24" hidden="1">
      <c r="A1102" s="18">
        <v>1101</v>
      </c>
      <c r="B1102" s="17" t="s">
        <v>2449</v>
      </c>
      <c r="C1102" s="17" t="s">
        <v>2450</v>
      </c>
      <c r="D1102" s="17" t="s">
        <v>17</v>
      </c>
      <c r="E1102" s="17" t="s">
        <v>8</v>
      </c>
      <c r="F1102" s="17">
        <v>0</v>
      </c>
      <c r="G1102" s="17">
        <v>0</v>
      </c>
      <c r="H1102" s="17">
        <v>0</v>
      </c>
      <c r="I1102" s="17">
        <v>0</v>
      </c>
      <c r="J1102" s="17">
        <v>0</v>
      </c>
      <c r="K1102" s="17">
        <v>0</v>
      </c>
      <c r="L1102" s="17">
        <v>0</v>
      </c>
      <c r="M1102" s="17">
        <v>0</v>
      </c>
      <c r="N1102" s="17">
        <v>0</v>
      </c>
      <c r="O1102" s="17">
        <v>0</v>
      </c>
      <c r="P1102" s="17">
        <v>0</v>
      </c>
      <c r="Q1102" s="17">
        <v>0</v>
      </c>
      <c r="R1102" s="17">
        <v>0</v>
      </c>
      <c r="S1102" s="17"/>
      <c r="T1102" s="17" t="s">
        <v>2982</v>
      </c>
      <c r="U1102" s="17" t="s">
        <v>3060</v>
      </c>
      <c r="V1102" s="17" t="s">
        <v>3058</v>
      </c>
      <c r="W1102" s="17"/>
      <c r="X1102" s="17"/>
    </row>
    <row r="1103" spans="1:24" hidden="1">
      <c r="A1103" s="18">
        <v>1102</v>
      </c>
      <c r="B1103" s="17" t="s">
        <v>2451</v>
      </c>
      <c r="C1103" s="17" t="s">
        <v>2452</v>
      </c>
      <c r="D1103" s="17" t="s">
        <v>17</v>
      </c>
      <c r="E1103" s="17" t="s">
        <v>8</v>
      </c>
      <c r="F1103" s="17">
        <v>0</v>
      </c>
      <c r="G1103" s="17">
        <v>0</v>
      </c>
      <c r="H1103" s="17">
        <v>0</v>
      </c>
      <c r="I1103" s="17">
        <v>0</v>
      </c>
      <c r="J1103" s="17">
        <v>0</v>
      </c>
      <c r="K1103" s="17">
        <v>0</v>
      </c>
      <c r="L1103" s="17">
        <v>0</v>
      </c>
      <c r="M1103" s="17">
        <v>0</v>
      </c>
      <c r="N1103" s="17">
        <v>0</v>
      </c>
      <c r="O1103" s="17">
        <v>0</v>
      </c>
      <c r="P1103" s="17">
        <v>0</v>
      </c>
      <c r="Q1103" s="17">
        <v>0</v>
      </c>
      <c r="R1103" s="17">
        <v>0</v>
      </c>
      <c r="S1103" s="17"/>
      <c r="T1103" s="17" t="s">
        <v>2982</v>
      </c>
      <c r="U1103" s="17" t="s">
        <v>3060</v>
      </c>
      <c r="V1103" s="17" t="s">
        <v>3058</v>
      </c>
      <c r="W1103" s="17"/>
      <c r="X1103" s="17"/>
    </row>
    <row r="1104" spans="1:24" hidden="1">
      <c r="A1104" s="18">
        <v>1103</v>
      </c>
      <c r="B1104" s="17" t="s">
        <v>2453</v>
      </c>
      <c r="C1104" s="17" t="s">
        <v>2454</v>
      </c>
      <c r="D1104" s="17" t="s">
        <v>17</v>
      </c>
      <c r="E1104" s="17" t="s">
        <v>8</v>
      </c>
      <c r="F1104" s="17">
        <v>290</v>
      </c>
      <c r="G1104" s="17">
        <v>0</v>
      </c>
      <c r="H1104" s="17">
        <v>0</v>
      </c>
      <c r="I1104" s="17">
        <v>290</v>
      </c>
      <c r="J1104" s="17">
        <v>0</v>
      </c>
      <c r="K1104" s="17">
        <v>0</v>
      </c>
      <c r="L1104" s="17">
        <v>290</v>
      </c>
      <c r="M1104" s="17">
        <v>0</v>
      </c>
      <c r="N1104" s="17">
        <v>0</v>
      </c>
      <c r="O1104" s="17">
        <v>290</v>
      </c>
      <c r="P1104" s="17">
        <v>200</v>
      </c>
      <c r="Q1104" s="17">
        <v>90</v>
      </c>
      <c r="R1104" s="17">
        <v>0</v>
      </c>
      <c r="S1104" s="17"/>
      <c r="T1104" s="17" t="s">
        <v>2972</v>
      </c>
      <c r="U1104" s="17" t="s">
        <v>3055</v>
      </c>
      <c r="V1104" s="17" t="s">
        <v>3056</v>
      </c>
      <c r="W1104" s="17"/>
      <c r="X1104" s="17"/>
    </row>
    <row r="1105" spans="1:24" hidden="1">
      <c r="A1105" s="18">
        <v>1104</v>
      </c>
      <c r="B1105" s="17" t="s">
        <v>2458</v>
      </c>
      <c r="C1105" s="17" t="s">
        <v>2459</v>
      </c>
      <c r="D1105" s="17" t="s">
        <v>17</v>
      </c>
      <c r="E1105" s="17" t="s">
        <v>8</v>
      </c>
      <c r="F1105" s="17">
        <v>0</v>
      </c>
      <c r="G1105" s="17">
        <v>0</v>
      </c>
      <c r="H1105" s="17">
        <v>0</v>
      </c>
      <c r="I1105" s="17">
        <v>0</v>
      </c>
      <c r="J1105" s="17">
        <v>0</v>
      </c>
      <c r="K1105" s="17">
        <v>0</v>
      </c>
      <c r="L1105" s="17">
        <v>0</v>
      </c>
      <c r="M1105" s="17">
        <v>0</v>
      </c>
      <c r="N1105" s="17">
        <v>0</v>
      </c>
      <c r="O1105" s="17">
        <v>0</v>
      </c>
      <c r="P1105" s="17">
        <v>0</v>
      </c>
      <c r="Q1105" s="17">
        <v>0</v>
      </c>
      <c r="R1105" s="17">
        <v>0</v>
      </c>
      <c r="S1105" s="17"/>
      <c r="T1105" s="17" t="s">
        <v>2982</v>
      </c>
      <c r="U1105" s="17" t="s">
        <v>3060</v>
      </c>
      <c r="V1105" s="17" t="s">
        <v>3064</v>
      </c>
      <c r="W1105" s="17"/>
      <c r="X1105" s="17"/>
    </row>
    <row r="1106" spans="1:24" hidden="1">
      <c r="A1106" s="18">
        <v>1105</v>
      </c>
      <c r="B1106" s="17" t="s">
        <v>2460</v>
      </c>
      <c r="C1106" s="17" t="s">
        <v>2461</v>
      </c>
      <c r="D1106" s="17" t="s">
        <v>17</v>
      </c>
      <c r="E1106" s="17" t="s">
        <v>8</v>
      </c>
      <c r="F1106" s="17">
        <v>0</v>
      </c>
      <c r="G1106" s="17">
        <v>0</v>
      </c>
      <c r="H1106" s="17">
        <v>0</v>
      </c>
      <c r="I1106" s="17">
        <v>0</v>
      </c>
      <c r="J1106" s="17">
        <v>0</v>
      </c>
      <c r="K1106" s="17">
        <v>0</v>
      </c>
      <c r="L1106" s="17">
        <v>0</v>
      </c>
      <c r="M1106" s="17">
        <v>0</v>
      </c>
      <c r="N1106" s="17">
        <v>0</v>
      </c>
      <c r="O1106" s="17">
        <v>0</v>
      </c>
      <c r="P1106" s="17">
        <v>0</v>
      </c>
      <c r="Q1106" s="17">
        <v>0</v>
      </c>
      <c r="R1106" s="17">
        <v>0</v>
      </c>
      <c r="S1106" s="17"/>
      <c r="T1106" s="17" t="s">
        <v>2982</v>
      </c>
      <c r="U1106" s="17" t="s">
        <v>3060</v>
      </c>
      <c r="V1106" s="17" t="s">
        <v>3064</v>
      </c>
      <c r="W1106" s="17"/>
      <c r="X1106" s="17"/>
    </row>
    <row r="1107" spans="1:24" hidden="1">
      <c r="A1107" s="18">
        <v>1106</v>
      </c>
      <c r="B1107" s="17" t="s">
        <v>2383</v>
      </c>
      <c r="C1107" s="17" t="s">
        <v>2384</v>
      </c>
      <c r="D1107" s="17" t="s">
        <v>17</v>
      </c>
      <c r="E1107" s="17" t="s">
        <v>8</v>
      </c>
      <c r="F1107" s="17">
        <v>130</v>
      </c>
      <c r="G1107" s="17">
        <v>0</v>
      </c>
      <c r="H1107" s="17">
        <v>0</v>
      </c>
      <c r="I1107" s="17">
        <v>130</v>
      </c>
      <c r="J1107" s="17">
        <v>0</v>
      </c>
      <c r="K1107" s="17">
        <v>0</v>
      </c>
      <c r="L1107" s="17">
        <v>130</v>
      </c>
      <c r="M1107" s="17">
        <v>0</v>
      </c>
      <c r="N1107" s="17">
        <v>0</v>
      </c>
      <c r="O1107" s="17">
        <v>130</v>
      </c>
      <c r="P1107" s="17">
        <v>100</v>
      </c>
      <c r="Q1107" s="17">
        <v>30</v>
      </c>
      <c r="R1107" s="17">
        <v>0</v>
      </c>
      <c r="S1107" s="17"/>
      <c r="T1107" s="17" t="s">
        <v>2972</v>
      </c>
      <c r="U1107" s="17" t="s">
        <v>3057</v>
      </c>
      <c r="V1107" s="17" t="s">
        <v>3056</v>
      </c>
      <c r="W1107" s="17"/>
      <c r="X1107" s="17"/>
    </row>
    <row r="1108" spans="1:24" hidden="1">
      <c r="A1108" s="18">
        <v>1107</v>
      </c>
      <c r="B1108" s="17" t="s">
        <v>2466</v>
      </c>
      <c r="C1108" s="17" t="s">
        <v>2467</v>
      </c>
      <c r="D1108" s="17" t="s">
        <v>17</v>
      </c>
      <c r="E1108" s="17" t="s">
        <v>8</v>
      </c>
      <c r="F1108" s="17">
        <v>0</v>
      </c>
      <c r="G1108" s="17">
        <v>0</v>
      </c>
      <c r="H1108" s="17">
        <v>0</v>
      </c>
      <c r="I1108" s="17">
        <v>0</v>
      </c>
      <c r="J1108" s="17">
        <v>0</v>
      </c>
      <c r="K1108" s="17">
        <v>0</v>
      </c>
      <c r="L1108" s="17">
        <v>0</v>
      </c>
      <c r="M1108" s="17">
        <v>0</v>
      </c>
      <c r="N1108" s="17">
        <v>0</v>
      </c>
      <c r="O1108" s="17">
        <v>0</v>
      </c>
      <c r="P1108" s="17">
        <v>0</v>
      </c>
      <c r="Q1108" s="17">
        <v>0</v>
      </c>
      <c r="R1108" s="17">
        <v>0</v>
      </c>
      <c r="S1108" s="17"/>
      <c r="T1108" s="17" t="s">
        <v>2982</v>
      </c>
      <c r="U1108" s="17" t="s">
        <v>3060</v>
      </c>
      <c r="V1108" s="17" t="s">
        <v>3064</v>
      </c>
      <c r="W1108" s="17"/>
      <c r="X1108" s="17"/>
    </row>
    <row r="1109" spans="1:24" hidden="1">
      <c r="A1109" s="18">
        <v>1108</v>
      </c>
      <c r="B1109" s="17" t="s">
        <v>2468</v>
      </c>
      <c r="C1109" s="17" t="s">
        <v>2469</v>
      </c>
      <c r="D1109" s="17" t="s">
        <v>17</v>
      </c>
      <c r="E1109" s="17" t="s">
        <v>8</v>
      </c>
      <c r="F1109" s="17">
        <v>0</v>
      </c>
      <c r="G1109" s="17">
        <v>0</v>
      </c>
      <c r="H1109" s="17">
        <v>0</v>
      </c>
      <c r="I1109" s="17">
        <v>0</v>
      </c>
      <c r="J1109" s="17">
        <v>0</v>
      </c>
      <c r="K1109" s="17">
        <v>0</v>
      </c>
      <c r="L1109" s="17">
        <v>0</v>
      </c>
      <c r="M1109" s="17">
        <v>0</v>
      </c>
      <c r="N1109" s="17">
        <v>0</v>
      </c>
      <c r="O1109" s="17">
        <v>0</v>
      </c>
      <c r="P1109" s="17">
        <v>0</v>
      </c>
      <c r="Q1109" s="17">
        <v>0</v>
      </c>
      <c r="R1109" s="17">
        <v>0</v>
      </c>
      <c r="S1109" s="17"/>
      <c r="T1109" s="17" t="s">
        <v>2982</v>
      </c>
      <c r="U1109" s="17" t="s">
        <v>3060</v>
      </c>
      <c r="V1109" s="17" t="s">
        <v>3064</v>
      </c>
      <c r="W1109" s="17"/>
      <c r="X1109" s="17"/>
    </row>
    <row r="1110" spans="1:24" hidden="1">
      <c r="A1110" s="18">
        <v>1109</v>
      </c>
      <c r="B1110" s="17" t="s">
        <v>2470</v>
      </c>
      <c r="C1110" s="17" t="s">
        <v>2471</v>
      </c>
      <c r="D1110" s="17" t="s">
        <v>17</v>
      </c>
      <c r="E1110" s="17" t="s">
        <v>8</v>
      </c>
      <c r="F1110" s="17">
        <v>0</v>
      </c>
      <c r="G1110" s="17">
        <v>0</v>
      </c>
      <c r="H1110" s="17">
        <v>0</v>
      </c>
      <c r="I1110" s="17">
        <v>0</v>
      </c>
      <c r="J1110" s="17">
        <v>0</v>
      </c>
      <c r="K1110" s="17">
        <v>0</v>
      </c>
      <c r="L1110" s="17">
        <v>0</v>
      </c>
      <c r="M1110" s="17">
        <v>0</v>
      </c>
      <c r="N1110" s="17">
        <v>0</v>
      </c>
      <c r="O1110" s="17">
        <v>0</v>
      </c>
      <c r="P1110" s="17">
        <v>0</v>
      </c>
      <c r="Q1110" s="17">
        <v>0</v>
      </c>
      <c r="R1110" s="17">
        <v>0</v>
      </c>
      <c r="S1110" s="17"/>
      <c r="T1110" s="17" t="s">
        <v>2982</v>
      </c>
      <c r="U1110" s="17" t="s">
        <v>3060</v>
      </c>
      <c r="V1110" s="17" t="s">
        <v>3058</v>
      </c>
      <c r="W1110" s="17"/>
      <c r="X1110" s="17"/>
    </row>
    <row r="1111" spans="1:24" hidden="1">
      <c r="A1111" s="18">
        <v>1110</v>
      </c>
      <c r="B1111" s="17" t="s">
        <v>2472</v>
      </c>
      <c r="C1111" s="17" t="s">
        <v>2473</v>
      </c>
      <c r="D1111" s="17" t="s">
        <v>17</v>
      </c>
      <c r="E1111" s="17" t="s">
        <v>8</v>
      </c>
      <c r="F1111" s="17">
        <v>0</v>
      </c>
      <c r="G1111" s="17">
        <v>0</v>
      </c>
      <c r="H1111" s="17">
        <v>0</v>
      </c>
      <c r="I1111" s="17">
        <v>0</v>
      </c>
      <c r="J1111" s="17">
        <v>0</v>
      </c>
      <c r="K1111" s="17">
        <v>0</v>
      </c>
      <c r="L1111" s="17">
        <v>0</v>
      </c>
      <c r="M1111" s="17">
        <v>0</v>
      </c>
      <c r="N1111" s="17">
        <v>0</v>
      </c>
      <c r="O1111" s="17">
        <v>0</v>
      </c>
      <c r="P1111" s="17">
        <v>0</v>
      </c>
      <c r="Q1111" s="17">
        <v>0</v>
      </c>
      <c r="R1111" s="17">
        <v>0</v>
      </c>
      <c r="S1111" s="17"/>
      <c r="T1111" s="17" t="s">
        <v>2982</v>
      </c>
      <c r="U1111" s="17" t="s">
        <v>3060</v>
      </c>
      <c r="V1111" s="17" t="s">
        <v>3058</v>
      </c>
      <c r="W1111" s="17"/>
      <c r="X1111" s="17"/>
    </row>
    <row r="1112" spans="1:24" hidden="1">
      <c r="A1112" s="18">
        <v>1111</v>
      </c>
      <c r="B1112" s="17" t="s">
        <v>2389</v>
      </c>
      <c r="C1112" s="17" t="s">
        <v>2390</v>
      </c>
      <c r="D1112" s="17" t="s">
        <v>17</v>
      </c>
      <c r="E1112" s="17" t="s">
        <v>8</v>
      </c>
      <c r="F1112" s="17">
        <v>80</v>
      </c>
      <c r="G1112" s="17">
        <v>65</v>
      </c>
      <c r="H1112" s="17">
        <v>0</v>
      </c>
      <c r="I1112" s="17">
        <v>145</v>
      </c>
      <c r="J1112" s="17">
        <v>0</v>
      </c>
      <c r="K1112" s="17">
        <v>0</v>
      </c>
      <c r="L1112" s="17">
        <v>145</v>
      </c>
      <c r="M1112" s="17">
        <v>0</v>
      </c>
      <c r="N1112" s="17">
        <v>0</v>
      </c>
      <c r="O1112" s="17">
        <v>145</v>
      </c>
      <c r="P1112" s="17">
        <v>100</v>
      </c>
      <c r="Q1112" s="17">
        <v>45</v>
      </c>
      <c r="R1112" s="17">
        <v>50</v>
      </c>
      <c r="S1112" s="17"/>
      <c r="T1112" s="17" t="s">
        <v>2972</v>
      </c>
      <c r="U1112" s="17" t="s">
        <v>3057</v>
      </c>
      <c r="V1112" s="17" t="s">
        <v>3056</v>
      </c>
      <c r="W1112" s="17"/>
      <c r="X1112" s="17"/>
    </row>
    <row r="1113" spans="1:24" hidden="1">
      <c r="A1113" s="18">
        <v>1112</v>
      </c>
      <c r="B1113" s="17" t="s">
        <v>2474</v>
      </c>
      <c r="C1113" s="17" t="s">
        <v>2475</v>
      </c>
      <c r="D1113" s="17" t="s">
        <v>17</v>
      </c>
      <c r="E1113" s="17" t="s">
        <v>8</v>
      </c>
      <c r="F1113" s="17">
        <v>0</v>
      </c>
      <c r="G1113" s="17">
        <v>0</v>
      </c>
      <c r="H1113" s="17">
        <v>0</v>
      </c>
      <c r="I1113" s="17">
        <v>0</v>
      </c>
      <c r="J1113" s="17">
        <v>0</v>
      </c>
      <c r="K1113" s="17">
        <v>0</v>
      </c>
      <c r="L1113" s="17">
        <v>0</v>
      </c>
      <c r="M1113" s="17">
        <v>0</v>
      </c>
      <c r="N1113" s="17">
        <v>0</v>
      </c>
      <c r="O1113" s="17">
        <v>0</v>
      </c>
      <c r="P1113" s="17">
        <v>0</v>
      </c>
      <c r="Q1113" s="17">
        <v>0</v>
      </c>
      <c r="R1113" s="17">
        <v>0</v>
      </c>
      <c r="S1113" s="17"/>
      <c r="T1113" s="17" t="s">
        <v>2982</v>
      </c>
      <c r="U1113" s="17" t="s">
        <v>3060</v>
      </c>
      <c r="V1113" s="17" t="s">
        <v>3064</v>
      </c>
      <c r="W1113" s="17"/>
      <c r="X1113" s="17"/>
    </row>
    <row r="1114" spans="1:24" hidden="1">
      <c r="A1114" s="18">
        <v>1113</v>
      </c>
      <c r="B1114" s="17" t="s">
        <v>2476</v>
      </c>
      <c r="C1114" s="17" t="s">
        <v>2477</v>
      </c>
      <c r="D1114" s="17" t="s">
        <v>7</v>
      </c>
      <c r="E1114" s="17" t="s">
        <v>8</v>
      </c>
      <c r="F1114" s="17">
        <v>1472.2</v>
      </c>
      <c r="G1114" s="17">
        <v>0</v>
      </c>
      <c r="H1114" s="17">
        <v>0</v>
      </c>
      <c r="I1114" s="17">
        <v>1472.2</v>
      </c>
      <c r="J1114" s="17">
        <v>0</v>
      </c>
      <c r="K1114" s="17">
        <v>0</v>
      </c>
      <c r="L1114" s="17">
        <v>1472.2</v>
      </c>
      <c r="M1114" s="17">
        <v>0</v>
      </c>
      <c r="N1114" s="17">
        <v>0</v>
      </c>
      <c r="O1114" s="17">
        <v>1472.2</v>
      </c>
      <c r="P1114" s="17">
        <v>0</v>
      </c>
      <c r="Q1114" s="17">
        <v>1472.2</v>
      </c>
      <c r="R1114" s="17">
        <v>0</v>
      </c>
      <c r="S1114" s="17"/>
      <c r="T1114" s="17" t="s">
        <v>2965</v>
      </c>
      <c r="U1114" s="17" t="s">
        <v>3055</v>
      </c>
      <c r="V1114" s="17" t="s">
        <v>3056</v>
      </c>
      <c r="W1114" s="17"/>
      <c r="X1114" s="17"/>
    </row>
    <row r="1115" spans="1:24" hidden="1">
      <c r="A1115" s="18">
        <v>1114</v>
      </c>
      <c r="B1115" s="17" t="s">
        <v>2480</v>
      </c>
      <c r="C1115" s="17" t="s">
        <v>2481</v>
      </c>
      <c r="D1115" s="17" t="s">
        <v>7</v>
      </c>
      <c r="E1115" s="17" t="s">
        <v>8</v>
      </c>
      <c r="F1115" s="17">
        <v>1343</v>
      </c>
      <c r="G1115" s="17">
        <v>657.5</v>
      </c>
      <c r="H1115" s="17">
        <v>107.5</v>
      </c>
      <c r="I1115" s="17">
        <v>1893</v>
      </c>
      <c r="J1115" s="17">
        <v>0</v>
      </c>
      <c r="K1115" s="17">
        <v>0</v>
      </c>
      <c r="L1115" s="17">
        <v>1893</v>
      </c>
      <c r="M1115" s="17">
        <v>0</v>
      </c>
      <c r="N1115" s="17">
        <v>0</v>
      </c>
      <c r="O1115" s="17">
        <v>1893</v>
      </c>
      <c r="P1115" s="17">
        <v>1500</v>
      </c>
      <c r="Q1115" s="17">
        <v>393</v>
      </c>
      <c r="R1115" s="17">
        <v>0</v>
      </c>
      <c r="S1115" s="17"/>
      <c r="T1115" s="17" t="s">
        <v>2965</v>
      </c>
      <c r="U1115" s="17" t="s">
        <v>3055</v>
      </c>
      <c r="V1115" s="17" t="s">
        <v>3056</v>
      </c>
      <c r="W1115" s="17"/>
      <c r="X1115" s="17"/>
    </row>
    <row r="1116" spans="1:24" hidden="1">
      <c r="A1116" s="18">
        <v>1115</v>
      </c>
      <c r="B1116" s="17" t="s">
        <v>2482</v>
      </c>
      <c r="C1116" s="17" t="s">
        <v>2483</v>
      </c>
      <c r="D1116" s="17" t="s">
        <v>17</v>
      </c>
      <c r="E1116" s="17" t="s">
        <v>8</v>
      </c>
      <c r="F1116" s="17">
        <v>0</v>
      </c>
      <c r="G1116" s="17">
        <v>0</v>
      </c>
      <c r="H1116" s="17">
        <v>0</v>
      </c>
      <c r="I1116" s="17">
        <v>0</v>
      </c>
      <c r="J1116" s="17">
        <v>0</v>
      </c>
      <c r="K1116" s="17">
        <v>0</v>
      </c>
      <c r="L1116" s="17">
        <v>0</v>
      </c>
      <c r="M1116" s="17">
        <v>0</v>
      </c>
      <c r="N1116" s="17">
        <v>0</v>
      </c>
      <c r="O1116" s="17">
        <v>0</v>
      </c>
      <c r="P1116" s="17">
        <v>0</v>
      </c>
      <c r="Q1116" s="17">
        <v>0</v>
      </c>
      <c r="R1116" s="17">
        <v>0</v>
      </c>
      <c r="S1116" s="17"/>
      <c r="T1116" s="17" t="s">
        <v>2982</v>
      </c>
      <c r="U1116" s="17" t="s">
        <v>3060</v>
      </c>
      <c r="V1116" s="17" t="s">
        <v>3058</v>
      </c>
      <c r="W1116" s="17"/>
      <c r="X1116" s="17"/>
    </row>
    <row r="1117" spans="1:24" hidden="1">
      <c r="A1117" s="18">
        <v>1116</v>
      </c>
      <c r="B1117" s="17" t="s">
        <v>2391</v>
      </c>
      <c r="C1117" s="17" t="s">
        <v>2392</v>
      </c>
      <c r="D1117" s="17" t="s">
        <v>20</v>
      </c>
      <c r="E1117" s="17" t="s">
        <v>8</v>
      </c>
      <c r="F1117" s="17">
        <v>155.19999999999999</v>
      </c>
      <c r="G1117" s="17">
        <v>0</v>
      </c>
      <c r="H1117" s="17">
        <v>0</v>
      </c>
      <c r="I1117" s="17">
        <v>155.19999999999999</v>
      </c>
      <c r="J1117" s="17">
        <v>0</v>
      </c>
      <c r="K1117" s="17">
        <v>0</v>
      </c>
      <c r="L1117" s="17">
        <v>155.19999999999999</v>
      </c>
      <c r="M1117" s="17">
        <v>0</v>
      </c>
      <c r="N1117" s="17">
        <v>0</v>
      </c>
      <c r="O1117" s="17">
        <v>155.19999999999999</v>
      </c>
      <c r="P1117" s="17">
        <v>60</v>
      </c>
      <c r="Q1117" s="17">
        <v>95.199999999999989</v>
      </c>
      <c r="R1117" s="17">
        <v>0</v>
      </c>
      <c r="S1117" s="17"/>
      <c r="T1117" s="17" t="s">
        <v>2991</v>
      </c>
      <c r="U1117" s="17" t="s">
        <v>3057</v>
      </c>
      <c r="V1117" s="17" t="s">
        <v>3056</v>
      </c>
      <c r="W1117" s="17"/>
      <c r="X1117" s="17"/>
    </row>
    <row r="1118" spans="1:24" hidden="1">
      <c r="A1118" s="18">
        <v>1117</v>
      </c>
      <c r="B1118" s="17" t="s">
        <v>67</v>
      </c>
      <c r="C1118" s="17" t="s">
        <v>3004</v>
      </c>
      <c r="D1118" s="17" t="s">
        <v>17</v>
      </c>
      <c r="E1118" s="17" t="s">
        <v>8</v>
      </c>
      <c r="F1118" s="17">
        <v>0</v>
      </c>
      <c r="G1118" s="17">
        <v>0</v>
      </c>
      <c r="H1118" s="17">
        <v>0</v>
      </c>
      <c r="I1118" s="17">
        <v>0</v>
      </c>
      <c r="J1118" s="17">
        <v>0</v>
      </c>
      <c r="K1118" s="17">
        <v>0</v>
      </c>
      <c r="L1118" s="17">
        <v>0</v>
      </c>
      <c r="M1118" s="17">
        <v>0</v>
      </c>
      <c r="N1118" s="17">
        <v>0</v>
      </c>
      <c r="O1118" s="17">
        <v>0</v>
      </c>
      <c r="P1118" s="17">
        <v>0</v>
      </c>
      <c r="Q1118" s="17">
        <v>0</v>
      </c>
      <c r="R1118" s="17">
        <v>0</v>
      </c>
      <c r="S1118" s="17"/>
      <c r="T1118" s="17" t="s">
        <v>2972</v>
      </c>
      <c r="U1118" s="17" t="s">
        <v>3055</v>
      </c>
      <c r="V1118" s="17" t="s">
        <v>3056</v>
      </c>
      <c r="W1118" s="17"/>
      <c r="X1118" s="17"/>
    </row>
    <row r="1119" spans="1:24" hidden="1">
      <c r="A1119" s="18">
        <v>1118</v>
      </c>
      <c r="B1119" s="17" t="s">
        <v>2486</v>
      </c>
      <c r="C1119" s="17" t="s">
        <v>2487</v>
      </c>
      <c r="D1119" s="17" t="s">
        <v>17</v>
      </c>
      <c r="E1119" s="17" t="s">
        <v>8</v>
      </c>
      <c r="F1119" s="17">
        <v>0</v>
      </c>
      <c r="G1119" s="17">
        <v>0</v>
      </c>
      <c r="H1119" s="17">
        <v>0</v>
      </c>
      <c r="I1119" s="17">
        <v>0</v>
      </c>
      <c r="J1119" s="17">
        <v>0</v>
      </c>
      <c r="K1119" s="17">
        <v>0</v>
      </c>
      <c r="L1119" s="17">
        <v>0</v>
      </c>
      <c r="M1119" s="17">
        <v>0</v>
      </c>
      <c r="N1119" s="17">
        <v>0</v>
      </c>
      <c r="O1119" s="17">
        <v>0</v>
      </c>
      <c r="P1119" s="17">
        <v>0</v>
      </c>
      <c r="Q1119" s="17">
        <v>0</v>
      </c>
      <c r="R1119" s="17">
        <v>0</v>
      </c>
      <c r="S1119" s="17"/>
      <c r="T1119" s="17" t="s">
        <v>2982</v>
      </c>
      <c r="U1119" s="17" t="s">
        <v>3060</v>
      </c>
      <c r="V1119" s="17" t="s">
        <v>3058</v>
      </c>
      <c r="W1119" s="17"/>
      <c r="X1119" s="17"/>
    </row>
    <row r="1120" spans="1:24" hidden="1">
      <c r="A1120" s="18">
        <v>1119</v>
      </c>
      <c r="B1120" s="17" t="s">
        <v>2488</v>
      </c>
      <c r="C1120" s="17" t="s">
        <v>2489</v>
      </c>
      <c r="D1120" s="17" t="s">
        <v>17</v>
      </c>
      <c r="E1120" s="17" t="s">
        <v>8</v>
      </c>
      <c r="F1120" s="17">
        <v>0</v>
      </c>
      <c r="G1120" s="17">
        <v>0</v>
      </c>
      <c r="H1120" s="17">
        <v>0</v>
      </c>
      <c r="I1120" s="17">
        <v>0</v>
      </c>
      <c r="J1120" s="17">
        <v>0</v>
      </c>
      <c r="K1120" s="17">
        <v>0</v>
      </c>
      <c r="L1120" s="17">
        <v>0</v>
      </c>
      <c r="M1120" s="17">
        <v>0</v>
      </c>
      <c r="N1120" s="17">
        <v>0</v>
      </c>
      <c r="O1120" s="17">
        <v>0</v>
      </c>
      <c r="P1120" s="17">
        <v>0</v>
      </c>
      <c r="Q1120" s="17">
        <v>0</v>
      </c>
      <c r="R1120" s="17">
        <v>0</v>
      </c>
      <c r="S1120" s="17"/>
      <c r="T1120" s="17" t="s">
        <v>2982</v>
      </c>
      <c r="U1120" s="17" t="s">
        <v>3060</v>
      </c>
      <c r="V1120" s="17" t="s">
        <v>3058</v>
      </c>
      <c r="W1120" s="17"/>
      <c r="X1120" s="17"/>
    </row>
    <row r="1121" spans="1:24" hidden="1">
      <c r="A1121" s="18">
        <v>1120</v>
      </c>
      <c r="B1121" s="17" t="s">
        <v>2490</v>
      </c>
      <c r="C1121" s="17" t="s">
        <v>2491</v>
      </c>
      <c r="D1121" s="17" t="s">
        <v>17</v>
      </c>
      <c r="E1121" s="17" t="s">
        <v>8</v>
      </c>
      <c r="F1121" s="17">
        <v>0</v>
      </c>
      <c r="G1121" s="17">
        <v>0</v>
      </c>
      <c r="H1121" s="17">
        <v>0</v>
      </c>
      <c r="I1121" s="17">
        <v>0</v>
      </c>
      <c r="J1121" s="17">
        <v>0</v>
      </c>
      <c r="K1121" s="17">
        <v>0</v>
      </c>
      <c r="L1121" s="17">
        <v>0</v>
      </c>
      <c r="M1121" s="17">
        <v>0</v>
      </c>
      <c r="N1121" s="17">
        <v>0</v>
      </c>
      <c r="O1121" s="17">
        <v>0</v>
      </c>
      <c r="P1121" s="17">
        <v>0</v>
      </c>
      <c r="Q1121" s="17">
        <v>0</v>
      </c>
      <c r="R1121" s="17">
        <v>0</v>
      </c>
      <c r="S1121" s="17"/>
      <c r="T1121" s="17" t="s">
        <v>2982</v>
      </c>
      <c r="U1121" s="17" t="s">
        <v>3060</v>
      </c>
      <c r="V1121" s="17" t="s">
        <v>3058</v>
      </c>
      <c r="W1121" s="17"/>
      <c r="X1121" s="17"/>
    </row>
    <row r="1122" spans="1:24" hidden="1">
      <c r="A1122" s="18">
        <v>1121</v>
      </c>
      <c r="B1122" s="17" t="s">
        <v>2393</v>
      </c>
      <c r="C1122" s="17" t="s">
        <v>2394</v>
      </c>
      <c r="D1122" s="17" t="s">
        <v>20</v>
      </c>
      <c r="E1122" s="17" t="s">
        <v>8</v>
      </c>
      <c r="F1122" s="17">
        <v>105</v>
      </c>
      <c r="G1122" s="17">
        <v>0</v>
      </c>
      <c r="H1122" s="17">
        <v>0</v>
      </c>
      <c r="I1122" s="17">
        <v>105</v>
      </c>
      <c r="J1122" s="17">
        <v>0</v>
      </c>
      <c r="K1122" s="17">
        <v>0</v>
      </c>
      <c r="L1122" s="17">
        <v>105</v>
      </c>
      <c r="M1122" s="17">
        <v>0</v>
      </c>
      <c r="N1122" s="17">
        <v>0</v>
      </c>
      <c r="O1122" s="17">
        <v>105</v>
      </c>
      <c r="P1122" s="17">
        <v>60</v>
      </c>
      <c r="Q1122" s="17">
        <v>45</v>
      </c>
      <c r="R1122" s="17">
        <v>0</v>
      </c>
      <c r="S1122" s="17"/>
      <c r="T1122" s="17" t="s">
        <v>2991</v>
      </c>
      <c r="U1122" s="17" t="s">
        <v>3057</v>
      </c>
      <c r="V1122" s="17" t="s">
        <v>3056</v>
      </c>
      <c r="W1122" s="17"/>
      <c r="X1122" s="17"/>
    </row>
    <row r="1123" spans="1:24" hidden="1">
      <c r="A1123" s="18">
        <v>1122</v>
      </c>
      <c r="B1123" s="17" t="s">
        <v>2494</v>
      </c>
      <c r="C1123" s="17" t="s">
        <v>2495</v>
      </c>
      <c r="D1123" s="17" t="s">
        <v>17</v>
      </c>
      <c r="E1123" s="17" t="s">
        <v>8</v>
      </c>
      <c r="F1123" s="17">
        <v>0</v>
      </c>
      <c r="G1123" s="17">
        <v>0</v>
      </c>
      <c r="H1123" s="17">
        <v>0</v>
      </c>
      <c r="I1123" s="17">
        <v>0</v>
      </c>
      <c r="J1123" s="17">
        <v>0</v>
      </c>
      <c r="K1123" s="17">
        <v>0</v>
      </c>
      <c r="L1123" s="17">
        <v>0</v>
      </c>
      <c r="M1123" s="17">
        <v>0</v>
      </c>
      <c r="N1123" s="17">
        <v>0</v>
      </c>
      <c r="O1123" s="17">
        <v>0</v>
      </c>
      <c r="P1123" s="17">
        <v>0</v>
      </c>
      <c r="Q1123" s="17">
        <v>0</v>
      </c>
      <c r="R1123" s="17">
        <v>0</v>
      </c>
      <c r="S1123" s="17"/>
      <c r="T1123" s="17" t="s">
        <v>2982</v>
      </c>
      <c r="U1123" s="17" t="s">
        <v>3060</v>
      </c>
      <c r="V1123" s="17" t="s">
        <v>3058</v>
      </c>
      <c r="W1123" s="17"/>
      <c r="X1123" s="17"/>
    </row>
    <row r="1124" spans="1:24" hidden="1">
      <c r="A1124" s="18">
        <v>1123</v>
      </c>
      <c r="B1124" s="17" t="s">
        <v>2496</v>
      </c>
      <c r="C1124" s="17" t="s">
        <v>2497</v>
      </c>
      <c r="D1124" s="17" t="s">
        <v>17</v>
      </c>
      <c r="E1124" s="17" t="s">
        <v>8</v>
      </c>
      <c r="F1124" s="17">
        <v>0</v>
      </c>
      <c r="G1124" s="17">
        <v>0</v>
      </c>
      <c r="H1124" s="17">
        <v>0</v>
      </c>
      <c r="I1124" s="17">
        <v>0</v>
      </c>
      <c r="J1124" s="17">
        <v>0</v>
      </c>
      <c r="K1124" s="17">
        <v>0</v>
      </c>
      <c r="L1124" s="17">
        <v>0</v>
      </c>
      <c r="M1124" s="17">
        <v>0</v>
      </c>
      <c r="N1124" s="17">
        <v>0</v>
      </c>
      <c r="O1124" s="17">
        <v>0</v>
      </c>
      <c r="P1124" s="17">
        <v>0</v>
      </c>
      <c r="Q1124" s="17">
        <v>0</v>
      </c>
      <c r="R1124" s="17">
        <v>0</v>
      </c>
      <c r="S1124" s="17"/>
      <c r="T1124" s="17" t="s">
        <v>2982</v>
      </c>
      <c r="U1124" s="17" t="s">
        <v>3060</v>
      </c>
      <c r="V1124" s="17" t="s">
        <v>3058</v>
      </c>
      <c r="W1124" s="17"/>
      <c r="X1124" s="17"/>
    </row>
    <row r="1125" spans="1:24" hidden="1">
      <c r="A1125" s="18">
        <v>1124</v>
      </c>
      <c r="B1125" s="17" t="s">
        <v>2498</v>
      </c>
      <c r="C1125" s="17" t="s">
        <v>2499</v>
      </c>
      <c r="D1125" s="17" t="s">
        <v>17</v>
      </c>
      <c r="E1125" s="17" t="s">
        <v>8</v>
      </c>
      <c r="F1125" s="17">
        <v>0</v>
      </c>
      <c r="G1125" s="17">
        <v>0</v>
      </c>
      <c r="H1125" s="17">
        <v>0</v>
      </c>
      <c r="I1125" s="17">
        <v>0</v>
      </c>
      <c r="J1125" s="17">
        <v>0</v>
      </c>
      <c r="K1125" s="17">
        <v>0</v>
      </c>
      <c r="L1125" s="17">
        <v>0</v>
      </c>
      <c r="M1125" s="17">
        <v>0</v>
      </c>
      <c r="N1125" s="17">
        <v>0</v>
      </c>
      <c r="O1125" s="17">
        <v>0</v>
      </c>
      <c r="P1125" s="17">
        <v>0</v>
      </c>
      <c r="Q1125" s="17">
        <v>0</v>
      </c>
      <c r="R1125" s="17">
        <v>0</v>
      </c>
      <c r="S1125" s="17"/>
      <c r="T1125" s="17" t="s">
        <v>2982</v>
      </c>
      <c r="U1125" s="17" t="s">
        <v>3060</v>
      </c>
      <c r="V1125" s="17" t="s">
        <v>3058</v>
      </c>
      <c r="W1125" s="17"/>
      <c r="X1125" s="17"/>
    </row>
    <row r="1126" spans="1:24" hidden="1">
      <c r="A1126" s="18">
        <v>1125</v>
      </c>
      <c r="B1126" s="17" t="s">
        <v>2500</v>
      </c>
      <c r="C1126" s="17" t="s">
        <v>2501</v>
      </c>
      <c r="D1126" s="17" t="s">
        <v>17</v>
      </c>
      <c r="E1126" s="17" t="s">
        <v>8</v>
      </c>
      <c r="F1126" s="17">
        <v>0</v>
      </c>
      <c r="G1126" s="17">
        <v>0</v>
      </c>
      <c r="H1126" s="17">
        <v>0</v>
      </c>
      <c r="I1126" s="17">
        <v>0</v>
      </c>
      <c r="J1126" s="17">
        <v>0</v>
      </c>
      <c r="K1126" s="17">
        <v>0</v>
      </c>
      <c r="L1126" s="17">
        <v>0</v>
      </c>
      <c r="M1126" s="17">
        <v>0</v>
      </c>
      <c r="N1126" s="17">
        <v>0</v>
      </c>
      <c r="O1126" s="17">
        <v>0</v>
      </c>
      <c r="P1126" s="17">
        <v>0</v>
      </c>
      <c r="Q1126" s="17">
        <v>0</v>
      </c>
      <c r="R1126" s="17">
        <v>0</v>
      </c>
      <c r="S1126" s="17"/>
      <c r="T1126" s="17" t="s">
        <v>2982</v>
      </c>
      <c r="U1126" s="17" t="s">
        <v>3060</v>
      </c>
      <c r="V1126" s="17" t="s">
        <v>3058</v>
      </c>
      <c r="W1126" s="17"/>
      <c r="X1126" s="17"/>
    </row>
    <row r="1127" spans="1:24" hidden="1">
      <c r="A1127" s="18">
        <v>1126</v>
      </c>
      <c r="B1127" s="17" t="s">
        <v>2502</v>
      </c>
      <c r="C1127" s="17" t="s">
        <v>2503</v>
      </c>
      <c r="D1127" s="17" t="s">
        <v>17</v>
      </c>
      <c r="E1127" s="17" t="s">
        <v>8</v>
      </c>
      <c r="F1127" s="17">
        <v>0</v>
      </c>
      <c r="G1127" s="17">
        <v>0</v>
      </c>
      <c r="H1127" s="17">
        <v>0</v>
      </c>
      <c r="I1127" s="17">
        <v>0</v>
      </c>
      <c r="J1127" s="17">
        <v>0</v>
      </c>
      <c r="K1127" s="17">
        <v>0</v>
      </c>
      <c r="L1127" s="17">
        <v>0</v>
      </c>
      <c r="M1127" s="17">
        <v>0</v>
      </c>
      <c r="N1127" s="17">
        <v>0</v>
      </c>
      <c r="O1127" s="17">
        <v>0</v>
      </c>
      <c r="P1127" s="17">
        <v>0</v>
      </c>
      <c r="Q1127" s="17">
        <v>0</v>
      </c>
      <c r="R1127" s="17">
        <v>0</v>
      </c>
      <c r="S1127" s="17"/>
      <c r="T1127" s="17" t="s">
        <v>2982</v>
      </c>
      <c r="U1127" s="17" t="s">
        <v>3060</v>
      </c>
      <c r="V1127" s="17" t="s">
        <v>3058</v>
      </c>
      <c r="W1127" s="17"/>
      <c r="X1127" s="17"/>
    </row>
    <row r="1128" spans="1:24" hidden="1">
      <c r="A1128" s="18">
        <v>1127</v>
      </c>
      <c r="B1128" s="17" t="s">
        <v>2504</v>
      </c>
      <c r="C1128" s="17" t="s">
        <v>2505</v>
      </c>
      <c r="D1128" s="17" t="s">
        <v>17</v>
      </c>
      <c r="E1128" s="17" t="s">
        <v>8</v>
      </c>
      <c r="F1128" s="17">
        <v>0</v>
      </c>
      <c r="G1128" s="17">
        <v>0</v>
      </c>
      <c r="H1128" s="17">
        <v>0</v>
      </c>
      <c r="I1128" s="17">
        <v>0</v>
      </c>
      <c r="J1128" s="17">
        <v>0</v>
      </c>
      <c r="K1128" s="17">
        <v>0</v>
      </c>
      <c r="L1128" s="17">
        <v>0</v>
      </c>
      <c r="M1128" s="17">
        <v>0</v>
      </c>
      <c r="N1128" s="17">
        <v>0</v>
      </c>
      <c r="O1128" s="17">
        <v>0</v>
      </c>
      <c r="P1128" s="17">
        <v>0</v>
      </c>
      <c r="Q1128" s="17">
        <v>0</v>
      </c>
      <c r="R1128" s="17">
        <v>0</v>
      </c>
      <c r="S1128" s="17"/>
      <c r="T1128" s="17" t="s">
        <v>2982</v>
      </c>
      <c r="U1128" s="17" t="s">
        <v>3060</v>
      </c>
      <c r="V1128" s="17" t="s">
        <v>3058</v>
      </c>
      <c r="W1128" s="17"/>
      <c r="X1128" s="17"/>
    </row>
    <row r="1129" spans="1:24" hidden="1">
      <c r="A1129" s="18">
        <v>1128</v>
      </c>
      <c r="B1129" s="17" t="s">
        <v>2506</v>
      </c>
      <c r="C1129" s="17" t="s">
        <v>2507</v>
      </c>
      <c r="D1129" s="17" t="s">
        <v>17</v>
      </c>
      <c r="E1129" s="17" t="s">
        <v>8</v>
      </c>
      <c r="F1129" s="17">
        <v>0</v>
      </c>
      <c r="G1129" s="17">
        <v>0</v>
      </c>
      <c r="H1129" s="17">
        <v>0</v>
      </c>
      <c r="I1129" s="17">
        <v>0</v>
      </c>
      <c r="J1129" s="17">
        <v>0</v>
      </c>
      <c r="K1129" s="17">
        <v>0</v>
      </c>
      <c r="L1129" s="17">
        <v>0</v>
      </c>
      <c r="M1129" s="17">
        <v>0</v>
      </c>
      <c r="N1129" s="17">
        <v>0</v>
      </c>
      <c r="O1129" s="17">
        <v>0</v>
      </c>
      <c r="P1129" s="17">
        <v>0</v>
      </c>
      <c r="Q1129" s="17">
        <v>0</v>
      </c>
      <c r="R1129" s="17">
        <v>0</v>
      </c>
      <c r="S1129" s="17"/>
      <c r="T1129" s="17" t="s">
        <v>2982</v>
      </c>
      <c r="U1129" s="17" t="s">
        <v>3060</v>
      </c>
      <c r="V1129" s="17" t="s">
        <v>3058</v>
      </c>
      <c r="W1129" s="17"/>
      <c r="X1129" s="17"/>
    </row>
    <row r="1130" spans="1:24" hidden="1">
      <c r="A1130" s="18">
        <v>1129</v>
      </c>
      <c r="B1130" s="17" t="s">
        <v>2508</v>
      </c>
      <c r="C1130" s="17" t="s">
        <v>2509</v>
      </c>
      <c r="D1130" s="17" t="s">
        <v>17</v>
      </c>
      <c r="E1130" s="17" t="s">
        <v>8</v>
      </c>
      <c r="F1130" s="17">
        <v>0</v>
      </c>
      <c r="G1130" s="17">
        <v>0</v>
      </c>
      <c r="H1130" s="17">
        <v>0</v>
      </c>
      <c r="I1130" s="17">
        <v>0</v>
      </c>
      <c r="J1130" s="17">
        <v>0</v>
      </c>
      <c r="K1130" s="17">
        <v>0</v>
      </c>
      <c r="L1130" s="17">
        <v>0</v>
      </c>
      <c r="M1130" s="17">
        <v>0</v>
      </c>
      <c r="N1130" s="17">
        <v>0</v>
      </c>
      <c r="O1130" s="17">
        <v>0</v>
      </c>
      <c r="P1130" s="17">
        <v>0</v>
      </c>
      <c r="Q1130" s="17">
        <v>0</v>
      </c>
      <c r="R1130" s="17">
        <v>0</v>
      </c>
      <c r="S1130" s="17"/>
      <c r="T1130" s="17" t="s">
        <v>2982</v>
      </c>
      <c r="U1130" s="17" t="s">
        <v>3060</v>
      </c>
      <c r="V1130" s="17" t="s">
        <v>3058</v>
      </c>
      <c r="W1130" s="17"/>
      <c r="X1130" s="17"/>
    </row>
    <row r="1131" spans="1:24" hidden="1">
      <c r="A1131" s="18">
        <v>1130</v>
      </c>
      <c r="B1131" s="17" t="s">
        <v>2395</v>
      </c>
      <c r="C1131" s="17" t="s">
        <v>2396</v>
      </c>
      <c r="D1131" s="17" t="s">
        <v>20</v>
      </c>
      <c r="E1131" s="17" t="s">
        <v>8</v>
      </c>
      <c r="F1131" s="17">
        <v>109.5</v>
      </c>
      <c r="G1131" s="17">
        <v>0</v>
      </c>
      <c r="H1131" s="17">
        <v>0</v>
      </c>
      <c r="I1131" s="17">
        <v>109.5</v>
      </c>
      <c r="J1131" s="17">
        <v>0</v>
      </c>
      <c r="K1131" s="17">
        <v>0</v>
      </c>
      <c r="L1131" s="17">
        <v>109.5</v>
      </c>
      <c r="M1131" s="17">
        <v>0</v>
      </c>
      <c r="N1131" s="17">
        <v>0</v>
      </c>
      <c r="O1131" s="17">
        <v>109.5</v>
      </c>
      <c r="P1131" s="17">
        <v>60</v>
      </c>
      <c r="Q1131" s="17">
        <v>49.5</v>
      </c>
      <c r="R1131" s="17">
        <v>0</v>
      </c>
      <c r="S1131" s="17"/>
      <c r="T1131" s="17" t="s">
        <v>2991</v>
      </c>
      <c r="U1131" s="17" t="s">
        <v>3057</v>
      </c>
      <c r="V1131" s="17" t="s">
        <v>3056</v>
      </c>
      <c r="W1131" s="17"/>
      <c r="X1131" s="17"/>
    </row>
    <row r="1132" spans="1:24" hidden="1">
      <c r="A1132" s="18">
        <v>1131</v>
      </c>
      <c r="B1132" s="17" t="s">
        <v>2419</v>
      </c>
      <c r="C1132" s="17" t="s">
        <v>2420</v>
      </c>
      <c r="D1132" s="17" t="s">
        <v>2130</v>
      </c>
      <c r="E1132" s="17" t="s">
        <v>8</v>
      </c>
      <c r="F1132" s="17">
        <v>0</v>
      </c>
      <c r="G1132" s="17">
        <v>108.19799999999999</v>
      </c>
      <c r="H1132" s="17">
        <v>108.19799999999999</v>
      </c>
      <c r="I1132" s="17">
        <v>0</v>
      </c>
      <c r="J1132" s="17">
        <v>0</v>
      </c>
      <c r="K1132" s="17">
        <v>0</v>
      </c>
      <c r="L1132" s="17">
        <v>0</v>
      </c>
      <c r="M1132" s="17">
        <v>0</v>
      </c>
      <c r="N1132" s="17">
        <v>0</v>
      </c>
      <c r="O1132" s="17">
        <v>0</v>
      </c>
      <c r="P1132" s="17">
        <v>0</v>
      </c>
      <c r="Q1132" s="17">
        <v>0</v>
      </c>
      <c r="R1132" s="17">
        <v>0</v>
      </c>
      <c r="S1132" s="17"/>
      <c r="T1132" s="17" t="s">
        <v>2998</v>
      </c>
      <c r="U1132" s="17" t="s">
        <v>3057</v>
      </c>
      <c r="V1132" s="17" t="s">
        <v>3056</v>
      </c>
      <c r="W1132" s="17"/>
      <c r="X1132" s="17"/>
    </row>
    <row r="1133" spans="1:24" hidden="1">
      <c r="A1133" s="18">
        <v>1132</v>
      </c>
      <c r="B1133" s="17" t="s">
        <v>2514</v>
      </c>
      <c r="C1133" s="17" t="s">
        <v>2515</v>
      </c>
      <c r="D1133" s="17" t="s">
        <v>17</v>
      </c>
      <c r="E1133" s="17" t="s">
        <v>8</v>
      </c>
      <c r="F1133" s="17">
        <v>65</v>
      </c>
      <c r="G1133" s="17">
        <v>0</v>
      </c>
      <c r="H1133" s="17">
        <v>0</v>
      </c>
      <c r="I1133" s="17">
        <v>65</v>
      </c>
      <c r="J1133" s="17">
        <v>0</v>
      </c>
      <c r="K1133" s="17">
        <v>0</v>
      </c>
      <c r="L1133" s="17">
        <v>65</v>
      </c>
      <c r="M1133" s="17">
        <v>0</v>
      </c>
      <c r="N1133" s="17">
        <v>0</v>
      </c>
      <c r="O1133" s="17">
        <v>65</v>
      </c>
      <c r="P1133" s="17">
        <v>0</v>
      </c>
      <c r="Q1133" s="17">
        <v>65</v>
      </c>
      <c r="R1133" s="17">
        <v>0</v>
      </c>
      <c r="S1133" s="17"/>
      <c r="T1133" s="17" t="s">
        <v>2982</v>
      </c>
      <c r="U1133" s="17" t="s">
        <v>3060</v>
      </c>
      <c r="V1133" s="17" t="s">
        <v>3064</v>
      </c>
      <c r="W1133" s="17"/>
      <c r="X1133" s="17"/>
    </row>
    <row r="1134" spans="1:24" hidden="1">
      <c r="A1134" s="18">
        <v>1133</v>
      </c>
      <c r="B1134" s="17" t="s">
        <v>2425</v>
      </c>
      <c r="C1134" s="17" t="s">
        <v>2426</v>
      </c>
      <c r="D1134" s="17" t="s">
        <v>17</v>
      </c>
      <c r="E1134" s="17" t="s">
        <v>8</v>
      </c>
      <c r="F1134" s="17">
        <v>0</v>
      </c>
      <c r="G1134" s="17">
        <v>0</v>
      </c>
      <c r="H1134" s="17">
        <v>0</v>
      </c>
      <c r="I1134" s="17">
        <v>0</v>
      </c>
      <c r="J1134" s="17">
        <v>0</v>
      </c>
      <c r="K1134" s="17">
        <v>0</v>
      </c>
      <c r="L1134" s="17">
        <v>0</v>
      </c>
      <c r="M1134" s="17">
        <v>0</v>
      </c>
      <c r="N1134" s="17">
        <v>0</v>
      </c>
      <c r="O1134" s="17">
        <v>0</v>
      </c>
      <c r="P1134" s="17">
        <v>0</v>
      </c>
      <c r="Q1134" s="17">
        <v>0</v>
      </c>
      <c r="R1134" s="17">
        <v>0</v>
      </c>
      <c r="S1134" s="17"/>
      <c r="T1134" s="17" t="s">
        <v>2972</v>
      </c>
      <c r="U1134" s="17" t="s">
        <v>3057</v>
      </c>
      <c r="V1134" s="17" t="s">
        <v>3056</v>
      </c>
      <c r="W1134" s="17"/>
      <c r="X1134" s="17"/>
    </row>
    <row r="1135" spans="1:24" hidden="1">
      <c r="A1135" s="18">
        <v>1134</v>
      </c>
      <c r="B1135" s="17" t="s">
        <v>2520</v>
      </c>
      <c r="C1135" s="17" t="s">
        <v>2521</v>
      </c>
      <c r="D1135" s="17" t="s">
        <v>17</v>
      </c>
      <c r="E1135" s="17" t="s">
        <v>8</v>
      </c>
      <c r="F1135" s="17">
        <v>673</v>
      </c>
      <c r="G1135" s="17">
        <v>1500</v>
      </c>
      <c r="H1135" s="17">
        <v>75</v>
      </c>
      <c r="I1135" s="17">
        <v>2098</v>
      </c>
      <c r="J1135" s="17">
        <v>0</v>
      </c>
      <c r="K1135" s="17">
        <v>0</v>
      </c>
      <c r="L1135" s="17">
        <v>2098</v>
      </c>
      <c r="M1135" s="17">
        <v>0</v>
      </c>
      <c r="N1135" s="17">
        <v>0</v>
      </c>
      <c r="O1135" s="17">
        <v>2098</v>
      </c>
      <c r="P1135" s="17">
        <v>700</v>
      </c>
      <c r="Q1135" s="17">
        <v>1398</v>
      </c>
      <c r="R1135" s="17">
        <v>0</v>
      </c>
      <c r="S1135" s="17"/>
      <c r="T1135" s="17" t="s">
        <v>3006</v>
      </c>
      <c r="U1135" s="17" t="s">
        <v>3060</v>
      </c>
      <c r="V1135" s="17" t="s">
        <v>3058</v>
      </c>
      <c r="W1135" s="17"/>
      <c r="X1135" s="17"/>
    </row>
    <row r="1136" spans="1:24" hidden="1">
      <c r="A1136" s="18">
        <v>1135</v>
      </c>
      <c r="B1136" s="17" t="s">
        <v>2522</v>
      </c>
      <c r="C1136" s="17" t="s">
        <v>2523</v>
      </c>
      <c r="D1136" s="17" t="s">
        <v>17</v>
      </c>
      <c r="E1136" s="17" t="s">
        <v>8</v>
      </c>
      <c r="F1136" s="17">
        <v>0</v>
      </c>
      <c r="G1136" s="17">
        <v>0</v>
      </c>
      <c r="H1136" s="17">
        <v>0</v>
      </c>
      <c r="I1136" s="17">
        <v>0</v>
      </c>
      <c r="J1136" s="17">
        <v>0</v>
      </c>
      <c r="K1136" s="17">
        <v>0</v>
      </c>
      <c r="L1136" s="17">
        <v>0</v>
      </c>
      <c r="M1136" s="17">
        <v>0</v>
      </c>
      <c r="N1136" s="17">
        <v>0</v>
      </c>
      <c r="O1136" s="17">
        <v>0</v>
      </c>
      <c r="P1136" s="17">
        <v>0</v>
      </c>
      <c r="Q1136" s="17">
        <v>0</v>
      </c>
      <c r="R1136" s="17">
        <v>0</v>
      </c>
      <c r="S1136" s="17"/>
      <c r="T1136" s="17" t="s">
        <v>3006</v>
      </c>
      <c r="U1136" s="17" t="s">
        <v>3060</v>
      </c>
      <c r="V1136" s="17" t="s">
        <v>3058</v>
      </c>
      <c r="W1136" s="17"/>
      <c r="X1136" s="17"/>
    </row>
    <row r="1137" spans="1:24" hidden="1">
      <c r="A1137" s="18">
        <v>1136</v>
      </c>
      <c r="B1137" s="17" t="s">
        <v>2524</v>
      </c>
      <c r="C1137" s="17" t="s">
        <v>2525</v>
      </c>
      <c r="D1137" s="17" t="s">
        <v>17</v>
      </c>
      <c r="E1137" s="17" t="s">
        <v>8</v>
      </c>
      <c r="F1137" s="17">
        <v>0</v>
      </c>
      <c r="G1137" s="17">
        <v>0</v>
      </c>
      <c r="H1137" s="17">
        <v>0</v>
      </c>
      <c r="I1137" s="17">
        <v>0</v>
      </c>
      <c r="J1137" s="17">
        <v>0</v>
      </c>
      <c r="K1137" s="17">
        <v>0</v>
      </c>
      <c r="L1137" s="17">
        <v>0</v>
      </c>
      <c r="M1137" s="17">
        <v>0</v>
      </c>
      <c r="N1137" s="17">
        <v>0</v>
      </c>
      <c r="O1137" s="17">
        <v>0</v>
      </c>
      <c r="P1137" s="17">
        <v>0</v>
      </c>
      <c r="Q1137" s="17">
        <v>0</v>
      </c>
      <c r="R1137" s="17">
        <v>0</v>
      </c>
      <c r="S1137" s="17"/>
      <c r="T1137" s="17" t="s">
        <v>3006</v>
      </c>
      <c r="U1137" s="17" t="s">
        <v>3060</v>
      </c>
      <c r="V1137" s="17" t="s">
        <v>3058</v>
      </c>
      <c r="W1137" s="17"/>
      <c r="X1137" s="17"/>
    </row>
    <row r="1138" spans="1:24" hidden="1">
      <c r="A1138" s="18">
        <v>1137</v>
      </c>
      <c r="B1138" s="17" t="s">
        <v>2526</v>
      </c>
      <c r="C1138" s="17" t="s">
        <v>2527</v>
      </c>
      <c r="D1138" s="17" t="s">
        <v>17</v>
      </c>
      <c r="E1138" s="17" t="s">
        <v>8</v>
      </c>
      <c r="F1138" s="17">
        <v>0</v>
      </c>
      <c r="G1138" s="17">
        <v>0</v>
      </c>
      <c r="H1138" s="17">
        <v>0</v>
      </c>
      <c r="I1138" s="17">
        <v>0</v>
      </c>
      <c r="J1138" s="17">
        <v>0</v>
      </c>
      <c r="K1138" s="17">
        <v>0</v>
      </c>
      <c r="L1138" s="17">
        <v>0</v>
      </c>
      <c r="M1138" s="17">
        <v>0</v>
      </c>
      <c r="N1138" s="17">
        <v>0</v>
      </c>
      <c r="O1138" s="17">
        <v>0</v>
      </c>
      <c r="P1138" s="17">
        <v>0</v>
      </c>
      <c r="Q1138" s="17">
        <v>0</v>
      </c>
      <c r="R1138" s="17">
        <v>0</v>
      </c>
      <c r="S1138" s="17"/>
      <c r="T1138" s="17" t="s">
        <v>3006</v>
      </c>
      <c r="U1138" s="17" t="s">
        <v>3060</v>
      </c>
      <c r="V1138" s="17" t="s">
        <v>3058</v>
      </c>
      <c r="W1138" s="17"/>
      <c r="X1138" s="17"/>
    </row>
    <row r="1139" spans="1:24" hidden="1">
      <c r="A1139" s="18">
        <v>1138</v>
      </c>
      <c r="B1139" s="17" t="s">
        <v>2528</v>
      </c>
      <c r="C1139" s="17" t="s">
        <v>2529</v>
      </c>
      <c r="D1139" s="17" t="s">
        <v>17</v>
      </c>
      <c r="E1139" s="17" t="s">
        <v>8</v>
      </c>
      <c r="F1139" s="17">
        <v>0</v>
      </c>
      <c r="G1139" s="17">
        <v>0</v>
      </c>
      <c r="H1139" s="17">
        <v>0</v>
      </c>
      <c r="I1139" s="17">
        <v>0</v>
      </c>
      <c r="J1139" s="17">
        <v>0</v>
      </c>
      <c r="K1139" s="17">
        <v>0</v>
      </c>
      <c r="L1139" s="17">
        <v>0</v>
      </c>
      <c r="M1139" s="17">
        <v>0</v>
      </c>
      <c r="N1139" s="17">
        <v>0</v>
      </c>
      <c r="O1139" s="17">
        <v>0</v>
      </c>
      <c r="P1139" s="17">
        <v>0</v>
      </c>
      <c r="Q1139" s="17">
        <v>0</v>
      </c>
      <c r="R1139" s="17">
        <v>0</v>
      </c>
      <c r="S1139" s="17"/>
      <c r="T1139" s="17" t="s">
        <v>3006</v>
      </c>
      <c r="U1139" s="17" t="s">
        <v>3060</v>
      </c>
      <c r="V1139" s="17" t="s">
        <v>3058</v>
      </c>
      <c r="W1139" s="17"/>
      <c r="X1139" s="17"/>
    </row>
    <row r="1140" spans="1:24" hidden="1">
      <c r="A1140" s="18">
        <v>1139</v>
      </c>
      <c r="B1140" s="17" t="s">
        <v>2530</v>
      </c>
      <c r="C1140" s="17" t="s">
        <v>2531</v>
      </c>
      <c r="D1140" s="17" t="s">
        <v>17</v>
      </c>
      <c r="E1140" s="17" t="s">
        <v>8</v>
      </c>
      <c r="F1140" s="17">
        <v>0</v>
      </c>
      <c r="G1140" s="17">
        <v>0</v>
      </c>
      <c r="H1140" s="17">
        <v>0</v>
      </c>
      <c r="I1140" s="17">
        <v>0</v>
      </c>
      <c r="J1140" s="17">
        <v>0</v>
      </c>
      <c r="K1140" s="17">
        <v>0</v>
      </c>
      <c r="L1140" s="17">
        <v>0</v>
      </c>
      <c r="M1140" s="17">
        <v>0</v>
      </c>
      <c r="N1140" s="17">
        <v>0</v>
      </c>
      <c r="O1140" s="17">
        <v>0</v>
      </c>
      <c r="P1140" s="17">
        <v>0</v>
      </c>
      <c r="Q1140" s="17">
        <v>0</v>
      </c>
      <c r="R1140" s="17">
        <v>0</v>
      </c>
      <c r="S1140" s="17"/>
      <c r="T1140" s="17" t="s">
        <v>3006</v>
      </c>
      <c r="U1140" s="17" t="s">
        <v>3060</v>
      </c>
      <c r="V1140" s="17" t="s">
        <v>3058</v>
      </c>
      <c r="W1140" s="17"/>
      <c r="X1140" s="17"/>
    </row>
    <row r="1141" spans="1:24" hidden="1">
      <c r="A1141" s="18">
        <v>1140</v>
      </c>
      <c r="B1141" s="17" t="s">
        <v>2532</v>
      </c>
      <c r="C1141" s="17" t="s">
        <v>2533</v>
      </c>
      <c r="D1141" s="17" t="s">
        <v>17</v>
      </c>
      <c r="E1141" s="17" t="s">
        <v>8</v>
      </c>
      <c r="F1141" s="17">
        <v>0</v>
      </c>
      <c r="G1141" s="17">
        <v>0</v>
      </c>
      <c r="H1141" s="17">
        <v>0</v>
      </c>
      <c r="I1141" s="17">
        <v>0</v>
      </c>
      <c r="J1141" s="17">
        <v>0</v>
      </c>
      <c r="K1141" s="17">
        <v>0</v>
      </c>
      <c r="L1141" s="17">
        <v>0</v>
      </c>
      <c r="M1141" s="17">
        <v>0</v>
      </c>
      <c r="N1141" s="17">
        <v>0</v>
      </c>
      <c r="O1141" s="17">
        <v>0</v>
      </c>
      <c r="P1141" s="17">
        <v>0</v>
      </c>
      <c r="Q1141" s="17">
        <v>0</v>
      </c>
      <c r="R1141" s="17">
        <v>0</v>
      </c>
      <c r="S1141" s="17"/>
      <c r="T1141" s="17" t="s">
        <v>3006</v>
      </c>
      <c r="U1141" s="17" t="s">
        <v>3060</v>
      </c>
      <c r="V1141" s="17" t="s">
        <v>3058</v>
      </c>
      <c r="W1141" s="17"/>
      <c r="X1141" s="17"/>
    </row>
    <row r="1142" spans="1:24" hidden="1">
      <c r="A1142" s="18">
        <v>1141</v>
      </c>
      <c r="B1142" s="17" t="s">
        <v>2534</v>
      </c>
      <c r="C1142" s="17" t="s">
        <v>2535</v>
      </c>
      <c r="D1142" s="17" t="s">
        <v>17</v>
      </c>
      <c r="E1142" s="17" t="s">
        <v>8</v>
      </c>
      <c r="F1142" s="17">
        <v>0</v>
      </c>
      <c r="G1142" s="17">
        <v>0</v>
      </c>
      <c r="H1142" s="17">
        <v>0</v>
      </c>
      <c r="I1142" s="17">
        <v>0</v>
      </c>
      <c r="J1142" s="17">
        <v>0</v>
      </c>
      <c r="K1142" s="17">
        <v>0</v>
      </c>
      <c r="L1142" s="17">
        <v>0</v>
      </c>
      <c r="M1142" s="17">
        <v>0</v>
      </c>
      <c r="N1142" s="17">
        <v>0</v>
      </c>
      <c r="O1142" s="17">
        <v>0</v>
      </c>
      <c r="P1142" s="17">
        <v>0</v>
      </c>
      <c r="Q1142" s="17">
        <v>0</v>
      </c>
      <c r="R1142" s="17">
        <v>0</v>
      </c>
      <c r="S1142" s="17"/>
      <c r="T1142" s="17" t="s">
        <v>3006</v>
      </c>
      <c r="U1142" s="17" t="s">
        <v>3060</v>
      </c>
      <c r="V1142" s="17" t="s">
        <v>3058</v>
      </c>
      <c r="W1142" s="17"/>
      <c r="X1142" s="17"/>
    </row>
    <row r="1143" spans="1:24" hidden="1">
      <c r="A1143" s="18">
        <v>1142</v>
      </c>
      <c r="B1143" s="17" t="s">
        <v>2536</v>
      </c>
      <c r="C1143" s="17" t="s">
        <v>2537</v>
      </c>
      <c r="D1143" s="17" t="s">
        <v>17</v>
      </c>
      <c r="E1143" s="17" t="s">
        <v>8</v>
      </c>
      <c r="F1143" s="17">
        <v>0</v>
      </c>
      <c r="G1143" s="17">
        <v>0</v>
      </c>
      <c r="H1143" s="17">
        <v>0</v>
      </c>
      <c r="I1143" s="17">
        <v>0</v>
      </c>
      <c r="J1143" s="17">
        <v>0</v>
      </c>
      <c r="K1143" s="17">
        <v>0</v>
      </c>
      <c r="L1143" s="17">
        <v>0</v>
      </c>
      <c r="M1143" s="17">
        <v>0</v>
      </c>
      <c r="N1143" s="17">
        <v>0</v>
      </c>
      <c r="O1143" s="17">
        <v>0</v>
      </c>
      <c r="P1143" s="17">
        <v>0</v>
      </c>
      <c r="Q1143" s="17">
        <v>0</v>
      </c>
      <c r="R1143" s="17">
        <v>0</v>
      </c>
      <c r="S1143" s="17"/>
      <c r="T1143" s="17" t="s">
        <v>3006</v>
      </c>
      <c r="U1143" s="17" t="s">
        <v>3060</v>
      </c>
      <c r="V1143" s="17" t="s">
        <v>3058</v>
      </c>
      <c r="W1143" s="17"/>
      <c r="X1143" s="17"/>
    </row>
    <row r="1144" spans="1:24" hidden="1">
      <c r="A1144" s="18">
        <v>1143</v>
      </c>
      <c r="B1144" s="17" t="s">
        <v>2538</v>
      </c>
      <c r="C1144" s="17" t="s">
        <v>2539</v>
      </c>
      <c r="D1144" s="17" t="s">
        <v>17</v>
      </c>
      <c r="E1144" s="17" t="s">
        <v>8</v>
      </c>
      <c r="F1144" s="17">
        <v>0</v>
      </c>
      <c r="G1144" s="17">
        <v>0</v>
      </c>
      <c r="H1144" s="17">
        <v>0</v>
      </c>
      <c r="I1144" s="17">
        <v>0</v>
      </c>
      <c r="J1144" s="17">
        <v>0</v>
      </c>
      <c r="K1144" s="17">
        <v>0</v>
      </c>
      <c r="L1144" s="17">
        <v>0</v>
      </c>
      <c r="M1144" s="17">
        <v>0</v>
      </c>
      <c r="N1144" s="17">
        <v>0</v>
      </c>
      <c r="O1144" s="17">
        <v>0</v>
      </c>
      <c r="P1144" s="17">
        <v>0</v>
      </c>
      <c r="Q1144" s="17">
        <v>0</v>
      </c>
      <c r="R1144" s="17">
        <v>0</v>
      </c>
      <c r="S1144" s="17"/>
      <c r="T1144" s="17" t="s">
        <v>3006</v>
      </c>
      <c r="U1144" s="17" t="s">
        <v>3060</v>
      </c>
      <c r="V1144" s="17" t="s">
        <v>3058</v>
      </c>
      <c r="W1144" s="17"/>
      <c r="X1144" s="17"/>
    </row>
    <row r="1145" spans="1:24" hidden="1">
      <c r="A1145" s="18">
        <v>1144</v>
      </c>
      <c r="B1145" s="17" t="s">
        <v>2540</v>
      </c>
      <c r="C1145" s="17" t="s">
        <v>2541</v>
      </c>
      <c r="D1145" s="17" t="s">
        <v>17</v>
      </c>
      <c r="E1145" s="17" t="s">
        <v>8</v>
      </c>
      <c r="F1145" s="17">
        <v>0</v>
      </c>
      <c r="G1145" s="17">
        <v>0</v>
      </c>
      <c r="H1145" s="17">
        <v>0</v>
      </c>
      <c r="I1145" s="17">
        <v>0</v>
      </c>
      <c r="J1145" s="17">
        <v>0</v>
      </c>
      <c r="K1145" s="17">
        <v>0</v>
      </c>
      <c r="L1145" s="17">
        <v>0</v>
      </c>
      <c r="M1145" s="17">
        <v>0</v>
      </c>
      <c r="N1145" s="17">
        <v>0</v>
      </c>
      <c r="O1145" s="17">
        <v>0</v>
      </c>
      <c r="P1145" s="17">
        <v>0</v>
      </c>
      <c r="Q1145" s="17">
        <v>0</v>
      </c>
      <c r="R1145" s="17">
        <v>0</v>
      </c>
      <c r="S1145" s="17"/>
      <c r="T1145" s="17" t="s">
        <v>3006</v>
      </c>
      <c r="U1145" s="17" t="s">
        <v>3060</v>
      </c>
      <c r="V1145" s="17" t="s">
        <v>3058</v>
      </c>
      <c r="W1145" s="17"/>
      <c r="X1145" s="17"/>
    </row>
    <row r="1146" spans="1:24" hidden="1">
      <c r="A1146" s="18">
        <v>1145</v>
      </c>
      <c r="B1146" s="17" t="s">
        <v>2542</v>
      </c>
      <c r="C1146" s="17" t="s">
        <v>2543</v>
      </c>
      <c r="D1146" s="17" t="s">
        <v>17</v>
      </c>
      <c r="E1146" s="17" t="s">
        <v>8</v>
      </c>
      <c r="F1146" s="17">
        <v>0</v>
      </c>
      <c r="G1146" s="17">
        <v>0</v>
      </c>
      <c r="H1146" s="17">
        <v>0</v>
      </c>
      <c r="I1146" s="17">
        <v>0</v>
      </c>
      <c r="J1146" s="17">
        <v>0</v>
      </c>
      <c r="K1146" s="17">
        <v>0</v>
      </c>
      <c r="L1146" s="17">
        <v>0</v>
      </c>
      <c r="M1146" s="17">
        <v>0</v>
      </c>
      <c r="N1146" s="17">
        <v>0</v>
      </c>
      <c r="O1146" s="17">
        <v>0</v>
      </c>
      <c r="P1146" s="17">
        <v>0</v>
      </c>
      <c r="Q1146" s="17">
        <v>0</v>
      </c>
      <c r="R1146" s="17">
        <v>0</v>
      </c>
      <c r="S1146" s="17"/>
      <c r="T1146" s="17" t="s">
        <v>3006</v>
      </c>
      <c r="U1146" s="17" t="s">
        <v>3060</v>
      </c>
      <c r="V1146" s="17" t="s">
        <v>3058</v>
      </c>
      <c r="W1146" s="17"/>
      <c r="X1146" s="17"/>
    </row>
    <row r="1147" spans="1:24" hidden="1">
      <c r="A1147" s="18">
        <v>1146</v>
      </c>
      <c r="B1147" s="17" t="s">
        <v>2544</v>
      </c>
      <c r="C1147" s="17" t="s">
        <v>2545</v>
      </c>
      <c r="D1147" s="17" t="s">
        <v>17</v>
      </c>
      <c r="E1147" s="17" t="s">
        <v>8</v>
      </c>
      <c r="F1147" s="17">
        <v>600</v>
      </c>
      <c r="G1147" s="17">
        <v>0</v>
      </c>
      <c r="H1147" s="17">
        <v>0</v>
      </c>
      <c r="I1147" s="17">
        <v>600</v>
      </c>
      <c r="J1147" s="17">
        <v>0</v>
      </c>
      <c r="K1147" s="17">
        <v>0</v>
      </c>
      <c r="L1147" s="17">
        <v>600</v>
      </c>
      <c r="M1147" s="17">
        <v>0</v>
      </c>
      <c r="N1147" s="17">
        <v>0</v>
      </c>
      <c r="O1147" s="17">
        <v>600</v>
      </c>
      <c r="P1147" s="17">
        <v>0</v>
      </c>
      <c r="Q1147" s="17">
        <v>600</v>
      </c>
      <c r="R1147" s="17">
        <v>0</v>
      </c>
      <c r="S1147" s="17"/>
      <c r="T1147" s="17" t="s">
        <v>2972</v>
      </c>
      <c r="U1147" s="17" t="s">
        <v>3055</v>
      </c>
      <c r="V1147" s="17" t="s">
        <v>3056</v>
      </c>
      <c r="W1147" s="17"/>
      <c r="X1147" s="17"/>
    </row>
    <row r="1148" spans="1:24" hidden="1">
      <c r="A1148" s="18">
        <v>1147</v>
      </c>
      <c r="B1148" s="17" t="s">
        <v>2441</v>
      </c>
      <c r="C1148" s="17" t="s">
        <v>2442</v>
      </c>
      <c r="D1148" s="17" t="s">
        <v>17</v>
      </c>
      <c r="E1148" s="17" t="s">
        <v>8</v>
      </c>
      <c r="F1148" s="17">
        <v>150</v>
      </c>
      <c r="G1148" s="17">
        <v>0</v>
      </c>
      <c r="H1148" s="17">
        <v>0</v>
      </c>
      <c r="I1148" s="17">
        <v>150</v>
      </c>
      <c r="J1148" s="17">
        <v>0</v>
      </c>
      <c r="K1148" s="17">
        <v>0</v>
      </c>
      <c r="L1148" s="17">
        <v>150</v>
      </c>
      <c r="M1148" s="17">
        <v>0</v>
      </c>
      <c r="N1148" s="17">
        <v>0</v>
      </c>
      <c r="O1148" s="17">
        <v>150</v>
      </c>
      <c r="P1148" s="17">
        <v>100</v>
      </c>
      <c r="Q1148" s="17">
        <v>50</v>
      </c>
      <c r="R1148" s="17">
        <v>0</v>
      </c>
      <c r="S1148" s="17"/>
      <c r="T1148" s="17" t="s">
        <v>2972</v>
      </c>
      <c r="U1148" s="17" t="s">
        <v>3057</v>
      </c>
      <c r="V1148" s="17" t="s">
        <v>3056</v>
      </c>
      <c r="W1148" s="17"/>
      <c r="X1148" s="17"/>
    </row>
    <row r="1149" spans="1:24" hidden="1">
      <c r="A1149" s="18">
        <v>1148</v>
      </c>
      <c r="B1149" s="17" t="s">
        <v>2548</v>
      </c>
      <c r="C1149" s="17" t="s">
        <v>2549</v>
      </c>
      <c r="D1149" s="17" t="s">
        <v>20</v>
      </c>
      <c r="E1149" s="17" t="s">
        <v>8</v>
      </c>
      <c r="F1149" s="17">
        <v>0</v>
      </c>
      <c r="G1149" s="17">
        <v>0</v>
      </c>
      <c r="H1149" s="17">
        <v>0</v>
      </c>
      <c r="I1149" s="17">
        <v>0</v>
      </c>
      <c r="J1149" s="17">
        <v>0</v>
      </c>
      <c r="K1149" s="17">
        <v>0</v>
      </c>
      <c r="L1149" s="17">
        <v>0</v>
      </c>
      <c r="M1149" s="17">
        <v>0</v>
      </c>
      <c r="N1149" s="17">
        <v>0</v>
      </c>
      <c r="O1149" s="17">
        <v>0</v>
      </c>
      <c r="P1149" s="17">
        <v>0</v>
      </c>
      <c r="Q1149" s="17">
        <v>0</v>
      </c>
      <c r="R1149" s="17">
        <v>0</v>
      </c>
      <c r="S1149" s="17"/>
      <c r="T1149" s="17" t="s">
        <v>2991</v>
      </c>
      <c r="U1149" s="17" t="s">
        <v>3060</v>
      </c>
      <c r="V1149" s="17" t="s">
        <v>3058</v>
      </c>
      <c r="W1149" s="17"/>
      <c r="X1149" s="17"/>
    </row>
    <row r="1150" spans="1:24" hidden="1">
      <c r="A1150" s="18">
        <v>1149</v>
      </c>
      <c r="B1150" s="17" t="s">
        <v>2462</v>
      </c>
      <c r="C1150" s="17" t="s">
        <v>2463</v>
      </c>
      <c r="D1150" s="17" t="s">
        <v>7</v>
      </c>
      <c r="E1150" s="17" t="s">
        <v>8</v>
      </c>
      <c r="F1150" s="17">
        <v>5280</v>
      </c>
      <c r="G1150" s="17">
        <v>0</v>
      </c>
      <c r="H1150" s="17">
        <v>0</v>
      </c>
      <c r="I1150" s="17">
        <v>5280</v>
      </c>
      <c r="J1150" s="17">
        <v>0</v>
      </c>
      <c r="K1150" s="17">
        <v>0</v>
      </c>
      <c r="L1150" s="17">
        <v>5280</v>
      </c>
      <c r="M1150" s="17">
        <v>0</v>
      </c>
      <c r="N1150" s="17">
        <v>0</v>
      </c>
      <c r="O1150" s="17">
        <v>5280</v>
      </c>
      <c r="P1150" s="17">
        <v>1000</v>
      </c>
      <c r="Q1150" s="17">
        <v>4280</v>
      </c>
      <c r="R1150" s="17">
        <v>0</v>
      </c>
      <c r="S1150" s="17"/>
      <c r="T1150" s="17" t="s">
        <v>2972</v>
      </c>
      <c r="U1150" s="17" t="s">
        <v>3057</v>
      </c>
      <c r="V1150" s="17" t="s">
        <v>3056</v>
      </c>
      <c r="W1150" s="17"/>
      <c r="X1150" s="17"/>
    </row>
    <row r="1151" spans="1:24" hidden="1">
      <c r="A1151" s="18">
        <v>1150</v>
      </c>
      <c r="B1151" s="17" t="s">
        <v>2555</v>
      </c>
      <c r="C1151" s="17" t="s">
        <v>2556</v>
      </c>
      <c r="D1151" s="17" t="s">
        <v>17</v>
      </c>
      <c r="E1151" s="17" t="s">
        <v>8</v>
      </c>
      <c r="F1151" s="17">
        <v>0</v>
      </c>
      <c r="G1151" s="17">
        <v>0</v>
      </c>
      <c r="H1151" s="17">
        <v>0</v>
      </c>
      <c r="I1151" s="17">
        <v>0</v>
      </c>
      <c r="J1151" s="17">
        <v>0</v>
      </c>
      <c r="K1151" s="17">
        <v>0</v>
      </c>
      <c r="L1151" s="17">
        <v>0</v>
      </c>
      <c r="M1151" s="17">
        <v>0</v>
      </c>
      <c r="N1151" s="17">
        <v>0</v>
      </c>
      <c r="O1151" s="17">
        <v>0</v>
      </c>
      <c r="P1151" s="17">
        <v>0</v>
      </c>
      <c r="Q1151" s="17">
        <v>0</v>
      </c>
      <c r="R1151" s="17">
        <v>0</v>
      </c>
      <c r="S1151" s="17"/>
      <c r="T1151" s="17" t="s">
        <v>2982</v>
      </c>
      <c r="U1151" s="17" t="s">
        <v>3060</v>
      </c>
      <c r="V1151" s="17" t="s">
        <v>3058</v>
      </c>
      <c r="W1151" s="17"/>
      <c r="X1151" s="17"/>
    </row>
    <row r="1152" spans="1:24" hidden="1">
      <c r="A1152" s="18">
        <v>1151</v>
      </c>
      <c r="B1152" s="17" t="s">
        <v>2557</v>
      </c>
      <c r="C1152" s="17" t="s">
        <v>2558</v>
      </c>
      <c r="D1152" s="17" t="s">
        <v>17</v>
      </c>
      <c r="E1152" s="17" t="s">
        <v>8</v>
      </c>
      <c r="F1152" s="17">
        <v>0</v>
      </c>
      <c r="G1152" s="17">
        <v>0</v>
      </c>
      <c r="H1152" s="17">
        <v>0</v>
      </c>
      <c r="I1152" s="17">
        <v>0</v>
      </c>
      <c r="J1152" s="17">
        <v>0</v>
      </c>
      <c r="K1152" s="17">
        <v>0</v>
      </c>
      <c r="L1152" s="17">
        <v>0</v>
      </c>
      <c r="M1152" s="17">
        <v>0</v>
      </c>
      <c r="N1152" s="17">
        <v>0</v>
      </c>
      <c r="O1152" s="17">
        <v>0</v>
      </c>
      <c r="P1152" s="17">
        <v>0</v>
      </c>
      <c r="Q1152" s="17">
        <v>0</v>
      </c>
      <c r="R1152" s="17">
        <v>0</v>
      </c>
      <c r="S1152" s="17"/>
      <c r="T1152" s="17" t="s">
        <v>2982</v>
      </c>
      <c r="U1152" s="17" t="s">
        <v>3060</v>
      </c>
      <c r="V1152" s="17" t="s">
        <v>3058</v>
      </c>
      <c r="W1152" s="17"/>
      <c r="X1152" s="17"/>
    </row>
    <row r="1153" spans="1:24" hidden="1">
      <c r="A1153" s="18">
        <v>1152</v>
      </c>
      <c r="B1153" s="17" t="s">
        <v>2559</v>
      </c>
      <c r="C1153" s="17" t="s">
        <v>2560</v>
      </c>
      <c r="D1153" s="17" t="s">
        <v>17</v>
      </c>
      <c r="E1153" s="17" t="s">
        <v>8</v>
      </c>
      <c r="F1153" s="17">
        <v>0</v>
      </c>
      <c r="G1153" s="17">
        <v>0</v>
      </c>
      <c r="H1153" s="17">
        <v>0</v>
      </c>
      <c r="I1153" s="17">
        <v>0</v>
      </c>
      <c r="J1153" s="17">
        <v>0</v>
      </c>
      <c r="K1153" s="17">
        <v>0</v>
      </c>
      <c r="L1153" s="17">
        <v>0</v>
      </c>
      <c r="M1153" s="17">
        <v>0</v>
      </c>
      <c r="N1153" s="17">
        <v>0</v>
      </c>
      <c r="O1153" s="17">
        <v>0</v>
      </c>
      <c r="P1153" s="17">
        <v>0</v>
      </c>
      <c r="Q1153" s="17">
        <v>0</v>
      </c>
      <c r="R1153" s="17">
        <v>0</v>
      </c>
      <c r="S1153" s="17"/>
      <c r="T1153" s="17" t="s">
        <v>2982</v>
      </c>
      <c r="U1153" s="17" t="s">
        <v>3060</v>
      </c>
      <c r="V1153" s="17" t="s">
        <v>3058</v>
      </c>
      <c r="W1153" s="17"/>
      <c r="X1153" s="17"/>
    </row>
    <row r="1154" spans="1:24" hidden="1">
      <c r="A1154" s="18">
        <v>1153</v>
      </c>
      <c r="B1154" s="17" t="s">
        <v>2561</v>
      </c>
      <c r="C1154" s="17" t="s">
        <v>2562</v>
      </c>
      <c r="D1154" s="17" t="s">
        <v>17</v>
      </c>
      <c r="E1154" s="17" t="s">
        <v>8</v>
      </c>
      <c r="F1154" s="17">
        <v>0</v>
      </c>
      <c r="G1154" s="17">
        <v>0</v>
      </c>
      <c r="H1154" s="17">
        <v>0</v>
      </c>
      <c r="I1154" s="17">
        <v>0</v>
      </c>
      <c r="J1154" s="17">
        <v>0</v>
      </c>
      <c r="K1154" s="17">
        <v>0</v>
      </c>
      <c r="L1154" s="17">
        <v>0</v>
      </c>
      <c r="M1154" s="17">
        <v>0</v>
      </c>
      <c r="N1154" s="17">
        <v>0</v>
      </c>
      <c r="O1154" s="17">
        <v>0</v>
      </c>
      <c r="P1154" s="17">
        <v>0</v>
      </c>
      <c r="Q1154" s="17">
        <v>0</v>
      </c>
      <c r="R1154" s="17">
        <v>0</v>
      </c>
      <c r="S1154" s="17"/>
      <c r="T1154" s="17" t="s">
        <v>2982</v>
      </c>
      <c r="U1154" s="17" t="s">
        <v>3060</v>
      </c>
      <c r="V1154" s="17" t="s">
        <v>3058</v>
      </c>
      <c r="W1154" s="17"/>
      <c r="X1154" s="17"/>
    </row>
    <row r="1155" spans="1:24" hidden="1">
      <c r="A1155" s="18">
        <v>1154</v>
      </c>
      <c r="B1155" s="17" t="s">
        <v>2563</v>
      </c>
      <c r="C1155" s="17" t="s">
        <v>2564</v>
      </c>
      <c r="D1155" s="17" t="s">
        <v>17</v>
      </c>
      <c r="E1155" s="17" t="s">
        <v>8</v>
      </c>
      <c r="F1155" s="17">
        <v>0</v>
      </c>
      <c r="G1155" s="17">
        <v>0</v>
      </c>
      <c r="H1155" s="17">
        <v>0</v>
      </c>
      <c r="I1155" s="17">
        <v>0</v>
      </c>
      <c r="J1155" s="17">
        <v>0</v>
      </c>
      <c r="K1155" s="17">
        <v>0</v>
      </c>
      <c r="L1155" s="17">
        <v>0</v>
      </c>
      <c r="M1155" s="17">
        <v>0</v>
      </c>
      <c r="N1155" s="17">
        <v>0</v>
      </c>
      <c r="O1155" s="17">
        <v>0</v>
      </c>
      <c r="P1155" s="17">
        <v>0</v>
      </c>
      <c r="Q1155" s="17">
        <v>0</v>
      </c>
      <c r="R1155" s="17">
        <v>0</v>
      </c>
      <c r="S1155" s="17"/>
      <c r="T1155" s="17" t="s">
        <v>2982</v>
      </c>
      <c r="U1155" s="17" t="s">
        <v>3060</v>
      </c>
      <c r="V1155" s="17" t="s">
        <v>3058</v>
      </c>
      <c r="W1155" s="17"/>
      <c r="X1155" s="17"/>
    </row>
    <row r="1156" spans="1:24" hidden="1">
      <c r="A1156" s="18">
        <v>1155</v>
      </c>
      <c r="B1156" s="17" t="s">
        <v>2565</v>
      </c>
      <c r="C1156" s="17" t="s">
        <v>2566</v>
      </c>
      <c r="D1156" s="17" t="s">
        <v>17</v>
      </c>
      <c r="E1156" s="17" t="s">
        <v>8</v>
      </c>
      <c r="F1156" s="17">
        <v>0</v>
      </c>
      <c r="G1156" s="17">
        <v>28</v>
      </c>
      <c r="H1156" s="17">
        <v>28</v>
      </c>
      <c r="I1156" s="17">
        <v>0</v>
      </c>
      <c r="J1156" s="17">
        <v>0</v>
      </c>
      <c r="K1156" s="17">
        <v>0</v>
      </c>
      <c r="L1156" s="17">
        <v>0</v>
      </c>
      <c r="M1156" s="17">
        <v>0</v>
      </c>
      <c r="N1156" s="17">
        <v>0</v>
      </c>
      <c r="O1156" s="17">
        <v>0</v>
      </c>
      <c r="P1156" s="17">
        <v>0</v>
      </c>
      <c r="Q1156" s="17">
        <v>0</v>
      </c>
      <c r="R1156" s="17">
        <v>0</v>
      </c>
      <c r="S1156" s="17"/>
      <c r="T1156" s="17" t="s">
        <v>2982</v>
      </c>
      <c r="U1156" s="17" t="s">
        <v>3060</v>
      </c>
      <c r="V1156" s="17" t="s">
        <v>3058</v>
      </c>
      <c r="W1156" s="17"/>
      <c r="X1156" s="17"/>
    </row>
    <row r="1157" spans="1:24" hidden="1">
      <c r="A1157" s="18">
        <v>1156</v>
      </c>
      <c r="B1157" s="17" t="s">
        <v>2567</v>
      </c>
      <c r="C1157" s="17" t="s">
        <v>2568</v>
      </c>
      <c r="D1157" s="17" t="s">
        <v>17</v>
      </c>
      <c r="E1157" s="17" t="s">
        <v>8</v>
      </c>
      <c r="F1157" s="17">
        <v>0</v>
      </c>
      <c r="G1157" s="17">
        <v>0</v>
      </c>
      <c r="H1157" s="17">
        <v>0</v>
      </c>
      <c r="I1157" s="17">
        <v>0</v>
      </c>
      <c r="J1157" s="17">
        <v>0</v>
      </c>
      <c r="K1157" s="17">
        <v>0</v>
      </c>
      <c r="L1157" s="17">
        <v>0</v>
      </c>
      <c r="M1157" s="17">
        <v>0</v>
      </c>
      <c r="N1157" s="17">
        <v>0</v>
      </c>
      <c r="O1157" s="17">
        <v>0</v>
      </c>
      <c r="P1157" s="17">
        <v>0</v>
      </c>
      <c r="Q1157" s="17">
        <v>0</v>
      </c>
      <c r="R1157" s="17">
        <v>0</v>
      </c>
      <c r="S1157" s="17"/>
      <c r="T1157" s="17" t="s">
        <v>2982</v>
      </c>
      <c r="U1157" s="17" t="s">
        <v>3060</v>
      </c>
      <c r="V1157" s="17" t="s">
        <v>3058</v>
      </c>
      <c r="W1157" s="17"/>
      <c r="X1157" s="17"/>
    </row>
    <row r="1158" spans="1:24" hidden="1">
      <c r="A1158" s="18">
        <v>1157</v>
      </c>
      <c r="B1158" s="17" t="s">
        <v>2569</v>
      </c>
      <c r="C1158" s="17" t="s">
        <v>2570</v>
      </c>
      <c r="D1158" s="17" t="s">
        <v>17</v>
      </c>
      <c r="E1158" s="17" t="s">
        <v>8</v>
      </c>
      <c r="F1158" s="17">
        <v>0</v>
      </c>
      <c r="G1158" s="17">
        <v>0</v>
      </c>
      <c r="H1158" s="17">
        <v>0</v>
      </c>
      <c r="I1158" s="17">
        <v>0</v>
      </c>
      <c r="J1158" s="17">
        <v>0</v>
      </c>
      <c r="K1158" s="17">
        <v>0</v>
      </c>
      <c r="L1158" s="17">
        <v>0</v>
      </c>
      <c r="M1158" s="17">
        <v>0</v>
      </c>
      <c r="N1158" s="17">
        <v>0</v>
      </c>
      <c r="O1158" s="17">
        <v>0</v>
      </c>
      <c r="P1158" s="17">
        <v>0</v>
      </c>
      <c r="Q1158" s="17">
        <v>0</v>
      </c>
      <c r="R1158" s="17">
        <v>0</v>
      </c>
      <c r="S1158" s="17"/>
      <c r="T1158" s="17" t="s">
        <v>2982</v>
      </c>
      <c r="U1158" s="17" t="s">
        <v>3060</v>
      </c>
      <c r="V1158" s="17" t="s">
        <v>3058</v>
      </c>
      <c r="W1158" s="17"/>
      <c r="X1158" s="17"/>
    </row>
    <row r="1159" spans="1:24" hidden="1">
      <c r="A1159" s="18">
        <v>1158</v>
      </c>
      <c r="B1159" s="17" t="s">
        <v>2464</v>
      </c>
      <c r="C1159" s="17" t="s">
        <v>2465</v>
      </c>
      <c r="D1159" s="17" t="s">
        <v>17</v>
      </c>
      <c r="E1159" s="17" t="s">
        <v>8</v>
      </c>
      <c r="F1159" s="17">
        <v>8706</v>
      </c>
      <c r="G1159" s="17">
        <v>0</v>
      </c>
      <c r="H1159" s="17">
        <v>0</v>
      </c>
      <c r="I1159" s="17">
        <v>8706</v>
      </c>
      <c r="J1159" s="17">
        <v>0</v>
      </c>
      <c r="K1159" s="17">
        <v>0</v>
      </c>
      <c r="L1159" s="17">
        <v>8706</v>
      </c>
      <c r="M1159" s="17">
        <v>0</v>
      </c>
      <c r="N1159" s="17">
        <v>0</v>
      </c>
      <c r="O1159" s="17">
        <v>8706</v>
      </c>
      <c r="P1159" s="17">
        <v>0</v>
      </c>
      <c r="Q1159" s="17">
        <v>8706</v>
      </c>
      <c r="R1159" s="17">
        <v>0</v>
      </c>
      <c r="S1159" s="17"/>
      <c r="T1159" s="17" t="s">
        <v>2972</v>
      </c>
      <c r="U1159" s="17" t="s">
        <v>3057</v>
      </c>
      <c r="V1159" s="17" t="s">
        <v>3056</v>
      </c>
      <c r="W1159" s="17"/>
      <c r="X1159" s="17"/>
    </row>
    <row r="1160" spans="1:24" hidden="1">
      <c r="A1160" s="18">
        <v>1159</v>
      </c>
      <c r="B1160" s="17" t="s">
        <v>2577</v>
      </c>
      <c r="C1160" s="17" t="s">
        <v>2578</v>
      </c>
      <c r="D1160" s="17" t="s">
        <v>20</v>
      </c>
      <c r="E1160" s="17" t="s">
        <v>8</v>
      </c>
      <c r="F1160" s="17">
        <v>0</v>
      </c>
      <c r="G1160" s="17">
        <v>20703.400000000001</v>
      </c>
      <c r="H1160" s="17">
        <v>13345.6</v>
      </c>
      <c r="I1160" s="17">
        <v>7357.8</v>
      </c>
      <c r="J1160" s="17">
        <v>0</v>
      </c>
      <c r="K1160" s="17">
        <v>0</v>
      </c>
      <c r="L1160" s="17">
        <v>7357.8</v>
      </c>
      <c r="M1160" s="17">
        <v>0</v>
      </c>
      <c r="N1160" s="17">
        <v>0</v>
      </c>
      <c r="O1160" s="17">
        <v>7357.8</v>
      </c>
      <c r="P1160" s="17">
        <v>15000</v>
      </c>
      <c r="Q1160" s="17">
        <v>-7642.2</v>
      </c>
      <c r="R1160" s="17">
        <v>22000</v>
      </c>
      <c r="S1160" s="17"/>
      <c r="T1160" s="17" t="s">
        <v>3000</v>
      </c>
      <c r="U1160" s="17" t="s">
        <v>3059</v>
      </c>
      <c r="V1160" s="17" t="s">
        <v>3056</v>
      </c>
      <c r="W1160" s="17"/>
      <c r="X1160" s="17"/>
    </row>
    <row r="1161" spans="1:24" hidden="1">
      <c r="A1161" s="18">
        <v>1160</v>
      </c>
      <c r="B1161" s="17" t="s">
        <v>2579</v>
      </c>
      <c r="C1161" s="17" t="s">
        <v>2580</v>
      </c>
      <c r="D1161" s="17" t="s">
        <v>20</v>
      </c>
      <c r="E1161" s="17" t="s">
        <v>8</v>
      </c>
      <c r="F1161" s="17">
        <v>0</v>
      </c>
      <c r="G1161" s="17">
        <v>7487.9</v>
      </c>
      <c r="H1161" s="17">
        <v>4336.1000000000004</v>
      </c>
      <c r="I1161" s="17">
        <v>3151.8</v>
      </c>
      <c r="J1161" s="17">
        <v>0</v>
      </c>
      <c r="K1161" s="17">
        <v>0</v>
      </c>
      <c r="L1161" s="17">
        <v>3151.8</v>
      </c>
      <c r="M1161" s="17">
        <v>0</v>
      </c>
      <c r="N1161" s="17">
        <v>0</v>
      </c>
      <c r="O1161" s="17">
        <v>3151.8</v>
      </c>
      <c r="P1161" s="17">
        <v>8000</v>
      </c>
      <c r="Q1161" s="17">
        <v>-4848.2</v>
      </c>
      <c r="R1161" s="17">
        <v>10000</v>
      </c>
      <c r="S1161" s="17"/>
      <c r="T1161" s="17" t="s">
        <v>3000</v>
      </c>
      <c r="U1161" s="17" t="s">
        <v>3059</v>
      </c>
      <c r="V1161" s="17" t="s">
        <v>3056</v>
      </c>
      <c r="W1161" s="17"/>
      <c r="X1161" s="17"/>
    </row>
    <row r="1162" spans="1:24" hidden="1">
      <c r="A1162" s="18">
        <v>1161</v>
      </c>
      <c r="B1162" s="17" t="s">
        <v>2581</v>
      </c>
      <c r="C1162" s="17" t="s">
        <v>2582</v>
      </c>
      <c r="D1162" s="17" t="s">
        <v>20</v>
      </c>
      <c r="E1162" s="17" t="s">
        <v>8</v>
      </c>
      <c r="F1162" s="17">
        <v>2571.4</v>
      </c>
      <c r="G1162" s="17">
        <v>1717.3</v>
      </c>
      <c r="H1162" s="17">
        <v>4095</v>
      </c>
      <c r="I1162" s="17">
        <v>193.7</v>
      </c>
      <c r="J1162" s="17">
        <v>0</v>
      </c>
      <c r="K1162" s="17">
        <v>0</v>
      </c>
      <c r="L1162" s="17">
        <v>193.7</v>
      </c>
      <c r="M1162" s="17">
        <v>0</v>
      </c>
      <c r="N1162" s="17">
        <v>0</v>
      </c>
      <c r="O1162" s="17">
        <v>193.7</v>
      </c>
      <c r="P1162" s="17">
        <v>7500</v>
      </c>
      <c r="Q1162" s="17">
        <v>-7306.3</v>
      </c>
      <c r="R1162" s="17">
        <v>6000</v>
      </c>
      <c r="S1162" s="17"/>
      <c r="T1162" s="17" t="s">
        <v>3000</v>
      </c>
      <c r="U1162" s="17" t="s">
        <v>3059</v>
      </c>
      <c r="V1162" s="17" t="s">
        <v>3056</v>
      </c>
      <c r="W1162" s="17"/>
      <c r="X1162" s="17"/>
    </row>
    <row r="1163" spans="1:24" hidden="1">
      <c r="A1163" s="18">
        <v>1162</v>
      </c>
      <c r="B1163" s="17" t="s">
        <v>2484</v>
      </c>
      <c r="C1163" s="17" t="s">
        <v>2485</v>
      </c>
      <c r="D1163" s="17" t="s">
        <v>17</v>
      </c>
      <c r="E1163" s="17" t="s">
        <v>8</v>
      </c>
      <c r="F1163" s="17">
        <v>0</v>
      </c>
      <c r="G1163" s="17">
        <v>0</v>
      </c>
      <c r="H1163" s="17">
        <v>0</v>
      </c>
      <c r="I1163" s="17">
        <v>0</v>
      </c>
      <c r="J1163" s="17">
        <v>0</v>
      </c>
      <c r="K1163" s="17">
        <v>0</v>
      </c>
      <c r="L1163" s="17">
        <v>0</v>
      </c>
      <c r="M1163" s="17">
        <v>0</v>
      </c>
      <c r="N1163" s="17">
        <v>0</v>
      </c>
      <c r="O1163" s="17">
        <v>0</v>
      </c>
      <c r="P1163" s="17">
        <v>0</v>
      </c>
      <c r="Q1163" s="17">
        <v>0</v>
      </c>
      <c r="R1163" s="17">
        <v>0</v>
      </c>
      <c r="S1163" s="17"/>
      <c r="T1163" s="17" t="s">
        <v>2972</v>
      </c>
      <c r="U1163" s="17" t="s">
        <v>3057</v>
      </c>
      <c r="V1163" s="17" t="s">
        <v>3056</v>
      </c>
      <c r="W1163" s="17"/>
      <c r="X1163" s="17"/>
    </row>
    <row r="1164" spans="1:24" hidden="1">
      <c r="A1164" s="18">
        <v>1163</v>
      </c>
      <c r="B1164" s="17" t="s">
        <v>2587</v>
      </c>
      <c r="C1164" s="17" t="s">
        <v>2588</v>
      </c>
      <c r="D1164" s="17" t="s">
        <v>17</v>
      </c>
      <c r="E1164" s="17" t="s">
        <v>8</v>
      </c>
      <c r="F1164" s="17">
        <v>10</v>
      </c>
      <c r="G1164" s="17">
        <v>0</v>
      </c>
      <c r="H1164" s="17">
        <v>0</v>
      </c>
      <c r="I1164" s="17">
        <v>10</v>
      </c>
      <c r="J1164" s="17">
        <v>0</v>
      </c>
      <c r="K1164" s="17">
        <v>0</v>
      </c>
      <c r="L1164" s="17">
        <v>10</v>
      </c>
      <c r="M1164" s="17">
        <v>0</v>
      </c>
      <c r="N1164" s="17">
        <v>0</v>
      </c>
      <c r="O1164" s="17">
        <v>10</v>
      </c>
      <c r="P1164" s="17">
        <v>0</v>
      </c>
      <c r="Q1164" s="17">
        <v>10</v>
      </c>
      <c r="R1164" s="17">
        <v>0</v>
      </c>
      <c r="S1164" s="17"/>
      <c r="T1164" s="17" t="s">
        <v>2982</v>
      </c>
      <c r="U1164" s="17" t="s">
        <v>3060</v>
      </c>
      <c r="V1164" s="17" t="s">
        <v>3058</v>
      </c>
      <c r="W1164" s="17"/>
      <c r="X1164" s="17"/>
    </row>
    <row r="1165" spans="1:24" hidden="1">
      <c r="A1165" s="18">
        <v>1164</v>
      </c>
      <c r="B1165" s="17" t="s">
        <v>2589</v>
      </c>
      <c r="C1165" s="17" t="s">
        <v>2590</v>
      </c>
      <c r="D1165" s="17" t="s">
        <v>17</v>
      </c>
      <c r="E1165" s="17" t="s">
        <v>8</v>
      </c>
      <c r="F1165" s="17">
        <v>20</v>
      </c>
      <c r="G1165" s="17">
        <v>0</v>
      </c>
      <c r="H1165" s="17">
        <v>0</v>
      </c>
      <c r="I1165" s="17">
        <v>20</v>
      </c>
      <c r="J1165" s="17">
        <v>0</v>
      </c>
      <c r="K1165" s="17">
        <v>0</v>
      </c>
      <c r="L1165" s="17">
        <v>20</v>
      </c>
      <c r="M1165" s="17">
        <v>0</v>
      </c>
      <c r="N1165" s="17">
        <v>0</v>
      </c>
      <c r="O1165" s="17">
        <v>20</v>
      </c>
      <c r="P1165" s="17">
        <v>0</v>
      </c>
      <c r="Q1165" s="17">
        <v>20</v>
      </c>
      <c r="R1165" s="17">
        <v>0</v>
      </c>
      <c r="S1165" s="17"/>
      <c r="T1165" s="17" t="s">
        <v>2982</v>
      </c>
      <c r="U1165" s="17" t="s">
        <v>3060</v>
      </c>
      <c r="V1165" s="17" t="s">
        <v>3058</v>
      </c>
      <c r="W1165" s="17"/>
      <c r="X1165" s="17"/>
    </row>
    <row r="1166" spans="1:24" hidden="1">
      <c r="A1166" s="18">
        <v>1165</v>
      </c>
      <c r="B1166" s="17" t="s">
        <v>2492</v>
      </c>
      <c r="C1166" s="17" t="s">
        <v>2493</v>
      </c>
      <c r="D1166" s="17" t="s">
        <v>17</v>
      </c>
      <c r="E1166" s="17" t="s">
        <v>8</v>
      </c>
      <c r="F1166" s="17">
        <v>0</v>
      </c>
      <c r="G1166" s="17">
        <v>0</v>
      </c>
      <c r="H1166" s="17">
        <v>0</v>
      </c>
      <c r="I1166" s="17">
        <v>0</v>
      </c>
      <c r="J1166" s="17">
        <v>0</v>
      </c>
      <c r="K1166" s="17">
        <v>0</v>
      </c>
      <c r="L1166" s="17">
        <v>0</v>
      </c>
      <c r="M1166" s="17">
        <v>0</v>
      </c>
      <c r="N1166" s="17">
        <v>0</v>
      </c>
      <c r="O1166" s="17">
        <v>0</v>
      </c>
      <c r="P1166" s="17">
        <v>0</v>
      </c>
      <c r="Q1166" s="17">
        <v>0</v>
      </c>
      <c r="R1166" s="17">
        <v>0</v>
      </c>
      <c r="S1166" s="17"/>
      <c r="T1166" s="17" t="s">
        <v>2972</v>
      </c>
      <c r="U1166" s="17" t="s">
        <v>3057</v>
      </c>
      <c r="V1166" s="17" t="s">
        <v>3056</v>
      </c>
      <c r="W1166" s="17"/>
      <c r="X1166" s="17"/>
    </row>
    <row r="1167" spans="1:24" hidden="1">
      <c r="A1167" s="18">
        <v>1166</v>
      </c>
      <c r="B1167" s="17" t="s">
        <v>2593</v>
      </c>
      <c r="C1167" s="17" t="s">
        <v>2594</v>
      </c>
      <c r="D1167" s="17" t="s">
        <v>17</v>
      </c>
      <c r="E1167" s="17" t="s">
        <v>8</v>
      </c>
      <c r="F1167" s="17">
        <v>0</v>
      </c>
      <c r="G1167" s="17">
        <v>0</v>
      </c>
      <c r="H1167" s="17">
        <v>0</v>
      </c>
      <c r="I1167" s="17">
        <v>0</v>
      </c>
      <c r="J1167" s="17">
        <v>0</v>
      </c>
      <c r="K1167" s="17">
        <v>0</v>
      </c>
      <c r="L1167" s="17">
        <v>0</v>
      </c>
      <c r="M1167" s="17">
        <v>0</v>
      </c>
      <c r="N1167" s="17">
        <v>0</v>
      </c>
      <c r="O1167" s="17">
        <v>0</v>
      </c>
      <c r="P1167" s="17">
        <v>0</v>
      </c>
      <c r="Q1167" s="17">
        <v>0</v>
      </c>
      <c r="R1167" s="17">
        <v>0</v>
      </c>
      <c r="S1167" s="17"/>
      <c r="T1167" s="17" t="s">
        <v>3006</v>
      </c>
      <c r="U1167" s="17" t="s">
        <v>3060</v>
      </c>
      <c r="V1167" s="17" t="s">
        <v>3058</v>
      </c>
      <c r="W1167" s="17"/>
      <c r="X1167" s="17"/>
    </row>
    <row r="1168" spans="1:24" hidden="1">
      <c r="A1168" s="18">
        <v>1167</v>
      </c>
      <c r="B1168" s="17" t="s">
        <v>2595</v>
      </c>
      <c r="C1168" s="17" t="s">
        <v>2596</v>
      </c>
      <c r="D1168" s="17" t="s">
        <v>17</v>
      </c>
      <c r="E1168" s="17" t="s">
        <v>8</v>
      </c>
      <c r="F1168" s="17">
        <v>0</v>
      </c>
      <c r="G1168" s="17">
        <v>0</v>
      </c>
      <c r="H1168" s="17">
        <v>0</v>
      </c>
      <c r="I1168" s="17">
        <v>0</v>
      </c>
      <c r="J1168" s="17">
        <v>0</v>
      </c>
      <c r="K1168" s="17">
        <v>0</v>
      </c>
      <c r="L1168" s="17">
        <v>0</v>
      </c>
      <c r="M1168" s="17">
        <v>0</v>
      </c>
      <c r="N1168" s="17">
        <v>0</v>
      </c>
      <c r="O1168" s="17">
        <v>0</v>
      </c>
      <c r="P1168" s="17">
        <v>0</v>
      </c>
      <c r="Q1168" s="17">
        <v>0</v>
      </c>
      <c r="R1168" s="17">
        <v>0</v>
      </c>
      <c r="S1168" s="17"/>
      <c r="T1168" s="17" t="s">
        <v>3006</v>
      </c>
      <c r="U1168" s="17" t="s">
        <v>3060</v>
      </c>
      <c r="V1168" s="17" t="s">
        <v>3058</v>
      </c>
      <c r="W1168" s="17"/>
      <c r="X1168" s="17"/>
    </row>
    <row r="1169" spans="1:24" hidden="1">
      <c r="A1169" s="18">
        <v>1168</v>
      </c>
      <c r="B1169" s="17" t="s">
        <v>2597</v>
      </c>
      <c r="C1169" s="17" t="s">
        <v>2598</v>
      </c>
      <c r="D1169" s="17" t="s">
        <v>17</v>
      </c>
      <c r="E1169" s="17" t="s">
        <v>8</v>
      </c>
      <c r="F1169" s="17">
        <v>0</v>
      </c>
      <c r="G1169" s="17">
        <v>0</v>
      </c>
      <c r="H1169" s="17">
        <v>0</v>
      </c>
      <c r="I1169" s="17">
        <v>0</v>
      </c>
      <c r="J1169" s="17">
        <v>0</v>
      </c>
      <c r="K1169" s="17">
        <v>0</v>
      </c>
      <c r="L1169" s="17">
        <v>0</v>
      </c>
      <c r="M1169" s="17">
        <v>0</v>
      </c>
      <c r="N1169" s="17">
        <v>0</v>
      </c>
      <c r="O1169" s="17">
        <v>0</v>
      </c>
      <c r="P1169" s="17">
        <v>0</v>
      </c>
      <c r="Q1169" s="17">
        <v>0</v>
      </c>
      <c r="R1169" s="17">
        <v>0</v>
      </c>
      <c r="S1169" s="17"/>
      <c r="T1169" s="17" t="s">
        <v>3006</v>
      </c>
      <c r="U1169" s="17" t="s">
        <v>3060</v>
      </c>
      <c r="V1169" s="17" t="s">
        <v>3058</v>
      </c>
      <c r="W1169" s="17"/>
      <c r="X1169" s="17"/>
    </row>
    <row r="1170" spans="1:24" hidden="1">
      <c r="A1170" s="18">
        <v>1169</v>
      </c>
      <c r="B1170" s="17" t="s">
        <v>2599</v>
      </c>
      <c r="C1170" s="17" t="s">
        <v>2600</v>
      </c>
      <c r="D1170" s="17" t="s">
        <v>17</v>
      </c>
      <c r="E1170" s="17" t="s">
        <v>8</v>
      </c>
      <c r="F1170" s="17">
        <v>0</v>
      </c>
      <c r="G1170" s="17">
        <v>0</v>
      </c>
      <c r="H1170" s="17">
        <v>0</v>
      </c>
      <c r="I1170" s="17">
        <v>0</v>
      </c>
      <c r="J1170" s="17">
        <v>0</v>
      </c>
      <c r="K1170" s="17">
        <v>0</v>
      </c>
      <c r="L1170" s="17">
        <v>0</v>
      </c>
      <c r="M1170" s="17">
        <v>0</v>
      </c>
      <c r="N1170" s="17">
        <v>0</v>
      </c>
      <c r="O1170" s="17">
        <v>0</v>
      </c>
      <c r="P1170" s="17">
        <v>0</v>
      </c>
      <c r="Q1170" s="17">
        <v>0</v>
      </c>
      <c r="R1170" s="17">
        <v>0</v>
      </c>
      <c r="S1170" s="17"/>
      <c r="T1170" s="17" t="s">
        <v>3006</v>
      </c>
      <c r="U1170" s="17" t="s">
        <v>3060</v>
      </c>
      <c r="V1170" s="17" t="s">
        <v>3058</v>
      </c>
      <c r="W1170" s="17"/>
      <c r="X1170" s="17"/>
    </row>
    <row r="1171" spans="1:24" hidden="1">
      <c r="A1171" s="18">
        <v>1170</v>
      </c>
      <c r="B1171" s="17" t="s">
        <v>2601</v>
      </c>
      <c r="C1171" s="17" t="s">
        <v>2602</v>
      </c>
      <c r="D1171" s="17" t="s">
        <v>17</v>
      </c>
      <c r="E1171" s="17" t="s">
        <v>8</v>
      </c>
      <c r="F1171" s="17">
        <v>0</v>
      </c>
      <c r="G1171" s="17">
        <v>0</v>
      </c>
      <c r="H1171" s="17">
        <v>0</v>
      </c>
      <c r="I1171" s="17">
        <v>0</v>
      </c>
      <c r="J1171" s="17">
        <v>0</v>
      </c>
      <c r="K1171" s="17">
        <v>0</v>
      </c>
      <c r="L1171" s="17">
        <v>0</v>
      </c>
      <c r="M1171" s="17">
        <v>0</v>
      </c>
      <c r="N1171" s="17">
        <v>0</v>
      </c>
      <c r="O1171" s="17">
        <v>0</v>
      </c>
      <c r="P1171" s="17">
        <v>0</v>
      </c>
      <c r="Q1171" s="17">
        <v>0</v>
      </c>
      <c r="R1171" s="17">
        <v>0</v>
      </c>
      <c r="S1171" s="17"/>
      <c r="T1171" s="17" t="s">
        <v>3006</v>
      </c>
      <c r="U1171" s="17" t="s">
        <v>3060</v>
      </c>
      <c r="V1171" s="17" t="s">
        <v>3058</v>
      </c>
      <c r="W1171" s="17"/>
      <c r="X1171" s="17"/>
    </row>
    <row r="1172" spans="1:24" hidden="1">
      <c r="A1172" s="18">
        <v>1171</v>
      </c>
      <c r="B1172" s="17" t="s">
        <v>2603</v>
      </c>
      <c r="C1172" s="17" t="s">
        <v>2604</v>
      </c>
      <c r="D1172" s="17" t="s">
        <v>17</v>
      </c>
      <c r="E1172" s="17" t="s">
        <v>8</v>
      </c>
      <c r="F1172" s="17">
        <v>0</v>
      </c>
      <c r="G1172" s="17">
        <v>0</v>
      </c>
      <c r="H1172" s="17">
        <v>0</v>
      </c>
      <c r="I1172" s="17">
        <v>0</v>
      </c>
      <c r="J1172" s="17">
        <v>0</v>
      </c>
      <c r="K1172" s="17">
        <v>0</v>
      </c>
      <c r="L1172" s="17">
        <v>0</v>
      </c>
      <c r="M1172" s="17">
        <v>0</v>
      </c>
      <c r="N1172" s="17">
        <v>0</v>
      </c>
      <c r="O1172" s="17">
        <v>0</v>
      </c>
      <c r="P1172" s="17">
        <v>0</v>
      </c>
      <c r="Q1172" s="17">
        <v>0</v>
      </c>
      <c r="R1172" s="17">
        <v>0</v>
      </c>
      <c r="S1172" s="17"/>
      <c r="T1172" s="17" t="s">
        <v>3006</v>
      </c>
      <c r="U1172" s="17" t="s">
        <v>3060</v>
      </c>
      <c r="V1172" s="17" t="s">
        <v>3058</v>
      </c>
      <c r="W1172" s="17"/>
      <c r="X1172" s="17"/>
    </row>
    <row r="1173" spans="1:24" hidden="1">
      <c r="A1173" s="18">
        <v>1172</v>
      </c>
      <c r="B1173" s="17" t="s">
        <v>2605</v>
      </c>
      <c r="C1173" s="17" t="s">
        <v>2606</v>
      </c>
      <c r="D1173" s="17" t="s">
        <v>17</v>
      </c>
      <c r="E1173" s="17" t="s">
        <v>8</v>
      </c>
      <c r="F1173" s="17">
        <v>0</v>
      </c>
      <c r="G1173" s="17">
        <v>0</v>
      </c>
      <c r="H1173" s="17">
        <v>0</v>
      </c>
      <c r="I1173" s="17">
        <v>0</v>
      </c>
      <c r="J1173" s="17">
        <v>0</v>
      </c>
      <c r="K1173" s="17">
        <v>0</v>
      </c>
      <c r="L1173" s="17">
        <v>0</v>
      </c>
      <c r="M1173" s="17">
        <v>0</v>
      </c>
      <c r="N1173" s="17">
        <v>0</v>
      </c>
      <c r="O1173" s="17">
        <v>0</v>
      </c>
      <c r="P1173" s="17">
        <v>0</v>
      </c>
      <c r="Q1173" s="17">
        <v>0</v>
      </c>
      <c r="R1173" s="17">
        <v>0</v>
      </c>
      <c r="S1173" s="17"/>
      <c r="T1173" s="17" t="s">
        <v>3006</v>
      </c>
      <c r="U1173" s="17" t="s">
        <v>3060</v>
      </c>
      <c r="V1173" s="17" t="s">
        <v>3058</v>
      </c>
      <c r="W1173" s="17"/>
      <c r="X1173" s="17"/>
    </row>
    <row r="1174" spans="1:24" hidden="1">
      <c r="A1174" s="18">
        <v>1173</v>
      </c>
      <c r="B1174" s="17" t="s">
        <v>2607</v>
      </c>
      <c r="C1174" s="17" t="s">
        <v>2608</v>
      </c>
      <c r="D1174" s="17" t="s">
        <v>17</v>
      </c>
      <c r="E1174" s="17" t="s">
        <v>8</v>
      </c>
      <c r="F1174" s="17">
        <v>0</v>
      </c>
      <c r="G1174" s="17">
        <v>0</v>
      </c>
      <c r="H1174" s="17">
        <v>0</v>
      </c>
      <c r="I1174" s="17">
        <v>0</v>
      </c>
      <c r="J1174" s="17">
        <v>0</v>
      </c>
      <c r="K1174" s="17">
        <v>0</v>
      </c>
      <c r="L1174" s="17">
        <v>0</v>
      </c>
      <c r="M1174" s="17">
        <v>0</v>
      </c>
      <c r="N1174" s="17">
        <v>0</v>
      </c>
      <c r="O1174" s="17">
        <v>0</v>
      </c>
      <c r="P1174" s="17">
        <v>0</v>
      </c>
      <c r="Q1174" s="17">
        <v>0</v>
      </c>
      <c r="R1174" s="17">
        <v>0</v>
      </c>
      <c r="S1174" s="17"/>
      <c r="T1174" s="17" t="s">
        <v>3006</v>
      </c>
      <c r="U1174" s="17" t="s">
        <v>3060</v>
      </c>
      <c r="V1174" s="17" t="s">
        <v>3058</v>
      </c>
      <c r="W1174" s="17"/>
      <c r="X1174" s="17"/>
    </row>
    <row r="1175" spans="1:24" hidden="1">
      <c r="A1175" s="18">
        <v>1174</v>
      </c>
      <c r="B1175" s="17" t="s">
        <v>2609</v>
      </c>
      <c r="C1175" s="17" t="s">
        <v>2610</v>
      </c>
      <c r="D1175" s="17" t="s">
        <v>17</v>
      </c>
      <c r="E1175" s="17" t="s">
        <v>8</v>
      </c>
      <c r="F1175" s="17">
        <v>0</v>
      </c>
      <c r="G1175" s="17">
        <v>0</v>
      </c>
      <c r="H1175" s="17">
        <v>0</v>
      </c>
      <c r="I1175" s="17">
        <v>0</v>
      </c>
      <c r="J1175" s="17">
        <v>0</v>
      </c>
      <c r="K1175" s="17">
        <v>0</v>
      </c>
      <c r="L1175" s="17">
        <v>0</v>
      </c>
      <c r="M1175" s="17">
        <v>0</v>
      </c>
      <c r="N1175" s="17">
        <v>0</v>
      </c>
      <c r="O1175" s="17">
        <v>0</v>
      </c>
      <c r="P1175" s="17">
        <v>0</v>
      </c>
      <c r="Q1175" s="17">
        <v>0</v>
      </c>
      <c r="R1175" s="17">
        <v>0</v>
      </c>
      <c r="S1175" s="17"/>
      <c r="T1175" s="17" t="s">
        <v>3006</v>
      </c>
      <c r="U1175" s="17" t="s">
        <v>3060</v>
      </c>
      <c r="V1175" s="17" t="s">
        <v>3058</v>
      </c>
      <c r="W1175" s="17"/>
      <c r="X1175" s="17"/>
    </row>
    <row r="1176" spans="1:24" hidden="1">
      <c r="A1176" s="18">
        <v>1175</v>
      </c>
      <c r="B1176" s="17" t="s">
        <v>2611</v>
      </c>
      <c r="C1176" s="17" t="s">
        <v>2612</v>
      </c>
      <c r="D1176" s="17" t="s">
        <v>17</v>
      </c>
      <c r="E1176" s="17" t="s">
        <v>8</v>
      </c>
      <c r="F1176" s="17">
        <v>0</v>
      </c>
      <c r="G1176" s="17">
        <v>0</v>
      </c>
      <c r="H1176" s="17">
        <v>0</v>
      </c>
      <c r="I1176" s="17">
        <v>0</v>
      </c>
      <c r="J1176" s="17">
        <v>0</v>
      </c>
      <c r="K1176" s="17">
        <v>0</v>
      </c>
      <c r="L1176" s="17">
        <v>0</v>
      </c>
      <c r="M1176" s="17">
        <v>0</v>
      </c>
      <c r="N1176" s="17">
        <v>0</v>
      </c>
      <c r="O1176" s="17">
        <v>0</v>
      </c>
      <c r="P1176" s="17">
        <v>0</v>
      </c>
      <c r="Q1176" s="17">
        <v>0</v>
      </c>
      <c r="R1176" s="17">
        <v>0</v>
      </c>
      <c r="S1176" s="17"/>
      <c r="T1176" s="17" t="s">
        <v>3006</v>
      </c>
      <c r="U1176" s="17" t="s">
        <v>3060</v>
      </c>
      <c r="V1176" s="17" t="s">
        <v>3058</v>
      </c>
      <c r="W1176" s="17"/>
      <c r="X1176" s="17"/>
    </row>
    <row r="1177" spans="1:24" hidden="1">
      <c r="A1177" s="18">
        <v>1176</v>
      </c>
      <c r="B1177" s="17" t="s">
        <v>2613</v>
      </c>
      <c r="C1177" s="17" t="s">
        <v>2614</v>
      </c>
      <c r="D1177" s="17" t="s">
        <v>17</v>
      </c>
      <c r="E1177" s="17" t="s">
        <v>8</v>
      </c>
      <c r="F1177" s="17">
        <v>0</v>
      </c>
      <c r="G1177" s="17">
        <v>0</v>
      </c>
      <c r="H1177" s="17">
        <v>0</v>
      </c>
      <c r="I1177" s="17">
        <v>0</v>
      </c>
      <c r="J1177" s="17">
        <v>0</v>
      </c>
      <c r="K1177" s="17">
        <v>0</v>
      </c>
      <c r="L1177" s="17">
        <v>0</v>
      </c>
      <c r="M1177" s="17">
        <v>0</v>
      </c>
      <c r="N1177" s="17">
        <v>0</v>
      </c>
      <c r="O1177" s="17">
        <v>0</v>
      </c>
      <c r="P1177" s="17">
        <v>0</v>
      </c>
      <c r="Q1177" s="17">
        <v>0</v>
      </c>
      <c r="R1177" s="17">
        <v>0</v>
      </c>
      <c r="S1177" s="17"/>
      <c r="T1177" s="17" t="s">
        <v>3006</v>
      </c>
      <c r="U1177" s="17" t="s">
        <v>3060</v>
      </c>
      <c r="V1177" s="17" t="s">
        <v>3058</v>
      </c>
      <c r="W1177" s="17"/>
      <c r="X1177" s="17"/>
    </row>
    <row r="1178" spans="1:24" hidden="1">
      <c r="A1178" s="18">
        <v>1177</v>
      </c>
      <c r="B1178" s="17" t="s">
        <v>2615</v>
      </c>
      <c r="C1178" s="17" t="s">
        <v>2616</v>
      </c>
      <c r="D1178" s="17" t="s">
        <v>17</v>
      </c>
      <c r="E1178" s="17" t="s">
        <v>8</v>
      </c>
      <c r="F1178" s="17">
        <v>0</v>
      </c>
      <c r="G1178" s="17">
        <v>0</v>
      </c>
      <c r="H1178" s="17">
        <v>0</v>
      </c>
      <c r="I1178" s="17">
        <v>0</v>
      </c>
      <c r="J1178" s="17">
        <v>0</v>
      </c>
      <c r="K1178" s="17">
        <v>0</v>
      </c>
      <c r="L1178" s="17">
        <v>0</v>
      </c>
      <c r="M1178" s="17">
        <v>0</v>
      </c>
      <c r="N1178" s="17">
        <v>0</v>
      </c>
      <c r="O1178" s="17">
        <v>0</v>
      </c>
      <c r="P1178" s="17">
        <v>0</v>
      </c>
      <c r="Q1178" s="17">
        <v>0</v>
      </c>
      <c r="R1178" s="17">
        <v>0</v>
      </c>
      <c r="S1178" s="17"/>
      <c r="T1178" s="17" t="s">
        <v>3006</v>
      </c>
      <c r="U1178" s="17" t="s">
        <v>3060</v>
      </c>
      <c r="V1178" s="17" t="s">
        <v>3058</v>
      </c>
      <c r="W1178" s="17"/>
      <c r="X1178" s="17"/>
    </row>
    <row r="1179" spans="1:24" hidden="1">
      <c r="A1179" s="18">
        <v>1178</v>
      </c>
      <c r="B1179" s="17" t="s">
        <v>2617</v>
      </c>
      <c r="C1179" s="17" t="s">
        <v>2618</v>
      </c>
      <c r="D1179" s="17" t="s">
        <v>17</v>
      </c>
      <c r="E1179" s="17" t="s">
        <v>8</v>
      </c>
      <c r="F1179" s="17">
        <v>0</v>
      </c>
      <c r="G1179" s="17">
        <v>0</v>
      </c>
      <c r="H1179" s="17">
        <v>0</v>
      </c>
      <c r="I1179" s="17">
        <v>0</v>
      </c>
      <c r="J1179" s="17">
        <v>0</v>
      </c>
      <c r="K1179" s="17">
        <v>0</v>
      </c>
      <c r="L1179" s="17">
        <v>0</v>
      </c>
      <c r="M1179" s="17">
        <v>0</v>
      </c>
      <c r="N1179" s="17">
        <v>0</v>
      </c>
      <c r="O1179" s="17">
        <v>0</v>
      </c>
      <c r="P1179" s="17">
        <v>0</v>
      </c>
      <c r="Q1179" s="17">
        <v>0</v>
      </c>
      <c r="R1179" s="17">
        <v>0</v>
      </c>
      <c r="S1179" s="17"/>
      <c r="T1179" s="17" t="s">
        <v>3002</v>
      </c>
      <c r="U1179" s="17" t="s">
        <v>3055</v>
      </c>
      <c r="V1179" s="17" t="s">
        <v>3056</v>
      </c>
      <c r="W1179" s="17"/>
      <c r="X1179" s="17"/>
    </row>
    <row r="1180" spans="1:24" hidden="1">
      <c r="A1180" s="18">
        <v>1179</v>
      </c>
      <c r="B1180" s="17" t="s">
        <v>2619</v>
      </c>
      <c r="C1180" s="17" t="s">
        <v>2620</v>
      </c>
      <c r="D1180" s="17" t="s">
        <v>20</v>
      </c>
      <c r="E1180" s="17" t="s">
        <v>8</v>
      </c>
      <c r="F1180" s="17">
        <v>1169.3</v>
      </c>
      <c r="G1180" s="17">
        <v>0</v>
      </c>
      <c r="H1180" s="17">
        <v>0</v>
      </c>
      <c r="I1180" s="17">
        <v>1169.3</v>
      </c>
      <c r="J1180" s="17">
        <v>0</v>
      </c>
      <c r="K1180" s="17">
        <v>0</v>
      </c>
      <c r="L1180" s="17">
        <v>1169.3</v>
      </c>
      <c r="M1180" s="17">
        <v>0</v>
      </c>
      <c r="N1180" s="17">
        <v>0</v>
      </c>
      <c r="O1180" s="17">
        <v>1169.3</v>
      </c>
      <c r="P1180" s="17">
        <v>900</v>
      </c>
      <c r="Q1180" s="17">
        <v>269.29999999999995</v>
      </c>
      <c r="R1180" s="17">
        <v>0</v>
      </c>
      <c r="S1180" s="17"/>
      <c r="T1180" s="17" t="s">
        <v>2965</v>
      </c>
      <c r="U1180" s="17" t="s">
        <v>3060</v>
      </c>
      <c r="V1180" s="17" t="s">
        <v>3058</v>
      </c>
      <c r="W1180" s="17"/>
      <c r="X1180" s="17"/>
    </row>
    <row r="1181" spans="1:24" hidden="1">
      <c r="A1181" s="18">
        <v>1180</v>
      </c>
      <c r="B1181" s="17" t="s">
        <v>2510</v>
      </c>
      <c r="C1181" s="17" t="s">
        <v>2511</v>
      </c>
      <c r="D1181" s="17" t="s">
        <v>20</v>
      </c>
      <c r="E1181" s="17" t="s">
        <v>8</v>
      </c>
      <c r="F1181" s="17">
        <v>0</v>
      </c>
      <c r="G1181" s="17">
        <v>0</v>
      </c>
      <c r="H1181" s="17">
        <v>0</v>
      </c>
      <c r="I1181" s="17">
        <v>0</v>
      </c>
      <c r="J1181" s="17">
        <v>0</v>
      </c>
      <c r="K1181" s="17">
        <v>0</v>
      </c>
      <c r="L1181" s="17">
        <v>0</v>
      </c>
      <c r="M1181" s="17">
        <v>0</v>
      </c>
      <c r="N1181" s="17">
        <v>0</v>
      </c>
      <c r="O1181" s="17">
        <v>0</v>
      </c>
      <c r="P1181" s="17">
        <v>0</v>
      </c>
      <c r="Q1181" s="17">
        <v>0</v>
      </c>
      <c r="R1181" s="17">
        <v>0</v>
      </c>
      <c r="S1181" s="17"/>
      <c r="T1181" s="17" t="s">
        <v>2991</v>
      </c>
      <c r="U1181" s="17" t="s">
        <v>3057</v>
      </c>
      <c r="V1181" s="17" t="s">
        <v>3056</v>
      </c>
      <c r="W1181" s="17"/>
      <c r="X1181" s="17"/>
    </row>
    <row r="1182" spans="1:24" hidden="1">
      <c r="A1182" s="18">
        <v>1181</v>
      </c>
      <c r="B1182" s="17" t="s">
        <v>2623</v>
      </c>
      <c r="C1182" s="17" t="s">
        <v>2624</v>
      </c>
      <c r="D1182" s="17" t="s">
        <v>17</v>
      </c>
      <c r="E1182" s="17" t="s">
        <v>8</v>
      </c>
      <c r="F1182" s="17">
        <v>0</v>
      </c>
      <c r="G1182" s="17">
        <v>0</v>
      </c>
      <c r="H1182" s="17">
        <v>0</v>
      </c>
      <c r="I1182" s="17">
        <v>0</v>
      </c>
      <c r="J1182" s="17">
        <v>0</v>
      </c>
      <c r="K1182" s="17">
        <v>0</v>
      </c>
      <c r="L1182" s="17">
        <v>0</v>
      </c>
      <c r="M1182" s="17">
        <v>0</v>
      </c>
      <c r="N1182" s="17">
        <v>0</v>
      </c>
      <c r="O1182" s="17">
        <v>0</v>
      </c>
      <c r="P1182" s="17">
        <v>0</v>
      </c>
      <c r="Q1182" s="17">
        <v>0</v>
      </c>
      <c r="R1182" s="17">
        <v>0</v>
      </c>
      <c r="S1182" s="17"/>
      <c r="T1182" s="17" t="s">
        <v>2972</v>
      </c>
      <c r="U1182" s="17" t="s">
        <v>3055</v>
      </c>
      <c r="V1182" s="17" t="s">
        <v>3056</v>
      </c>
      <c r="W1182" s="17"/>
      <c r="X1182" s="17"/>
    </row>
    <row r="1183" spans="1:24" hidden="1">
      <c r="A1183" s="18">
        <v>1182</v>
      </c>
      <c r="B1183" s="17" t="s">
        <v>2625</v>
      </c>
      <c r="C1183" s="17" t="s">
        <v>2626</v>
      </c>
      <c r="D1183" s="17" t="s">
        <v>17</v>
      </c>
      <c r="E1183" s="17" t="s">
        <v>8</v>
      </c>
      <c r="F1183" s="17">
        <v>620</v>
      </c>
      <c r="G1183" s="17">
        <v>0</v>
      </c>
      <c r="H1183" s="17">
        <v>0</v>
      </c>
      <c r="I1183" s="17">
        <v>620</v>
      </c>
      <c r="J1183" s="17">
        <v>0</v>
      </c>
      <c r="K1183" s="17">
        <v>0</v>
      </c>
      <c r="L1183" s="17">
        <v>620</v>
      </c>
      <c r="M1183" s="17">
        <v>0</v>
      </c>
      <c r="N1183" s="17">
        <v>0</v>
      </c>
      <c r="O1183" s="17">
        <v>620</v>
      </c>
      <c r="P1183" s="17">
        <v>500</v>
      </c>
      <c r="Q1183" s="17">
        <v>120</v>
      </c>
      <c r="R1183" s="17">
        <v>0</v>
      </c>
      <c r="S1183" s="17"/>
      <c r="T1183" s="17" t="s">
        <v>3052</v>
      </c>
      <c r="U1183" s="17" t="s">
        <v>3062</v>
      </c>
      <c r="V1183" s="17" t="s">
        <v>3056</v>
      </c>
      <c r="W1183" s="17"/>
      <c r="X1183" s="17"/>
    </row>
    <row r="1184" spans="1:24" hidden="1">
      <c r="A1184" s="18">
        <v>1183</v>
      </c>
      <c r="B1184" s="17" t="s">
        <v>2512</v>
      </c>
      <c r="C1184" s="17" t="s">
        <v>2513</v>
      </c>
      <c r="D1184" s="17" t="s">
        <v>17</v>
      </c>
      <c r="E1184" s="17" t="s">
        <v>8</v>
      </c>
      <c r="F1184" s="17">
        <v>2304</v>
      </c>
      <c r="G1184" s="17">
        <v>0</v>
      </c>
      <c r="H1184" s="17">
        <v>0</v>
      </c>
      <c r="I1184" s="17">
        <v>2304</v>
      </c>
      <c r="J1184" s="17">
        <v>0</v>
      </c>
      <c r="K1184" s="17">
        <v>0</v>
      </c>
      <c r="L1184" s="17">
        <v>2304</v>
      </c>
      <c r="M1184" s="17">
        <v>0</v>
      </c>
      <c r="N1184" s="17">
        <v>0</v>
      </c>
      <c r="O1184" s="17">
        <v>2304</v>
      </c>
      <c r="P1184" s="17">
        <v>2000</v>
      </c>
      <c r="Q1184" s="17">
        <v>304</v>
      </c>
      <c r="R1184" s="17">
        <v>0</v>
      </c>
      <c r="S1184" s="17"/>
      <c r="T1184" s="17" t="s">
        <v>2972</v>
      </c>
      <c r="U1184" s="17" t="s">
        <v>3057</v>
      </c>
      <c r="V1184" s="17" t="s">
        <v>3056</v>
      </c>
      <c r="W1184" s="17"/>
      <c r="X1184" s="17"/>
    </row>
    <row r="1185" spans="1:24" hidden="1">
      <c r="A1185" s="18">
        <v>1184</v>
      </c>
      <c r="B1185" s="17" t="s">
        <v>2518</v>
      </c>
      <c r="C1185" s="17" t="s">
        <v>2519</v>
      </c>
      <c r="D1185" s="17" t="s">
        <v>17</v>
      </c>
      <c r="E1185" s="17" t="s">
        <v>8</v>
      </c>
      <c r="F1185" s="17">
        <v>210</v>
      </c>
      <c r="G1185" s="17">
        <v>0</v>
      </c>
      <c r="H1185" s="17">
        <v>0</v>
      </c>
      <c r="I1185" s="17">
        <v>210</v>
      </c>
      <c r="J1185" s="17">
        <v>0</v>
      </c>
      <c r="K1185" s="17">
        <v>0</v>
      </c>
      <c r="L1185" s="17">
        <v>210</v>
      </c>
      <c r="M1185" s="17">
        <v>0</v>
      </c>
      <c r="N1185" s="17">
        <v>0</v>
      </c>
      <c r="O1185" s="17">
        <v>210</v>
      </c>
      <c r="P1185" s="17">
        <v>75</v>
      </c>
      <c r="Q1185" s="17">
        <v>135</v>
      </c>
      <c r="R1185" s="17">
        <v>0</v>
      </c>
      <c r="S1185" s="17"/>
      <c r="T1185" s="17" t="s">
        <v>2982</v>
      </c>
      <c r="U1185" s="17" t="s">
        <v>3057</v>
      </c>
      <c r="V1185" s="17" t="s">
        <v>3056</v>
      </c>
      <c r="W1185" s="17"/>
      <c r="X1185" s="17"/>
    </row>
    <row r="1186" spans="1:24" hidden="1">
      <c r="A1186" s="18">
        <v>1185</v>
      </c>
      <c r="B1186" s="17" t="s">
        <v>2546</v>
      </c>
      <c r="C1186" s="17" t="s">
        <v>2547</v>
      </c>
      <c r="D1186" s="17" t="s">
        <v>17</v>
      </c>
      <c r="E1186" s="17" t="s">
        <v>8</v>
      </c>
      <c r="F1186" s="17">
        <v>0</v>
      </c>
      <c r="G1186" s="17">
        <v>0</v>
      </c>
      <c r="H1186" s="17">
        <v>0</v>
      </c>
      <c r="I1186" s="17">
        <v>0</v>
      </c>
      <c r="J1186" s="17">
        <v>0</v>
      </c>
      <c r="K1186" s="17">
        <v>0</v>
      </c>
      <c r="L1186" s="17">
        <v>0</v>
      </c>
      <c r="M1186" s="17">
        <v>0</v>
      </c>
      <c r="N1186" s="17">
        <v>0</v>
      </c>
      <c r="O1186" s="17">
        <v>0</v>
      </c>
      <c r="P1186" s="17">
        <v>0</v>
      </c>
      <c r="Q1186" s="17">
        <v>0</v>
      </c>
      <c r="R1186" s="17">
        <v>0</v>
      </c>
      <c r="S1186" s="17"/>
      <c r="T1186" s="17" t="s">
        <v>2972</v>
      </c>
      <c r="U1186" s="17" t="s">
        <v>3057</v>
      </c>
      <c r="V1186" s="17" t="s">
        <v>3056</v>
      </c>
      <c r="W1186" s="17"/>
      <c r="X1186" s="17"/>
    </row>
    <row r="1187" spans="1:24" hidden="1">
      <c r="A1187" s="18">
        <v>1186</v>
      </c>
      <c r="B1187" s="17" t="s">
        <v>2550</v>
      </c>
      <c r="C1187" s="17" t="s">
        <v>2551</v>
      </c>
      <c r="D1187" s="17" t="s">
        <v>20</v>
      </c>
      <c r="E1187" s="17" t="s">
        <v>8</v>
      </c>
      <c r="F1187" s="17">
        <v>0</v>
      </c>
      <c r="G1187" s="17">
        <v>0</v>
      </c>
      <c r="H1187" s="17">
        <v>0</v>
      </c>
      <c r="I1187" s="17">
        <v>0</v>
      </c>
      <c r="J1187" s="17">
        <v>0</v>
      </c>
      <c r="K1187" s="17">
        <v>0</v>
      </c>
      <c r="L1187" s="17">
        <v>0</v>
      </c>
      <c r="M1187" s="17">
        <v>0</v>
      </c>
      <c r="N1187" s="17">
        <v>0</v>
      </c>
      <c r="O1187" s="17">
        <v>0</v>
      </c>
      <c r="P1187" s="17">
        <v>0</v>
      </c>
      <c r="Q1187" s="17">
        <v>0</v>
      </c>
      <c r="R1187" s="17">
        <v>0</v>
      </c>
      <c r="S1187" s="17"/>
      <c r="T1187" s="17" t="s">
        <v>2991</v>
      </c>
      <c r="U1187" s="17" t="s">
        <v>3057</v>
      </c>
      <c r="V1187" s="17" t="s">
        <v>3056</v>
      </c>
      <c r="W1187" s="17"/>
      <c r="X1187" s="17"/>
    </row>
    <row r="1188" spans="1:24" hidden="1">
      <c r="A1188" s="18">
        <v>1187</v>
      </c>
      <c r="B1188" s="17" t="s">
        <v>2637</v>
      </c>
      <c r="C1188" s="17" t="s">
        <v>2638</v>
      </c>
      <c r="D1188" s="17" t="s">
        <v>17</v>
      </c>
      <c r="E1188" s="17" t="s">
        <v>8</v>
      </c>
      <c r="F1188" s="17">
        <v>0</v>
      </c>
      <c r="G1188" s="17">
        <v>0</v>
      </c>
      <c r="H1188" s="17">
        <v>0</v>
      </c>
      <c r="I1188" s="17">
        <v>0</v>
      </c>
      <c r="J1188" s="17">
        <v>0</v>
      </c>
      <c r="K1188" s="17">
        <v>0</v>
      </c>
      <c r="L1188" s="17">
        <v>0</v>
      </c>
      <c r="M1188" s="17">
        <v>0</v>
      </c>
      <c r="N1188" s="17">
        <v>0</v>
      </c>
      <c r="O1188" s="17">
        <v>0</v>
      </c>
      <c r="P1188" s="17">
        <v>0</v>
      </c>
      <c r="Q1188" s="17">
        <v>0</v>
      </c>
      <c r="R1188" s="17">
        <v>0</v>
      </c>
      <c r="S1188" s="17"/>
      <c r="T1188" s="17" t="s">
        <v>3006</v>
      </c>
      <c r="U1188" s="17" t="s">
        <v>3060</v>
      </c>
      <c r="V1188" s="17" t="s">
        <v>3058</v>
      </c>
      <c r="W1188" s="17"/>
      <c r="X1188" s="17"/>
    </row>
    <row r="1189" spans="1:24" hidden="1">
      <c r="A1189" s="18">
        <v>1188</v>
      </c>
      <c r="B1189" s="17" t="s">
        <v>2639</v>
      </c>
      <c r="C1189" s="17" t="s">
        <v>2640</v>
      </c>
      <c r="D1189" s="17" t="s">
        <v>17</v>
      </c>
      <c r="E1189" s="17" t="s">
        <v>8</v>
      </c>
      <c r="F1189" s="17">
        <v>0</v>
      </c>
      <c r="G1189" s="17">
        <v>0</v>
      </c>
      <c r="H1189" s="17">
        <v>0</v>
      </c>
      <c r="I1189" s="17">
        <v>0</v>
      </c>
      <c r="J1189" s="17">
        <v>0</v>
      </c>
      <c r="K1189" s="17">
        <v>0</v>
      </c>
      <c r="L1189" s="17">
        <v>0</v>
      </c>
      <c r="M1189" s="17">
        <v>0</v>
      </c>
      <c r="N1189" s="17">
        <v>0</v>
      </c>
      <c r="O1189" s="17">
        <v>0</v>
      </c>
      <c r="P1189" s="17">
        <v>0</v>
      </c>
      <c r="Q1189" s="17">
        <v>0</v>
      </c>
      <c r="R1189" s="17">
        <v>0</v>
      </c>
      <c r="S1189" s="17"/>
      <c r="T1189" s="17" t="s">
        <v>3006</v>
      </c>
      <c r="U1189" s="17" t="s">
        <v>3060</v>
      </c>
      <c r="V1189" s="17" t="s">
        <v>3058</v>
      </c>
      <c r="W1189" s="17"/>
      <c r="X1189" s="17"/>
    </row>
    <row r="1190" spans="1:24" hidden="1">
      <c r="A1190" s="18">
        <v>1189</v>
      </c>
      <c r="B1190" s="17" t="s">
        <v>2641</v>
      </c>
      <c r="C1190" s="17" t="s">
        <v>2642</v>
      </c>
      <c r="D1190" s="17" t="s">
        <v>17</v>
      </c>
      <c r="E1190" s="17" t="s">
        <v>8</v>
      </c>
      <c r="F1190" s="17">
        <v>0</v>
      </c>
      <c r="G1190" s="17">
        <v>0</v>
      </c>
      <c r="H1190" s="17">
        <v>0</v>
      </c>
      <c r="I1190" s="17">
        <v>0</v>
      </c>
      <c r="J1190" s="17">
        <v>0</v>
      </c>
      <c r="K1190" s="17">
        <v>0</v>
      </c>
      <c r="L1190" s="17">
        <v>0</v>
      </c>
      <c r="M1190" s="17">
        <v>0</v>
      </c>
      <c r="N1190" s="17">
        <v>0</v>
      </c>
      <c r="O1190" s="17">
        <v>0</v>
      </c>
      <c r="P1190" s="17">
        <v>0</v>
      </c>
      <c r="Q1190" s="17">
        <v>0</v>
      </c>
      <c r="R1190" s="17">
        <v>0</v>
      </c>
      <c r="S1190" s="17"/>
      <c r="T1190" s="17" t="s">
        <v>3006</v>
      </c>
      <c r="U1190" s="17" t="s">
        <v>3060</v>
      </c>
      <c r="V1190" s="17" t="s">
        <v>3058</v>
      </c>
      <c r="W1190" s="17"/>
      <c r="X1190" s="17"/>
    </row>
    <row r="1191" spans="1:24" hidden="1">
      <c r="A1191" s="18">
        <v>1190</v>
      </c>
      <c r="B1191" s="17" t="s">
        <v>2643</v>
      </c>
      <c r="C1191" s="17" t="s">
        <v>2644</v>
      </c>
      <c r="D1191" s="17" t="s">
        <v>17</v>
      </c>
      <c r="E1191" s="17" t="s">
        <v>8</v>
      </c>
      <c r="F1191" s="17">
        <v>0</v>
      </c>
      <c r="G1191" s="17">
        <v>0</v>
      </c>
      <c r="H1191" s="17">
        <v>0</v>
      </c>
      <c r="I1191" s="17">
        <v>0</v>
      </c>
      <c r="J1191" s="17">
        <v>0</v>
      </c>
      <c r="K1191" s="17">
        <v>0</v>
      </c>
      <c r="L1191" s="17">
        <v>0</v>
      </c>
      <c r="M1191" s="17">
        <v>0</v>
      </c>
      <c r="N1191" s="17">
        <v>0</v>
      </c>
      <c r="O1191" s="17">
        <v>0</v>
      </c>
      <c r="P1191" s="17">
        <v>0</v>
      </c>
      <c r="Q1191" s="17">
        <v>0</v>
      </c>
      <c r="R1191" s="17">
        <v>0</v>
      </c>
      <c r="S1191" s="17"/>
      <c r="T1191" s="17" t="s">
        <v>3006</v>
      </c>
      <c r="U1191" s="17" t="s">
        <v>3060</v>
      </c>
      <c r="V1191" s="17" t="s">
        <v>3058</v>
      </c>
      <c r="W1191" s="17"/>
      <c r="X1191" s="17"/>
    </row>
    <row r="1192" spans="1:24" hidden="1">
      <c r="A1192" s="18">
        <v>1191</v>
      </c>
      <c r="B1192" s="17" t="s">
        <v>2645</v>
      </c>
      <c r="C1192" s="17" t="s">
        <v>2646</v>
      </c>
      <c r="D1192" s="17" t="s">
        <v>17</v>
      </c>
      <c r="E1192" s="17" t="s">
        <v>8</v>
      </c>
      <c r="F1192" s="17">
        <v>0</v>
      </c>
      <c r="G1192" s="17">
        <v>0</v>
      </c>
      <c r="H1192" s="17">
        <v>0</v>
      </c>
      <c r="I1192" s="17">
        <v>0</v>
      </c>
      <c r="J1192" s="17">
        <v>0</v>
      </c>
      <c r="K1192" s="17">
        <v>0</v>
      </c>
      <c r="L1192" s="17">
        <v>0</v>
      </c>
      <c r="M1192" s="17">
        <v>0</v>
      </c>
      <c r="N1192" s="17">
        <v>0</v>
      </c>
      <c r="O1192" s="17">
        <v>0</v>
      </c>
      <c r="P1192" s="17">
        <v>0</v>
      </c>
      <c r="Q1192" s="17">
        <v>0</v>
      </c>
      <c r="R1192" s="17">
        <v>0</v>
      </c>
      <c r="S1192" s="17"/>
      <c r="T1192" s="17" t="s">
        <v>3006</v>
      </c>
      <c r="U1192" s="17" t="s">
        <v>3060</v>
      </c>
      <c r="V1192" s="17" t="s">
        <v>3058</v>
      </c>
      <c r="W1192" s="17"/>
      <c r="X1192" s="17"/>
    </row>
    <row r="1193" spans="1:24" hidden="1">
      <c r="A1193" s="18">
        <v>1192</v>
      </c>
      <c r="B1193" s="17" t="s">
        <v>2647</v>
      </c>
      <c r="C1193" s="17" t="s">
        <v>2648</v>
      </c>
      <c r="D1193" s="17" t="s">
        <v>17</v>
      </c>
      <c r="E1193" s="17" t="s">
        <v>8</v>
      </c>
      <c r="F1193" s="17">
        <v>0</v>
      </c>
      <c r="G1193" s="17">
        <v>0</v>
      </c>
      <c r="H1193" s="17">
        <v>0</v>
      </c>
      <c r="I1193" s="17">
        <v>0</v>
      </c>
      <c r="J1193" s="17">
        <v>0</v>
      </c>
      <c r="K1193" s="17">
        <v>0</v>
      </c>
      <c r="L1193" s="17">
        <v>0</v>
      </c>
      <c r="M1193" s="17">
        <v>0</v>
      </c>
      <c r="N1193" s="17">
        <v>0</v>
      </c>
      <c r="O1193" s="17">
        <v>0</v>
      </c>
      <c r="P1193" s="17">
        <v>0</v>
      </c>
      <c r="Q1193" s="17">
        <v>0</v>
      </c>
      <c r="R1193" s="17">
        <v>0</v>
      </c>
      <c r="S1193" s="17"/>
      <c r="T1193" s="17" t="s">
        <v>3006</v>
      </c>
      <c r="U1193" s="17" t="s">
        <v>3060</v>
      </c>
      <c r="V1193" s="17" t="s">
        <v>3058</v>
      </c>
      <c r="W1193" s="17"/>
      <c r="X1193" s="17"/>
    </row>
    <row r="1194" spans="1:24" hidden="1">
      <c r="A1194" s="18">
        <v>1193</v>
      </c>
      <c r="B1194" s="17" t="s">
        <v>2649</v>
      </c>
      <c r="C1194" s="17" t="s">
        <v>2650</v>
      </c>
      <c r="D1194" s="17" t="s">
        <v>17</v>
      </c>
      <c r="E1194" s="17" t="s">
        <v>8</v>
      </c>
      <c r="F1194" s="17">
        <v>0</v>
      </c>
      <c r="G1194" s="17">
        <v>0</v>
      </c>
      <c r="H1194" s="17">
        <v>0</v>
      </c>
      <c r="I1194" s="17">
        <v>0</v>
      </c>
      <c r="J1194" s="17">
        <v>0</v>
      </c>
      <c r="K1194" s="17">
        <v>0</v>
      </c>
      <c r="L1194" s="17">
        <v>0</v>
      </c>
      <c r="M1194" s="17">
        <v>0</v>
      </c>
      <c r="N1194" s="17">
        <v>0</v>
      </c>
      <c r="O1194" s="17">
        <v>0</v>
      </c>
      <c r="P1194" s="17">
        <v>0</v>
      </c>
      <c r="Q1194" s="17">
        <v>0</v>
      </c>
      <c r="R1194" s="17">
        <v>0</v>
      </c>
      <c r="S1194" s="17"/>
      <c r="T1194" s="17" t="s">
        <v>3006</v>
      </c>
      <c r="U1194" s="17" t="s">
        <v>3060</v>
      </c>
      <c r="V1194" s="17" t="s">
        <v>3058</v>
      </c>
      <c r="W1194" s="17"/>
      <c r="X1194" s="17"/>
    </row>
    <row r="1195" spans="1:24" hidden="1">
      <c r="A1195" s="18">
        <v>1194</v>
      </c>
      <c r="B1195" s="17" t="s">
        <v>2651</v>
      </c>
      <c r="C1195" s="17" t="s">
        <v>2652</v>
      </c>
      <c r="D1195" s="17" t="s">
        <v>17</v>
      </c>
      <c r="E1195" s="17" t="s">
        <v>8</v>
      </c>
      <c r="F1195" s="17">
        <v>0</v>
      </c>
      <c r="G1195" s="17">
        <v>0</v>
      </c>
      <c r="H1195" s="17">
        <v>0</v>
      </c>
      <c r="I1195" s="17">
        <v>0</v>
      </c>
      <c r="J1195" s="17">
        <v>0</v>
      </c>
      <c r="K1195" s="17">
        <v>0</v>
      </c>
      <c r="L1195" s="17">
        <v>0</v>
      </c>
      <c r="M1195" s="17">
        <v>0</v>
      </c>
      <c r="N1195" s="17">
        <v>0</v>
      </c>
      <c r="O1195" s="17">
        <v>0</v>
      </c>
      <c r="P1195" s="17">
        <v>0</v>
      </c>
      <c r="Q1195" s="17">
        <v>0</v>
      </c>
      <c r="R1195" s="17">
        <v>0</v>
      </c>
      <c r="S1195" s="17"/>
      <c r="T1195" s="17" t="s">
        <v>3006</v>
      </c>
      <c r="U1195" s="17" t="s">
        <v>3060</v>
      </c>
      <c r="V1195" s="17" t="s">
        <v>3058</v>
      </c>
      <c r="W1195" s="17"/>
      <c r="X1195" s="17"/>
    </row>
    <row r="1196" spans="1:24" hidden="1">
      <c r="A1196" s="18">
        <v>1195</v>
      </c>
      <c r="B1196" s="17" t="s">
        <v>2653</v>
      </c>
      <c r="C1196" s="17" t="s">
        <v>2654</v>
      </c>
      <c r="D1196" s="17" t="s">
        <v>17</v>
      </c>
      <c r="E1196" s="17" t="s">
        <v>8</v>
      </c>
      <c r="F1196" s="17">
        <v>0</v>
      </c>
      <c r="G1196" s="17">
        <v>0</v>
      </c>
      <c r="H1196" s="17">
        <v>0</v>
      </c>
      <c r="I1196" s="17">
        <v>0</v>
      </c>
      <c r="J1196" s="17">
        <v>0</v>
      </c>
      <c r="K1196" s="17">
        <v>0</v>
      </c>
      <c r="L1196" s="17">
        <v>0</v>
      </c>
      <c r="M1196" s="17">
        <v>0</v>
      </c>
      <c r="N1196" s="17">
        <v>0</v>
      </c>
      <c r="O1196" s="17">
        <v>0</v>
      </c>
      <c r="P1196" s="17">
        <v>0</v>
      </c>
      <c r="Q1196" s="17">
        <v>0</v>
      </c>
      <c r="R1196" s="17">
        <v>0</v>
      </c>
      <c r="S1196" s="17"/>
      <c r="T1196" s="17" t="s">
        <v>3006</v>
      </c>
      <c r="U1196" s="17" t="s">
        <v>3060</v>
      </c>
      <c r="V1196" s="17" t="s">
        <v>3058</v>
      </c>
      <c r="W1196" s="17"/>
      <c r="X1196" s="17"/>
    </row>
    <row r="1197" spans="1:24" hidden="1">
      <c r="A1197" s="18">
        <v>1196</v>
      </c>
      <c r="B1197" s="17" t="s">
        <v>2655</v>
      </c>
      <c r="C1197" s="17" t="s">
        <v>2656</v>
      </c>
      <c r="D1197" s="17" t="s">
        <v>17</v>
      </c>
      <c r="E1197" s="17" t="s">
        <v>8</v>
      </c>
      <c r="F1197" s="17">
        <v>0</v>
      </c>
      <c r="G1197" s="17">
        <v>0</v>
      </c>
      <c r="H1197" s="17">
        <v>0</v>
      </c>
      <c r="I1197" s="17">
        <v>0</v>
      </c>
      <c r="J1197" s="17">
        <v>0</v>
      </c>
      <c r="K1197" s="17">
        <v>0</v>
      </c>
      <c r="L1197" s="17">
        <v>0</v>
      </c>
      <c r="M1197" s="17">
        <v>0</v>
      </c>
      <c r="N1197" s="17">
        <v>0</v>
      </c>
      <c r="O1197" s="17">
        <v>0</v>
      </c>
      <c r="P1197" s="17">
        <v>0</v>
      </c>
      <c r="Q1197" s="17">
        <v>0</v>
      </c>
      <c r="R1197" s="17">
        <v>0</v>
      </c>
      <c r="S1197" s="17"/>
      <c r="T1197" s="17" t="s">
        <v>3006</v>
      </c>
      <c r="U1197" s="17" t="s">
        <v>3060</v>
      </c>
      <c r="V1197" s="17" t="s">
        <v>3058</v>
      </c>
      <c r="W1197" s="17"/>
      <c r="X1197" s="17"/>
    </row>
    <row r="1198" spans="1:24" hidden="1">
      <c r="A1198" s="18">
        <v>1197</v>
      </c>
      <c r="B1198" s="17" t="s">
        <v>2657</v>
      </c>
      <c r="C1198" s="17" t="s">
        <v>2658</v>
      </c>
      <c r="D1198" s="17" t="s">
        <v>17</v>
      </c>
      <c r="E1198" s="17" t="s">
        <v>8</v>
      </c>
      <c r="F1198" s="17">
        <v>0</v>
      </c>
      <c r="G1198" s="17">
        <v>0</v>
      </c>
      <c r="H1198" s="17">
        <v>0</v>
      </c>
      <c r="I1198" s="17">
        <v>0</v>
      </c>
      <c r="J1198" s="17">
        <v>0</v>
      </c>
      <c r="K1198" s="17">
        <v>0</v>
      </c>
      <c r="L1198" s="17">
        <v>0</v>
      </c>
      <c r="M1198" s="17">
        <v>0</v>
      </c>
      <c r="N1198" s="17">
        <v>0</v>
      </c>
      <c r="O1198" s="17">
        <v>0</v>
      </c>
      <c r="P1198" s="17">
        <v>0</v>
      </c>
      <c r="Q1198" s="17">
        <v>0</v>
      </c>
      <c r="R1198" s="17">
        <v>0</v>
      </c>
      <c r="S1198" s="17"/>
      <c r="T1198" s="17" t="s">
        <v>3006</v>
      </c>
      <c r="U1198" s="17" t="s">
        <v>3060</v>
      </c>
      <c r="V1198" s="17" t="s">
        <v>3058</v>
      </c>
      <c r="W1198" s="17"/>
      <c r="X1198" s="17"/>
    </row>
    <row r="1199" spans="1:24" hidden="1">
      <c r="A1199" s="18">
        <v>1198</v>
      </c>
      <c r="B1199" s="17" t="s">
        <v>2659</v>
      </c>
      <c r="C1199" s="17" t="s">
        <v>2660</v>
      </c>
      <c r="D1199" s="17" t="s">
        <v>17</v>
      </c>
      <c r="E1199" s="17" t="s">
        <v>8</v>
      </c>
      <c r="F1199" s="17">
        <v>0</v>
      </c>
      <c r="G1199" s="17">
        <v>0</v>
      </c>
      <c r="H1199" s="17">
        <v>0</v>
      </c>
      <c r="I1199" s="17">
        <v>0</v>
      </c>
      <c r="J1199" s="17">
        <v>0</v>
      </c>
      <c r="K1199" s="17">
        <v>0</v>
      </c>
      <c r="L1199" s="17">
        <v>0</v>
      </c>
      <c r="M1199" s="17">
        <v>0</v>
      </c>
      <c r="N1199" s="17">
        <v>0</v>
      </c>
      <c r="O1199" s="17">
        <v>0</v>
      </c>
      <c r="P1199" s="17">
        <v>0</v>
      </c>
      <c r="Q1199" s="17">
        <v>0</v>
      </c>
      <c r="R1199" s="17">
        <v>0</v>
      </c>
      <c r="S1199" s="17"/>
      <c r="T1199" s="17" t="s">
        <v>3006</v>
      </c>
      <c r="U1199" s="17" t="s">
        <v>3060</v>
      </c>
      <c r="V1199" s="17" t="s">
        <v>3058</v>
      </c>
      <c r="W1199" s="17"/>
      <c r="X1199" s="17"/>
    </row>
    <row r="1200" spans="1:24" hidden="1">
      <c r="A1200" s="18">
        <v>1199</v>
      </c>
      <c r="B1200" s="17" t="s">
        <v>2661</v>
      </c>
      <c r="C1200" s="17" t="s">
        <v>2662</v>
      </c>
      <c r="D1200" s="17" t="s">
        <v>17</v>
      </c>
      <c r="E1200" s="17" t="s">
        <v>8</v>
      </c>
      <c r="F1200" s="17">
        <v>0</v>
      </c>
      <c r="G1200" s="17">
        <v>0</v>
      </c>
      <c r="H1200" s="17">
        <v>0</v>
      </c>
      <c r="I1200" s="17">
        <v>0</v>
      </c>
      <c r="J1200" s="17">
        <v>0</v>
      </c>
      <c r="K1200" s="17">
        <v>0</v>
      </c>
      <c r="L1200" s="17">
        <v>0</v>
      </c>
      <c r="M1200" s="17">
        <v>0</v>
      </c>
      <c r="N1200" s="17">
        <v>0</v>
      </c>
      <c r="O1200" s="17">
        <v>0</v>
      </c>
      <c r="P1200" s="17">
        <v>0</v>
      </c>
      <c r="Q1200" s="17">
        <v>0</v>
      </c>
      <c r="R1200" s="17">
        <v>0</v>
      </c>
      <c r="S1200" s="17"/>
      <c r="T1200" s="17" t="s">
        <v>3006</v>
      </c>
      <c r="U1200" s="17" t="s">
        <v>3060</v>
      </c>
      <c r="V1200" s="17" t="s">
        <v>3058</v>
      </c>
      <c r="W1200" s="17"/>
      <c r="X1200" s="17"/>
    </row>
    <row r="1201" spans="1:24" hidden="1">
      <c r="A1201" s="18">
        <v>1200</v>
      </c>
      <c r="B1201" s="17" t="s">
        <v>2663</v>
      </c>
      <c r="C1201" s="17" t="s">
        <v>2664</v>
      </c>
      <c r="D1201" s="17" t="s">
        <v>17</v>
      </c>
      <c r="E1201" s="17" t="s">
        <v>8</v>
      </c>
      <c r="F1201" s="17">
        <v>0</v>
      </c>
      <c r="G1201" s="17">
        <v>0</v>
      </c>
      <c r="H1201" s="17">
        <v>0</v>
      </c>
      <c r="I1201" s="17">
        <v>0</v>
      </c>
      <c r="J1201" s="17">
        <v>0</v>
      </c>
      <c r="K1201" s="17">
        <v>0</v>
      </c>
      <c r="L1201" s="17">
        <v>0</v>
      </c>
      <c r="M1201" s="17">
        <v>0</v>
      </c>
      <c r="N1201" s="17">
        <v>0</v>
      </c>
      <c r="O1201" s="17">
        <v>0</v>
      </c>
      <c r="P1201" s="17">
        <v>0</v>
      </c>
      <c r="Q1201" s="17">
        <v>0</v>
      </c>
      <c r="R1201" s="17">
        <v>0</v>
      </c>
      <c r="S1201" s="17"/>
      <c r="T1201" s="17" t="s">
        <v>3006</v>
      </c>
      <c r="U1201" s="17" t="s">
        <v>3060</v>
      </c>
      <c r="V1201" s="17" t="s">
        <v>3058</v>
      </c>
      <c r="W1201" s="17"/>
      <c r="X1201" s="17"/>
    </row>
    <row r="1202" spans="1:24" hidden="1">
      <c r="A1202" s="18">
        <v>1201</v>
      </c>
      <c r="B1202" s="17" t="s">
        <v>2665</v>
      </c>
      <c r="C1202" s="17" t="s">
        <v>2666</v>
      </c>
      <c r="D1202" s="17" t="s">
        <v>17</v>
      </c>
      <c r="E1202" s="17" t="s">
        <v>8</v>
      </c>
      <c r="F1202" s="17">
        <v>0</v>
      </c>
      <c r="G1202" s="17">
        <v>0</v>
      </c>
      <c r="H1202" s="17">
        <v>0</v>
      </c>
      <c r="I1202" s="17">
        <v>0</v>
      </c>
      <c r="J1202" s="17">
        <v>0</v>
      </c>
      <c r="K1202" s="17">
        <v>0</v>
      </c>
      <c r="L1202" s="17">
        <v>0</v>
      </c>
      <c r="M1202" s="17">
        <v>0</v>
      </c>
      <c r="N1202" s="17">
        <v>0</v>
      </c>
      <c r="O1202" s="17">
        <v>0</v>
      </c>
      <c r="P1202" s="17">
        <v>0</v>
      </c>
      <c r="Q1202" s="17">
        <v>0</v>
      </c>
      <c r="R1202" s="17">
        <v>0</v>
      </c>
      <c r="S1202" s="17"/>
      <c r="T1202" s="17" t="s">
        <v>3006</v>
      </c>
      <c r="U1202" s="17" t="s">
        <v>3060</v>
      </c>
      <c r="V1202" s="17" t="s">
        <v>3058</v>
      </c>
      <c r="W1202" s="17"/>
      <c r="X1202" s="17"/>
    </row>
    <row r="1203" spans="1:24" hidden="1">
      <c r="A1203" s="18">
        <v>1202</v>
      </c>
      <c r="B1203" s="17" t="s">
        <v>2667</v>
      </c>
      <c r="C1203" s="17" t="s">
        <v>2668</v>
      </c>
      <c r="D1203" s="17" t="s">
        <v>17</v>
      </c>
      <c r="E1203" s="17" t="s">
        <v>8</v>
      </c>
      <c r="F1203" s="17">
        <v>0</v>
      </c>
      <c r="G1203" s="17">
        <v>0</v>
      </c>
      <c r="H1203" s="17">
        <v>0</v>
      </c>
      <c r="I1203" s="17">
        <v>0</v>
      </c>
      <c r="J1203" s="17">
        <v>0</v>
      </c>
      <c r="K1203" s="17">
        <v>0</v>
      </c>
      <c r="L1203" s="17">
        <v>0</v>
      </c>
      <c r="M1203" s="17">
        <v>0</v>
      </c>
      <c r="N1203" s="17">
        <v>0</v>
      </c>
      <c r="O1203" s="17">
        <v>0</v>
      </c>
      <c r="P1203" s="17">
        <v>0</v>
      </c>
      <c r="Q1203" s="17">
        <v>0</v>
      </c>
      <c r="R1203" s="17">
        <v>0</v>
      </c>
      <c r="S1203" s="17"/>
      <c r="T1203" s="17" t="s">
        <v>3006</v>
      </c>
      <c r="U1203" s="17" t="s">
        <v>3060</v>
      </c>
      <c r="V1203" s="17" t="s">
        <v>3058</v>
      </c>
      <c r="W1203" s="17"/>
      <c r="X1203" s="17"/>
    </row>
    <row r="1204" spans="1:24" hidden="1">
      <c r="A1204" s="18">
        <v>1203</v>
      </c>
      <c r="B1204" s="17" t="s">
        <v>2669</v>
      </c>
      <c r="C1204" s="17" t="s">
        <v>2670</v>
      </c>
      <c r="D1204" s="17" t="s">
        <v>17</v>
      </c>
      <c r="E1204" s="17" t="s">
        <v>8</v>
      </c>
      <c r="F1204" s="17">
        <v>0</v>
      </c>
      <c r="G1204" s="17">
        <v>0</v>
      </c>
      <c r="H1204" s="17">
        <v>0</v>
      </c>
      <c r="I1204" s="17">
        <v>0</v>
      </c>
      <c r="J1204" s="17">
        <v>0</v>
      </c>
      <c r="K1204" s="17">
        <v>0</v>
      </c>
      <c r="L1204" s="17">
        <v>0</v>
      </c>
      <c r="M1204" s="17">
        <v>0</v>
      </c>
      <c r="N1204" s="17">
        <v>0</v>
      </c>
      <c r="O1204" s="17">
        <v>0</v>
      </c>
      <c r="P1204" s="17">
        <v>0</v>
      </c>
      <c r="Q1204" s="17">
        <v>0</v>
      </c>
      <c r="R1204" s="17">
        <v>0</v>
      </c>
      <c r="S1204" s="17"/>
      <c r="T1204" s="17" t="s">
        <v>3006</v>
      </c>
      <c r="U1204" s="17" t="s">
        <v>3060</v>
      </c>
      <c r="V1204" s="17" t="s">
        <v>3058</v>
      </c>
      <c r="W1204" s="17"/>
      <c r="X1204" s="17"/>
    </row>
    <row r="1205" spans="1:24" hidden="1">
      <c r="A1205" s="18">
        <v>1204</v>
      </c>
      <c r="B1205" s="17" t="s">
        <v>2671</v>
      </c>
      <c r="C1205" s="17" t="s">
        <v>2672</v>
      </c>
      <c r="D1205" s="17" t="s">
        <v>17</v>
      </c>
      <c r="E1205" s="17" t="s">
        <v>8</v>
      </c>
      <c r="F1205" s="17">
        <v>0</v>
      </c>
      <c r="G1205" s="17">
        <v>0</v>
      </c>
      <c r="H1205" s="17">
        <v>0</v>
      </c>
      <c r="I1205" s="17">
        <v>0</v>
      </c>
      <c r="J1205" s="17">
        <v>0</v>
      </c>
      <c r="K1205" s="17">
        <v>0</v>
      </c>
      <c r="L1205" s="17">
        <v>0</v>
      </c>
      <c r="M1205" s="17">
        <v>0</v>
      </c>
      <c r="N1205" s="17">
        <v>0</v>
      </c>
      <c r="O1205" s="17">
        <v>0</v>
      </c>
      <c r="P1205" s="17">
        <v>0</v>
      </c>
      <c r="Q1205" s="17">
        <v>0</v>
      </c>
      <c r="R1205" s="17">
        <v>0</v>
      </c>
      <c r="S1205" s="17"/>
      <c r="T1205" s="17" t="s">
        <v>3006</v>
      </c>
      <c r="U1205" s="17" t="s">
        <v>3060</v>
      </c>
      <c r="V1205" s="17" t="s">
        <v>3058</v>
      </c>
      <c r="W1205" s="17"/>
      <c r="X1205" s="17"/>
    </row>
    <row r="1206" spans="1:24" hidden="1">
      <c r="A1206" s="18">
        <v>1205</v>
      </c>
      <c r="B1206" s="17" t="s">
        <v>2673</v>
      </c>
      <c r="C1206" s="17" t="s">
        <v>2674</v>
      </c>
      <c r="D1206" s="17" t="s">
        <v>17</v>
      </c>
      <c r="E1206" s="17" t="s">
        <v>8</v>
      </c>
      <c r="F1206" s="17">
        <v>0</v>
      </c>
      <c r="G1206" s="17">
        <v>0</v>
      </c>
      <c r="H1206" s="17">
        <v>0</v>
      </c>
      <c r="I1206" s="17">
        <v>0</v>
      </c>
      <c r="J1206" s="17">
        <v>0</v>
      </c>
      <c r="K1206" s="17">
        <v>0</v>
      </c>
      <c r="L1206" s="17">
        <v>0</v>
      </c>
      <c r="M1206" s="17">
        <v>0</v>
      </c>
      <c r="N1206" s="17">
        <v>0</v>
      </c>
      <c r="O1206" s="17">
        <v>0</v>
      </c>
      <c r="P1206" s="17">
        <v>0</v>
      </c>
      <c r="Q1206" s="17">
        <v>0</v>
      </c>
      <c r="R1206" s="17">
        <v>0</v>
      </c>
      <c r="S1206" s="17"/>
      <c r="T1206" s="17" t="s">
        <v>3006</v>
      </c>
      <c r="U1206" s="17" t="s">
        <v>3060</v>
      </c>
      <c r="V1206" s="17" t="s">
        <v>3058</v>
      </c>
      <c r="W1206" s="17"/>
      <c r="X1206" s="17"/>
    </row>
    <row r="1207" spans="1:24" hidden="1">
      <c r="A1207" s="18">
        <v>1206</v>
      </c>
      <c r="B1207" s="17" t="s">
        <v>2675</v>
      </c>
      <c r="C1207" s="17" t="s">
        <v>2676</v>
      </c>
      <c r="D1207" s="17" t="s">
        <v>17</v>
      </c>
      <c r="E1207" s="17" t="s">
        <v>8</v>
      </c>
      <c r="F1207" s="17">
        <v>0</v>
      </c>
      <c r="G1207" s="17">
        <v>0</v>
      </c>
      <c r="H1207" s="17">
        <v>0</v>
      </c>
      <c r="I1207" s="17">
        <v>0</v>
      </c>
      <c r="J1207" s="17">
        <v>0</v>
      </c>
      <c r="K1207" s="17">
        <v>0</v>
      </c>
      <c r="L1207" s="17">
        <v>0</v>
      </c>
      <c r="M1207" s="17">
        <v>0</v>
      </c>
      <c r="N1207" s="17">
        <v>0</v>
      </c>
      <c r="O1207" s="17">
        <v>0</v>
      </c>
      <c r="P1207" s="17">
        <v>0</v>
      </c>
      <c r="Q1207" s="17">
        <v>0</v>
      </c>
      <c r="R1207" s="17">
        <v>0</v>
      </c>
      <c r="S1207" s="17"/>
      <c r="T1207" s="17" t="s">
        <v>3006</v>
      </c>
      <c r="U1207" s="17" t="s">
        <v>3060</v>
      </c>
      <c r="V1207" s="17" t="s">
        <v>3058</v>
      </c>
      <c r="W1207" s="17"/>
      <c r="X1207" s="17"/>
    </row>
    <row r="1208" spans="1:24" hidden="1">
      <c r="A1208" s="18">
        <v>1207</v>
      </c>
      <c r="B1208" s="17" t="s">
        <v>2677</v>
      </c>
      <c r="C1208" s="17" t="s">
        <v>2678</v>
      </c>
      <c r="D1208" s="17" t="s">
        <v>17</v>
      </c>
      <c r="E1208" s="17" t="s">
        <v>8</v>
      </c>
      <c r="F1208" s="17">
        <v>0</v>
      </c>
      <c r="G1208" s="17">
        <v>0</v>
      </c>
      <c r="H1208" s="17">
        <v>0</v>
      </c>
      <c r="I1208" s="17">
        <v>0</v>
      </c>
      <c r="J1208" s="17">
        <v>0</v>
      </c>
      <c r="K1208" s="17">
        <v>0</v>
      </c>
      <c r="L1208" s="17">
        <v>0</v>
      </c>
      <c r="M1208" s="17">
        <v>0</v>
      </c>
      <c r="N1208" s="17">
        <v>0</v>
      </c>
      <c r="O1208" s="17">
        <v>0</v>
      </c>
      <c r="P1208" s="17">
        <v>0</v>
      </c>
      <c r="Q1208" s="17">
        <v>0</v>
      </c>
      <c r="R1208" s="17">
        <v>0</v>
      </c>
      <c r="S1208" s="17"/>
      <c r="T1208" s="17" t="s">
        <v>3006</v>
      </c>
      <c r="U1208" s="17" t="s">
        <v>3060</v>
      </c>
      <c r="V1208" s="17" t="s">
        <v>3058</v>
      </c>
      <c r="W1208" s="17"/>
      <c r="X1208" s="17"/>
    </row>
    <row r="1209" spans="1:24" hidden="1">
      <c r="A1209" s="18">
        <v>1208</v>
      </c>
      <c r="B1209" s="17" t="s">
        <v>2679</v>
      </c>
      <c r="C1209" s="17" t="s">
        <v>2680</v>
      </c>
      <c r="D1209" s="17" t="s">
        <v>17</v>
      </c>
      <c r="E1209" s="17" t="s">
        <v>8</v>
      </c>
      <c r="F1209" s="17">
        <v>0</v>
      </c>
      <c r="G1209" s="17">
        <v>0</v>
      </c>
      <c r="H1209" s="17">
        <v>0</v>
      </c>
      <c r="I1209" s="17">
        <v>0</v>
      </c>
      <c r="J1209" s="17">
        <v>0</v>
      </c>
      <c r="K1209" s="17">
        <v>0</v>
      </c>
      <c r="L1209" s="17">
        <v>0</v>
      </c>
      <c r="M1209" s="17">
        <v>0</v>
      </c>
      <c r="N1209" s="17">
        <v>0</v>
      </c>
      <c r="O1209" s="17">
        <v>0</v>
      </c>
      <c r="P1209" s="17">
        <v>0</v>
      </c>
      <c r="Q1209" s="17">
        <v>0</v>
      </c>
      <c r="R1209" s="17">
        <v>0</v>
      </c>
      <c r="S1209" s="17"/>
      <c r="T1209" s="17" t="s">
        <v>3006</v>
      </c>
      <c r="U1209" s="17" t="s">
        <v>3060</v>
      </c>
      <c r="V1209" s="17" t="s">
        <v>3058</v>
      </c>
      <c r="W1209" s="17"/>
      <c r="X1209" s="17"/>
    </row>
    <row r="1210" spans="1:24" hidden="1">
      <c r="A1210" s="18">
        <v>1209</v>
      </c>
      <c r="B1210" s="17" t="s">
        <v>2681</v>
      </c>
      <c r="C1210" s="17" t="s">
        <v>2682</v>
      </c>
      <c r="D1210" s="17" t="s">
        <v>17</v>
      </c>
      <c r="E1210" s="17" t="s">
        <v>8</v>
      </c>
      <c r="F1210" s="17">
        <v>0</v>
      </c>
      <c r="G1210" s="17">
        <v>0</v>
      </c>
      <c r="H1210" s="17">
        <v>0</v>
      </c>
      <c r="I1210" s="17">
        <v>0</v>
      </c>
      <c r="J1210" s="17">
        <v>0</v>
      </c>
      <c r="K1210" s="17">
        <v>0</v>
      </c>
      <c r="L1210" s="17">
        <v>0</v>
      </c>
      <c r="M1210" s="17">
        <v>0</v>
      </c>
      <c r="N1210" s="17">
        <v>0</v>
      </c>
      <c r="O1210" s="17">
        <v>0</v>
      </c>
      <c r="P1210" s="17">
        <v>0</v>
      </c>
      <c r="Q1210" s="17">
        <v>0</v>
      </c>
      <c r="R1210" s="17">
        <v>0</v>
      </c>
      <c r="S1210" s="17"/>
      <c r="T1210" s="17" t="s">
        <v>3006</v>
      </c>
      <c r="U1210" s="17" t="s">
        <v>3060</v>
      </c>
      <c r="V1210" s="17" t="s">
        <v>3058</v>
      </c>
      <c r="W1210" s="17"/>
      <c r="X1210" s="17"/>
    </row>
    <row r="1211" spans="1:24" hidden="1">
      <c r="A1211" s="18">
        <v>1210</v>
      </c>
      <c r="B1211" s="17" t="s">
        <v>2683</v>
      </c>
      <c r="C1211" s="17" t="s">
        <v>2684</v>
      </c>
      <c r="D1211" s="17" t="s">
        <v>17</v>
      </c>
      <c r="E1211" s="17" t="s">
        <v>8</v>
      </c>
      <c r="F1211" s="17">
        <v>0</v>
      </c>
      <c r="G1211" s="17">
        <v>0</v>
      </c>
      <c r="H1211" s="17">
        <v>0</v>
      </c>
      <c r="I1211" s="17">
        <v>0</v>
      </c>
      <c r="J1211" s="17">
        <v>0</v>
      </c>
      <c r="K1211" s="17">
        <v>0</v>
      </c>
      <c r="L1211" s="17">
        <v>0</v>
      </c>
      <c r="M1211" s="17">
        <v>0</v>
      </c>
      <c r="N1211" s="17">
        <v>0</v>
      </c>
      <c r="O1211" s="17">
        <v>0</v>
      </c>
      <c r="P1211" s="17">
        <v>0</v>
      </c>
      <c r="Q1211" s="17">
        <v>0</v>
      </c>
      <c r="R1211" s="17">
        <v>0</v>
      </c>
      <c r="S1211" s="17"/>
      <c r="T1211" s="17" t="s">
        <v>3006</v>
      </c>
      <c r="U1211" s="17" t="s">
        <v>3060</v>
      </c>
      <c r="V1211" s="17" t="s">
        <v>3058</v>
      </c>
      <c r="W1211" s="17"/>
      <c r="X1211" s="17"/>
    </row>
    <row r="1212" spans="1:24" hidden="1">
      <c r="A1212" s="18">
        <v>1211</v>
      </c>
      <c r="B1212" s="17" t="s">
        <v>2685</v>
      </c>
      <c r="C1212" s="17" t="s">
        <v>2686</v>
      </c>
      <c r="D1212" s="17" t="s">
        <v>17</v>
      </c>
      <c r="E1212" s="17" t="s">
        <v>8</v>
      </c>
      <c r="F1212" s="17">
        <v>0</v>
      </c>
      <c r="G1212" s="17">
        <v>0</v>
      </c>
      <c r="H1212" s="17">
        <v>0</v>
      </c>
      <c r="I1212" s="17">
        <v>0</v>
      </c>
      <c r="J1212" s="17">
        <v>0</v>
      </c>
      <c r="K1212" s="17">
        <v>0</v>
      </c>
      <c r="L1212" s="17">
        <v>0</v>
      </c>
      <c r="M1212" s="17">
        <v>0</v>
      </c>
      <c r="N1212" s="17">
        <v>0</v>
      </c>
      <c r="O1212" s="17">
        <v>0</v>
      </c>
      <c r="P1212" s="17">
        <v>0</v>
      </c>
      <c r="Q1212" s="17">
        <v>0</v>
      </c>
      <c r="R1212" s="17">
        <v>0</v>
      </c>
      <c r="S1212" s="17"/>
      <c r="T1212" s="17" t="s">
        <v>3006</v>
      </c>
      <c r="U1212" s="17" t="s">
        <v>3060</v>
      </c>
      <c r="V1212" s="17" t="s">
        <v>3058</v>
      </c>
      <c r="W1212" s="17"/>
      <c r="X1212" s="17"/>
    </row>
    <row r="1213" spans="1:24" hidden="1">
      <c r="A1213" s="18">
        <v>1212</v>
      </c>
      <c r="B1213" s="17" t="s">
        <v>2687</v>
      </c>
      <c r="C1213" s="17" t="s">
        <v>2688</v>
      </c>
      <c r="D1213" s="17" t="s">
        <v>17</v>
      </c>
      <c r="E1213" s="17" t="s">
        <v>8</v>
      </c>
      <c r="F1213" s="17">
        <v>0</v>
      </c>
      <c r="G1213" s="17">
        <v>0</v>
      </c>
      <c r="H1213" s="17">
        <v>0</v>
      </c>
      <c r="I1213" s="17">
        <v>0</v>
      </c>
      <c r="J1213" s="17">
        <v>0</v>
      </c>
      <c r="K1213" s="17">
        <v>0</v>
      </c>
      <c r="L1213" s="17">
        <v>0</v>
      </c>
      <c r="M1213" s="17">
        <v>0</v>
      </c>
      <c r="N1213" s="17">
        <v>0</v>
      </c>
      <c r="O1213" s="17">
        <v>0</v>
      </c>
      <c r="P1213" s="17">
        <v>0</v>
      </c>
      <c r="Q1213" s="17">
        <v>0</v>
      </c>
      <c r="R1213" s="17">
        <v>0</v>
      </c>
      <c r="S1213" s="17"/>
      <c r="T1213" s="17" t="s">
        <v>3006</v>
      </c>
      <c r="U1213" s="17" t="s">
        <v>3060</v>
      </c>
      <c r="V1213" s="17" t="s">
        <v>3058</v>
      </c>
      <c r="W1213" s="17"/>
      <c r="X1213" s="17"/>
    </row>
    <row r="1214" spans="1:24" hidden="1">
      <c r="A1214" s="18">
        <v>1213</v>
      </c>
      <c r="B1214" s="17" t="s">
        <v>2689</v>
      </c>
      <c r="C1214" s="17" t="s">
        <v>2690</v>
      </c>
      <c r="D1214" s="17" t="s">
        <v>17</v>
      </c>
      <c r="E1214" s="17" t="s">
        <v>8</v>
      </c>
      <c r="F1214" s="17">
        <v>0</v>
      </c>
      <c r="G1214" s="17">
        <v>0</v>
      </c>
      <c r="H1214" s="17">
        <v>0</v>
      </c>
      <c r="I1214" s="17">
        <v>0</v>
      </c>
      <c r="J1214" s="17">
        <v>0</v>
      </c>
      <c r="K1214" s="17">
        <v>0</v>
      </c>
      <c r="L1214" s="17">
        <v>0</v>
      </c>
      <c r="M1214" s="17">
        <v>0</v>
      </c>
      <c r="N1214" s="17">
        <v>0</v>
      </c>
      <c r="O1214" s="17">
        <v>0</v>
      </c>
      <c r="P1214" s="17">
        <v>0</v>
      </c>
      <c r="Q1214" s="17">
        <v>0</v>
      </c>
      <c r="R1214" s="17">
        <v>0</v>
      </c>
      <c r="S1214" s="17"/>
      <c r="T1214" s="17" t="s">
        <v>2972</v>
      </c>
      <c r="U1214" s="17" t="s">
        <v>3055</v>
      </c>
      <c r="V1214" s="17" t="s">
        <v>3056</v>
      </c>
      <c r="W1214" s="17"/>
      <c r="X1214" s="17"/>
    </row>
    <row r="1215" spans="1:24" hidden="1">
      <c r="A1215" s="18">
        <v>1214</v>
      </c>
      <c r="B1215" s="17" t="s">
        <v>2691</v>
      </c>
      <c r="C1215" s="17" t="s">
        <v>2692</v>
      </c>
      <c r="D1215" s="17" t="s">
        <v>7</v>
      </c>
      <c r="E1215" s="17" t="s">
        <v>8</v>
      </c>
      <c r="F1215" s="17">
        <v>110.8</v>
      </c>
      <c r="G1215" s="17">
        <v>0</v>
      </c>
      <c r="H1215" s="17">
        <v>0</v>
      </c>
      <c r="I1215" s="17">
        <v>110.8</v>
      </c>
      <c r="J1215" s="17">
        <v>0</v>
      </c>
      <c r="K1215" s="17">
        <v>0</v>
      </c>
      <c r="L1215" s="17">
        <v>110.8</v>
      </c>
      <c r="M1215" s="17">
        <v>0</v>
      </c>
      <c r="N1215" s="17">
        <v>0</v>
      </c>
      <c r="O1215" s="17">
        <v>110.8</v>
      </c>
      <c r="P1215" s="17">
        <v>50</v>
      </c>
      <c r="Q1215" s="17">
        <v>60.8</v>
      </c>
      <c r="R1215" s="17">
        <v>0</v>
      </c>
      <c r="S1215" s="17"/>
      <c r="T1215" s="17" t="s">
        <v>2965</v>
      </c>
      <c r="U1215" s="17" t="s">
        <v>3055</v>
      </c>
      <c r="V1215" s="17" t="s">
        <v>3056</v>
      </c>
      <c r="W1215" s="17"/>
      <c r="X1215" s="17"/>
    </row>
    <row r="1216" spans="1:24" hidden="1">
      <c r="A1216" s="18">
        <v>1215</v>
      </c>
      <c r="B1216" s="17" t="s">
        <v>2693</v>
      </c>
      <c r="C1216" s="17" t="s">
        <v>2694</v>
      </c>
      <c r="D1216" s="17" t="s">
        <v>7</v>
      </c>
      <c r="E1216" s="17" t="s">
        <v>8</v>
      </c>
      <c r="F1216" s="17">
        <v>210.2</v>
      </c>
      <c r="G1216" s="17">
        <v>0</v>
      </c>
      <c r="H1216" s="17">
        <v>0</v>
      </c>
      <c r="I1216" s="17">
        <v>210.2</v>
      </c>
      <c r="J1216" s="17">
        <v>0</v>
      </c>
      <c r="K1216" s="17">
        <v>0</v>
      </c>
      <c r="L1216" s="17">
        <v>210.2</v>
      </c>
      <c r="M1216" s="17">
        <v>0</v>
      </c>
      <c r="N1216" s="17">
        <v>0</v>
      </c>
      <c r="O1216" s="17">
        <v>210.2</v>
      </c>
      <c r="P1216" s="17">
        <v>50</v>
      </c>
      <c r="Q1216" s="17">
        <v>160.19999999999999</v>
      </c>
      <c r="R1216" s="17">
        <v>0</v>
      </c>
      <c r="S1216" s="17"/>
      <c r="T1216" s="17" t="s">
        <v>2965</v>
      </c>
      <c r="U1216" s="17" t="s">
        <v>3055</v>
      </c>
      <c r="V1216" s="17" t="s">
        <v>3056</v>
      </c>
      <c r="W1216" s="17"/>
      <c r="X1216" s="17"/>
    </row>
    <row r="1217" spans="1:24" hidden="1">
      <c r="A1217" s="18">
        <v>1216</v>
      </c>
      <c r="B1217" s="17" t="s">
        <v>2695</v>
      </c>
      <c r="C1217" s="17" t="s">
        <v>2696</v>
      </c>
      <c r="D1217" s="17" t="s">
        <v>7</v>
      </c>
      <c r="E1217" s="17" t="s">
        <v>8</v>
      </c>
      <c r="F1217" s="17">
        <v>797</v>
      </c>
      <c r="G1217" s="17">
        <v>469.5</v>
      </c>
      <c r="H1217" s="17">
        <v>100.2</v>
      </c>
      <c r="I1217" s="17">
        <v>1166.3</v>
      </c>
      <c r="J1217" s="17">
        <v>0</v>
      </c>
      <c r="K1217" s="17">
        <v>0</v>
      </c>
      <c r="L1217" s="17">
        <v>1166.3</v>
      </c>
      <c r="M1217" s="17">
        <v>0</v>
      </c>
      <c r="N1217" s="17">
        <v>0</v>
      </c>
      <c r="O1217" s="17">
        <v>1166.3</v>
      </c>
      <c r="P1217" s="17">
        <v>500</v>
      </c>
      <c r="Q1217" s="17">
        <v>666.3</v>
      </c>
      <c r="R1217" s="17">
        <v>500</v>
      </c>
      <c r="S1217" s="17"/>
      <c r="T1217" s="17" t="s">
        <v>2965</v>
      </c>
      <c r="U1217" s="17" t="s">
        <v>3055</v>
      </c>
      <c r="V1217" s="17" t="s">
        <v>3056</v>
      </c>
      <c r="W1217" s="17"/>
      <c r="X1217" s="17"/>
    </row>
    <row r="1218" spans="1:24" hidden="1">
      <c r="A1218" s="18">
        <v>1217</v>
      </c>
      <c r="B1218" s="17" t="s">
        <v>2697</v>
      </c>
      <c r="C1218" s="17" t="s">
        <v>2698</v>
      </c>
      <c r="D1218" s="17" t="s">
        <v>7</v>
      </c>
      <c r="E1218" s="17" t="s">
        <v>8</v>
      </c>
      <c r="F1218" s="17">
        <v>708.7</v>
      </c>
      <c r="G1218" s="17">
        <v>0</v>
      </c>
      <c r="H1218" s="17">
        <v>146.19999999999999</v>
      </c>
      <c r="I1218" s="17">
        <v>562.5</v>
      </c>
      <c r="J1218" s="17">
        <v>0</v>
      </c>
      <c r="K1218" s="17">
        <v>0</v>
      </c>
      <c r="L1218" s="17">
        <v>562.5</v>
      </c>
      <c r="M1218" s="17">
        <v>0</v>
      </c>
      <c r="N1218" s="17">
        <v>0</v>
      </c>
      <c r="O1218" s="17">
        <v>562.5</v>
      </c>
      <c r="P1218" s="17">
        <v>250</v>
      </c>
      <c r="Q1218" s="17">
        <v>312.5</v>
      </c>
      <c r="R1218" s="17">
        <v>0</v>
      </c>
      <c r="S1218" s="17"/>
      <c r="T1218" s="17" t="s">
        <v>2965</v>
      </c>
      <c r="U1218" s="17" t="s">
        <v>3055</v>
      </c>
      <c r="V1218" s="17" t="s">
        <v>3056</v>
      </c>
      <c r="W1218" s="17"/>
      <c r="X1218" s="17"/>
    </row>
    <row r="1219" spans="1:24" hidden="1">
      <c r="A1219" s="18">
        <v>1218</v>
      </c>
      <c r="B1219" s="17" t="s">
        <v>2699</v>
      </c>
      <c r="C1219" s="17" t="s">
        <v>2700</v>
      </c>
      <c r="D1219" s="17" t="s">
        <v>7</v>
      </c>
      <c r="E1219" s="17" t="s">
        <v>8</v>
      </c>
      <c r="F1219" s="17">
        <v>777.1</v>
      </c>
      <c r="G1219" s="17">
        <v>1112</v>
      </c>
      <c r="H1219" s="17">
        <v>267.60000000000002</v>
      </c>
      <c r="I1219" s="17">
        <v>1621.5</v>
      </c>
      <c r="J1219" s="17">
        <v>0</v>
      </c>
      <c r="K1219" s="17">
        <v>0</v>
      </c>
      <c r="L1219" s="17">
        <v>1621.5</v>
      </c>
      <c r="M1219" s="17">
        <v>0</v>
      </c>
      <c r="N1219" s="17">
        <v>0</v>
      </c>
      <c r="O1219" s="17">
        <v>1621.5</v>
      </c>
      <c r="P1219" s="17">
        <v>500</v>
      </c>
      <c r="Q1219" s="17">
        <v>1121.5</v>
      </c>
      <c r="R1219" s="17">
        <v>1000</v>
      </c>
      <c r="S1219" s="17"/>
      <c r="T1219" s="17" t="s">
        <v>2965</v>
      </c>
      <c r="U1219" s="17" t="s">
        <v>3055</v>
      </c>
      <c r="V1219" s="17" t="s">
        <v>3056</v>
      </c>
      <c r="W1219" s="17"/>
      <c r="X1219" s="17"/>
    </row>
    <row r="1220" spans="1:24" hidden="1">
      <c r="A1220" s="18">
        <v>1219</v>
      </c>
      <c r="B1220" s="17" t="s">
        <v>2701</v>
      </c>
      <c r="C1220" s="17" t="s">
        <v>2702</v>
      </c>
      <c r="D1220" s="17" t="s">
        <v>17</v>
      </c>
      <c r="E1220" s="17" t="s">
        <v>8</v>
      </c>
      <c r="F1220" s="17">
        <v>0</v>
      </c>
      <c r="G1220" s="17">
        <v>0</v>
      </c>
      <c r="H1220" s="17">
        <v>0</v>
      </c>
      <c r="I1220" s="17">
        <v>0</v>
      </c>
      <c r="J1220" s="17">
        <v>0</v>
      </c>
      <c r="K1220" s="17">
        <v>0</v>
      </c>
      <c r="L1220" s="17">
        <v>0</v>
      </c>
      <c r="M1220" s="17">
        <v>0</v>
      </c>
      <c r="N1220" s="17">
        <v>0</v>
      </c>
      <c r="O1220" s="17">
        <v>0</v>
      </c>
      <c r="P1220" s="17">
        <v>0</v>
      </c>
      <c r="Q1220" s="17">
        <v>0</v>
      </c>
      <c r="R1220" s="17">
        <v>0</v>
      </c>
      <c r="S1220" s="17"/>
      <c r="T1220" s="17" t="s">
        <v>2982</v>
      </c>
      <c r="U1220" s="17" t="s">
        <v>3060</v>
      </c>
      <c r="V1220" s="17" t="s">
        <v>3058</v>
      </c>
      <c r="W1220" s="17"/>
      <c r="X1220" s="17"/>
    </row>
    <row r="1221" spans="1:24" hidden="1">
      <c r="A1221" s="18">
        <v>1220</v>
      </c>
      <c r="B1221" s="17" t="s">
        <v>2703</v>
      </c>
      <c r="C1221" s="17" t="s">
        <v>2704</v>
      </c>
      <c r="D1221" s="17" t="s">
        <v>17</v>
      </c>
      <c r="E1221" s="17" t="s">
        <v>8</v>
      </c>
      <c r="F1221" s="17">
        <v>0</v>
      </c>
      <c r="G1221" s="17">
        <v>0</v>
      </c>
      <c r="H1221" s="17">
        <v>0</v>
      </c>
      <c r="I1221" s="17">
        <v>0</v>
      </c>
      <c r="J1221" s="17">
        <v>0</v>
      </c>
      <c r="K1221" s="17">
        <v>0</v>
      </c>
      <c r="L1221" s="17">
        <v>0</v>
      </c>
      <c r="M1221" s="17">
        <v>0</v>
      </c>
      <c r="N1221" s="17">
        <v>0</v>
      </c>
      <c r="O1221" s="17">
        <v>0</v>
      </c>
      <c r="P1221" s="17">
        <v>0</v>
      </c>
      <c r="Q1221" s="17">
        <v>0</v>
      </c>
      <c r="R1221" s="17">
        <v>0</v>
      </c>
      <c r="S1221" s="17"/>
      <c r="T1221" s="17" t="s">
        <v>2982</v>
      </c>
      <c r="U1221" s="17" t="s">
        <v>3060</v>
      </c>
      <c r="V1221" s="17" t="s">
        <v>3058</v>
      </c>
      <c r="W1221" s="17"/>
      <c r="X1221" s="17"/>
    </row>
    <row r="1222" spans="1:24" hidden="1">
      <c r="A1222" s="18">
        <v>1221</v>
      </c>
      <c r="B1222" s="17" t="s">
        <v>2705</v>
      </c>
      <c r="C1222" s="17" t="s">
        <v>2706</v>
      </c>
      <c r="D1222" s="17" t="s">
        <v>17</v>
      </c>
      <c r="E1222" s="17" t="s">
        <v>8</v>
      </c>
      <c r="F1222" s="17">
        <v>0</v>
      </c>
      <c r="G1222" s="17">
        <v>0</v>
      </c>
      <c r="H1222" s="17">
        <v>0</v>
      </c>
      <c r="I1222" s="17">
        <v>0</v>
      </c>
      <c r="J1222" s="17">
        <v>0</v>
      </c>
      <c r="K1222" s="17">
        <v>0</v>
      </c>
      <c r="L1222" s="17">
        <v>0</v>
      </c>
      <c r="M1222" s="17">
        <v>0</v>
      </c>
      <c r="N1222" s="17">
        <v>0</v>
      </c>
      <c r="O1222" s="17">
        <v>0</v>
      </c>
      <c r="P1222" s="17">
        <v>0</v>
      </c>
      <c r="Q1222" s="17">
        <v>0</v>
      </c>
      <c r="R1222" s="17">
        <v>0</v>
      </c>
      <c r="S1222" s="17"/>
      <c r="T1222" s="17" t="s">
        <v>2982</v>
      </c>
      <c r="U1222" s="17" t="s">
        <v>3060</v>
      </c>
      <c r="V1222" s="17" t="s">
        <v>3058</v>
      </c>
      <c r="W1222" s="17"/>
      <c r="X1222" s="17"/>
    </row>
    <row r="1223" spans="1:24" hidden="1">
      <c r="A1223" s="18">
        <v>1222</v>
      </c>
      <c r="B1223" s="17" t="s">
        <v>2707</v>
      </c>
      <c r="C1223" s="17" t="s">
        <v>2708</v>
      </c>
      <c r="D1223" s="17" t="s">
        <v>17</v>
      </c>
      <c r="E1223" s="17" t="s">
        <v>8</v>
      </c>
      <c r="F1223" s="17">
        <v>0</v>
      </c>
      <c r="G1223" s="17">
        <v>0</v>
      </c>
      <c r="H1223" s="17">
        <v>0</v>
      </c>
      <c r="I1223" s="17">
        <v>0</v>
      </c>
      <c r="J1223" s="17">
        <v>0</v>
      </c>
      <c r="K1223" s="17">
        <v>0</v>
      </c>
      <c r="L1223" s="17">
        <v>0</v>
      </c>
      <c r="M1223" s="17">
        <v>0</v>
      </c>
      <c r="N1223" s="17">
        <v>0</v>
      </c>
      <c r="O1223" s="17">
        <v>0</v>
      </c>
      <c r="P1223" s="17">
        <v>0</v>
      </c>
      <c r="Q1223" s="17">
        <v>0</v>
      </c>
      <c r="R1223" s="17">
        <v>0</v>
      </c>
      <c r="S1223" s="17"/>
      <c r="T1223" s="17" t="s">
        <v>2982</v>
      </c>
      <c r="U1223" s="17" t="s">
        <v>3060</v>
      </c>
      <c r="V1223" s="17" t="s">
        <v>3058</v>
      </c>
      <c r="W1223" s="17"/>
      <c r="X1223" s="17"/>
    </row>
    <row r="1224" spans="1:24" hidden="1">
      <c r="A1224" s="18">
        <v>1223</v>
      </c>
      <c r="B1224" s="17" t="s">
        <v>2709</v>
      </c>
      <c r="C1224" s="17" t="s">
        <v>2710</v>
      </c>
      <c r="D1224" s="17" t="s">
        <v>17</v>
      </c>
      <c r="E1224" s="17" t="s">
        <v>8</v>
      </c>
      <c r="F1224" s="17">
        <v>0</v>
      </c>
      <c r="G1224" s="17">
        <v>0</v>
      </c>
      <c r="H1224" s="17">
        <v>0</v>
      </c>
      <c r="I1224" s="17">
        <v>0</v>
      </c>
      <c r="J1224" s="17">
        <v>0</v>
      </c>
      <c r="K1224" s="17">
        <v>0</v>
      </c>
      <c r="L1224" s="17">
        <v>0</v>
      </c>
      <c r="M1224" s="17">
        <v>0</v>
      </c>
      <c r="N1224" s="17">
        <v>0</v>
      </c>
      <c r="O1224" s="17">
        <v>0</v>
      </c>
      <c r="P1224" s="17">
        <v>0</v>
      </c>
      <c r="Q1224" s="17">
        <v>0</v>
      </c>
      <c r="R1224" s="17">
        <v>0</v>
      </c>
      <c r="S1224" s="17"/>
      <c r="T1224" s="17" t="s">
        <v>2982</v>
      </c>
      <c r="U1224" s="17" t="s">
        <v>3060</v>
      </c>
      <c r="V1224" s="17" t="s">
        <v>3058</v>
      </c>
      <c r="W1224" s="17"/>
      <c r="X1224" s="17"/>
    </row>
    <row r="1225" spans="1:24" hidden="1">
      <c r="A1225" s="18">
        <v>1224</v>
      </c>
      <c r="B1225" s="17" t="s">
        <v>2711</v>
      </c>
      <c r="C1225" s="17" t="s">
        <v>2712</v>
      </c>
      <c r="D1225" s="17" t="s">
        <v>17</v>
      </c>
      <c r="E1225" s="17" t="s">
        <v>8</v>
      </c>
      <c r="F1225" s="17">
        <v>0</v>
      </c>
      <c r="G1225" s="17">
        <v>0</v>
      </c>
      <c r="H1225" s="17">
        <v>0</v>
      </c>
      <c r="I1225" s="17">
        <v>0</v>
      </c>
      <c r="J1225" s="17">
        <v>0</v>
      </c>
      <c r="K1225" s="17">
        <v>0</v>
      </c>
      <c r="L1225" s="17">
        <v>0</v>
      </c>
      <c r="M1225" s="17">
        <v>0</v>
      </c>
      <c r="N1225" s="17">
        <v>0</v>
      </c>
      <c r="O1225" s="17">
        <v>0</v>
      </c>
      <c r="P1225" s="17">
        <v>0</v>
      </c>
      <c r="Q1225" s="17">
        <v>0</v>
      </c>
      <c r="R1225" s="17">
        <v>0</v>
      </c>
      <c r="S1225" s="17"/>
      <c r="T1225" s="17" t="s">
        <v>2982</v>
      </c>
      <c r="U1225" s="17" t="s">
        <v>3060</v>
      </c>
      <c r="V1225" s="17" t="s">
        <v>3064</v>
      </c>
      <c r="W1225" s="17"/>
      <c r="X1225" s="17"/>
    </row>
    <row r="1226" spans="1:24" hidden="1">
      <c r="A1226" s="18">
        <v>1225</v>
      </c>
      <c r="B1226" s="17" t="s">
        <v>2713</v>
      </c>
      <c r="C1226" s="17" t="s">
        <v>2714</v>
      </c>
      <c r="D1226" s="17" t="s">
        <v>17</v>
      </c>
      <c r="E1226" s="17" t="s">
        <v>8</v>
      </c>
      <c r="F1226" s="17">
        <v>0</v>
      </c>
      <c r="G1226" s="17">
        <v>0</v>
      </c>
      <c r="H1226" s="17">
        <v>0</v>
      </c>
      <c r="I1226" s="17">
        <v>0</v>
      </c>
      <c r="J1226" s="17">
        <v>0</v>
      </c>
      <c r="K1226" s="17">
        <v>0</v>
      </c>
      <c r="L1226" s="17">
        <v>0</v>
      </c>
      <c r="M1226" s="17">
        <v>0</v>
      </c>
      <c r="N1226" s="17">
        <v>0</v>
      </c>
      <c r="O1226" s="17">
        <v>0</v>
      </c>
      <c r="P1226" s="17">
        <v>0</v>
      </c>
      <c r="Q1226" s="17">
        <v>0</v>
      </c>
      <c r="R1226" s="17">
        <v>0</v>
      </c>
      <c r="S1226" s="17"/>
      <c r="T1226" s="17" t="s">
        <v>3006</v>
      </c>
      <c r="U1226" s="17" t="s">
        <v>3060</v>
      </c>
      <c r="V1226" s="17" t="s">
        <v>3058</v>
      </c>
      <c r="W1226" s="17"/>
      <c r="X1226" s="17"/>
    </row>
    <row r="1227" spans="1:24" hidden="1">
      <c r="A1227" s="18">
        <v>1226</v>
      </c>
      <c r="B1227" s="17" t="s">
        <v>2715</v>
      </c>
      <c r="C1227" s="17" t="s">
        <v>2716</v>
      </c>
      <c r="D1227" s="17" t="s">
        <v>17</v>
      </c>
      <c r="E1227" s="17" t="s">
        <v>8</v>
      </c>
      <c r="F1227" s="17">
        <v>0</v>
      </c>
      <c r="G1227" s="17">
        <v>0</v>
      </c>
      <c r="H1227" s="17">
        <v>0</v>
      </c>
      <c r="I1227" s="17">
        <v>0</v>
      </c>
      <c r="J1227" s="17">
        <v>0</v>
      </c>
      <c r="K1227" s="17">
        <v>0</v>
      </c>
      <c r="L1227" s="17">
        <v>0</v>
      </c>
      <c r="M1227" s="17">
        <v>0</v>
      </c>
      <c r="N1227" s="17">
        <v>0</v>
      </c>
      <c r="O1227" s="17">
        <v>0</v>
      </c>
      <c r="P1227" s="17">
        <v>0</v>
      </c>
      <c r="Q1227" s="17">
        <v>0</v>
      </c>
      <c r="R1227" s="17">
        <v>0</v>
      </c>
      <c r="S1227" s="17"/>
      <c r="T1227" s="17" t="s">
        <v>3006</v>
      </c>
      <c r="U1227" s="17" t="s">
        <v>3060</v>
      </c>
      <c r="V1227" s="17" t="s">
        <v>3058</v>
      </c>
      <c r="W1227" s="17"/>
      <c r="X1227" s="17"/>
    </row>
    <row r="1228" spans="1:24" hidden="1">
      <c r="A1228" s="18">
        <v>1227</v>
      </c>
      <c r="B1228" s="17" t="s">
        <v>2717</v>
      </c>
      <c r="C1228" s="17" t="s">
        <v>2718</v>
      </c>
      <c r="D1228" s="17" t="s">
        <v>17</v>
      </c>
      <c r="E1228" s="17" t="s">
        <v>8</v>
      </c>
      <c r="F1228" s="17">
        <v>0</v>
      </c>
      <c r="G1228" s="17">
        <v>0</v>
      </c>
      <c r="H1228" s="17">
        <v>0</v>
      </c>
      <c r="I1228" s="17">
        <v>0</v>
      </c>
      <c r="J1228" s="17">
        <v>0</v>
      </c>
      <c r="K1228" s="17">
        <v>0</v>
      </c>
      <c r="L1228" s="17">
        <v>0</v>
      </c>
      <c r="M1228" s="17">
        <v>0</v>
      </c>
      <c r="N1228" s="17">
        <v>0</v>
      </c>
      <c r="O1228" s="17">
        <v>0</v>
      </c>
      <c r="P1228" s="17">
        <v>0</v>
      </c>
      <c r="Q1228" s="17">
        <v>0</v>
      </c>
      <c r="R1228" s="17">
        <v>0</v>
      </c>
      <c r="S1228" s="17"/>
      <c r="T1228" s="17" t="s">
        <v>3006</v>
      </c>
      <c r="U1228" s="17" t="s">
        <v>3060</v>
      </c>
      <c r="V1228" s="17" t="s">
        <v>3058</v>
      </c>
      <c r="W1228" s="17"/>
      <c r="X1228" s="17"/>
    </row>
    <row r="1229" spans="1:24" hidden="1">
      <c r="A1229" s="18">
        <v>1228</v>
      </c>
      <c r="B1229" s="17" t="s">
        <v>2719</v>
      </c>
      <c r="C1229" s="17" t="s">
        <v>2720</v>
      </c>
      <c r="D1229" s="17" t="s">
        <v>17</v>
      </c>
      <c r="E1229" s="17" t="s">
        <v>8</v>
      </c>
      <c r="F1229" s="17">
        <v>0</v>
      </c>
      <c r="G1229" s="17">
        <v>0</v>
      </c>
      <c r="H1229" s="17">
        <v>0</v>
      </c>
      <c r="I1229" s="17">
        <v>0</v>
      </c>
      <c r="J1229" s="17">
        <v>0</v>
      </c>
      <c r="K1229" s="17">
        <v>0</v>
      </c>
      <c r="L1229" s="17">
        <v>0</v>
      </c>
      <c r="M1229" s="17">
        <v>0</v>
      </c>
      <c r="N1229" s="17">
        <v>0</v>
      </c>
      <c r="O1229" s="17">
        <v>0</v>
      </c>
      <c r="P1229" s="17">
        <v>0</v>
      </c>
      <c r="Q1229" s="17">
        <v>0</v>
      </c>
      <c r="R1229" s="17">
        <v>0</v>
      </c>
      <c r="S1229" s="17"/>
      <c r="T1229" s="17" t="s">
        <v>3006</v>
      </c>
      <c r="U1229" s="17" t="s">
        <v>3060</v>
      </c>
      <c r="V1229" s="17" t="s">
        <v>3058</v>
      </c>
      <c r="W1229" s="17"/>
      <c r="X1229" s="17"/>
    </row>
    <row r="1230" spans="1:24" hidden="1">
      <c r="A1230" s="18">
        <v>1229</v>
      </c>
      <c r="B1230" s="17" t="s">
        <v>2721</v>
      </c>
      <c r="C1230" s="17" t="s">
        <v>2722</v>
      </c>
      <c r="D1230" s="17" t="s">
        <v>17</v>
      </c>
      <c r="E1230" s="17" t="s">
        <v>8</v>
      </c>
      <c r="F1230" s="17">
        <v>0</v>
      </c>
      <c r="G1230" s="17">
        <v>0</v>
      </c>
      <c r="H1230" s="17">
        <v>0</v>
      </c>
      <c r="I1230" s="17">
        <v>0</v>
      </c>
      <c r="J1230" s="17">
        <v>0</v>
      </c>
      <c r="K1230" s="17">
        <v>0</v>
      </c>
      <c r="L1230" s="17">
        <v>0</v>
      </c>
      <c r="M1230" s="17">
        <v>0</v>
      </c>
      <c r="N1230" s="17">
        <v>0</v>
      </c>
      <c r="O1230" s="17">
        <v>0</v>
      </c>
      <c r="P1230" s="17">
        <v>0</v>
      </c>
      <c r="Q1230" s="17">
        <v>0</v>
      </c>
      <c r="R1230" s="17">
        <v>0</v>
      </c>
      <c r="S1230" s="17"/>
      <c r="T1230" s="17" t="s">
        <v>3006</v>
      </c>
      <c r="U1230" s="17" t="s">
        <v>3060</v>
      </c>
      <c r="V1230" s="17" t="s">
        <v>3058</v>
      </c>
      <c r="W1230" s="17"/>
      <c r="X1230" s="17"/>
    </row>
    <row r="1231" spans="1:24" hidden="1">
      <c r="A1231" s="18">
        <v>1230</v>
      </c>
      <c r="B1231" s="17" t="s">
        <v>2723</v>
      </c>
      <c r="C1231" s="17" t="s">
        <v>2724</v>
      </c>
      <c r="D1231" s="17" t="s">
        <v>17</v>
      </c>
      <c r="E1231" s="17" t="s">
        <v>8</v>
      </c>
      <c r="F1231" s="17">
        <v>0</v>
      </c>
      <c r="G1231" s="17">
        <v>0</v>
      </c>
      <c r="H1231" s="17">
        <v>0</v>
      </c>
      <c r="I1231" s="17">
        <v>0</v>
      </c>
      <c r="J1231" s="17">
        <v>0</v>
      </c>
      <c r="K1231" s="17">
        <v>0</v>
      </c>
      <c r="L1231" s="17">
        <v>0</v>
      </c>
      <c r="M1231" s="17">
        <v>0</v>
      </c>
      <c r="N1231" s="17">
        <v>0</v>
      </c>
      <c r="O1231" s="17">
        <v>0</v>
      </c>
      <c r="P1231" s="17">
        <v>0</v>
      </c>
      <c r="Q1231" s="17">
        <v>0</v>
      </c>
      <c r="R1231" s="17">
        <v>0</v>
      </c>
      <c r="S1231" s="17"/>
      <c r="T1231" s="17" t="s">
        <v>3006</v>
      </c>
      <c r="U1231" s="17" t="s">
        <v>3060</v>
      </c>
      <c r="V1231" s="17" t="s">
        <v>3058</v>
      </c>
      <c r="W1231" s="17"/>
      <c r="X1231" s="17"/>
    </row>
    <row r="1232" spans="1:24" hidden="1">
      <c r="A1232" s="18">
        <v>1231</v>
      </c>
      <c r="B1232" s="17" t="s">
        <v>2903</v>
      </c>
      <c r="C1232" s="17" t="s">
        <v>2904</v>
      </c>
      <c r="D1232" s="17" t="s">
        <v>17</v>
      </c>
      <c r="E1232" s="17" t="s">
        <v>8</v>
      </c>
      <c r="F1232" s="17">
        <v>0</v>
      </c>
      <c r="G1232" s="17">
        <v>0</v>
      </c>
      <c r="H1232" s="17">
        <v>0</v>
      </c>
      <c r="I1232" s="17">
        <v>0</v>
      </c>
      <c r="J1232" s="17">
        <v>0</v>
      </c>
      <c r="K1232" s="17">
        <v>0</v>
      </c>
      <c r="L1232" s="17">
        <v>0</v>
      </c>
      <c r="M1232" s="17">
        <v>0</v>
      </c>
      <c r="N1232" s="17">
        <v>0</v>
      </c>
      <c r="O1232" s="17">
        <v>0</v>
      </c>
      <c r="P1232" s="17">
        <v>0</v>
      </c>
      <c r="Q1232" s="17">
        <v>0</v>
      </c>
      <c r="R1232" s="17">
        <v>0</v>
      </c>
      <c r="S1232" s="17"/>
      <c r="T1232" s="17" t="s">
        <v>3002</v>
      </c>
      <c r="U1232" s="17" t="s">
        <v>3055</v>
      </c>
      <c r="V1232" s="17" t="s">
        <v>3056</v>
      </c>
      <c r="W1232" s="17"/>
      <c r="X1232" s="17"/>
    </row>
    <row r="1233" spans="1:24" hidden="1">
      <c r="A1233" s="18">
        <v>1232</v>
      </c>
      <c r="B1233" s="17" t="s">
        <v>2725</v>
      </c>
      <c r="C1233" s="17" t="s">
        <v>2726</v>
      </c>
      <c r="D1233" s="17" t="s">
        <v>17</v>
      </c>
      <c r="E1233" s="17" t="s">
        <v>8</v>
      </c>
      <c r="F1233" s="17">
        <v>0</v>
      </c>
      <c r="G1233" s="17">
        <v>0</v>
      </c>
      <c r="H1233" s="17">
        <v>0</v>
      </c>
      <c r="I1233" s="17">
        <v>0</v>
      </c>
      <c r="J1233" s="17">
        <v>0</v>
      </c>
      <c r="K1233" s="17">
        <v>0</v>
      </c>
      <c r="L1233" s="17">
        <v>0</v>
      </c>
      <c r="M1233" s="17">
        <v>0</v>
      </c>
      <c r="N1233" s="17">
        <v>0</v>
      </c>
      <c r="O1233" s="17">
        <v>0</v>
      </c>
      <c r="P1233" s="17">
        <v>0</v>
      </c>
      <c r="Q1233" s="17">
        <v>0</v>
      </c>
      <c r="R1233" s="17">
        <v>0</v>
      </c>
      <c r="S1233" s="17"/>
      <c r="T1233" s="17" t="s">
        <v>2982</v>
      </c>
      <c r="U1233" s="17" t="s">
        <v>3060</v>
      </c>
      <c r="V1233" s="17" t="s">
        <v>3058</v>
      </c>
      <c r="W1233" s="17"/>
      <c r="X1233" s="17"/>
    </row>
    <row r="1234" spans="1:24" hidden="1">
      <c r="A1234" s="18">
        <v>1233</v>
      </c>
      <c r="B1234" s="17" t="s">
        <v>2727</v>
      </c>
      <c r="C1234" s="17" t="s">
        <v>2728</v>
      </c>
      <c r="D1234" s="17" t="s">
        <v>17</v>
      </c>
      <c r="E1234" s="17" t="s">
        <v>8</v>
      </c>
      <c r="F1234" s="17">
        <v>0</v>
      </c>
      <c r="G1234" s="17">
        <v>0</v>
      </c>
      <c r="H1234" s="17">
        <v>0</v>
      </c>
      <c r="I1234" s="17">
        <v>0</v>
      </c>
      <c r="J1234" s="17">
        <v>0</v>
      </c>
      <c r="K1234" s="17">
        <v>0</v>
      </c>
      <c r="L1234" s="17">
        <v>0</v>
      </c>
      <c r="M1234" s="17">
        <v>0</v>
      </c>
      <c r="N1234" s="17">
        <v>0</v>
      </c>
      <c r="O1234" s="17">
        <v>0</v>
      </c>
      <c r="P1234" s="17">
        <v>0</v>
      </c>
      <c r="Q1234" s="17">
        <v>0</v>
      </c>
      <c r="R1234" s="17">
        <v>0</v>
      </c>
      <c r="S1234" s="17"/>
      <c r="T1234" s="17" t="s">
        <v>2982</v>
      </c>
      <c r="U1234" s="17" t="s">
        <v>3060</v>
      </c>
      <c r="V1234" s="17" t="s">
        <v>3058</v>
      </c>
      <c r="W1234" s="17"/>
      <c r="X1234" s="17"/>
    </row>
    <row r="1235" spans="1:24" hidden="1">
      <c r="A1235" s="18">
        <v>1234</v>
      </c>
      <c r="B1235" s="17" t="s">
        <v>2729</v>
      </c>
      <c r="C1235" s="17" t="s">
        <v>2730</v>
      </c>
      <c r="D1235" s="17" t="s">
        <v>17</v>
      </c>
      <c r="E1235" s="17" t="s">
        <v>8</v>
      </c>
      <c r="F1235" s="17">
        <v>0</v>
      </c>
      <c r="G1235" s="17">
        <v>0</v>
      </c>
      <c r="H1235" s="17">
        <v>0</v>
      </c>
      <c r="I1235" s="17">
        <v>0</v>
      </c>
      <c r="J1235" s="17">
        <v>0</v>
      </c>
      <c r="K1235" s="17">
        <v>0</v>
      </c>
      <c r="L1235" s="17">
        <v>0</v>
      </c>
      <c r="M1235" s="17">
        <v>0</v>
      </c>
      <c r="N1235" s="17">
        <v>0</v>
      </c>
      <c r="O1235" s="17">
        <v>0</v>
      </c>
      <c r="P1235" s="17">
        <v>0</v>
      </c>
      <c r="Q1235" s="17">
        <v>0</v>
      </c>
      <c r="R1235" s="17">
        <v>0</v>
      </c>
      <c r="S1235" s="17"/>
      <c r="T1235" s="17" t="s">
        <v>2982</v>
      </c>
      <c r="U1235" s="17" t="s">
        <v>3060</v>
      </c>
      <c r="V1235" s="17" t="s">
        <v>3058</v>
      </c>
      <c r="W1235" s="17"/>
      <c r="X1235" s="17"/>
    </row>
    <row r="1236" spans="1:24" hidden="1">
      <c r="A1236" s="18">
        <v>1235</v>
      </c>
      <c r="B1236" s="17" t="s">
        <v>2731</v>
      </c>
      <c r="C1236" s="17" t="s">
        <v>2732</v>
      </c>
      <c r="D1236" s="17" t="s">
        <v>7</v>
      </c>
      <c r="E1236" s="17" t="s">
        <v>8</v>
      </c>
      <c r="F1236" s="17">
        <v>1337</v>
      </c>
      <c r="G1236" s="17">
        <v>760.7</v>
      </c>
      <c r="H1236" s="17">
        <v>329.5</v>
      </c>
      <c r="I1236" s="17">
        <v>1768.2</v>
      </c>
      <c r="J1236" s="17">
        <v>0</v>
      </c>
      <c r="K1236" s="17">
        <v>0</v>
      </c>
      <c r="L1236" s="17">
        <v>1768.2</v>
      </c>
      <c r="M1236" s="17">
        <v>0</v>
      </c>
      <c r="N1236" s="17">
        <v>0</v>
      </c>
      <c r="O1236" s="17">
        <v>1768.2</v>
      </c>
      <c r="P1236" s="17">
        <v>500</v>
      </c>
      <c r="Q1236" s="17">
        <v>1268.2</v>
      </c>
      <c r="R1236" s="17">
        <v>0</v>
      </c>
      <c r="S1236" s="17"/>
      <c r="T1236" s="17" t="s">
        <v>2965</v>
      </c>
      <c r="U1236" s="17" t="s">
        <v>3055</v>
      </c>
      <c r="V1236" s="17" t="s">
        <v>3056</v>
      </c>
      <c r="W1236" s="17"/>
      <c r="X1236" s="17"/>
    </row>
    <row r="1237" spans="1:24" hidden="1">
      <c r="A1237" s="18">
        <v>1236</v>
      </c>
      <c r="B1237" s="17" t="s">
        <v>2733</v>
      </c>
      <c r="C1237" s="17" t="s">
        <v>2734</v>
      </c>
      <c r="D1237" s="17" t="s">
        <v>7</v>
      </c>
      <c r="E1237" s="17" t="s">
        <v>8</v>
      </c>
      <c r="F1237" s="17">
        <v>1643.1</v>
      </c>
      <c r="G1237" s="17">
        <v>656.5</v>
      </c>
      <c r="H1237" s="17">
        <v>0</v>
      </c>
      <c r="I1237" s="17">
        <v>2299.6</v>
      </c>
      <c r="J1237" s="17">
        <v>0</v>
      </c>
      <c r="K1237" s="17">
        <v>0</v>
      </c>
      <c r="L1237" s="17">
        <v>2299.6</v>
      </c>
      <c r="M1237" s="17">
        <v>0</v>
      </c>
      <c r="N1237" s="17">
        <v>0</v>
      </c>
      <c r="O1237" s="17">
        <v>2299.6</v>
      </c>
      <c r="P1237" s="17">
        <v>500</v>
      </c>
      <c r="Q1237" s="17">
        <v>1799.6</v>
      </c>
      <c r="R1237" s="17">
        <v>0</v>
      </c>
      <c r="S1237" s="17"/>
      <c r="T1237" s="17" t="s">
        <v>2965</v>
      </c>
      <c r="U1237" s="17" t="s">
        <v>3055</v>
      </c>
      <c r="V1237" s="17" t="s">
        <v>3056</v>
      </c>
      <c r="W1237" s="17"/>
      <c r="X1237" s="17"/>
    </row>
    <row r="1238" spans="1:24" hidden="1">
      <c r="A1238" s="18">
        <v>1237</v>
      </c>
      <c r="B1238" s="17" t="s">
        <v>2735</v>
      </c>
      <c r="C1238" s="17" t="s">
        <v>2736</v>
      </c>
      <c r="D1238" s="17" t="s">
        <v>7</v>
      </c>
      <c r="E1238" s="17" t="s">
        <v>8</v>
      </c>
      <c r="F1238" s="17">
        <v>2259.6999999999998</v>
      </c>
      <c r="G1238" s="17">
        <v>218.6</v>
      </c>
      <c r="H1238" s="17">
        <v>0</v>
      </c>
      <c r="I1238" s="17">
        <v>2478.3000000000002</v>
      </c>
      <c r="J1238" s="17">
        <v>0</v>
      </c>
      <c r="K1238" s="17">
        <v>0</v>
      </c>
      <c r="L1238" s="17">
        <v>2478.3000000000002</v>
      </c>
      <c r="M1238" s="17">
        <v>0</v>
      </c>
      <c r="N1238" s="17">
        <v>0</v>
      </c>
      <c r="O1238" s="17">
        <v>2478.3000000000002</v>
      </c>
      <c r="P1238" s="17">
        <v>500</v>
      </c>
      <c r="Q1238" s="17">
        <v>1978.3000000000002</v>
      </c>
      <c r="R1238" s="17">
        <v>0</v>
      </c>
      <c r="S1238" s="17"/>
      <c r="T1238" s="17" t="s">
        <v>2965</v>
      </c>
      <c r="U1238" s="17" t="s">
        <v>3055</v>
      </c>
      <c r="V1238" s="17" t="s">
        <v>3056</v>
      </c>
      <c r="W1238" s="17"/>
      <c r="X1238" s="17"/>
    </row>
    <row r="1239" spans="1:24" hidden="1">
      <c r="A1239" s="18">
        <v>1238</v>
      </c>
      <c r="B1239" s="17" t="s">
        <v>2737</v>
      </c>
      <c r="C1239" s="17" t="s">
        <v>2738</v>
      </c>
      <c r="D1239" s="17" t="s">
        <v>7</v>
      </c>
      <c r="E1239" s="17" t="s">
        <v>8</v>
      </c>
      <c r="F1239" s="17">
        <v>2079</v>
      </c>
      <c r="G1239" s="17">
        <v>0</v>
      </c>
      <c r="H1239" s="17">
        <v>416</v>
      </c>
      <c r="I1239" s="17">
        <v>1663</v>
      </c>
      <c r="J1239" s="17">
        <v>0</v>
      </c>
      <c r="K1239" s="17">
        <v>0</v>
      </c>
      <c r="L1239" s="17">
        <v>1663</v>
      </c>
      <c r="M1239" s="17">
        <v>0</v>
      </c>
      <c r="N1239" s="17">
        <v>0</v>
      </c>
      <c r="O1239" s="17">
        <v>1663</v>
      </c>
      <c r="P1239" s="17">
        <v>500</v>
      </c>
      <c r="Q1239" s="17">
        <v>1163</v>
      </c>
      <c r="R1239" s="17">
        <v>0</v>
      </c>
      <c r="S1239" s="17"/>
      <c r="T1239" s="17" t="s">
        <v>2965</v>
      </c>
      <c r="U1239" s="17" t="s">
        <v>3055</v>
      </c>
      <c r="V1239" s="17" t="s">
        <v>3056</v>
      </c>
      <c r="W1239" s="17"/>
      <c r="X1239" s="17"/>
    </row>
    <row r="1240" spans="1:24" hidden="1">
      <c r="A1240" s="18">
        <v>1239</v>
      </c>
      <c r="B1240" s="17" t="s">
        <v>2739</v>
      </c>
      <c r="C1240" s="17" t="s">
        <v>2740</v>
      </c>
      <c r="D1240" s="17" t="s">
        <v>7</v>
      </c>
      <c r="E1240" s="17" t="s">
        <v>8</v>
      </c>
      <c r="F1240" s="17">
        <v>2214.6</v>
      </c>
      <c r="G1240" s="17">
        <v>0</v>
      </c>
      <c r="H1240" s="17">
        <v>50.7</v>
      </c>
      <c r="I1240" s="17">
        <v>2163.9</v>
      </c>
      <c r="J1240" s="17">
        <v>0</v>
      </c>
      <c r="K1240" s="17">
        <v>0</v>
      </c>
      <c r="L1240" s="17">
        <v>2163.9</v>
      </c>
      <c r="M1240" s="17">
        <v>0</v>
      </c>
      <c r="N1240" s="17">
        <v>0</v>
      </c>
      <c r="O1240" s="17">
        <v>2163.9</v>
      </c>
      <c r="P1240" s="17">
        <v>500</v>
      </c>
      <c r="Q1240" s="17">
        <v>1663.9</v>
      </c>
      <c r="R1240" s="17">
        <v>0</v>
      </c>
      <c r="S1240" s="17"/>
      <c r="T1240" s="17" t="s">
        <v>2965</v>
      </c>
      <c r="U1240" s="17" t="s">
        <v>3055</v>
      </c>
      <c r="V1240" s="17" t="s">
        <v>3056</v>
      </c>
      <c r="W1240" s="17"/>
      <c r="X1240" s="17"/>
    </row>
    <row r="1241" spans="1:24" hidden="1">
      <c r="A1241" s="18">
        <v>1240</v>
      </c>
      <c r="B1241" s="17" t="s">
        <v>2741</v>
      </c>
      <c r="C1241" s="17" t="s">
        <v>2742</v>
      </c>
      <c r="D1241" s="17" t="s">
        <v>7</v>
      </c>
      <c r="E1241" s="17" t="s">
        <v>8</v>
      </c>
      <c r="F1241" s="17">
        <v>1584.4</v>
      </c>
      <c r="G1241" s="17">
        <v>537.20000000000005</v>
      </c>
      <c r="H1241" s="17">
        <v>0</v>
      </c>
      <c r="I1241" s="17">
        <v>2121.6</v>
      </c>
      <c r="J1241" s="17">
        <v>0</v>
      </c>
      <c r="K1241" s="17">
        <v>0</v>
      </c>
      <c r="L1241" s="17">
        <v>2121.6</v>
      </c>
      <c r="M1241" s="17">
        <v>0</v>
      </c>
      <c r="N1241" s="17">
        <v>0</v>
      </c>
      <c r="O1241" s="17">
        <v>2121.6</v>
      </c>
      <c r="P1241" s="17">
        <v>500</v>
      </c>
      <c r="Q1241" s="17">
        <v>1621.6</v>
      </c>
      <c r="R1241" s="17">
        <v>0</v>
      </c>
      <c r="S1241" s="17"/>
      <c r="T1241" s="17" t="s">
        <v>2965</v>
      </c>
      <c r="U1241" s="17" t="s">
        <v>3055</v>
      </c>
      <c r="V1241" s="17" t="s">
        <v>3056</v>
      </c>
      <c r="W1241" s="17"/>
      <c r="X1241" s="17"/>
    </row>
    <row r="1242" spans="1:24" hidden="1">
      <c r="A1242" s="18">
        <v>1241</v>
      </c>
      <c r="B1242" s="17" t="s">
        <v>2743</v>
      </c>
      <c r="C1242" s="17" t="s">
        <v>2744</v>
      </c>
      <c r="D1242" s="17" t="s">
        <v>7</v>
      </c>
      <c r="E1242" s="17" t="s">
        <v>8</v>
      </c>
      <c r="F1242" s="17">
        <v>6561</v>
      </c>
      <c r="G1242" s="17">
        <v>0</v>
      </c>
      <c r="H1242" s="17">
        <v>1438</v>
      </c>
      <c r="I1242" s="17">
        <v>5123</v>
      </c>
      <c r="J1242" s="17">
        <v>0</v>
      </c>
      <c r="K1242" s="17">
        <v>0</v>
      </c>
      <c r="L1242" s="17">
        <v>5123</v>
      </c>
      <c r="M1242" s="17">
        <v>0</v>
      </c>
      <c r="N1242" s="17">
        <v>0</v>
      </c>
      <c r="O1242" s="17">
        <v>5123</v>
      </c>
      <c r="P1242" s="17">
        <v>2000</v>
      </c>
      <c r="Q1242" s="17">
        <v>3123</v>
      </c>
      <c r="R1242" s="17">
        <v>0</v>
      </c>
      <c r="S1242" s="17"/>
      <c r="T1242" s="17" t="s">
        <v>2965</v>
      </c>
      <c r="U1242" s="17" t="s">
        <v>3055</v>
      </c>
      <c r="V1242" s="17" t="s">
        <v>3056</v>
      </c>
      <c r="W1242" s="17"/>
      <c r="X1242" s="17"/>
    </row>
    <row r="1243" spans="1:24" s="40" customFormat="1" hidden="1">
      <c r="A1243" s="26">
        <v>1242</v>
      </c>
      <c r="B1243" s="25" t="s">
        <v>2745</v>
      </c>
      <c r="C1243" s="25" t="s">
        <v>2746</v>
      </c>
      <c r="D1243" s="25" t="s">
        <v>7</v>
      </c>
      <c r="E1243" s="25" t="s">
        <v>8</v>
      </c>
      <c r="F1243" s="25">
        <v>1001</v>
      </c>
      <c r="G1243" s="25">
        <v>453</v>
      </c>
      <c r="H1243" s="25">
        <v>323</v>
      </c>
      <c r="I1243" s="17">
        <v>1131</v>
      </c>
      <c r="J1243" s="17">
        <v>0</v>
      </c>
      <c r="K1243" s="17">
        <v>0</v>
      </c>
      <c r="L1243" s="17">
        <v>1131</v>
      </c>
      <c r="M1243" s="17">
        <v>0</v>
      </c>
      <c r="N1243" s="17">
        <v>0</v>
      </c>
      <c r="O1243" s="25">
        <v>1131</v>
      </c>
      <c r="P1243" s="25">
        <v>2000</v>
      </c>
      <c r="Q1243" s="25">
        <v>-869</v>
      </c>
      <c r="R1243" s="25">
        <v>2000</v>
      </c>
      <c r="S1243" s="25"/>
      <c r="T1243" s="25" t="s">
        <v>2965</v>
      </c>
      <c r="U1243" s="25" t="s">
        <v>3055</v>
      </c>
      <c r="V1243" s="25" t="s">
        <v>3056</v>
      </c>
      <c r="W1243" s="25"/>
      <c r="X1243" s="25"/>
    </row>
    <row r="1244" spans="1:24" hidden="1">
      <c r="A1244" s="18">
        <v>1243</v>
      </c>
      <c r="B1244" s="17" t="s">
        <v>2747</v>
      </c>
      <c r="C1244" s="17" t="s">
        <v>2748</v>
      </c>
      <c r="D1244" s="17" t="s">
        <v>7</v>
      </c>
      <c r="E1244" s="17" t="s">
        <v>8</v>
      </c>
      <c r="F1244" s="17">
        <v>11773</v>
      </c>
      <c r="G1244" s="17">
        <v>1569</v>
      </c>
      <c r="H1244" s="17">
        <v>5047</v>
      </c>
      <c r="I1244" s="17">
        <v>8295</v>
      </c>
      <c r="J1244" s="17">
        <v>0</v>
      </c>
      <c r="K1244" s="17">
        <v>0</v>
      </c>
      <c r="L1244" s="17">
        <v>8295</v>
      </c>
      <c r="M1244" s="17">
        <v>0</v>
      </c>
      <c r="N1244" s="17">
        <v>0</v>
      </c>
      <c r="O1244" s="17">
        <v>8295</v>
      </c>
      <c r="P1244" s="17">
        <v>5000</v>
      </c>
      <c r="Q1244" s="17">
        <v>3295</v>
      </c>
      <c r="R1244" s="17">
        <v>8000</v>
      </c>
      <c r="S1244" s="17"/>
      <c r="T1244" s="17" t="s">
        <v>2965</v>
      </c>
      <c r="U1244" s="17" t="s">
        <v>3055</v>
      </c>
      <c r="V1244" s="17" t="s">
        <v>3056</v>
      </c>
      <c r="W1244" s="17"/>
      <c r="X1244" s="17"/>
    </row>
    <row r="1245" spans="1:24" s="40" customFormat="1" hidden="1">
      <c r="A1245" s="26">
        <v>1244</v>
      </c>
      <c r="B1245" s="25" t="s">
        <v>2749</v>
      </c>
      <c r="C1245" s="25" t="s">
        <v>2750</v>
      </c>
      <c r="D1245" s="25" t="s">
        <v>7</v>
      </c>
      <c r="E1245" s="25" t="s">
        <v>8</v>
      </c>
      <c r="F1245" s="25">
        <v>373</v>
      </c>
      <c r="G1245" s="25">
        <v>2648.5</v>
      </c>
      <c r="H1245" s="25">
        <v>823.5</v>
      </c>
      <c r="I1245" s="17">
        <v>2198</v>
      </c>
      <c r="J1245" s="17">
        <v>0</v>
      </c>
      <c r="K1245" s="17">
        <v>0</v>
      </c>
      <c r="L1245" s="17">
        <v>2198</v>
      </c>
      <c r="M1245" s="17">
        <v>0</v>
      </c>
      <c r="N1245" s="17">
        <v>0</v>
      </c>
      <c r="O1245" s="25">
        <v>2198</v>
      </c>
      <c r="P1245" s="25">
        <v>4000</v>
      </c>
      <c r="Q1245" s="25">
        <v>-1802</v>
      </c>
      <c r="R1245" s="25">
        <v>8000</v>
      </c>
      <c r="S1245" s="25"/>
      <c r="T1245" s="25" t="s">
        <v>2965</v>
      </c>
      <c r="U1245" s="25" t="s">
        <v>3055</v>
      </c>
      <c r="V1245" s="25" t="s">
        <v>3056</v>
      </c>
      <c r="W1245" s="25"/>
      <c r="X1245" s="25"/>
    </row>
    <row r="1246" spans="1:24" hidden="1">
      <c r="A1246" s="18">
        <v>1245</v>
      </c>
      <c r="B1246" s="17" t="s">
        <v>2751</v>
      </c>
      <c r="C1246" s="17" t="s">
        <v>2752</v>
      </c>
      <c r="D1246" s="17" t="s">
        <v>7</v>
      </c>
      <c r="E1246" s="17" t="s">
        <v>8</v>
      </c>
      <c r="F1246" s="17">
        <v>896.1</v>
      </c>
      <c r="G1246" s="17">
        <v>716.6</v>
      </c>
      <c r="H1246" s="17">
        <v>147.5</v>
      </c>
      <c r="I1246" s="17">
        <v>1465.2</v>
      </c>
      <c r="J1246" s="17">
        <v>0</v>
      </c>
      <c r="K1246" s="17">
        <v>0</v>
      </c>
      <c r="L1246" s="17">
        <v>1465.2</v>
      </c>
      <c r="M1246" s="17">
        <v>0</v>
      </c>
      <c r="N1246" s="17">
        <v>0</v>
      </c>
      <c r="O1246" s="17">
        <v>1465.2</v>
      </c>
      <c r="P1246" s="17">
        <v>500</v>
      </c>
      <c r="Q1246" s="17">
        <v>965.2</v>
      </c>
      <c r="R1246" s="17">
        <v>500</v>
      </c>
      <c r="S1246" s="17"/>
      <c r="T1246" s="17" t="s">
        <v>2965</v>
      </c>
      <c r="U1246" s="17" t="s">
        <v>3055</v>
      </c>
      <c r="V1246" s="17" t="s">
        <v>3056</v>
      </c>
      <c r="W1246" s="17"/>
      <c r="X1246" s="17"/>
    </row>
    <row r="1247" spans="1:24" hidden="1">
      <c r="A1247" s="18">
        <v>1246</v>
      </c>
      <c r="B1247" s="17" t="s">
        <v>2753</v>
      </c>
      <c r="C1247" s="17" t="s">
        <v>2754</v>
      </c>
      <c r="D1247" s="17" t="s">
        <v>7</v>
      </c>
      <c r="E1247" s="17" t="s">
        <v>8</v>
      </c>
      <c r="F1247" s="17">
        <v>1545.9</v>
      </c>
      <c r="G1247" s="17">
        <v>520.1</v>
      </c>
      <c r="H1247" s="17">
        <v>0</v>
      </c>
      <c r="I1247" s="17">
        <v>2066</v>
      </c>
      <c r="J1247" s="17">
        <v>0</v>
      </c>
      <c r="K1247" s="17">
        <v>0</v>
      </c>
      <c r="L1247" s="17">
        <v>2066</v>
      </c>
      <c r="M1247" s="17">
        <v>0</v>
      </c>
      <c r="N1247" s="17">
        <v>0</v>
      </c>
      <c r="O1247" s="17">
        <v>2066</v>
      </c>
      <c r="P1247" s="17">
        <v>500</v>
      </c>
      <c r="Q1247" s="17">
        <v>1566</v>
      </c>
      <c r="R1247" s="17">
        <v>200</v>
      </c>
      <c r="S1247" s="17"/>
      <c r="T1247" s="17" t="s">
        <v>2965</v>
      </c>
      <c r="U1247" s="17" t="s">
        <v>3055</v>
      </c>
      <c r="V1247" s="17" t="s">
        <v>3056</v>
      </c>
      <c r="W1247" s="17"/>
      <c r="X1247" s="17"/>
    </row>
    <row r="1248" spans="1:24" hidden="1">
      <c r="A1248" s="18">
        <v>1247</v>
      </c>
      <c r="B1248" s="17" t="s">
        <v>2755</v>
      </c>
      <c r="C1248" s="17" t="s">
        <v>2756</v>
      </c>
      <c r="D1248" s="17" t="s">
        <v>7</v>
      </c>
      <c r="E1248" s="17" t="s">
        <v>8</v>
      </c>
      <c r="F1248" s="17">
        <v>1528.9</v>
      </c>
      <c r="G1248" s="17">
        <v>228.4</v>
      </c>
      <c r="H1248" s="17">
        <v>0</v>
      </c>
      <c r="I1248" s="17">
        <v>1757.3</v>
      </c>
      <c r="J1248" s="17">
        <v>0</v>
      </c>
      <c r="K1248" s="17">
        <v>0</v>
      </c>
      <c r="L1248" s="17">
        <v>1757.3</v>
      </c>
      <c r="M1248" s="17">
        <v>0</v>
      </c>
      <c r="N1248" s="17">
        <v>0</v>
      </c>
      <c r="O1248" s="17">
        <v>1757.3</v>
      </c>
      <c r="P1248" s="17">
        <v>500</v>
      </c>
      <c r="Q1248" s="17">
        <v>1257.3</v>
      </c>
      <c r="R1248" s="17">
        <v>200</v>
      </c>
      <c r="S1248" s="17"/>
      <c r="T1248" s="17" t="s">
        <v>2965</v>
      </c>
      <c r="U1248" s="17" t="s">
        <v>3055</v>
      </c>
      <c r="V1248" s="17" t="s">
        <v>3056</v>
      </c>
      <c r="W1248" s="17"/>
      <c r="X1248" s="17"/>
    </row>
    <row r="1249" spans="1:24" hidden="1">
      <c r="A1249" s="18">
        <v>1248</v>
      </c>
      <c r="B1249" s="17" t="s">
        <v>2757</v>
      </c>
      <c r="C1249" s="17" t="s">
        <v>2758</v>
      </c>
      <c r="D1249" s="17" t="s">
        <v>7</v>
      </c>
      <c r="E1249" s="17" t="s">
        <v>8</v>
      </c>
      <c r="F1249" s="17">
        <v>0</v>
      </c>
      <c r="G1249" s="17">
        <v>0</v>
      </c>
      <c r="H1249" s="17">
        <v>0</v>
      </c>
      <c r="I1249" s="17">
        <v>0</v>
      </c>
      <c r="J1249" s="17">
        <v>0</v>
      </c>
      <c r="K1249" s="17">
        <v>0</v>
      </c>
      <c r="L1249" s="17">
        <v>0</v>
      </c>
      <c r="M1249" s="17">
        <v>0</v>
      </c>
      <c r="N1249" s="17">
        <v>0</v>
      </c>
      <c r="O1249" s="17">
        <v>0</v>
      </c>
      <c r="P1249" s="17">
        <v>0</v>
      </c>
      <c r="Q1249" s="17">
        <v>0</v>
      </c>
      <c r="R1249" s="17">
        <v>0</v>
      </c>
      <c r="S1249" s="17"/>
      <c r="T1249" s="17" t="s">
        <v>2965</v>
      </c>
      <c r="U1249" s="17" t="s">
        <v>3055</v>
      </c>
      <c r="V1249" s="17" t="s">
        <v>3056</v>
      </c>
      <c r="W1249" s="17"/>
      <c r="X1249" s="17"/>
    </row>
    <row r="1250" spans="1:24" hidden="1">
      <c r="A1250" s="18">
        <v>1249</v>
      </c>
      <c r="B1250" s="17" t="s">
        <v>2759</v>
      </c>
      <c r="C1250" s="17" t="s">
        <v>2760</v>
      </c>
      <c r="D1250" s="17" t="s">
        <v>7</v>
      </c>
      <c r="E1250" s="17" t="s">
        <v>8</v>
      </c>
      <c r="F1250" s="17">
        <v>0</v>
      </c>
      <c r="G1250" s="17">
        <v>0</v>
      </c>
      <c r="H1250" s="17">
        <v>0</v>
      </c>
      <c r="I1250" s="17">
        <v>0</v>
      </c>
      <c r="J1250" s="17">
        <v>0</v>
      </c>
      <c r="K1250" s="17">
        <v>0</v>
      </c>
      <c r="L1250" s="17">
        <v>0</v>
      </c>
      <c r="M1250" s="17">
        <v>0</v>
      </c>
      <c r="N1250" s="17">
        <v>0</v>
      </c>
      <c r="O1250" s="17">
        <v>0</v>
      </c>
      <c r="P1250" s="17">
        <v>0</v>
      </c>
      <c r="Q1250" s="17">
        <v>0</v>
      </c>
      <c r="R1250" s="17">
        <v>0</v>
      </c>
      <c r="S1250" s="17"/>
      <c r="T1250" s="17" t="s">
        <v>2965</v>
      </c>
      <c r="U1250" s="17" t="s">
        <v>3055</v>
      </c>
      <c r="V1250" s="17" t="s">
        <v>3056</v>
      </c>
      <c r="W1250" s="17"/>
      <c r="X1250" s="17"/>
    </row>
    <row r="1251" spans="1:24" hidden="1">
      <c r="A1251" s="18">
        <v>1250</v>
      </c>
      <c r="B1251" s="17" t="s">
        <v>2761</v>
      </c>
      <c r="C1251" s="17" t="s">
        <v>2762</v>
      </c>
      <c r="D1251" s="17" t="s">
        <v>7</v>
      </c>
      <c r="E1251" s="17" t="s">
        <v>8</v>
      </c>
      <c r="F1251" s="17">
        <v>0</v>
      </c>
      <c r="G1251" s="17">
        <v>0</v>
      </c>
      <c r="H1251" s="17">
        <v>0</v>
      </c>
      <c r="I1251" s="17">
        <v>0</v>
      </c>
      <c r="J1251" s="17">
        <v>0</v>
      </c>
      <c r="K1251" s="17">
        <v>0</v>
      </c>
      <c r="L1251" s="17">
        <v>0</v>
      </c>
      <c r="M1251" s="17">
        <v>0</v>
      </c>
      <c r="N1251" s="17">
        <v>0</v>
      </c>
      <c r="O1251" s="17">
        <v>0</v>
      </c>
      <c r="P1251" s="17">
        <v>0</v>
      </c>
      <c r="Q1251" s="17">
        <v>0</v>
      </c>
      <c r="R1251" s="17">
        <v>0</v>
      </c>
      <c r="S1251" s="17"/>
      <c r="T1251" s="17" t="s">
        <v>2965</v>
      </c>
      <c r="U1251" s="17" t="s">
        <v>3055</v>
      </c>
      <c r="V1251" s="17" t="s">
        <v>3056</v>
      </c>
      <c r="W1251" s="17"/>
      <c r="X1251" s="17"/>
    </row>
    <row r="1252" spans="1:24" hidden="1">
      <c r="A1252" s="18">
        <v>1251</v>
      </c>
      <c r="B1252" s="17" t="s">
        <v>2763</v>
      </c>
      <c r="C1252" s="17" t="s">
        <v>2764</v>
      </c>
      <c r="D1252" s="17" t="s">
        <v>7</v>
      </c>
      <c r="E1252" s="17" t="s">
        <v>8</v>
      </c>
      <c r="F1252" s="17">
        <v>1152.9000000000001</v>
      </c>
      <c r="G1252" s="17">
        <v>340.6</v>
      </c>
      <c r="H1252" s="17">
        <v>417.7</v>
      </c>
      <c r="I1252" s="17">
        <v>1075.8</v>
      </c>
      <c r="J1252" s="17">
        <v>0</v>
      </c>
      <c r="K1252" s="17">
        <v>0</v>
      </c>
      <c r="L1252" s="17">
        <v>1075.8</v>
      </c>
      <c r="M1252" s="17">
        <v>0</v>
      </c>
      <c r="N1252" s="17">
        <v>0</v>
      </c>
      <c r="O1252" s="17">
        <v>1075.8</v>
      </c>
      <c r="P1252" s="17">
        <v>500</v>
      </c>
      <c r="Q1252" s="17">
        <v>575.79999999999995</v>
      </c>
      <c r="R1252" s="17">
        <v>500</v>
      </c>
      <c r="S1252" s="17"/>
      <c r="T1252" s="17" t="s">
        <v>2965</v>
      </c>
      <c r="U1252" s="17" t="s">
        <v>3055</v>
      </c>
      <c r="V1252" s="17" t="s">
        <v>3056</v>
      </c>
      <c r="W1252" s="17"/>
      <c r="X1252" s="17"/>
    </row>
    <row r="1253" spans="1:24" hidden="1">
      <c r="A1253" s="18">
        <v>1252</v>
      </c>
      <c r="B1253" s="17" t="s">
        <v>2765</v>
      </c>
      <c r="C1253" s="17" t="s">
        <v>2766</v>
      </c>
      <c r="D1253" s="17" t="s">
        <v>7</v>
      </c>
      <c r="E1253" s="17" t="s">
        <v>8</v>
      </c>
      <c r="F1253" s="17">
        <v>836.6</v>
      </c>
      <c r="G1253" s="17">
        <v>591.5</v>
      </c>
      <c r="H1253" s="17">
        <v>112.3</v>
      </c>
      <c r="I1253" s="17">
        <v>1315.8</v>
      </c>
      <c r="J1253" s="17">
        <v>0</v>
      </c>
      <c r="K1253" s="17">
        <v>0</v>
      </c>
      <c r="L1253" s="17">
        <v>1315.8</v>
      </c>
      <c r="M1253" s="17">
        <v>0</v>
      </c>
      <c r="N1253" s="17">
        <v>0</v>
      </c>
      <c r="O1253" s="17">
        <v>1315.8</v>
      </c>
      <c r="P1253" s="17">
        <v>500</v>
      </c>
      <c r="Q1253" s="17">
        <v>815.8</v>
      </c>
      <c r="R1253" s="17">
        <v>200</v>
      </c>
      <c r="S1253" s="17"/>
      <c r="T1253" s="17" t="s">
        <v>2965</v>
      </c>
      <c r="U1253" s="17" t="s">
        <v>3055</v>
      </c>
      <c r="V1253" s="17" t="s">
        <v>3056</v>
      </c>
      <c r="W1253" s="17"/>
      <c r="X1253" s="17"/>
    </row>
    <row r="1254" spans="1:24" hidden="1">
      <c r="A1254" s="18">
        <v>1253</v>
      </c>
      <c r="B1254" s="17" t="s">
        <v>2769</v>
      </c>
      <c r="C1254" s="17" t="s">
        <v>2770</v>
      </c>
      <c r="D1254" s="17" t="s">
        <v>7</v>
      </c>
      <c r="E1254" s="17" t="s">
        <v>8</v>
      </c>
      <c r="F1254" s="17">
        <v>3807.2</v>
      </c>
      <c r="G1254" s="17">
        <v>2821.7</v>
      </c>
      <c r="H1254" s="17">
        <v>524.9</v>
      </c>
      <c r="I1254" s="17">
        <v>6104</v>
      </c>
      <c r="J1254" s="17">
        <v>0</v>
      </c>
      <c r="K1254" s="17">
        <v>0</v>
      </c>
      <c r="L1254" s="17">
        <v>6104</v>
      </c>
      <c r="M1254" s="17">
        <v>0</v>
      </c>
      <c r="N1254" s="17">
        <v>0</v>
      </c>
      <c r="O1254" s="17">
        <v>6104</v>
      </c>
      <c r="P1254" s="17">
        <v>2000</v>
      </c>
      <c r="Q1254" s="17">
        <v>4104</v>
      </c>
      <c r="R1254" s="17">
        <v>3000</v>
      </c>
      <c r="S1254" s="17"/>
      <c r="T1254" s="17" t="s">
        <v>2965</v>
      </c>
      <c r="U1254" s="17" t="s">
        <v>3055</v>
      </c>
      <c r="V1254" s="17" t="s">
        <v>3056</v>
      </c>
      <c r="W1254" s="17"/>
      <c r="X1254" s="17"/>
    </row>
    <row r="1255" spans="1:24" hidden="1">
      <c r="A1255" s="18">
        <v>1254</v>
      </c>
      <c r="B1255" s="17" t="s">
        <v>2771</v>
      </c>
      <c r="C1255" s="17" t="s">
        <v>2772</v>
      </c>
      <c r="D1255" s="17" t="s">
        <v>7</v>
      </c>
      <c r="E1255" s="17" t="s">
        <v>8</v>
      </c>
      <c r="F1255" s="17">
        <v>233.3</v>
      </c>
      <c r="G1255" s="17">
        <v>0</v>
      </c>
      <c r="H1255" s="17">
        <v>0</v>
      </c>
      <c r="I1255" s="17">
        <v>233.3</v>
      </c>
      <c r="J1255" s="17">
        <v>0</v>
      </c>
      <c r="K1255" s="17">
        <v>0</v>
      </c>
      <c r="L1255" s="17">
        <v>233.3</v>
      </c>
      <c r="M1255" s="17">
        <v>0</v>
      </c>
      <c r="N1255" s="17">
        <v>0</v>
      </c>
      <c r="O1255" s="17">
        <v>233.3</v>
      </c>
      <c r="P1255" s="17">
        <v>0</v>
      </c>
      <c r="Q1255" s="17">
        <v>233.3</v>
      </c>
      <c r="R1255" s="17">
        <v>0</v>
      </c>
      <c r="S1255" s="17"/>
      <c r="T1255" s="17" t="s">
        <v>2965</v>
      </c>
      <c r="U1255" s="17" t="s">
        <v>3055</v>
      </c>
      <c r="V1255" s="17" t="s">
        <v>3056</v>
      </c>
      <c r="W1255" s="17"/>
      <c r="X1255" s="17"/>
    </row>
    <row r="1256" spans="1:24" hidden="1">
      <c r="A1256" s="18">
        <v>1255</v>
      </c>
      <c r="B1256" s="17" t="s">
        <v>2773</v>
      </c>
      <c r="C1256" s="17" t="s">
        <v>2774</v>
      </c>
      <c r="D1256" s="17" t="s">
        <v>7</v>
      </c>
      <c r="E1256" s="17" t="s">
        <v>8</v>
      </c>
      <c r="F1256" s="17">
        <v>3615</v>
      </c>
      <c r="G1256" s="17">
        <v>4905.8999999999996</v>
      </c>
      <c r="H1256" s="17">
        <v>642.29999999999995</v>
      </c>
      <c r="I1256" s="17">
        <v>7878.6</v>
      </c>
      <c r="J1256" s="17">
        <v>0</v>
      </c>
      <c r="K1256" s="17">
        <v>0</v>
      </c>
      <c r="L1256" s="17">
        <v>7878.6</v>
      </c>
      <c r="M1256" s="17">
        <v>0</v>
      </c>
      <c r="N1256" s="17">
        <v>0</v>
      </c>
      <c r="O1256" s="17">
        <v>7878.6</v>
      </c>
      <c r="P1256" s="17">
        <v>2000</v>
      </c>
      <c r="Q1256" s="17">
        <v>5878.6</v>
      </c>
      <c r="R1256" s="17">
        <v>4000</v>
      </c>
      <c r="S1256" s="17"/>
      <c r="T1256" s="17" t="s">
        <v>2965</v>
      </c>
      <c r="U1256" s="17" t="s">
        <v>3055</v>
      </c>
      <c r="V1256" s="17" t="s">
        <v>3056</v>
      </c>
      <c r="W1256" s="17"/>
      <c r="X1256" s="17"/>
    </row>
    <row r="1257" spans="1:24" hidden="1">
      <c r="A1257" s="18">
        <v>1256</v>
      </c>
      <c r="B1257" s="17" t="s">
        <v>2785</v>
      </c>
      <c r="C1257" s="17" t="s">
        <v>2786</v>
      </c>
      <c r="D1257" s="17" t="s">
        <v>17</v>
      </c>
      <c r="E1257" s="17" t="s">
        <v>8</v>
      </c>
      <c r="F1257" s="17">
        <v>1587</v>
      </c>
      <c r="G1257" s="17">
        <v>0</v>
      </c>
      <c r="H1257" s="17">
        <v>0</v>
      </c>
      <c r="I1257" s="17">
        <v>1587</v>
      </c>
      <c r="J1257" s="17">
        <v>0</v>
      </c>
      <c r="K1257" s="17">
        <v>0</v>
      </c>
      <c r="L1257" s="17">
        <v>1587</v>
      </c>
      <c r="M1257" s="17">
        <v>0</v>
      </c>
      <c r="N1257" s="17">
        <v>0</v>
      </c>
      <c r="O1257" s="17">
        <v>1587</v>
      </c>
      <c r="P1257" s="17">
        <v>500</v>
      </c>
      <c r="Q1257" s="17">
        <v>1087</v>
      </c>
      <c r="R1257" s="17">
        <v>0</v>
      </c>
      <c r="S1257" s="17"/>
      <c r="T1257" s="17" t="s">
        <v>2972</v>
      </c>
      <c r="U1257" s="17" t="s">
        <v>3055</v>
      </c>
      <c r="V1257" s="17" t="s">
        <v>3056</v>
      </c>
      <c r="W1257" s="17"/>
      <c r="X1257" s="17"/>
    </row>
    <row r="1258" spans="1:24" hidden="1">
      <c r="A1258" s="18">
        <v>1257</v>
      </c>
      <c r="B1258" s="17" t="s">
        <v>2575</v>
      </c>
      <c r="C1258" s="17" t="s">
        <v>2576</v>
      </c>
      <c r="D1258" s="17" t="s">
        <v>17</v>
      </c>
      <c r="E1258" s="17" t="s">
        <v>8</v>
      </c>
      <c r="F1258" s="17">
        <v>0</v>
      </c>
      <c r="G1258" s="17">
        <v>0</v>
      </c>
      <c r="H1258" s="17">
        <v>0</v>
      </c>
      <c r="I1258" s="17">
        <v>0</v>
      </c>
      <c r="J1258" s="17">
        <v>0</v>
      </c>
      <c r="K1258" s="17">
        <v>0</v>
      </c>
      <c r="L1258" s="17">
        <v>0</v>
      </c>
      <c r="M1258" s="17">
        <v>0</v>
      </c>
      <c r="N1258" s="17">
        <v>0</v>
      </c>
      <c r="O1258" s="17">
        <v>0</v>
      </c>
      <c r="P1258" s="17">
        <v>0</v>
      </c>
      <c r="Q1258" s="17">
        <v>0</v>
      </c>
      <c r="R1258" s="17">
        <v>0</v>
      </c>
      <c r="S1258" s="17"/>
      <c r="T1258" s="17" t="s">
        <v>2972</v>
      </c>
      <c r="U1258" s="17" t="s">
        <v>3057</v>
      </c>
      <c r="V1258" s="17" t="s">
        <v>3056</v>
      </c>
      <c r="W1258" s="17"/>
      <c r="X1258" s="17"/>
    </row>
    <row r="1259" spans="1:24" hidden="1">
      <c r="A1259" s="18">
        <v>1258</v>
      </c>
      <c r="B1259" s="17" t="s">
        <v>2789</v>
      </c>
      <c r="C1259" s="17" t="s">
        <v>2790</v>
      </c>
      <c r="D1259" s="17" t="s">
        <v>17</v>
      </c>
      <c r="E1259" s="17" t="s">
        <v>8</v>
      </c>
      <c r="F1259" s="17">
        <v>3490</v>
      </c>
      <c r="G1259" s="17">
        <v>0</v>
      </c>
      <c r="H1259" s="17">
        <v>200</v>
      </c>
      <c r="I1259" s="17">
        <v>3290</v>
      </c>
      <c r="J1259" s="17">
        <v>0</v>
      </c>
      <c r="K1259" s="17">
        <v>0</v>
      </c>
      <c r="L1259" s="17">
        <v>3290</v>
      </c>
      <c r="M1259" s="17">
        <v>0</v>
      </c>
      <c r="N1259" s="17">
        <v>0</v>
      </c>
      <c r="O1259" s="17">
        <v>3290</v>
      </c>
      <c r="P1259" s="17">
        <v>1000</v>
      </c>
      <c r="Q1259" s="17">
        <v>2290</v>
      </c>
      <c r="R1259" s="17">
        <v>0</v>
      </c>
      <c r="S1259" s="17"/>
      <c r="T1259" s="17" t="s">
        <v>2972</v>
      </c>
      <c r="U1259" s="17" t="s">
        <v>3055</v>
      </c>
      <c r="V1259" s="17" t="s">
        <v>3056</v>
      </c>
      <c r="W1259" s="17"/>
      <c r="X1259" s="17"/>
    </row>
    <row r="1260" spans="1:24" hidden="1">
      <c r="A1260" s="18">
        <v>1259</v>
      </c>
      <c r="B1260" s="17" t="s">
        <v>2585</v>
      </c>
      <c r="C1260" s="17" t="s">
        <v>2586</v>
      </c>
      <c r="D1260" s="17" t="s">
        <v>20</v>
      </c>
      <c r="E1260" s="17" t="s">
        <v>8</v>
      </c>
      <c r="F1260" s="17">
        <v>0</v>
      </c>
      <c r="G1260" s="17">
        <v>135.9</v>
      </c>
      <c r="H1260" s="17">
        <v>135.9</v>
      </c>
      <c r="I1260" s="17">
        <v>0</v>
      </c>
      <c r="J1260" s="17">
        <v>0</v>
      </c>
      <c r="K1260" s="17">
        <v>0</v>
      </c>
      <c r="L1260" s="17">
        <v>0</v>
      </c>
      <c r="M1260" s="17">
        <v>0</v>
      </c>
      <c r="N1260" s="17">
        <v>0</v>
      </c>
      <c r="O1260" s="17">
        <v>0</v>
      </c>
      <c r="P1260" s="17">
        <v>0</v>
      </c>
      <c r="Q1260" s="17">
        <v>0</v>
      </c>
      <c r="R1260" s="17">
        <v>0</v>
      </c>
      <c r="S1260" s="17"/>
      <c r="T1260" s="17" t="s">
        <v>2991</v>
      </c>
      <c r="U1260" s="17" t="s">
        <v>3057</v>
      </c>
      <c r="V1260" s="17" t="s">
        <v>3056</v>
      </c>
      <c r="W1260" s="17"/>
      <c r="X1260" s="17"/>
    </row>
    <row r="1261" spans="1:24" hidden="1">
      <c r="A1261" s="18">
        <v>1260</v>
      </c>
      <c r="B1261" s="17" t="s">
        <v>2793</v>
      </c>
      <c r="C1261" s="17" t="s">
        <v>2794</v>
      </c>
      <c r="D1261" s="17" t="s">
        <v>7</v>
      </c>
      <c r="E1261" s="17" t="s">
        <v>8</v>
      </c>
      <c r="F1261" s="17">
        <v>0</v>
      </c>
      <c r="G1261" s="17">
        <v>0</v>
      </c>
      <c r="H1261" s="17">
        <v>0</v>
      </c>
      <c r="I1261" s="17">
        <v>0</v>
      </c>
      <c r="J1261" s="17">
        <v>0</v>
      </c>
      <c r="K1261" s="17">
        <v>0</v>
      </c>
      <c r="L1261" s="17">
        <v>0</v>
      </c>
      <c r="M1261" s="17">
        <v>0</v>
      </c>
      <c r="N1261" s="17">
        <v>0</v>
      </c>
      <c r="O1261" s="17">
        <v>0</v>
      </c>
      <c r="P1261" s="17">
        <v>0</v>
      </c>
      <c r="Q1261" s="17">
        <v>0</v>
      </c>
      <c r="R1261" s="17">
        <v>0</v>
      </c>
      <c r="S1261" s="17"/>
      <c r="T1261" s="17" t="s">
        <v>2965</v>
      </c>
      <c r="U1261" s="17" t="s">
        <v>3055</v>
      </c>
      <c r="V1261" s="17" t="s">
        <v>3058</v>
      </c>
      <c r="W1261" s="17"/>
      <c r="X1261" s="17"/>
    </row>
    <row r="1262" spans="1:24" hidden="1">
      <c r="A1262" s="18">
        <v>1261</v>
      </c>
      <c r="B1262" s="17" t="s">
        <v>2795</v>
      </c>
      <c r="C1262" s="17" t="s">
        <v>2796</v>
      </c>
      <c r="D1262" s="17" t="s">
        <v>17</v>
      </c>
      <c r="E1262" s="17" t="s">
        <v>8</v>
      </c>
      <c r="F1262" s="17">
        <v>0</v>
      </c>
      <c r="G1262" s="17">
        <v>0</v>
      </c>
      <c r="H1262" s="17">
        <v>0</v>
      </c>
      <c r="I1262" s="17">
        <v>0</v>
      </c>
      <c r="J1262" s="17">
        <v>0</v>
      </c>
      <c r="K1262" s="17">
        <v>0</v>
      </c>
      <c r="L1262" s="17">
        <v>0</v>
      </c>
      <c r="M1262" s="17">
        <v>0</v>
      </c>
      <c r="N1262" s="17">
        <v>0</v>
      </c>
      <c r="O1262" s="17">
        <v>0</v>
      </c>
      <c r="P1262" s="17">
        <v>0</v>
      </c>
      <c r="Q1262" s="17">
        <v>0</v>
      </c>
      <c r="R1262" s="17">
        <v>0</v>
      </c>
      <c r="S1262" s="17"/>
      <c r="T1262" s="17" t="s">
        <v>3006</v>
      </c>
      <c r="U1262" s="17" t="s">
        <v>3060</v>
      </c>
      <c r="V1262" s="17" t="s">
        <v>3058</v>
      </c>
      <c r="W1262" s="17"/>
      <c r="X1262" s="17"/>
    </row>
    <row r="1263" spans="1:24" hidden="1">
      <c r="A1263" s="18">
        <v>1262</v>
      </c>
      <c r="B1263" s="17" t="s">
        <v>2591</v>
      </c>
      <c r="C1263" s="17" t="s">
        <v>2592</v>
      </c>
      <c r="D1263" s="17" t="s">
        <v>17</v>
      </c>
      <c r="E1263" s="17" t="s">
        <v>8</v>
      </c>
      <c r="F1263" s="17">
        <v>0</v>
      </c>
      <c r="G1263" s="17">
        <v>0</v>
      </c>
      <c r="H1263" s="17">
        <v>0</v>
      </c>
      <c r="I1263" s="17">
        <v>0</v>
      </c>
      <c r="J1263" s="17">
        <v>0</v>
      </c>
      <c r="K1263" s="17">
        <v>0</v>
      </c>
      <c r="L1263" s="17">
        <v>0</v>
      </c>
      <c r="M1263" s="17">
        <v>0</v>
      </c>
      <c r="N1263" s="17">
        <v>0</v>
      </c>
      <c r="O1263" s="17">
        <v>0</v>
      </c>
      <c r="P1263" s="17">
        <v>0</v>
      </c>
      <c r="Q1263" s="17">
        <v>0</v>
      </c>
      <c r="R1263" s="17">
        <v>0</v>
      </c>
      <c r="S1263" s="17"/>
      <c r="T1263" s="17" t="s">
        <v>2972</v>
      </c>
      <c r="U1263" s="17" t="s">
        <v>3057</v>
      </c>
      <c r="V1263" s="17" t="s">
        <v>3058</v>
      </c>
      <c r="W1263" s="17"/>
      <c r="X1263" s="17"/>
    </row>
    <row r="1264" spans="1:24" hidden="1">
      <c r="A1264" s="18">
        <v>1263</v>
      </c>
      <c r="B1264" s="17" t="s">
        <v>2799</v>
      </c>
      <c r="C1264" s="17" t="s">
        <v>2800</v>
      </c>
      <c r="D1264" s="17" t="s">
        <v>7</v>
      </c>
      <c r="E1264" s="17" t="s">
        <v>8</v>
      </c>
      <c r="F1264" s="17">
        <v>0</v>
      </c>
      <c r="G1264" s="17">
        <v>0</v>
      </c>
      <c r="H1264" s="17">
        <v>0</v>
      </c>
      <c r="I1264" s="17">
        <v>0</v>
      </c>
      <c r="J1264" s="17">
        <v>0</v>
      </c>
      <c r="K1264" s="17">
        <v>0</v>
      </c>
      <c r="L1264" s="17">
        <v>0</v>
      </c>
      <c r="M1264" s="17">
        <v>0</v>
      </c>
      <c r="N1264" s="17">
        <v>0</v>
      </c>
      <c r="O1264" s="17">
        <v>0</v>
      </c>
      <c r="P1264" s="17">
        <v>0</v>
      </c>
      <c r="Q1264" s="17">
        <v>0</v>
      </c>
      <c r="R1264" s="17">
        <v>0</v>
      </c>
      <c r="S1264" s="17"/>
      <c r="T1264" s="17" t="s">
        <v>2965</v>
      </c>
      <c r="U1264" s="17" t="s">
        <v>3055</v>
      </c>
      <c r="V1264" s="17" t="s">
        <v>3056</v>
      </c>
      <c r="W1264" s="17"/>
      <c r="X1264" s="17"/>
    </row>
    <row r="1265" spans="1:24" hidden="1">
      <c r="A1265" s="18">
        <v>1264</v>
      </c>
      <c r="B1265" s="17" t="s">
        <v>2801</v>
      </c>
      <c r="C1265" s="17" t="s">
        <v>2802</v>
      </c>
      <c r="D1265" s="17" t="s">
        <v>17</v>
      </c>
      <c r="E1265" s="17" t="s">
        <v>8</v>
      </c>
      <c r="F1265" s="17">
        <v>1300</v>
      </c>
      <c r="G1265" s="17">
        <v>0</v>
      </c>
      <c r="H1265" s="17">
        <v>75</v>
      </c>
      <c r="I1265" s="17">
        <v>1225</v>
      </c>
      <c r="J1265" s="17">
        <v>0</v>
      </c>
      <c r="K1265" s="17">
        <v>0</v>
      </c>
      <c r="L1265" s="17">
        <v>1225</v>
      </c>
      <c r="M1265" s="17">
        <v>0</v>
      </c>
      <c r="N1265" s="17">
        <v>0</v>
      </c>
      <c r="O1265" s="17">
        <v>1225</v>
      </c>
      <c r="P1265" s="17">
        <v>500</v>
      </c>
      <c r="Q1265" s="17">
        <v>725</v>
      </c>
      <c r="R1265" s="17">
        <v>0</v>
      </c>
      <c r="S1265" s="17"/>
      <c r="T1265" s="17" t="s">
        <v>2972</v>
      </c>
      <c r="U1265" s="17" t="s">
        <v>3055</v>
      </c>
      <c r="V1265" s="17" t="s">
        <v>3056</v>
      </c>
      <c r="W1265" s="17"/>
      <c r="X1265" s="17"/>
    </row>
    <row r="1266" spans="1:24" hidden="1">
      <c r="A1266" s="18">
        <v>1265</v>
      </c>
      <c r="B1266" s="17" t="s">
        <v>2621</v>
      </c>
      <c r="C1266" s="17" t="s">
        <v>2622</v>
      </c>
      <c r="D1266" s="17" t="s">
        <v>20</v>
      </c>
      <c r="E1266" s="17" t="s">
        <v>8</v>
      </c>
      <c r="F1266" s="17">
        <v>181.39</v>
      </c>
      <c r="G1266" s="17">
        <v>403.2</v>
      </c>
      <c r="H1266" s="17">
        <v>214</v>
      </c>
      <c r="I1266" s="17">
        <v>370.59</v>
      </c>
      <c r="J1266" s="17">
        <v>0</v>
      </c>
      <c r="K1266" s="17">
        <v>0</v>
      </c>
      <c r="L1266" s="17">
        <v>370.59</v>
      </c>
      <c r="M1266" s="17">
        <v>0</v>
      </c>
      <c r="N1266" s="17">
        <v>0</v>
      </c>
      <c r="O1266" s="17">
        <v>370.59</v>
      </c>
      <c r="P1266" s="17">
        <v>200</v>
      </c>
      <c r="Q1266" s="17">
        <v>170.58999999999997</v>
      </c>
      <c r="R1266" s="17">
        <v>400</v>
      </c>
      <c r="S1266" s="17"/>
      <c r="T1266" s="17" t="s">
        <v>3031</v>
      </c>
      <c r="U1266" s="17" t="s">
        <v>3057</v>
      </c>
      <c r="V1266" s="17" t="s">
        <v>3056</v>
      </c>
      <c r="W1266" s="17"/>
      <c r="X1266" s="17"/>
    </row>
    <row r="1267" spans="1:24" hidden="1">
      <c r="A1267" s="18">
        <v>1266</v>
      </c>
      <c r="B1267" s="17" t="s">
        <v>2805</v>
      </c>
      <c r="C1267" s="17" t="s">
        <v>2806</v>
      </c>
      <c r="D1267" s="17" t="s">
        <v>17</v>
      </c>
      <c r="E1267" s="17" t="s">
        <v>8</v>
      </c>
      <c r="F1267" s="17">
        <v>5500</v>
      </c>
      <c r="G1267" s="17">
        <v>0</v>
      </c>
      <c r="H1267" s="17">
        <v>100</v>
      </c>
      <c r="I1267" s="17">
        <v>5400</v>
      </c>
      <c r="J1267" s="17">
        <v>0</v>
      </c>
      <c r="K1267" s="17">
        <v>0</v>
      </c>
      <c r="L1267" s="17">
        <v>5400</v>
      </c>
      <c r="M1267" s="17">
        <v>0</v>
      </c>
      <c r="N1267" s="17">
        <v>0</v>
      </c>
      <c r="O1267" s="17">
        <v>5400</v>
      </c>
      <c r="P1267" s="17">
        <v>1000</v>
      </c>
      <c r="Q1267" s="17">
        <v>4400</v>
      </c>
      <c r="R1267" s="17">
        <v>0</v>
      </c>
      <c r="S1267" s="17"/>
      <c r="T1267" s="17" t="s">
        <v>2972</v>
      </c>
      <c r="U1267" s="17" t="s">
        <v>3055</v>
      </c>
      <c r="V1267" s="17" t="s">
        <v>3056</v>
      </c>
      <c r="W1267" s="17"/>
      <c r="X1267" s="17"/>
    </row>
    <row r="1268" spans="1:24" hidden="1">
      <c r="A1268" s="18">
        <v>1267</v>
      </c>
      <c r="B1268" s="17" t="s">
        <v>2627</v>
      </c>
      <c r="C1268" s="17" t="s">
        <v>2628</v>
      </c>
      <c r="D1268" s="17" t="s">
        <v>17</v>
      </c>
      <c r="E1268" s="17" t="s">
        <v>8</v>
      </c>
      <c r="F1268" s="17">
        <v>0</v>
      </c>
      <c r="G1268" s="17">
        <v>0</v>
      </c>
      <c r="H1268" s="17">
        <v>0</v>
      </c>
      <c r="I1268" s="17">
        <v>0</v>
      </c>
      <c r="J1268" s="17">
        <v>0</v>
      </c>
      <c r="K1268" s="17">
        <v>0</v>
      </c>
      <c r="L1268" s="17">
        <v>0</v>
      </c>
      <c r="M1268" s="17">
        <v>0</v>
      </c>
      <c r="N1268" s="17">
        <v>0</v>
      </c>
      <c r="O1268" s="17">
        <v>0</v>
      </c>
      <c r="P1268" s="17">
        <v>0</v>
      </c>
      <c r="Q1268" s="17">
        <v>0</v>
      </c>
      <c r="R1268" s="17">
        <v>0</v>
      </c>
      <c r="S1268" s="17"/>
      <c r="T1268" s="17" t="s">
        <v>2972</v>
      </c>
      <c r="U1268" s="17" t="s">
        <v>3057</v>
      </c>
      <c r="V1268" s="17" t="s">
        <v>3056</v>
      </c>
      <c r="W1268" s="17"/>
      <c r="X1268" s="17"/>
    </row>
    <row r="1269" spans="1:24" hidden="1">
      <c r="A1269" s="18">
        <v>1268</v>
      </c>
      <c r="B1269" s="17" t="s">
        <v>2629</v>
      </c>
      <c r="C1269" s="17" t="s">
        <v>2630</v>
      </c>
      <c r="D1269" s="17" t="s">
        <v>20</v>
      </c>
      <c r="E1269" s="17" t="s">
        <v>8</v>
      </c>
      <c r="F1269" s="17">
        <v>0</v>
      </c>
      <c r="G1269" s="17">
        <v>0</v>
      </c>
      <c r="H1269" s="17">
        <v>0</v>
      </c>
      <c r="I1269" s="17">
        <v>0</v>
      </c>
      <c r="J1269" s="17">
        <v>0</v>
      </c>
      <c r="K1269" s="17">
        <v>0</v>
      </c>
      <c r="L1269" s="17">
        <v>0</v>
      </c>
      <c r="M1269" s="17">
        <v>0</v>
      </c>
      <c r="N1269" s="17">
        <v>0</v>
      </c>
      <c r="O1269" s="17">
        <v>0</v>
      </c>
      <c r="P1269" s="17">
        <v>0</v>
      </c>
      <c r="Q1269" s="17">
        <v>0</v>
      </c>
      <c r="R1269" s="17">
        <v>0</v>
      </c>
      <c r="S1269" s="17"/>
      <c r="T1269" s="17" t="s">
        <v>2991</v>
      </c>
      <c r="U1269" s="17" t="s">
        <v>3057</v>
      </c>
      <c r="V1269" s="17" t="s">
        <v>3056</v>
      </c>
      <c r="W1269" s="17"/>
      <c r="X1269" s="17"/>
    </row>
    <row r="1270" spans="1:24" hidden="1">
      <c r="A1270" s="18">
        <v>1269</v>
      </c>
      <c r="B1270" s="17" t="s">
        <v>2631</v>
      </c>
      <c r="C1270" s="17" t="s">
        <v>2632</v>
      </c>
      <c r="D1270" s="17" t="s">
        <v>17</v>
      </c>
      <c r="E1270" s="17" t="s">
        <v>8</v>
      </c>
      <c r="F1270" s="17">
        <v>0</v>
      </c>
      <c r="G1270" s="17">
        <v>0</v>
      </c>
      <c r="H1270" s="17">
        <v>0</v>
      </c>
      <c r="I1270" s="17">
        <v>0</v>
      </c>
      <c r="J1270" s="17">
        <v>0</v>
      </c>
      <c r="K1270" s="17">
        <v>0</v>
      </c>
      <c r="L1270" s="17">
        <v>0</v>
      </c>
      <c r="M1270" s="17">
        <v>0</v>
      </c>
      <c r="N1270" s="17">
        <v>0</v>
      </c>
      <c r="O1270" s="17">
        <v>0</v>
      </c>
      <c r="P1270" s="17">
        <v>0</v>
      </c>
      <c r="Q1270" s="17">
        <v>0</v>
      </c>
      <c r="R1270" s="17">
        <v>0</v>
      </c>
      <c r="S1270" s="17"/>
      <c r="T1270" s="17" t="s">
        <v>2972</v>
      </c>
      <c r="U1270" s="17" t="s">
        <v>3057</v>
      </c>
      <c r="V1270" s="17" t="s">
        <v>3056</v>
      </c>
      <c r="W1270" s="17"/>
      <c r="X1270" s="17"/>
    </row>
    <row r="1271" spans="1:24" hidden="1">
      <c r="A1271" s="18">
        <v>1270</v>
      </c>
      <c r="B1271" s="17" t="s">
        <v>2633</v>
      </c>
      <c r="C1271" s="17" t="s">
        <v>2634</v>
      </c>
      <c r="D1271" s="17" t="s">
        <v>17</v>
      </c>
      <c r="E1271" s="17" t="s">
        <v>8</v>
      </c>
      <c r="F1271" s="17">
        <v>0</v>
      </c>
      <c r="G1271" s="17">
        <v>0</v>
      </c>
      <c r="H1271" s="17">
        <v>0</v>
      </c>
      <c r="I1271" s="17">
        <v>0</v>
      </c>
      <c r="J1271" s="17">
        <v>0</v>
      </c>
      <c r="K1271" s="17">
        <v>0</v>
      </c>
      <c r="L1271" s="17">
        <v>0</v>
      </c>
      <c r="M1271" s="17">
        <v>0</v>
      </c>
      <c r="N1271" s="17">
        <v>0</v>
      </c>
      <c r="O1271" s="17">
        <v>0</v>
      </c>
      <c r="P1271" s="17">
        <v>0</v>
      </c>
      <c r="Q1271" s="17">
        <v>0</v>
      </c>
      <c r="R1271" s="17">
        <v>0</v>
      </c>
      <c r="S1271" s="17"/>
      <c r="T1271" s="17" t="s">
        <v>2972</v>
      </c>
      <c r="U1271" s="17" t="s">
        <v>3057</v>
      </c>
      <c r="V1271" s="17" t="s">
        <v>3056</v>
      </c>
      <c r="W1271" s="17"/>
      <c r="X1271" s="17"/>
    </row>
    <row r="1272" spans="1:24" hidden="1">
      <c r="A1272" s="18">
        <v>1271</v>
      </c>
      <c r="B1272" s="17" t="s">
        <v>2635</v>
      </c>
      <c r="C1272" s="17" t="s">
        <v>2636</v>
      </c>
      <c r="D1272" s="17" t="s">
        <v>17</v>
      </c>
      <c r="E1272" s="17" t="s">
        <v>8</v>
      </c>
      <c r="F1272" s="17">
        <v>0</v>
      </c>
      <c r="G1272" s="17">
        <v>0</v>
      </c>
      <c r="H1272" s="17">
        <v>0</v>
      </c>
      <c r="I1272" s="17">
        <v>0</v>
      </c>
      <c r="J1272" s="17">
        <v>0</v>
      </c>
      <c r="K1272" s="17">
        <v>0</v>
      </c>
      <c r="L1272" s="17">
        <v>0</v>
      </c>
      <c r="M1272" s="17">
        <v>0</v>
      </c>
      <c r="N1272" s="17">
        <v>0</v>
      </c>
      <c r="O1272" s="17">
        <v>0</v>
      </c>
      <c r="P1272" s="17">
        <v>0</v>
      </c>
      <c r="Q1272" s="17">
        <v>0</v>
      </c>
      <c r="R1272" s="17">
        <v>0</v>
      </c>
      <c r="S1272" s="17"/>
      <c r="T1272" s="17" t="s">
        <v>2972</v>
      </c>
      <c r="U1272" s="17" t="s">
        <v>3057</v>
      </c>
      <c r="V1272" s="17" t="s">
        <v>3056</v>
      </c>
      <c r="W1272" s="17"/>
      <c r="X1272" s="17"/>
    </row>
    <row r="1273" spans="1:24" hidden="1">
      <c r="A1273" s="18">
        <v>1272</v>
      </c>
      <c r="B1273" s="17" t="s">
        <v>2791</v>
      </c>
      <c r="C1273" s="17" t="s">
        <v>2792</v>
      </c>
      <c r="D1273" s="17" t="s">
        <v>7</v>
      </c>
      <c r="E1273" s="17" t="s">
        <v>8</v>
      </c>
      <c r="F1273" s="17">
        <v>186700</v>
      </c>
      <c r="G1273" s="17">
        <v>0</v>
      </c>
      <c r="H1273" s="17">
        <v>66500</v>
      </c>
      <c r="I1273" s="17">
        <v>120200</v>
      </c>
      <c r="J1273" s="17">
        <v>0</v>
      </c>
      <c r="K1273" s="17">
        <v>0</v>
      </c>
      <c r="L1273" s="17">
        <v>120200</v>
      </c>
      <c r="M1273" s="17">
        <v>0</v>
      </c>
      <c r="N1273" s="17">
        <v>0</v>
      </c>
      <c r="O1273" s="17">
        <v>120200</v>
      </c>
      <c r="P1273" s="17">
        <v>40000</v>
      </c>
      <c r="Q1273" s="17">
        <v>80200</v>
      </c>
      <c r="R1273" s="17">
        <v>0</v>
      </c>
      <c r="S1273" s="17"/>
      <c r="T1273" s="17" t="s">
        <v>2972</v>
      </c>
      <c r="U1273" s="17" t="s">
        <v>3057</v>
      </c>
      <c r="V1273" s="17" t="s">
        <v>3056</v>
      </c>
      <c r="W1273" s="17"/>
      <c r="X1273" s="17"/>
    </row>
    <row r="1274" spans="1:24" hidden="1">
      <c r="A1274" s="18">
        <v>1273</v>
      </c>
      <c r="B1274" s="17" t="s">
        <v>2797</v>
      </c>
      <c r="C1274" s="17" t="s">
        <v>2798</v>
      </c>
      <c r="D1274" s="17" t="s">
        <v>17</v>
      </c>
      <c r="E1274" s="17" t="s">
        <v>8</v>
      </c>
      <c r="F1274" s="17">
        <v>121765</v>
      </c>
      <c r="G1274" s="17">
        <v>0</v>
      </c>
      <c r="H1274" s="17">
        <v>39984</v>
      </c>
      <c r="I1274" s="17">
        <v>81781</v>
      </c>
      <c r="J1274" s="17">
        <v>0</v>
      </c>
      <c r="K1274" s="17">
        <v>0</v>
      </c>
      <c r="L1274" s="17">
        <v>81781</v>
      </c>
      <c r="M1274" s="17">
        <v>0</v>
      </c>
      <c r="N1274" s="17">
        <v>0</v>
      </c>
      <c r="O1274" s="17">
        <v>81781</v>
      </c>
      <c r="P1274" s="17">
        <v>50000</v>
      </c>
      <c r="Q1274" s="17">
        <v>31781</v>
      </c>
      <c r="R1274" s="17">
        <v>0</v>
      </c>
      <c r="S1274" s="17"/>
      <c r="T1274" s="17" t="s">
        <v>2972</v>
      </c>
      <c r="U1274" s="17" t="s">
        <v>3057</v>
      </c>
      <c r="V1274" s="17" t="s">
        <v>3056</v>
      </c>
      <c r="W1274" s="17"/>
      <c r="X1274" s="17"/>
    </row>
    <row r="1275" spans="1:24" hidden="1">
      <c r="A1275" s="18">
        <v>1274</v>
      </c>
      <c r="B1275" s="17" t="s">
        <v>2807</v>
      </c>
      <c r="C1275" s="17" t="s">
        <v>2808</v>
      </c>
      <c r="D1275" s="17" t="s">
        <v>17</v>
      </c>
      <c r="E1275" s="17" t="s">
        <v>8</v>
      </c>
      <c r="F1275" s="17">
        <v>150</v>
      </c>
      <c r="G1275" s="17">
        <v>0</v>
      </c>
      <c r="H1275" s="17">
        <v>100</v>
      </c>
      <c r="I1275" s="17">
        <v>50</v>
      </c>
      <c r="J1275" s="17">
        <v>0</v>
      </c>
      <c r="K1275" s="17">
        <v>0</v>
      </c>
      <c r="L1275" s="17">
        <v>50</v>
      </c>
      <c r="M1275" s="17">
        <v>0</v>
      </c>
      <c r="N1275" s="17">
        <v>0</v>
      </c>
      <c r="O1275" s="17">
        <v>50</v>
      </c>
      <c r="P1275" s="17">
        <v>0</v>
      </c>
      <c r="Q1275" s="17">
        <v>50</v>
      </c>
      <c r="R1275" s="17">
        <v>0</v>
      </c>
      <c r="S1275" s="17"/>
      <c r="T1275" s="17" t="s">
        <v>2991</v>
      </c>
      <c r="U1275" s="17" t="s">
        <v>3057</v>
      </c>
      <c r="V1275" s="17" t="s">
        <v>3056</v>
      </c>
      <c r="W1275" s="17"/>
      <c r="X1275" s="17"/>
    </row>
    <row r="1276" spans="1:24" hidden="1">
      <c r="A1276" s="18">
        <v>1275</v>
      </c>
      <c r="B1276" s="17" t="s">
        <v>2809</v>
      </c>
      <c r="C1276" s="17" t="s">
        <v>2810</v>
      </c>
      <c r="D1276" s="17" t="s">
        <v>17</v>
      </c>
      <c r="E1276" s="17" t="s">
        <v>8</v>
      </c>
      <c r="F1276" s="17">
        <v>1000</v>
      </c>
      <c r="G1276" s="17">
        <v>0</v>
      </c>
      <c r="H1276" s="17">
        <v>0</v>
      </c>
      <c r="I1276" s="17">
        <v>1000</v>
      </c>
      <c r="J1276" s="17">
        <v>0</v>
      </c>
      <c r="K1276" s="17">
        <v>0</v>
      </c>
      <c r="L1276" s="17">
        <v>1000</v>
      </c>
      <c r="M1276" s="17">
        <v>0</v>
      </c>
      <c r="N1276" s="17">
        <v>0</v>
      </c>
      <c r="O1276" s="17">
        <v>1000</v>
      </c>
      <c r="P1276" s="17">
        <v>0</v>
      </c>
      <c r="Q1276" s="17">
        <v>1000</v>
      </c>
      <c r="R1276" s="17">
        <v>0</v>
      </c>
      <c r="S1276" s="17"/>
      <c r="T1276" s="17" t="s">
        <v>3052</v>
      </c>
      <c r="U1276" s="17" t="s">
        <v>3057</v>
      </c>
      <c r="V1276" s="17" t="s">
        <v>3056</v>
      </c>
      <c r="W1276" s="17"/>
      <c r="X1276" s="17"/>
    </row>
    <row r="1277" spans="1:24" hidden="1">
      <c r="A1277" s="18">
        <v>1276</v>
      </c>
      <c r="B1277" s="17" t="s">
        <v>2811</v>
      </c>
      <c r="C1277" s="17" t="s">
        <v>2812</v>
      </c>
      <c r="D1277" s="17" t="s">
        <v>17</v>
      </c>
      <c r="E1277" s="17" t="s">
        <v>8</v>
      </c>
      <c r="F1277" s="17">
        <v>250</v>
      </c>
      <c r="G1277" s="17">
        <v>0</v>
      </c>
      <c r="H1277" s="17">
        <v>100</v>
      </c>
      <c r="I1277" s="17">
        <v>150</v>
      </c>
      <c r="J1277" s="17">
        <v>0</v>
      </c>
      <c r="K1277" s="17">
        <v>0</v>
      </c>
      <c r="L1277" s="17">
        <v>150</v>
      </c>
      <c r="M1277" s="17">
        <v>0</v>
      </c>
      <c r="N1277" s="17">
        <v>0</v>
      </c>
      <c r="O1277" s="17">
        <v>150</v>
      </c>
      <c r="P1277" s="17">
        <v>250</v>
      </c>
      <c r="Q1277" s="17">
        <v>-100</v>
      </c>
      <c r="R1277" s="17">
        <v>0</v>
      </c>
      <c r="S1277" s="17"/>
      <c r="T1277" s="17" t="s">
        <v>3012</v>
      </c>
      <c r="U1277" s="17" t="s">
        <v>3057</v>
      </c>
      <c r="V1277" s="17" t="s">
        <v>3056</v>
      </c>
      <c r="W1277" s="17"/>
      <c r="X1277" s="17"/>
    </row>
    <row r="1278" spans="1:24" hidden="1">
      <c r="A1278" s="18">
        <v>1277</v>
      </c>
      <c r="B1278" s="17" t="s">
        <v>2813</v>
      </c>
      <c r="C1278" s="17" t="s">
        <v>2814</v>
      </c>
      <c r="D1278" s="17" t="s">
        <v>17</v>
      </c>
      <c r="E1278" s="17" t="s">
        <v>8</v>
      </c>
      <c r="F1278" s="17">
        <v>600</v>
      </c>
      <c r="G1278" s="17">
        <v>0</v>
      </c>
      <c r="H1278" s="17">
        <v>100</v>
      </c>
      <c r="I1278" s="17">
        <v>500</v>
      </c>
      <c r="J1278" s="17">
        <v>0</v>
      </c>
      <c r="K1278" s="17">
        <v>0</v>
      </c>
      <c r="L1278" s="17">
        <v>500</v>
      </c>
      <c r="M1278" s="17">
        <v>0</v>
      </c>
      <c r="N1278" s="17">
        <v>0</v>
      </c>
      <c r="O1278" s="17">
        <v>500</v>
      </c>
      <c r="P1278" s="17">
        <v>1000</v>
      </c>
      <c r="Q1278" s="17">
        <v>-500</v>
      </c>
      <c r="R1278" s="17">
        <v>0</v>
      </c>
      <c r="S1278" s="17"/>
      <c r="T1278" s="17" t="s">
        <v>3012</v>
      </c>
      <c r="U1278" s="17" t="s">
        <v>3057</v>
      </c>
      <c r="V1278" s="17" t="s">
        <v>3056</v>
      </c>
      <c r="W1278" s="17"/>
      <c r="X1278" s="17"/>
    </row>
    <row r="1279" spans="1:24" hidden="1">
      <c r="A1279" s="18">
        <v>1278</v>
      </c>
      <c r="B1279" s="17" t="s">
        <v>2817</v>
      </c>
      <c r="C1279" s="17" t="s">
        <v>2818</v>
      </c>
      <c r="D1279" s="17" t="s">
        <v>17</v>
      </c>
      <c r="E1279" s="17" t="s">
        <v>8</v>
      </c>
      <c r="F1279" s="17">
        <v>0</v>
      </c>
      <c r="G1279" s="17">
        <v>0</v>
      </c>
      <c r="H1279" s="17">
        <v>0</v>
      </c>
      <c r="I1279" s="17">
        <v>0</v>
      </c>
      <c r="J1279" s="17">
        <v>0</v>
      </c>
      <c r="K1279" s="17">
        <v>0</v>
      </c>
      <c r="L1279" s="17">
        <v>0</v>
      </c>
      <c r="M1279" s="17">
        <v>0</v>
      </c>
      <c r="N1279" s="17">
        <v>0</v>
      </c>
      <c r="O1279" s="17">
        <v>0</v>
      </c>
      <c r="P1279" s="17">
        <v>1000</v>
      </c>
      <c r="Q1279" s="17">
        <v>-1000</v>
      </c>
      <c r="R1279" s="17">
        <v>0</v>
      </c>
      <c r="S1279" s="17"/>
      <c r="T1279" s="17" t="s">
        <v>3012</v>
      </c>
      <c r="U1279" s="17" t="s">
        <v>3057</v>
      </c>
      <c r="V1279" s="17" t="s">
        <v>3056</v>
      </c>
      <c r="W1279" s="17"/>
      <c r="X1279" s="17"/>
    </row>
    <row r="1280" spans="1:24" hidden="1">
      <c r="A1280" s="18">
        <v>1279</v>
      </c>
      <c r="B1280" s="17" t="s">
        <v>2819</v>
      </c>
      <c r="C1280" s="17" t="s">
        <v>2820</v>
      </c>
      <c r="D1280" s="17" t="s">
        <v>17</v>
      </c>
      <c r="E1280" s="17" t="s">
        <v>8</v>
      </c>
      <c r="F1280" s="17">
        <v>300</v>
      </c>
      <c r="G1280" s="17">
        <v>0</v>
      </c>
      <c r="H1280" s="17">
        <v>0</v>
      </c>
      <c r="I1280" s="17">
        <v>300</v>
      </c>
      <c r="J1280" s="17">
        <v>0</v>
      </c>
      <c r="K1280" s="17">
        <v>0</v>
      </c>
      <c r="L1280" s="17">
        <v>300</v>
      </c>
      <c r="M1280" s="17">
        <v>0</v>
      </c>
      <c r="N1280" s="17">
        <v>0</v>
      </c>
      <c r="O1280" s="17">
        <v>300</v>
      </c>
      <c r="P1280" s="17">
        <v>200</v>
      </c>
      <c r="Q1280" s="17">
        <v>100</v>
      </c>
      <c r="R1280" s="17">
        <v>0</v>
      </c>
      <c r="S1280" s="17"/>
      <c r="T1280" s="17" t="s">
        <v>3012</v>
      </c>
      <c r="U1280" s="17" t="s">
        <v>3057</v>
      </c>
      <c r="V1280" s="17" t="s">
        <v>3056</v>
      </c>
      <c r="W1280" s="17"/>
      <c r="X1280" s="17"/>
    </row>
    <row r="1281" spans="1:24" hidden="1">
      <c r="A1281" s="18">
        <v>1280</v>
      </c>
      <c r="B1281" s="17" t="s">
        <v>2821</v>
      </c>
      <c r="C1281" s="17" t="s">
        <v>2822</v>
      </c>
      <c r="D1281" s="17" t="s">
        <v>17</v>
      </c>
      <c r="E1281" s="17" t="s">
        <v>8</v>
      </c>
      <c r="F1281" s="17">
        <v>0</v>
      </c>
      <c r="G1281" s="17">
        <v>300</v>
      </c>
      <c r="H1281" s="17">
        <v>300</v>
      </c>
      <c r="I1281" s="17">
        <v>0</v>
      </c>
      <c r="J1281" s="17">
        <v>0</v>
      </c>
      <c r="K1281" s="17">
        <v>0</v>
      </c>
      <c r="L1281" s="17">
        <v>0</v>
      </c>
      <c r="M1281" s="17">
        <v>0</v>
      </c>
      <c r="N1281" s="17">
        <v>0</v>
      </c>
      <c r="O1281" s="17">
        <v>0</v>
      </c>
      <c r="P1281" s="17">
        <v>1500</v>
      </c>
      <c r="Q1281" s="17">
        <v>-1500</v>
      </c>
      <c r="R1281" s="17">
        <v>0</v>
      </c>
      <c r="S1281" s="17"/>
      <c r="T1281" s="17" t="s">
        <v>3012</v>
      </c>
      <c r="U1281" s="17" t="s">
        <v>3057</v>
      </c>
      <c r="V1281" s="17" t="s">
        <v>3056</v>
      </c>
      <c r="W1281" s="17"/>
      <c r="X1281" s="17"/>
    </row>
    <row r="1282" spans="1:24" hidden="1">
      <c r="A1282" s="18">
        <v>1281</v>
      </c>
      <c r="B1282" s="17" t="s">
        <v>2825</v>
      </c>
      <c r="C1282" s="17" t="s">
        <v>2826</v>
      </c>
      <c r="D1282" s="17" t="s">
        <v>17</v>
      </c>
      <c r="E1282" s="17" t="s">
        <v>8</v>
      </c>
      <c r="F1282" s="17">
        <v>800</v>
      </c>
      <c r="G1282" s="17">
        <v>0</v>
      </c>
      <c r="H1282" s="17">
        <v>800</v>
      </c>
      <c r="I1282" s="17">
        <v>0</v>
      </c>
      <c r="J1282" s="17">
        <v>0</v>
      </c>
      <c r="K1282" s="17">
        <v>0</v>
      </c>
      <c r="L1282" s="17">
        <v>0</v>
      </c>
      <c r="M1282" s="17">
        <v>0</v>
      </c>
      <c r="N1282" s="17">
        <v>0</v>
      </c>
      <c r="O1282" s="17">
        <v>0</v>
      </c>
      <c r="P1282" s="17">
        <v>1000</v>
      </c>
      <c r="Q1282" s="17">
        <v>-1000</v>
      </c>
      <c r="R1282" s="17">
        <v>0</v>
      </c>
      <c r="S1282" s="17"/>
      <c r="T1282" s="17" t="s">
        <v>3012</v>
      </c>
      <c r="U1282" s="17" t="s">
        <v>3057</v>
      </c>
      <c r="V1282" s="17" t="s">
        <v>3056</v>
      </c>
      <c r="W1282" s="17"/>
      <c r="X1282" s="17"/>
    </row>
    <row r="1283" spans="1:24" hidden="1">
      <c r="A1283" s="18">
        <v>1282</v>
      </c>
      <c r="B1283" s="17" t="s">
        <v>2827</v>
      </c>
      <c r="C1283" s="17" t="s">
        <v>2828</v>
      </c>
      <c r="D1283" s="17" t="s">
        <v>17</v>
      </c>
      <c r="E1283" s="17" t="s">
        <v>8</v>
      </c>
      <c r="F1283" s="17">
        <v>300</v>
      </c>
      <c r="G1283" s="17">
        <v>0</v>
      </c>
      <c r="H1283" s="17">
        <v>100</v>
      </c>
      <c r="I1283" s="17">
        <v>200</v>
      </c>
      <c r="J1283" s="17">
        <v>0</v>
      </c>
      <c r="K1283" s="17">
        <v>0</v>
      </c>
      <c r="L1283" s="17">
        <v>200</v>
      </c>
      <c r="M1283" s="17">
        <v>0</v>
      </c>
      <c r="N1283" s="17">
        <v>0</v>
      </c>
      <c r="O1283" s="17">
        <v>200</v>
      </c>
      <c r="P1283" s="17">
        <v>400</v>
      </c>
      <c r="Q1283" s="17">
        <v>-200</v>
      </c>
      <c r="R1283" s="17">
        <v>0</v>
      </c>
      <c r="S1283" s="17"/>
      <c r="T1283" s="17" t="s">
        <v>3012</v>
      </c>
      <c r="U1283" s="17" t="s">
        <v>3057</v>
      </c>
      <c r="V1283" s="17" t="s">
        <v>3056</v>
      </c>
      <c r="W1283" s="17"/>
      <c r="X1283" s="17"/>
    </row>
    <row r="1284" spans="1:24" hidden="1">
      <c r="A1284" s="18">
        <v>1283</v>
      </c>
      <c r="B1284" s="17" t="s">
        <v>2829</v>
      </c>
      <c r="C1284" s="17" t="s">
        <v>2830</v>
      </c>
      <c r="D1284" s="17" t="s">
        <v>17</v>
      </c>
      <c r="E1284" s="17" t="s">
        <v>8</v>
      </c>
      <c r="F1284" s="17">
        <v>200</v>
      </c>
      <c r="G1284" s="17">
        <v>0</v>
      </c>
      <c r="H1284" s="17">
        <v>200</v>
      </c>
      <c r="I1284" s="17">
        <v>0</v>
      </c>
      <c r="J1284" s="17">
        <v>0</v>
      </c>
      <c r="K1284" s="17">
        <v>0</v>
      </c>
      <c r="L1284" s="17">
        <v>0</v>
      </c>
      <c r="M1284" s="17">
        <v>0</v>
      </c>
      <c r="N1284" s="17">
        <v>0</v>
      </c>
      <c r="O1284" s="17">
        <v>0</v>
      </c>
      <c r="P1284" s="17">
        <v>1500</v>
      </c>
      <c r="Q1284" s="17">
        <v>-1500</v>
      </c>
      <c r="R1284" s="17">
        <v>0</v>
      </c>
      <c r="S1284" s="17"/>
      <c r="T1284" s="17" t="s">
        <v>3012</v>
      </c>
      <c r="U1284" s="17" t="s">
        <v>3057</v>
      </c>
      <c r="V1284" s="17" t="s">
        <v>3056</v>
      </c>
      <c r="W1284" s="17"/>
      <c r="X1284" s="17"/>
    </row>
    <row r="1285" spans="1:24" hidden="1">
      <c r="A1285" s="18">
        <v>1284</v>
      </c>
      <c r="B1285" s="17" t="s">
        <v>2831</v>
      </c>
      <c r="C1285" s="17" t="s">
        <v>2832</v>
      </c>
      <c r="D1285" s="17" t="s">
        <v>17</v>
      </c>
      <c r="E1285" s="17" t="s">
        <v>8</v>
      </c>
      <c r="F1285" s="17">
        <v>15</v>
      </c>
      <c r="G1285" s="17">
        <v>0</v>
      </c>
      <c r="H1285" s="17">
        <v>0</v>
      </c>
      <c r="I1285" s="17">
        <v>15</v>
      </c>
      <c r="J1285" s="17">
        <v>0</v>
      </c>
      <c r="K1285" s="17">
        <v>0</v>
      </c>
      <c r="L1285" s="17">
        <v>15</v>
      </c>
      <c r="M1285" s="17">
        <v>0</v>
      </c>
      <c r="N1285" s="17">
        <v>0</v>
      </c>
      <c r="O1285" s="17">
        <v>15</v>
      </c>
      <c r="P1285" s="17">
        <v>15</v>
      </c>
      <c r="Q1285" s="17">
        <v>0</v>
      </c>
      <c r="R1285" s="17">
        <v>10</v>
      </c>
      <c r="S1285" s="17"/>
      <c r="T1285" s="17" t="s">
        <v>3012</v>
      </c>
      <c r="U1285" s="17" t="s">
        <v>3057</v>
      </c>
      <c r="V1285" s="17" t="s">
        <v>3056</v>
      </c>
      <c r="W1285" s="17"/>
      <c r="X1285" s="17"/>
    </row>
    <row r="1286" spans="1:24" hidden="1">
      <c r="A1286" s="18">
        <v>1285</v>
      </c>
      <c r="B1286" s="17" t="s">
        <v>2833</v>
      </c>
      <c r="C1286" s="17" t="s">
        <v>2834</v>
      </c>
      <c r="D1286" s="17" t="s">
        <v>17</v>
      </c>
      <c r="E1286" s="17" t="s">
        <v>8</v>
      </c>
      <c r="F1286" s="17">
        <v>0</v>
      </c>
      <c r="G1286" s="17">
        <v>0</v>
      </c>
      <c r="H1286" s="17">
        <v>0</v>
      </c>
      <c r="I1286" s="17">
        <v>0</v>
      </c>
      <c r="J1286" s="17">
        <v>0</v>
      </c>
      <c r="K1286" s="17">
        <v>0</v>
      </c>
      <c r="L1286" s="17">
        <v>0</v>
      </c>
      <c r="M1286" s="17">
        <v>0</v>
      </c>
      <c r="N1286" s="17">
        <v>0</v>
      </c>
      <c r="O1286" s="17">
        <v>0</v>
      </c>
      <c r="P1286" s="17">
        <v>0</v>
      </c>
      <c r="Q1286" s="17">
        <v>0</v>
      </c>
      <c r="R1286" s="17">
        <v>0</v>
      </c>
      <c r="S1286" s="17"/>
      <c r="T1286" s="17" t="s">
        <v>3012</v>
      </c>
      <c r="U1286" s="17" t="s">
        <v>3057</v>
      </c>
      <c r="V1286" s="17" t="s">
        <v>3056</v>
      </c>
      <c r="W1286" s="17"/>
      <c r="X1286" s="17"/>
    </row>
    <row r="1287" spans="1:24" hidden="1">
      <c r="A1287" s="18">
        <v>1286</v>
      </c>
      <c r="B1287" s="17" t="s">
        <v>2841</v>
      </c>
      <c r="C1287" s="17" t="s">
        <v>2842</v>
      </c>
      <c r="D1287" s="17" t="s">
        <v>17</v>
      </c>
      <c r="E1287" s="17" t="s">
        <v>8</v>
      </c>
      <c r="F1287" s="17">
        <v>9</v>
      </c>
      <c r="G1287" s="17">
        <v>0</v>
      </c>
      <c r="H1287" s="17">
        <v>0</v>
      </c>
      <c r="I1287" s="17">
        <v>9</v>
      </c>
      <c r="J1287" s="17">
        <v>0</v>
      </c>
      <c r="K1287" s="17">
        <v>0</v>
      </c>
      <c r="L1287" s="17">
        <v>9</v>
      </c>
      <c r="M1287" s="17">
        <v>0</v>
      </c>
      <c r="N1287" s="17">
        <v>0</v>
      </c>
      <c r="O1287" s="17">
        <v>9</v>
      </c>
      <c r="P1287" s="17">
        <v>0</v>
      </c>
      <c r="Q1287" s="17">
        <v>9</v>
      </c>
      <c r="R1287" s="17">
        <v>0</v>
      </c>
      <c r="S1287" s="17"/>
      <c r="T1287" s="17" t="s">
        <v>3012</v>
      </c>
      <c r="U1287" s="17" t="s">
        <v>3057</v>
      </c>
      <c r="V1287" s="17" t="s">
        <v>3056</v>
      </c>
      <c r="W1287" s="17"/>
      <c r="X1287" s="17"/>
    </row>
    <row r="1288" spans="1:24" hidden="1">
      <c r="A1288" s="18">
        <v>1287</v>
      </c>
      <c r="B1288" s="17" t="s">
        <v>2843</v>
      </c>
      <c r="C1288" s="17" t="s">
        <v>2844</v>
      </c>
      <c r="D1288" s="17" t="s">
        <v>20</v>
      </c>
      <c r="E1288" s="17" t="s">
        <v>8</v>
      </c>
      <c r="F1288" s="17">
        <v>0</v>
      </c>
      <c r="G1288" s="17">
        <v>0</v>
      </c>
      <c r="H1288" s="17">
        <v>0</v>
      </c>
      <c r="I1288" s="17">
        <v>0</v>
      </c>
      <c r="J1288" s="17">
        <v>0</v>
      </c>
      <c r="K1288" s="17">
        <v>0</v>
      </c>
      <c r="L1288" s="17">
        <v>0</v>
      </c>
      <c r="M1288" s="17">
        <v>0</v>
      </c>
      <c r="N1288" s="17">
        <v>0</v>
      </c>
      <c r="O1288" s="17">
        <v>0</v>
      </c>
      <c r="P1288" s="17">
        <v>0</v>
      </c>
      <c r="Q1288" s="17">
        <v>0</v>
      </c>
      <c r="R1288" s="17">
        <v>0</v>
      </c>
      <c r="S1288" s="17"/>
      <c r="T1288" s="17" t="s">
        <v>3012</v>
      </c>
      <c r="U1288" s="17" t="s">
        <v>3057</v>
      </c>
      <c r="V1288" s="17" t="s">
        <v>3056</v>
      </c>
      <c r="W1288" s="17"/>
      <c r="X1288" s="17"/>
    </row>
    <row r="1289" spans="1:24" hidden="1">
      <c r="A1289" s="18">
        <v>1288</v>
      </c>
      <c r="B1289" s="17" t="s">
        <v>2845</v>
      </c>
      <c r="C1289" s="17" t="s">
        <v>2846</v>
      </c>
      <c r="D1289" s="17" t="s">
        <v>17</v>
      </c>
      <c r="E1289" s="17" t="s">
        <v>8</v>
      </c>
      <c r="F1289" s="17">
        <v>0</v>
      </c>
      <c r="G1289" s="17">
        <v>0</v>
      </c>
      <c r="H1289" s="17">
        <v>0</v>
      </c>
      <c r="I1289" s="17">
        <v>0</v>
      </c>
      <c r="J1289" s="17">
        <v>0</v>
      </c>
      <c r="K1289" s="17">
        <v>0</v>
      </c>
      <c r="L1289" s="17">
        <v>0</v>
      </c>
      <c r="M1289" s="17">
        <v>0</v>
      </c>
      <c r="N1289" s="17">
        <v>0</v>
      </c>
      <c r="O1289" s="17">
        <v>0</v>
      </c>
      <c r="P1289" s="17">
        <v>0</v>
      </c>
      <c r="Q1289" s="17">
        <v>0</v>
      </c>
      <c r="R1289" s="17">
        <v>0</v>
      </c>
      <c r="S1289" s="17"/>
      <c r="T1289" s="17" t="s">
        <v>3012</v>
      </c>
      <c r="U1289" s="17" t="s">
        <v>3057</v>
      </c>
      <c r="V1289" s="17" t="s">
        <v>3056</v>
      </c>
      <c r="W1289" s="17"/>
      <c r="X1289" s="17"/>
    </row>
    <row r="1290" spans="1:24" hidden="1">
      <c r="A1290" s="18">
        <v>1289</v>
      </c>
      <c r="B1290" s="17" t="s">
        <v>2847</v>
      </c>
      <c r="C1290" s="17" t="s">
        <v>2848</v>
      </c>
      <c r="D1290" s="17" t="s">
        <v>7</v>
      </c>
      <c r="E1290" s="17" t="s">
        <v>8</v>
      </c>
      <c r="F1290" s="17">
        <v>0</v>
      </c>
      <c r="G1290" s="17">
        <v>0</v>
      </c>
      <c r="H1290" s="17">
        <v>0</v>
      </c>
      <c r="I1290" s="17">
        <v>0</v>
      </c>
      <c r="J1290" s="17">
        <v>0</v>
      </c>
      <c r="K1290" s="17">
        <v>0</v>
      </c>
      <c r="L1290" s="17">
        <v>0</v>
      </c>
      <c r="M1290" s="17">
        <v>0</v>
      </c>
      <c r="N1290" s="17">
        <v>0</v>
      </c>
      <c r="O1290" s="17">
        <v>0</v>
      </c>
      <c r="P1290" s="17">
        <v>0</v>
      </c>
      <c r="Q1290" s="17">
        <v>0</v>
      </c>
      <c r="R1290" s="17">
        <v>0</v>
      </c>
      <c r="S1290" s="17"/>
      <c r="T1290" s="17" t="s">
        <v>3012</v>
      </c>
      <c r="U1290" s="17" t="s">
        <v>3057</v>
      </c>
      <c r="V1290" s="17" t="s">
        <v>3056</v>
      </c>
      <c r="W1290" s="17"/>
      <c r="X1290" s="17"/>
    </row>
    <row r="1291" spans="1:24" hidden="1">
      <c r="A1291" s="18">
        <v>1290</v>
      </c>
      <c r="B1291" s="17" t="s">
        <v>2849</v>
      </c>
      <c r="C1291" s="17" t="s">
        <v>2850</v>
      </c>
      <c r="D1291" s="17" t="s">
        <v>17</v>
      </c>
      <c r="E1291" s="17" t="s">
        <v>8</v>
      </c>
      <c r="F1291" s="17">
        <v>150</v>
      </c>
      <c r="G1291" s="17">
        <v>0</v>
      </c>
      <c r="H1291" s="17">
        <v>0</v>
      </c>
      <c r="I1291" s="17">
        <v>150</v>
      </c>
      <c r="J1291" s="17">
        <v>0</v>
      </c>
      <c r="K1291" s="17">
        <v>0</v>
      </c>
      <c r="L1291" s="17">
        <v>150</v>
      </c>
      <c r="M1291" s="17">
        <v>0</v>
      </c>
      <c r="N1291" s="17">
        <v>0</v>
      </c>
      <c r="O1291" s="17">
        <v>150</v>
      </c>
      <c r="P1291" s="17">
        <v>200</v>
      </c>
      <c r="Q1291" s="17">
        <v>-50</v>
      </c>
      <c r="R1291" s="17">
        <v>0</v>
      </c>
      <c r="S1291" s="17"/>
      <c r="T1291" s="17" t="s">
        <v>3012</v>
      </c>
      <c r="U1291" s="17" t="s">
        <v>3057</v>
      </c>
      <c r="V1291" s="17" t="s">
        <v>3056</v>
      </c>
      <c r="W1291" s="17"/>
      <c r="X1291" s="17"/>
    </row>
    <row r="1292" spans="1:24" hidden="1">
      <c r="A1292" s="18">
        <v>1291</v>
      </c>
      <c r="B1292" s="17" t="s">
        <v>2857</v>
      </c>
      <c r="C1292" s="17" t="s">
        <v>2858</v>
      </c>
      <c r="D1292" s="17" t="s">
        <v>7</v>
      </c>
      <c r="E1292" s="17" t="s">
        <v>8</v>
      </c>
      <c r="F1292" s="17">
        <v>1563</v>
      </c>
      <c r="G1292" s="17">
        <v>2802.5</v>
      </c>
      <c r="H1292" s="17">
        <v>867.5</v>
      </c>
      <c r="I1292" s="17">
        <v>3498</v>
      </c>
      <c r="J1292" s="17">
        <v>0</v>
      </c>
      <c r="K1292" s="17">
        <v>0</v>
      </c>
      <c r="L1292" s="17">
        <v>3498</v>
      </c>
      <c r="M1292" s="17">
        <v>0</v>
      </c>
      <c r="N1292" s="17">
        <v>0</v>
      </c>
      <c r="O1292" s="17">
        <v>3498</v>
      </c>
      <c r="P1292" s="17">
        <v>2000</v>
      </c>
      <c r="Q1292" s="17">
        <v>1498</v>
      </c>
      <c r="R1292" s="17">
        <v>3500</v>
      </c>
      <c r="S1292" s="17"/>
      <c r="T1292" s="17" t="s">
        <v>2965</v>
      </c>
      <c r="U1292" s="17" t="s">
        <v>3055</v>
      </c>
      <c r="V1292" s="17" t="s">
        <v>3056</v>
      </c>
      <c r="W1292" s="17"/>
      <c r="X1292" s="17"/>
    </row>
    <row r="1293" spans="1:24" hidden="1">
      <c r="A1293" s="18">
        <v>1292</v>
      </c>
      <c r="B1293" s="17" t="s">
        <v>2861</v>
      </c>
      <c r="C1293" s="17" t="s">
        <v>2862</v>
      </c>
      <c r="D1293" s="17" t="s">
        <v>7</v>
      </c>
      <c r="E1293" s="17" t="s">
        <v>8</v>
      </c>
      <c r="F1293" s="17">
        <v>3479</v>
      </c>
      <c r="G1293" s="17">
        <v>2029</v>
      </c>
      <c r="H1293" s="17">
        <v>509</v>
      </c>
      <c r="I1293" s="17">
        <v>4999</v>
      </c>
      <c r="J1293" s="17">
        <v>0</v>
      </c>
      <c r="K1293" s="17">
        <v>0</v>
      </c>
      <c r="L1293" s="17">
        <v>4999</v>
      </c>
      <c r="M1293" s="17">
        <v>0</v>
      </c>
      <c r="N1293" s="17">
        <v>0</v>
      </c>
      <c r="O1293" s="17">
        <v>4999</v>
      </c>
      <c r="P1293" s="17">
        <v>2000</v>
      </c>
      <c r="Q1293" s="17">
        <v>2999</v>
      </c>
      <c r="R1293" s="17">
        <v>2500</v>
      </c>
      <c r="S1293" s="17"/>
      <c r="T1293" s="17" t="s">
        <v>2965</v>
      </c>
      <c r="U1293" s="17" t="s">
        <v>3055</v>
      </c>
      <c r="V1293" s="17" t="s">
        <v>3056</v>
      </c>
      <c r="W1293" s="17"/>
      <c r="X1293" s="17"/>
    </row>
    <row r="1294" spans="1:24" hidden="1">
      <c r="A1294" s="18">
        <v>1293</v>
      </c>
      <c r="B1294" s="17" t="s">
        <v>2875</v>
      </c>
      <c r="C1294" s="17" t="s">
        <v>2876</v>
      </c>
      <c r="D1294" s="17" t="s">
        <v>7</v>
      </c>
      <c r="E1294" s="17" t="s">
        <v>8</v>
      </c>
      <c r="F1294" s="17">
        <v>8392.5</v>
      </c>
      <c r="G1294" s="17">
        <v>0</v>
      </c>
      <c r="H1294" s="17">
        <v>888</v>
      </c>
      <c r="I1294" s="17">
        <v>7504.5</v>
      </c>
      <c r="J1294" s="17">
        <v>0</v>
      </c>
      <c r="K1294" s="17">
        <v>0</v>
      </c>
      <c r="L1294" s="17">
        <v>7504.5</v>
      </c>
      <c r="M1294" s="17">
        <v>0</v>
      </c>
      <c r="N1294" s="17">
        <v>0</v>
      </c>
      <c r="O1294" s="17">
        <v>7504.5</v>
      </c>
      <c r="P1294" s="17">
        <v>2000</v>
      </c>
      <c r="Q1294" s="17">
        <v>5504.5</v>
      </c>
      <c r="R1294" s="17">
        <v>200</v>
      </c>
      <c r="S1294" s="17"/>
      <c r="T1294" s="17" t="s">
        <v>2965</v>
      </c>
      <c r="U1294" s="17" t="s">
        <v>3055</v>
      </c>
      <c r="V1294" s="17" t="s">
        <v>3056</v>
      </c>
      <c r="W1294" s="17"/>
      <c r="X1294" s="17"/>
    </row>
    <row r="1295" spans="1:24" hidden="1">
      <c r="A1295" s="18">
        <v>1294</v>
      </c>
      <c r="B1295" s="17" t="s">
        <v>2863</v>
      </c>
      <c r="C1295" s="17" t="s">
        <v>2864</v>
      </c>
      <c r="D1295" s="17" t="s">
        <v>7</v>
      </c>
      <c r="E1295" s="17" t="s">
        <v>8</v>
      </c>
      <c r="F1295" s="17">
        <v>0</v>
      </c>
      <c r="G1295" s="17">
        <v>0</v>
      </c>
      <c r="H1295" s="17">
        <v>0</v>
      </c>
      <c r="I1295" s="17">
        <v>0</v>
      </c>
      <c r="J1295" s="17">
        <v>0</v>
      </c>
      <c r="K1295" s="17">
        <v>0</v>
      </c>
      <c r="L1295" s="17">
        <v>0</v>
      </c>
      <c r="M1295" s="17">
        <v>0</v>
      </c>
      <c r="N1295" s="17">
        <v>0</v>
      </c>
      <c r="O1295" s="17">
        <v>0</v>
      </c>
      <c r="P1295" s="17">
        <v>0</v>
      </c>
      <c r="Q1295" s="17">
        <v>0</v>
      </c>
      <c r="R1295" s="17">
        <v>0</v>
      </c>
      <c r="S1295" s="17"/>
      <c r="T1295" s="17" t="s">
        <v>2965</v>
      </c>
      <c r="U1295" s="17" t="s">
        <v>3055</v>
      </c>
      <c r="V1295" s="17" t="s">
        <v>3056</v>
      </c>
      <c r="W1295" s="17"/>
      <c r="X1295" s="17"/>
    </row>
    <row r="1296" spans="1:24" hidden="1">
      <c r="A1296" s="18">
        <v>1295</v>
      </c>
      <c r="B1296" s="17" t="s">
        <v>2867</v>
      </c>
      <c r="C1296" s="17" t="s">
        <v>2868</v>
      </c>
      <c r="D1296" s="17" t="s">
        <v>7</v>
      </c>
      <c r="E1296" s="17" t="s">
        <v>8</v>
      </c>
      <c r="F1296" s="17">
        <v>0</v>
      </c>
      <c r="G1296" s="17">
        <v>0</v>
      </c>
      <c r="H1296" s="17">
        <v>0</v>
      </c>
      <c r="I1296" s="17">
        <v>0</v>
      </c>
      <c r="J1296" s="17">
        <v>0</v>
      </c>
      <c r="K1296" s="17">
        <v>0</v>
      </c>
      <c r="L1296" s="17">
        <v>0</v>
      </c>
      <c r="M1296" s="17">
        <v>0</v>
      </c>
      <c r="N1296" s="17">
        <v>0</v>
      </c>
      <c r="O1296" s="17">
        <v>0</v>
      </c>
      <c r="P1296" s="17">
        <v>0</v>
      </c>
      <c r="Q1296" s="17">
        <v>0</v>
      </c>
      <c r="R1296" s="17">
        <v>0</v>
      </c>
      <c r="S1296" s="17"/>
      <c r="T1296" s="17" t="s">
        <v>2965</v>
      </c>
      <c r="U1296" s="17" t="s">
        <v>3055</v>
      </c>
      <c r="V1296" s="17" t="s">
        <v>3056</v>
      </c>
      <c r="W1296" s="17"/>
      <c r="X1296" s="17"/>
    </row>
    <row r="1297" spans="1:24" hidden="1">
      <c r="A1297" s="18">
        <v>1296</v>
      </c>
      <c r="B1297" s="17" t="s">
        <v>2878</v>
      </c>
      <c r="C1297" s="17" t="s">
        <v>2879</v>
      </c>
      <c r="D1297" s="17" t="s">
        <v>17</v>
      </c>
      <c r="E1297" s="17" t="s">
        <v>8</v>
      </c>
      <c r="F1297" s="17">
        <v>0</v>
      </c>
      <c r="G1297" s="17">
        <v>0</v>
      </c>
      <c r="H1297" s="17">
        <v>0</v>
      </c>
      <c r="I1297" s="17">
        <v>0</v>
      </c>
      <c r="J1297" s="17">
        <v>0</v>
      </c>
      <c r="K1297" s="17">
        <v>0</v>
      </c>
      <c r="L1297" s="17">
        <v>0</v>
      </c>
      <c r="M1297" s="17">
        <v>0</v>
      </c>
      <c r="N1297" s="17">
        <v>0</v>
      </c>
      <c r="O1297" s="17">
        <v>0</v>
      </c>
      <c r="P1297" s="17">
        <v>0</v>
      </c>
      <c r="Q1297" s="17">
        <v>0</v>
      </c>
      <c r="R1297" s="17">
        <v>0</v>
      </c>
      <c r="S1297" s="17"/>
      <c r="T1297" s="17" t="s">
        <v>2972</v>
      </c>
      <c r="U1297" s="17" t="s">
        <v>3055</v>
      </c>
      <c r="V1297" s="17" t="s">
        <v>3056</v>
      </c>
      <c r="W1297" s="17"/>
      <c r="X1297" s="17"/>
    </row>
    <row r="1298" spans="1:24" hidden="1">
      <c r="A1298" s="18">
        <v>1297</v>
      </c>
      <c r="B1298" s="17" t="s">
        <v>2865</v>
      </c>
      <c r="C1298" s="17" t="s">
        <v>2866</v>
      </c>
      <c r="D1298" s="17" t="s">
        <v>7</v>
      </c>
      <c r="E1298" s="17" t="s">
        <v>8</v>
      </c>
      <c r="F1298" s="17">
        <v>0</v>
      </c>
      <c r="G1298" s="17">
        <v>0</v>
      </c>
      <c r="H1298" s="17">
        <v>0</v>
      </c>
      <c r="I1298" s="17">
        <v>0</v>
      </c>
      <c r="J1298" s="17">
        <v>0</v>
      </c>
      <c r="K1298" s="17">
        <v>0</v>
      </c>
      <c r="L1298" s="17">
        <v>0</v>
      </c>
      <c r="M1298" s="17">
        <v>0</v>
      </c>
      <c r="N1298" s="17">
        <v>0</v>
      </c>
      <c r="O1298" s="17">
        <v>0</v>
      </c>
      <c r="P1298" s="17">
        <v>0</v>
      </c>
      <c r="Q1298" s="17">
        <v>0</v>
      </c>
      <c r="R1298" s="17">
        <v>0</v>
      </c>
      <c r="S1298" s="17"/>
      <c r="T1298" s="17" t="s">
        <v>2965</v>
      </c>
      <c r="U1298" s="17" t="s">
        <v>3055</v>
      </c>
      <c r="V1298" s="17" t="s">
        <v>3056</v>
      </c>
      <c r="W1298" s="17"/>
      <c r="X1298" s="17"/>
    </row>
    <row r="1299" spans="1:24" hidden="1">
      <c r="A1299" s="18">
        <v>1298</v>
      </c>
      <c r="B1299" s="17" t="s">
        <v>2880</v>
      </c>
      <c r="C1299" s="17" t="s">
        <v>2881</v>
      </c>
      <c r="D1299" s="17" t="s">
        <v>17</v>
      </c>
      <c r="E1299" s="17" t="s">
        <v>8</v>
      </c>
      <c r="F1299" s="17">
        <v>4200</v>
      </c>
      <c r="G1299" s="17">
        <v>0</v>
      </c>
      <c r="H1299" s="17">
        <v>300</v>
      </c>
      <c r="I1299" s="17">
        <v>3900</v>
      </c>
      <c r="J1299" s="17">
        <v>0</v>
      </c>
      <c r="K1299" s="17">
        <v>0</v>
      </c>
      <c r="L1299" s="17">
        <v>3900</v>
      </c>
      <c r="M1299" s="17">
        <v>0</v>
      </c>
      <c r="N1299" s="17">
        <v>0</v>
      </c>
      <c r="O1299" s="17">
        <v>3900</v>
      </c>
      <c r="P1299" s="17">
        <v>150</v>
      </c>
      <c r="Q1299" s="17">
        <v>3750</v>
      </c>
      <c r="R1299" s="17">
        <v>0</v>
      </c>
      <c r="S1299" s="17"/>
      <c r="T1299" s="17" t="s">
        <v>2972</v>
      </c>
      <c r="U1299" s="17" t="s">
        <v>3055</v>
      </c>
      <c r="V1299" s="17" t="s">
        <v>3056</v>
      </c>
      <c r="W1299" s="17"/>
      <c r="X1299" s="17"/>
    </row>
    <row r="1300" spans="1:24" hidden="1">
      <c r="A1300" s="18">
        <v>1299</v>
      </c>
      <c r="B1300" s="17" t="s">
        <v>2869</v>
      </c>
      <c r="C1300" s="17" t="s">
        <v>2870</v>
      </c>
      <c r="D1300" s="17" t="s">
        <v>7</v>
      </c>
      <c r="E1300" s="17" t="s">
        <v>8</v>
      </c>
      <c r="F1300" s="17">
        <v>0</v>
      </c>
      <c r="G1300" s="17">
        <v>0</v>
      </c>
      <c r="H1300" s="17">
        <v>0</v>
      </c>
      <c r="I1300" s="17">
        <v>0</v>
      </c>
      <c r="J1300" s="17">
        <v>0</v>
      </c>
      <c r="K1300" s="17">
        <v>0</v>
      </c>
      <c r="L1300" s="17">
        <v>0</v>
      </c>
      <c r="M1300" s="17">
        <v>0</v>
      </c>
      <c r="N1300" s="17">
        <v>0</v>
      </c>
      <c r="O1300" s="17">
        <v>0</v>
      </c>
      <c r="P1300" s="17">
        <v>0</v>
      </c>
      <c r="Q1300" s="17">
        <v>0</v>
      </c>
      <c r="R1300" s="17">
        <v>0</v>
      </c>
      <c r="S1300" s="17"/>
      <c r="T1300" s="17" t="s">
        <v>2965</v>
      </c>
      <c r="U1300" s="17" t="s">
        <v>3055</v>
      </c>
      <c r="V1300" s="17" t="s">
        <v>3056</v>
      </c>
      <c r="W1300" s="17"/>
      <c r="X1300" s="17"/>
    </row>
    <row r="1301" spans="1:24" hidden="1">
      <c r="A1301" s="18">
        <v>1300</v>
      </c>
      <c r="B1301" s="17" t="s">
        <v>2871</v>
      </c>
      <c r="C1301" s="17" t="s">
        <v>2872</v>
      </c>
      <c r="D1301" s="17" t="s">
        <v>7</v>
      </c>
      <c r="E1301" s="17" t="s">
        <v>8</v>
      </c>
      <c r="F1301" s="17">
        <v>0</v>
      </c>
      <c r="G1301" s="17">
        <v>0</v>
      </c>
      <c r="H1301" s="17">
        <v>0</v>
      </c>
      <c r="I1301" s="17">
        <v>0</v>
      </c>
      <c r="J1301" s="17">
        <v>0</v>
      </c>
      <c r="K1301" s="17">
        <v>0</v>
      </c>
      <c r="L1301" s="17">
        <v>0</v>
      </c>
      <c r="M1301" s="17">
        <v>0</v>
      </c>
      <c r="N1301" s="17">
        <v>0</v>
      </c>
      <c r="O1301" s="17">
        <v>0</v>
      </c>
      <c r="P1301" s="17">
        <v>0</v>
      </c>
      <c r="Q1301" s="17">
        <v>0</v>
      </c>
      <c r="R1301" s="17">
        <v>0</v>
      </c>
      <c r="S1301" s="17"/>
      <c r="T1301" s="17" t="s">
        <v>2965</v>
      </c>
      <c r="U1301" s="17" t="s">
        <v>3055</v>
      </c>
      <c r="V1301" s="17" t="s">
        <v>3056</v>
      </c>
      <c r="W1301" s="17"/>
      <c r="X1301" s="17"/>
    </row>
    <row r="1302" spans="1:24" hidden="1">
      <c r="A1302" s="18">
        <v>1301</v>
      </c>
      <c r="B1302" s="17" t="s">
        <v>2873</v>
      </c>
      <c r="C1302" s="17" t="s">
        <v>2874</v>
      </c>
      <c r="D1302" s="17" t="s">
        <v>7</v>
      </c>
      <c r="E1302" s="17" t="s">
        <v>8</v>
      </c>
      <c r="F1302" s="17">
        <v>0</v>
      </c>
      <c r="G1302" s="17">
        <v>0</v>
      </c>
      <c r="H1302" s="17">
        <v>0</v>
      </c>
      <c r="I1302" s="17">
        <v>0</v>
      </c>
      <c r="J1302" s="17">
        <v>0</v>
      </c>
      <c r="K1302" s="17">
        <v>0</v>
      </c>
      <c r="L1302" s="17">
        <v>0</v>
      </c>
      <c r="M1302" s="17">
        <v>0</v>
      </c>
      <c r="N1302" s="17">
        <v>0</v>
      </c>
      <c r="O1302" s="17">
        <v>0</v>
      </c>
      <c r="P1302" s="17">
        <v>0</v>
      </c>
      <c r="Q1302" s="17">
        <v>0</v>
      </c>
      <c r="R1302" s="17">
        <v>0</v>
      </c>
      <c r="S1302" s="17"/>
      <c r="T1302" s="17" t="s">
        <v>2965</v>
      </c>
      <c r="U1302" s="17" t="s">
        <v>3055</v>
      </c>
      <c r="V1302" s="17" t="s">
        <v>3056</v>
      </c>
      <c r="W1302" s="17"/>
      <c r="X1302" s="17"/>
    </row>
    <row r="1303" spans="1:24" hidden="1">
      <c r="A1303" s="18">
        <v>1302</v>
      </c>
      <c r="B1303" s="17" t="s">
        <v>2886</v>
      </c>
      <c r="C1303" s="17" t="s">
        <v>2887</v>
      </c>
      <c r="D1303" s="17" t="s">
        <v>17</v>
      </c>
      <c r="E1303" s="17" t="s">
        <v>8</v>
      </c>
      <c r="F1303" s="17">
        <v>3705</v>
      </c>
      <c r="G1303" s="17">
        <v>0</v>
      </c>
      <c r="H1303" s="17">
        <v>0</v>
      </c>
      <c r="I1303" s="17">
        <v>3705</v>
      </c>
      <c r="J1303" s="17">
        <v>0</v>
      </c>
      <c r="K1303" s="17">
        <v>0</v>
      </c>
      <c r="L1303" s="17">
        <v>3705</v>
      </c>
      <c r="M1303" s="17">
        <v>0</v>
      </c>
      <c r="N1303" s="17">
        <v>0</v>
      </c>
      <c r="O1303" s="17">
        <v>3705</v>
      </c>
      <c r="P1303" s="17">
        <v>1000</v>
      </c>
      <c r="Q1303" s="17">
        <v>2705</v>
      </c>
      <c r="R1303" s="17">
        <v>0</v>
      </c>
      <c r="S1303" s="17"/>
      <c r="T1303" s="17" t="s">
        <v>2972</v>
      </c>
      <c r="U1303" s="17" t="s">
        <v>3055</v>
      </c>
      <c r="V1303" s="17" t="s">
        <v>3056</v>
      </c>
      <c r="W1303" s="17"/>
      <c r="X1303" s="17"/>
    </row>
    <row r="1304" spans="1:24" hidden="1">
      <c r="A1304" s="18">
        <v>1303</v>
      </c>
      <c r="B1304" s="17" t="s">
        <v>2907</v>
      </c>
      <c r="C1304" s="17" t="s">
        <v>2908</v>
      </c>
      <c r="D1304" s="17" t="s">
        <v>7</v>
      </c>
      <c r="E1304" s="17" t="s">
        <v>8</v>
      </c>
      <c r="F1304" s="17">
        <v>1377.1</v>
      </c>
      <c r="G1304" s="17">
        <v>0</v>
      </c>
      <c r="H1304" s="17">
        <v>0</v>
      </c>
      <c r="I1304" s="17">
        <v>1377.1</v>
      </c>
      <c r="J1304" s="17">
        <v>0</v>
      </c>
      <c r="K1304" s="17">
        <v>0</v>
      </c>
      <c r="L1304" s="17">
        <v>1377.1</v>
      </c>
      <c r="M1304" s="17">
        <v>0</v>
      </c>
      <c r="N1304" s="17">
        <v>0</v>
      </c>
      <c r="O1304" s="17">
        <v>1377.1</v>
      </c>
      <c r="P1304" s="17">
        <v>250</v>
      </c>
      <c r="Q1304" s="17">
        <v>1127.0999999999999</v>
      </c>
      <c r="R1304" s="17">
        <v>0</v>
      </c>
      <c r="S1304" s="17"/>
      <c r="T1304" s="17" t="s">
        <v>2965</v>
      </c>
      <c r="U1304" s="17" t="s">
        <v>3055</v>
      </c>
      <c r="V1304" s="17" t="s">
        <v>3056</v>
      </c>
      <c r="W1304" s="17"/>
      <c r="X1304" s="17"/>
    </row>
    <row r="1305" spans="1:24" hidden="1">
      <c r="A1305" s="18">
        <v>1304</v>
      </c>
      <c r="B1305" s="17" t="s">
        <v>2909</v>
      </c>
      <c r="C1305" s="17" t="s">
        <v>2910</v>
      </c>
      <c r="D1305" s="17" t="s">
        <v>7</v>
      </c>
      <c r="E1305" s="17" t="s">
        <v>8</v>
      </c>
      <c r="F1305" s="17">
        <v>869.7</v>
      </c>
      <c r="G1305" s="17">
        <v>597.5</v>
      </c>
      <c r="H1305" s="17">
        <v>51</v>
      </c>
      <c r="I1305" s="17">
        <v>1416.2</v>
      </c>
      <c r="J1305" s="17">
        <v>0</v>
      </c>
      <c r="K1305" s="17">
        <v>0</v>
      </c>
      <c r="L1305" s="17">
        <v>1416.2</v>
      </c>
      <c r="M1305" s="17">
        <v>0</v>
      </c>
      <c r="N1305" s="17">
        <v>0</v>
      </c>
      <c r="O1305" s="17">
        <v>1416.2</v>
      </c>
      <c r="P1305" s="17">
        <v>250</v>
      </c>
      <c r="Q1305" s="17">
        <v>1166.2</v>
      </c>
      <c r="R1305" s="17">
        <v>0</v>
      </c>
      <c r="S1305" s="17"/>
      <c r="T1305" s="17" t="s">
        <v>2965</v>
      </c>
      <c r="U1305" s="17" t="s">
        <v>3055</v>
      </c>
      <c r="V1305" s="17" t="s">
        <v>3056</v>
      </c>
      <c r="W1305" s="17"/>
      <c r="X1305" s="17"/>
    </row>
    <row r="1306" spans="1:24" hidden="1">
      <c r="A1306" s="18">
        <v>1305</v>
      </c>
      <c r="B1306" s="17" t="s">
        <v>2911</v>
      </c>
      <c r="C1306" s="17" t="s">
        <v>2912</v>
      </c>
      <c r="D1306" s="17" t="s">
        <v>7</v>
      </c>
      <c r="E1306" s="17" t="s">
        <v>8</v>
      </c>
      <c r="F1306" s="17">
        <v>213.8</v>
      </c>
      <c r="G1306" s="17">
        <v>691.5</v>
      </c>
      <c r="H1306" s="17">
        <v>80.099999999999994</v>
      </c>
      <c r="I1306" s="17">
        <v>825.2</v>
      </c>
      <c r="J1306" s="17">
        <v>0</v>
      </c>
      <c r="K1306" s="17">
        <v>0</v>
      </c>
      <c r="L1306" s="17">
        <v>825.2</v>
      </c>
      <c r="M1306" s="17">
        <v>0</v>
      </c>
      <c r="N1306" s="17">
        <v>0</v>
      </c>
      <c r="O1306" s="17">
        <v>825.2</v>
      </c>
      <c r="P1306" s="17">
        <v>250</v>
      </c>
      <c r="Q1306" s="17">
        <v>575.20000000000005</v>
      </c>
      <c r="R1306" s="17">
        <v>500</v>
      </c>
      <c r="S1306" s="17"/>
      <c r="T1306" s="17" t="s">
        <v>2965</v>
      </c>
      <c r="U1306" s="17" t="s">
        <v>3055</v>
      </c>
      <c r="V1306" s="17" t="s">
        <v>3056</v>
      </c>
      <c r="W1306" s="17"/>
      <c r="X1306" s="17"/>
    </row>
    <row r="1307" spans="1:24" hidden="1">
      <c r="A1307" s="18">
        <v>1306</v>
      </c>
      <c r="B1307" s="17" t="s">
        <v>2892</v>
      </c>
      <c r="C1307" s="17" t="s">
        <v>2893</v>
      </c>
      <c r="D1307" s="17" t="s">
        <v>17</v>
      </c>
      <c r="E1307" s="17" t="s">
        <v>8</v>
      </c>
      <c r="F1307" s="17">
        <v>3917</v>
      </c>
      <c r="G1307" s="17">
        <v>0</v>
      </c>
      <c r="H1307" s="17">
        <v>1066</v>
      </c>
      <c r="I1307" s="17">
        <v>2851</v>
      </c>
      <c r="J1307" s="17">
        <v>0</v>
      </c>
      <c r="K1307" s="17">
        <v>0</v>
      </c>
      <c r="L1307" s="17">
        <v>2851</v>
      </c>
      <c r="M1307" s="17">
        <v>0</v>
      </c>
      <c r="N1307" s="17">
        <v>0</v>
      </c>
      <c r="O1307" s="17">
        <v>2851</v>
      </c>
      <c r="P1307" s="17">
        <v>2000</v>
      </c>
      <c r="Q1307" s="17">
        <v>851</v>
      </c>
      <c r="R1307" s="17">
        <v>0</v>
      </c>
      <c r="S1307" s="17"/>
      <c r="T1307" s="17" t="s">
        <v>2972</v>
      </c>
      <c r="U1307" s="17" t="s">
        <v>3055</v>
      </c>
      <c r="V1307" s="17" t="s">
        <v>3056</v>
      </c>
      <c r="W1307" s="17"/>
      <c r="X1307" s="17"/>
    </row>
    <row r="1308" spans="1:24" hidden="1">
      <c r="A1308" s="18">
        <v>1307</v>
      </c>
      <c r="B1308" s="17" t="s">
        <v>2851</v>
      </c>
      <c r="C1308" s="17" t="s">
        <v>2852</v>
      </c>
      <c r="D1308" s="17" t="s">
        <v>17</v>
      </c>
      <c r="E1308" s="17" t="s">
        <v>8</v>
      </c>
      <c r="F1308" s="17">
        <v>200</v>
      </c>
      <c r="G1308" s="17">
        <v>0</v>
      </c>
      <c r="H1308" s="17">
        <v>200</v>
      </c>
      <c r="I1308" s="17">
        <v>0</v>
      </c>
      <c r="J1308" s="17">
        <v>0</v>
      </c>
      <c r="K1308" s="17">
        <v>0</v>
      </c>
      <c r="L1308" s="17">
        <v>0</v>
      </c>
      <c r="M1308" s="17">
        <v>0</v>
      </c>
      <c r="N1308" s="17">
        <v>0</v>
      </c>
      <c r="O1308" s="17">
        <v>0</v>
      </c>
      <c r="P1308" s="17">
        <v>300</v>
      </c>
      <c r="Q1308" s="17">
        <v>-300</v>
      </c>
      <c r="R1308" s="17">
        <v>0</v>
      </c>
      <c r="S1308" s="17"/>
      <c r="T1308" s="17" t="s">
        <v>3012</v>
      </c>
      <c r="U1308" s="17" t="s">
        <v>3057</v>
      </c>
      <c r="V1308" s="17" t="s">
        <v>3056</v>
      </c>
      <c r="W1308" s="17"/>
      <c r="X1308" s="17"/>
    </row>
    <row r="1309" spans="1:24" hidden="1">
      <c r="A1309" s="18">
        <v>1308</v>
      </c>
      <c r="B1309" s="17" t="s">
        <v>2896</v>
      </c>
      <c r="C1309" s="17" t="s">
        <v>2897</v>
      </c>
      <c r="D1309" s="17" t="s">
        <v>17</v>
      </c>
      <c r="E1309" s="17" t="s">
        <v>8</v>
      </c>
      <c r="F1309" s="17">
        <v>3327</v>
      </c>
      <c r="G1309" s="17">
        <v>0</v>
      </c>
      <c r="H1309" s="17">
        <v>800</v>
      </c>
      <c r="I1309" s="17">
        <v>2527</v>
      </c>
      <c r="J1309" s="17">
        <v>0</v>
      </c>
      <c r="K1309" s="17">
        <v>0</v>
      </c>
      <c r="L1309" s="17">
        <v>2527</v>
      </c>
      <c r="M1309" s="17">
        <v>0</v>
      </c>
      <c r="N1309" s="17">
        <v>0</v>
      </c>
      <c r="O1309" s="17">
        <v>2527</v>
      </c>
      <c r="P1309" s="17">
        <v>2000</v>
      </c>
      <c r="Q1309" s="17">
        <v>527</v>
      </c>
      <c r="R1309" s="17">
        <v>0</v>
      </c>
      <c r="S1309" s="17"/>
      <c r="T1309" s="17" t="s">
        <v>2972</v>
      </c>
      <c r="U1309" s="17" t="s">
        <v>3055</v>
      </c>
      <c r="V1309" s="17" t="s">
        <v>3056</v>
      </c>
      <c r="W1309" s="17"/>
      <c r="X1309" s="17"/>
    </row>
    <row r="1310" spans="1:24" hidden="1">
      <c r="A1310" s="18">
        <v>1309</v>
      </c>
      <c r="B1310" s="17" t="s">
        <v>2855</v>
      </c>
      <c r="C1310" s="17" t="s">
        <v>2856</v>
      </c>
      <c r="D1310" s="17" t="s">
        <v>17</v>
      </c>
      <c r="E1310" s="17" t="s">
        <v>8</v>
      </c>
      <c r="F1310" s="17">
        <v>750</v>
      </c>
      <c r="G1310" s="17">
        <v>0</v>
      </c>
      <c r="H1310" s="17">
        <v>0</v>
      </c>
      <c r="I1310" s="17">
        <v>750</v>
      </c>
      <c r="J1310" s="17">
        <v>0</v>
      </c>
      <c r="K1310" s="17">
        <v>0</v>
      </c>
      <c r="L1310" s="17">
        <v>750</v>
      </c>
      <c r="M1310" s="17">
        <v>0</v>
      </c>
      <c r="N1310" s="17">
        <v>0</v>
      </c>
      <c r="O1310" s="17">
        <v>750</v>
      </c>
      <c r="P1310" s="17">
        <v>200</v>
      </c>
      <c r="Q1310" s="17">
        <v>550</v>
      </c>
      <c r="R1310" s="17">
        <v>0</v>
      </c>
      <c r="S1310" s="17"/>
      <c r="T1310" s="17" t="s">
        <v>3012</v>
      </c>
      <c r="U1310" s="17" t="s">
        <v>3057</v>
      </c>
      <c r="V1310" s="17" t="s">
        <v>3056</v>
      </c>
      <c r="W1310" s="17"/>
      <c r="X1310" s="17"/>
    </row>
    <row r="1311" spans="1:24" hidden="1">
      <c r="A1311" s="18">
        <v>1310</v>
      </c>
      <c r="B1311" s="17" t="s">
        <v>2958</v>
      </c>
      <c r="C1311" s="17" t="s">
        <v>2959</v>
      </c>
      <c r="D1311" s="17" t="s">
        <v>20</v>
      </c>
      <c r="E1311" s="17" t="s">
        <v>8</v>
      </c>
      <c r="F1311" s="17">
        <v>0</v>
      </c>
      <c r="G1311" s="17">
        <v>0</v>
      </c>
      <c r="H1311" s="17">
        <v>0</v>
      </c>
      <c r="I1311" s="17">
        <v>0</v>
      </c>
      <c r="J1311" s="17">
        <v>0</v>
      </c>
      <c r="K1311" s="17">
        <v>0</v>
      </c>
      <c r="L1311" s="17">
        <v>0</v>
      </c>
      <c r="M1311" s="17">
        <v>0</v>
      </c>
      <c r="N1311" s="17">
        <v>0</v>
      </c>
      <c r="O1311" s="17">
        <v>0</v>
      </c>
      <c r="P1311" s="17">
        <v>0</v>
      </c>
      <c r="Q1311" s="17">
        <v>0</v>
      </c>
      <c r="R1311" s="17">
        <v>0</v>
      </c>
      <c r="S1311" s="17"/>
      <c r="T1311" s="17" t="s">
        <v>2960</v>
      </c>
      <c r="U1311" s="17" t="s">
        <v>3057</v>
      </c>
      <c r="V1311" s="17" t="s">
        <v>3058</v>
      </c>
      <c r="W1311" s="17"/>
      <c r="X1311" s="17"/>
    </row>
    <row r="1312" spans="1:24" hidden="1">
      <c r="A1312" s="18">
        <v>1311</v>
      </c>
      <c r="B1312" s="17" t="s">
        <v>2913</v>
      </c>
      <c r="C1312" s="17" t="s">
        <v>2914</v>
      </c>
      <c r="D1312" s="17" t="s">
        <v>20</v>
      </c>
      <c r="E1312" s="17" t="s">
        <v>8</v>
      </c>
      <c r="F1312" s="17">
        <v>1189.4000000000001</v>
      </c>
      <c r="G1312" s="17">
        <v>593.20000000000005</v>
      </c>
      <c r="H1312" s="17">
        <v>1782.6</v>
      </c>
      <c r="I1312" s="17">
        <v>0</v>
      </c>
      <c r="J1312" s="17">
        <v>0</v>
      </c>
      <c r="K1312" s="17">
        <v>0</v>
      </c>
      <c r="L1312" s="17">
        <v>0</v>
      </c>
      <c r="M1312" s="17">
        <v>0</v>
      </c>
      <c r="N1312" s="17">
        <v>0</v>
      </c>
      <c r="O1312" s="17">
        <v>0</v>
      </c>
      <c r="P1312" s="17">
        <v>5000</v>
      </c>
      <c r="Q1312" s="17">
        <v>-5000</v>
      </c>
      <c r="R1312" s="17">
        <v>3000</v>
      </c>
      <c r="S1312" s="17"/>
      <c r="T1312" s="17" t="s">
        <v>3000</v>
      </c>
      <c r="U1312" s="17" t="s">
        <v>3059</v>
      </c>
      <c r="V1312" s="17" t="s">
        <v>3056</v>
      </c>
      <c r="W1312" s="17"/>
      <c r="X1312" s="17"/>
    </row>
    <row r="1313" spans="1:24" hidden="1">
      <c r="A1313" s="18">
        <v>1312</v>
      </c>
      <c r="B1313" s="17" t="s">
        <v>3070</v>
      </c>
      <c r="C1313" s="17" t="s">
        <v>3071</v>
      </c>
      <c r="D1313" s="17" t="s">
        <v>7</v>
      </c>
      <c r="E1313" s="17" t="s">
        <v>8</v>
      </c>
      <c r="F1313" s="17">
        <v>0</v>
      </c>
      <c r="G1313" s="17">
        <v>0</v>
      </c>
      <c r="H1313" s="17">
        <v>0</v>
      </c>
      <c r="I1313" s="17">
        <v>0</v>
      </c>
      <c r="J1313" s="17">
        <v>0</v>
      </c>
      <c r="K1313" s="17">
        <v>0</v>
      </c>
      <c r="L1313" s="17">
        <v>0</v>
      </c>
      <c r="M1313" s="17">
        <v>0</v>
      </c>
      <c r="N1313" s="17">
        <v>0</v>
      </c>
      <c r="O1313" s="17">
        <v>0</v>
      </c>
      <c r="P1313" s="17">
        <v>0</v>
      </c>
      <c r="Q1313" s="17">
        <v>0</v>
      </c>
      <c r="R1313" s="17">
        <v>0</v>
      </c>
      <c r="S1313" s="17"/>
      <c r="T1313" s="17" t="s">
        <v>3050</v>
      </c>
      <c r="U1313" s="17" t="s">
        <v>3057</v>
      </c>
      <c r="V1313" s="17" t="s">
        <v>3056</v>
      </c>
      <c r="W1313" s="17"/>
      <c r="X1313" s="17"/>
    </row>
    <row r="1314" spans="1:24" hidden="1">
      <c r="A1314" s="18">
        <v>1313</v>
      </c>
      <c r="B1314" s="17" t="s">
        <v>3079</v>
      </c>
      <c r="C1314" s="17" t="s">
        <v>3080</v>
      </c>
      <c r="D1314" s="17" t="s">
        <v>17</v>
      </c>
      <c r="E1314" s="17" t="s">
        <v>8</v>
      </c>
      <c r="F1314" s="17">
        <v>0</v>
      </c>
      <c r="G1314" s="17">
        <v>0</v>
      </c>
      <c r="H1314" s="17">
        <v>0</v>
      </c>
      <c r="I1314" s="17">
        <v>0</v>
      </c>
      <c r="J1314" s="17">
        <v>0</v>
      </c>
      <c r="K1314" s="17">
        <v>0</v>
      </c>
      <c r="L1314" s="17">
        <v>0</v>
      </c>
      <c r="M1314" s="17">
        <v>0</v>
      </c>
      <c r="N1314" s="17">
        <v>0</v>
      </c>
      <c r="O1314" s="17">
        <v>0</v>
      </c>
      <c r="P1314" s="17">
        <v>0</v>
      </c>
      <c r="Q1314" s="17">
        <v>0</v>
      </c>
      <c r="R1314" s="17">
        <v>0</v>
      </c>
      <c r="S1314" s="17"/>
      <c r="T1314" s="17" t="s">
        <v>2982</v>
      </c>
      <c r="U1314" s="17" t="s">
        <v>3060</v>
      </c>
      <c r="V1314" s="17" t="s">
        <v>3058</v>
      </c>
      <c r="W1314" s="17"/>
      <c r="X1314" s="17"/>
    </row>
    <row r="1315" spans="1:24" hidden="1">
      <c r="A1315" s="18">
        <v>1314</v>
      </c>
      <c r="B1315" s="17" t="s">
        <v>3081</v>
      </c>
      <c r="C1315" s="17" t="s">
        <v>3082</v>
      </c>
      <c r="D1315" s="17" t="s">
        <v>17</v>
      </c>
      <c r="E1315" s="17" t="s">
        <v>8</v>
      </c>
      <c r="F1315" s="17">
        <v>0</v>
      </c>
      <c r="G1315" s="17">
        <v>0</v>
      </c>
      <c r="H1315" s="17">
        <v>0</v>
      </c>
      <c r="I1315" s="17">
        <v>0</v>
      </c>
      <c r="J1315" s="17">
        <v>0</v>
      </c>
      <c r="K1315" s="17">
        <v>0</v>
      </c>
      <c r="L1315" s="17">
        <v>0</v>
      </c>
      <c r="M1315" s="17">
        <v>0</v>
      </c>
      <c r="N1315" s="17">
        <v>0</v>
      </c>
      <c r="O1315" s="17">
        <v>0</v>
      </c>
      <c r="P1315" s="17">
        <v>0</v>
      </c>
      <c r="Q1315" s="17">
        <v>0</v>
      </c>
      <c r="R1315" s="17">
        <v>0</v>
      </c>
      <c r="S1315" s="17"/>
      <c r="T1315" s="17" t="s">
        <v>2982</v>
      </c>
      <c r="U1315" s="17" t="s">
        <v>3060</v>
      </c>
      <c r="V1315" s="17" t="s">
        <v>3058</v>
      </c>
      <c r="W1315" s="17"/>
      <c r="X1315" s="17"/>
    </row>
    <row r="1316" spans="1:24" hidden="1">
      <c r="A1316" s="18">
        <v>1315</v>
      </c>
      <c r="B1316" s="17" t="s">
        <v>3072</v>
      </c>
      <c r="C1316" s="17" t="s">
        <v>3073</v>
      </c>
      <c r="D1316" s="17" t="s">
        <v>7</v>
      </c>
      <c r="E1316" s="17" t="s">
        <v>8</v>
      </c>
      <c r="F1316" s="17">
        <v>0</v>
      </c>
      <c r="G1316" s="17">
        <v>0</v>
      </c>
      <c r="H1316" s="17">
        <v>0</v>
      </c>
      <c r="I1316" s="17">
        <v>0</v>
      </c>
      <c r="J1316" s="17">
        <v>0</v>
      </c>
      <c r="K1316" s="17">
        <v>0</v>
      </c>
      <c r="L1316" s="17">
        <v>0</v>
      </c>
      <c r="M1316" s="17">
        <v>0</v>
      </c>
      <c r="N1316" s="17">
        <v>0</v>
      </c>
      <c r="O1316" s="17">
        <v>0</v>
      </c>
      <c r="P1316" s="17">
        <v>0</v>
      </c>
      <c r="Q1316" s="17">
        <v>0</v>
      </c>
      <c r="R1316" s="17">
        <v>0</v>
      </c>
      <c r="S1316" s="17"/>
      <c r="T1316" s="17" t="s">
        <v>3050</v>
      </c>
      <c r="U1316" s="17" t="s">
        <v>3057</v>
      </c>
      <c r="V1316" s="17" t="s">
        <v>3056</v>
      </c>
      <c r="W1316" s="17"/>
      <c r="X1316" s="17"/>
    </row>
    <row r="1317" spans="1:24" hidden="1">
      <c r="A1317" s="18">
        <v>1316</v>
      </c>
      <c r="B1317" s="17" t="s">
        <v>3074</v>
      </c>
      <c r="C1317" s="17" t="s">
        <v>3075</v>
      </c>
      <c r="D1317" s="17" t="s">
        <v>17</v>
      </c>
      <c r="E1317" s="17" t="s">
        <v>8</v>
      </c>
      <c r="F1317" s="17">
        <v>0</v>
      </c>
      <c r="G1317" s="17">
        <v>0</v>
      </c>
      <c r="H1317" s="17">
        <v>0</v>
      </c>
      <c r="I1317" s="17">
        <v>0</v>
      </c>
      <c r="J1317" s="17">
        <v>0</v>
      </c>
      <c r="K1317" s="17">
        <v>0</v>
      </c>
      <c r="L1317" s="17">
        <v>0</v>
      </c>
      <c r="M1317" s="17">
        <v>0</v>
      </c>
      <c r="N1317" s="17">
        <v>0</v>
      </c>
      <c r="O1317" s="17">
        <v>0</v>
      </c>
      <c r="P1317" s="17">
        <v>0</v>
      </c>
      <c r="Q1317" s="17">
        <v>0</v>
      </c>
      <c r="R1317" s="17">
        <v>0</v>
      </c>
      <c r="S1317" s="17"/>
      <c r="T1317" s="17" t="s">
        <v>3076</v>
      </c>
      <c r="U1317" s="17" t="s">
        <v>3057</v>
      </c>
      <c r="V1317" s="17" t="s">
        <v>3058</v>
      </c>
      <c r="W1317" s="17"/>
      <c r="X1317" s="17"/>
    </row>
    <row r="1318" spans="1:24" hidden="1">
      <c r="A1318" s="18">
        <v>1317</v>
      </c>
      <c r="B1318" s="17" t="s">
        <v>2975</v>
      </c>
      <c r="C1318" s="17" t="s">
        <v>2976</v>
      </c>
      <c r="D1318" s="17" t="s">
        <v>17</v>
      </c>
      <c r="E1318" s="17" t="s">
        <v>8</v>
      </c>
      <c r="F1318" s="17">
        <v>0</v>
      </c>
      <c r="G1318" s="17">
        <v>0</v>
      </c>
      <c r="H1318" s="17">
        <v>0</v>
      </c>
      <c r="I1318" s="17">
        <v>0</v>
      </c>
      <c r="J1318" s="17">
        <v>0</v>
      </c>
      <c r="K1318" s="17">
        <v>0</v>
      </c>
      <c r="L1318" s="17">
        <v>0</v>
      </c>
      <c r="M1318" s="17">
        <v>0</v>
      </c>
      <c r="N1318" s="17">
        <v>0</v>
      </c>
      <c r="O1318" s="17">
        <v>0</v>
      </c>
      <c r="P1318" s="17">
        <v>0</v>
      </c>
      <c r="Q1318" s="17">
        <v>0</v>
      </c>
      <c r="R1318" s="17">
        <v>0</v>
      </c>
      <c r="S1318" s="17"/>
      <c r="T1318" s="17" t="s">
        <v>2963</v>
      </c>
      <c r="U1318" s="17" t="s">
        <v>3057</v>
      </c>
      <c r="V1318" s="17" t="s">
        <v>3058</v>
      </c>
      <c r="W1318" s="17"/>
      <c r="X1318" s="17"/>
    </row>
    <row r="1319" spans="1:24" hidden="1">
      <c r="A1319" s="18">
        <v>1318</v>
      </c>
      <c r="B1319" s="17" t="s">
        <v>3087</v>
      </c>
      <c r="C1319" s="17" t="s">
        <v>3088</v>
      </c>
      <c r="D1319" s="17" t="s">
        <v>17</v>
      </c>
      <c r="E1319" s="17" t="s">
        <v>8</v>
      </c>
      <c r="F1319" s="17">
        <v>0</v>
      </c>
      <c r="G1319" s="17">
        <v>0</v>
      </c>
      <c r="H1319" s="17">
        <v>0</v>
      </c>
      <c r="I1319" s="17">
        <v>0</v>
      </c>
      <c r="J1319" s="17">
        <v>0</v>
      </c>
      <c r="K1319" s="17">
        <v>0</v>
      </c>
      <c r="L1319" s="17">
        <v>0</v>
      </c>
      <c r="M1319" s="17">
        <v>0</v>
      </c>
      <c r="N1319" s="17">
        <v>0</v>
      </c>
      <c r="O1319" s="17">
        <v>0</v>
      </c>
      <c r="P1319" s="17">
        <v>0</v>
      </c>
      <c r="Q1319" s="17">
        <v>0</v>
      </c>
      <c r="R1319" s="17">
        <v>0</v>
      </c>
      <c r="S1319" s="17"/>
      <c r="T1319" s="17" t="s">
        <v>2982</v>
      </c>
      <c r="U1319" s="17" t="s">
        <v>3060</v>
      </c>
      <c r="V1319" s="17" t="s">
        <v>3058</v>
      </c>
      <c r="W1319" s="17"/>
      <c r="X1319" s="17"/>
    </row>
    <row r="1320" spans="1:24" hidden="1">
      <c r="A1320" s="18">
        <v>1319</v>
      </c>
      <c r="B1320" s="17" t="s">
        <v>3089</v>
      </c>
      <c r="C1320" s="17" t="s">
        <v>3090</v>
      </c>
      <c r="D1320" s="17" t="s">
        <v>17</v>
      </c>
      <c r="E1320" s="17" t="s">
        <v>8</v>
      </c>
      <c r="F1320" s="17">
        <v>0</v>
      </c>
      <c r="G1320" s="17">
        <v>0</v>
      </c>
      <c r="H1320" s="17">
        <v>0</v>
      </c>
      <c r="I1320" s="17">
        <v>0</v>
      </c>
      <c r="J1320" s="17">
        <v>0</v>
      </c>
      <c r="K1320" s="17">
        <v>0</v>
      </c>
      <c r="L1320" s="17">
        <v>0</v>
      </c>
      <c r="M1320" s="17">
        <v>0</v>
      </c>
      <c r="N1320" s="17">
        <v>0</v>
      </c>
      <c r="O1320" s="17">
        <v>0</v>
      </c>
      <c r="P1320" s="17">
        <v>0</v>
      </c>
      <c r="Q1320" s="17">
        <v>0</v>
      </c>
      <c r="R1320" s="17">
        <v>0</v>
      </c>
      <c r="S1320" s="17"/>
      <c r="T1320" s="17" t="s">
        <v>2982</v>
      </c>
      <c r="U1320" s="17" t="s">
        <v>3060</v>
      </c>
      <c r="V1320" s="17" t="s">
        <v>3058</v>
      </c>
      <c r="W1320" s="17"/>
      <c r="X1320" s="17"/>
    </row>
    <row r="1321" spans="1:24" hidden="1">
      <c r="A1321" s="18">
        <v>1320</v>
      </c>
      <c r="B1321" s="17" t="s">
        <v>3091</v>
      </c>
      <c r="C1321" s="17" t="s">
        <v>3092</v>
      </c>
      <c r="D1321" s="17" t="s">
        <v>17</v>
      </c>
      <c r="E1321" s="17" t="s">
        <v>8</v>
      </c>
      <c r="F1321" s="17">
        <v>0</v>
      </c>
      <c r="G1321" s="17">
        <v>0</v>
      </c>
      <c r="H1321" s="17">
        <v>0</v>
      </c>
      <c r="I1321" s="17">
        <v>0</v>
      </c>
      <c r="J1321" s="17">
        <v>0</v>
      </c>
      <c r="K1321" s="17">
        <v>0</v>
      </c>
      <c r="L1321" s="17">
        <v>0</v>
      </c>
      <c r="M1321" s="17">
        <v>0</v>
      </c>
      <c r="N1321" s="17">
        <v>0</v>
      </c>
      <c r="O1321" s="17">
        <v>0</v>
      </c>
      <c r="P1321" s="17">
        <v>0</v>
      </c>
      <c r="Q1321" s="17">
        <v>0</v>
      </c>
      <c r="R1321" s="17">
        <v>0</v>
      </c>
      <c r="S1321" s="17"/>
      <c r="T1321" s="17" t="s">
        <v>2982</v>
      </c>
      <c r="U1321" s="17" t="s">
        <v>3060</v>
      </c>
      <c r="V1321" s="17" t="s">
        <v>3058</v>
      </c>
      <c r="W1321" s="17"/>
      <c r="X1321" s="17"/>
    </row>
    <row r="1322" spans="1:24" hidden="1">
      <c r="A1322" s="18">
        <v>1321</v>
      </c>
      <c r="B1322" s="17" t="s">
        <v>3093</v>
      </c>
      <c r="C1322" s="17" t="s">
        <v>3094</v>
      </c>
      <c r="D1322" s="17" t="s">
        <v>17</v>
      </c>
      <c r="E1322" s="17" t="s">
        <v>8</v>
      </c>
      <c r="F1322" s="17">
        <v>0</v>
      </c>
      <c r="G1322" s="17">
        <v>0</v>
      </c>
      <c r="H1322" s="17">
        <v>0</v>
      </c>
      <c r="I1322" s="17">
        <v>0</v>
      </c>
      <c r="J1322" s="17">
        <v>0</v>
      </c>
      <c r="K1322" s="17">
        <v>0</v>
      </c>
      <c r="L1322" s="17">
        <v>0</v>
      </c>
      <c r="M1322" s="17">
        <v>0</v>
      </c>
      <c r="N1322" s="17">
        <v>0</v>
      </c>
      <c r="O1322" s="17">
        <v>0</v>
      </c>
      <c r="P1322" s="17">
        <v>0</v>
      </c>
      <c r="Q1322" s="17">
        <v>0</v>
      </c>
      <c r="R1322" s="17">
        <v>0</v>
      </c>
      <c r="S1322" s="17"/>
      <c r="T1322" s="17" t="s">
        <v>2982</v>
      </c>
      <c r="U1322" s="17" t="s">
        <v>3060</v>
      </c>
      <c r="V1322" s="17" t="s">
        <v>3058</v>
      </c>
      <c r="W1322" s="17"/>
      <c r="X1322" s="17"/>
    </row>
    <row r="1323" spans="1:24" hidden="1">
      <c r="A1323" s="18">
        <v>1322</v>
      </c>
      <c r="B1323" s="17" t="s">
        <v>3095</v>
      </c>
      <c r="C1323" s="17" t="s">
        <v>3096</v>
      </c>
      <c r="D1323" s="17" t="s">
        <v>17</v>
      </c>
      <c r="E1323" s="17" t="s">
        <v>8</v>
      </c>
      <c r="F1323" s="17">
        <v>0</v>
      </c>
      <c r="G1323" s="17">
        <v>0</v>
      </c>
      <c r="H1323" s="17">
        <v>0</v>
      </c>
      <c r="I1323" s="17">
        <v>0</v>
      </c>
      <c r="J1323" s="17">
        <v>0</v>
      </c>
      <c r="K1323" s="17">
        <v>0</v>
      </c>
      <c r="L1323" s="17">
        <v>0</v>
      </c>
      <c r="M1323" s="17">
        <v>0</v>
      </c>
      <c r="N1323" s="17">
        <v>0</v>
      </c>
      <c r="O1323" s="17">
        <v>0</v>
      </c>
      <c r="P1323" s="17">
        <v>0</v>
      </c>
      <c r="Q1323" s="17">
        <v>0</v>
      </c>
      <c r="R1323" s="17">
        <v>0</v>
      </c>
      <c r="S1323" s="17"/>
      <c r="T1323" s="17" t="s">
        <v>2982</v>
      </c>
      <c r="U1323" s="17" t="s">
        <v>3060</v>
      </c>
      <c r="V1323" s="17" t="s">
        <v>3058</v>
      </c>
      <c r="W1323" s="17"/>
      <c r="X1323" s="17"/>
    </row>
    <row r="1324" spans="1:24" hidden="1">
      <c r="A1324" s="18">
        <v>1323</v>
      </c>
      <c r="B1324" s="17" t="s">
        <v>3097</v>
      </c>
      <c r="C1324" s="17" t="s">
        <v>3098</v>
      </c>
      <c r="D1324" s="17" t="s">
        <v>17</v>
      </c>
      <c r="E1324" s="17" t="s">
        <v>8</v>
      </c>
      <c r="F1324" s="17">
        <v>0</v>
      </c>
      <c r="G1324" s="17">
        <v>0</v>
      </c>
      <c r="H1324" s="17">
        <v>0</v>
      </c>
      <c r="I1324" s="17">
        <v>0</v>
      </c>
      <c r="J1324" s="17">
        <v>0</v>
      </c>
      <c r="K1324" s="17">
        <v>0</v>
      </c>
      <c r="L1324" s="17">
        <v>0</v>
      </c>
      <c r="M1324" s="17">
        <v>0</v>
      </c>
      <c r="N1324" s="17">
        <v>0</v>
      </c>
      <c r="O1324" s="17">
        <v>0</v>
      </c>
      <c r="P1324" s="17">
        <v>0</v>
      </c>
      <c r="Q1324" s="17">
        <v>0</v>
      </c>
      <c r="R1324" s="17">
        <v>0</v>
      </c>
      <c r="S1324" s="17"/>
      <c r="T1324" s="17" t="s">
        <v>2982</v>
      </c>
      <c r="U1324" s="17" t="s">
        <v>3060</v>
      </c>
      <c r="V1324" s="17" t="s">
        <v>3058</v>
      </c>
      <c r="W1324" s="17"/>
      <c r="X1324" s="17"/>
    </row>
    <row r="1325" spans="1:24" hidden="1">
      <c r="A1325" s="18">
        <v>1324</v>
      </c>
      <c r="B1325" s="17" t="s">
        <v>3100</v>
      </c>
      <c r="C1325" s="17" t="s">
        <v>3101</v>
      </c>
      <c r="D1325" s="17" t="s">
        <v>17</v>
      </c>
      <c r="E1325" s="17" t="s">
        <v>8</v>
      </c>
      <c r="F1325" s="17">
        <v>0</v>
      </c>
      <c r="G1325" s="17">
        <v>0</v>
      </c>
      <c r="H1325" s="17">
        <v>0</v>
      </c>
      <c r="I1325" s="17">
        <v>0</v>
      </c>
      <c r="J1325" s="17">
        <v>0</v>
      </c>
      <c r="K1325" s="17">
        <v>0</v>
      </c>
      <c r="L1325" s="17">
        <v>0</v>
      </c>
      <c r="M1325" s="17">
        <v>0</v>
      </c>
      <c r="N1325" s="17">
        <v>0</v>
      </c>
      <c r="O1325" s="17">
        <v>0</v>
      </c>
      <c r="P1325" s="17">
        <v>0</v>
      </c>
      <c r="Q1325" s="17">
        <v>0</v>
      </c>
      <c r="R1325" s="17">
        <v>0</v>
      </c>
      <c r="S1325" s="17"/>
      <c r="T1325" s="17" t="s">
        <v>2982</v>
      </c>
      <c r="U1325" s="17" t="s">
        <v>3060</v>
      </c>
      <c r="V1325" s="17" t="s">
        <v>3058</v>
      </c>
      <c r="W1325" s="17"/>
      <c r="X1325" s="17"/>
    </row>
    <row r="1326" spans="1:24" hidden="1">
      <c r="A1326" s="18">
        <v>1325</v>
      </c>
      <c r="B1326" s="17" t="s">
        <v>2977</v>
      </c>
      <c r="C1326" s="17" t="s">
        <v>2978</v>
      </c>
      <c r="D1326" s="17" t="s">
        <v>17</v>
      </c>
      <c r="E1326" s="17" t="s">
        <v>8</v>
      </c>
      <c r="F1326" s="17">
        <v>0</v>
      </c>
      <c r="G1326" s="17">
        <v>0</v>
      </c>
      <c r="H1326" s="17">
        <v>0</v>
      </c>
      <c r="I1326" s="17">
        <v>0</v>
      </c>
      <c r="J1326" s="17">
        <v>0</v>
      </c>
      <c r="K1326" s="17">
        <v>0</v>
      </c>
      <c r="L1326" s="17">
        <v>0</v>
      </c>
      <c r="M1326" s="17">
        <v>0</v>
      </c>
      <c r="N1326" s="17">
        <v>0</v>
      </c>
      <c r="O1326" s="17">
        <v>0</v>
      </c>
      <c r="P1326" s="17">
        <v>0</v>
      </c>
      <c r="Q1326" s="17">
        <v>0</v>
      </c>
      <c r="R1326" s="17">
        <v>0</v>
      </c>
      <c r="S1326" s="17"/>
      <c r="T1326" s="17" t="s">
        <v>2963</v>
      </c>
      <c r="U1326" s="17" t="s">
        <v>3057</v>
      </c>
      <c r="V1326" s="17" t="s">
        <v>3058</v>
      </c>
      <c r="W1326" s="17"/>
      <c r="X1326" s="17"/>
    </row>
    <row r="1327" spans="1:24" hidden="1">
      <c r="A1327" s="18">
        <v>1326</v>
      </c>
      <c r="B1327" s="17" t="s">
        <v>3104</v>
      </c>
      <c r="C1327" s="17" t="s">
        <v>3105</v>
      </c>
      <c r="D1327" s="17" t="s">
        <v>17</v>
      </c>
      <c r="E1327" s="17" t="s">
        <v>8</v>
      </c>
      <c r="F1327" s="17">
        <v>0</v>
      </c>
      <c r="G1327" s="17">
        <v>0</v>
      </c>
      <c r="H1327" s="17">
        <v>0</v>
      </c>
      <c r="I1327" s="17">
        <v>0</v>
      </c>
      <c r="J1327" s="17">
        <v>0</v>
      </c>
      <c r="K1327" s="17">
        <v>0</v>
      </c>
      <c r="L1327" s="17">
        <v>0</v>
      </c>
      <c r="M1327" s="17">
        <v>0</v>
      </c>
      <c r="N1327" s="17">
        <v>0</v>
      </c>
      <c r="O1327" s="17">
        <v>0</v>
      </c>
      <c r="P1327" s="17">
        <v>0</v>
      </c>
      <c r="Q1327" s="17">
        <v>0</v>
      </c>
      <c r="R1327" s="17">
        <v>0</v>
      </c>
      <c r="S1327" s="17"/>
      <c r="T1327" s="17" t="s">
        <v>3006</v>
      </c>
      <c r="U1327" s="17" t="s">
        <v>3060</v>
      </c>
      <c r="V1327" s="17" t="s">
        <v>3058</v>
      </c>
      <c r="W1327" s="17"/>
      <c r="X1327" s="17"/>
    </row>
    <row r="1328" spans="1:24" hidden="1">
      <c r="A1328" s="18">
        <v>1327</v>
      </c>
      <c r="B1328" s="17" t="s">
        <v>2915</v>
      </c>
      <c r="C1328" s="17" t="s">
        <v>2916</v>
      </c>
      <c r="D1328" s="17" t="s">
        <v>17</v>
      </c>
      <c r="E1328" s="17" t="s">
        <v>8</v>
      </c>
      <c r="F1328" s="17">
        <v>826</v>
      </c>
      <c r="G1328" s="17">
        <v>0</v>
      </c>
      <c r="H1328" s="17">
        <v>41</v>
      </c>
      <c r="I1328" s="17">
        <v>785</v>
      </c>
      <c r="J1328" s="17">
        <v>0</v>
      </c>
      <c r="K1328" s="17">
        <v>0</v>
      </c>
      <c r="L1328" s="17">
        <v>785</v>
      </c>
      <c r="M1328" s="17">
        <v>0</v>
      </c>
      <c r="N1328" s="17">
        <v>0</v>
      </c>
      <c r="O1328" s="17">
        <v>785</v>
      </c>
      <c r="P1328" s="17">
        <v>250</v>
      </c>
      <c r="Q1328" s="17">
        <v>535</v>
      </c>
      <c r="R1328" s="17">
        <v>0</v>
      </c>
      <c r="S1328" s="17"/>
      <c r="T1328" s="17" t="s">
        <v>2972</v>
      </c>
      <c r="U1328" s="17" t="s">
        <v>3060</v>
      </c>
      <c r="V1328" s="17" t="s">
        <v>3058</v>
      </c>
      <c r="W1328" s="17"/>
      <c r="X1328" s="17"/>
    </row>
    <row r="1329" spans="1:24" hidden="1">
      <c r="A1329" s="18">
        <v>1328</v>
      </c>
      <c r="B1329" s="17" t="s">
        <v>2992</v>
      </c>
      <c r="C1329" s="17" t="s">
        <v>2993</v>
      </c>
      <c r="D1329" s="17" t="s">
        <v>17</v>
      </c>
      <c r="E1329" s="17" t="s">
        <v>8</v>
      </c>
      <c r="F1329" s="17">
        <v>0</v>
      </c>
      <c r="G1329" s="17">
        <v>0</v>
      </c>
      <c r="H1329" s="17">
        <v>0</v>
      </c>
      <c r="I1329" s="17">
        <v>0</v>
      </c>
      <c r="J1329" s="17">
        <v>0</v>
      </c>
      <c r="K1329" s="17">
        <v>0</v>
      </c>
      <c r="L1329" s="17">
        <v>0</v>
      </c>
      <c r="M1329" s="17">
        <v>0</v>
      </c>
      <c r="N1329" s="17">
        <v>0</v>
      </c>
      <c r="O1329" s="17">
        <v>0</v>
      </c>
      <c r="P1329" s="17">
        <v>0</v>
      </c>
      <c r="Q1329" s="17">
        <v>0</v>
      </c>
      <c r="R1329" s="17">
        <v>0</v>
      </c>
      <c r="S1329" s="17"/>
      <c r="T1329" s="17" t="s">
        <v>2995</v>
      </c>
      <c r="U1329" s="17" t="s">
        <v>3057</v>
      </c>
      <c r="V1329" s="17" t="s">
        <v>3056</v>
      </c>
      <c r="W1329" s="17"/>
      <c r="X1329" s="17"/>
    </row>
    <row r="1330" spans="1:24" hidden="1">
      <c r="A1330" s="18">
        <v>1329</v>
      </c>
      <c r="B1330" s="17" t="s">
        <v>2919</v>
      </c>
      <c r="C1330" s="17" t="s">
        <v>2920</v>
      </c>
      <c r="D1330" s="17" t="s">
        <v>17</v>
      </c>
      <c r="E1330" s="17" t="s">
        <v>8</v>
      </c>
      <c r="F1330" s="17">
        <v>56</v>
      </c>
      <c r="G1330" s="17">
        <v>5</v>
      </c>
      <c r="H1330" s="17">
        <v>20</v>
      </c>
      <c r="I1330" s="17">
        <v>41</v>
      </c>
      <c r="J1330" s="17">
        <v>0</v>
      </c>
      <c r="K1330" s="17">
        <v>0</v>
      </c>
      <c r="L1330" s="17">
        <v>41</v>
      </c>
      <c r="M1330" s="17">
        <v>35</v>
      </c>
      <c r="N1330" s="17">
        <v>0</v>
      </c>
      <c r="O1330" s="17">
        <v>76</v>
      </c>
      <c r="P1330" s="17">
        <v>40</v>
      </c>
      <c r="Q1330" s="17">
        <v>36</v>
      </c>
      <c r="R1330" s="17">
        <v>20</v>
      </c>
      <c r="S1330" s="17"/>
      <c r="T1330" s="17" t="s">
        <v>3002</v>
      </c>
      <c r="U1330" s="17" t="s">
        <v>3055</v>
      </c>
      <c r="V1330" s="17" t="s">
        <v>3056</v>
      </c>
      <c r="W1330" s="17"/>
      <c r="X1330" s="17"/>
    </row>
    <row r="1331" spans="1:24" hidden="1">
      <c r="A1331" s="18">
        <v>1330</v>
      </c>
      <c r="B1331" s="17" t="s">
        <v>3077</v>
      </c>
      <c r="C1331" s="17" t="s">
        <v>3078</v>
      </c>
      <c r="D1331" s="17" t="s">
        <v>17</v>
      </c>
      <c r="E1331" s="17" t="s">
        <v>8</v>
      </c>
      <c r="F1331" s="17">
        <v>0</v>
      </c>
      <c r="G1331" s="17">
        <v>23</v>
      </c>
      <c r="H1331" s="17">
        <v>0</v>
      </c>
      <c r="I1331" s="17">
        <v>23</v>
      </c>
      <c r="J1331" s="17">
        <v>0</v>
      </c>
      <c r="K1331" s="17">
        <v>0</v>
      </c>
      <c r="L1331" s="17">
        <v>23</v>
      </c>
      <c r="M1331" s="17">
        <v>0</v>
      </c>
      <c r="N1331" s="17">
        <v>0</v>
      </c>
      <c r="O1331" s="17">
        <v>23</v>
      </c>
      <c r="P1331" s="17">
        <v>0</v>
      </c>
      <c r="Q1331" s="17">
        <v>23</v>
      </c>
      <c r="R1331" s="17">
        <v>0</v>
      </c>
      <c r="S1331" s="17"/>
      <c r="T1331" s="17" t="s">
        <v>2963</v>
      </c>
      <c r="U1331" s="17" t="s">
        <v>3057</v>
      </c>
      <c r="V1331" s="17" t="s">
        <v>3056</v>
      </c>
      <c r="W1331" s="17"/>
      <c r="X1331" s="17"/>
    </row>
    <row r="1332" spans="1:24" hidden="1">
      <c r="A1332" s="18">
        <v>1331</v>
      </c>
      <c r="B1332" s="17" t="s">
        <v>3106</v>
      </c>
      <c r="C1332" s="17" t="s">
        <v>3107</v>
      </c>
      <c r="D1332" s="17" t="s">
        <v>17</v>
      </c>
      <c r="E1332" s="17" t="s">
        <v>8</v>
      </c>
      <c r="F1332" s="17">
        <v>0</v>
      </c>
      <c r="G1332" s="17">
        <v>0</v>
      </c>
      <c r="H1332" s="17">
        <v>0</v>
      </c>
      <c r="I1332" s="17">
        <v>0</v>
      </c>
      <c r="J1332" s="17">
        <v>0</v>
      </c>
      <c r="K1332" s="17">
        <v>0</v>
      </c>
      <c r="L1332" s="17">
        <v>0</v>
      </c>
      <c r="M1332" s="17">
        <v>0</v>
      </c>
      <c r="N1332" s="17">
        <v>0</v>
      </c>
      <c r="O1332" s="17">
        <v>0</v>
      </c>
      <c r="P1332" s="17">
        <v>0</v>
      </c>
      <c r="Q1332" s="17">
        <v>0</v>
      </c>
      <c r="R1332" s="17">
        <v>0</v>
      </c>
      <c r="S1332" s="17"/>
      <c r="T1332" s="17" t="s">
        <v>2982</v>
      </c>
      <c r="U1332" s="17" t="s">
        <v>3060</v>
      </c>
      <c r="V1332" s="17" t="s">
        <v>3058</v>
      </c>
      <c r="W1332" s="17"/>
      <c r="X1332" s="17"/>
    </row>
    <row r="1333" spans="1:24" hidden="1">
      <c r="A1333" s="18">
        <v>1332</v>
      </c>
      <c r="B1333" s="17" t="s">
        <v>3083</v>
      </c>
      <c r="C1333" s="17" t="s">
        <v>3084</v>
      </c>
      <c r="D1333" s="17" t="s">
        <v>17</v>
      </c>
      <c r="E1333" s="17" t="s">
        <v>8</v>
      </c>
      <c r="F1333" s="17">
        <v>0</v>
      </c>
      <c r="G1333" s="17">
        <v>0</v>
      </c>
      <c r="H1333" s="17">
        <v>0</v>
      </c>
      <c r="I1333" s="17">
        <v>0</v>
      </c>
      <c r="J1333" s="17">
        <v>0</v>
      </c>
      <c r="K1333" s="17">
        <v>0</v>
      </c>
      <c r="L1333" s="17">
        <v>0</v>
      </c>
      <c r="M1333" s="17">
        <v>0</v>
      </c>
      <c r="N1333" s="17">
        <v>0</v>
      </c>
      <c r="O1333" s="17">
        <v>0</v>
      </c>
      <c r="P1333" s="17">
        <v>0</v>
      </c>
      <c r="Q1333" s="17">
        <v>0</v>
      </c>
      <c r="R1333" s="17">
        <v>0</v>
      </c>
      <c r="S1333" s="17"/>
      <c r="T1333" s="17" t="s">
        <v>2972</v>
      </c>
      <c r="U1333" s="17" t="s">
        <v>3057</v>
      </c>
      <c r="V1333" s="17" t="s">
        <v>3056</v>
      </c>
      <c r="W1333" s="17"/>
      <c r="X1333" s="17"/>
    </row>
    <row r="1334" spans="1:24" hidden="1">
      <c r="A1334" s="18">
        <v>1333</v>
      </c>
      <c r="B1334" s="17" t="s">
        <v>3009</v>
      </c>
      <c r="C1334" s="17" t="s">
        <v>3010</v>
      </c>
      <c r="D1334" s="17" t="s">
        <v>17</v>
      </c>
      <c r="E1334" s="17" t="s">
        <v>8</v>
      </c>
      <c r="F1334" s="17">
        <v>0</v>
      </c>
      <c r="G1334" s="17">
        <v>0</v>
      </c>
      <c r="H1334" s="17">
        <v>0</v>
      </c>
      <c r="I1334" s="17">
        <v>0</v>
      </c>
      <c r="J1334" s="17">
        <v>0</v>
      </c>
      <c r="K1334" s="17">
        <v>0</v>
      </c>
      <c r="L1334" s="17">
        <v>0</v>
      </c>
      <c r="M1334" s="17">
        <v>0</v>
      </c>
      <c r="N1334" s="17">
        <v>0</v>
      </c>
      <c r="O1334" s="17">
        <v>0</v>
      </c>
      <c r="P1334" s="17">
        <v>0</v>
      </c>
      <c r="Q1334" s="17">
        <v>0</v>
      </c>
      <c r="R1334" s="17">
        <v>0</v>
      </c>
      <c r="S1334" s="17"/>
      <c r="T1334" s="17" t="s">
        <v>3012</v>
      </c>
      <c r="U1334" s="17" t="s">
        <v>3057</v>
      </c>
      <c r="V1334" s="17" t="s">
        <v>3056</v>
      </c>
      <c r="W1334" s="17"/>
      <c r="X1334" s="17"/>
    </row>
    <row r="1335" spans="1:24" hidden="1">
      <c r="A1335" s="18">
        <v>1334</v>
      </c>
      <c r="B1335" s="17" t="s">
        <v>3170</v>
      </c>
      <c r="C1335" s="17" t="s">
        <v>3171</v>
      </c>
      <c r="D1335" s="17" t="s">
        <v>7</v>
      </c>
      <c r="E1335" s="17" t="s">
        <v>8</v>
      </c>
      <c r="F1335" s="17">
        <v>1813.2</v>
      </c>
      <c r="G1335" s="17">
        <v>0</v>
      </c>
      <c r="H1335" s="17">
        <v>60.3</v>
      </c>
      <c r="I1335" s="17">
        <v>1752.9</v>
      </c>
      <c r="J1335" s="17">
        <v>0</v>
      </c>
      <c r="K1335" s="17">
        <v>0</v>
      </c>
      <c r="L1335" s="17">
        <v>1752.9</v>
      </c>
      <c r="M1335" s="17">
        <v>0</v>
      </c>
      <c r="N1335" s="17">
        <v>0</v>
      </c>
      <c r="O1335" s="17">
        <v>1752.9</v>
      </c>
      <c r="P1335" s="17">
        <v>250</v>
      </c>
      <c r="Q1335" s="17">
        <v>1502.9</v>
      </c>
      <c r="R1335" s="17">
        <v>0</v>
      </c>
      <c r="S1335" s="17"/>
      <c r="T1335" s="17" t="s">
        <v>2965</v>
      </c>
      <c r="U1335" s="17" t="s">
        <v>3055</v>
      </c>
      <c r="V1335" s="17" t="s">
        <v>3056</v>
      </c>
      <c r="W1335" s="17"/>
      <c r="X1335" s="17"/>
    </row>
    <row r="1336" spans="1:24" hidden="1">
      <c r="A1336" s="18">
        <v>1335</v>
      </c>
      <c r="B1336" s="17" t="s">
        <v>2888</v>
      </c>
      <c r="C1336" s="17" t="s">
        <v>2889</v>
      </c>
      <c r="D1336" s="17" t="s">
        <v>17</v>
      </c>
      <c r="E1336" s="17" t="s">
        <v>8</v>
      </c>
      <c r="F1336" s="17">
        <v>0</v>
      </c>
      <c r="G1336" s="17">
        <v>0</v>
      </c>
      <c r="H1336" s="17">
        <v>0</v>
      </c>
      <c r="I1336" s="17">
        <v>0</v>
      </c>
      <c r="J1336" s="17">
        <v>0</v>
      </c>
      <c r="K1336" s="17">
        <v>0</v>
      </c>
      <c r="L1336" s="17">
        <v>0</v>
      </c>
      <c r="M1336" s="17">
        <v>0</v>
      </c>
      <c r="N1336" s="17">
        <v>0</v>
      </c>
      <c r="O1336" s="17">
        <v>0</v>
      </c>
      <c r="P1336" s="17">
        <v>0</v>
      </c>
      <c r="Q1336" s="17">
        <v>0</v>
      </c>
      <c r="R1336" s="17">
        <v>0</v>
      </c>
      <c r="S1336" s="17"/>
      <c r="T1336" s="17" t="s">
        <v>2972</v>
      </c>
      <c r="U1336" s="17" t="s">
        <v>3055</v>
      </c>
      <c r="V1336" s="17" t="s">
        <v>3056</v>
      </c>
      <c r="W1336" s="17"/>
      <c r="X1336" s="17"/>
    </row>
    <row r="1337" spans="1:24" hidden="1">
      <c r="A1337" s="18">
        <v>1336</v>
      </c>
      <c r="B1337" s="17" t="s">
        <v>3172</v>
      </c>
      <c r="C1337" s="17" t="s">
        <v>3173</v>
      </c>
      <c r="D1337" s="17" t="s">
        <v>7</v>
      </c>
      <c r="E1337" s="17" t="s">
        <v>8</v>
      </c>
      <c r="F1337" s="17">
        <v>1004.3</v>
      </c>
      <c r="G1337" s="17">
        <v>0</v>
      </c>
      <c r="H1337" s="17">
        <v>217.6</v>
      </c>
      <c r="I1337" s="17">
        <v>786.7</v>
      </c>
      <c r="J1337" s="17">
        <v>0</v>
      </c>
      <c r="K1337" s="17">
        <v>0</v>
      </c>
      <c r="L1337" s="17">
        <v>786.7</v>
      </c>
      <c r="M1337" s="17">
        <v>0</v>
      </c>
      <c r="N1337" s="17">
        <v>0</v>
      </c>
      <c r="O1337" s="17">
        <v>786.7</v>
      </c>
      <c r="P1337" s="17">
        <v>250</v>
      </c>
      <c r="Q1337" s="17">
        <v>536.70000000000005</v>
      </c>
      <c r="R1337" s="17">
        <v>0</v>
      </c>
      <c r="S1337" s="17"/>
      <c r="T1337" s="17" t="s">
        <v>2965</v>
      </c>
      <c r="U1337" s="17" t="s">
        <v>3055</v>
      </c>
      <c r="V1337" s="17" t="s">
        <v>3056</v>
      </c>
      <c r="W1337" s="17"/>
      <c r="X1337" s="17"/>
    </row>
    <row r="1338" spans="1:24" hidden="1">
      <c r="A1338" s="18">
        <v>1337</v>
      </c>
      <c r="B1338" s="17" t="s">
        <v>3085</v>
      </c>
      <c r="C1338" s="17" t="s">
        <v>3086</v>
      </c>
      <c r="D1338" s="17" t="s">
        <v>17</v>
      </c>
      <c r="E1338" s="17" t="s">
        <v>8</v>
      </c>
      <c r="F1338" s="17">
        <v>0</v>
      </c>
      <c r="G1338" s="17">
        <v>0</v>
      </c>
      <c r="H1338" s="17">
        <v>0</v>
      </c>
      <c r="I1338" s="17">
        <v>0</v>
      </c>
      <c r="J1338" s="17">
        <v>0</v>
      </c>
      <c r="K1338" s="17">
        <v>0</v>
      </c>
      <c r="L1338" s="17">
        <v>0</v>
      </c>
      <c r="M1338" s="17">
        <v>0</v>
      </c>
      <c r="N1338" s="17">
        <v>0</v>
      </c>
      <c r="O1338" s="17">
        <v>0</v>
      </c>
      <c r="P1338" s="17">
        <v>0</v>
      </c>
      <c r="Q1338" s="17">
        <v>0</v>
      </c>
      <c r="R1338" s="17">
        <v>0</v>
      </c>
      <c r="S1338" s="17"/>
      <c r="T1338" s="17" t="s">
        <v>3012</v>
      </c>
      <c r="U1338" s="17" t="s">
        <v>3057</v>
      </c>
      <c r="V1338" s="17" t="s">
        <v>3056</v>
      </c>
      <c r="W1338" s="17"/>
      <c r="X1338" s="17"/>
    </row>
    <row r="1339" spans="1:24" hidden="1">
      <c r="A1339" s="18">
        <v>1338</v>
      </c>
      <c r="B1339" s="17" t="s">
        <v>2900</v>
      </c>
      <c r="C1339" s="17" t="s">
        <v>2901</v>
      </c>
      <c r="D1339" s="17" t="s">
        <v>17</v>
      </c>
      <c r="E1339" s="17" t="s">
        <v>8</v>
      </c>
      <c r="F1339" s="17">
        <v>900</v>
      </c>
      <c r="G1339" s="17">
        <v>0</v>
      </c>
      <c r="H1339" s="17">
        <v>0</v>
      </c>
      <c r="I1339" s="17">
        <v>900</v>
      </c>
      <c r="J1339" s="17">
        <v>0</v>
      </c>
      <c r="K1339" s="17">
        <v>0</v>
      </c>
      <c r="L1339" s="17">
        <v>900</v>
      </c>
      <c r="M1339" s="17">
        <v>0</v>
      </c>
      <c r="N1339" s="17">
        <v>0</v>
      </c>
      <c r="O1339" s="17">
        <v>900</v>
      </c>
      <c r="P1339" s="17">
        <v>0</v>
      </c>
      <c r="Q1339" s="17">
        <v>900</v>
      </c>
      <c r="R1339" s="17">
        <v>0</v>
      </c>
      <c r="S1339" s="17"/>
      <c r="T1339" s="17" t="s">
        <v>2972</v>
      </c>
      <c r="U1339" s="17" t="s">
        <v>3055</v>
      </c>
      <c r="V1339" s="17" t="s">
        <v>3056</v>
      </c>
      <c r="W1339" s="17"/>
      <c r="X1339" s="17"/>
    </row>
    <row r="1340" spans="1:24" hidden="1">
      <c r="A1340" s="18">
        <v>1339</v>
      </c>
      <c r="B1340" s="17" t="s">
        <v>3102</v>
      </c>
      <c r="C1340" s="17" t="s">
        <v>3103</v>
      </c>
      <c r="D1340" s="17" t="s">
        <v>20</v>
      </c>
      <c r="E1340" s="17" t="s">
        <v>8</v>
      </c>
      <c r="F1340" s="17">
        <v>0</v>
      </c>
      <c r="G1340" s="17">
        <v>0</v>
      </c>
      <c r="H1340" s="17">
        <v>0</v>
      </c>
      <c r="I1340" s="17">
        <v>0</v>
      </c>
      <c r="J1340" s="17">
        <v>0</v>
      </c>
      <c r="K1340" s="17">
        <v>0</v>
      </c>
      <c r="L1340" s="17">
        <v>0</v>
      </c>
      <c r="M1340" s="17">
        <v>0</v>
      </c>
      <c r="N1340" s="17">
        <v>0</v>
      </c>
      <c r="O1340" s="17">
        <v>0</v>
      </c>
      <c r="P1340" s="17">
        <v>0</v>
      </c>
      <c r="Q1340" s="17">
        <v>0</v>
      </c>
      <c r="R1340" s="17">
        <v>0</v>
      </c>
      <c r="S1340" s="17"/>
      <c r="T1340" s="17" t="s">
        <v>2991</v>
      </c>
      <c r="U1340" s="17" t="s">
        <v>3057</v>
      </c>
      <c r="V1340" s="17" t="s">
        <v>3056</v>
      </c>
      <c r="W1340" s="17"/>
      <c r="X1340" s="17"/>
    </row>
    <row r="1341" spans="1:24" hidden="1">
      <c r="A1341" s="18">
        <v>1340</v>
      </c>
      <c r="B1341" s="17" t="s">
        <v>2917</v>
      </c>
      <c r="C1341" s="17" t="s">
        <v>2918</v>
      </c>
      <c r="D1341" s="17" t="s">
        <v>17</v>
      </c>
      <c r="E1341" s="17" t="s">
        <v>8</v>
      </c>
      <c r="F1341" s="17">
        <v>4100</v>
      </c>
      <c r="G1341" s="17">
        <v>0</v>
      </c>
      <c r="H1341" s="17">
        <v>225</v>
      </c>
      <c r="I1341" s="17">
        <v>3875</v>
      </c>
      <c r="J1341" s="17">
        <v>0</v>
      </c>
      <c r="K1341" s="17">
        <v>0</v>
      </c>
      <c r="L1341" s="17">
        <v>3875</v>
      </c>
      <c r="M1341" s="17">
        <v>0</v>
      </c>
      <c r="N1341" s="17">
        <v>0</v>
      </c>
      <c r="O1341" s="17">
        <v>3875</v>
      </c>
      <c r="P1341" s="17">
        <v>500</v>
      </c>
      <c r="Q1341" s="17">
        <v>3375</v>
      </c>
      <c r="R1341" s="17">
        <v>0</v>
      </c>
      <c r="S1341" s="17"/>
      <c r="T1341" s="17" t="s">
        <v>2991</v>
      </c>
      <c r="U1341" s="17" t="s">
        <v>3057</v>
      </c>
      <c r="V1341" s="17" t="s">
        <v>3056</v>
      </c>
      <c r="W1341" s="17"/>
      <c r="X1341" s="17"/>
    </row>
    <row r="1342" spans="1:24" hidden="1">
      <c r="A1342" s="18">
        <v>1341</v>
      </c>
      <c r="B1342" s="17" t="s">
        <v>3108</v>
      </c>
      <c r="C1342" s="17" t="s">
        <v>3109</v>
      </c>
      <c r="D1342" s="17" t="s">
        <v>17</v>
      </c>
      <c r="E1342" s="17" t="s">
        <v>8</v>
      </c>
      <c r="F1342" s="17">
        <v>0</v>
      </c>
      <c r="G1342" s="17">
        <v>0</v>
      </c>
      <c r="H1342" s="17">
        <v>0</v>
      </c>
      <c r="I1342" s="17">
        <v>0</v>
      </c>
      <c r="J1342" s="17">
        <v>0</v>
      </c>
      <c r="K1342" s="17">
        <v>0</v>
      </c>
      <c r="L1342" s="17">
        <v>0</v>
      </c>
      <c r="M1342" s="17">
        <v>0</v>
      </c>
      <c r="N1342" s="17">
        <v>0</v>
      </c>
      <c r="O1342" s="17">
        <v>0</v>
      </c>
      <c r="P1342" s="17">
        <v>0</v>
      </c>
      <c r="Q1342" s="17">
        <v>0</v>
      </c>
      <c r="R1342" s="17">
        <v>0</v>
      </c>
      <c r="S1342" s="17"/>
      <c r="T1342" s="17" t="s">
        <v>2982</v>
      </c>
      <c r="U1342" s="17" t="s">
        <v>3060</v>
      </c>
      <c r="V1342" s="17" t="s">
        <v>3058</v>
      </c>
      <c r="W1342" s="17"/>
      <c r="X1342" s="17"/>
    </row>
    <row r="1343" spans="1:24" hidden="1">
      <c r="A1343" s="18">
        <v>1342</v>
      </c>
      <c r="B1343" s="17" t="s">
        <v>2921</v>
      </c>
      <c r="C1343" s="17" t="s">
        <v>2922</v>
      </c>
      <c r="D1343" s="17" t="s">
        <v>17</v>
      </c>
      <c r="E1343" s="17" t="s">
        <v>8</v>
      </c>
      <c r="F1343" s="17">
        <v>0</v>
      </c>
      <c r="G1343" s="17">
        <v>0</v>
      </c>
      <c r="H1343" s="17">
        <v>0</v>
      </c>
      <c r="I1343" s="17">
        <v>0</v>
      </c>
      <c r="J1343" s="17">
        <v>0</v>
      </c>
      <c r="K1343" s="17">
        <v>0</v>
      </c>
      <c r="L1343" s="17">
        <v>0</v>
      </c>
      <c r="M1343" s="17">
        <v>0</v>
      </c>
      <c r="N1343" s="17">
        <v>0</v>
      </c>
      <c r="O1343" s="17">
        <v>0</v>
      </c>
      <c r="P1343" s="17">
        <v>0</v>
      </c>
      <c r="Q1343" s="17">
        <v>0</v>
      </c>
      <c r="R1343" s="17">
        <v>0</v>
      </c>
      <c r="S1343" s="17"/>
      <c r="T1343" s="17" t="s">
        <v>2972</v>
      </c>
      <c r="U1343" s="17" t="s">
        <v>3057</v>
      </c>
      <c r="V1343" s="17" t="s">
        <v>3058</v>
      </c>
      <c r="W1343" s="17"/>
      <c r="X1343" s="17"/>
    </row>
    <row r="1344" spans="1:24" hidden="1">
      <c r="A1344" s="18">
        <v>1343</v>
      </c>
      <c r="B1344" s="17" t="s">
        <v>2925</v>
      </c>
      <c r="C1344" s="17" t="s">
        <v>2926</v>
      </c>
      <c r="D1344" s="17" t="s">
        <v>17</v>
      </c>
      <c r="E1344" s="17" t="s">
        <v>8</v>
      </c>
      <c r="F1344" s="17">
        <v>0</v>
      </c>
      <c r="G1344" s="17">
        <v>0</v>
      </c>
      <c r="H1344" s="17">
        <v>0</v>
      </c>
      <c r="I1344" s="17">
        <v>0</v>
      </c>
      <c r="J1344" s="17">
        <v>0</v>
      </c>
      <c r="K1344" s="17">
        <v>0</v>
      </c>
      <c r="L1344" s="17">
        <v>0</v>
      </c>
      <c r="M1344" s="17">
        <v>0</v>
      </c>
      <c r="N1344" s="17">
        <v>0</v>
      </c>
      <c r="O1344" s="17">
        <v>0</v>
      </c>
      <c r="P1344" s="17">
        <v>0</v>
      </c>
      <c r="Q1344" s="17">
        <v>0</v>
      </c>
      <c r="R1344" s="17">
        <v>0</v>
      </c>
      <c r="S1344" s="17"/>
      <c r="T1344" s="17" t="s">
        <v>2972</v>
      </c>
      <c r="U1344" s="17" t="s">
        <v>3057</v>
      </c>
      <c r="V1344" s="17" t="s">
        <v>3058</v>
      </c>
      <c r="W1344" s="17"/>
      <c r="X1344" s="17"/>
    </row>
    <row r="1345" spans="1:24" hidden="1">
      <c r="A1345" s="18">
        <v>1344</v>
      </c>
      <c r="B1345" s="17" t="s">
        <v>2894</v>
      </c>
      <c r="C1345" s="17" t="s">
        <v>2895</v>
      </c>
      <c r="D1345" s="17" t="s">
        <v>17</v>
      </c>
      <c r="E1345" s="17" t="s">
        <v>8</v>
      </c>
      <c r="F1345" s="17">
        <v>5400</v>
      </c>
      <c r="G1345" s="17">
        <v>5020</v>
      </c>
      <c r="H1345" s="17">
        <v>3295</v>
      </c>
      <c r="I1345" s="17">
        <v>7125</v>
      </c>
      <c r="J1345" s="17">
        <v>0</v>
      </c>
      <c r="K1345" s="17">
        <v>0</v>
      </c>
      <c r="L1345" s="17">
        <v>7125</v>
      </c>
      <c r="M1345" s="17">
        <v>0</v>
      </c>
      <c r="N1345" s="17">
        <v>0</v>
      </c>
      <c r="O1345" s="17">
        <v>7125</v>
      </c>
      <c r="P1345" s="17">
        <v>5000</v>
      </c>
      <c r="Q1345" s="17">
        <v>2125</v>
      </c>
      <c r="R1345" s="17">
        <v>5000</v>
      </c>
      <c r="S1345" s="17"/>
      <c r="T1345" s="17" t="s">
        <v>2972</v>
      </c>
      <c r="U1345" s="17" t="s">
        <v>3055</v>
      </c>
      <c r="V1345" s="17" t="s">
        <v>3056</v>
      </c>
      <c r="W1345" s="17"/>
      <c r="X1345" s="17"/>
    </row>
    <row r="1346" spans="1:24" hidden="1">
      <c r="A1346" s="18">
        <v>1345</v>
      </c>
      <c r="B1346" s="17" t="s">
        <v>2890</v>
      </c>
      <c r="C1346" s="17" t="s">
        <v>2891</v>
      </c>
      <c r="D1346" s="17" t="s">
        <v>17</v>
      </c>
      <c r="E1346" s="17" t="s">
        <v>8</v>
      </c>
      <c r="F1346" s="17">
        <v>2150</v>
      </c>
      <c r="G1346" s="17">
        <v>0</v>
      </c>
      <c r="H1346" s="17">
        <v>0</v>
      </c>
      <c r="I1346" s="17">
        <v>2150</v>
      </c>
      <c r="J1346" s="17">
        <v>0</v>
      </c>
      <c r="K1346" s="17">
        <v>0</v>
      </c>
      <c r="L1346" s="17">
        <v>2150</v>
      </c>
      <c r="M1346" s="17">
        <v>0</v>
      </c>
      <c r="N1346" s="17">
        <v>0</v>
      </c>
      <c r="O1346" s="17">
        <v>2150</v>
      </c>
      <c r="P1346" s="17">
        <v>300</v>
      </c>
      <c r="Q1346" s="17">
        <v>1850</v>
      </c>
      <c r="R1346" s="17">
        <v>0</v>
      </c>
      <c r="S1346" s="17"/>
      <c r="T1346" s="17" t="s">
        <v>2972</v>
      </c>
      <c r="U1346" s="17" t="s">
        <v>3055</v>
      </c>
      <c r="V1346" s="17" t="s">
        <v>3056</v>
      </c>
      <c r="W1346" s="17"/>
      <c r="X1346" s="17"/>
    </row>
    <row r="1347" spans="1:24" hidden="1">
      <c r="A1347" s="18">
        <v>1346</v>
      </c>
      <c r="B1347" s="17" t="s">
        <v>2884</v>
      </c>
      <c r="C1347" s="17" t="s">
        <v>2885</v>
      </c>
      <c r="D1347" s="17" t="s">
        <v>17</v>
      </c>
      <c r="E1347" s="17" t="s">
        <v>8</v>
      </c>
      <c r="F1347" s="17">
        <v>3606</v>
      </c>
      <c r="G1347" s="17">
        <v>0</v>
      </c>
      <c r="H1347" s="17">
        <v>400</v>
      </c>
      <c r="I1347" s="17">
        <v>3206</v>
      </c>
      <c r="J1347" s="17">
        <v>780</v>
      </c>
      <c r="K1347" s="17">
        <v>0</v>
      </c>
      <c r="L1347" s="17">
        <v>2426</v>
      </c>
      <c r="M1347" s="17">
        <v>0</v>
      </c>
      <c r="N1347" s="17">
        <v>0</v>
      </c>
      <c r="O1347" s="17">
        <v>2426</v>
      </c>
      <c r="P1347" s="17">
        <v>500</v>
      </c>
      <c r="Q1347" s="17">
        <v>1926</v>
      </c>
      <c r="R1347" s="17">
        <v>0</v>
      </c>
      <c r="S1347" s="17"/>
      <c r="T1347" s="17" t="s">
        <v>2972</v>
      </c>
      <c r="U1347" s="17" t="s">
        <v>3055</v>
      </c>
      <c r="V1347" s="17" t="s">
        <v>3056</v>
      </c>
      <c r="W1347" s="17"/>
      <c r="X1347" s="17"/>
    </row>
    <row r="1348" spans="1:24" hidden="1">
      <c r="A1348" s="18">
        <v>1347</v>
      </c>
      <c r="B1348" s="17" t="s">
        <v>2898</v>
      </c>
      <c r="C1348" s="17" t="s">
        <v>2899</v>
      </c>
      <c r="D1348" s="17" t="s">
        <v>17</v>
      </c>
      <c r="E1348" s="17" t="s">
        <v>8</v>
      </c>
      <c r="F1348" s="17">
        <v>5300</v>
      </c>
      <c r="G1348" s="17">
        <v>5090</v>
      </c>
      <c r="H1348" s="17">
        <v>3240</v>
      </c>
      <c r="I1348" s="17">
        <v>7150</v>
      </c>
      <c r="J1348" s="17">
        <v>0</v>
      </c>
      <c r="K1348" s="17">
        <v>0</v>
      </c>
      <c r="L1348" s="17">
        <v>7150</v>
      </c>
      <c r="M1348" s="17">
        <v>0</v>
      </c>
      <c r="N1348" s="17">
        <v>0</v>
      </c>
      <c r="O1348" s="17">
        <v>7150</v>
      </c>
      <c r="P1348" s="17">
        <v>5000</v>
      </c>
      <c r="Q1348" s="17">
        <v>2150</v>
      </c>
      <c r="R1348" s="17">
        <v>5000</v>
      </c>
      <c r="S1348" s="17"/>
      <c r="T1348" s="17" t="s">
        <v>2972</v>
      </c>
      <c r="U1348" s="17" t="s">
        <v>3055</v>
      </c>
      <c r="V1348" s="17" t="s">
        <v>3056</v>
      </c>
      <c r="W1348" s="17"/>
      <c r="X1348" s="17"/>
    </row>
    <row r="1349" spans="1:24" hidden="1">
      <c r="A1349" s="18">
        <v>1348</v>
      </c>
      <c r="B1349" s="17" t="s">
        <v>3112</v>
      </c>
      <c r="C1349" s="17" t="s">
        <v>3113</v>
      </c>
      <c r="D1349" s="17" t="s">
        <v>17</v>
      </c>
      <c r="E1349" s="17" t="s">
        <v>8</v>
      </c>
      <c r="F1349" s="17">
        <v>0</v>
      </c>
      <c r="G1349" s="17">
        <v>0</v>
      </c>
      <c r="H1349" s="17">
        <v>0</v>
      </c>
      <c r="I1349" s="17">
        <v>0</v>
      </c>
      <c r="J1349" s="17">
        <v>0</v>
      </c>
      <c r="K1349" s="17">
        <v>0</v>
      </c>
      <c r="L1349" s="17">
        <v>0</v>
      </c>
      <c r="M1349" s="17">
        <v>0</v>
      </c>
      <c r="N1349" s="17">
        <v>0</v>
      </c>
      <c r="O1349" s="17">
        <v>0</v>
      </c>
      <c r="P1349" s="17">
        <v>0</v>
      </c>
      <c r="Q1349" s="17">
        <v>0</v>
      </c>
      <c r="R1349" s="17">
        <v>0</v>
      </c>
      <c r="S1349" s="17"/>
      <c r="T1349" s="17" t="s">
        <v>2982</v>
      </c>
      <c r="U1349" s="17" t="s">
        <v>3060</v>
      </c>
      <c r="V1349" s="17" t="s">
        <v>3058</v>
      </c>
      <c r="W1349" s="17"/>
      <c r="X1349" s="17"/>
    </row>
    <row r="1350" spans="1:24" hidden="1">
      <c r="A1350" s="18">
        <v>1349</v>
      </c>
      <c r="B1350" s="17" t="s">
        <v>3110</v>
      </c>
      <c r="C1350" s="17" t="s">
        <v>3111</v>
      </c>
      <c r="D1350" s="17" t="s">
        <v>20</v>
      </c>
      <c r="E1350" s="17" t="s">
        <v>8</v>
      </c>
      <c r="F1350" s="17">
        <v>0</v>
      </c>
      <c r="G1350" s="17">
        <v>0</v>
      </c>
      <c r="H1350" s="17">
        <v>0</v>
      </c>
      <c r="I1350" s="17">
        <v>0</v>
      </c>
      <c r="J1350" s="17">
        <v>0</v>
      </c>
      <c r="K1350" s="17">
        <v>0</v>
      </c>
      <c r="L1350" s="17">
        <v>0</v>
      </c>
      <c r="M1350" s="17">
        <v>0</v>
      </c>
      <c r="N1350" s="17">
        <v>0</v>
      </c>
      <c r="O1350" s="17">
        <v>0</v>
      </c>
      <c r="P1350" s="17">
        <v>0</v>
      </c>
      <c r="Q1350" s="17">
        <v>0</v>
      </c>
      <c r="R1350" s="17">
        <v>0</v>
      </c>
      <c r="S1350" s="17"/>
      <c r="T1350" s="17" t="s">
        <v>3000</v>
      </c>
      <c r="U1350" s="17" t="s">
        <v>3057</v>
      </c>
      <c r="V1350" s="17" t="s">
        <v>3056</v>
      </c>
      <c r="W1350" s="17"/>
      <c r="X1350" s="17"/>
    </row>
    <row r="1351" spans="1:24" hidden="1">
      <c r="A1351" s="18">
        <v>1350</v>
      </c>
      <c r="B1351" s="17" t="s">
        <v>2882</v>
      </c>
      <c r="C1351" s="17" t="s">
        <v>2883</v>
      </c>
      <c r="D1351" s="17" t="s">
        <v>17</v>
      </c>
      <c r="E1351" s="17" t="s">
        <v>8</v>
      </c>
      <c r="F1351" s="17">
        <v>23650</v>
      </c>
      <c r="G1351" s="17">
        <v>0</v>
      </c>
      <c r="H1351" s="17">
        <v>0</v>
      </c>
      <c r="I1351" s="17">
        <v>23650</v>
      </c>
      <c r="J1351" s="17">
        <v>0</v>
      </c>
      <c r="K1351" s="17">
        <v>0</v>
      </c>
      <c r="L1351" s="17">
        <v>23650</v>
      </c>
      <c r="M1351" s="17">
        <v>0</v>
      </c>
      <c r="N1351" s="17">
        <v>0</v>
      </c>
      <c r="O1351" s="17">
        <v>23650</v>
      </c>
      <c r="P1351" s="17">
        <v>5000</v>
      </c>
      <c r="Q1351" s="17">
        <v>18650</v>
      </c>
      <c r="R1351" s="17">
        <v>0</v>
      </c>
      <c r="S1351" s="17"/>
      <c r="T1351" s="17" t="s">
        <v>2972</v>
      </c>
      <c r="U1351" s="17" t="s">
        <v>3055</v>
      </c>
      <c r="V1351" s="17" t="s">
        <v>3056</v>
      </c>
      <c r="W1351" s="17"/>
      <c r="X1351" s="17"/>
    </row>
    <row r="1352" spans="1:24" hidden="1">
      <c r="A1352" s="18">
        <v>1351</v>
      </c>
      <c r="B1352" s="17" t="s">
        <v>3174</v>
      </c>
      <c r="C1352" s="17" t="s">
        <v>3175</v>
      </c>
      <c r="D1352" s="17" t="s">
        <v>7</v>
      </c>
      <c r="E1352" s="17" t="s">
        <v>8</v>
      </c>
      <c r="F1352" s="17">
        <v>1200</v>
      </c>
      <c r="G1352" s="17">
        <v>0</v>
      </c>
      <c r="H1352" s="17">
        <v>0</v>
      </c>
      <c r="I1352" s="17">
        <v>1200</v>
      </c>
      <c r="J1352" s="17">
        <v>0</v>
      </c>
      <c r="K1352" s="17">
        <v>0</v>
      </c>
      <c r="L1352" s="17">
        <v>1200</v>
      </c>
      <c r="M1352" s="17">
        <v>0</v>
      </c>
      <c r="N1352" s="17">
        <v>0</v>
      </c>
      <c r="O1352" s="17">
        <v>1200</v>
      </c>
      <c r="P1352" s="17">
        <v>7200</v>
      </c>
      <c r="Q1352" s="17">
        <v>-6000</v>
      </c>
      <c r="R1352" s="17">
        <v>0</v>
      </c>
      <c r="S1352" s="17"/>
      <c r="T1352" s="17" t="s">
        <v>2972</v>
      </c>
      <c r="U1352" s="17" t="s">
        <v>3057</v>
      </c>
      <c r="V1352" s="17" t="s">
        <v>3056</v>
      </c>
      <c r="W1352" s="17"/>
      <c r="X1352" s="17"/>
    </row>
    <row r="1353" spans="1:24" hidden="1">
      <c r="A1353" s="18">
        <v>1352</v>
      </c>
      <c r="B1353" s="17" t="s">
        <v>2932</v>
      </c>
      <c r="C1353" s="17" t="s">
        <v>2933</v>
      </c>
      <c r="D1353" s="17" t="s">
        <v>17</v>
      </c>
      <c r="E1353" s="17" t="s">
        <v>8</v>
      </c>
      <c r="F1353" s="17">
        <v>0</v>
      </c>
      <c r="G1353" s="17">
        <v>0</v>
      </c>
      <c r="H1353" s="17">
        <v>0</v>
      </c>
      <c r="I1353" s="17">
        <v>0</v>
      </c>
      <c r="J1353" s="17">
        <v>0</v>
      </c>
      <c r="K1353" s="17">
        <v>0</v>
      </c>
      <c r="L1353" s="17">
        <v>0</v>
      </c>
      <c r="M1353" s="17">
        <v>0</v>
      </c>
      <c r="N1353" s="17">
        <v>0</v>
      </c>
      <c r="O1353" s="17">
        <v>0</v>
      </c>
      <c r="P1353" s="17">
        <v>0</v>
      </c>
      <c r="Q1353" s="17">
        <v>0</v>
      </c>
      <c r="R1353" s="17">
        <v>0</v>
      </c>
      <c r="S1353" s="17"/>
      <c r="T1353" s="17" t="s">
        <v>2982</v>
      </c>
      <c r="U1353" s="17" t="s">
        <v>3060</v>
      </c>
      <c r="V1353" s="17" t="s">
        <v>3058</v>
      </c>
      <c r="W1353" s="17"/>
      <c r="X1353" s="17"/>
    </row>
    <row r="1354" spans="1:24" hidden="1">
      <c r="A1354" s="18">
        <v>1353</v>
      </c>
      <c r="B1354" s="17" t="s">
        <v>3176</v>
      </c>
      <c r="C1354" s="17" t="s">
        <v>3177</v>
      </c>
      <c r="D1354" s="17" t="s">
        <v>17</v>
      </c>
      <c r="E1354" s="17" t="s">
        <v>8</v>
      </c>
      <c r="F1354" s="17">
        <v>0</v>
      </c>
      <c r="G1354" s="17">
        <v>0</v>
      </c>
      <c r="H1354" s="17">
        <v>0</v>
      </c>
      <c r="I1354" s="17">
        <v>0</v>
      </c>
      <c r="J1354" s="17">
        <v>0</v>
      </c>
      <c r="K1354" s="17">
        <v>0</v>
      </c>
      <c r="L1354" s="17">
        <v>0</v>
      </c>
      <c r="M1354" s="17">
        <v>0</v>
      </c>
      <c r="N1354" s="17">
        <v>0</v>
      </c>
      <c r="O1354" s="17">
        <v>0</v>
      </c>
      <c r="P1354" s="17">
        <v>0</v>
      </c>
      <c r="Q1354" s="17">
        <v>0</v>
      </c>
      <c r="R1354" s="17">
        <v>0</v>
      </c>
      <c r="S1354" s="17"/>
      <c r="T1354" s="17" t="s">
        <v>2982</v>
      </c>
      <c r="U1354" s="17" t="s">
        <v>3060</v>
      </c>
      <c r="V1354" s="17" t="s">
        <v>3058</v>
      </c>
      <c r="W1354" s="17"/>
      <c r="X1354" s="17"/>
    </row>
    <row r="1355" spans="1:24" hidden="1">
      <c r="A1355" s="18">
        <v>1354</v>
      </c>
      <c r="B1355" s="17" t="s">
        <v>2928</v>
      </c>
      <c r="C1355" s="17" t="s">
        <v>2929</v>
      </c>
      <c r="D1355" s="17" t="s">
        <v>17</v>
      </c>
      <c r="E1355" s="17" t="s">
        <v>8</v>
      </c>
      <c r="F1355" s="17">
        <v>1120</v>
      </c>
      <c r="G1355" s="17">
        <v>0</v>
      </c>
      <c r="H1355" s="17">
        <v>0</v>
      </c>
      <c r="I1355" s="17">
        <v>1120</v>
      </c>
      <c r="J1355" s="17">
        <v>0</v>
      </c>
      <c r="K1355" s="17">
        <v>0</v>
      </c>
      <c r="L1355" s="17">
        <v>1120</v>
      </c>
      <c r="M1355" s="17">
        <v>0</v>
      </c>
      <c r="N1355" s="17">
        <v>0</v>
      </c>
      <c r="O1355" s="17">
        <v>1120</v>
      </c>
      <c r="P1355" s="17">
        <v>250</v>
      </c>
      <c r="Q1355" s="17">
        <v>870</v>
      </c>
      <c r="R1355" s="17">
        <v>0</v>
      </c>
      <c r="S1355" s="17"/>
      <c r="T1355" s="17" t="s">
        <v>2972</v>
      </c>
      <c r="U1355" s="17" t="s">
        <v>3057</v>
      </c>
      <c r="V1355" s="17" t="s">
        <v>3058</v>
      </c>
      <c r="W1355" s="17"/>
      <c r="X1355" s="17"/>
    </row>
    <row r="1356" spans="1:24" hidden="1">
      <c r="A1356" s="18">
        <v>1355</v>
      </c>
      <c r="B1356" s="17" t="s">
        <v>2930</v>
      </c>
      <c r="C1356" s="17" t="s">
        <v>2931</v>
      </c>
      <c r="D1356" s="17" t="s">
        <v>20</v>
      </c>
      <c r="E1356" s="17" t="s">
        <v>8</v>
      </c>
      <c r="F1356" s="17">
        <v>0</v>
      </c>
      <c r="G1356" s="17">
        <v>0</v>
      </c>
      <c r="H1356" s="17">
        <v>0</v>
      </c>
      <c r="I1356" s="17">
        <v>0</v>
      </c>
      <c r="J1356" s="17">
        <v>0</v>
      </c>
      <c r="K1356" s="17">
        <v>0</v>
      </c>
      <c r="L1356" s="17">
        <v>0</v>
      </c>
      <c r="M1356" s="17">
        <v>0</v>
      </c>
      <c r="N1356" s="17">
        <v>0</v>
      </c>
      <c r="O1356" s="17">
        <v>0</v>
      </c>
      <c r="P1356" s="17">
        <v>0</v>
      </c>
      <c r="Q1356" s="17">
        <v>0</v>
      </c>
      <c r="R1356" s="17">
        <v>0</v>
      </c>
      <c r="S1356" s="17"/>
      <c r="T1356" s="17" t="s">
        <v>3031</v>
      </c>
      <c r="U1356" s="17" t="s">
        <v>3057</v>
      </c>
      <c r="V1356" s="17" t="s">
        <v>3056</v>
      </c>
      <c r="W1356" s="17"/>
      <c r="X1356" s="17"/>
    </row>
    <row r="1357" spans="1:24" hidden="1">
      <c r="A1357" s="18">
        <v>1356</v>
      </c>
      <c r="B1357" s="17" t="s">
        <v>3178</v>
      </c>
      <c r="C1357" s="17" t="s">
        <v>3179</v>
      </c>
      <c r="D1357" s="17" t="s">
        <v>17</v>
      </c>
      <c r="E1357" s="17" t="s">
        <v>8</v>
      </c>
      <c r="F1357" s="17">
        <v>0</v>
      </c>
      <c r="G1357" s="17">
        <v>0</v>
      </c>
      <c r="H1357" s="17">
        <v>0</v>
      </c>
      <c r="I1357" s="17">
        <v>0</v>
      </c>
      <c r="J1357" s="17">
        <v>0</v>
      </c>
      <c r="K1357" s="17">
        <v>0</v>
      </c>
      <c r="L1357" s="17">
        <v>0</v>
      </c>
      <c r="M1357" s="17">
        <v>0</v>
      </c>
      <c r="N1357" s="17">
        <v>0</v>
      </c>
      <c r="O1357" s="17">
        <v>0</v>
      </c>
      <c r="P1357" s="17">
        <v>0</v>
      </c>
      <c r="Q1357" s="17">
        <v>0</v>
      </c>
      <c r="R1357" s="17">
        <v>0</v>
      </c>
      <c r="S1357" s="17"/>
      <c r="T1357" s="17" t="s">
        <v>2963</v>
      </c>
      <c r="U1357" s="17" t="s">
        <v>3057</v>
      </c>
      <c r="V1357" s="17" t="s">
        <v>3058</v>
      </c>
      <c r="W1357" s="17"/>
      <c r="X1357" s="17"/>
    </row>
    <row r="1358" spans="1:24" hidden="1">
      <c r="A1358" s="18">
        <v>1357</v>
      </c>
      <c r="B1358" s="17" t="s">
        <v>3180</v>
      </c>
      <c r="C1358" s="17" t="s">
        <v>3181</v>
      </c>
      <c r="D1358" s="17" t="s">
        <v>17</v>
      </c>
      <c r="E1358" s="17" t="s">
        <v>8</v>
      </c>
      <c r="F1358" s="17">
        <v>0</v>
      </c>
      <c r="G1358" s="17">
        <v>6590</v>
      </c>
      <c r="H1358" s="17">
        <v>5330</v>
      </c>
      <c r="I1358" s="17">
        <v>1260</v>
      </c>
      <c r="J1358" s="17">
        <v>0</v>
      </c>
      <c r="K1358" s="17">
        <v>0</v>
      </c>
      <c r="L1358" s="17">
        <v>1260</v>
      </c>
      <c r="M1358" s="17">
        <v>750</v>
      </c>
      <c r="N1358" s="17">
        <v>0</v>
      </c>
      <c r="O1358" s="17">
        <v>2010</v>
      </c>
      <c r="P1358" s="17">
        <v>0</v>
      </c>
      <c r="Q1358" s="17">
        <v>2010</v>
      </c>
      <c r="R1358" s="17">
        <v>8000</v>
      </c>
      <c r="S1358" s="17"/>
      <c r="T1358" s="17" t="s">
        <v>3006</v>
      </c>
      <c r="U1358" s="17" t="s">
        <v>3060</v>
      </c>
      <c r="V1358" s="17" t="s">
        <v>3064</v>
      </c>
      <c r="W1358" s="17"/>
      <c r="X1358" s="17"/>
    </row>
    <row r="1359" spans="1:24" hidden="1">
      <c r="A1359" s="18">
        <v>1358</v>
      </c>
      <c r="B1359" s="17" t="s">
        <v>3182</v>
      </c>
      <c r="C1359" s="17" t="s">
        <v>3183</v>
      </c>
      <c r="D1359" s="17" t="s">
        <v>17</v>
      </c>
      <c r="E1359" s="17" t="s">
        <v>8</v>
      </c>
      <c r="F1359" s="17">
        <v>127</v>
      </c>
      <c r="G1359" s="17">
        <v>0</v>
      </c>
      <c r="H1359" s="17">
        <v>0</v>
      </c>
      <c r="I1359" s="17">
        <v>127</v>
      </c>
      <c r="J1359" s="17">
        <v>0</v>
      </c>
      <c r="K1359" s="17">
        <v>0</v>
      </c>
      <c r="L1359" s="17">
        <v>127</v>
      </c>
      <c r="M1359" s="17">
        <v>0</v>
      </c>
      <c r="N1359" s="17">
        <v>0</v>
      </c>
      <c r="O1359" s="17">
        <v>127</v>
      </c>
      <c r="P1359" s="17">
        <v>50</v>
      </c>
      <c r="Q1359" s="17">
        <v>77</v>
      </c>
      <c r="R1359" s="17">
        <v>0</v>
      </c>
      <c r="S1359" s="17"/>
      <c r="T1359" s="17" t="s">
        <v>2972</v>
      </c>
      <c r="U1359" s="17" t="s">
        <v>3055</v>
      </c>
      <c r="V1359" s="17" t="s">
        <v>3056</v>
      </c>
      <c r="W1359" s="17"/>
      <c r="X1359" s="17"/>
    </row>
    <row r="1360" spans="1:24" hidden="1">
      <c r="A1360" s="18">
        <v>1359</v>
      </c>
      <c r="B1360" s="17" t="s">
        <v>3184</v>
      </c>
      <c r="C1360" s="17" t="s">
        <v>3185</v>
      </c>
      <c r="D1360" s="17" t="s">
        <v>17</v>
      </c>
      <c r="E1360" s="17" t="s">
        <v>8</v>
      </c>
      <c r="F1360" s="17">
        <v>166</v>
      </c>
      <c r="G1360" s="17">
        <v>0</v>
      </c>
      <c r="H1360" s="17">
        <v>20</v>
      </c>
      <c r="I1360" s="17">
        <v>146</v>
      </c>
      <c r="J1360" s="17">
        <v>0</v>
      </c>
      <c r="K1360" s="17">
        <v>0</v>
      </c>
      <c r="L1360" s="17">
        <v>146</v>
      </c>
      <c r="M1360" s="17">
        <v>0</v>
      </c>
      <c r="N1360" s="17">
        <v>0</v>
      </c>
      <c r="O1360" s="17">
        <v>146</v>
      </c>
      <c r="P1360" s="17">
        <v>50</v>
      </c>
      <c r="Q1360" s="17">
        <v>96</v>
      </c>
      <c r="R1360" s="17">
        <v>0</v>
      </c>
      <c r="S1360" s="17"/>
      <c r="T1360" s="17" t="s">
        <v>2972</v>
      </c>
      <c r="U1360" s="17" t="s">
        <v>3055</v>
      </c>
      <c r="V1360" s="17" t="s">
        <v>3056</v>
      </c>
      <c r="W1360" s="17"/>
      <c r="X1360" s="17"/>
    </row>
    <row r="1361" spans="1:24" hidden="1">
      <c r="A1361" s="18">
        <v>1360</v>
      </c>
      <c r="B1361" s="17" t="s">
        <v>3186</v>
      </c>
      <c r="C1361" s="17" t="s">
        <v>3187</v>
      </c>
      <c r="D1361" s="17" t="s">
        <v>17</v>
      </c>
      <c r="E1361" s="17" t="s">
        <v>8</v>
      </c>
      <c r="F1361" s="17">
        <v>140</v>
      </c>
      <c r="G1361" s="17">
        <v>0</v>
      </c>
      <c r="H1361" s="17">
        <v>50</v>
      </c>
      <c r="I1361" s="17">
        <v>90</v>
      </c>
      <c r="J1361" s="17">
        <v>0</v>
      </c>
      <c r="K1361" s="17">
        <v>0</v>
      </c>
      <c r="L1361" s="17">
        <v>90</v>
      </c>
      <c r="M1361" s="17">
        <v>0</v>
      </c>
      <c r="N1361" s="17">
        <v>0</v>
      </c>
      <c r="O1361" s="17">
        <v>90</v>
      </c>
      <c r="P1361" s="17">
        <v>250</v>
      </c>
      <c r="Q1361" s="17">
        <v>-160</v>
      </c>
      <c r="R1361" s="17">
        <v>0</v>
      </c>
      <c r="S1361" s="17"/>
      <c r="T1361" s="17" t="s">
        <v>2972</v>
      </c>
      <c r="U1361" s="17" t="s">
        <v>3055</v>
      </c>
      <c r="V1361" s="17" t="s">
        <v>3056</v>
      </c>
      <c r="W1361" s="17"/>
      <c r="X1361" s="17"/>
    </row>
    <row r="1362" spans="1:24" hidden="1">
      <c r="A1362" s="18">
        <v>1361</v>
      </c>
      <c r="B1362" s="17" t="s">
        <v>3188</v>
      </c>
      <c r="C1362" s="17" t="s">
        <v>3189</v>
      </c>
      <c r="D1362" s="17" t="s">
        <v>17</v>
      </c>
      <c r="E1362" s="17" t="s">
        <v>8</v>
      </c>
      <c r="F1362" s="17">
        <v>406</v>
      </c>
      <c r="G1362" s="17">
        <v>0</v>
      </c>
      <c r="H1362" s="17">
        <v>65</v>
      </c>
      <c r="I1362" s="17">
        <v>341</v>
      </c>
      <c r="J1362" s="17">
        <v>0</v>
      </c>
      <c r="K1362" s="17">
        <v>0</v>
      </c>
      <c r="L1362" s="17">
        <v>341</v>
      </c>
      <c r="M1362" s="17">
        <v>0</v>
      </c>
      <c r="N1362" s="17">
        <v>0</v>
      </c>
      <c r="O1362" s="17">
        <v>341</v>
      </c>
      <c r="P1362" s="17">
        <v>50</v>
      </c>
      <c r="Q1362" s="17">
        <v>291</v>
      </c>
      <c r="R1362" s="17">
        <v>0</v>
      </c>
      <c r="S1362" s="17"/>
      <c r="T1362" s="17" t="s">
        <v>2972</v>
      </c>
      <c r="U1362" s="17" t="s">
        <v>3055</v>
      </c>
      <c r="V1362" s="17" t="s">
        <v>3056</v>
      </c>
      <c r="W1362" s="17"/>
      <c r="X1362" s="17"/>
    </row>
    <row r="1363" spans="1:24" hidden="1">
      <c r="A1363" s="18">
        <v>1362</v>
      </c>
      <c r="B1363" s="17" t="s">
        <v>3190</v>
      </c>
      <c r="C1363" s="17" t="s">
        <v>3191</v>
      </c>
      <c r="D1363" s="17" t="s">
        <v>17</v>
      </c>
      <c r="E1363" s="17" t="s">
        <v>8</v>
      </c>
      <c r="F1363" s="17">
        <v>300</v>
      </c>
      <c r="G1363" s="17">
        <v>0</v>
      </c>
      <c r="H1363" s="17">
        <v>0</v>
      </c>
      <c r="I1363" s="17">
        <v>300</v>
      </c>
      <c r="J1363" s="17">
        <v>0</v>
      </c>
      <c r="K1363" s="17">
        <v>0</v>
      </c>
      <c r="L1363" s="17">
        <v>300</v>
      </c>
      <c r="M1363" s="17">
        <v>0</v>
      </c>
      <c r="N1363" s="17">
        <v>0</v>
      </c>
      <c r="O1363" s="17">
        <v>300</v>
      </c>
      <c r="P1363" s="17">
        <v>500</v>
      </c>
      <c r="Q1363" s="17">
        <v>-200</v>
      </c>
      <c r="R1363" s="17">
        <v>0</v>
      </c>
      <c r="S1363" s="17"/>
      <c r="T1363" s="17" t="s">
        <v>2972</v>
      </c>
      <c r="U1363" s="17" t="s">
        <v>3055</v>
      </c>
      <c r="V1363" s="17" t="s">
        <v>3056</v>
      </c>
      <c r="W1363" s="17"/>
      <c r="X1363" s="17"/>
    </row>
    <row r="1364" spans="1:24" hidden="1">
      <c r="A1364" s="18">
        <v>1363</v>
      </c>
      <c r="B1364" s="17" t="s">
        <v>3192</v>
      </c>
      <c r="C1364" s="17" t="s">
        <v>3193</v>
      </c>
      <c r="D1364" s="17" t="s">
        <v>17</v>
      </c>
      <c r="E1364" s="17" t="s">
        <v>8</v>
      </c>
      <c r="F1364" s="17">
        <v>564</v>
      </c>
      <c r="G1364" s="17">
        <v>0</v>
      </c>
      <c r="H1364" s="17">
        <v>45</v>
      </c>
      <c r="I1364" s="17">
        <v>519</v>
      </c>
      <c r="J1364" s="17">
        <v>0</v>
      </c>
      <c r="K1364" s="17">
        <v>0</v>
      </c>
      <c r="L1364" s="17">
        <v>519</v>
      </c>
      <c r="M1364" s="17">
        <v>0</v>
      </c>
      <c r="N1364" s="17">
        <v>0</v>
      </c>
      <c r="O1364" s="17">
        <v>519</v>
      </c>
      <c r="P1364" s="17">
        <v>100</v>
      </c>
      <c r="Q1364" s="17">
        <v>419</v>
      </c>
      <c r="R1364" s="17">
        <v>0</v>
      </c>
      <c r="S1364" s="17"/>
      <c r="T1364" s="17" t="s">
        <v>2972</v>
      </c>
      <c r="U1364" s="17" t="s">
        <v>3055</v>
      </c>
      <c r="V1364" s="17" t="s">
        <v>3056</v>
      </c>
      <c r="W1364" s="17"/>
      <c r="X1364" s="17"/>
    </row>
    <row r="1365" spans="1:24" hidden="1">
      <c r="A1365" s="18">
        <v>1364</v>
      </c>
      <c r="B1365" s="17" t="s">
        <v>3194</v>
      </c>
      <c r="C1365" s="17" t="s">
        <v>3195</v>
      </c>
      <c r="D1365" s="17" t="s">
        <v>17</v>
      </c>
      <c r="E1365" s="17" t="s">
        <v>8</v>
      </c>
      <c r="F1365" s="17">
        <v>419</v>
      </c>
      <c r="G1365" s="17">
        <v>0</v>
      </c>
      <c r="H1365" s="17">
        <v>220</v>
      </c>
      <c r="I1365" s="17">
        <v>199</v>
      </c>
      <c r="J1365" s="17">
        <v>0</v>
      </c>
      <c r="K1365" s="17">
        <v>0</v>
      </c>
      <c r="L1365" s="17">
        <v>199</v>
      </c>
      <c r="M1365" s="17">
        <v>0</v>
      </c>
      <c r="N1365" s="17">
        <v>0</v>
      </c>
      <c r="O1365" s="17">
        <v>199</v>
      </c>
      <c r="P1365" s="17">
        <v>260</v>
      </c>
      <c r="Q1365" s="17">
        <v>-61</v>
      </c>
      <c r="R1365" s="17">
        <v>0</v>
      </c>
      <c r="S1365" s="17"/>
      <c r="T1365" s="17" t="s">
        <v>2972</v>
      </c>
      <c r="U1365" s="17" t="s">
        <v>3055</v>
      </c>
      <c r="V1365" s="17" t="s">
        <v>3056</v>
      </c>
      <c r="W1365" s="17"/>
      <c r="X1365" s="17"/>
    </row>
    <row r="1366" spans="1:24" hidden="1">
      <c r="A1366" s="18">
        <v>1365</v>
      </c>
      <c r="B1366" s="17" t="s">
        <v>3196</v>
      </c>
      <c r="C1366" s="17" t="s">
        <v>3197</v>
      </c>
      <c r="D1366" s="17" t="s">
        <v>17</v>
      </c>
      <c r="E1366" s="17" t="s">
        <v>8</v>
      </c>
      <c r="F1366" s="17">
        <v>425</v>
      </c>
      <c r="G1366" s="17">
        <v>0</v>
      </c>
      <c r="H1366" s="17">
        <v>50</v>
      </c>
      <c r="I1366" s="17">
        <v>375</v>
      </c>
      <c r="J1366" s="17">
        <v>0</v>
      </c>
      <c r="K1366" s="17">
        <v>0</v>
      </c>
      <c r="L1366" s="17">
        <v>375</v>
      </c>
      <c r="M1366" s="17">
        <v>0</v>
      </c>
      <c r="N1366" s="17">
        <v>0</v>
      </c>
      <c r="O1366" s="17">
        <v>375</v>
      </c>
      <c r="P1366" s="17">
        <v>50</v>
      </c>
      <c r="Q1366" s="17">
        <v>325</v>
      </c>
      <c r="R1366" s="17">
        <v>0</v>
      </c>
      <c r="S1366" s="17"/>
      <c r="T1366" s="17" t="s">
        <v>2972</v>
      </c>
      <c r="U1366" s="17" t="s">
        <v>3055</v>
      </c>
      <c r="V1366" s="17" t="s">
        <v>3056</v>
      </c>
      <c r="W1366" s="17"/>
      <c r="X1366" s="17"/>
    </row>
    <row r="1367" spans="1:24" hidden="1">
      <c r="A1367" s="18">
        <v>1366</v>
      </c>
      <c r="B1367" s="17" t="s">
        <v>3198</v>
      </c>
      <c r="C1367" s="17" t="s">
        <v>3199</v>
      </c>
      <c r="D1367" s="17" t="s">
        <v>17</v>
      </c>
      <c r="E1367" s="17" t="s">
        <v>8</v>
      </c>
      <c r="F1367" s="17">
        <v>1000</v>
      </c>
      <c r="G1367" s="17">
        <v>0</v>
      </c>
      <c r="H1367" s="17">
        <v>0</v>
      </c>
      <c r="I1367" s="17">
        <v>1000</v>
      </c>
      <c r="J1367" s="17">
        <v>0</v>
      </c>
      <c r="K1367" s="17">
        <v>0</v>
      </c>
      <c r="L1367" s="17">
        <v>1000</v>
      </c>
      <c r="M1367" s="17">
        <v>0</v>
      </c>
      <c r="N1367" s="17">
        <v>0</v>
      </c>
      <c r="O1367" s="17">
        <v>1000</v>
      </c>
      <c r="P1367" s="17">
        <v>500</v>
      </c>
      <c r="Q1367" s="17">
        <v>500</v>
      </c>
      <c r="R1367" s="17">
        <v>0</v>
      </c>
      <c r="S1367" s="17"/>
      <c r="T1367" s="17" t="s">
        <v>2972</v>
      </c>
      <c r="U1367" s="17" t="s">
        <v>3055</v>
      </c>
      <c r="V1367" s="17" t="s">
        <v>3056</v>
      </c>
      <c r="W1367" s="17"/>
      <c r="X1367" s="17"/>
    </row>
    <row r="1368" spans="1:24" hidden="1">
      <c r="A1368" s="18">
        <v>1367</v>
      </c>
      <c r="B1368" s="17" t="s">
        <v>3200</v>
      </c>
      <c r="C1368" s="17" t="s">
        <v>3201</v>
      </c>
      <c r="D1368" s="17" t="s">
        <v>17</v>
      </c>
      <c r="E1368" s="17" t="s">
        <v>8</v>
      </c>
      <c r="F1368" s="17">
        <v>292</v>
      </c>
      <c r="G1368" s="17">
        <v>0</v>
      </c>
      <c r="H1368" s="17">
        <v>50</v>
      </c>
      <c r="I1368" s="17">
        <v>242</v>
      </c>
      <c r="J1368" s="17">
        <v>0</v>
      </c>
      <c r="K1368" s="17">
        <v>0</v>
      </c>
      <c r="L1368" s="17">
        <v>242</v>
      </c>
      <c r="M1368" s="17">
        <v>0</v>
      </c>
      <c r="N1368" s="17">
        <v>0</v>
      </c>
      <c r="O1368" s="17">
        <v>242</v>
      </c>
      <c r="P1368" s="17">
        <v>50</v>
      </c>
      <c r="Q1368" s="17">
        <v>192</v>
      </c>
      <c r="R1368" s="17">
        <v>0</v>
      </c>
      <c r="S1368" s="17"/>
      <c r="T1368" s="17" t="s">
        <v>2972</v>
      </c>
      <c r="U1368" s="17" t="s">
        <v>3055</v>
      </c>
      <c r="V1368" s="17" t="s">
        <v>3056</v>
      </c>
      <c r="W1368" s="17"/>
      <c r="X1368" s="17"/>
    </row>
    <row r="1369" spans="1:24" hidden="1">
      <c r="A1369" s="18">
        <v>1368</v>
      </c>
      <c r="B1369" s="17" t="s">
        <v>3202</v>
      </c>
      <c r="C1369" s="17" t="s">
        <v>3203</v>
      </c>
      <c r="D1369" s="17" t="s">
        <v>17</v>
      </c>
      <c r="E1369" s="17" t="s">
        <v>8</v>
      </c>
      <c r="F1369" s="17">
        <v>424</v>
      </c>
      <c r="G1369" s="17">
        <v>0</v>
      </c>
      <c r="H1369" s="17">
        <v>100</v>
      </c>
      <c r="I1369" s="17">
        <v>324</v>
      </c>
      <c r="J1369" s="17">
        <v>0</v>
      </c>
      <c r="K1369" s="17">
        <v>0</v>
      </c>
      <c r="L1369" s="17">
        <v>324</v>
      </c>
      <c r="M1369" s="17">
        <v>0</v>
      </c>
      <c r="N1369" s="17">
        <v>0</v>
      </c>
      <c r="O1369" s="17">
        <v>324</v>
      </c>
      <c r="P1369" s="17">
        <v>500</v>
      </c>
      <c r="Q1369" s="17">
        <v>-176</v>
      </c>
      <c r="R1369" s="17">
        <v>0</v>
      </c>
      <c r="S1369" s="17"/>
      <c r="T1369" s="17" t="s">
        <v>2972</v>
      </c>
      <c r="U1369" s="17" t="s">
        <v>3055</v>
      </c>
      <c r="V1369" s="17" t="s">
        <v>3056</v>
      </c>
      <c r="W1369" s="17"/>
      <c r="X1369" s="17"/>
    </row>
    <row r="1370" spans="1:24" hidden="1">
      <c r="A1370" s="18">
        <v>1369</v>
      </c>
      <c r="B1370" s="17" t="s">
        <v>3204</v>
      </c>
      <c r="C1370" s="17" t="s">
        <v>3205</v>
      </c>
      <c r="D1370" s="17" t="s">
        <v>17</v>
      </c>
      <c r="E1370" s="17" t="s">
        <v>8</v>
      </c>
      <c r="F1370" s="17">
        <v>2032</v>
      </c>
      <c r="G1370" s="17">
        <v>0</v>
      </c>
      <c r="H1370" s="17">
        <v>100</v>
      </c>
      <c r="I1370" s="17">
        <v>1932</v>
      </c>
      <c r="J1370" s="17">
        <v>0</v>
      </c>
      <c r="K1370" s="17">
        <v>0</v>
      </c>
      <c r="L1370" s="17">
        <v>1932</v>
      </c>
      <c r="M1370" s="17">
        <v>0</v>
      </c>
      <c r="N1370" s="17">
        <v>0</v>
      </c>
      <c r="O1370" s="17">
        <v>1932</v>
      </c>
      <c r="P1370" s="17">
        <v>500</v>
      </c>
      <c r="Q1370" s="17">
        <v>1432</v>
      </c>
      <c r="R1370" s="17">
        <v>0</v>
      </c>
      <c r="S1370" s="17"/>
      <c r="T1370" s="17" t="s">
        <v>2972</v>
      </c>
      <c r="U1370" s="17" t="s">
        <v>3055</v>
      </c>
      <c r="V1370" s="17" t="s">
        <v>3056</v>
      </c>
      <c r="W1370" s="17"/>
      <c r="X1370" s="17"/>
    </row>
    <row r="1371" spans="1:24" hidden="1">
      <c r="A1371" s="18">
        <v>1370</v>
      </c>
      <c r="B1371" s="17" t="s">
        <v>3206</v>
      </c>
      <c r="C1371" s="17" t="s">
        <v>3207</v>
      </c>
      <c r="D1371" s="17" t="s">
        <v>17</v>
      </c>
      <c r="E1371" s="17" t="s">
        <v>8</v>
      </c>
      <c r="F1371" s="17">
        <v>336</v>
      </c>
      <c r="G1371" s="17">
        <v>0</v>
      </c>
      <c r="H1371" s="17">
        <v>0</v>
      </c>
      <c r="I1371" s="17">
        <v>336</v>
      </c>
      <c r="J1371" s="17">
        <v>0</v>
      </c>
      <c r="K1371" s="17">
        <v>0</v>
      </c>
      <c r="L1371" s="17">
        <v>336</v>
      </c>
      <c r="M1371" s="17">
        <v>0</v>
      </c>
      <c r="N1371" s="17">
        <v>0</v>
      </c>
      <c r="O1371" s="17">
        <v>336</v>
      </c>
      <c r="P1371" s="17">
        <v>250</v>
      </c>
      <c r="Q1371" s="17">
        <v>86</v>
      </c>
      <c r="R1371" s="17">
        <v>200</v>
      </c>
      <c r="S1371" s="17"/>
      <c r="T1371" s="17" t="s">
        <v>2972</v>
      </c>
      <c r="U1371" s="17" t="s">
        <v>3055</v>
      </c>
      <c r="V1371" s="17" t="s">
        <v>3056</v>
      </c>
      <c r="W1371" s="17"/>
      <c r="X1371" s="17"/>
    </row>
    <row r="1372" spans="1:24" hidden="1">
      <c r="A1372" s="18">
        <v>1371</v>
      </c>
      <c r="B1372" s="17" t="s">
        <v>3208</v>
      </c>
      <c r="C1372" s="17" t="s">
        <v>3209</v>
      </c>
      <c r="D1372" s="17" t="s">
        <v>17</v>
      </c>
      <c r="E1372" s="17" t="s">
        <v>8</v>
      </c>
      <c r="F1372" s="17">
        <v>750</v>
      </c>
      <c r="G1372" s="17">
        <v>0</v>
      </c>
      <c r="H1372" s="17">
        <v>0</v>
      </c>
      <c r="I1372" s="17">
        <v>750</v>
      </c>
      <c r="J1372" s="17">
        <v>0</v>
      </c>
      <c r="K1372" s="17">
        <v>0</v>
      </c>
      <c r="L1372" s="17">
        <v>750</v>
      </c>
      <c r="M1372" s="17">
        <v>0</v>
      </c>
      <c r="N1372" s="17">
        <v>0</v>
      </c>
      <c r="O1372" s="17">
        <v>750</v>
      </c>
      <c r="P1372" s="17">
        <v>250</v>
      </c>
      <c r="Q1372" s="17">
        <v>500</v>
      </c>
      <c r="R1372" s="17">
        <v>0</v>
      </c>
      <c r="S1372" s="17"/>
      <c r="T1372" s="17" t="s">
        <v>2972</v>
      </c>
      <c r="U1372" s="17" t="s">
        <v>3055</v>
      </c>
      <c r="V1372" s="17" t="s">
        <v>3056</v>
      </c>
      <c r="W1372" s="17"/>
      <c r="X1372" s="17"/>
    </row>
    <row r="1373" spans="1:24" hidden="1">
      <c r="A1373" s="18">
        <v>1372</v>
      </c>
      <c r="B1373" s="17" t="s">
        <v>3210</v>
      </c>
      <c r="C1373" s="17" t="s">
        <v>3211</v>
      </c>
      <c r="D1373" s="17" t="s">
        <v>17</v>
      </c>
      <c r="E1373" s="17" t="s">
        <v>8</v>
      </c>
      <c r="F1373" s="17">
        <v>552</v>
      </c>
      <c r="G1373" s="17">
        <v>0</v>
      </c>
      <c r="H1373" s="17">
        <v>100</v>
      </c>
      <c r="I1373" s="17">
        <v>452</v>
      </c>
      <c r="J1373" s="17">
        <v>0</v>
      </c>
      <c r="K1373" s="17">
        <v>0</v>
      </c>
      <c r="L1373" s="17">
        <v>452</v>
      </c>
      <c r="M1373" s="17">
        <v>0</v>
      </c>
      <c r="N1373" s="17">
        <v>0</v>
      </c>
      <c r="O1373" s="17">
        <v>452</v>
      </c>
      <c r="P1373" s="17">
        <v>250</v>
      </c>
      <c r="Q1373" s="17">
        <v>202</v>
      </c>
      <c r="R1373" s="17">
        <v>0</v>
      </c>
      <c r="S1373" s="17"/>
      <c r="T1373" s="17" t="s">
        <v>2972</v>
      </c>
      <c r="U1373" s="17" t="s">
        <v>3055</v>
      </c>
      <c r="V1373" s="17" t="s">
        <v>3056</v>
      </c>
      <c r="W1373" s="17"/>
      <c r="X1373" s="17"/>
    </row>
    <row r="1374" spans="1:24" hidden="1">
      <c r="A1374" s="18">
        <v>1373</v>
      </c>
      <c r="B1374" s="17" t="s">
        <v>3212</v>
      </c>
      <c r="C1374" s="17" t="s">
        <v>3213</v>
      </c>
      <c r="D1374" s="17" t="s">
        <v>17</v>
      </c>
      <c r="E1374" s="17" t="s">
        <v>8</v>
      </c>
      <c r="F1374" s="17">
        <v>185</v>
      </c>
      <c r="G1374" s="17">
        <v>0</v>
      </c>
      <c r="H1374" s="17">
        <v>0</v>
      </c>
      <c r="I1374" s="17">
        <v>185</v>
      </c>
      <c r="J1374" s="17">
        <v>0</v>
      </c>
      <c r="K1374" s="17">
        <v>0</v>
      </c>
      <c r="L1374" s="17">
        <v>185</v>
      </c>
      <c r="M1374" s="17">
        <v>0</v>
      </c>
      <c r="N1374" s="17">
        <v>0</v>
      </c>
      <c r="O1374" s="17">
        <v>185</v>
      </c>
      <c r="P1374" s="17">
        <v>200</v>
      </c>
      <c r="Q1374" s="17">
        <v>-15</v>
      </c>
      <c r="R1374" s="17">
        <v>0</v>
      </c>
      <c r="S1374" s="17"/>
      <c r="T1374" s="17" t="s">
        <v>2972</v>
      </c>
      <c r="U1374" s="17" t="s">
        <v>3055</v>
      </c>
      <c r="V1374" s="17" t="s">
        <v>3056</v>
      </c>
      <c r="W1374" s="17"/>
      <c r="X1374" s="17"/>
    </row>
    <row r="1375" spans="1:24" hidden="1">
      <c r="A1375" s="18">
        <v>1374</v>
      </c>
      <c r="B1375" s="17" t="s">
        <v>3214</v>
      </c>
      <c r="C1375" s="17" t="s">
        <v>3215</v>
      </c>
      <c r="D1375" s="17" t="s">
        <v>17</v>
      </c>
      <c r="E1375" s="17" t="s">
        <v>8</v>
      </c>
      <c r="F1375" s="17">
        <v>0</v>
      </c>
      <c r="G1375" s="17">
        <v>0</v>
      </c>
      <c r="H1375" s="17">
        <v>0</v>
      </c>
      <c r="I1375" s="17">
        <v>0</v>
      </c>
      <c r="J1375" s="17">
        <v>0</v>
      </c>
      <c r="K1375" s="17">
        <v>0</v>
      </c>
      <c r="L1375" s="17">
        <v>0</v>
      </c>
      <c r="M1375" s="17">
        <v>0</v>
      </c>
      <c r="N1375" s="17">
        <v>0</v>
      </c>
      <c r="O1375" s="17">
        <v>0</v>
      </c>
      <c r="P1375" s="17">
        <v>0</v>
      </c>
      <c r="Q1375" s="17">
        <v>0</v>
      </c>
      <c r="R1375" s="17">
        <v>0</v>
      </c>
      <c r="S1375" s="17"/>
      <c r="T1375" s="17" t="s">
        <v>2972</v>
      </c>
      <c r="U1375" s="17" t="s">
        <v>3055</v>
      </c>
      <c r="V1375" s="17" t="s">
        <v>3056</v>
      </c>
      <c r="W1375" s="17"/>
      <c r="X1375" s="17"/>
    </row>
    <row r="1376" spans="1:24" hidden="1">
      <c r="A1376" s="18">
        <v>1375</v>
      </c>
      <c r="B1376" s="17" t="s">
        <v>3216</v>
      </c>
      <c r="C1376" s="17" t="s">
        <v>3217</v>
      </c>
      <c r="D1376" s="17" t="s">
        <v>17</v>
      </c>
      <c r="E1376" s="17" t="s">
        <v>8</v>
      </c>
      <c r="F1376" s="17">
        <v>7400</v>
      </c>
      <c r="G1376" s="17">
        <v>0</v>
      </c>
      <c r="H1376" s="17">
        <v>5000</v>
      </c>
      <c r="I1376" s="17">
        <v>2400</v>
      </c>
      <c r="J1376" s="17">
        <v>0</v>
      </c>
      <c r="K1376" s="17">
        <v>0</v>
      </c>
      <c r="L1376" s="17">
        <v>2400</v>
      </c>
      <c r="M1376" s="17">
        <v>0</v>
      </c>
      <c r="N1376" s="17">
        <v>0</v>
      </c>
      <c r="O1376" s="17">
        <v>2400</v>
      </c>
      <c r="P1376" s="17">
        <v>5000</v>
      </c>
      <c r="Q1376" s="17">
        <v>-2600</v>
      </c>
      <c r="R1376" s="17">
        <v>0</v>
      </c>
      <c r="S1376" s="17"/>
      <c r="T1376" s="17" t="s">
        <v>2972</v>
      </c>
      <c r="U1376" s="17" t="s">
        <v>3057</v>
      </c>
      <c r="V1376" s="17" t="s">
        <v>3056</v>
      </c>
      <c r="W1376" s="17"/>
      <c r="X1376" s="17"/>
    </row>
    <row r="1377" spans="1:24" hidden="1">
      <c r="A1377" s="18">
        <v>1376</v>
      </c>
      <c r="B1377" s="17" t="s">
        <v>3218</v>
      </c>
      <c r="C1377" s="17" t="s">
        <v>3219</v>
      </c>
      <c r="D1377" s="17" t="s">
        <v>17</v>
      </c>
      <c r="E1377" s="17" t="s">
        <v>8</v>
      </c>
      <c r="F1377" s="17">
        <v>4600</v>
      </c>
      <c r="G1377" s="17">
        <v>0</v>
      </c>
      <c r="H1377" s="17">
        <v>3500</v>
      </c>
      <c r="I1377" s="17">
        <v>1100</v>
      </c>
      <c r="J1377" s="17">
        <v>0</v>
      </c>
      <c r="K1377" s="17">
        <v>0</v>
      </c>
      <c r="L1377" s="17">
        <v>1100</v>
      </c>
      <c r="M1377" s="17">
        <v>0</v>
      </c>
      <c r="N1377" s="17">
        <v>0</v>
      </c>
      <c r="O1377" s="17">
        <v>1100</v>
      </c>
      <c r="P1377" s="17">
        <v>3000</v>
      </c>
      <c r="Q1377" s="17">
        <v>-1900</v>
      </c>
      <c r="R1377" s="17">
        <v>0</v>
      </c>
      <c r="S1377" s="17"/>
      <c r="T1377" s="17" t="s">
        <v>2972</v>
      </c>
      <c r="U1377" s="17" t="s">
        <v>3057</v>
      </c>
      <c r="V1377" s="17" t="s">
        <v>3056</v>
      </c>
      <c r="W1377" s="17"/>
      <c r="X1377" s="17"/>
    </row>
    <row r="1378" spans="1:24" hidden="1">
      <c r="A1378" s="18">
        <v>1377</v>
      </c>
      <c r="B1378" s="17" t="s">
        <v>3220</v>
      </c>
      <c r="C1378" s="17" t="s">
        <v>3221</v>
      </c>
      <c r="D1378" s="17" t="s">
        <v>17</v>
      </c>
      <c r="E1378" s="17" t="s">
        <v>8</v>
      </c>
      <c r="F1378" s="17">
        <v>1400</v>
      </c>
      <c r="G1378" s="17">
        <v>0</v>
      </c>
      <c r="H1378" s="17">
        <v>400</v>
      </c>
      <c r="I1378" s="17">
        <v>1000</v>
      </c>
      <c r="J1378" s="17">
        <v>0</v>
      </c>
      <c r="K1378" s="17">
        <v>0</v>
      </c>
      <c r="L1378" s="17">
        <v>1000</v>
      </c>
      <c r="M1378" s="17">
        <v>0</v>
      </c>
      <c r="N1378" s="17">
        <v>0</v>
      </c>
      <c r="O1378" s="17">
        <v>1000</v>
      </c>
      <c r="P1378" s="17">
        <v>1500</v>
      </c>
      <c r="Q1378" s="17">
        <v>-500</v>
      </c>
      <c r="R1378" s="17">
        <v>0</v>
      </c>
      <c r="S1378" s="17"/>
      <c r="T1378" s="17" t="s">
        <v>2972</v>
      </c>
      <c r="U1378" s="17" t="s">
        <v>3057</v>
      </c>
      <c r="V1378" s="17" t="s">
        <v>3056</v>
      </c>
      <c r="W1378" s="17"/>
      <c r="X1378" s="17"/>
    </row>
    <row r="1379" spans="1:24" hidden="1">
      <c r="A1379" s="18">
        <v>1378</v>
      </c>
      <c r="B1379" s="17" t="s">
        <v>3222</v>
      </c>
      <c r="C1379" s="17" t="s">
        <v>3223</v>
      </c>
      <c r="D1379" s="17" t="s">
        <v>17</v>
      </c>
      <c r="E1379" s="17" t="s">
        <v>8</v>
      </c>
      <c r="F1379" s="17">
        <v>7300</v>
      </c>
      <c r="G1379" s="17">
        <v>0</v>
      </c>
      <c r="H1379" s="17">
        <v>0</v>
      </c>
      <c r="I1379" s="17">
        <v>7300</v>
      </c>
      <c r="J1379" s="17">
        <v>0</v>
      </c>
      <c r="K1379" s="17">
        <v>0</v>
      </c>
      <c r="L1379" s="17">
        <v>7300</v>
      </c>
      <c r="M1379" s="17">
        <v>0</v>
      </c>
      <c r="N1379" s="17">
        <v>0</v>
      </c>
      <c r="O1379" s="17">
        <v>7300</v>
      </c>
      <c r="P1379" s="17">
        <v>5000</v>
      </c>
      <c r="Q1379" s="17">
        <v>2300</v>
      </c>
      <c r="R1379" s="17">
        <v>0</v>
      </c>
      <c r="S1379" s="17"/>
      <c r="T1379" s="17" t="s">
        <v>2972</v>
      </c>
      <c r="U1379" s="17" t="s">
        <v>3057</v>
      </c>
      <c r="V1379" s="17" t="s">
        <v>3056</v>
      </c>
      <c r="W1379" s="17"/>
      <c r="X1379" s="17"/>
    </row>
    <row r="1380" spans="1:24" hidden="1">
      <c r="A1380" s="18">
        <v>1379</v>
      </c>
      <c r="B1380" s="17" t="s">
        <v>3224</v>
      </c>
      <c r="C1380" s="17" t="s">
        <v>3225</v>
      </c>
      <c r="D1380" s="17" t="s">
        <v>17</v>
      </c>
      <c r="E1380" s="17" t="s">
        <v>8</v>
      </c>
      <c r="F1380" s="17">
        <v>0</v>
      </c>
      <c r="G1380" s="17">
        <v>0</v>
      </c>
      <c r="H1380" s="17">
        <v>0</v>
      </c>
      <c r="I1380" s="17">
        <v>0</v>
      </c>
      <c r="J1380" s="17">
        <v>0</v>
      </c>
      <c r="K1380" s="17">
        <v>0</v>
      </c>
      <c r="L1380" s="17">
        <v>0</v>
      </c>
      <c r="M1380" s="17">
        <v>0</v>
      </c>
      <c r="N1380" s="17">
        <v>0</v>
      </c>
      <c r="O1380" s="17">
        <v>0</v>
      </c>
      <c r="P1380" s="17">
        <v>0</v>
      </c>
      <c r="Q1380" s="17">
        <v>0</v>
      </c>
      <c r="R1380" s="17">
        <v>0</v>
      </c>
      <c r="S1380" s="17"/>
      <c r="T1380" s="17" t="s">
        <v>2972</v>
      </c>
      <c r="U1380" s="17" t="s">
        <v>3057</v>
      </c>
      <c r="V1380" s="17" t="s">
        <v>3056</v>
      </c>
      <c r="W1380" s="17"/>
      <c r="X1380" s="17"/>
    </row>
    <row r="1381" spans="1:24" hidden="1">
      <c r="A1381" s="18">
        <v>1380</v>
      </c>
      <c r="B1381" s="17" t="s">
        <v>3226</v>
      </c>
      <c r="C1381" s="17" t="s">
        <v>3227</v>
      </c>
      <c r="D1381" s="17" t="s">
        <v>17</v>
      </c>
      <c r="E1381" s="17" t="s">
        <v>8</v>
      </c>
      <c r="F1381" s="17">
        <v>0</v>
      </c>
      <c r="G1381" s="17">
        <v>0</v>
      </c>
      <c r="H1381" s="17">
        <v>0</v>
      </c>
      <c r="I1381" s="17">
        <v>0</v>
      </c>
      <c r="J1381" s="17">
        <v>0</v>
      </c>
      <c r="K1381" s="17">
        <v>0</v>
      </c>
      <c r="L1381" s="17">
        <v>0</v>
      </c>
      <c r="M1381" s="17">
        <v>0</v>
      </c>
      <c r="N1381" s="17">
        <v>0</v>
      </c>
      <c r="O1381" s="17">
        <v>0</v>
      </c>
      <c r="P1381" s="17">
        <v>0</v>
      </c>
      <c r="Q1381" s="17">
        <v>0</v>
      </c>
      <c r="R1381" s="17">
        <v>0</v>
      </c>
      <c r="S1381" s="17"/>
      <c r="T1381" s="17" t="s">
        <v>2972</v>
      </c>
      <c r="U1381" s="17" t="s">
        <v>3057</v>
      </c>
      <c r="V1381" s="17" t="s">
        <v>3056</v>
      </c>
      <c r="W1381" s="17"/>
      <c r="X1381" s="17"/>
    </row>
    <row r="1382" spans="1:24" hidden="1">
      <c r="A1382" s="18">
        <v>1381</v>
      </c>
      <c r="B1382" s="17" t="s">
        <v>3228</v>
      </c>
      <c r="C1382" s="17" t="s">
        <v>3229</v>
      </c>
      <c r="D1382" s="17" t="s">
        <v>17</v>
      </c>
      <c r="E1382" s="17" t="s">
        <v>8</v>
      </c>
      <c r="F1382" s="17">
        <v>0</v>
      </c>
      <c r="G1382" s="17">
        <v>0</v>
      </c>
      <c r="H1382" s="17">
        <v>0</v>
      </c>
      <c r="I1382" s="17">
        <v>0</v>
      </c>
      <c r="J1382" s="17">
        <v>0</v>
      </c>
      <c r="K1382" s="17">
        <v>0</v>
      </c>
      <c r="L1382" s="17">
        <v>0</v>
      </c>
      <c r="M1382" s="17">
        <v>0</v>
      </c>
      <c r="N1382" s="17">
        <v>0</v>
      </c>
      <c r="O1382" s="17">
        <v>0</v>
      </c>
      <c r="P1382" s="17">
        <v>0</v>
      </c>
      <c r="Q1382" s="17">
        <v>0</v>
      </c>
      <c r="R1382" s="17">
        <v>0</v>
      </c>
      <c r="S1382" s="17"/>
      <c r="T1382" s="17" t="s">
        <v>2972</v>
      </c>
      <c r="U1382" s="17" t="s">
        <v>3057</v>
      </c>
      <c r="V1382" s="17" t="s">
        <v>3056</v>
      </c>
      <c r="W1382" s="17"/>
      <c r="X1382" s="17"/>
    </row>
    <row r="1383" spans="1:24" hidden="1">
      <c r="A1383" s="18">
        <v>1382</v>
      </c>
      <c r="B1383" s="17" t="s">
        <v>3230</v>
      </c>
      <c r="C1383" s="17" t="s">
        <v>3231</v>
      </c>
      <c r="D1383" s="17" t="s">
        <v>17</v>
      </c>
      <c r="E1383" s="17" t="s">
        <v>8</v>
      </c>
      <c r="F1383" s="17">
        <v>0</v>
      </c>
      <c r="G1383" s="17">
        <v>0</v>
      </c>
      <c r="H1383" s="17">
        <v>0</v>
      </c>
      <c r="I1383" s="17">
        <v>0</v>
      </c>
      <c r="J1383" s="17">
        <v>0</v>
      </c>
      <c r="K1383" s="17">
        <v>0</v>
      </c>
      <c r="L1383" s="17">
        <v>0</v>
      </c>
      <c r="M1383" s="17">
        <v>0</v>
      </c>
      <c r="N1383" s="17">
        <v>0</v>
      </c>
      <c r="O1383" s="17">
        <v>0</v>
      </c>
      <c r="P1383" s="17">
        <v>0</v>
      </c>
      <c r="Q1383" s="17">
        <v>0</v>
      </c>
      <c r="R1383" s="17">
        <v>0</v>
      </c>
      <c r="S1383" s="17"/>
      <c r="T1383" s="17" t="s">
        <v>2972</v>
      </c>
      <c r="U1383" s="17" t="s">
        <v>3057</v>
      </c>
      <c r="V1383" s="17" t="s">
        <v>3056</v>
      </c>
      <c r="W1383" s="17"/>
      <c r="X1383" s="17"/>
    </row>
    <row r="1384" spans="1:24" hidden="1">
      <c r="A1384" s="18">
        <v>1383</v>
      </c>
      <c r="B1384" s="17" t="s">
        <v>3232</v>
      </c>
      <c r="C1384" s="17" t="s">
        <v>3233</v>
      </c>
      <c r="D1384" s="17" t="s">
        <v>17</v>
      </c>
      <c r="E1384" s="17" t="s">
        <v>8</v>
      </c>
      <c r="F1384" s="17">
        <v>0</v>
      </c>
      <c r="G1384" s="17">
        <v>0</v>
      </c>
      <c r="H1384" s="17">
        <v>0</v>
      </c>
      <c r="I1384" s="17">
        <v>0</v>
      </c>
      <c r="J1384" s="17">
        <v>0</v>
      </c>
      <c r="K1384" s="17">
        <v>0</v>
      </c>
      <c r="L1384" s="17">
        <v>0</v>
      </c>
      <c r="M1384" s="17">
        <v>0</v>
      </c>
      <c r="N1384" s="17">
        <v>0</v>
      </c>
      <c r="O1384" s="17">
        <v>0</v>
      </c>
      <c r="P1384" s="17">
        <v>0</v>
      </c>
      <c r="Q1384" s="17">
        <v>0</v>
      </c>
      <c r="R1384" s="17">
        <v>0</v>
      </c>
      <c r="S1384" s="17"/>
      <c r="T1384" s="17" t="s">
        <v>2972</v>
      </c>
      <c r="U1384" s="17" t="s">
        <v>3057</v>
      </c>
      <c r="V1384" s="17" t="s">
        <v>3056</v>
      </c>
      <c r="W1384" s="17"/>
      <c r="X1384" s="17"/>
    </row>
    <row r="1385" spans="1:24" hidden="1">
      <c r="A1385" s="18">
        <v>1384</v>
      </c>
      <c r="B1385" s="17" t="s">
        <v>3234</v>
      </c>
      <c r="C1385" s="17" t="s">
        <v>3235</v>
      </c>
      <c r="D1385" s="17" t="s">
        <v>17</v>
      </c>
      <c r="E1385" s="17" t="s">
        <v>8</v>
      </c>
      <c r="F1385" s="17">
        <v>0</v>
      </c>
      <c r="G1385" s="17">
        <v>0</v>
      </c>
      <c r="H1385" s="17">
        <v>0</v>
      </c>
      <c r="I1385" s="17">
        <v>0</v>
      </c>
      <c r="J1385" s="17">
        <v>0</v>
      </c>
      <c r="K1385" s="17">
        <v>0</v>
      </c>
      <c r="L1385" s="17">
        <v>0</v>
      </c>
      <c r="M1385" s="17">
        <v>0</v>
      </c>
      <c r="N1385" s="17">
        <v>0</v>
      </c>
      <c r="O1385" s="17">
        <v>0</v>
      </c>
      <c r="P1385" s="17">
        <v>0</v>
      </c>
      <c r="Q1385" s="17">
        <v>0</v>
      </c>
      <c r="R1385" s="17">
        <v>0</v>
      </c>
      <c r="S1385" s="17"/>
      <c r="T1385" s="17" t="s">
        <v>2972</v>
      </c>
      <c r="U1385" s="17" t="s">
        <v>3057</v>
      </c>
      <c r="V1385" s="17" t="s">
        <v>3056</v>
      </c>
      <c r="W1385" s="17"/>
      <c r="X1385" s="17"/>
    </row>
    <row r="1386" spans="1:24" hidden="1">
      <c r="A1386" s="18">
        <v>1385</v>
      </c>
      <c r="B1386" s="17" t="s">
        <v>3236</v>
      </c>
      <c r="C1386" s="17" t="s">
        <v>3237</v>
      </c>
      <c r="D1386" s="17" t="s">
        <v>17</v>
      </c>
      <c r="E1386" s="17" t="s">
        <v>8</v>
      </c>
      <c r="F1386" s="17">
        <v>0</v>
      </c>
      <c r="G1386" s="17">
        <v>0</v>
      </c>
      <c r="H1386" s="17">
        <v>0</v>
      </c>
      <c r="I1386" s="17">
        <v>0</v>
      </c>
      <c r="J1386" s="17">
        <v>0</v>
      </c>
      <c r="K1386" s="17">
        <v>0</v>
      </c>
      <c r="L1386" s="17">
        <v>0</v>
      </c>
      <c r="M1386" s="17">
        <v>0</v>
      </c>
      <c r="N1386" s="17">
        <v>0</v>
      </c>
      <c r="O1386" s="17">
        <v>0</v>
      </c>
      <c r="P1386" s="17">
        <v>0</v>
      </c>
      <c r="Q1386" s="17">
        <v>0</v>
      </c>
      <c r="R1386" s="17">
        <v>0</v>
      </c>
      <c r="S1386" s="17"/>
      <c r="T1386" s="17" t="s">
        <v>2972</v>
      </c>
      <c r="U1386" s="17" t="s">
        <v>3057</v>
      </c>
      <c r="V1386" s="17" t="s">
        <v>3056</v>
      </c>
      <c r="W1386" s="17"/>
      <c r="X1386" s="17"/>
    </row>
    <row r="1387" spans="1:24" hidden="1">
      <c r="A1387" s="18">
        <v>1386</v>
      </c>
      <c r="B1387" s="17" t="s">
        <v>3238</v>
      </c>
      <c r="C1387" s="17" t="s">
        <v>3239</v>
      </c>
      <c r="D1387" s="17" t="s">
        <v>17</v>
      </c>
      <c r="E1387" s="17" t="s">
        <v>8</v>
      </c>
      <c r="F1387" s="17">
        <v>259</v>
      </c>
      <c r="G1387" s="17">
        <v>0</v>
      </c>
      <c r="H1387" s="17">
        <v>15</v>
      </c>
      <c r="I1387" s="17">
        <v>244</v>
      </c>
      <c r="J1387" s="17">
        <v>0</v>
      </c>
      <c r="K1387" s="17">
        <v>0</v>
      </c>
      <c r="L1387" s="17">
        <v>244</v>
      </c>
      <c r="M1387" s="17">
        <v>0</v>
      </c>
      <c r="N1387" s="17">
        <v>0</v>
      </c>
      <c r="O1387" s="17">
        <v>244</v>
      </c>
      <c r="P1387" s="17">
        <v>50</v>
      </c>
      <c r="Q1387" s="17">
        <v>194</v>
      </c>
      <c r="R1387" s="17">
        <v>0</v>
      </c>
      <c r="S1387" s="17"/>
      <c r="T1387" s="17" t="s">
        <v>2972</v>
      </c>
      <c r="U1387" s="17" t="s">
        <v>3055</v>
      </c>
      <c r="V1387" s="17" t="s">
        <v>3056</v>
      </c>
      <c r="W1387" s="17"/>
      <c r="X1387" s="17"/>
    </row>
    <row r="1388" spans="1:24" hidden="1">
      <c r="A1388" s="18">
        <v>1387</v>
      </c>
      <c r="B1388" s="17" t="s">
        <v>3240</v>
      </c>
      <c r="C1388" s="17" t="s">
        <v>3241</v>
      </c>
      <c r="D1388" s="17" t="s">
        <v>17</v>
      </c>
      <c r="E1388" s="17" t="s">
        <v>8</v>
      </c>
      <c r="F1388" s="17">
        <v>271</v>
      </c>
      <c r="G1388" s="17">
        <v>0</v>
      </c>
      <c r="H1388" s="17">
        <v>45</v>
      </c>
      <c r="I1388" s="17">
        <v>226</v>
      </c>
      <c r="J1388" s="17">
        <v>0</v>
      </c>
      <c r="K1388" s="17">
        <v>0</v>
      </c>
      <c r="L1388" s="17">
        <v>226</v>
      </c>
      <c r="M1388" s="17">
        <v>0</v>
      </c>
      <c r="N1388" s="17">
        <v>0</v>
      </c>
      <c r="O1388" s="17">
        <v>226</v>
      </c>
      <c r="P1388" s="17">
        <v>50</v>
      </c>
      <c r="Q1388" s="17">
        <v>176</v>
      </c>
      <c r="R1388" s="17">
        <v>0</v>
      </c>
      <c r="S1388" s="17"/>
      <c r="T1388" s="17" t="s">
        <v>2972</v>
      </c>
      <c r="U1388" s="17" t="s">
        <v>3055</v>
      </c>
      <c r="V1388" s="17" t="s">
        <v>3056</v>
      </c>
      <c r="W1388" s="17"/>
      <c r="X1388" s="17"/>
    </row>
    <row r="1389" spans="1:24" hidden="1">
      <c r="A1389" s="18">
        <v>1388</v>
      </c>
      <c r="B1389" s="17" t="s">
        <v>3242</v>
      </c>
      <c r="C1389" s="17" t="s">
        <v>3243</v>
      </c>
      <c r="D1389" s="17" t="s">
        <v>17</v>
      </c>
      <c r="E1389" s="17" t="s">
        <v>8</v>
      </c>
      <c r="F1389" s="17">
        <v>281</v>
      </c>
      <c r="G1389" s="17">
        <v>0</v>
      </c>
      <c r="H1389" s="17">
        <v>0</v>
      </c>
      <c r="I1389" s="17">
        <v>281</v>
      </c>
      <c r="J1389" s="17">
        <v>0</v>
      </c>
      <c r="K1389" s="17">
        <v>0</v>
      </c>
      <c r="L1389" s="17">
        <v>281</v>
      </c>
      <c r="M1389" s="17">
        <v>0</v>
      </c>
      <c r="N1389" s="17">
        <v>0</v>
      </c>
      <c r="O1389" s="17">
        <v>281</v>
      </c>
      <c r="P1389" s="17">
        <v>70</v>
      </c>
      <c r="Q1389" s="17">
        <v>211</v>
      </c>
      <c r="R1389" s="17">
        <v>0</v>
      </c>
      <c r="S1389" s="17"/>
      <c r="T1389" s="17" t="s">
        <v>2972</v>
      </c>
      <c r="U1389" s="17" t="s">
        <v>3055</v>
      </c>
      <c r="V1389" s="17" t="s">
        <v>3056</v>
      </c>
      <c r="W1389" s="17"/>
      <c r="X1389" s="17"/>
    </row>
    <row r="1390" spans="1:24" hidden="1">
      <c r="A1390" s="18">
        <v>1389</v>
      </c>
      <c r="B1390" s="17" t="s">
        <v>3244</v>
      </c>
      <c r="C1390" s="17" t="s">
        <v>3245</v>
      </c>
      <c r="D1390" s="17" t="s">
        <v>17</v>
      </c>
      <c r="E1390" s="17" t="s">
        <v>8</v>
      </c>
      <c r="F1390" s="17">
        <v>2005</v>
      </c>
      <c r="G1390" s="17">
        <v>0</v>
      </c>
      <c r="H1390" s="17">
        <v>250</v>
      </c>
      <c r="I1390" s="17">
        <v>1755</v>
      </c>
      <c r="J1390" s="17">
        <v>0</v>
      </c>
      <c r="K1390" s="17">
        <v>0</v>
      </c>
      <c r="L1390" s="17">
        <v>1755</v>
      </c>
      <c r="M1390" s="17">
        <v>0</v>
      </c>
      <c r="N1390" s="17">
        <v>0</v>
      </c>
      <c r="O1390" s="17">
        <v>1755</v>
      </c>
      <c r="P1390" s="17">
        <v>800</v>
      </c>
      <c r="Q1390" s="17">
        <v>955</v>
      </c>
      <c r="R1390" s="17">
        <v>0</v>
      </c>
      <c r="S1390" s="17"/>
      <c r="T1390" s="17" t="s">
        <v>2972</v>
      </c>
      <c r="U1390" s="17" t="s">
        <v>3055</v>
      </c>
      <c r="V1390" s="17" t="s">
        <v>3056</v>
      </c>
      <c r="W1390" s="17"/>
      <c r="X1390" s="17"/>
    </row>
    <row r="1391" spans="1:24" hidden="1">
      <c r="A1391" s="18">
        <v>1390</v>
      </c>
      <c r="B1391" s="17" t="s">
        <v>3246</v>
      </c>
      <c r="C1391" s="17" t="s">
        <v>3247</v>
      </c>
      <c r="D1391" s="17" t="s">
        <v>17</v>
      </c>
      <c r="E1391" s="17" t="s">
        <v>8</v>
      </c>
      <c r="F1391" s="17">
        <v>0</v>
      </c>
      <c r="G1391" s="17">
        <v>8500</v>
      </c>
      <c r="H1391" s="17">
        <v>8000</v>
      </c>
      <c r="I1391" s="17">
        <v>500</v>
      </c>
      <c r="J1391" s="17">
        <v>0</v>
      </c>
      <c r="K1391" s="17">
        <v>0</v>
      </c>
      <c r="L1391" s="17">
        <v>500</v>
      </c>
      <c r="M1391" s="17">
        <v>0</v>
      </c>
      <c r="N1391" s="17">
        <v>0</v>
      </c>
      <c r="O1391" s="17">
        <v>500</v>
      </c>
      <c r="P1391" s="17">
        <v>0</v>
      </c>
      <c r="Q1391" s="17">
        <v>500</v>
      </c>
      <c r="R1391" s="17">
        <v>0</v>
      </c>
      <c r="S1391" s="17"/>
      <c r="T1391" s="17" t="s">
        <v>2972</v>
      </c>
      <c r="U1391" s="17" t="s">
        <v>3060</v>
      </c>
      <c r="V1391" s="17" t="s">
        <v>3058</v>
      </c>
      <c r="W1391" s="17"/>
      <c r="X1391" s="17"/>
    </row>
    <row r="1392" spans="1:24" hidden="1">
      <c r="A1392" s="18">
        <v>1391</v>
      </c>
      <c r="B1392" s="17" t="s">
        <v>3248</v>
      </c>
      <c r="C1392" s="17" t="s">
        <v>3249</v>
      </c>
      <c r="D1392" s="17" t="s">
        <v>17</v>
      </c>
      <c r="E1392" s="17" t="s">
        <v>8</v>
      </c>
      <c r="F1392" s="17">
        <v>0</v>
      </c>
      <c r="G1392" s="17">
        <v>2</v>
      </c>
      <c r="H1392" s="17">
        <v>2</v>
      </c>
      <c r="I1392" s="17">
        <v>0</v>
      </c>
      <c r="J1392" s="17">
        <v>0</v>
      </c>
      <c r="K1392" s="17">
        <v>0</v>
      </c>
      <c r="L1392" s="17">
        <v>0</v>
      </c>
      <c r="M1392" s="17">
        <v>0</v>
      </c>
      <c r="N1392" s="17">
        <v>0</v>
      </c>
      <c r="O1392" s="17">
        <v>0</v>
      </c>
      <c r="P1392" s="17">
        <v>0</v>
      </c>
      <c r="Q1392" s="17">
        <v>0</v>
      </c>
      <c r="R1392" s="17">
        <v>0</v>
      </c>
      <c r="S1392" s="17"/>
      <c r="T1392" s="17" t="s">
        <v>2982</v>
      </c>
      <c r="U1392" s="17" t="s">
        <v>3060</v>
      </c>
      <c r="V1392" s="17" t="s">
        <v>3058</v>
      </c>
      <c r="W1392" s="17"/>
      <c r="X1392" s="17"/>
    </row>
    <row r="1393" spans="1:24" hidden="1">
      <c r="A1393" s="18">
        <v>1392</v>
      </c>
      <c r="B1393" s="17" t="s">
        <v>3250</v>
      </c>
      <c r="C1393" s="17" t="s">
        <v>3251</v>
      </c>
      <c r="D1393" s="17" t="s">
        <v>17</v>
      </c>
      <c r="E1393" s="17" t="s">
        <v>8</v>
      </c>
      <c r="F1393" s="17">
        <v>0</v>
      </c>
      <c r="G1393" s="17">
        <v>0</v>
      </c>
      <c r="H1393" s="17">
        <v>0</v>
      </c>
      <c r="I1393" s="17">
        <v>0</v>
      </c>
      <c r="J1393" s="17">
        <v>0</v>
      </c>
      <c r="K1393" s="17">
        <v>0</v>
      </c>
      <c r="L1393" s="17">
        <v>0</v>
      </c>
      <c r="M1393" s="17">
        <v>0</v>
      </c>
      <c r="N1393" s="17">
        <v>0</v>
      </c>
      <c r="O1393" s="17">
        <v>0</v>
      </c>
      <c r="P1393" s="17">
        <v>0</v>
      </c>
      <c r="Q1393" s="17">
        <v>0</v>
      </c>
      <c r="R1393" s="17">
        <v>0</v>
      </c>
      <c r="S1393" s="17"/>
      <c r="T1393" s="17" t="s">
        <v>2972</v>
      </c>
      <c r="U1393" s="17" t="s">
        <v>3057</v>
      </c>
      <c r="V1393" s="17" t="s">
        <v>3056</v>
      </c>
      <c r="W1393" s="17"/>
      <c r="X1393" s="17"/>
    </row>
    <row r="1394" spans="1:24" hidden="1">
      <c r="A1394" s="18">
        <v>1393</v>
      </c>
      <c r="B1394" s="17" t="s">
        <v>3252</v>
      </c>
      <c r="C1394" s="17" t="s">
        <v>3253</v>
      </c>
      <c r="D1394" s="17" t="s">
        <v>17</v>
      </c>
      <c r="E1394" s="17" t="s">
        <v>8</v>
      </c>
      <c r="F1394" s="17">
        <v>0</v>
      </c>
      <c r="G1394" s="17">
        <v>0</v>
      </c>
      <c r="H1394" s="17">
        <v>0</v>
      </c>
      <c r="I1394" s="17">
        <v>0</v>
      </c>
      <c r="J1394" s="17">
        <v>0</v>
      </c>
      <c r="K1394" s="17">
        <v>0</v>
      </c>
      <c r="L1394" s="17">
        <v>0</v>
      </c>
      <c r="M1394" s="17">
        <v>0</v>
      </c>
      <c r="N1394" s="17">
        <v>0</v>
      </c>
      <c r="O1394" s="17">
        <v>0</v>
      </c>
      <c r="P1394" s="17">
        <v>0</v>
      </c>
      <c r="Q1394" s="17">
        <v>0</v>
      </c>
      <c r="R1394" s="17">
        <v>0</v>
      </c>
      <c r="S1394" s="17"/>
      <c r="T1394" s="17" t="s">
        <v>2972</v>
      </c>
      <c r="U1394" s="17" t="s">
        <v>3057</v>
      </c>
      <c r="V1394" s="17" t="s">
        <v>3058</v>
      </c>
      <c r="W1394" s="17"/>
      <c r="X1394" s="17"/>
    </row>
    <row r="1395" spans="1:24" hidden="1">
      <c r="A1395" s="18">
        <v>1394</v>
      </c>
      <c r="B1395" s="17" t="s">
        <v>3254</v>
      </c>
      <c r="C1395" s="17" t="s">
        <v>3255</v>
      </c>
      <c r="D1395" s="17" t="s">
        <v>17</v>
      </c>
      <c r="E1395" s="17" t="s">
        <v>8</v>
      </c>
      <c r="F1395" s="17">
        <v>0</v>
      </c>
      <c r="G1395" s="17">
        <v>0</v>
      </c>
      <c r="H1395" s="17">
        <v>0</v>
      </c>
      <c r="I1395" s="17">
        <v>0</v>
      </c>
      <c r="J1395" s="17">
        <v>0</v>
      </c>
      <c r="K1395" s="17">
        <v>0</v>
      </c>
      <c r="L1395" s="17">
        <v>0</v>
      </c>
      <c r="M1395" s="17">
        <v>0</v>
      </c>
      <c r="N1395" s="17">
        <v>0</v>
      </c>
      <c r="O1395" s="17">
        <v>0</v>
      </c>
      <c r="P1395" s="17">
        <v>0</v>
      </c>
      <c r="Q1395" s="17">
        <v>0</v>
      </c>
      <c r="R1395" s="17">
        <v>0</v>
      </c>
      <c r="S1395" s="17"/>
      <c r="T1395" s="17" t="s">
        <v>2972</v>
      </c>
      <c r="U1395" s="17" t="s">
        <v>3057</v>
      </c>
      <c r="V1395" s="17" t="s">
        <v>3056</v>
      </c>
      <c r="W1395" s="17"/>
      <c r="X1395" s="17"/>
    </row>
    <row r="1396" spans="1:24" hidden="1">
      <c r="A1396" s="18">
        <v>1395</v>
      </c>
      <c r="B1396" s="17" t="s">
        <v>3256</v>
      </c>
      <c r="C1396" s="17" t="s">
        <v>3257</v>
      </c>
      <c r="D1396" s="17" t="s">
        <v>17</v>
      </c>
      <c r="E1396" s="17" t="s">
        <v>8</v>
      </c>
      <c r="F1396" s="17">
        <v>0</v>
      </c>
      <c r="G1396" s="17">
        <v>0</v>
      </c>
      <c r="H1396" s="17">
        <v>0</v>
      </c>
      <c r="I1396" s="17">
        <v>0</v>
      </c>
      <c r="J1396" s="17">
        <v>0</v>
      </c>
      <c r="K1396" s="17">
        <v>0</v>
      </c>
      <c r="L1396" s="17">
        <v>0</v>
      </c>
      <c r="M1396" s="17">
        <v>0</v>
      </c>
      <c r="N1396" s="17">
        <v>0</v>
      </c>
      <c r="O1396" s="17">
        <v>0</v>
      </c>
      <c r="P1396" s="17">
        <v>0</v>
      </c>
      <c r="Q1396" s="17">
        <v>0</v>
      </c>
      <c r="R1396" s="17">
        <v>0</v>
      </c>
      <c r="S1396" s="17"/>
      <c r="T1396" s="17" t="s">
        <v>2982</v>
      </c>
      <c r="U1396" s="17" t="s">
        <v>3060</v>
      </c>
      <c r="V1396" s="17" t="s">
        <v>3064</v>
      </c>
      <c r="W1396" s="17"/>
      <c r="X1396" s="17"/>
    </row>
    <row r="1397" spans="1:24" hidden="1">
      <c r="A1397" s="18">
        <v>1396</v>
      </c>
      <c r="B1397" s="17" t="s">
        <v>3258</v>
      </c>
      <c r="C1397" s="17" t="s">
        <v>2877</v>
      </c>
      <c r="D1397" s="17" t="s">
        <v>17</v>
      </c>
      <c r="E1397" s="17" t="s">
        <v>8</v>
      </c>
      <c r="F1397" s="17">
        <v>7510</v>
      </c>
      <c r="G1397" s="17">
        <v>0</v>
      </c>
      <c r="H1397" s="17">
        <v>0</v>
      </c>
      <c r="I1397" s="17">
        <v>7510</v>
      </c>
      <c r="J1397" s="17">
        <v>0</v>
      </c>
      <c r="K1397" s="17">
        <v>0</v>
      </c>
      <c r="L1397" s="17">
        <v>7510</v>
      </c>
      <c r="M1397" s="17">
        <v>0</v>
      </c>
      <c r="N1397" s="17">
        <v>0</v>
      </c>
      <c r="O1397" s="17">
        <v>7510</v>
      </c>
      <c r="P1397" s="17">
        <v>1500</v>
      </c>
      <c r="Q1397" s="17">
        <v>6010</v>
      </c>
      <c r="R1397" s="17">
        <v>0</v>
      </c>
      <c r="S1397" s="17"/>
      <c r="T1397" s="17" t="s">
        <v>2972</v>
      </c>
      <c r="U1397" s="17" t="s">
        <v>3055</v>
      </c>
      <c r="V1397" s="17" t="s">
        <v>3056</v>
      </c>
      <c r="W1397" s="17"/>
      <c r="X1397" s="17"/>
    </row>
    <row r="1398" spans="1:24" hidden="1">
      <c r="A1398" s="18">
        <v>1397</v>
      </c>
      <c r="B1398" s="17" t="s">
        <v>3259</v>
      </c>
      <c r="C1398" s="17" t="s">
        <v>3260</v>
      </c>
      <c r="D1398" s="17" t="s">
        <v>17</v>
      </c>
      <c r="E1398" s="17" t="s">
        <v>8</v>
      </c>
      <c r="F1398" s="17">
        <v>1280</v>
      </c>
      <c r="G1398" s="17">
        <v>0</v>
      </c>
      <c r="H1398" s="17">
        <v>0</v>
      </c>
      <c r="I1398" s="17">
        <v>1280</v>
      </c>
      <c r="J1398" s="17">
        <v>0</v>
      </c>
      <c r="K1398" s="17">
        <v>0</v>
      </c>
      <c r="L1398" s="17">
        <v>1280</v>
      </c>
      <c r="M1398" s="17">
        <v>0</v>
      </c>
      <c r="N1398" s="17">
        <v>0</v>
      </c>
      <c r="O1398" s="17">
        <v>1280</v>
      </c>
      <c r="P1398" s="17">
        <v>250</v>
      </c>
      <c r="Q1398" s="17">
        <v>1030</v>
      </c>
      <c r="R1398" s="17">
        <v>0</v>
      </c>
      <c r="S1398" s="17"/>
      <c r="T1398" s="17" t="s">
        <v>2972</v>
      </c>
      <c r="U1398" s="17" t="s">
        <v>3055</v>
      </c>
      <c r="V1398" s="17" t="s">
        <v>3056</v>
      </c>
      <c r="W1398" s="17"/>
      <c r="X1398" s="17"/>
    </row>
    <row r="1399" spans="1:24" hidden="1">
      <c r="A1399" s="18">
        <v>1398</v>
      </c>
      <c r="B1399" s="17" t="s">
        <v>3261</v>
      </c>
      <c r="C1399" s="17" t="s">
        <v>3262</v>
      </c>
      <c r="D1399" s="17" t="s">
        <v>20</v>
      </c>
      <c r="E1399" s="17" t="s">
        <v>8</v>
      </c>
      <c r="F1399" s="17">
        <v>137.96</v>
      </c>
      <c r="G1399" s="17">
        <v>0</v>
      </c>
      <c r="H1399" s="17">
        <v>0</v>
      </c>
      <c r="I1399" s="17">
        <v>137.96</v>
      </c>
      <c r="J1399" s="17">
        <v>0</v>
      </c>
      <c r="K1399" s="17">
        <v>0</v>
      </c>
      <c r="L1399" s="17">
        <v>137.96</v>
      </c>
      <c r="M1399" s="17">
        <v>0</v>
      </c>
      <c r="N1399" s="17">
        <v>0</v>
      </c>
      <c r="O1399" s="17">
        <v>137.96</v>
      </c>
      <c r="P1399" s="17">
        <v>100</v>
      </c>
      <c r="Q1399" s="17">
        <v>37.960000000000008</v>
      </c>
      <c r="R1399" s="17">
        <v>0</v>
      </c>
      <c r="S1399" s="17"/>
      <c r="T1399" s="17" t="s">
        <v>2991</v>
      </c>
      <c r="U1399" s="17" t="s">
        <v>3057</v>
      </c>
      <c r="V1399" s="17" t="s">
        <v>3056</v>
      </c>
      <c r="W1399" s="17"/>
      <c r="X1399" s="17"/>
    </row>
    <row r="1400" spans="1:24" hidden="1">
      <c r="A1400" s="18">
        <v>1399</v>
      </c>
      <c r="B1400" s="17" t="s">
        <v>3263</v>
      </c>
      <c r="C1400" s="17" t="s">
        <v>3264</v>
      </c>
      <c r="D1400" s="17" t="s">
        <v>20</v>
      </c>
      <c r="E1400" s="17" t="s">
        <v>8</v>
      </c>
      <c r="F1400" s="17">
        <v>0</v>
      </c>
      <c r="G1400" s="17">
        <v>0</v>
      </c>
      <c r="H1400" s="17">
        <v>0</v>
      </c>
      <c r="I1400" s="17">
        <v>0</v>
      </c>
      <c r="J1400" s="17">
        <v>0</v>
      </c>
      <c r="K1400" s="17">
        <v>0</v>
      </c>
      <c r="L1400" s="17">
        <v>0</v>
      </c>
      <c r="M1400" s="17">
        <v>0</v>
      </c>
      <c r="N1400" s="17">
        <v>0</v>
      </c>
      <c r="O1400" s="17">
        <v>0</v>
      </c>
      <c r="P1400" s="17">
        <v>0</v>
      </c>
      <c r="Q1400" s="17">
        <v>0</v>
      </c>
      <c r="R1400" s="17">
        <v>0</v>
      </c>
      <c r="S1400" s="17"/>
      <c r="T1400" s="17" t="s">
        <v>3031</v>
      </c>
      <c r="U1400" s="17" t="s">
        <v>3057</v>
      </c>
      <c r="V1400" s="17" t="s">
        <v>3056</v>
      </c>
      <c r="W1400" s="17"/>
      <c r="X1400" s="17"/>
    </row>
    <row r="1401" spans="1:24" hidden="1">
      <c r="A1401" s="18">
        <v>1400</v>
      </c>
      <c r="B1401" s="17" t="s">
        <v>3265</v>
      </c>
      <c r="C1401" s="17" t="s">
        <v>3266</v>
      </c>
      <c r="D1401" s="17" t="s">
        <v>20</v>
      </c>
      <c r="E1401" s="17" t="s">
        <v>8</v>
      </c>
      <c r="F1401" s="17">
        <v>99.25</v>
      </c>
      <c r="G1401" s="17">
        <v>0</v>
      </c>
      <c r="H1401" s="17">
        <v>99.25</v>
      </c>
      <c r="I1401" s="17">
        <v>0</v>
      </c>
      <c r="J1401" s="17">
        <v>0</v>
      </c>
      <c r="K1401" s="17">
        <v>0</v>
      </c>
      <c r="L1401" s="17">
        <v>0</v>
      </c>
      <c r="M1401" s="17">
        <v>0</v>
      </c>
      <c r="N1401" s="17">
        <v>0</v>
      </c>
      <c r="O1401" s="17">
        <v>0</v>
      </c>
      <c r="P1401" s="17">
        <v>0</v>
      </c>
      <c r="Q1401" s="17">
        <v>0</v>
      </c>
      <c r="R1401" s="17">
        <v>0</v>
      </c>
      <c r="S1401" s="17"/>
      <c r="T1401" s="17" t="s">
        <v>3031</v>
      </c>
      <c r="U1401" s="17" t="s">
        <v>3057</v>
      </c>
      <c r="V1401" s="17" t="s">
        <v>3056</v>
      </c>
      <c r="W1401" s="17"/>
      <c r="X1401" s="17"/>
    </row>
    <row r="1402" spans="1:24" hidden="1">
      <c r="A1402" s="18">
        <v>1401</v>
      </c>
      <c r="B1402" s="17" t="s">
        <v>3039</v>
      </c>
      <c r="C1402" s="17" t="s">
        <v>3040</v>
      </c>
      <c r="D1402" s="17" t="s">
        <v>17</v>
      </c>
      <c r="E1402" s="17" t="s">
        <v>8</v>
      </c>
      <c r="F1402" s="17">
        <v>40</v>
      </c>
      <c r="G1402" s="17">
        <v>0</v>
      </c>
      <c r="H1402" s="17">
        <v>0</v>
      </c>
      <c r="I1402" s="17">
        <v>40</v>
      </c>
      <c r="J1402" s="17">
        <v>0</v>
      </c>
      <c r="K1402" s="17">
        <v>0</v>
      </c>
      <c r="L1402" s="17">
        <v>40</v>
      </c>
      <c r="M1402" s="17">
        <v>0</v>
      </c>
      <c r="N1402" s="17">
        <v>0</v>
      </c>
      <c r="O1402" s="17">
        <v>40</v>
      </c>
      <c r="P1402" s="17">
        <v>0</v>
      </c>
      <c r="Q1402" s="17">
        <v>40</v>
      </c>
      <c r="R1402" s="17">
        <v>0</v>
      </c>
      <c r="S1402" s="17"/>
      <c r="T1402" s="17" t="s">
        <v>2991</v>
      </c>
      <c r="U1402" s="17" t="s">
        <v>3057</v>
      </c>
      <c r="V1402" s="17" t="s">
        <v>3056</v>
      </c>
      <c r="W1402" s="17"/>
      <c r="X1402" s="17"/>
    </row>
    <row r="1403" spans="1:24" hidden="1">
      <c r="A1403" s="18">
        <v>1402</v>
      </c>
      <c r="B1403" s="17" t="s">
        <v>3267</v>
      </c>
      <c r="C1403" s="17" t="s">
        <v>3268</v>
      </c>
      <c r="D1403" s="17" t="s">
        <v>17</v>
      </c>
      <c r="E1403" s="17" t="s">
        <v>8</v>
      </c>
      <c r="F1403" s="17">
        <v>0</v>
      </c>
      <c r="G1403" s="17">
        <v>2</v>
      </c>
      <c r="H1403" s="17">
        <v>2</v>
      </c>
      <c r="I1403" s="17">
        <v>0</v>
      </c>
      <c r="J1403" s="17">
        <v>0</v>
      </c>
      <c r="K1403" s="17">
        <v>0</v>
      </c>
      <c r="L1403" s="17">
        <v>0</v>
      </c>
      <c r="M1403" s="17">
        <v>0</v>
      </c>
      <c r="N1403" s="17">
        <v>0</v>
      </c>
      <c r="O1403" s="17">
        <v>0</v>
      </c>
      <c r="P1403" s="17">
        <v>5</v>
      </c>
      <c r="Q1403" s="17">
        <v>-5</v>
      </c>
      <c r="R1403" s="17">
        <v>2</v>
      </c>
      <c r="S1403" s="17"/>
      <c r="T1403" s="17" t="s">
        <v>2963</v>
      </c>
      <c r="U1403" s="17" t="s">
        <v>3057</v>
      </c>
      <c r="V1403" s="17" t="s">
        <v>3056</v>
      </c>
      <c r="W1403" s="17"/>
      <c r="X1403" s="17"/>
    </row>
    <row r="1404" spans="1:24" hidden="1">
      <c r="A1404" s="18">
        <v>1403</v>
      </c>
      <c r="B1404" s="17" t="s">
        <v>3269</v>
      </c>
      <c r="C1404" s="17" t="s">
        <v>3270</v>
      </c>
      <c r="D1404" s="17" t="s">
        <v>17</v>
      </c>
      <c r="E1404" s="17" t="s">
        <v>8</v>
      </c>
      <c r="F1404" s="17">
        <v>71</v>
      </c>
      <c r="G1404" s="17">
        <v>0</v>
      </c>
      <c r="H1404" s="17">
        <v>10</v>
      </c>
      <c r="I1404" s="17">
        <v>61</v>
      </c>
      <c r="J1404" s="17">
        <v>0</v>
      </c>
      <c r="K1404" s="17">
        <v>0</v>
      </c>
      <c r="L1404" s="17">
        <v>61</v>
      </c>
      <c r="M1404" s="17">
        <v>0</v>
      </c>
      <c r="N1404" s="17">
        <v>0</v>
      </c>
      <c r="O1404" s="17">
        <v>61</v>
      </c>
      <c r="P1404" s="17">
        <v>30</v>
      </c>
      <c r="Q1404" s="17">
        <v>31</v>
      </c>
      <c r="R1404" s="17">
        <v>0</v>
      </c>
      <c r="S1404" s="17"/>
      <c r="T1404" s="17" t="s">
        <v>2991</v>
      </c>
      <c r="U1404" s="17" t="s">
        <v>3057</v>
      </c>
      <c r="V1404" s="17" t="s">
        <v>3056</v>
      </c>
      <c r="W1404" s="17"/>
      <c r="X1404" s="17"/>
    </row>
    <row r="1405" spans="1:24" s="40" customFormat="1" hidden="1">
      <c r="A1405" s="26">
        <v>1404</v>
      </c>
      <c r="B1405" s="25" t="s">
        <v>3271</v>
      </c>
      <c r="C1405" s="25" t="s">
        <v>3272</v>
      </c>
      <c r="D1405" s="25" t="s">
        <v>17</v>
      </c>
      <c r="E1405" s="25" t="s">
        <v>8</v>
      </c>
      <c r="F1405" s="25">
        <v>1000</v>
      </c>
      <c r="G1405" s="25">
        <v>1500</v>
      </c>
      <c r="H1405" s="25">
        <v>1000</v>
      </c>
      <c r="I1405" s="17">
        <v>1500</v>
      </c>
      <c r="J1405" s="17">
        <v>0</v>
      </c>
      <c r="K1405" s="17">
        <v>0</v>
      </c>
      <c r="L1405" s="17">
        <v>1500</v>
      </c>
      <c r="M1405" s="17">
        <v>0</v>
      </c>
      <c r="N1405" s="17">
        <v>0</v>
      </c>
      <c r="O1405" s="25">
        <v>1500</v>
      </c>
      <c r="P1405" s="25">
        <v>2000</v>
      </c>
      <c r="Q1405" s="25">
        <v>-500</v>
      </c>
      <c r="R1405" s="25">
        <v>2000</v>
      </c>
      <c r="S1405" s="25"/>
      <c r="T1405" s="25" t="s">
        <v>2991</v>
      </c>
      <c r="U1405" s="25" t="s">
        <v>3057</v>
      </c>
      <c r="V1405" s="25" t="s">
        <v>3056</v>
      </c>
      <c r="W1405" s="25"/>
      <c r="X1405" s="25"/>
    </row>
    <row r="1406" spans="1:24" hidden="1">
      <c r="A1406" s="18">
        <v>1405</v>
      </c>
      <c r="B1406" s="17" t="s">
        <v>11</v>
      </c>
      <c r="C1406" s="17" t="s">
        <v>2970</v>
      </c>
      <c r="D1406" s="17" t="s">
        <v>7</v>
      </c>
      <c r="E1406" s="17" t="s">
        <v>8</v>
      </c>
      <c r="F1406" s="17">
        <v>455</v>
      </c>
      <c r="G1406" s="17">
        <v>0</v>
      </c>
      <c r="H1406" s="17">
        <v>70</v>
      </c>
      <c r="I1406" s="17">
        <v>385</v>
      </c>
      <c r="J1406" s="17">
        <v>0</v>
      </c>
      <c r="K1406" s="17">
        <v>0</v>
      </c>
      <c r="L1406" s="17">
        <v>385</v>
      </c>
      <c r="M1406" s="17">
        <v>0</v>
      </c>
      <c r="N1406" s="17">
        <v>0</v>
      </c>
      <c r="O1406" s="17">
        <v>385</v>
      </c>
      <c r="P1406" s="17">
        <v>300</v>
      </c>
      <c r="Q1406" s="17">
        <v>85</v>
      </c>
      <c r="R1406" s="17">
        <v>0</v>
      </c>
      <c r="S1406" s="17"/>
      <c r="T1406" s="17" t="s">
        <v>2965</v>
      </c>
      <c r="U1406" s="17" t="s">
        <v>3055</v>
      </c>
      <c r="V1406" s="17" t="s">
        <v>3056</v>
      </c>
      <c r="W1406" s="17"/>
      <c r="X1406" s="17"/>
    </row>
    <row r="1407" spans="1:24" hidden="1">
      <c r="A1407" s="18">
        <v>1406</v>
      </c>
      <c r="B1407" s="17" t="s">
        <v>12</v>
      </c>
      <c r="C1407" s="17" t="s">
        <v>13</v>
      </c>
      <c r="D1407" s="17" t="s">
        <v>7</v>
      </c>
      <c r="E1407" s="17" t="s">
        <v>8</v>
      </c>
      <c r="F1407" s="17">
        <v>0</v>
      </c>
      <c r="G1407" s="17">
        <v>0</v>
      </c>
      <c r="H1407" s="17">
        <v>0</v>
      </c>
      <c r="I1407" s="17">
        <v>0</v>
      </c>
      <c r="J1407" s="17">
        <v>0</v>
      </c>
      <c r="K1407" s="17">
        <v>0</v>
      </c>
      <c r="L1407" s="17">
        <v>0</v>
      </c>
      <c r="M1407" s="17">
        <v>0</v>
      </c>
      <c r="N1407" s="17">
        <v>0</v>
      </c>
      <c r="O1407" s="17">
        <v>0</v>
      </c>
      <c r="P1407" s="17">
        <v>0</v>
      </c>
      <c r="Q1407" s="17">
        <v>0</v>
      </c>
      <c r="R1407" s="17">
        <v>0</v>
      </c>
      <c r="S1407" s="17"/>
      <c r="T1407" s="17" t="s">
        <v>2965</v>
      </c>
      <c r="U1407" s="17" t="s">
        <v>3055</v>
      </c>
      <c r="V1407" s="17" t="s">
        <v>3056</v>
      </c>
      <c r="W1407" s="17"/>
      <c r="X1407" s="17"/>
    </row>
    <row r="1408" spans="1:24" hidden="1">
      <c r="A1408" s="18">
        <v>1407</v>
      </c>
      <c r="B1408" s="17" t="s">
        <v>23</v>
      </c>
      <c r="C1408" s="17" t="s">
        <v>24</v>
      </c>
      <c r="D1408" s="17" t="s">
        <v>20</v>
      </c>
      <c r="E1408" s="17" t="s">
        <v>8</v>
      </c>
      <c r="F1408" s="17">
        <v>2054.6999999999998</v>
      </c>
      <c r="G1408" s="17">
        <v>0</v>
      </c>
      <c r="H1408" s="17">
        <v>0</v>
      </c>
      <c r="I1408" s="17">
        <v>2054.6999999999998</v>
      </c>
      <c r="J1408" s="17">
        <v>0</v>
      </c>
      <c r="K1408" s="17">
        <v>0</v>
      </c>
      <c r="L1408" s="17">
        <v>2054.6999999999998</v>
      </c>
      <c r="M1408" s="17">
        <v>0</v>
      </c>
      <c r="N1408" s="17">
        <v>0</v>
      </c>
      <c r="O1408" s="17">
        <v>2054.6999999999998</v>
      </c>
      <c r="P1408" s="17">
        <v>0</v>
      </c>
      <c r="Q1408" s="17">
        <v>2054.6999999999998</v>
      </c>
      <c r="R1408" s="17">
        <v>0</v>
      </c>
      <c r="S1408" s="17"/>
      <c r="T1408" s="17" t="s">
        <v>3000</v>
      </c>
      <c r="U1408" s="17" t="s">
        <v>3059</v>
      </c>
      <c r="V1408" s="17" t="s">
        <v>3056</v>
      </c>
      <c r="W1408" s="17"/>
      <c r="X1408" s="17"/>
    </row>
    <row r="1409" spans="1:24" hidden="1">
      <c r="A1409" s="18">
        <v>1408</v>
      </c>
      <c r="B1409" s="17" t="s">
        <v>25</v>
      </c>
      <c r="C1409" s="17" t="s">
        <v>26</v>
      </c>
      <c r="D1409" s="17" t="s">
        <v>20</v>
      </c>
      <c r="E1409" s="17" t="s">
        <v>8</v>
      </c>
      <c r="F1409" s="17">
        <v>4719.8999999999996</v>
      </c>
      <c r="G1409" s="17">
        <v>0</v>
      </c>
      <c r="H1409" s="17">
        <v>710.4</v>
      </c>
      <c r="I1409" s="17">
        <v>4009.5</v>
      </c>
      <c r="J1409" s="17">
        <v>0</v>
      </c>
      <c r="K1409" s="17">
        <v>0</v>
      </c>
      <c r="L1409" s="17">
        <v>4009.5</v>
      </c>
      <c r="M1409" s="17">
        <v>0</v>
      </c>
      <c r="N1409" s="17">
        <v>0</v>
      </c>
      <c r="O1409" s="17">
        <v>4009.5</v>
      </c>
      <c r="P1409" s="17">
        <v>0</v>
      </c>
      <c r="Q1409" s="17">
        <v>4009.5</v>
      </c>
      <c r="R1409" s="17">
        <v>0</v>
      </c>
      <c r="S1409" s="17"/>
      <c r="T1409" s="17" t="s">
        <v>3000</v>
      </c>
      <c r="U1409" s="17" t="s">
        <v>3059</v>
      </c>
      <c r="V1409" s="17" t="s">
        <v>3056</v>
      </c>
      <c r="W1409" s="17"/>
      <c r="X1409" s="17"/>
    </row>
    <row r="1410" spans="1:24" hidden="1">
      <c r="A1410" s="18">
        <v>1409</v>
      </c>
      <c r="B1410" s="17" t="s">
        <v>167</v>
      </c>
      <c r="C1410" s="17" t="s">
        <v>168</v>
      </c>
      <c r="D1410" s="17" t="s">
        <v>7</v>
      </c>
      <c r="E1410" s="17" t="s">
        <v>8</v>
      </c>
      <c r="F1410" s="17">
        <v>116000</v>
      </c>
      <c r="G1410" s="17">
        <v>12000</v>
      </c>
      <c r="H1410" s="17">
        <v>28900</v>
      </c>
      <c r="I1410" s="17">
        <v>99100</v>
      </c>
      <c r="J1410" s="17">
        <v>7000</v>
      </c>
      <c r="K1410" s="17">
        <v>0</v>
      </c>
      <c r="L1410" s="17">
        <v>92100</v>
      </c>
      <c r="M1410" s="17">
        <v>0</v>
      </c>
      <c r="N1410" s="17">
        <v>0</v>
      </c>
      <c r="O1410" s="17">
        <v>92100</v>
      </c>
      <c r="P1410" s="17">
        <v>25000</v>
      </c>
      <c r="Q1410" s="17">
        <v>67100</v>
      </c>
      <c r="R1410" s="17">
        <v>14400</v>
      </c>
      <c r="S1410" s="17"/>
      <c r="T1410" s="17" t="s">
        <v>2972</v>
      </c>
      <c r="U1410" s="17" t="s">
        <v>3057</v>
      </c>
      <c r="V1410" s="17" t="s">
        <v>3056</v>
      </c>
      <c r="W1410" s="17"/>
      <c r="X1410" s="17"/>
    </row>
    <row r="1411" spans="1:24" s="40" customFormat="1" hidden="1">
      <c r="A1411" s="26">
        <v>1410</v>
      </c>
      <c r="B1411" s="25" t="s">
        <v>177</v>
      </c>
      <c r="C1411" s="25" t="s">
        <v>178</v>
      </c>
      <c r="D1411" s="25" t="s">
        <v>7</v>
      </c>
      <c r="E1411" s="25" t="s">
        <v>8</v>
      </c>
      <c r="F1411" s="25">
        <v>27300</v>
      </c>
      <c r="G1411" s="25">
        <v>21600</v>
      </c>
      <c r="H1411" s="25">
        <v>19800</v>
      </c>
      <c r="I1411" s="17">
        <v>29100</v>
      </c>
      <c r="J1411" s="17">
        <v>9900</v>
      </c>
      <c r="K1411" s="17">
        <v>0</v>
      </c>
      <c r="L1411" s="17">
        <v>19200</v>
      </c>
      <c r="M1411" s="17">
        <v>0</v>
      </c>
      <c r="N1411" s="17">
        <v>0</v>
      </c>
      <c r="O1411" s="25">
        <v>19200</v>
      </c>
      <c r="P1411" s="25">
        <v>36000</v>
      </c>
      <c r="Q1411" s="25">
        <v>-16800</v>
      </c>
      <c r="R1411" s="25">
        <v>28800</v>
      </c>
      <c r="S1411" s="25"/>
      <c r="T1411" s="25" t="s">
        <v>2972</v>
      </c>
      <c r="U1411" s="25" t="s">
        <v>3057</v>
      </c>
      <c r="V1411" s="25" t="s">
        <v>3056</v>
      </c>
      <c r="W1411" s="25"/>
      <c r="X1411" s="25"/>
    </row>
    <row r="1412" spans="1:24" hidden="1">
      <c r="A1412" s="18">
        <v>1411</v>
      </c>
      <c r="B1412" s="17" t="s">
        <v>59</v>
      </c>
      <c r="C1412" s="17" t="s">
        <v>60</v>
      </c>
      <c r="D1412" s="17" t="s">
        <v>17</v>
      </c>
      <c r="E1412" s="17" t="s">
        <v>8</v>
      </c>
      <c r="F1412" s="17">
        <v>1475</v>
      </c>
      <c r="G1412" s="17">
        <v>0</v>
      </c>
      <c r="H1412" s="17">
        <v>0</v>
      </c>
      <c r="I1412" s="17">
        <v>1475</v>
      </c>
      <c r="J1412" s="17">
        <v>0</v>
      </c>
      <c r="K1412" s="17">
        <v>0</v>
      </c>
      <c r="L1412" s="17">
        <v>1475</v>
      </c>
      <c r="M1412" s="17">
        <v>0</v>
      </c>
      <c r="N1412" s="17">
        <v>0</v>
      </c>
      <c r="O1412" s="17">
        <v>1475</v>
      </c>
      <c r="P1412" s="17">
        <v>500</v>
      </c>
      <c r="Q1412" s="17">
        <v>975</v>
      </c>
      <c r="R1412" s="17">
        <v>0</v>
      </c>
      <c r="S1412" s="17"/>
      <c r="T1412" s="17" t="s">
        <v>2972</v>
      </c>
      <c r="U1412" s="17" t="s">
        <v>3055</v>
      </c>
      <c r="V1412" s="17" t="s">
        <v>3056</v>
      </c>
      <c r="W1412" s="17"/>
      <c r="X1412" s="17"/>
    </row>
    <row r="1413" spans="1:24" hidden="1">
      <c r="A1413" s="18">
        <v>1412</v>
      </c>
      <c r="B1413" s="17" t="s">
        <v>74</v>
      </c>
      <c r="C1413" s="17" t="s">
        <v>75</v>
      </c>
      <c r="D1413" s="17" t="s">
        <v>17</v>
      </c>
      <c r="E1413" s="17" t="s">
        <v>8</v>
      </c>
      <c r="F1413" s="17">
        <v>5590</v>
      </c>
      <c r="G1413" s="17">
        <v>0</v>
      </c>
      <c r="H1413" s="17">
        <v>0</v>
      </c>
      <c r="I1413" s="17">
        <v>5590</v>
      </c>
      <c r="J1413" s="17">
        <v>0</v>
      </c>
      <c r="K1413" s="17">
        <v>0</v>
      </c>
      <c r="L1413" s="17">
        <v>5590</v>
      </c>
      <c r="M1413" s="17">
        <v>0</v>
      </c>
      <c r="N1413" s="17">
        <v>0</v>
      </c>
      <c r="O1413" s="17">
        <v>5590</v>
      </c>
      <c r="P1413" s="17">
        <v>800</v>
      </c>
      <c r="Q1413" s="17">
        <v>4790</v>
      </c>
      <c r="R1413" s="17">
        <v>0</v>
      </c>
      <c r="S1413" s="17"/>
      <c r="T1413" s="17" t="s">
        <v>2991</v>
      </c>
      <c r="U1413" s="17" t="s">
        <v>3060</v>
      </c>
      <c r="V1413" s="17" t="s">
        <v>3058</v>
      </c>
      <c r="W1413" s="17"/>
      <c r="X1413" s="17"/>
    </row>
    <row r="1414" spans="1:24" hidden="1">
      <c r="A1414" s="18">
        <v>1413</v>
      </c>
      <c r="B1414" s="17" t="s">
        <v>641</v>
      </c>
      <c r="C1414" s="17" t="s">
        <v>3273</v>
      </c>
      <c r="D1414" s="17" t="s">
        <v>17</v>
      </c>
      <c r="E1414" s="17" t="s">
        <v>8</v>
      </c>
      <c r="F1414" s="17">
        <v>1100</v>
      </c>
      <c r="G1414" s="17">
        <v>0</v>
      </c>
      <c r="H1414" s="17">
        <v>800</v>
      </c>
      <c r="I1414" s="17">
        <v>300</v>
      </c>
      <c r="J1414" s="17">
        <v>0</v>
      </c>
      <c r="K1414" s="17">
        <v>0</v>
      </c>
      <c r="L1414" s="17">
        <v>300</v>
      </c>
      <c r="M1414" s="17">
        <v>1000</v>
      </c>
      <c r="N1414" s="17">
        <v>0</v>
      </c>
      <c r="O1414" s="17">
        <v>1300</v>
      </c>
      <c r="P1414" s="17">
        <v>800</v>
      </c>
      <c r="Q1414" s="17">
        <v>500</v>
      </c>
      <c r="R1414" s="17">
        <v>1000</v>
      </c>
      <c r="S1414" s="17"/>
      <c r="T1414" s="17" t="s">
        <v>2972</v>
      </c>
      <c r="U1414" s="17" t="s">
        <v>3057</v>
      </c>
      <c r="V1414" s="17" t="s">
        <v>3056</v>
      </c>
      <c r="W1414" s="17"/>
      <c r="X1414" s="17"/>
    </row>
    <row r="1415" spans="1:24" hidden="1">
      <c r="A1415" s="18">
        <v>1414</v>
      </c>
      <c r="B1415" s="17" t="s">
        <v>1504</v>
      </c>
      <c r="C1415" s="17" t="s">
        <v>1505</v>
      </c>
      <c r="D1415" s="17" t="s">
        <v>7</v>
      </c>
      <c r="E1415" s="17" t="s">
        <v>8</v>
      </c>
      <c r="F1415" s="17">
        <v>360</v>
      </c>
      <c r="G1415" s="17">
        <v>0</v>
      </c>
      <c r="H1415" s="17">
        <v>0</v>
      </c>
      <c r="I1415" s="17">
        <v>360</v>
      </c>
      <c r="J1415" s="17">
        <v>0</v>
      </c>
      <c r="K1415" s="17">
        <v>0</v>
      </c>
      <c r="L1415" s="17">
        <v>360</v>
      </c>
      <c r="M1415" s="17">
        <v>0</v>
      </c>
      <c r="N1415" s="17">
        <v>0</v>
      </c>
      <c r="O1415" s="17">
        <v>360</v>
      </c>
      <c r="P1415" s="17">
        <v>100</v>
      </c>
      <c r="Q1415" s="17">
        <v>260</v>
      </c>
      <c r="R1415" s="17">
        <v>0</v>
      </c>
      <c r="S1415" s="17"/>
      <c r="T1415" s="17" t="s">
        <v>2991</v>
      </c>
      <c r="U1415" s="17" t="s">
        <v>3057</v>
      </c>
      <c r="V1415" s="17" t="s">
        <v>3058</v>
      </c>
      <c r="W1415" s="17"/>
      <c r="X1415" s="17"/>
    </row>
    <row r="1416" spans="1:24" hidden="1">
      <c r="A1416" s="18">
        <v>1415</v>
      </c>
      <c r="B1416" s="17" t="s">
        <v>108</v>
      </c>
      <c r="C1416" s="17" t="s">
        <v>109</v>
      </c>
      <c r="D1416" s="17" t="s">
        <v>17</v>
      </c>
      <c r="E1416" s="17" t="s">
        <v>8</v>
      </c>
      <c r="F1416" s="17">
        <v>25000</v>
      </c>
      <c r="G1416" s="17">
        <v>0</v>
      </c>
      <c r="H1416" s="17">
        <v>8000</v>
      </c>
      <c r="I1416" s="17">
        <v>17000</v>
      </c>
      <c r="J1416" s="17">
        <v>0</v>
      </c>
      <c r="K1416" s="17">
        <v>0</v>
      </c>
      <c r="L1416" s="17">
        <v>17000</v>
      </c>
      <c r="M1416" s="17">
        <v>0</v>
      </c>
      <c r="N1416" s="17">
        <v>0</v>
      </c>
      <c r="O1416" s="17">
        <v>17000</v>
      </c>
      <c r="P1416" s="17">
        <v>15000</v>
      </c>
      <c r="Q1416" s="17">
        <v>2000</v>
      </c>
      <c r="R1416" s="17">
        <v>0</v>
      </c>
      <c r="S1416" s="17"/>
      <c r="T1416" s="17" t="s">
        <v>2972</v>
      </c>
      <c r="U1416" s="17" t="s">
        <v>3060</v>
      </c>
      <c r="V1416" s="17" t="s">
        <v>3058</v>
      </c>
      <c r="W1416" s="17"/>
      <c r="X1416" s="17"/>
    </row>
    <row r="1417" spans="1:24" hidden="1">
      <c r="A1417" s="18">
        <v>1416</v>
      </c>
      <c r="B1417" s="17" t="s">
        <v>1594</v>
      </c>
      <c r="C1417" s="17" t="s">
        <v>1595</v>
      </c>
      <c r="D1417" s="17" t="s">
        <v>17</v>
      </c>
      <c r="E1417" s="17" t="s">
        <v>8</v>
      </c>
      <c r="F1417" s="17">
        <v>288</v>
      </c>
      <c r="G1417" s="17">
        <v>97</v>
      </c>
      <c r="H1417" s="17">
        <v>162</v>
      </c>
      <c r="I1417" s="17">
        <v>223</v>
      </c>
      <c r="J1417" s="17">
        <v>0</v>
      </c>
      <c r="K1417" s="17">
        <v>0</v>
      </c>
      <c r="L1417" s="17">
        <v>223</v>
      </c>
      <c r="M1417" s="17">
        <v>0</v>
      </c>
      <c r="N1417" s="17">
        <v>0</v>
      </c>
      <c r="O1417" s="17">
        <v>223</v>
      </c>
      <c r="P1417" s="17">
        <v>150</v>
      </c>
      <c r="Q1417" s="17">
        <v>73</v>
      </c>
      <c r="R1417" s="17">
        <v>0</v>
      </c>
      <c r="S1417" s="17"/>
      <c r="T1417" s="17" t="s">
        <v>2972</v>
      </c>
      <c r="U1417" s="17" t="s">
        <v>3057</v>
      </c>
      <c r="V1417" s="17" t="s">
        <v>3058</v>
      </c>
      <c r="W1417" s="17"/>
      <c r="X1417" s="17"/>
    </row>
    <row r="1418" spans="1:24" hidden="1">
      <c r="A1418" s="18">
        <v>1417</v>
      </c>
      <c r="B1418" s="17" t="s">
        <v>1632</v>
      </c>
      <c r="C1418" s="17" t="s">
        <v>1633</v>
      </c>
      <c r="D1418" s="17" t="s">
        <v>17</v>
      </c>
      <c r="E1418" s="17" t="s">
        <v>8</v>
      </c>
      <c r="F1418" s="17">
        <v>1450</v>
      </c>
      <c r="G1418" s="17">
        <v>0</v>
      </c>
      <c r="H1418" s="17">
        <v>200</v>
      </c>
      <c r="I1418" s="17">
        <v>1250</v>
      </c>
      <c r="J1418" s="17">
        <v>0</v>
      </c>
      <c r="K1418" s="17">
        <v>0</v>
      </c>
      <c r="L1418" s="17">
        <v>1250</v>
      </c>
      <c r="M1418" s="17">
        <v>0</v>
      </c>
      <c r="N1418" s="17">
        <v>0</v>
      </c>
      <c r="O1418" s="17">
        <v>1250</v>
      </c>
      <c r="P1418" s="17">
        <v>500</v>
      </c>
      <c r="Q1418" s="17">
        <v>750</v>
      </c>
      <c r="R1418" s="17">
        <v>0</v>
      </c>
      <c r="S1418" s="17"/>
      <c r="T1418" s="17" t="s">
        <v>2972</v>
      </c>
      <c r="U1418" s="17" t="s">
        <v>3057</v>
      </c>
      <c r="V1418" s="17" t="s">
        <v>3056</v>
      </c>
      <c r="W1418" s="17"/>
      <c r="X1418" s="17"/>
    </row>
    <row r="1419" spans="1:24" hidden="1">
      <c r="A1419" s="18">
        <v>1418</v>
      </c>
      <c r="B1419" s="17" t="s">
        <v>1860</v>
      </c>
      <c r="C1419" s="17" t="s">
        <v>1861</v>
      </c>
      <c r="D1419" s="17" t="s">
        <v>20</v>
      </c>
      <c r="E1419" s="17" t="s">
        <v>8</v>
      </c>
      <c r="F1419" s="17">
        <v>2317.9</v>
      </c>
      <c r="G1419" s="17">
        <v>1532.9</v>
      </c>
      <c r="H1419" s="17">
        <v>2142.4</v>
      </c>
      <c r="I1419" s="17">
        <v>1708.4</v>
      </c>
      <c r="J1419" s="17">
        <v>0</v>
      </c>
      <c r="K1419" s="17">
        <v>0</v>
      </c>
      <c r="L1419" s="17">
        <v>1708.4</v>
      </c>
      <c r="M1419" s="17">
        <v>0</v>
      </c>
      <c r="N1419" s="17">
        <v>0</v>
      </c>
      <c r="O1419" s="17">
        <v>1708.4</v>
      </c>
      <c r="P1419" s="17">
        <v>1500</v>
      </c>
      <c r="Q1419" s="17">
        <v>208.40000000000009</v>
      </c>
      <c r="R1419" s="17">
        <v>5000</v>
      </c>
      <c r="S1419" s="17"/>
      <c r="T1419" s="17" t="s">
        <v>3031</v>
      </c>
      <c r="U1419" s="17" t="s">
        <v>3057</v>
      </c>
      <c r="V1419" s="17" t="s">
        <v>3056</v>
      </c>
      <c r="W1419" s="17"/>
      <c r="X1419" s="17"/>
    </row>
    <row r="1420" spans="1:24" hidden="1">
      <c r="A1420" s="18">
        <v>1419</v>
      </c>
      <c r="B1420" s="17" t="s">
        <v>1914</v>
      </c>
      <c r="C1420" s="17" t="s">
        <v>1915</v>
      </c>
      <c r="D1420" s="17" t="s">
        <v>17</v>
      </c>
      <c r="E1420" s="17" t="s">
        <v>8</v>
      </c>
      <c r="F1420" s="17">
        <v>8500</v>
      </c>
      <c r="G1420" s="17">
        <v>30000</v>
      </c>
      <c r="H1420" s="17">
        <v>12000</v>
      </c>
      <c r="I1420" s="17">
        <v>26500</v>
      </c>
      <c r="J1420" s="17">
        <v>0</v>
      </c>
      <c r="K1420" s="17">
        <v>0</v>
      </c>
      <c r="L1420" s="17">
        <v>26500</v>
      </c>
      <c r="M1420" s="17">
        <v>0</v>
      </c>
      <c r="N1420" s="17">
        <v>0</v>
      </c>
      <c r="O1420" s="17">
        <v>26500</v>
      </c>
      <c r="P1420" s="17">
        <v>15000</v>
      </c>
      <c r="Q1420" s="17">
        <v>11500</v>
      </c>
      <c r="R1420" s="17">
        <v>0</v>
      </c>
      <c r="S1420" s="17"/>
      <c r="T1420" s="17" t="s">
        <v>2972</v>
      </c>
      <c r="U1420" s="17" t="s">
        <v>3057</v>
      </c>
      <c r="V1420" s="17" t="s">
        <v>3056</v>
      </c>
      <c r="W1420" s="17"/>
      <c r="X1420" s="17"/>
    </row>
    <row r="1421" spans="1:24" hidden="1">
      <c r="A1421" s="18">
        <v>1420</v>
      </c>
      <c r="B1421" s="17" t="s">
        <v>195</v>
      </c>
      <c r="C1421" s="17" t="s">
        <v>196</v>
      </c>
      <c r="D1421" s="17" t="s">
        <v>20</v>
      </c>
      <c r="E1421" s="17" t="s">
        <v>8</v>
      </c>
      <c r="F1421" s="17">
        <v>475</v>
      </c>
      <c r="G1421" s="17">
        <v>0</v>
      </c>
      <c r="H1421" s="17">
        <v>40.700000000000003</v>
      </c>
      <c r="I1421" s="17">
        <v>434.3</v>
      </c>
      <c r="J1421" s="17">
        <v>0</v>
      </c>
      <c r="K1421" s="17">
        <v>0</v>
      </c>
      <c r="L1421" s="17">
        <v>434.3</v>
      </c>
      <c r="M1421" s="17">
        <v>139.4</v>
      </c>
      <c r="N1421" s="17">
        <v>0</v>
      </c>
      <c r="O1421" s="17">
        <v>573.70000000000005</v>
      </c>
      <c r="P1421" s="17">
        <v>200</v>
      </c>
      <c r="Q1421" s="17">
        <v>373.70000000000005</v>
      </c>
      <c r="R1421" s="17">
        <v>100</v>
      </c>
      <c r="S1421" s="17"/>
      <c r="T1421" s="17" t="s">
        <v>2965</v>
      </c>
      <c r="U1421" s="17" t="s">
        <v>3055</v>
      </c>
      <c r="V1421" s="17" t="s">
        <v>3058</v>
      </c>
      <c r="W1421" s="17"/>
      <c r="X1421" s="17"/>
    </row>
    <row r="1422" spans="1:24" hidden="1">
      <c r="A1422" s="18">
        <v>1421</v>
      </c>
      <c r="B1422" s="17" t="s">
        <v>199</v>
      </c>
      <c r="C1422" s="17" t="s">
        <v>200</v>
      </c>
      <c r="D1422" s="17" t="s">
        <v>20</v>
      </c>
      <c r="E1422" s="17" t="s">
        <v>8</v>
      </c>
      <c r="F1422" s="17">
        <v>446.79</v>
      </c>
      <c r="G1422" s="17">
        <v>2515.8000000000002</v>
      </c>
      <c r="H1422" s="17">
        <v>1020.89</v>
      </c>
      <c r="I1422" s="17">
        <v>1941.7</v>
      </c>
      <c r="J1422" s="17">
        <v>0</v>
      </c>
      <c r="K1422" s="17">
        <v>0</v>
      </c>
      <c r="L1422" s="17">
        <v>1941.7</v>
      </c>
      <c r="M1422" s="17">
        <v>0</v>
      </c>
      <c r="N1422" s="17">
        <v>0</v>
      </c>
      <c r="O1422" s="17">
        <v>1941.7</v>
      </c>
      <c r="P1422" s="17">
        <v>800</v>
      </c>
      <c r="Q1422" s="17">
        <v>1141.7</v>
      </c>
      <c r="R1422" s="17">
        <v>3250</v>
      </c>
      <c r="S1422" s="17"/>
      <c r="T1422" s="17" t="s">
        <v>2965</v>
      </c>
      <c r="U1422" s="17" t="s">
        <v>3055</v>
      </c>
      <c r="V1422" s="17" t="s">
        <v>3058</v>
      </c>
      <c r="W1422" s="17"/>
      <c r="X1422" s="17"/>
    </row>
    <row r="1423" spans="1:24" hidden="1">
      <c r="A1423" s="18">
        <v>1422</v>
      </c>
      <c r="B1423" s="17" t="s">
        <v>203</v>
      </c>
      <c r="C1423" s="17" t="s">
        <v>204</v>
      </c>
      <c r="D1423" s="17" t="s">
        <v>7</v>
      </c>
      <c r="E1423" s="17" t="s">
        <v>8</v>
      </c>
      <c r="F1423" s="17">
        <v>420</v>
      </c>
      <c r="G1423" s="17">
        <v>340</v>
      </c>
      <c r="H1423" s="17">
        <v>281</v>
      </c>
      <c r="I1423" s="17">
        <v>479</v>
      </c>
      <c r="J1423" s="17">
        <v>0</v>
      </c>
      <c r="K1423" s="17">
        <v>0</v>
      </c>
      <c r="L1423" s="17">
        <v>479</v>
      </c>
      <c r="M1423" s="17">
        <v>0</v>
      </c>
      <c r="N1423" s="17">
        <v>0</v>
      </c>
      <c r="O1423" s="17">
        <v>479</v>
      </c>
      <c r="P1423" s="17">
        <v>500</v>
      </c>
      <c r="Q1423" s="17">
        <v>-21</v>
      </c>
      <c r="R1423" s="17">
        <v>100</v>
      </c>
      <c r="S1423" s="17"/>
      <c r="T1423" s="17" t="s">
        <v>2965</v>
      </c>
      <c r="U1423" s="17" t="s">
        <v>3055</v>
      </c>
      <c r="V1423" s="17" t="s">
        <v>3058</v>
      </c>
      <c r="W1423" s="17"/>
      <c r="X1423" s="17"/>
    </row>
    <row r="1424" spans="1:24" hidden="1">
      <c r="A1424" s="18">
        <v>1423</v>
      </c>
      <c r="B1424" s="17" t="s">
        <v>209</v>
      </c>
      <c r="C1424" s="17" t="s">
        <v>210</v>
      </c>
      <c r="D1424" s="17" t="s">
        <v>7</v>
      </c>
      <c r="E1424" s="17" t="s">
        <v>8</v>
      </c>
      <c r="F1424" s="17">
        <v>450</v>
      </c>
      <c r="G1424" s="17">
        <v>727</v>
      </c>
      <c r="H1424" s="17">
        <v>155</v>
      </c>
      <c r="I1424" s="17">
        <v>1022</v>
      </c>
      <c r="J1424" s="17">
        <v>0</v>
      </c>
      <c r="K1424" s="17">
        <v>0</v>
      </c>
      <c r="L1424" s="17">
        <v>1022</v>
      </c>
      <c r="M1424" s="17">
        <v>0</v>
      </c>
      <c r="N1424" s="17">
        <v>0</v>
      </c>
      <c r="O1424" s="17">
        <v>1022</v>
      </c>
      <c r="P1424" s="17">
        <v>500</v>
      </c>
      <c r="Q1424" s="17">
        <v>522</v>
      </c>
      <c r="R1424" s="17">
        <v>500</v>
      </c>
      <c r="S1424" s="17"/>
      <c r="T1424" s="17" t="s">
        <v>2965</v>
      </c>
      <c r="U1424" s="17" t="s">
        <v>3055</v>
      </c>
      <c r="V1424" s="17" t="s">
        <v>3058</v>
      </c>
      <c r="W1424" s="17"/>
      <c r="X1424" s="17"/>
    </row>
    <row r="1425" spans="1:24" hidden="1">
      <c r="A1425" s="18">
        <v>1424</v>
      </c>
      <c r="B1425" s="17" t="s">
        <v>213</v>
      </c>
      <c r="C1425" s="17" t="s">
        <v>214</v>
      </c>
      <c r="D1425" s="17" t="s">
        <v>7</v>
      </c>
      <c r="E1425" s="17" t="s">
        <v>8</v>
      </c>
      <c r="F1425" s="17">
        <v>269</v>
      </c>
      <c r="G1425" s="17">
        <v>471</v>
      </c>
      <c r="H1425" s="17">
        <v>180</v>
      </c>
      <c r="I1425" s="17">
        <v>560</v>
      </c>
      <c r="J1425" s="17">
        <v>0</v>
      </c>
      <c r="K1425" s="17">
        <v>0</v>
      </c>
      <c r="L1425" s="17">
        <v>560</v>
      </c>
      <c r="M1425" s="17">
        <v>0</v>
      </c>
      <c r="N1425" s="17">
        <v>0</v>
      </c>
      <c r="O1425" s="17">
        <v>560</v>
      </c>
      <c r="P1425" s="17">
        <v>200</v>
      </c>
      <c r="Q1425" s="17">
        <v>360</v>
      </c>
      <c r="R1425" s="17">
        <v>500</v>
      </c>
      <c r="S1425" s="17"/>
      <c r="T1425" s="17" t="s">
        <v>2965</v>
      </c>
      <c r="U1425" s="17" t="s">
        <v>3055</v>
      </c>
      <c r="V1425" s="17" t="s">
        <v>3056</v>
      </c>
      <c r="W1425" s="17"/>
      <c r="X1425" s="17"/>
    </row>
    <row r="1426" spans="1:24" hidden="1">
      <c r="A1426" s="18">
        <v>1425</v>
      </c>
      <c r="B1426" s="17" t="s">
        <v>237</v>
      </c>
      <c r="C1426" s="17" t="s">
        <v>238</v>
      </c>
      <c r="D1426" s="17" t="s">
        <v>17</v>
      </c>
      <c r="E1426" s="17" t="s">
        <v>8</v>
      </c>
      <c r="F1426" s="17">
        <v>0</v>
      </c>
      <c r="G1426" s="17">
        <v>300</v>
      </c>
      <c r="H1426" s="17">
        <v>0</v>
      </c>
      <c r="I1426" s="17">
        <v>300</v>
      </c>
      <c r="J1426" s="17">
        <v>0</v>
      </c>
      <c r="K1426" s="17">
        <v>0</v>
      </c>
      <c r="L1426" s="17">
        <v>300</v>
      </c>
      <c r="M1426" s="17">
        <v>0</v>
      </c>
      <c r="N1426" s="17">
        <v>0</v>
      </c>
      <c r="O1426" s="17">
        <v>300</v>
      </c>
      <c r="P1426" s="17">
        <v>100</v>
      </c>
      <c r="Q1426" s="17">
        <v>200</v>
      </c>
      <c r="R1426" s="17">
        <v>250</v>
      </c>
      <c r="S1426" s="17"/>
      <c r="T1426" s="17" t="s">
        <v>2972</v>
      </c>
      <c r="U1426" s="17" t="s">
        <v>3060</v>
      </c>
      <c r="V1426" s="17" t="s">
        <v>3058</v>
      </c>
      <c r="W1426" s="17"/>
      <c r="X1426" s="17"/>
    </row>
    <row r="1427" spans="1:24" hidden="1">
      <c r="A1427" s="18">
        <v>1426</v>
      </c>
      <c r="B1427" s="17" t="s">
        <v>2319</v>
      </c>
      <c r="C1427" s="17" t="s">
        <v>2320</v>
      </c>
      <c r="D1427" s="17" t="s">
        <v>17</v>
      </c>
      <c r="E1427" s="17" t="s">
        <v>8</v>
      </c>
      <c r="F1427" s="17">
        <v>2</v>
      </c>
      <c r="G1427" s="17">
        <v>4</v>
      </c>
      <c r="H1427" s="17">
        <v>0</v>
      </c>
      <c r="I1427" s="17">
        <v>6</v>
      </c>
      <c r="J1427" s="17">
        <v>0</v>
      </c>
      <c r="K1427" s="17">
        <v>0</v>
      </c>
      <c r="L1427" s="17">
        <v>6</v>
      </c>
      <c r="M1427" s="17">
        <v>0</v>
      </c>
      <c r="N1427" s="17">
        <v>0</v>
      </c>
      <c r="O1427" s="17">
        <v>6</v>
      </c>
      <c r="P1427" s="17">
        <v>4</v>
      </c>
      <c r="Q1427" s="17">
        <v>2</v>
      </c>
      <c r="R1427" s="17">
        <v>4</v>
      </c>
      <c r="S1427" s="17"/>
      <c r="T1427" s="17" t="s">
        <v>3065</v>
      </c>
      <c r="U1427" s="17" t="s">
        <v>3057</v>
      </c>
      <c r="V1427" s="17" t="s">
        <v>3056</v>
      </c>
      <c r="W1427" s="17"/>
      <c r="X1427" s="17"/>
    </row>
    <row r="1428" spans="1:24" hidden="1">
      <c r="A1428" s="18">
        <v>1427</v>
      </c>
      <c r="B1428" s="17" t="s">
        <v>2803</v>
      </c>
      <c r="C1428" s="17" t="s">
        <v>2804</v>
      </c>
      <c r="D1428" s="17" t="s">
        <v>7</v>
      </c>
      <c r="E1428" s="17" t="s">
        <v>8</v>
      </c>
      <c r="F1428" s="17">
        <v>271000</v>
      </c>
      <c r="G1428" s="17">
        <v>0</v>
      </c>
      <c r="H1428" s="17">
        <v>58500</v>
      </c>
      <c r="I1428" s="17">
        <v>212500</v>
      </c>
      <c r="J1428" s="17">
        <v>0</v>
      </c>
      <c r="K1428" s="17">
        <v>0</v>
      </c>
      <c r="L1428" s="17">
        <v>212500</v>
      </c>
      <c r="M1428" s="17">
        <v>0</v>
      </c>
      <c r="N1428" s="17">
        <v>0</v>
      </c>
      <c r="O1428" s="17">
        <v>212500</v>
      </c>
      <c r="P1428" s="17">
        <v>30000</v>
      </c>
      <c r="Q1428" s="17">
        <v>182500</v>
      </c>
      <c r="R1428" s="17">
        <v>0</v>
      </c>
      <c r="S1428" s="17"/>
      <c r="T1428" s="17" t="s">
        <v>2972</v>
      </c>
      <c r="U1428" s="17" t="s">
        <v>3057</v>
      </c>
      <c r="V1428" s="17" t="s">
        <v>3056</v>
      </c>
      <c r="W1428" s="17"/>
      <c r="X1428" s="17"/>
    </row>
    <row r="1429" spans="1:24" hidden="1">
      <c r="A1429" s="18">
        <v>1428</v>
      </c>
      <c r="B1429" s="17" t="s">
        <v>2839</v>
      </c>
      <c r="C1429" s="17" t="s">
        <v>2840</v>
      </c>
      <c r="D1429" s="17" t="s">
        <v>17</v>
      </c>
      <c r="E1429" s="17" t="s">
        <v>8</v>
      </c>
      <c r="F1429" s="17">
        <v>19</v>
      </c>
      <c r="G1429" s="17">
        <v>0</v>
      </c>
      <c r="H1429" s="17">
        <v>5</v>
      </c>
      <c r="I1429" s="17">
        <v>14</v>
      </c>
      <c r="J1429" s="17">
        <v>0</v>
      </c>
      <c r="K1429" s="17">
        <v>0</v>
      </c>
      <c r="L1429" s="17">
        <v>14</v>
      </c>
      <c r="M1429" s="17">
        <v>0</v>
      </c>
      <c r="N1429" s="17">
        <v>0</v>
      </c>
      <c r="O1429" s="17">
        <v>14</v>
      </c>
      <c r="P1429" s="17">
        <v>15</v>
      </c>
      <c r="Q1429" s="17">
        <v>-1</v>
      </c>
      <c r="R1429" s="17">
        <v>10</v>
      </c>
      <c r="S1429" s="17"/>
      <c r="T1429" s="17" t="s">
        <v>3012</v>
      </c>
      <c r="U1429" s="17" t="s">
        <v>3057</v>
      </c>
      <c r="V1429" s="17" t="s">
        <v>3056</v>
      </c>
      <c r="W1429" s="17"/>
      <c r="X1429" s="17"/>
    </row>
    <row r="1430" spans="1:24" s="40" customFormat="1" hidden="1">
      <c r="A1430" s="26">
        <v>1429</v>
      </c>
      <c r="B1430" s="25" t="s">
        <v>2859</v>
      </c>
      <c r="C1430" s="25" t="s">
        <v>2860</v>
      </c>
      <c r="D1430" s="25" t="s">
        <v>7</v>
      </c>
      <c r="E1430" s="25" t="s">
        <v>8</v>
      </c>
      <c r="F1430" s="25">
        <v>14500</v>
      </c>
      <c r="G1430" s="25">
        <v>0</v>
      </c>
      <c r="H1430" s="25">
        <v>7100</v>
      </c>
      <c r="I1430" s="17">
        <v>7400</v>
      </c>
      <c r="J1430" s="17">
        <v>900</v>
      </c>
      <c r="K1430" s="17">
        <v>0</v>
      </c>
      <c r="L1430" s="17">
        <v>6500</v>
      </c>
      <c r="M1430" s="17">
        <v>0</v>
      </c>
      <c r="N1430" s="17">
        <v>0</v>
      </c>
      <c r="O1430" s="25">
        <v>6500</v>
      </c>
      <c r="P1430" s="25">
        <v>10000</v>
      </c>
      <c r="Q1430" s="25">
        <v>-3500</v>
      </c>
      <c r="R1430" s="25">
        <v>25000</v>
      </c>
      <c r="S1430" s="25"/>
      <c r="T1430" s="25" t="s">
        <v>2972</v>
      </c>
      <c r="U1430" s="25" t="s">
        <v>3057</v>
      </c>
      <c r="V1430" s="25" t="s">
        <v>3056</v>
      </c>
      <c r="W1430" s="25"/>
      <c r="X1430" s="25"/>
    </row>
    <row r="1431" spans="1:24" hidden="1">
      <c r="A1431" s="18">
        <v>1430</v>
      </c>
      <c r="B1431" s="17" t="s">
        <v>263</v>
      </c>
      <c r="C1431" s="17" t="s">
        <v>264</v>
      </c>
      <c r="D1431" s="17" t="s">
        <v>17</v>
      </c>
      <c r="E1431" s="17" t="s">
        <v>8</v>
      </c>
      <c r="F1431" s="17">
        <v>354</v>
      </c>
      <c r="G1431" s="17">
        <v>0</v>
      </c>
      <c r="H1431" s="17">
        <v>0</v>
      </c>
      <c r="I1431" s="17">
        <v>354</v>
      </c>
      <c r="J1431" s="17">
        <v>0</v>
      </c>
      <c r="K1431" s="17">
        <v>0</v>
      </c>
      <c r="L1431" s="17">
        <v>354</v>
      </c>
      <c r="M1431" s="17">
        <v>0</v>
      </c>
      <c r="N1431" s="17">
        <v>0</v>
      </c>
      <c r="O1431" s="17">
        <v>354</v>
      </c>
      <c r="P1431" s="17">
        <v>100</v>
      </c>
      <c r="Q1431" s="17">
        <v>254</v>
      </c>
      <c r="R1431" s="17">
        <v>0</v>
      </c>
      <c r="S1431" s="17"/>
      <c r="T1431" s="17" t="s">
        <v>2982</v>
      </c>
      <c r="U1431" s="17" t="s">
        <v>3060</v>
      </c>
      <c r="V1431" s="17" t="s">
        <v>3058</v>
      </c>
      <c r="W1431" s="17"/>
      <c r="X1431" s="17"/>
    </row>
    <row r="1432" spans="1:24" hidden="1">
      <c r="A1432" s="18">
        <v>1431</v>
      </c>
      <c r="B1432" s="17" t="s">
        <v>267</v>
      </c>
      <c r="C1432" s="17" t="s">
        <v>268</v>
      </c>
      <c r="D1432" s="17" t="s">
        <v>17</v>
      </c>
      <c r="E1432" s="17" t="s">
        <v>8</v>
      </c>
      <c r="F1432" s="17">
        <v>316</v>
      </c>
      <c r="G1432" s="17">
        <v>0</v>
      </c>
      <c r="H1432" s="17">
        <v>0</v>
      </c>
      <c r="I1432" s="17">
        <v>316</v>
      </c>
      <c r="J1432" s="17">
        <v>0</v>
      </c>
      <c r="K1432" s="17">
        <v>0</v>
      </c>
      <c r="L1432" s="17">
        <v>316</v>
      </c>
      <c r="M1432" s="17">
        <v>0</v>
      </c>
      <c r="N1432" s="17">
        <v>0</v>
      </c>
      <c r="O1432" s="17">
        <v>316</v>
      </c>
      <c r="P1432" s="17">
        <v>100</v>
      </c>
      <c r="Q1432" s="17">
        <v>216</v>
      </c>
      <c r="R1432" s="17">
        <v>0</v>
      </c>
      <c r="S1432" s="17"/>
      <c r="T1432" s="17" t="s">
        <v>2982</v>
      </c>
      <c r="U1432" s="17" t="s">
        <v>3060</v>
      </c>
      <c r="V1432" s="17" t="s">
        <v>3058</v>
      </c>
      <c r="W1432" s="17"/>
      <c r="X1432" s="17"/>
    </row>
    <row r="1433" spans="1:24" hidden="1">
      <c r="A1433" s="18">
        <v>1432</v>
      </c>
      <c r="B1433" s="17" t="s">
        <v>16</v>
      </c>
      <c r="C1433" s="17" t="s">
        <v>2979</v>
      </c>
      <c r="D1433" s="17" t="s">
        <v>17</v>
      </c>
      <c r="E1433" s="17" t="s">
        <v>8</v>
      </c>
      <c r="F1433" s="17">
        <v>193</v>
      </c>
      <c r="G1433" s="17">
        <v>0</v>
      </c>
      <c r="H1433" s="17">
        <v>40</v>
      </c>
      <c r="I1433" s="17">
        <v>153</v>
      </c>
      <c r="J1433" s="17">
        <v>0</v>
      </c>
      <c r="K1433" s="17">
        <v>0</v>
      </c>
      <c r="L1433" s="17">
        <v>153</v>
      </c>
      <c r="M1433" s="17">
        <v>0</v>
      </c>
      <c r="N1433" s="17">
        <v>0</v>
      </c>
      <c r="O1433" s="17">
        <v>153</v>
      </c>
      <c r="P1433" s="17">
        <v>50</v>
      </c>
      <c r="Q1433" s="17">
        <v>103</v>
      </c>
      <c r="R1433" s="17">
        <v>0</v>
      </c>
      <c r="S1433" s="17"/>
      <c r="T1433" s="17" t="s">
        <v>2963</v>
      </c>
      <c r="U1433" s="17" t="s">
        <v>3057</v>
      </c>
      <c r="V1433" s="17" t="s">
        <v>3058</v>
      </c>
      <c r="W1433" s="17"/>
      <c r="X1433" s="17"/>
    </row>
    <row r="1434" spans="1:24" s="40" customFormat="1" hidden="1">
      <c r="A1434" s="26">
        <v>1433</v>
      </c>
      <c r="B1434" s="25" t="s">
        <v>33</v>
      </c>
      <c r="C1434" s="25" t="s">
        <v>34</v>
      </c>
      <c r="D1434" s="25" t="s">
        <v>17</v>
      </c>
      <c r="E1434" s="25" t="s">
        <v>8</v>
      </c>
      <c r="F1434" s="25">
        <v>16</v>
      </c>
      <c r="G1434" s="25">
        <v>0</v>
      </c>
      <c r="H1434" s="25">
        <v>0</v>
      </c>
      <c r="I1434" s="17">
        <v>16</v>
      </c>
      <c r="J1434" s="17">
        <v>0</v>
      </c>
      <c r="K1434" s="17">
        <v>0</v>
      </c>
      <c r="L1434" s="17">
        <v>16</v>
      </c>
      <c r="M1434" s="17">
        <v>0</v>
      </c>
      <c r="N1434" s="17">
        <v>0</v>
      </c>
      <c r="O1434" s="25">
        <v>16</v>
      </c>
      <c r="P1434" s="25">
        <v>20</v>
      </c>
      <c r="Q1434" s="25">
        <v>-4</v>
      </c>
      <c r="R1434" s="25">
        <v>0</v>
      </c>
      <c r="S1434" s="25"/>
      <c r="T1434" s="25" t="s">
        <v>3002</v>
      </c>
      <c r="U1434" s="25" t="s">
        <v>3057</v>
      </c>
      <c r="V1434" s="25" t="s">
        <v>3056</v>
      </c>
      <c r="W1434" s="25"/>
      <c r="X1434" s="25"/>
    </row>
    <row r="1435" spans="1:24" s="40" customFormat="1" hidden="1">
      <c r="A1435" s="26">
        <v>1434</v>
      </c>
      <c r="B1435" s="25" t="s">
        <v>35</v>
      </c>
      <c r="C1435" s="25" t="s">
        <v>36</v>
      </c>
      <c r="D1435" s="25" t="s">
        <v>17</v>
      </c>
      <c r="E1435" s="25" t="s">
        <v>8</v>
      </c>
      <c r="F1435" s="25">
        <v>12</v>
      </c>
      <c r="G1435" s="25">
        <v>0</v>
      </c>
      <c r="H1435" s="25">
        <v>4</v>
      </c>
      <c r="I1435" s="17">
        <v>8</v>
      </c>
      <c r="J1435" s="17">
        <v>0</v>
      </c>
      <c r="K1435" s="17">
        <v>2</v>
      </c>
      <c r="L1435" s="17">
        <v>6</v>
      </c>
      <c r="M1435" s="17">
        <v>0</v>
      </c>
      <c r="N1435" s="17">
        <v>0</v>
      </c>
      <c r="O1435" s="25">
        <v>6</v>
      </c>
      <c r="P1435" s="25">
        <v>20</v>
      </c>
      <c r="Q1435" s="25">
        <v>-14</v>
      </c>
      <c r="R1435" s="25">
        <v>0</v>
      </c>
      <c r="S1435" s="25"/>
      <c r="T1435" s="25" t="s">
        <v>3002</v>
      </c>
      <c r="U1435" s="25" t="s">
        <v>3057</v>
      </c>
      <c r="V1435" s="25" t="s">
        <v>3056</v>
      </c>
      <c r="W1435" s="25"/>
      <c r="X1435" s="25"/>
    </row>
    <row r="1436" spans="1:24" s="40" customFormat="1" hidden="1">
      <c r="A1436" s="26">
        <v>1435</v>
      </c>
      <c r="B1436" s="25" t="s">
        <v>37</v>
      </c>
      <c r="C1436" s="25" t="s">
        <v>38</v>
      </c>
      <c r="D1436" s="25" t="s">
        <v>17</v>
      </c>
      <c r="E1436" s="25" t="s">
        <v>8</v>
      </c>
      <c r="F1436" s="25">
        <v>200</v>
      </c>
      <c r="G1436" s="25">
        <v>0</v>
      </c>
      <c r="H1436" s="25">
        <v>0</v>
      </c>
      <c r="I1436" s="17">
        <v>200</v>
      </c>
      <c r="J1436" s="17">
        <v>0</v>
      </c>
      <c r="K1436" s="17">
        <v>0</v>
      </c>
      <c r="L1436" s="17">
        <v>200</v>
      </c>
      <c r="M1436" s="17">
        <v>0</v>
      </c>
      <c r="N1436" s="17">
        <v>0</v>
      </c>
      <c r="O1436" s="25">
        <v>200</v>
      </c>
      <c r="P1436" s="25">
        <v>600</v>
      </c>
      <c r="Q1436" s="25">
        <v>-400</v>
      </c>
      <c r="R1436" s="25">
        <v>0</v>
      </c>
      <c r="S1436" s="25"/>
      <c r="T1436" s="25" t="s">
        <v>2991</v>
      </c>
      <c r="U1436" s="25" t="s">
        <v>3057</v>
      </c>
      <c r="V1436" s="25" t="s">
        <v>3056</v>
      </c>
      <c r="W1436" s="25"/>
      <c r="X1436" s="25"/>
    </row>
    <row r="1437" spans="1:24" hidden="1">
      <c r="A1437" s="18">
        <v>1436</v>
      </c>
      <c r="B1437" s="17" t="s">
        <v>294</v>
      </c>
      <c r="C1437" s="17" t="s">
        <v>295</v>
      </c>
      <c r="D1437" s="17" t="s">
        <v>17</v>
      </c>
      <c r="E1437" s="17" t="s">
        <v>8</v>
      </c>
      <c r="F1437" s="17">
        <v>550</v>
      </c>
      <c r="G1437" s="17">
        <v>800</v>
      </c>
      <c r="H1437" s="17">
        <v>700</v>
      </c>
      <c r="I1437" s="17">
        <v>650</v>
      </c>
      <c r="J1437" s="17">
        <v>0</v>
      </c>
      <c r="K1437" s="17">
        <v>0</v>
      </c>
      <c r="L1437" s="17">
        <v>650</v>
      </c>
      <c r="M1437" s="17">
        <v>0</v>
      </c>
      <c r="N1437" s="17">
        <v>0</v>
      </c>
      <c r="O1437" s="17">
        <v>650</v>
      </c>
      <c r="P1437" s="17">
        <v>450</v>
      </c>
      <c r="Q1437" s="17">
        <v>200</v>
      </c>
      <c r="R1437" s="17">
        <v>1000</v>
      </c>
      <c r="S1437" s="17"/>
      <c r="T1437" s="17" t="s">
        <v>2991</v>
      </c>
      <c r="U1437" s="17" t="s">
        <v>3060</v>
      </c>
      <c r="V1437" s="17" t="s">
        <v>3058</v>
      </c>
      <c r="W1437" s="17"/>
      <c r="X1437" s="17"/>
    </row>
    <row r="1438" spans="1:24" hidden="1">
      <c r="A1438" s="18">
        <v>1437</v>
      </c>
      <c r="B1438" s="17" t="s">
        <v>325</v>
      </c>
      <c r="C1438" s="17" t="s">
        <v>326</v>
      </c>
      <c r="D1438" s="17" t="s">
        <v>17</v>
      </c>
      <c r="E1438" s="17" t="s">
        <v>8</v>
      </c>
      <c r="F1438" s="17">
        <v>3000</v>
      </c>
      <c r="G1438" s="17">
        <v>0</v>
      </c>
      <c r="H1438" s="17">
        <v>1000</v>
      </c>
      <c r="I1438" s="17">
        <v>2000</v>
      </c>
      <c r="J1438" s="17">
        <v>0</v>
      </c>
      <c r="K1438" s="17">
        <v>0</v>
      </c>
      <c r="L1438" s="17">
        <v>2000</v>
      </c>
      <c r="M1438" s="17">
        <v>0</v>
      </c>
      <c r="N1438" s="17">
        <v>0</v>
      </c>
      <c r="O1438" s="17">
        <v>2000</v>
      </c>
      <c r="P1438" s="17">
        <v>2000</v>
      </c>
      <c r="Q1438" s="17">
        <v>0</v>
      </c>
      <c r="R1438" s="17">
        <v>1000</v>
      </c>
      <c r="S1438" s="17"/>
      <c r="T1438" s="17" t="s">
        <v>2991</v>
      </c>
      <c r="U1438" s="17" t="s">
        <v>3060</v>
      </c>
      <c r="V1438" s="17" t="s">
        <v>3058</v>
      </c>
      <c r="W1438" s="17"/>
      <c r="X1438" s="17"/>
    </row>
    <row r="1439" spans="1:24" hidden="1">
      <c r="A1439" s="18">
        <v>1438</v>
      </c>
      <c r="B1439" s="17" t="s">
        <v>339</v>
      </c>
      <c r="C1439" s="17" t="s">
        <v>340</v>
      </c>
      <c r="D1439" s="17" t="s">
        <v>20</v>
      </c>
      <c r="E1439" s="17" t="s">
        <v>8</v>
      </c>
      <c r="F1439" s="17">
        <v>53.84</v>
      </c>
      <c r="G1439" s="17">
        <v>0</v>
      </c>
      <c r="H1439" s="17">
        <v>7.74</v>
      </c>
      <c r="I1439" s="17">
        <v>46.1</v>
      </c>
      <c r="J1439" s="17">
        <v>0</v>
      </c>
      <c r="K1439" s="17">
        <v>0</v>
      </c>
      <c r="L1439" s="17">
        <v>46.1</v>
      </c>
      <c r="M1439" s="17">
        <v>0</v>
      </c>
      <c r="N1439" s="17">
        <v>0</v>
      </c>
      <c r="O1439" s="17">
        <v>46.1</v>
      </c>
      <c r="P1439" s="17">
        <v>10</v>
      </c>
      <c r="Q1439" s="17">
        <v>36.1</v>
      </c>
      <c r="R1439" s="17">
        <v>0</v>
      </c>
      <c r="S1439" s="17"/>
      <c r="T1439" s="17" t="s">
        <v>2972</v>
      </c>
      <c r="U1439" s="17" t="s">
        <v>3055</v>
      </c>
      <c r="V1439" s="17" t="s">
        <v>3056</v>
      </c>
      <c r="W1439" s="17"/>
      <c r="X1439" s="17"/>
    </row>
    <row r="1440" spans="1:24" hidden="1">
      <c r="A1440" s="18">
        <v>1439</v>
      </c>
      <c r="B1440" s="17" t="s">
        <v>94</v>
      </c>
      <c r="C1440" s="17" t="s">
        <v>95</v>
      </c>
      <c r="D1440" s="17" t="s">
        <v>17</v>
      </c>
      <c r="E1440" s="17" t="s">
        <v>8</v>
      </c>
      <c r="F1440" s="17">
        <v>16630</v>
      </c>
      <c r="G1440" s="17">
        <v>0</v>
      </c>
      <c r="H1440" s="17">
        <v>2000</v>
      </c>
      <c r="I1440" s="17">
        <v>14630</v>
      </c>
      <c r="J1440" s="17">
        <v>24</v>
      </c>
      <c r="K1440" s="17">
        <v>0</v>
      </c>
      <c r="L1440" s="17">
        <v>14606</v>
      </c>
      <c r="M1440" s="17">
        <v>0</v>
      </c>
      <c r="N1440" s="17">
        <v>0</v>
      </c>
      <c r="O1440" s="17">
        <v>14606</v>
      </c>
      <c r="P1440" s="17">
        <v>5000</v>
      </c>
      <c r="Q1440" s="17">
        <v>9606</v>
      </c>
      <c r="R1440" s="17">
        <v>0</v>
      </c>
      <c r="S1440" s="17"/>
      <c r="T1440" s="17" t="s">
        <v>2991</v>
      </c>
      <c r="U1440" s="17" t="s">
        <v>3057</v>
      </c>
      <c r="V1440" s="17" t="s">
        <v>3058</v>
      </c>
      <c r="W1440" s="17"/>
      <c r="X1440" s="17"/>
    </row>
    <row r="1441" spans="1:24" hidden="1">
      <c r="A1441" s="18">
        <v>1440</v>
      </c>
      <c r="B1441" s="17" t="s">
        <v>353</v>
      </c>
      <c r="C1441" s="17" t="s">
        <v>354</v>
      </c>
      <c r="D1441" s="17" t="s">
        <v>17</v>
      </c>
      <c r="E1441" s="17" t="s">
        <v>8</v>
      </c>
      <c r="F1441" s="17">
        <v>160</v>
      </c>
      <c r="G1441" s="17">
        <v>0</v>
      </c>
      <c r="H1441" s="17">
        <v>0</v>
      </c>
      <c r="I1441" s="17">
        <v>160</v>
      </c>
      <c r="J1441" s="17">
        <v>0</v>
      </c>
      <c r="K1441" s="17">
        <v>0</v>
      </c>
      <c r="L1441" s="17">
        <v>160</v>
      </c>
      <c r="M1441" s="17">
        <v>0</v>
      </c>
      <c r="N1441" s="17">
        <v>0</v>
      </c>
      <c r="O1441" s="17">
        <v>160</v>
      </c>
      <c r="P1441" s="17">
        <v>70</v>
      </c>
      <c r="Q1441" s="17">
        <v>90</v>
      </c>
      <c r="R1441" s="17">
        <v>0</v>
      </c>
      <c r="S1441" s="17"/>
      <c r="T1441" s="17" t="s">
        <v>2982</v>
      </c>
      <c r="U1441" s="17" t="s">
        <v>3060</v>
      </c>
      <c r="V1441" s="17" t="s">
        <v>3058</v>
      </c>
      <c r="W1441" s="17"/>
      <c r="X1441" s="17"/>
    </row>
    <row r="1442" spans="1:24" hidden="1">
      <c r="A1442" s="18">
        <v>1441</v>
      </c>
      <c r="B1442" s="17" t="s">
        <v>357</v>
      </c>
      <c r="C1442" s="17" t="s">
        <v>358</v>
      </c>
      <c r="D1442" s="17" t="s">
        <v>17</v>
      </c>
      <c r="E1442" s="17" t="s">
        <v>8</v>
      </c>
      <c r="F1442" s="17">
        <v>200</v>
      </c>
      <c r="G1442" s="17">
        <v>0</v>
      </c>
      <c r="H1442" s="17">
        <v>18</v>
      </c>
      <c r="I1442" s="17">
        <v>182</v>
      </c>
      <c r="J1442" s="17">
        <v>0</v>
      </c>
      <c r="K1442" s="17">
        <v>0</v>
      </c>
      <c r="L1442" s="17">
        <v>182</v>
      </c>
      <c r="M1442" s="17">
        <v>0</v>
      </c>
      <c r="N1442" s="17">
        <v>0</v>
      </c>
      <c r="O1442" s="17">
        <v>182</v>
      </c>
      <c r="P1442" s="17">
        <v>70</v>
      </c>
      <c r="Q1442" s="17">
        <v>112</v>
      </c>
      <c r="R1442" s="17">
        <v>0</v>
      </c>
      <c r="S1442" s="17"/>
      <c r="T1442" s="17" t="s">
        <v>2982</v>
      </c>
      <c r="U1442" s="17" t="s">
        <v>3060</v>
      </c>
      <c r="V1442" s="17" t="s">
        <v>3058</v>
      </c>
      <c r="W1442" s="17"/>
      <c r="X1442" s="17"/>
    </row>
    <row r="1443" spans="1:24" hidden="1">
      <c r="A1443" s="18">
        <v>1442</v>
      </c>
      <c r="B1443" s="17" t="s">
        <v>361</v>
      </c>
      <c r="C1443" s="17" t="s">
        <v>362</v>
      </c>
      <c r="D1443" s="17" t="s">
        <v>17</v>
      </c>
      <c r="E1443" s="17" t="s">
        <v>8</v>
      </c>
      <c r="F1443" s="17">
        <v>135</v>
      </c>
      <c r="G1443" s="17">
        <v>0</v>
      </c>
      <c r="H1443" s="17">
        <v>0</v>
      </c>
      <c r="I1443" s="17">
        <v>135</v>
      </c>
      <c r="J1443" s="17">
        <v>0</v>
      </c>
      <c r="K1443" s="17">
        <v>0</v>
      </c>
      <c r="L1443" s="17">
        <v>135</v>
      </c>
      <c r="M1443" s="17">
        <v>0</v>
      </c>
      <c r="N1443" s="17">
        <v>0</v>
      </c>
      <c r="O1443" s="17">
        <v>135</v>
      </c>
      <c r="P1443" s="17">
        <v>70</v>
      </c>
      <c r="Q1443" s="17">
        <v>65</v>
      </c>
      <c r="R1443" s="17">
        <v>0</v>
      </c>
      <c r="S1443" s="17"/>
      <c r="T1443" s="17" t="s">
        <v>2982</v>
      </c>
      <c r="U1443" s="17" t="s">
        <v>3060</v>
      </c>
      <c r="V1443" s="17" t="s">
        <v>3058</v>
      </c>
      <c r="W1443" s="17"/>
      <c r="X1443" s="17"/>
    </row>
    <row r="1444" spans="1:24" hidden="1">
      <c r="A1444" s="18">
        <v>1443</v>
      </c>
      <c r="B1444" s="17" t="s">
        <v>363</v>
      </c>
      <c r="C1444" s="17" t="s">
        <v>364</v>
      </c>
      <c r="D1444" s="17" t="s">
        <v>17</v>
      </c>
      <c r="E1444" s="17" t="s">
        <v>8</v>
      </c>
      <c r="F1444" s="17">
        <v>149</v>
      </c>
      <c r="G1444" s="17">
        <v>0</v>
      </c>
      <c r="H1444" s="17">
        <v>10</v>
      </c>
      <c r="I1444" s="17">
        <v>139</v>
      </c>
      <c r="J1444" s="17">
        <v>0</v>
      </c>
      <c r="K1444" s="17">
        <v>0</v>
      </c>
      <c r="L1444" s="17">
        <v>139</v>
      </c>
      <c r="M1444" s="17">
        <v>0</v>
      </c>
      <c r="N1444" s="17">
        <v>0</v>
      </c>
      <c r="O1444" s="17">
        <v>139</v>
      </c>
      <c r="P1444" s="17">
        <v>70</v>
      </c>
      <c r="Q1444" s="17">
        <v>69</v>
      </c>
      <c r="R1444" s="17">
        <v>0</v>
      </c>
      <c r="S1444" s="17"/>
      <c r="T1444" s="17" t="s">
        <v>2982</v>
      </c>
      <c r="U1444" s="17" t="s">
        <v>3060</v>
      </c>
      <c r="V1444" s="17" t="s">
        <v>3058</v>
      </c>
      <c r="W1444" s="17"/>
      <c r="X1444" s="17"/>
    </row>
    <row r="1445" spans="1:24" hidden="1">
      <c r="A1445" s="18">
        <v>1444</v>
      </c>
      <c r="B1445" s="17" t="s">
        <v>102</v>
      </c>
      <c r="C1445" s="17" t="s">
        <v>103</v>
      </c>
      <c r="D1445" s="17" t="s">
        <v>17</v>
      </c>
      <c r="E1445" s="17" t="s">
        <v>8</v>
      </c>
      <c r="F1445" s="17">
        <v>16000</v>
      </c>
      <c r="G1445" s="17">
        <v>0</v>
      </c>
      <c r="H1445" s="17">
        <v>2000</v>
      </c>
      <c r="I1445" s="17">
        <v>14000</v>
      </c>
      <c r="J1445" s="17">
        <v>0</v>
      </c>
      <c r="K1445" s="17">
        <v>0</v>
      </c>
      <c r="L1445" s="17">
        <v>14000</v>
      </c>
      <c r="M1445" s="17">
        <v>0</v>
      </c>
      <c r="N1445" s="17">
        <v>0</v>
      </c>
      <c r="O1445" s="17">
        <v>14000</v>
      </c>
      <c r="P1445" s="17">
        <v>4000</v>
      </c>
      <c r="Q1445" s="17">
        <v>10000</v>
      </c>
      <c r="R1445" s="17">
        <v>0</v>
      </c>
      <c r="S1445" s="17"/>
      <c r="T1445" s="17" t="s">
        <v>2972</v>
      </c>
      <c r="U1445" s="17" t="s">
        <v>3057</v>
      </c>
      <c r="V1445" s="17" t="s">
        <v>3058</v>
      </c>
      <c r="W1445" s="17"/>
      <c r="X1445" s="17"/>
    </row>
    <row r="1446" spans="1:24" s="40" customFormat="1" hidden="1">
      <c r="A1446" s="26">
        <v>1445</v>
      </c>
      <c r="B1446" s="25" t="s">
        <v>104</v>
      </c>
      <c r="C1446" s="25" t="s">
        <v>105</v>
      </c>
      <c r="D1446" s="25" t="s">
        <v>17</v>
      </c>
      <c r="E1446" s="25" t="s">
        <v>8</v>
      </c>
      <c r="F1446" s="25">
        <v>4000</v>
      </c>
      <c r="G1446" s="25">
        <v>0</v>
      </c>
      <c r="H1446" s="25">
        <v>2500</v>
      </c>
      <c r="I1446" s="17">
        <v>1500</v>
      </c>
      <c r="J1446" s="17">
        <v>0</v>
      </c>
      <c r="K1446" s="17">
        <v>0</v>
      </c>
      <c r="L1446" s="17">
        <v>1500</v>
      </c>
      <c r="M1446" s="17">
        <v>0</v>
      </c>
      <c r="N1446" s="17">
        <v>0</v>
      </c>
      <c r="O1446" s="25">
        <v>1500</v>
      </c>
      <c r="P1446" s="25">
        <v>5000</v>
      </c>
      <c r="Q1446" s="25">
        <v>-3500</v>
      </c>
      <c r="R1446" s="25">
        <v>3000</v>
      </c>
      <c r="S1446" s="25"/>
      <c r="T1446" s="25" t="s">
        <v>2972</v>
      </c>
      <c r="U1446" s="25" t="s">
        <v>3057</v>
      </c>
      <c r="V1446" s="25" t="s">
        <v>3058</v>
      </c>
      <c r="W1446" s="25"/>
      <c r="X1446" s="25"/>
    </row>
    <row r="1447" spans="1:24" hidden="1">
      <c r="A1447" s="18">
        <v>1446</v>
      </c>
      <c r="B1447" s="17" t="s">
        <v>173</v>
      </c>
      <c r="C1447" s="17" t="s">
        <v>174</v>
      </c>
      <c r="D1447" s="17" t="s">
        <v>7</v>
      </c>
      <c r="E1447" s="17" t="s">
        <v>8</v>
      </c>
      <c r="F1447" s="17">
        <v>19200</v>
      </c>
      <c r="G1447" s="17">
        <v>14400</v>
      </c>
      <c r="H1447" s="17">
        <v>12000</v>
      </c>
      <c r="I1447" s="17">
        <v>21600</v>
      </c>
      <c r="J1447" s="17">
        <v>0</v>
      </c>
      <c r="K1447" s="17">
        <v>0</v>
      </c>
      <c r="L1447" s="17">
        <v>21600</v>
      </c>
      <c r="M1447" s="17">
        <v>0</v>
      </c>
      <c r="N1447" s="17">
        <v>0</v>
      </c>
      <c r="O1447" s="17">
        <v>21600</v>
      </c>
      <c r="P1447" s="17">
        <v>36000</v>
      </c>
      <c r="Q1447" s="17">
        <v>-14400</v>
      </c>
      <c r="R1447" s="17">
        <v>14400</v>
      </c>
      <c r="S1447" s="17"/>
      <c r="T1447" s="17" t="s">
        <v>2972</v>
      </c>
      <c r="U1447" s="17" t="s">
        <v>3057</v>
      </c>
      <c r="V1447" s="17" t="s">
        <v>3056</v>
      </c>
      <c r="W1447" s="17"/>
      <c r="X1447" s="17"/>
    </row>
    <row r="1448" spans="1:24" hidden="1">
      <c r="A1448" s="18">
        <v>1447</v>
      </c>
      <c r="B1448" s="17" t="s">
        <v>245</v>
      </c>
      <c r="C1448" s="17" t="s">
        <v>246</v>
      </c>
      <c r="D1448" s="17" t="s">
        <v>17</v>
      </c>
      <c r="E1448" s="17" t="s">
        <v>8</v>
      </c>
      <c r="F1448" s="17">
        <v>500</v>
      </c>
      <c r="G1448" s="17">
        <v>0</v>
      </c>
      <c r="H1448" s="17">
        <v>0</v>
      </c>
      <c r="I1448" s="17">
        <v>500</v>
      </c>
      <c r="J1448" s="17">
        <v>0</v>
      </c>
      <c r="K1448" s="17">
        <v>0</v>
      </c>
      <c r="L1448" s="17">
        <v>500</v>
      </c>
      <c r="M1448" s="17">
        <v>0</v>
      </c>
      <c r="N1448" s="17">
        <v>0</v>
      </c>
      <c r="O1448" s="17">
        <v>500</v>
      </c>
      <c r="P1448" s="17">
        <v>300</v>
      </c>
      <c r="Q1448" s="17">
        <v>200</v>
      </c>
      <c r="R1448" s="17">
        <v>0</v>
      </c>
      <c r="S1448" s="17"/>
      <c r="T1448" s="17" t="s">
        <v>2972</v>
      </c>
      <c r="U1448" s="17" t="s">
        <v>3057</v>
      </c>
      <c r="V1448" s="17" t="s">
        <v>3058</v>
      </c>
      <c r="W1448" s="17"/>
      <c r="X1448" s="17"/>
    </row>
    <row r="1449" spans="1:24" hidden="1">
      <c r="A1449" s="18">
        <v>1448</v>
      </c>
      <c r="B1449" s="17" t="s">
        <v>476</v>
      </c>
      <c r="C1449" s="17" t="s">
        <v>477</v>
      </c>
      <c r="D1449" s="17" t="s">
        <v>20</v>
      </c>
      <c r="E1449" s="17" t="s">
        <v>8</v>
      </c>
      <c r="F1449" s="17">
        <v>335.4</v>
      </c>
      <c r="G1449" s="17">
        <v>597.6</v>
      </c>
      <c r="H1449" s="17">
        <v>335.4</v>
      </c>
      <c r="I1449" s="17">
        <v>597.6</v>
      </c>
      <c r="J1449" s="17">
        <v>0</v>
      </c>
      <c r="K1449" s="17">
        <v>0</v>
      </c>
      <c r="L1449" s="17">
        <v>597.6</v>
      </c>
      <c r="M1449" s="17">
        <v>0</v>
      </c>
      <c r="N1449" s="17">
        <v>0</v>
      </c>
      <c r="O1449" s="17">
        <v>597.6</v>
      </c>
      <c r="P1449" s="17">
        <v>900</v>
      </c>
      <c r="Q1449" s="17">
        <v>-302.39999999999998</v>
      </c>
      <c r="R1449" s="17">
        <v>0</v>
      </c>
      <c r="S1449" s="17"/>
      <c r="T1449" s="17" t="s">
        <v>3006</v>
      </c>
      <c r="U1449" s="17" t="s">
        <v>3060</v>
      </c>
      <c r="V1449" s="17" t="s">
        <v>3058</v>
      </c>
      <c r="W1449" s="17"/>
      <c r="X1449" s="17"/>
    </row>
    <row r="1450" spans="1:24" hidden="1">
      <c r="A1450" s="18">
        <v>1449</v>
      </c>
      <c r="B1450" s="17" t="s">
        <v>279</v>
      </c>
      <c r="C1450" s="17" t="s">
        <v>280</v>
      </c>
      <c r="D1450" s="17" t="s">
        <v>17</v>
      </c>
      <c r="E1450" s="17" t="s">
        <v>8</v>
      </c>
      <c r="F1450" s="17">
        <v>4600</v>
      </c>
      <c r="G1450" s="17">
        <v>3050</v>
      </c>
      <c r="H1450" s="17">
        <v>775</v>
      </c>
      <c r="I1450" s="17">
        <v>6875</v>
      </c>
      <c r="J1450" s="17">
        <v>0</v>
      </c>
      <c r="K1450" s="17">
        <v>0</v>
      </c>
      <c r="L1450" s="17">
        <v>6875</v>
      </c>
      <c r="M1450" s="17">
        <v>0</v>
      </c>
      <c r="N1450" s="17">
        <v>0</v>
      </c>
      <c r="O1450" s="17">
        <v>6875</v>
      </c>
      <c r="P1450" s="17">
        <v>1500</v>
      </c>
      <c r="Q1450" s="17">
        <v>5375</v>
      </c>
      <c r="R1450" s="17">
        <v>0</v>
      </c>
      <c r="S1450" s="17"/>
      <c r="T1450" s="17" t="s">
        <v>2972</v>
      </c>
      <c r="U1450" s="17" t="s">
        <v>3057</v>
      </c>
      <c r="V1450" s="17" t="s">
        <v>3058</v>
      </c>
      <c r="W1450" s="17"/>
      <c r="X1450" s="17"/>
    </row>
    <row r="1451" spans="1:24" hidden="1">
      <c r="A1451" s="18">
        <v>1450</v>
      </c>
      <c r="B1451" s="17" t="s">
        <v>312</v>
      </c>
      <c r="C1451" s="17" t="s">
        <v>313</v>
      </c>
      <c r="D1451" s="17" t="s">
        <v>17</v>
      </c>
      <c r="E1451" s="17" t="s">
        <v>8</v>
      </c>
      <c r="F1451" s="17">
        <v>413</v>
      </c>
      <c r="G1451" s="17">
        <v>1054</v>
      </c>
      <c r="H1451" s="17">
        <v>454</v>
      </c>
      <c r="I1451" s="17">
        <v>1013</v>
      </c>
      <c r="J1451" s="17">
        <v>0</v>
      </c>
      <c r="K1451" s="17">
        <v>0</v>
      </c>
      <c r="L1451" s="17">
        <v>1013</v>
      </c>
      <c r="M1451" s="17">
        <v>0</v>
      </c>
      <c r="N1451" s="17">
        <v>0</v>
      </c>
      <c r="O1451" s="17">
        <v>1013</v>
      </c>
      <c r="P1451" s="17">
        <v>450</v>
      </c>
      <c r="Q1451" s="17">
        <v>563</v>
      </c>
      <c r="R1451" s="17">
        <v>1000</v>
      </c>
      <c r="S1451" s="17"/>
      <c r="T1451" s="17" t="s">
        <v>2963</v>
      </c>
      <c r="U1451" s="17" t="s">
        <v>3057</v>
      </c>
      <c r="V1451" s="17" t="s">
        <v>3056</v>
      </c>
      <c r="W1451" s="17"/>
      <c r="X1451" s="17"/>
    </row>
    <row r="1452" spans="1:24" hidden="1">
      <c r="A1452" s="18">
        <v>1451</v>
      </c>
      <c r="B1452" s="17" t="s">
        <v>337</v>
      </c>
      <c r="C1452" s="17" t="s">
        <v>338</v>
      </c>
      <c r="D1452" s="17" t="s">
        <v>17</v>
      </c>
      <c r="E1452" s="17" t="s">
        <v>8</v>
      </c>
      <c r="F1452" s="17">
        <v>61</v>
      </c>
      <c r="G1452" s="17">
        <v>128</v>
      </c>
      <c r="H1452" s="17">
        <v>90</v>
      </c>
      <c r="I1452" s="17">
        <v>99</v>
      </c>
      <c r="J1452" s="17">
        <v>0</v>
      </c>
      <c r="K1452" s="17">
        <v>0</v>
      </c>
      <c r="L1452" s="17">
        <v>99</v>
      </c>
      <c r="M1452" s="17">
        <v>0</v>
      </c>
      <c r="N1452" s="17">
        <v>0</v>
      </c>
      <c r="O1452" s="17">
        <v>99</v>
      </c>
      <c r="P1452" s="17">
        <v>128</v>
      </c>
      <c r="Q1452" s="17">
        <v>-29</v>
      </c>
      <c r="R1452" s="17">
        <v>128</v>
      </c>
      <c r="S1452" s="17"/>
      <c r="T1452" s="17" t="s">
        <v>2963</v>
      </c>
      <c r="U1452" s="17" t="s">
        <v>3057</v>
      </c>
      <c r="V1452" s="17" t="s">
        <v>3056</v>
      </c>
      <c r="W1452" s="17"/>
      <c r="X1452" s="17"/>
    </row>
    <row r="1453" spans="1:24" s="40" customFormat="1" hidden="1">
      <c r="A1453" s="26">
        <v>1452</v>
      </c>
      <c r="B1453" s="25" t="s">
        <v>528</v>
      </c>
      <c r="C1453" s="25" t="s">
        <v>529</v>
      </c>
      <c r="D1453" s="25" t="s">
        <v>17</v>
      </c>
      <c r="E1453" s="25" t="s">
        <v>8</v>
      </c>
      <c r="F1453" s="25">
        <v>6360</v>
      </c>
      <c r="G1453" s="25">
        <v>1000</v>
      </c>
      <c r="H1453" s="25">
        <v>6200</v>
      </c>
      <c r="I1453" s="17">
        <v>1160</v>
      </c>
      <c r="J1453" s="17">
        <v>0</v>
      </c>
      <c r="K1453" s="17">
        <v>0</v>
      </c>
      <c r="L1453" s="17">
        <v>1160</v>
      </c>
      <c r="M1453" s="17">
        <v>0</v>
      </c>
      <c r="N1453" s="17">
        <v>0</v>
      </c>
      <c r="O1453" s="25">
        <v>1160</v>
      </c>
      <c r="P1453" s="25">
        <v>5000</v>
      </c>
      <c r="Q1453" s="25">
        <v>-3840</v>
      </c>
      <c r="R1453" s="25">
        <v>5000</v>
      </c>
      <c r="S1453" s="25"/>
      <c r="T1453" s="25" t="s">
        <v>2972</v>
      </c>
      <c r="U1453" s="25" t="s">
        <v>3060</v>
      </c>
      <c r="V1453" s="25" t="s">
        <v>3058</v>
      </c>
      <c r="W1453" s="25"/>
      <c r="X1453" s="25"/>
    </row>
    <row r="1454" spans="1:24" hidden="1">
      <c r="A1454" s="18">
        <v>1453</v>
      </c>
      <c r="B1454" s="17" t="s">
        <v>391</v>
      </c>
      <c r="C1454" s="17" t="s">
        <v>392</v>
      </c>
      <c r="D1454" s="17" t="s">
        <v>17</v>
      </c>
      <c r="E1454" s="17" t="s">
        <v>8</v>
      </c>
      <c r="F1454" s="17">
        <v>77</v>
      </c>
      <c r="G1454" s="17">
        <v>100</v>
      </c>
      <c r="H1454" s="17">
        <v>39</v>
      </c>
      <c r="I1454" s="17">
        <v>138</v>
      </c>
      <c r="J1454" s="17">
        <v>0</v>
      </c>
      <c r="K1454" s="17">
        <v>0</v>
      </c>
      <c r="L1454" s="17">
        <v>138</v>
      </c>
      <c r="M1454" s="17">
        <v>0</v>
      </c>
      <c r="N1454" s="17">
        <v>0</v>
      </c>
      <c r="O1454" s="17">
        <v>138</v>
      </c>
      <c r="P1454" s="17">
        <v>50</v>
      </c>
      <c r="Q1454" s="17">
        <v>88</v>
      </c>
      <c r="R1454" s="17">
        <v>0</v>
      </c>
      <c r="S1454" s="17"/>
      <c r="T1454" s="17" t="s">
        <v>2963</v>
      </c>
      <c r="U1454" s="17" t="s">
        <v>3057</v>
      </c>
      <c r="V1454" s="17" t="s">
        <v>3056</v>
      </c>
      <c r="W1454" s="17"/>
      <c r="X1454" s="17"/>
    </row>
    <row r="1455" spans="1:24" s="40" customFormat="1" hidden="1">
      <c r="A1455" s="26">
        <v>1454</v>
      </c>
      <c r="B1455" s="25" t="s">
        <v>432</v>
      </c>
      <c r="C1455" s="25" t="s">
        <v>433</v>
      </c>
      <c r="D1455" s="25" t="s">
        <v>20</v>
      </c>
      <c r="E1455" s="25" t="s">
        <v>8</v>
      </c>
      <c r="F1455" s="25">
        <v>0</v>
      </c>
      <c r="G1455" s="25">
        <v>0</v>
      </c>
      <c r="H1455" s="25">
        <v>0</v>
      </c>
      <c r="I1455" s="17">
        <v>0</v>
      </c>
      <c r="J1455" s="17">
        <v>0</v>
      </c>
      <c r="K1455" s="17">
        <v>0</v>
      </c>
      <c r="L1455" s="17">
        <v>0</v>
      </c>
      <c r="M1455" s="17">
        <v>0</v>
      </c>
      <c r="N1455" s="17">
        <v>0</v>
      </c>
      <c r="O1455" s="25">
        <v>0</v>
      </c>
      <c r="P1455" s="25">
        <v>25</v>
      </c>
      <c r="Q1455" s="25">
        <v>-25</v>
      </c>
      <c r="R1455" s="25">
        <v>50</v>
      </c>
      <c r="S1455" s="25"/>
      <c r="T1455" s="25" t="s">
        <v>2991</v>
      </c>
      <c r="U1455" s="25" t="s">
        <v>3057</v>
      </c>
      <c r="V1455" s="25" t="s">
        <v>3056</v>
      </c>
      <c r="W1455" s="25"/>
      <c r="X1455" s="25"/>
    </row>
    <row r="1456" spans="1:24" hidden="1">
      <c r="A1456" s="18">
        <v>1455</v>
      </c>
      <c r="B1456" s="17" t="s">
        <v>472</v>
      </c>
      <c r="C1456" s="17" t="s">
        <v>473</v>
      </c>
      <c r="D1456" s="17" t="s">
        <v>116</v>
      </c>
      <c r="E1456" s="17" t="s">
        <v>8</v>
      </c>
      <c r="F1456" s="17">
        <v>139</v>
      </c>
      <c r="G1456" s="17">
        <v>0</v>
      </c>
      <c r="H1456" s="17">
        <v>35</v>
      </c>
      <c r="I1456" s="17">
        <v>104</v>
      </c>
      <c r="J1456" s="17">
        <v>0</v>
      </c>
      <c r="K1456" s="17">
        <v>0</v>
      </c>
      <c r="L1456" s="17">
        <v>104</v>
      </c>
      <c r="M1456" s="17">
        <v>0</v>
      </c>
      <c r="N1456" s="17">
        <v>0</v>
      </c>
      <c r="O1456" s="17">
        <v>104</v>
      </c>
      <c r="P1456" s="17">
        <v>150</v>
      </c>
      <c r="Q1456" s="17">
        <v>-46</v>
      </c>
      <c r="R1456" s="17">
        <v>0</v>
      </c>
      <c r="S1456" s="17"/>
      <c r="T1456" s="17" t="s">
        <v>2974</v>
      </c>
      <c r="U1456" s="17" t="s">
        <v>3057</v>
      </c>
      <c r="V1456" s="17" t="s">
        <v>3056</v>
      </c>
      <c r="W1456" s="17"/>
      <c r="X1456" s="17"/>
    </row>
    <row r="1457" spans="1:24" s="40" customFormat="1">
      <c r="A1457" s="26">
        <v>1456</v>
      </c>
      <c r="B1457" s="25" t="s">
        <v>619</v>
      </c>
      <c r="C1457" s="25" t="s">
        <v>620</v>
      </c>
      <c r="D1457" s="25" t="s">
        <v>17</v>
      </c>
      <c r="E1457" s="25" t="s">
        <v>8</v>
      </c>
      <c r="F1457" s="25">
        <v>1359</v>
      </c>
      <c r="G1457" s="25">
        <v>820</v>
      </c>
      <c r="H1457" s="25">
        <v>1750</v>
      </c>
      <c r="I1457" s="17">
        <v>429</v>
      </c>
      <c r="J1457" s="17">
        <v>0</v>
      </c>
      <c r="K1457" s="17">
        <v>0</v>
      </c>
      <c r="L1457" s="17">
        <v>429</v>
      </c>
      <c r="M1457" s="17">
        <v>0</v>
      </c>
      <c r="N1457" s="17">
        <v>0</v>
      </c>
      <c r="O1457" s="25">
        <v>429</v>
      </c>
      <c r="P1457" s="25">
        <v>1250</v>
      </c>
      <c r="Q1457" s="25">
        <v>-821</v>
      </c>
      <c r="R1457" s="25">
        <v>2500</v>
      </c>
      <c r="S1457" s="25"/>
      <c r="T1457" s="25" t="s">
        <v>2982</v>
      </c>
      <c r="U1457" s="25" t="s">
        <v>3060</v>
      </c>
      <c r="V1457" s="25" t="s">
        <v>3064</v>
      </c>
      <c r="W1457" s="25"/>
      <c r="X1457" s="25"/>
    </row>
    <row r="1458" spans="1:24" hidden="1">
      <c r="A1458" s="18">
        <v>1457</v>
      </c>
      <c r="B1458" s="17" t="s">
        <v>621</v>
      </c>
      <c r="C1458" s="17" t="s">
        <v>622</v>
      </c>
      <c r="D1458" s="17" t="s">
        <v>17</v>
      </c>
      <c r="E1458" s="17" t="s">
        <v>8</v>
      </c>
      <c r="F1458" s="17">
        <v>1025</v>
      </c>
      <c r="G1458" s="17">
        <v>500</v>
      </c>
      <c r="H1458" s="17">
        <v>710</v>
      </c>
      <c r="I1458" s="17">
        <v>815</v>
      </c>
      <c r="J1458" s="17">
        <v>0</v>
      </c>
      <c r="K1458" s="17">
        <v>0</v>
      </c>
      <c r="L1458" s="17">
        <v>815</v>
      </c>
      <c r="M1458" s="17">
        <v>0</v>
      </c>
      <c r="N1458" s="17">
        <v>0</v>
      </c>
      <c r="O1458" s="17">
        <v>815</v>
      </c>
      <c r="P1458" s="17">
        <v>800</v>
      </c>
      <c r="Q1458" s="17">
        <v>15</v>
      </c>
      <c r="R1458" s="17">
        <v>1000</v>
      </c>
      <c r="S1458" s="17"/>
      <c r="T1458" s="17" t="s">
        <v>2982</v>
      </c>
      <c r="U1458" s="17" t="s">
        <v>3060</v>
      </c>
      <c r="V1458" s="17" t="s">
        <v>3061</v>
      </c>
      <c r="W1458" s="17"/>
      <c r="X1458" s="17"/>
    </row>
    <row r="1459" spans="1:24" hidden="1">
      <c r="A1459" s="18">
        <v>1458</v>
      </c>
      <c r="B1459" s="17" t="s">
        <v>631</v>
      </c>
      <c r="C1459" s="17" t="s">
        <v>632</v>
      </c>
      <c r="D1459" s="17" t="s">
        <v>20</v>
      </c>
      <c r="E1459" s="17" t="s">
        <v>8</v>
      </c>
      <c r="F1459" s="17">
        <v>11701</v>
      </c>
      <c r="G1459" s="17">
        <v>58063</v>
      </c>
      <c r="H1459" s="17">
        <v>8076</v>
      </c>
      <c r="I1459" s="17">
        <v>61688</v>
      </c>
      <c r="J1459" s="17">
        <v>0</v>
      </c>
      <c r="K1459" s="17">
        <v>0</v>
      </c>
      <c r="L1459" s="17">
        <v>61688</v>
      </c>
      <c r="M1459" s="17">
        <v>312</v>
      </c>
      <c r="N1459" s="17">
        <v>0</v>
      </c>
      <c r="O1459" s="17">
        <v>62000</v>
      </c>
      <c r="P1459" s="17">
        <v>12000</v>
      </c>
      <c r="Q1459" s="17">
        <v>50000</v>
      </c>
      <c r="R1459" s="17">
        <v>25000</v>
      </c>
      <c r="S1459" s="17"/>
      <c r="T1459" s="17" t="s">
        <v>3034</v>
      </c>
      <c r="U1459" s="17" t="s">
        <v>3059</v>
      </c>
      <c r="V1459" s="17" t="s">
        <v>3056</v>
      </c>
      <c r="W1459" s="17"/>
      <c r="X1459" s="17"/>
    </row>
    <row r="1460" spans="1:24" hidden="1">
      <c r="A1460" s="18">
        <v>1459</v>
      </c>
      <c r="B1460" s="17" t="s">
        <v>658</v>
      </c>
      <c r="C1460" s="17" t="s">
        <v>659</v>
      </c>
      <c r="D1460" s="17" t="s">
        <v>7</v>
      </c>
      <c r="E1460" s="17" t="s">
        <v>8</v>
      </c>
      <c r="F1460" s="17">
        <v>0</v>
      </c>
      <c r="G1460" s="17">
        <v>0</v>
      </c>
      <c r="H1460" s="17">
        <v>0</v>
      </c>
      <c r="I1460" s="17">
        <v>0</v>
      </c>
      <c r="J1460" s="17">
        <v>0</v>
      </c>
      <c r="K1460" s="17">
        <v>0</v>
      </c>
      <c r="L1460" s="17">
        <v>0</v>
      </c>
      <c r="M1460" s="17">
        <v>0</v>
      </c>
      <c r="N1460" s="17">
        <v>0</v>
      </c>
      <c r="O1460" s="17">
        <v>0</v>
      </c>
      <c r="P1460" s="17">
        <v>0</v>
      </c>
      <c r="Q1460" s="17">
        <v>-100</v>
      </c>
      <c r="R1460" s="17">
        <v>0</v>
      </c>
      <c r="S1460" s="17"/>
      <c r="T1460" s="17" t="s">
        <v>2965</v>
      </c>
      <c r="U1460" s="17" t="s">
        <v>3055</v>
      </c>
      <c r="V1460" s="17" t="s">
        <v>3056</v>
      </c>
      <c r="W1460" s="17"/>
      <c r="X1460" s="17"/>
    </row>
    <row r="1461" spans="1:24" hidden="1">
      <c r="A1461" s="18">
        <v>1460</v>
      </c>
      <c r="B1461" s="17" t="s">
        <v>676</v>
      </c>
      <c r="C1461" s="17" t="s">
        <v>677</v>
      </c>
      <c r="D1461" s="17" t="s">
        <v>7</v>
      </c>
      <c r="E1461" s="17" t="s">
        <v>8</v>
      </c>
      <c r="F1461" s="17">
        <v>295.5</v>
      </c>
      <c r="G1461" s="17">
        <v>0</v>
      </c>
      <c r="H1461" s="17">
        <v>0</v>
      </c>
      <c r="I1461" s="17">
        <v>295.5</v>
      </c>
      <c r="J1461" s="17">
        <v>0</v>
      </c>
      <c r="K1461" s="17">
        <v>0</v>
      </c>
      <c r="L1461" s="17">
        <v>295.5</v>
      </c>
      <c r="M1461" s="17">
        <v>0</v>
      </c>
      <c r="N1461" s="17">
        <v>0</v>
      </c>
      <c r="O1461" s="17">
        <v>295.5</v>
      </c>
      <c r="P1461" s="17">
        <v>250</v>
      </c>
      <c r="Q1461" s="17">
        <v>45.5</v>
      </c>
      <c r="R1461" s="17">
        <v>0</v>
      </c>
      <c r="S1461" s="17"/>
      <c r="T1461" s="17" t="s">
        <v>2965</v>
      </c>
      <c r="U1461" s="17" t="s">
        <v>3055</v>
      </c>
      <c r="V1461" s="17" t="s">
        <v>3058</v>
      </c>
      <c r="W1461" s="17"/>
      <c r="X1461" s="17"/>
    </row>
    <row r="1462" spans="1:24" hidden="1">
      <c r="A1462" s="18">
        <v>1461</v>
      </c>
      <c r="B1462" s="17" t="s">
        <v>678</v>
      </c>
      <c r="C1462" s="17" t="s">
        <v>679</v>
      </c>
      <c r="D1462" s="17" t="s">
        <v>7</v>
      </c>
      <c r="E1462" s="17" t="s">
        <v>8</v>
      </c>
      <c r="F1462" s="17">
        <v>585.5</v>
      </c>
      <c r="G1462" s="17">
        <v>86</v>
      </c>
      <c r="H1462" s="17">
        <v>81</v>
      </c>
      <c r="I1462" s="17">
        <v>590.5</v>
      </c>
      <c r="J1462" s="17">
        <v>0</v>
      </c>
      <c r="K1462" s="17">
        <v>0</v>
      </c>
      <c r="L1462" s="17">
        <v>590.5</v>
      </c>
      <c r="M1462" s="17">
        <v>0</v>
      </c>
      <c r="N1462" s="17">
        <v>0</v>
      </c>
      <c r="O1462" s="17">
        <v>590.5</v>
      </c>
      <c r="P1462" s="17">
        <v>300</v>
      </c>
      <c r="Q1462" s="17">
        <v>290.5</v>
      </c>
      <c r="R1462" s="17">
        <v>0</v>
      </c>
      <c r="S1462" s="17"/>
      <c r="T1462" s="17" t="s">
        <v>2965</v>
      </c>
      <c r="U1462" s="17" t="s">
        <v>3055</v>
      </c>
      <c r="V1462" s="17" t="s">
        <v>3058</v>
      </c>
      <c r="W1462" s="17"/>
      <c r="X1462" s="17"/>
    </row>
    <row r="1463" spans="1:24" hidden="1">
      <c r="A1463" s="18">
        <v>1462</v>
      </c>
      <c r="B1463" s="17" t="s">
        <v>686</v>
      </c>
      <c r="C1463" s="17" t="s">
        <v>687</v>
      </c>
      <c r="D1463" s="17" t="s">
        <v>7</v>
      </c>
      <c r="E1463" s="17" t="s">
        <v>8</v>
      </c>
      <c r="F1463" s="17">
        <v>555</v>
      </c>
      <c r="G1463" s="17">
        <v>207</v>
      </c>
      <c r="H1463" s="17">
        <v>82</v>
      </c>
      <c r="I1463" s="17">
        <v>680</v>
      </c>
      <c r="J1463" s="17">
        <v>0</v>
      </c>
      <c r="K1463" s="17">
        <v>0</v>
      </c>
      <c r="L1463" s="17">
        <v>680</v>
      </c>
      <c r="M1463" s="17">
        <v>0</v>
      </c>
      <c r="N1463" s="17">
        <v>0</v>
      </c>
      <c r="O1463" s="17">
        <v>680</v>
      </c>
      <c r="P1463" s="17">
        <v>500</v>
      </c>
      <c r="Q1463" s="17">
        <v>180</v>
      </c>
      <c r="R1463" s="17">
        <v>200</v>
      </c>
      <c r="S1463" s="17"/>
      <c r="T1463" s="17" t="s">
        <v>2965</v>
      </c>
      <c r="U1463" s="17" t="s">
        <v>3055</v>
      </c>
      <c r="V1463" s="17" t="s">
        <v>3058</v>
      </c>
      <c r="W1463" s="17"/>
      <c r="X1463" s="17"/>
    </row>
    <row r="1464" spans="1:24" hidden="1">
      <c r="A1464" s="18">
        <v>1463</v>
      </c>
      <c r="B1464" s="17" t="s">
        <v>734</v>
      </c>
      <c r="C1464" s="17" t="s">
        <v>735</v>
      </c>
      <c r="D1464" s="17" t="s">
        <v>7</v>
      </c>
      <c r="E1464" s="17" t="s">
        <v>8</v>
      </c>
      <c r="F1464" s="17">
        <v>330.5</v>
      </c>
      <c r="G1464" s="17">
        <v>268</v>
      </c>
      <c r="H1464" s="17">
        <v>0</v>
      </c>
      <c r="I1464" s="17">
        <v>598.5</v>
      </c>
      <c r="J1464" s="17">
        <v>0</v>
      </c>
      <c r="K1464" s="17">
        <v>0</v>
      </c>
      <c r="L1464" s="17">
        <v>598.5</v>
      </c>
      <c r="M1464" s="17">
        <v>0</v>
      </c>
      <c r="N1464" s="17">
        <v>0</v>
      </c>
      <c r="O1464" s="17">
        <v>598.5</v>
      </c>
      <c r="P1464" s="17">
        <v>300</v>
      </c>
      <c r="Q1464" s="17">
        <v>298.5</v>
      </c>
      <c r="R1464" s="17">
        <v>0</v>
      </c>
      <c r="S1464" s="17"/>
      <c r="T1464" s="17" t="s">
        <v>2965</v>
      </c>
      <c r="U1464" s="17" t="s">
        <v>3055</v>
      </c>
      <c r="V1464" s="17" t="s">
        <v>3056</v>
      </c>
      <c r="W1464" s="17"/>
      <c r="X1464" s="17"/>
    </row>
    <row r="1465" spans="1:24" hidden="1">
      <c r="A1465" s="18">
        <v>1464</v>
      </c>
      <c r="B1465" s="17" t="s">
        <v>736</v>
      </c>
      <c r="C1465" s="17" t="s">
        <v>737</v>
      </c>
      <c r="D1465" s="17" t="s">
        <v>7</v>
      </c>
      <c r="E1465" s="17" t="s">
        <v>8</v>
      </c>
      <c r="F1465" s="17">
        <v>670</v>
      </c>
      <c r="G1465" s="17">
        <v>93.9</v>
      </c>
      <c r="H1465" s="17">
        <v>40.299999999999997</v>
      </c>
      <c r="I1465" s="17">
        <v>723.6</v>
      </c>
      <c r="J1465" s="17">
        <v>247.1</v>
      </c>
      <c r="K1465" s="17">
        <v>0</v>
      </c>
      <c r="L1465" s="17">
        <v>476.5</v>
      </c>
      <c r="M1465" s="17">
        <v>0</v>
      </c>
      <c r="N1465" s="17">
        <v>0</v>
      </c>
      <c r="O1465" s="17">
        <v>476.5</v>
      </c>
      <c r="P1465" s="17">
        <v>300</v>
      </c>
      <c r="Q1465" s="17">
        <v>176.5</v>
      </c>
      <c r="R1465" s="17">
        <v>100</v>
      </c>
      <c r="S1465" s="17"/>
      <c r="T1465" s="17" t="s">
        <v>2965</v>
      </c>
      <c r="U1465" s="17" t="s">
        <v>3055</v>
      </c>
      <c r="V1465" s="17" t="s">
        <v>3056</v>
      </c>
      <c r="W1465" s="17"/>
      <c r="X1465" s="17"/>
    </row>
    <row r="1466" spans="1:24" hidden="1">
      <c r="A1466" s="18">
        <v>1465</v>
      </c>
      <c r="B1466" s="17" t="s">
        <v>738</v>
      </c>
      <c r="C1466" s="17" t="s">
        <v>739</v>
      </c>
      <c r="D1466" s="17" t="s">
        <v>7</v>
      </c>
      <c r="E1466" s="17" t="s">
        <v>8</v>
      </c>
      <c r="F1466" s="17">
        <v>871.64</v>
      </c>
      <c r="G1466" s="17">
        <v>0</v>
      </c>
      <c r="H1466" s="17">
        <v>0</v>
      </c>
      <c r="I1466" s="17">
        <v>871.64</v>
      </c>
      <c r="J1466" s="17">
        <v>0</v>
      </c>
      <c r="K1466" s="17">
        <v>13</v>
      </c>
      <c r="L1466" s="17">
        <v>858.64</v>
      </c>
      <c r="M1466" s="17">
        <v>0</v>
      </c>
      <c r="N1466" s="17">
        <v>0</v>
      </c>
      <c r="O1466" s="17">
        <v>858.64</v>
      </c>
      <c r="P1466" s="17">
        <v>500</v>
      </c>
      <c r="Q1466" s="17">
        <v>358.64</v>
      </c>
      <c r="R1466" s="17">
        <v>0</v>
      </c>
      <c r="S1466" s="17"/>
      <c r="T1466" s="17" t="s">
        <v>2965</v>
      </c>
      <c r="U1466" s="17" t="s">
        <v>3055</v>
      </c>
      <c r="V1466" s="17" t="s">
        <v>3056</v>
      </c>
      <c r="W1466" s="17"/>
      <c r="X1466" s="17"/>
    </row>
    <row r="1467" spans="1:24" hidden="1">
      <c r="A1467" s="18">
        <v>1466</v>
      </c>
      <c r="B1467" s="17" t="s">
        <v>794</v>
      </c>
      <c r="C1467" s="17" t="s">
        <v>795</v>
      </c>
      <c r="D1467" s="17" t="s">
        <v>7</v>
      </c>
      <c r="E1467" s="17" t="s">
        <v>8</v>
      </c>
      <c r="F1467" s="17">
        <v>1995.85</v>
      </c>
      <c r="G1467" s="17">
        <v>274.5</v>
      </c>
      <c r="H1467" s="17">
        <v>195.1</v>
      </c>
      <c r="I1467" s="17">
        <v>2075.25</v>
      </c>
      <c r="J1467" s="17">
        <v>0</v>
      </c>
      <c r="K1467" s="17">
        <v>0</v>
      </c>
      <c r="L1467" s="17">
        <v>2075.25</v>
      </c>
      <c r="M1467" s="17">
        <v>0</v>
      </c>
      <c r="N1467" s="17">
        <v>0</v>
      </c>
      <c r="O1467" s="17">
        <v>2075.25</v>
      </c>
      <c r="P1467" s="17">
        <v>1000</v>
      </c>
      <c r="Q1467" s="17">
        <v>1075.25</v>
      </c>
      <c r="R1467" s="17">
        <v>250</v>
      </c>
      <c r="S1467" s="17"/>
      <c r="T1467" s="17" t="s">
        <v>2965</v>
      </c>
      <c r="U1467" s="17" t="s">
        <v>3055</v>
      </c>
      <c r="V1467" s="17" t="s">
        <v>3056</v>
      </c>
      <c r="W1467" s="17"/>
      <c r="X1467" s="17"/>
    </row>
    <row r="1468" spans="1:24" hidden="1">
      <c r="A1468" s="18">
        <v>1467</v>
      </c>
      <c r="B1468" s="17" t="s">
        <v>812</v>
      </c>
      <c r="C1468" s="17" t="s">
        <v>813</v>
      </c>
      <c r="D1468" s="17" t="s">
        <v>7</v>
      </c>
      <c r="E1468" s="17" t="s">
        <v>8</v>
      </c>
      <c r="F1468" s="17">
        <v>265.39999999999998</v>
      </c>
      <c r="G1468" s="17">
        <v>0</v>
      </c>
      <c r="H1468" s="17">
        <v>70.5</v>
      </c>
      <c r="I1468" s="17">
        <v>194.9</v>
      </c>
      <c r="J1468" s="17">
        <v>0</v>
      </c>
      <c r="K1468" s="17">
        <v>0</v>
      </c>
      <c r="L1468" s="17">
        <v>194.9</v>
      </c>
      <c r="M1468" s="17">
        <v>0</v>
      </c>
      <c r="N1468" s="17">
        <v>0</v>
      </c>
      <c r="O1468" s="17">
        <v>194.9</v>
      </c>
      <c r="P1468" s="17">
        <v>100</v>
      </c>
      <c r="Q1468" s="17">
        <v>94.9</v>
      </c>
      <c r="R1468" s="17">
        <v>0</v>
      </c>
      <c r="S1468" s="17"/>
      <c r="T1468" s="17" t="s">
        <v>2965</v>
      </c>
      <c r="U1468" s="17" t="s">
        <v>3055</v>
      </c>
      <c r="V1468" s="17" t="s">
        <v>3056</v>
      </c>
      <c r="W1468" s="17"/>
      <c r="X1468" s="17"/>
    </row>
    <row r="1469" spans="1:24" hidden="1">
      <c r="A1469" s="18">
        <v>1468</v>
      </c>
      <c r="B1469" s="17" t="s">
        <v>832</v>
      </c>
      <c r="C1469" s="17" t="s">
        <v>833</v>
      </c>
      <c r="D1469" s="17" t="s">
        <v>7</v>
      </c>
      <c r="E1469" s="17" t="s">
        <v>8</v>
      </c>
      <c r="F1469" s="17">
        <v>2500</v>
      </c>
      <c r="G1469" s="17">
        <v>287</v>
      </c>
      <c r="H1469" s="17">
        <v>280</v>
      </c>
      <c r="I1469" s="17">
        <v>2507</v>
      </c>
      <c r="J1469" s="17">
        <v>0</v>
      </c>
      <c r="K1469" s="17">
        <v>0</v>
      </c>
      <c r="L1469" s="17">
        <v>2507</v>
      </c>
      <c r="M1469" s="17">
        <v>0</v>
      </c>
      <c r="N1469" s="17">
        <v>0</v>
      </c>
      <c r="O1469" s="17">
        <v>2507</v>
      </c>
      <c r="P1469" s="17">
        <v>500</v>
      </c>
      <c r="Q1469" s="17">
        <v>2007</v>
      </c>
      <c r="R1469" s="17">
        <v>2000</v>
      </c>
      <c r="S1469" s="17"/>
      <c r="T1469" s="17" t="s">
        <v>2965</v>
      </c>
      <c r="U1469" s="17" t="s">
        <v>3055</v>
      </c>
      <c r="V1469" s="17" t="s">
        <v>3056</v>
      </c>
      <c r="W1469" s="17"/>
      <c r="X1469" s="17"/>
    </row>
    <row r="1470" spans="1:24" hidden="1">
      <c r="A1470" s="18">
        <v>1469</v>
      </c>
      <c r="B1470" s="17" t="s">
        <v>842</v>
      </c>
      <c r="C1470" s="17" t="s">
        <v>843</v>
      </c>
      <c r="D1470" s="17" t="s">
        <v>17</v>
      </c>
      <c r="E1470" s="17" t="s">
        <v>8</v>
      </c>
      <c r="F1470" s="17">
        <v>9100</v>
      </c>
      <c r="G1470" s="17">
        <v>24000</v>
      </c>
      <c r="H1470" s="17">
        <v>14472</v>
      </c>
      <c r="I1470" s="17">
        <v>18628</v>
      </c>
      <c r="J1470" s="17">
        <v>0</v>
      </c>
      <c r="K1470" s="17">
        <v>0</v>
      </c>
      <c r="L1470" s="17">
        <v>18628</v>
      </c>
      <c r="M1470" s="17">
        <v>0</v>
      </c>
      <c r="N1470" s="17">
        <v>0</v>
      </c>
      <c r="O1470" s="17">
        <v>18628</v>
      </c>
      <c r="P1470" s="17">
        <v>12000</v>
      </c>
      <c r="Q1470" s="17">
        <v>6628</v>
      </c>
      <c r="R1470" s="17">
        <v>30000</v>
      </c>
      <c r="S1470" s="17"/>
      <c r="T1470" s="17" t="s">
        <v>2972</v>
      </c>
      <c r="U1470" s="17" t="s">
        <v>3060</v>
      </c>
      <c r="V1470" s="17" t="s">
        <v>3058</v>
      </c>
      <c r="W1470" s="17"/>
      <c r="X1470" s="17"/>
    </row>
    <row r="1471" spans="1:24" hidden="1">
      <c r="A1471" s="18">
        <v>1470</v>
      </c>
      <c r="B1471" s="17" t="s">
        <v>850</v>
      </c>
      <c r="C1471" s="17" t="s">
        <v>851</v>
      </c>
      <c r="D1471" s="17" t="s">
        <v>17</v>
      </c>
      <c r="E1471" s="17" t="s">
        <v>8</v>
      </c>
      <c r="F1471" s="17">
        <v>100</v>
      </c>
      <c r="G1471" s="17">
        <v>150</v>
      </c>
      <c r="H1471" s="17">
        <v>20</v>
      </c>
      <c r="I1471" s="17">
        <v>230</v>
      </c>
      <c r="J1471" s="17">
        <v>0</v>
      </c>
      <c r="K1471" s="17">
        <v>0</v>
      </c>
      <c r="L1471" s="17">
        <v>230</v>
      </c>
      <c r="M1471" s="17">
        <v>0</v>
      </c>
      <c r="N1471" s="17">
        <v>0</v>
      </c>
      <c r="O1471" s="17">
        <v>230</v>
      </c>
      <c r="P1471" s="17">
        <v>110</v>
      </c>
      <c r="Q1471" s="17">
        <v>120</v>
      </c>
      <c r="R1471" s="17">
        <v>150</v>
      </c>
      <c r="S1471" s="17"/>
      <c r="T1471" s="17" t="s">
        <v>2982</v>
      </c>
      <c r="U1471" s="17" t="s">
        <v>3060</v>
      </c>
      <c r="V1471" s="17" t="s">
        <v>3058</v>
      </c>
      <c r="W1471" s="17"/>
      <c r="X1471" s="17"/>
    </row>
    <row r="1472" spans="1:24" hidden="1">
      <c r="A1472" s="18">
        <v>1471</v>
      </c>
      <c r="B1472" s="17" t="s">
        <v>852</v>
      </c>
      <c r="C1472" s="17" t="s">
        <v>853</v>
      </c>
      <c r="D1472" s="17" t="s">
        <v>17</v>
      </c>
      <c r="E1472" s="17" t="s">
        <v>8</v>
      </c>
      <c r="F1472" s="17">
        <v>230</v>
      </c>
      <c r="G1472" s="17">
        <v>300</v>
      </c>
      <c r="H1472" s="17">
        <v>150</v>
      </c>
      <c r="I1472" s="17">
        <v>380</v>
      </c>
      <c r="J1472" s="17">
        <v>0</v>
      </c>
      <c r="K1472" s="17">
        <v>0</v>
      </c>
      <c r="L1472" s="17">
        <v>380</v>
      </c>
      <c r="M1472" s="17">
        <v>0</v>
      </c>
      <c r="N1472" s="17">
        <v>0</v>
      </c>
      <c r="O1472" s="17">
        <v>380</v>
      </c>
      <c r="P1472" s="17">
        <v>150</v>
      </c>
      <c r="Q1472" s="17">
        <v>230</v>
      </c>
      <c r="R1472" s="17">
        <v>300</v>
      </c>
      <c r="S1472" s="17"/>
      <c r="T1472" s="17" t="s">
        <v>2982</v>
      </c>
      <c r="U1472" s="17" t="s">
        <v>3060</v>
      </c>
      <c r="V1472" s="17" t="s">
        <v>3058</v>
      </c>
      <c r="W1472" s="17"/>
      <c r="X1472" s="17"/>
    </row>
    <row r="1473" spans="1:24" hidden="1">
      <c r="A1473" s="18">
        <v>1472</v>
      </c>
      <c r="B1473" s="17" t="s">
        <v>890</v>
      </c>
      <c r="C1473" s="17" t="s">
        <v>891</v>
      </c>
      <c r="D1473" s="17" t="s">
        <v>17</v>
      </c>
      <c r="E1473" s="17" t="s">
        <v>8</v>
      </c>
      <c r="F1473" s="17">
        <v>186</v>
      </c>
      <c r="G1473" s="17">
        <v>0</v>
      </c>
      <c r="H1473" s="17">
        <v>0</v>
      </c>
      <c r="I1473" s="17">
        <v>186</v>
      </c>
      <c r="J1473" s="17">
        <v>0</v>
      </c>
      <c r="K1473" s="17">
        <v>0</v>
      </c>
      <c r="L1473" s="17">
        <v>186</v>
      </c>
      <c r="M1473" s="17">
        <v>0</v>
      </c>
      <c r="N1473" s="17">
        <v>0</v>
      </c>
      <c r="O1473" s="17">
        <v>186</v>
      </c>
      <c r="P1473" s="17">
        <v>150</v>
      </c>
      <c r="Q1473" s="17">
        <v>36</v>
      </c>
      <c r="R1473" s="17">
        <v>0</v>
      </c>
      <c r="S1473" s="17"/>
      <c r="T1473" s="17" t="s">
        <v>2972</v>
      </c>
      <c r="U1473" s="17" t="s">
        <v>3060</v>
      </c>
      <c r="V1473" s="17" t="s">
        <v>3058</v>
      </c>
      <c r="W1473" s="17"/>
      <c r="X1473" s="17"/>
    </row>
    <row r="1474" spans="1:24" hidden="1">
      <c r="A1474" s="18">
        <v>1473</v>
      </c>
      <c r="B1474" s="17" t="s">
        <v>892</v>
      </c>
      <c r="C1474" s="17" t="s">
        <v>893</v>
      </c>
      <c r="D1474" s="17" t="s">
        <v>17</v>
      </c>
      <c r="E1474" s="17" t="s">
        <v>8</v>
      </c>
      <c r="F1474" s="17">
        <v>300</v>
      </c>
      <c r="G1474" s="17">
        <v>0</v>
      </c>
      <c r="H1474" s="17">
        <v>0</v>
      </c>
      <c r="I1474" s="17">
        <v>300</v>
      </c>
      <c r="J1474" s="17">
        <v>0</v>
      </c>
      <c r="K1474" s="17">
        <v>0</v>
      </c>
      <c r="L1474" s="17">
        <v>300</v>
      </c>
      <c r="M1474" s="17">
        <v>0</v>
      </c>
      <c r="N1474" s="17">
        <v>0</v>
      </c>
      <c r="O1474" s="17">
        <v>300</v>
      </c>
      <c r="P1474" s="17">
        <v>75</v>
      </c>
      <c r="Q1474" s="17">
        <v>225</v>
      </c>
      <c r="R1474" s="17">
        <v>0</v>
      </c>
      <c r="S1474" s="17"/>
      <c r="T1474" s="17" t="s">
        <v>2972</v>
      </c>
      <c r="U1474" s="17" t="s">
        <v>3060</v>
      </c>
      <c r="V1474" s="17" t="s">
        <v>3058</v>
      </c>
      <c r="W1474" s="17"/>
      <c r="X1474" s="17"/>
    </row>
    <row r="1475" spans="1:24" hidden="1">
      <c r="A1475" s="18">
        <v>1474</v>
      </c>
      <c r="B1475" s="17" t="s">
        <v>940</v>
      </c>
      <c r="C1475" s="17" t="s">
        <v>941</v>
      </c>
      <c r="D1475" s="17" t="s">
        <v>17</v>
      </c>
      <c r="E1475" s="17" t="s">
        <v>8</v>
      </c>
      <c r="F1475" s="17">
        <v>103</v>
      </c>
      <c r="G1475" s="17">
        <v>0</v>
      </c>
      <c r="H1475" s="17">
        <v>33</v>
      </c>
      <c r="I1475" s="17">
        <v>70</v>
      </c>
      <c r="J1475" s="17">
        <v>0</v>
      </c>
      <c r="K1475" s="17">
        <v>0</v>
      </c>
      <c r="L1475" s="17">
        <v>70</v>
      </c>
      <c r="M1475" s="17">
        <v>0</v>
      </c>
      <c r="N1475" s="17">
        <v>0</v>
      </c>
      <c r="O1475" s="17">
        <v>70</v>
      </c>
      <c r="P1475" s="17">
        <v>100</v>
      </c>
      <c r="Q1475" s="17">
        <v>-30</v>
      </c>
      <c r="R1475" s="17">
        <v>0</v>
      </c>
      <c r="S1475" s="17"/>
      <c r="T1475" s="17" t="s">
        <v>2982</v>
      </c>
      <c r="U1475" s="17" t="s">
        <v>3060</v>
      </c>
      <c r="V1475" s="17" t="s">
        <v>3058</v>
      </c>
      <c r="W1475" s="17"/>
      <c r="X1475" s="17"/>
    </row>
    <row r="1476" spans="1:24" hidden="1">
      <c r="A1476" s="18">
        <v>1475</v>
      </c>
      <c r="B1476" s="17" t="s">
        <v>950</v>
      </c>
      <c r="C1476" s="17" t="s">
        <v>951</v>
      </c>
      <c r="D1476" s="17" t="s">
        <v>7</v>
      </c>
      <c r="E1476" s="17" t="s">
        <v>8</v>
      </c>
      <c r="F1476" s="17">
        <v>1153</v>
      </c>
      <c r="G1476" s="17">
        <v>0</v>
      </c>
      <c r="H1476" s="17">
        <v>0</v>
      </c>
      <c r="I1476" s="17">
        <v>1153</v>
      </c>
      <c r="J1476" s="17">
        <v>0</v>
      </c>
      <c r="K1476" s="17">
        <v>0</v>
      </c>
      <c r="L1476" s="17">
        <v>1153</v>
      </c>
      <c r="M1476" s="17">
        <v>0</v>
      </c>
      <c r="N1476" s="17">
        <v>0</v>
      </c>
      <c r="O1476" s="17">
        <v>1153</v>
      </c>
      <c r="P1476" s="17">
        <v>1000</v>
      </c>
      <c r="Q1476" s="17">
        <v>153</v>
      </c>
      <c r="R1476" s="17">
        <v>0</v>
      </c>
      <c r="S1476" s="17"/>
      <c r="T1476" s="17" t="s">
        <v>2965</v>
      </c>
      <c r="U1476" s="17" t="s">
        <v>3055</v>
      </c>
      <c r="V1476" s="17" t="s">
        <v>3056</v>
      </c>
      <c r="W1476" s="17"/>
      <c r="X1476" s="17"/>
    </row>
    <row r="1477" spans="1:24" hidden="1">
      <c r="A1477" s="18">
        <v>1476</v>
      </c>
      <c r="B1477" s="17" t="s">
        <v>868</v>
      </c>
      <c r="C1477" s="17" t="s">
        <v>869</v>
      </c>
      <c r="D1477" s="17" t="s">
        <v>17</v>
      </c>
      <c r="E1477" s="17" t="s">
        <v>8</v>
      </c>
      <c r="F1477" s="17">
        <v>393</v>
      </c>
      <c r="G1477" s="17">
        <v>0</v>
      </c>
      <c r="H1477" s="17">
        <v>210</v>
      </c>
      <c r="I1477" s="17">
        <v>183</v>
      </c>
      <c r="J1477" s="17">
        <v>0</v>
      </c>
      <c r="K1477" s="17">
        <v>0</v>
      </c>
      <c r="L1477" s="17">
        <v>183</v>
      </c>
      <c r="M1477" s="17">
        <v>0</v>
      </c>
      <c r="N1477" s="17">
        <v>0</v>
      </c>
      <c r="O1477" s="17">
        <v>183</v>
      </c>
      <c r="P1477" s="17">
        <v>150</v>
      </c>
      <c r="Q1477" s="17">
        <v>33</v>
      </c>
      <c r="R1477" s="17">
        <v>0</v>
      </c>
      <c r="S1477" s="17"/>
      <c r="T1477" s="17" t="s">
        <v>2991</v>
      </c>
      <c r="U1477" s="17" t="s">
        <v>3057</v>
      </c>
      <c r="V1477" s="17" t="s">
        <v>3056</v>
      </c>
      <c r="W1477" s="17"/>
      <c r="X1477" s="17"/>
    </row>
    <row r="1478" spans="1:24" hidden="1">
      <c r="A1478" s="18">
        <v>1477</v>
      </c>
      <c r="B1478" s="17" t="s">
        <v>1054</v>
      </c>
      <c r="C1478" s="17" t="s">
        <v>1055</v>
      </c>
      <c r="D1478" s="17" t="s">
        <v>17</v>
      </c>
      <c r="E1478" s="17" t="s">
        <v>8</v>
      </c>
      <c r="F1478" s="17">
        <v>49</v>
      </c>
      <c r="G1478" s="17">
        <v>60</v>
      </c>
      <c r="H1478" s="17">
        <v>10</v>
      </c>
      <c r="I1478" s="17">
        <v>99</v>
      </c>
      <c r="J1478" s="17">
        <v>0</v>
      </c>
      <c r="K1478" s="17">
        <v>0</v>
      </c>
      <c r="L1478" s="17">
        <v>99</v>
      </c>
      <c r="M1478" s="17">
        <v>0</v>
      </c>
      <c r="N1478" s="17">
        <v>0</v>
      </c>
      <c r="O1478" s="17">
        <v>99</v>
      </c>
      <c r="P1478" s="17">
        <v>25</v>
      </c>
      <c r="Q1478" s="17">
        <v>74</v>
      </c>
      <c r="R1478" s="17">
        <v>25</v>
      </c>
      <c r="S1478" s="17"/>
      <c r="T1478" s="17" t="s">
        <v>2974</v>
      </c>
      <c r="U1478" s="17" t="s">
        <v>3060</v>
      </c>
      <c r="V1478" s="17" t="s">
        <v>3058</v>
      </c>
      <c r="W1478" s="17"/>
      <c r="X1478" s="17"/>
    </row>
    <row r="1479" spans="1:24" hidden="1">
      <c r="A1479" s="18">
        <v>1478</v>
      </c>
      <c r="B1479" s="17" t="s">
        <v>898</v>
      </c>
      <c r="C1479" s="17" t="s">
        <v>899</v>
      </c>
      <c r="D1479" s="17" t="s">
        <v>17</v>
      </c>
      <c r="E1479" s="17" t="s">
        <v>8</v>
      </c>
      <c r="F1479" s="17">
        <v>1200</v>
      </c>
      <c r="G1479" s="17">
        <v>0</v>
      </c>
      <c r="H1479" s="17">
        <v>800</v>
      </c>
      <c r="I1479" s="17">
        <v>400</v>
      </c>
      <c r="J1479" s="17">
        <v>0</v>
      </c>
      <c r="K1479" s="17">
        <v>0</v>
      </c>
      <c r="L1479" s="17">
        <v>400</v>
      </c>
      <c r="M1479" s="17">
        <v>0</v>
      </c>
      <c r="N1479" s="17">
        <v>0</v>
      </c>
      <c r="O1479" s="17">
        <v>400</v>
      </c>
      <c r="P1479" s="17">
        <v>500</v>
      </c>
      <c r="Q1479" s="17">
        <v>-100</v>
      </c>
      <c r="R1479" s="17">
        <v>0</v>
      </c>
      <c r="S1479" s="17"/>
      <c r="T1479" s="17" t="s">
        <v>2991</v>
      </c>
      <c r="U1479" s="17" t="s">
        <v>3057</v>
      </c>
      <c r="V1479" s="17" t="s">
        <v>3058</v>
      </c>
      <c r="W1479" s="17"/>
      <c r="X1479" s="17"/>
    </row>
    <row r="1480" spans="1:24" hidden="1">
      <c r="A1480" s="18">
        <v>1479</v>
      </c>
      <c r="B1480" s="17" t="s">
        <v>926</v>
      </c>
      <c r="C1480" s="17" t="s">
        <v>927</v>
      </c>
      <c r="D1480" s="17" t="s">
        <v>20</v>
      </c>
      <c r="E1480" s="17" t="s">
        <v>8</v>
      </c>
      <c r="F1480" s="17">
        <v>1468</v>
      </c>
      <c r="G1480" s="17">
        <v>0</v>
      </c>
      <c r="H1480" s="17">
        <v>112.9</v>
      </c>
      <c r="I1480" s="17">
        <v>1355.1</v>
      </c>
      <c r="J1480" s="17">
        <v>0</v>
      </c>
      <c r="K1480" s="17">
        <v>413.9</v>
      </c>
      <c r="L1480" s="17">
        <v>941.19999999999993</v>
      </c>
      <c r="M1480" s="17">
        <v>0</v>
      </c>
      <c r="N1480" s="17">
        <v>0</v>
      </c>
      <c r="O1480" s="17">
        <v>941.19999999999993</v>
      </c>
      <c r="P1480" s="17">
        <v>300</v>
      </c>
      <c r="Q1480" s="17">
        <v>641.19999999999993</v>
      </c>
      <c r="R1480" s="17">
        <v>0</v>
      </c>
      <c r="S1480" s="17"/>
      <c r="T1480" s="17" t="s">
        <v>2972</v>
      </c>
      <c r="U1480" s="17" t="s">
        <v>3057</v>
      </c>
      <c r="V1480" s="17" t="s">
        <v>3056</v>
      </c>
      <c r="W1480" s="17"/>
      <c r="X1480" s="17"/>
    </row>
    <row r="1481" spans="1:24" hidden="1">
      <c r="A1481" s="18">
        <v>1480</v>
      </c>
      <c r="B1481" s="17" t="s">
        <v>1231</v>
      </c>
      <c r="C1481" s="17" t="s">
        <v>1232</v>
      </c>
      <c r="D1481" s="17" t="s">
        <v>17</v>
      </c>
      <c r="E1481" s="17" t="s">
        <v>8</v>
      </c>
      <c r="F1481" s="17">
        <v>12</v>
      </c>
      <c r="G1481" s="17">
        <v>20</v>
      </c>
      <c r="H1481" s="17">
        <v>11</v>
      </c>
      <c r="I1481" s="17">
        <v>21</v>
      </c>
      <c r="J1481" s="17">
        <v>0</v>
      </c>
      <c r="K1481" s="17">
        <v>0</v>
      </c>
      <c r="L1481" s="17">
        <v>21</v>
      </c>
      <c r="M1481" s="17">
        <v>0</v>
      </c>
      <c r="N1481" s="17">
        <v>0</v>
      </c>
      <c r="O1481" s="17">
        <v>21</v>
      </c>
      <c r="P1481" s="17">
        <v>10</v>
      </c>
      <c r="Q1481" s="17">
        <v>11</v>
      </c>
      <c r="R1481" s="17">
        <v>15</v>
      </c>
      <c r="S1481" s="17"/>
      <c r="T1481" s="17" t="s">
        <v>3052</v>
      </c>
      <c r="U1481" s="17" t="s">
        <v>3062</v>
      </c>
      <c r="V1481" s="17" t="s">
        <v>3056</v>
      </c>
      <c r="W1481" s="17"/>
      <c r="X1481" s="17"/>
    </row>
    <row r="1482" spans="1:24" hidden="1">
      <c r="A1482" s="18">
        <v>1481</v>
      </c>
      <c r="B1482" s="17" t="s">
        <v>1275</v>
      </c>
      <c r="C1482" s="17" t="s">
        <v>1276</v>
      </c>
      <c r="D1482" s="17" t="s">
        <v>17</v>
      </c>
      <c r="E1482" s="17" t="s">
        <v>8</v>
      </c>
      <c r="F1482" s="17">
        <v>23</v>
      </c>
      <c r="G1482" s="17">
        <v>0</v>
      </c>
      <c r="H1482" s="17">
        <v>8</v>
      </c>
      <c r="I1482" s="17">
        <v>15</v>
      </c>
      <c r="J1482" s="17">
        <v>0</v>
      </c>
      <c r="K1482" s="17">
        <v>0</v>
      </c>
      <c r="L1482" s="17">
        <v>15</v>
      </c>
      <c r="M1482" s="17">
        <v>0</v>
      </c>
      <c r="N1482" s="17">
        <v>0</v>
      </c>
      <c r="O1482" s="17">
        <v>15</v>
      </c>
      <c r="P1482" s="17">
        <v>10</v>
      </c>
      <c r="Q1482" s="17">
        <v>5</v>
      </c>
      <c r="R1482" s="17">
        <v>0</v>
      </c>
      <c r="S1482" s="17"/>
      <c r="T1482" s="17" t="s">
        <v>3052</v>
      </c>
      <c r="U1482" s="17" t="s">
        <v>3062</v>
      </c>
      <c r="V1482" s="17" t="s">
        <v>3056</v>
      </c>
      <c r="W1482" s="17"/>
      <c r="X1482" s="17"/>
    </row>
    <row r="1483" spans="1:24" hidden="1">
      <c r="A1483" s="18">
        <v>1482</v>
      </c>
      <c r="B1483" s="17" t="s">
        <v>1281</v>
      </c>
      <c r="C1483" s="17" t="s">
        <v>1282</v>
      </c>
      <c r="D1483" s="17" t="s">
        <v>17</v>
      </c>
      <c r="E1483" s="17" t="s">
        <v>8</v>
      </c>
      <c r="F1483" s="17">
        <v>64</v>
      </c>
      <c r="G1483" s="17">
        <v>24</v>
      </c>
      <c r="H1483" s="17">
        <v>36</v>
      </c>
      <c r="I1483" s="17">
        <v>52</v>
      </c>
      <c r="J1483" s="17">
        <v>0</v>
      </c>
      <c r="K1483" s="17">
        <v>0</v>
      </c>
      <c r="L1483" s="17">
        <v>52</v>
      </c>
      <c r="M1483" s="17">
        <v>0</v>
      </c>
      <c r="N1483" s="17">
        <v>0</v>
      </c>
      <c r="O1483" s="17">
        <v>52</v>
      </c>
      <c r="P1483" s="17">
        <v>12</v>
      </c>
      <c r="Q1483" s="17">
        <v>40</v>
      </c>
      <c r="R1483" s="17">
        <v>24</v>
      </c>
      <c r="S1483" s="17"/>
      <c r="T1483" s="17" t="s">
        <v>3052</v>
      </c>
      <c r="U1483" s="17" t="s">
        <v>3062</v>
      </c>
      <c r="V1483" s="17" t="s">
        <v>3056</v>
      </c>
      <c r="W1483" s="17"/>
      <c r="X1483" s="17"/>
    </row>
    <row r="1484" spans="1:24" s="40" customFormat="1" hidden="1">
      <c r="A1484" s="26">
        <v>1483</v>
      </c>
      <c r="B1484" s="25" t="s">
        <v>1289</v>
      </c>
      <c r="C1484" s="25" t="s">
        <v>3274</v>
      </c>
      <c r="D1484" s="25" t="s">
        <v>7</v>
      </c>
      <c r="E1484" s="25" t="s">
        <v>8</v>
      </c>
      <c r="F1484" s="25">
        <v>1956.7</v>
      </c>
      <c r="G1484" s="25">
        <v>445.9</v>
      </c>
      <c r="H1484" s="25">
        <v>637.29999999999995</v>
      </c>
      <c r="I1484" s="17">
        <v>1765.3</v>
      </c>
      <c r="J1484" s="17">
        <v>0</v>
      </c>
      <c r="K1484" s="17">
        <v>0</v>
      </c>
      <c r="L1484" s="17">
        <v>1765.3</v>
      </c>
      <c r="M1484" s="17">
        <v>0</v>
      </c>
      <c r="N1484" s="17">
        <v>0</v>
      </c>
      <c r="O1484" s="25">
        <v>1765.3</v>
      </c>
      <c r="P1484" s="25">
        <v>2000</v>
      </c>
      <c r="Q1484" s="25">
        <v>-234.70000000000005</v>
      </c>
      <c r="R1484" s="25">
        <v>500</v>
      </c>
      <c r="S1484" s="25"/>
      <c r="T1484" s="25" t="s">
        <v>2965</v>
      </c>
      <c r="U1484" s="25" t="s">
        <v>3055</v>
      </c>
      <c r="V1484" s="25" t="s">
        <v>3056</v>
      </c>
      <c r="W1484" s="25"/>
      <c r="X1484" s="25"/>
    </row>
    <row r="1485" spans="1:24" s="40" customFormat="1" hidden="1">
      <c r="A1485" s="26">
        <v>1484</v>
      </c>
      <c r="B1485" s="25" t="s">
        <v>1300</v>
      </c>
      <c r="C1485" s="25" t="s">
        <v>1301</v>
      </c>
      <c r="D1485" s="25" t="s">
        <v>7</v>
      </c>
      <c r="E1485" s="25" t="s">
        <v>8</v>
      </c>
      <c r="F1485" s="25">
        <v>156</v>
      </c>
      <c r="G1485" s="25">
        <v>0</v>
      </c>
      <c r="H1485" s="25">
        <v>0</v>
      </c>
      <c r="I1485" s="17">
        <v>156</v>
      </c>
      <c r="J1485" s="17">
        <v>156</v>
      </c>
      <c r="K1485" s="17">
        <v>0</v>
      </c>
      <c r="L1485" s="17">
        <v>0</v>
      </c>
      <c r="M1485" s="17">
        <v>0</v>
      </c>
      <c r="N1485" s="17">
        <v>0</v>
      </c>
      <c r="O1485" s="25">
        <v>0</v>
      </c>
      <c r="P1485" s="25">
        <v>150</v>
      </c>
      <c r="Q1485" s="25">
        <v>-150</v>
      </c>
      <c r="R1485" s="25">
        <v>250</v>
      </c>
      <c r="S1485" s="25"/>
      <c r="T1485" s="25" t="s">
        <v>2965</v>
      </c>
      <c r="U1485" s="25" t="s">
        <v>3055</v>
      </c>
      <c r="V1485" s="25" t="s">
        <v>3056</v>
      </c>
      <c r="W1485" s="25"/>
      <c r="X1485" s="25"/>
    </row>
    <row r="1486" spans="1:24" s="40" customFormat="1" hidden="1">
      <c r="A1486" s="26">
        <v>1485</v>
      </c>
      <c r="B1486" s="25" t="s">
        <v>1326</v>
      </c>
      <c r="C1486" s="25" t="s">
        <v>1327</v>
      </c>
      <c r="D1486" s="25" t="s">
        <v>7</v>
      </c>
      <c r="E1486" s="25" t="s">
        <v>8</v>
      </c>
      <c r="F1486" s="25">
        <v>4957.8</v>
      </c>
      <c r="G1486" s="25">
        <v>8197.7999999999993</v>
      </c>
      <c r="H1486" s="25">
        <v>9796.6</v>
      </c>
      <c r="I1486" s="17">
        <v>3359</v>
      </c>
      <c r="J1486" s="17">
        <v>0</v>
      </c>
      <c r="K1486" s="17">
        <v>0</v>
      </c>
      <c r="L1486" s="17">
        <v>3359</v>
      </c>
      <c r="M1486" s="17">
        <v>0</v>
      </c>
      <c r="N1486" s="17">
        <v>0</v>
      </c>
      <c r="O1486" s="25">
        <v>3359</v>
      </c>
      <c r="P1486" s="25">
        <v>8000</v>
      </c>
      <c r="Q1486" s="25">
        <v>-4641</v>
      </c>
      <c r="R1486" s="25">
        <v>10000</v>
      </c>
      <c r="S1486" s="25"/>
      <c r="T1486" s="25" t="s">
        <v>2965</v>
      </c>
      <c r="U1486" s="25" t="s">
        <v>3055</v>
      </c>
      <c r="V1486" s="25" t="s">
        <v>3056</v>
      </c>
      <c r="W1486" s="25"/>
      <c r="X1486" s="25"/>
    </row>
    <row r="1487" spans="1:24" hidden="1">
      <c r="A1487" s="18">
        <v>1486</v>
      </c>
      <c r="B1487" s="17" t="s">
        <v>1330</v>
      </c>
      <c r="C1487" s="17" t="s">
        <v>1331</v>
      </c>
      <c r="D1487" s="17" t="s">
        <v>7</v>
      </c>
      <c r="E1487" s="17" t="s">
        <v>8</v>
      </c>
      <c r="F1487" s="17">
        <v>4180</v>
      </c>
      <c r="G1487" s="17">
        <v>0</v>
      </c>
      <c r="H1487" s="17">
        <v>221</v>
      </c>
      <c r="I1487" s="17">
        <v>3959</v>
      </c>
      <c r="J1487" s="17">
        <v>0</v>
      </c>
      <c r="K1487" s="17">
        <v>0</v>
      </c>
      <c r="L1487" s="17">
        <v>3959</v>
      </c>
      <c r="M1487" s="17">
        <v>0</v>
      </c>
      <c r="N1487" s="17">
        <v>0</v>
      </c>
      <c r="O1487" s="17">
        <v>3959</v>
      </c>
      <c r="P1487" s="17">
        <v>1000</v>
      </c>
      <c r="Q1487" s="17">
        <v>2959</v>
      </c>
      <c r="R1487" s="17">
        <v>0</v>
      </c>
      <c r="S1487" s="17"/>
      <c r="T1487" s="17" t="s">
        <v>2965</v>
      </c>
      <c r="U1487" s="17" t="s">
        <v>3055</v>
      </c>
      <c r="V1487" s="17" t="s">
        <v>3056</v>
      </c>
      <c r="W1487" s="17"/>
      <c r="X1487" s="17"/>
    </row>
    <row r="1488" spans="1:24" s="40" customFormat="1" hidden="1">
      <c r="A1488" s="26">
        <v>1487</v>
      </c>
      <c r="B1488" s="25" t="s">
        <v>1336</v>
      </c>
      <c r="C1488" s="25" t="s">
        <v>1337</v>
      </c>
      <c r="D1488" s="25" t="s">
        <v>7</v>
      </c>
      <c r="E1488" s="25" t="s">
        <v>8</v>
      </c>
      <c r="F1488" s="25">
        <v>0</v>
      </c>
      <c r="G1488" s="25">
        <v>297</v>
      </c>
      <c r="H1488" s="25">
        <v>0</v>
      </c>
      <c r="I1488" s="17">
        <v>297</v>
      </c>
      <c r="J1488" s="17">
        <v>0</v>
      </c>
      <c r="K1488" s="17">
        <v>0</v>
      </c>
      <c r="L1488" s="17">
        <v>297</v>
      </c>
      <c r="M1488" s="17">
        <v>0</v>
      </c>
      <c r="N1488" s="17">
        <v>0</v>
      </c>
      <c r="O1488" s="25">
        <v>297</v>
      </c>
      <c r="P1488" s="25">
        <v>300</v>
      </c>
      <c r="Q1488" s="25">
        <v>-3</v>
      </c>
      <c r="R1488" s="25">
        <v>300</v>
      </c>
      <c r="S1488" s="25"/>
      <c r="T1488" s="25" t="s">
        <v>2965</v>
      </c>
      <c r="U1488" s="25" t="s">
        <v>3055</v>
      </c>
      <c r="V1488" s="25" t="s">
        <v>3056</v>
      </c>
      <c r="W1488" s="25"/>
      <c r="X1488" s="25"/>
    </row>
    <row r="1489" spans="1:24" hidden="1">
      <c r="A1489" s="18">
        <v>1488</v>
      </c>
      <c r="B1489" s="17" t="s">
        <v>1340</v>
      </c>
      <c r="C1489" s="17" t="s">
        <v>1341</v>
      </c>
      <c r="D1489" s="17" t="s">
        <v>7</v>
      </c>
      <c r="E1489" s="17" t="s">
        <v>8</v>
      </c>
      <c r="F1489" s="17">
        <v>0</v>
      </c>
      <c r="G1489" s="17">
        <v>0</v>
      </c>
      <c r="H1489" s="17">
        <v>0</v>
      </c>
      <c r="I1489" s="17">
        <v>0</v>
      </c>
      <c r="J1489" s="17">
        <v>0</v>
      </c>
      <c r="K1489" s="17">
        <v>0</v>
      </c>
      <c r="L1489" s="17">
        <v>0</v>
      </c>
      <c r="M1489" s="17">
        <v>0</v>
      </c>
      <c r="N1489" s="17">
        <v>0</v>
      </c>
      <c r="O1489" s="17">
        <v>0</v>
      </c>
      <c r="P1489" s="17">
        <v>0</v>
      </c>
      <c r="Q1489" s="17">
        <v>0</v>
      </c>
      <c r="R1489" s="17">
        <v>0</v>
      </c>
      <c r="S1489" s="17"/>
      <c r="T1489" s="17" t="s">
        <v>2965</v>
      </c>
      <c r="U1489" s="17" t="s">
        <v>3055</v>
      </c>
      <c r="V1489" s="17" t="s">
        <v>3056</v>
      </c>
      <c r="W1489" s="17"/>
      <c r="X1489" s="17"/>
    </row>
    <row r="1490" spans="1:24" hidden="1">
      <c r="A1490" s="18">
        <v>1489</v>
      </c>
      <c r="B1490" s="17" t="s">
        <v>1352</v>
      </c>
      <c r="C1490" s="17" t="s">
        <v>1353</v>
      </c>
      <c r="D1490" s="17" t="s">
        <v>20</v>
      </c>
      <c r="E1490" s="17" t="s">
        <v>8</v>
      </c>
      <c r="F1490" s="17">
        <v>233.9</v>
      </c>
      <c r="G1490" s="17">
        <v>0</v>
      </c>
      <c r="H1490" s="17">
        <v>0</v>
      </c>
      <c r="I1490" s="17">
        <v>233.9</v>
      </c>
      <c r="J1490" s="17">
        <v>0</v>
      </c>
      <c r="K1490" s="17">
        <v>0</v>
      </c>
      <c r="L1490" s="17">
        <v>233.9</v>
      </c>
      <c r="M1490" s="17">
        <v>0</v>
      </c>
      <c r="N1490" s="17">
        <v>0</v>
      </c>
      <c r="O1490" s="17">
        <v>233.9</v>
      </c>
      <c r="P1490" s="17">
        <v>150</v>
      </c>
      <c r="Q1490" s="17">
        <v>83.9</v>
      </c>
      <c r="R1490" s="17">
        <v>0</v>
      </c>
      <c r="S1490" s="17"/>
      <c r="T1490" s="17" t="s">
        <v>2965</v>
      </c>
      <c r="U1490" s="17" t="s">
        <v>3055</v>
      </c>
      <c r="V1490" s="17" t="s">
        <v>3058</v>
      </c>
      <c r="W1490" s="17"/>
      <c r="X1490" s="17"/>
    </row>
    <row r="1491" spans="1:24" hidden="1">
      <c r="A1491" s="18">
        <v>1490</v>
      </c>
      <c r="B1491" s="17" t="s">
        <v>1354</v>
      </c>
      <c r="C1491" s="17" t="s">
        <v>1355</v>
      </c>
      <c r="D1491" s="17" t="s">
        <v>20</v>
      </c>
      <c r="E1491" s="17" t="s">
        <v>8</v>
      </c>
      <c r="F1491" s="17">
        <v>310.89999999999998</v>
      </c>
      <c r="G1491" s="17">
        <v>0</v>
      </c>
      <c r="H1491" s="17">
        <v>0</v>
      </c>
      <c r="I1491" s="17">
        <v>310.89999999999998</v>
      </c>
      <c r="J1491" s="17">
        <v>0</v>
      </c>
      <c r="K1491" s="17">
        <v>0</v>
      </c>
      <c r="L1491" s="17">
        <v>310.89999999999998</v>
      </c>
      <c r="M1491" s="17">
        <v>0</v>
      </c>
      <c r="N1491" s="17">
        <v>0</v>
      </c>
      <c r="O1491" s="17">
        <v>310.89999999999998</v>
      </c>
      <c r="P1491" s="17">
        <v>150</v>
      </c>
      <c r="Q1491" s="17">
        <v>160.89999999999998</v>
      </c>
      <c r="R1491" s="17">
        <v>0</v>
      </c>
      <c r="S1491" s="17"/>
      <c r="T1491" s="17" t="s">
        <v>2965</v>
      </c>
      <c r="U1491" s="17" t="s">
        <v>3055</v>
      </c>
      <c r="V1491" s="17" t="s">
        <v>3058</v>
      </c>
      <c r="W1491" s="17"/>
      <c r="X1491" s="17"/>
    </row>
    <row r="1492" spans="1:24" hidden="1">
      <c r="A1492" s="18">
        <v>1491</v>
      </c>
      <c r="B1492" s="17" t="s">
        <v>1372</v>
      </c>
      <c r="C1492" s="17" t="s">
        <v>1373</v>
      </c>
      <c r="D1492" s="17" t="s">
        <v>7</v>
      </c>
      <c r="E1492" s="17" t="s">
        <v>8</v>
      </c>
      <c r="F1492" s="17">
        <v>231</v>
      </c>
      <c r="G1492" s="17">
        <v>355</v>
      </c>
      <c r="H1492" s="17">
        <v>0</v>
      </c>
      <c r="I1492" s="17">
        <v>586</v>
      </c>
      <c r="J1492" s="17">
        <v>0</v>
      </c>
      <c r="K1492" s="17">
        <v>0</v>
      </c>
      <c r="L1492" s="17">
        <v>586</v>
      </c>
      <c r="M1492" s="17">
        <v>0</v>
      </c>
      <c r="N1492" s="17">
        <v>0</v>
      </c>
      <c r="O1492" s="17">
        <v>586</v>
      </c>
      <c r="P1492" s="17">
        <v>300</v>
      </c>
      <c r="Q1492" s="17">
        <v>286</v>
      </c>
      <c r="R1492" s="17">
        <v>0</v>
      </c>
      <c r="S1492" s="17"/>
      <c r="T1492" s="17" t="s">
        <v>2965</v>
      </c>
      <c r="U1492" s="17" t="s">
        <v>3055</v>
      </c>
      <c r="V1492" s="17" t="s">
        <v>3056</v>
      </c>
      <c r="W1492" s="17"/>
      <c r="X1492" s="17"/>
    </row>
    <row r="1493" spans="1:24" s="40" customFormat="1" hidden="1">
      <c r="A1493" s="26">
        <v>1492</v>
      </c>
      <c r="B1493" s="25" t="s">
        <v>1378</v>
      </c>
      <c r="C1493" s="25" t="s">
        <v>1379</v>
      </c>
      <c r="D1493" s="25" t="s">
        <v>7</v>
      </c>
      <c r="E1493" s="25" t="s">
        <v>8</v>
      </c>
      <c r="F1493" s="25">
        <v>126.3</v>
      </c>
      <c r="G1493" s="25">
        <v>117.6</v>
      </c>
      <c r="H1493" s="25">
        <v>177.3</v>
      </c>
      <c r="I1493" s="17">
        <v>66.599999999999994</v>
      </c>
      <c r="J1493" s="17">
        <v>0</v>
      </c>
      <c r="K1493" s="17">
        <v>0</v>
      </c>
      <c r="L1493" s="17">
        <v>66.599999999999994</v>
      </c>
      <c r="M1493" s="17">
        <v>0</v>
      </c>
      <c r="N1493" s="17">
        <v>0</v>
      </c>
      <c r="O1493" s="25">
        <v>66.599999999999994</v>
      </c>
      <c r="P1493" s="25">
        <v>150</v>
      </c>
      <c r="Q1493" s="25">
        <v>-83.4</v>
      </c>
      <c r="R1493" s="25">
        <v>400</v>
      </c>
      <c r="S1493" s="25"/>
      <c r="T1493" s="25" t="s">
        <v>2965</v>
      </c>
      <c r="U1493" s="25" t="s">
        <v>3055</v>
      </c>
      <c r="V1493" s="25" t="s">
        <v>3056</v>
      </c>
      <c r="W1493" s="25"/>
      <c r="X1493" s="25"/>
    </row>
    <row r="1494" spans="1:24" hidden="1">
      <c r="A1494" s="18">
        <v>1493</v>
      </c>
      <c r="B1494" s="17" t="s">
        <v>1380</v>
      </c>
      <c r="C1494" s="17" t="s">
        <v>1381</v>
      </c>
      <c r="D1494" s="17" t="s">
        <v>7</v>
      </c>
      <c r="E1494" s="17" t="s">
        <v>8</v>
      </c>
      <c r="F1494" s="17">
        <v>359.4</v>
      </c>
      <c r="G1494" s="17">
        <v>0</v>
      </c>
      <c r="H1494" s="17">
        <v>45.6</v>
      </c>
      <c r="I1494" s="17">
        <v>313.8</v>
      </c>
      <c r="J1494" s="17">
        <v>0</v>
      </c>
      <c r="K1494" s="17">
        <v>0</v>
      </c>
      <c r="L1494" s="17">
        <v>313.8</v>
      </c>
      <c r="M1494" s="17">
        <v>0</v>
      </c>
      <c r="N1494" s="17">
        <v>0</v>
      </c>
      <c r="O1494" s="17">
        <v>313.8</v>
      </c>
      <c r="P1494" s="17">
        <v>200</v>
      </c>
      <c r="Q1494" s="17">
        <v>113.80000000000001</v>
      </c>
      <c r="R1494" s="17">
        <v>0</v>
      </c>
      <c r="S1494" s="17"/>
      <c r="T1494" s="17" t="s">
        <v>2965</v>
      </c>
      <c r="U1494" s="17" t="s">
        <v>3055</v>
      </c>
      <c r="V1494" s="17" t="s">
        <v>3056</v>
      </c>
      <c r="W1494" s="17"/>
      <c r="X1494" s="17"/>
    </row>
    <row r="1495" spans="1:24" hidden="1">
      <c r="A1495" s="18">
        <v>1494</v>
      </c>
      <c r="B1495" s="17" t="s">
        <v>1394</v>
      </c>
      <c r="C1495" s="17" t="s">
        <v>1395</v>
      </c>
      <c r="D1495" s="17" t="s">
        <v>7</v>
      </c>
      <c r="E1495" s="17" t="s">
        <v>8</v>
      </c>
      <c r="F1495" s="17">
        <v>3276</v>
      </c>
      <c r="G1495" s="17">
        <v>3279</v>
      </c>
      <c r="H1495" s="17">
        <v>1743</v>
      </c>
      <c r="I1495" s="17">
        <v>4812</v>
      </c>
      <c r="J1495" s="17">
        <v>1572</v>
      </c>
      <c r="K1495" s="17">
        <v>0</v>
      </c>
      <c r="L1495" s="17">
        <v>3240</v>
      </c>
      <c r="M1495" s="17">
        <v>0</v>
      </c>
      <c r="N1495" s="17">
        <v>0</v>
      </c>
      <c r="O1495" s="17">
        <v>3240</v>
      </c>
      <c r="P1495" s="17">
        <v>2500</v>
      </c>
      <c r="Q1495" s="17">
        <v>740</v>
      </c>
      <c r="R1495" s="17">
        <v>8000</v>
      </c>
      <c r="S1495" s="17"/>
      <c r="T1495" s="17" t="s">
        <v>2965</v>
      </c>
      <c r="U1495" s="17" t="s">
        <v>3055</v>
      </c>
      <c r="V1495" s="17" t="s">
        <v>3056</v>
      </c>
      <c r="W1495" s="17"/>
      <c r="X1495" s="17"/>
    </row>
    <row r="1496" spans="1:24" hidden="1">
      <c r="A1496" s="18">
        <v>1495</v>
      </c>
      <c r="B1496" s="17" t="s">
        <v>1440</v>
      </c>
      <c r="C1496" s="17" t="s">
        <v>1441</v>
      </c>
      <c r="D1496" s="17" t="s">
        <v>20</v>
      </c>
      <c r="E1496" s="17" t="s">
        <v>8</v>
      </c>
      <c r="F1496" s="17">
        <v>336.9</v>
      </c>
      <c r="G1496" s="17">
        <v>0</v>
      </c>
      <c r="H1496" s="17">
        <v>83.4</v>
      </c>
      <c r="I1496" s="17">
        <v>253.5</v>
      </c>
      <c r="J1496" s="17">
        <v>0</v>
      </c>
      <c r="K1496" s="17">
        <v>0</v>
      </c>
      <c r="L1496" s="17">
        <v>253.5</v>
      </c>
      <c r="M1496" s="17">
        <v>0</v>
      </c>
      <c r="N1496" s="17">
        <v>0</v>
      </c>
      <c r="O1496" s="17">
        <v>253.5</v>
      </c>
      <c r="P1496" s="17">
        <v>250</v>
      </c>
      <c r="Q1496" s="17">
        <v>3.5</v>
      </c>
      <c r="R1496" s="17">
        <v>100</v>
      </c>
      <c r="S1496" s="17"/>
      <c r="T1496" s="17" t="s">
        <v>2965</v>
      </c>
      <c r="U1496" s="17" t="s">
        <v>3055</v>
      </c>
      <c r="V1496" s="17" t="s">
        <v>3056</v>
      </c>
      <c r="W1496" s="17"/>
      <c r="X1496" s="17"/>
    </row>
    <row r="1497" spans="1:24" hidden="1">
      <c r="A1497" s="18">
        <v>1496</v>
      </c>
      <c r="B1497" s="17" t="s">
        <v>1510</v>
      </c>
      <c r="C1497" s="17" t="s">
        <v>1511</v>
      </c>
      <c r="D1497" s="17" t="s">
        <v>17</v>
      </c>
      <c r="E1497" s="17" t="s">
        <v>8</v>
      </c>
      <c r="F1497" s="17">
        <v>130</v>
      </c>
      <c r="G1497" s="17">
        <v>150</v>
      </c>
      <c r="H1497" s="17">
        <v>60</v>
      </c>
      <c r="I1497" s="17">
        <v>220</v>
      </c>
      <c r="J1497" s="17">
        <v>0</v>
      </c>
      <c r="K1497" s="17">
        <v>0</v>
      </c>
      <c r="L1497" s="17">
        <v>220</v>
      </c>
      <c r="M1497" s="17">
        <v>0</v>
      </c>
      <c r="N1497" s="17">
        <v>0</v>
      </c>
      <c r="O1497" s="17">
        <v>220</v>
      </c>
      <c r="P1497" s="17">
        <v>200</v>
      </c>
      <c r="Q1497" s="17">
        <v>20</v>
      </c>
      <c r="R1497" s="17">
        <v>150</v>
      </c>
      <c r="S1497" s="17"/>
      <c r="T1497" s="17" t="s">
        <v>2982</v>
      </c>
      <c r="U1497" s="17" t="s">
        <v>3060</v>
      </c>
      <c r="V1497" s="17" t="s">
        <v>3058</v>
      </c>
      <c r="W1497" s="17"/>
      <c r="X1497" s="17"/>
    </row>
    <row r="1498" spans="1:24" hidden="1">
      <c r="A1498" s="18">
        <v>1497</v>
      </c>
      <c r="B1498" s="17" t="s">
        <v>1546</v>
      </c>
      <c r="C1498" s="17" t="s">
        <v>1547</v>
      </c>
      <c r="D1498" s="17" t="s">
        <v>20</v>
      </c>
      <c r="E1498" s="17" t="s">
        <v>8</v>
      </c>
      <c r="F1498" s="17">
        <v>510.14</v>
      </c>
      <c r="G1498" s="17">
        <v>0</v>
      </c>
      <c r="H1498" s="17">
        <v>0</v>
      </c>
      <c r="I1498" s="17">
        <v>510.14</v>
      </c>
      <c r="J1498" s="17">
        <v>0</v>
      </c>
      <c r="K1498" s="17">
        <v>0</v>
      </c>
      <c r="L1498" s="17">
        <v>510.14</v>
      </c>
      <c r="M1498" s="17">
        <v>0</v>
      </c>
      <c r="N1498" s="17">
        <v>0</v>
      </c>
      <c r="O1498" s="17">
        <v>510.14</v>
      </c>
      <c r="P1498" s="17">
        <v>0</v>
      </c>
      <c r="Q1498" s="17">
        <v>510.14</v>
      </c>
      <c r="R1498" s="17">
        <v>0</v>
      </c>
      <c r="S1498" s="17"/>
      <c r="T1498" s="17" t="s">
        <v>3000</v>
      </c>
      <c r="U1498" s="17" t="s">
        <v>3059</v>
      </c>
      <c r="V1498" s="17" t="s">
        <v>3056</v>
      </c>
      <c r="W1498" s="17"/>
      <c r="X1498" s="17"/>
    </row>
    <row r="1499" spans="1:24" hidden="1">
      <c r="A1499" s="18">
        <v>1498</v>
      </c>
      <c r="B1499" s="17" t="s">
        <v>1121</v>
      </c>
      <c r="C1499" s="17" t="s">
        <v>1122</v>
      </c>
      <c r="D1499" s="17" t="s">
        <v>17</v>
      </c>
      <c r="E1499" s="17" t="s">
        <v>8</v>
      </c>
      <c r="F1499" s="17">
        <v>11100</v>
      </c>
      <c r="G1499" s="17">
        <v>0</v>
      </c>
      <c r="H1499" s="17">
        <v>1000</v>
      </c>
      <c r="I1499" s="17">
        <v>10100</v>
      </c>
      <c r="J1499" s="17">
        <v>0</v>
      </c>
      <c r="K1499" s="17">
        <v>0</v>
      </c>
      <c r="L1499" s="17">
        <v>10100</v>
      </c>
      <c r="M1499" s="17">
        <v>0</v>
      </c>
      <c r="N1499" s="17">
        <v>0</v>
      </c>
      <c r="O1499" s="17">
        <v>10100</v>
      </c>
      <c r="P1499" s="17">
        <v>2000</v>
      </c>
      <c r="Q1499" s="17">
        <v>8100</v>
      </c>
      <c r="R1499" s="17">
        <v>0</v>
      </c>
      <c r="S1499" s="17"/>
      <c r="T1499" s="17" t="s">
        <v>2972</v>
      </c>
      <c r="U1499" s="17" t="s">
        <v>3057</v>
      </c>
      <c r="V1499" s="17" t="s">
        <v>3058</v>
      </c>
      <c r="W1499" s="17"/>
      <c r="X1499" s="17"/>
    </row>
    <row r="1500" spans="1:24" hidden="1">
      <c r="A1500" s="18">
        <v>1499</v>
      </c>
      <c r="B1500" s="17" t="s">
        <v>1568</v>
      </c>
      <c r="C1500" s="17" t="s">
        <v>1569</v>
      </c>
      <c r="D1500" s="17" t="s">
        <v>20</v>
      </c>
      <c r="E1500" s="17" t="s">
        <v>8</v>
      </c>
      <c r="F1500" s="17">
        <v>5920.2</v>
      </c>
      <c r="G1500" s="17">
        <v>0</v>
      </c>
      <c r="H1500" s="17">
        <v>68.400000000000006</v>
      </c>
      <c r="I1500" s="17">
        <v>5851.8</v>
      </c>
      <c r="J1500" s="17">
        <v>0</v>
      </c>
      <c r="K1500" s="17">
        <v>0</v>
      </c>
      <c r="L1500" s="17">
        <v>5851.8</v>
      </c>
      <c r="M1500" s="17">
        <v>0</v>
      </c>
      <c r="N1500" s="17">
        <v>0</v>
      </c>
      <c r="O1500" s="17">
        <v>5851.8</v>
      </c>
      <c r="P1500" s="17">
        <v>0</v>
      </c>
      <c r="Q1500" s="17">
        <v>5851.8</v>
      </c>
      <c r="R1500" s="17">
        <v>0</v>
      </c>
      <c r="S1500" s="17"/>
      <c r="T1500" s="17" t="s">
        <v>3000</v>
      </c>
      <c r="U1500" s="17" t="s">
        <v>3059</v>
      </c>
      <c r="V1500" s="17" t="s">
        <v>3056</v>
      </c>
      <c r="W1500" s="17"/>
      <c r="X1500" s="17"/>
    </row>
    <row r="1501" spans="1:24" hidden="1">
      <c r="A1501" s="18">
        <v>1500</v>
      </c>
      <c r="B1501" s="17" t="s">
        <v>1570</v>
      </c>
      <c r="C1501" s="17" t="s">
        <v>1571</v>
      </c>
      <c r="D1501" s="17" t="s">
        <v>20</v>
      </c>
      <c r="E1501" s="17" t="s">
        <v>8</v>
      </c>
      <c r="F1501" s="17">
        <v>9521.7000000000007</v>
      </c>
      <c r="G1501" s="17">
        <v>0</v>
      </c>
      <c r="H1501" s="17">
        <v>1180</v>
      </c>
      <c r="I1501" s="17">
        <v>8341.7000000000007</v>
      </c>
      <c r="J1501" s="17">
        <v>0</v>
      </c>
      <c r="K1501" s="17">
        <v>0</v>
      </c>
      <c r="L1501" s="17">
        <v>8341.7000000000007</v>
      </c>
      <c r="M1501" s="17">
        <v>0</v>
      </c>
      <c r="N1501" s="17">
        <v>0</v>
      </c>
      <c r="O1501" s="17">
        <v>8341.7000000000007</v>
      </c>
      <c r="P1501" s="17">
        <v>0</v>
      </c>
      <c r="Q1501" s="17">
        <v>8341.7000000000007</v>
      </c>
      <c r="R1501" s="17">
        <v>0</v>
      </c>
      <c r="S1501" s="17"/>
      <c r="T1501" s="17" t="s">
        <v>3000</v>
      </c>
      <c r="U1501" s="17" t="s">
        <v>3059</v>
      </c>
      <c r="V1501" s="17" t="s">
        <v>3056</v>
      </c>
      <c r="W1501" s="17"/>
      <c r="X1501" s="17"/>
    </row>
    <row r="1502" spans="1:24" hidden="1">
      <c r="A1502" s="18">
        <v>1501</v>
      </c>
      <c r="B1502" s="17" t="s">
        <v>1582</v>
      </c>
      <c r="C1502" s="17" t="s">
        <v>1583</v>
      </c>
      <c r="D1502" s="17" t="s">
        <v>17</v>
      </c>
      <c r="E1502" s="17" t="s">
        <v>8</v>
      </c>
      <c r="F1502" s="17">
        <v>0</v>
      </c>
      <c r="G1502" s="17">
        <v>352</v>
      </c>
      <c r="H1502" s="17">
        <v>50</v>
      </c>
      <c r="I1502" s="17">
        <v>302</v>
      </c>
      <c r="J1502" s="17">
        <v>0</v>
      </c>
      <c r="K1502" s="17">
        <v>0</v>
      </c>
      <c r="L1502" s="17">
        <v>302</v>
      </c>
      <c r="M1502" s="17">
        <v>0</v>
      </c>
      <c r="N1502" s="17">
        <v>0</v>
      </c>
      <c r="O1502" s="17">
        <v>302</v>
      </c>
      <c r="P1502" s="17">
        <v>125</v>
      </c>
      <c r="Q1502" s="17">
        <v>177</v>
      </c>
      <c r="R1502" s="17">
        <v>250</v>
      </c>
      <c r="S1502" s="17"/>
      <c r="T1502" s="17" t="s">
        <v>2972</v>
      </c>
      <c r="U1502" s="17" t="s">
        <v>3060</v>
      </c>
      <c r="V1502" s="17" t="s">
        <v>3058</v>
      </c>
      <c r="W1502" s="17"/>
      <c r="X1502" s="17"/>
    </row>
    <row r="1503" spans="1:24" hidden="1">
      <c r="A1503" s="18">
        <v>1502</v>
      </c>
      <c r="B1503" s="17" t="s">
        <v>1596</v>
      </c>
      <c r="C1503" s="17" t="s">
        <v>1597</v>
      </c>
      <c r="D1503" s="17" t="s">
        <v>17</v>
      </c>
      <c r="E1503" s="17" t="s">
        <v>8</v>
      </c>
      <c r="F1503" s="17">
        <v>7500</v>
      </c>
      <c r="G1503" s="17">
        <v>0</v>
      </c>
      <c r="H1503" s="17">
        <v>250</v>
      </c>
      <c r="I1503" s="17">
        <v>7250</v>
      </c>
      <c r="J1503" s="17">
        <v>0</v>
      </c>
      <c r="K1503" s="17">
        <v>0</v>
      </c>
      <c r="L1503" s="17">
        <v>7250</v>
      </c>
      <c r="M1503" s="17">
        <v>0</v>
      </c>
      <c r="N1503" s="17">
        <v>0</v>
      </c>
      <c r="O1503" s="17">
        <v>7250</v>
      </c>
      <c r="P1503" s="17">
        <v>250</v>
      </c>
      <c r="Q1503" s="17">
        <v>7000</v>
      </c>
      <c r="R1503" s="17">
        <v>0</v>
      </c>
      <c r="S1503" s="17"/>
      <c r="T1503" s="17" t="s">
        <v>2972</v>
      </c>
      <c r="U1503" s="17" t="s">
        <v>3060</v>
      </c>
      <c r="V1503" s="17" t="s">
        <v>3056</v>
      </c>
      <c r="W1503" s="17"/>
      <c r="X1503" s="17"/>
    </row>
    <row r="1504" spans="1:24" hidden="1">
      <c r="A1504" s="18">
        <v>1503</v>
      </c>
      <c r="B1504" s="17" t="s">
        <v>1155</v>
      </c>
      <c r="C1504" s="17" t="s">
        <v>1156</v>
      </c>
      <c r="D1504" s="17" t="s">
        <v>17</v>
      </c>
      <c r="E1504" s="17" t="s">
        <v>8</v>
      </c>
      <c r="F1504" s="17">
        <v>94</v>
      </c>
      <c r="G1504" s="17">
        <v>100</v>
      </c>
      <c r="H1504" s="17">
        <v>63</v>
      </c>
      <c r="I1504" s="17">
        <v>131</v>
      </c>
      <c r="J1504" s="17">
        <v>0</v>
      </c>
      <c r="K1504" s="17">
        <v>0</v>
      </c>
      <c r="L1504" s="17">
        <v>131</v>
      </c>
      <c r="M1504" s="17">
        <v>0</v>
      </c>
      <c r="N1504" s="17">
        <v>0</v>
      </c>
      <c r="O1504" s="17">
        <v>131</v>
      </c>
      <c r="P1504" s="17">
        <v>50</v>
      </c>
      <c r="Q1504" s="17">
        <v>81</v>
      </c>
      <c r="R1504" s="17">
        <v>100</v>
      </c>
      <c r="S1504" s="17"/>
      <c r="T1504" s="17" t="s">
        <v>2963</v>
      </c>
      <c r="U1504" s="17" t="s">
        <v>3057</v>
      </c>
      <c r="V1504" s="17" t="s">
        <v>3056</v>
      </c>
      <c r="W1504" s="17"/>
      <c r="X1504" s="17"/>
    </row>
    <row r="1505" spans="1:24" hidden="1">
      <c r="A1505" s="18">
        <v>1504</v>
      </c>
      <c r="B1505" s="17" t="s">
        <v>1205</v>
      </c>
      <c r="C1505" s="17" t="s">
        <v>1206</v>
      </c>
      <c r="D1505" s="17" t="s">
        <v>17</v>
      </c>
      <c r="E1505" s="17" t="s">
        <v>8</v>
      </c>
      <c r="F1505" s="17">
        <v>83</v>
      </c>
      <c r="G1505" s="17">
        <v>0</v>
      </c>
      <c r="H1505" s="17">
        <v>65</v>
      </c>
      <c r="I1505" s="17">
        <v>18</v>
      </c>
      <c r="J1505" s="17">
        <v>0</v>
      </c>
      <c r="K1505" s="17">
        <v>0</v>
      </c>
      <c r="L1505" s="17">
        <v>18</v>
      </c>
      <c r="M1505" s="17">
        <v>0</v>
      </c>
      <c r="N1505" s="17">
        <v>0</v>
      </c>
      <c r="O1505" s="17">
        <v>18</v>
      </c>
      <c r="P1505" s="17">
        <v>100</v>
      </c>
      <c r="Q1505" s="17">
        <v>-82</v>
      </c>
      <c r="R1505" s="17">
        <v>0</v>
      </c>
      <c r="S1505" s="17"/>
      <c r="T1505" s="17" t="s">
        <v>3052</v>
      </c>
      <c r="U1505" s="17" t="s">
        <v>3057</v>
      </c>
      <c r="V1505" s="17" t="s">
        <v>3056</v>
      </c>
      <c r="W1505" s="17"/>
      <c r="X1505" s="17"/>
    </row>
    <row r="1506" spans="1:24" hidden="1">
      <c r="A1506" s="18">
        <v>1505</v>
      </c>
      <c r="B1506" s="17" t="s">
        <v>1512</v>
      </c>
      <c r="C1506" s="17" t="s">
        <v>1513</v>
      </c>
      <c r="D1506" s="17" t="s">
        <v>17</v>
      </c>
      <c r="E1506" s="17" t="s">
        <v>8</v>
      </c>
      <c r="F1506" s="17">
        <v>0</v>
      </c>
      <c r="G1506" s="17">
        <v>600</v>
      </c>
      <c r="H1506" s="17">
        <v>75</v>
      </c>
      <c r="I1506" s="17">
        <v>525</v>
      </c>
      <c r="J1506" s="17">
        <v>0</v>
      </c>
      <c r="K1506" s="17">
        <v>0</v>
      </c>
      <c r="L1506" s="17">
        <v>525</v>
      </c>
      <c r="M1506" s="17">
        <v>0</v>
      </c>
      <c r="N1506" s="17">
        <v>0</v>
      </c>
      <c r="O1506" s="17">
        <v>525</v>
      </c>
      <c r="P1506" s="17">
        <v>250</v>
      </c>
      <c r="Q1506" s="17">
        <v>275</v>
      </c>
      <c r="R1506" s="17">
        <v>1000</v>
      </c>
      <c r="S1506" s="17"/>
      <c r="T1506" s="17" t="s">
        <v>2974</v>
      </c>
      <c r="U1506" s="17" t="s">
        <v>3057</v>
      </c>
      <c r="V1506" s="17" t="s">
        <v>3056</v>
      </c>
      <c r="W1506" s="17"/>
      <c r="X1506" s="17"/>
    </row>
    <row r="1507" spans="1:24" hidden="1">
      <c r="A1507" s="18">
        <v>1506</v>
      </c>
      <c r="B1507" s="17" t="s">
        <v>1592</v>
      </c>
      <c r="C1507" s="17" t="s">
        <v>1593</v>
      </c>
      <c r="D1507" s="17" t="s">
        <v>20</v>
      </c>
      <c r="E1507" s="17" t="s">
        <v>8</v>
      </c>
      <c r="F1507" s="17">
        <v>426.78</v>
      </c>
      <c r="G1507" s="17">
        <v>991</v>
      </c>
      <c r="H1507" s="17">
        <v>464.28</v>
      </c>
      <c r="I1507" s="17">
        <v>953.5</v>
      </c>
      <c r="J1507" s="17">
        <v>0</v>
      </c>
      <c r="K1507" s="17">
        <v>0</v>
      </c>
      <c r="L1507" s="17">
        <v>953.5</v>
      </c>
      <c r="M1507" s="17">
        <v>0</v>
      </c>
      <c r="N1507" s="17">
        <v>0</v>
      </c>
      <c r="O1507" s="17">
        <v>953.5</v>
      </c>
      <c r="P1507" s="17">
        <v>1000</v>
      </c>
      <c r="Q1507" s="17">
        <v>-46.5</v>
      </c>
      <c r="R1507" s="17">
        <v>750</v>
      </c>
      <c r="S1507" s="17"/>
      <c r="T1507" s="17" t="s">
        <v>2972</v>
      </c>
      <c r="U1507" s="17" t="s">
        <v>3057</v>
      </c>
      <c r="V1507" s="17" t="s">
        <v>3056</v>
      </c>
      <c r="W1507" s="17"/>
      <c r="X1507" s="17"/>
    </row>
    <row r="1508" spans="1:24" hidden="1">
      <c r="A1508" s="18">
        <v>1507</v>
      </c>
      <c r="B1508" s="17" t="s">
        <v>1612</v>
      </c>
      <c r="C1508" s="17" t="s">
        <v>1613</v>
      </c>
      <c r="D1508" s="17" t="s">
        <v>17</v>
      </c>
      <c r="E1508" s="17" t="s">
        <v>8</v>
      </c>
      <c r="F1508" s="17">
        <v>2700</v>
      </c>
      <c r="G1508" s="17">
        <v>2900</v>
      </c>
      <c r="H1508" s="17">
        <v>4400</v>
      </c>
      <c r="I1508" s="17">
        <v>1200</v>
      </c>
      <c r="J1508" s="17">
        <v>0</v>
      </c>
      <c r="K1508" s="17">
        <v>0</v>
      </c>
      <c r="L1508" s="17">
        <v>1200</v>
      </c>
      <c r="M1508" s="17">
        <v>2100</v>
      </c>
      <c r="N1508" s="17">
        <v>0</v>
      </c>
      <c r="O1508" s="17">
        <v>3300</v>
      </c>
      <c r="P1508" s="17">
        <v>2500</v>
      </c>
      <c r="Q1508" s="17">
        <v>800</v>
      </c>
      <c r="R1508" s="17">
        <v>5000</v>
      </c>
      <c r="S1508" s="17"/>
      <c r="T1508" s="17" t="s">
        <v>2972</v>
      </c>
      <c r="U1508" s="17" t="s">
        <v>3057</v>
      </c>
      <c r="V1508" s="17" t="s">
        <v>3056</v>
      </c>
      <c r="W1508" s="17"/>
      <c r="X1508" s="17"/>
    </row>
    <row r="1509" spans="1:24" s="40" customFormat="1" hidden="1">
      <c r="A1509" s="26">
        <v>1508</v>
      </c>
      <c r="B1509" s="25" t="s">
        <v>1644</v>
      </c>
      <c r="C1509" s="25" t="s">
        <v>1645</v>
      </c>
      <c r="D1509" s="25" t="s">
        <v>17</v>
      </c>
      <c r="E1509" s="25" t="s">
        <v>8</v>
      </c>
      <c r="F1509" s="25">
        <v>2700</v>
      </c>
      <c r="G1509" s="25">
        <v>0</v>
      </c>
      <c r="H1509" s="25">
        <v>2700</v>
      </c>
      <c r="I1509" s="17">
        <v>0</v>
      </c>
      <c r="J1509" s="17">
        <v>0</v>
      </c>
      <c r="K1509" s="17">
        <v>0</v>
      </c>
      <c r="L1509" s="17">
        <v>0</v>
      </c>
      <c r="M1509" s="17">
        <v>0</v>
      </c>
      <c r="N1509" s="17">
        <v>0</v>
      </c>
      <c r="O1509" s="25">
        <v>0</v>
      </c>
      <c r="P1509" s="25">
        <v>1000</v>
      </c>
      <c r="Q1509" s="25">
        <v>-1000</v>
      </c>
      <c r="R1509" s="25">
        <v>0</v>
      </c>
      <c r="S1509" s="25"/>
      <c r="T1509" s="25" t="s">
        <v>2972</v>
      </c>
      <c r="U1509" s="25" t="s">
        <v>3057</v>
      </c>
      <c r="V1509" s="25" t="s">
        <v>3056</v>
      </c>
      <c r="W1509" s="25"/>
      <c r="X1509" s="25"/>
    </row>
    <row r="1510" spans="1:24" hidden="1">
      <c r="A1510" s="18">
        <v>1509</v>
      </c>
      <c r="B1510" s="17" t="s">
        <v>1646</v>
      </c>
      <c r="C1510" s="17" t="s">
        <v>1647</v>
      </c>
      <c r="D1510" s="17" t="s">
        <v>17</v>
      </c>
      <c r="E1510" s="17" t="s">
        <v>8</v>
      </c>
      <c r="F1510" s="17">
        <v>1000</v>
      </c>
      <c r="G1510" s="17">
        <v>1600</v>
      </c>
      <c r="H1510" s="17">
        <v>1100</v>
      </c>
      <c r="I1510" s="17">
        <v>1500</v>
      </c>
      <c r="J1510" s="17">
        <v>0</v>
      </c>
      <c r="K1510" s="17">
        <v>0</v>
      </c>
      <c r="L1510" s="17">
        <v>1500</v>
      </c>
      <c r="M1510" s="17">
        <v>0</v>
      </c>
      <c r="N1510" s="17">
        <v>0</v>
      </c>
      <c r="O1510" s="17">
        <v>1500</v>
      </c>
      <c r="P1510" s="17">
        <v>1500</v>
      </c>
      <c r="Q1510" s="17">
        <v>0</v>
      </c>
      <c r="R1510" s="17">
        <v>1600</v>
      </c>
      <c r="S1510" s="17"/>
      <c r="T1510" s="17" t="s">
        <v>2972</v>
      </c>
      <c r="U1510" s="17" t="s">
        <v>3057</v>
      </c>
      <c r="V1510" s="17" t="s">
        <v>3056</v>
      </c>
      <c r="W1510" s="17"/>
      <c r="X1510" s="17"/>
    </row>
    <row r="1511" spans="1:24" hidden="1">
      <c r="A1511" s="18">
        <v>1510</v>
      </c>
      <c r="B1511" s="17" t="s">
        <v>1718</v>
      </c>
      <c r="C1511" s="17" t="s">
        <v>1719</v>
      </c>
      <c r="D1511" s="17" t="s">
        <v>17</v>
      </c>
      <c r="E1511" s="17" t="s">
        <v>8</v>
      </c>
      <c r="F1511" s="17">
        <v>270</v>
      </c>
      <c r="G1511" s="17">
        <v>0</v>
      </c>
      <c r="H1511" s="17">
        <v>0</v>
      </c>
      <c r="I1511" s="17">
        <v>270</v>
      </c>
      <c r="J1511" s="17">
        <v>0</v>
      </c>
      <c r="K1511" s="17">
        <v>0</v>
      </c>
      <c r="L1511" s="17">
        <v>270</v>
      </c>
      <c r="M1511" s="17">
        <v>0</v>
      </c>
      <c r="N1511" s="17">
        <v>0</v>
      </c>
      <c r="O1511" s="17">
        <v>270</v>
      </c>
      <c r="P1511" s="17">
        <v>250</v>
      </c>
      <c r="Q1511" s="17">
        <v>20</v>
      </c>
      <c r="R1511" s="17">
        <v>0</v>
      </c>
      <c r="S1511" s="17"/>
      <c r="T1511" s="17" t="s">
        <v>2972</v>
      </c>
      <c r="U1511" s="17" t="s">
        <v>3060</v>
      </c>
      <c r="V1511" s="17" t="s">
        <v>3058</v>
      </c>
      <c r="W1511" s="17"/>
      <c r="X1511" s="17"/>
    </row>
    <row r="1512" spans="1:24" hidden="1">
      <c r="A1512" s="18">
        <v>1511</v>
      </c>
      <c r="B1512" s="17" t="s">
        <v>1726</v>
      </c>
      <c r="C1512" s="17" t="s">
        <v>1727</v>
      </c>
      <c r="D1512" s="17" t="s">
        <v>17</v>
      </c>
      <c r="E1512" s="17" t="s">
        <v>8</v>
      </c>
      <c r="F1512" s="17">
        <v>1410</v>
      </c>
      <c r="G1512" s="17">
        <v>1340</v>
      </c>
      <c r="H1512" s="17">
        <v>930</v>
      </c>
      <c r="I1512" s="17">
        <v>1820</v>
      </c>
      <c r="J1512" s="17">
        <v>0</v>
      </c>
      <c r="K1512" s="17">
        <v>0</v>
      </c>
      <c r="L1512" s="17">
        <v>1820</v>
      </c>
      <c r="M1512" s="17">
        <v>0</v>
      </c>
      <c r="N1512" s="17">
        <v>0</v>
      </c>
      <c r="O1512" s="17">
        <v>1820</v>
      </c>
      <c r="P1512" s="17">
        <v>450</v>
      </c>
      <c r="Q1512" s="17">
        <v>1370</v>
      </c>
      <c r="R1512" s="17">
        <v>1000</v>
      </c>
      <c r="S1512" s="17"/>
      <c r="T1512" s="17" t="s">
        <v>3006</v>
      </c>
      <c r="U1512" s="17" t="s">
        <v>3060</v>
      </c>
      <c r="V1512" s="17" t="s">
        <v>3058</v>
      </c>
      <c r="W1512" s="17"/>
      <c r="X1512" s="17"/>
    </row>
    <row r="1513" spans="1:24" s="40" customFormat="1">
      <c r="A1513" s="26">
        <v>1512</v>
      </c>
      <c r="B1513" s="25" t="s">
        <v>1730</v>
      </c>
      <c r="C1513" s="25" t="s">
        <v>1731</v>
      </c>
      <c r="D1513" s="25" t="s">
        <v>17</v>
      </c>
      <c r="E1513" s="25" t="s">
        <v>8</v>
      </c>
      <c r="F1513" s="25">
        <v>3720</v>
      </c>
      <c r="G1513" s="25">
        <v>640</v>
      </c>
      <c r="H1513" s="25">
        <v>2459</v>
      </c>
      <c r="I1513" s="17">
        <v>1901</v>
      </c>
      <c r="J1513" s="17">
        <v>0</v>
      </c>
      <c r="K1513" s="17">
        <v>0</v>
      </c>
      <c r="L1513" s="17">
        <v>1901</v>
      </c>
      <c r="M1513" s="17">
        <v>0</v>
      </c>
      <c r="N1513" s="17">
        <v>0</v>
      </c>
      <c r="O1513" s="25">
        <v>1901</v>
      </c>
      <c r="P1513" s="25">
        <v>2000</v>
      </c>
      <c r="Q1513" s="25">
        <v>-99</v>
      </c>
      <c r="R1513" s="25">
        <v>3000</v>
      </c>
      <c r="S1513" s="25"/>
      <c r="T1513" s="25" t="s">
        <v>3006</v>
      </c>
      <c r="U1513" s="25" t="s">
        <v>3060</v>
      </c>
      <c r="V1513" s="25" t="s">
        <v>3061</v>
      </c>
      <c r="W1513" s="25"/>
      <c r="X1513" s="25"/>
    </row>
    <row r="1514" spans="1:24" s="40" customFormat="1">
      <c r="A1514" s="26">
        <v>1513</v>
      </c>
      <c r="B1514" s="25" t="s">
        <v>1732</v>
      </c>
      <c r="C1514" s="25" t="s">
        <v>1733</v>
      </c>
      <c r="D1514" s="25" t="s">
        <v>17</v>
      </c>
      <c r="E1514" s="25" t="s">
        <v>8</v>
      </c>
      <c r="F1514" s="25">
        <v>1770</v>
      </c>
      <c r="G1514" s="25">
        <v>6495</v>
      </c>
      <c r="H1514" s="25">
        <v>8238</v>
      </c>
      <c r="I1514" s="17">
        <v>27</v>
      </c>
      <c r="J1514" s="17">
        <v>2</v>
      </c>
      <c r="K1514" s="17">
        <v>0</v>
      </c>
      <c r="L1514" s="17">
        <v>25</v>
      </c>
      <c r="M1514" s="17">
        <v>735</v>
      </c>
      <c r="N1514" s="17">
        <v>0</v>
      </c>
      <c r="O1514" s="25">
        <v>760</v>
      </c>
      <c r="P1514" s="25">
        <v>2500</v>
      </c>
      <c r="Q1514" s="25">
        <v>-1740</v>
      </c>
      <c r="R1514" s="25">
        <v>12000</v>
      </c>
      <c r="S1514" s="25"/>
      <c r="T1514" s="25" t="s">
        <v>3006</v>
      </c>
      <c r="U1514" s="25" t="s">
        <v>3060</v>
      </c>
      <c r="V1514" s="25" t="s">
        <v>3061</v>
      </c>
      <c r="W1514" s="25"/>
      <c r="X1514" s="25"/>
    </row>
    <row r="1515" spans="1:24" hidden="1">
      <c r="A1515" s="18">
        <v>1514</v>
      </c>
      <c r="B1515" s="17" t="s">
        <v>1694</v>
      </c>
      <c r="C1515" s="17" t="s">
        <v>1695</v>
      </c>
      <c r="D1515" s="17" t="s">
        <v>17</v>
      </c>
      <c r="E1515" s="17" t="s">
        <v>8</v>
      </c>
      <c r="F1515" s="17">
        <v>900</v>
      </c>
      <c r="G1515" s="17">
        <v>0</v>
      </c>
      <c r="H1515" s="17">
        <v>200</v>
      </c>
      <c r="I1515" s="17">
        <v>700</v>
      </c>
      <c r="J1515" s="17">
        <v>0</v>
      </c>
      <c r="K1515" s="17">
        <v>0</v>
      </c>
      <c r="L1515" s="17">
        <v>700</v>
      </c>
      <c r="M1515" s="17">
        <v>0</v>
      </c>
      <c r="N1515" s="17">
        <v>0</v>
      </c>
      <c r="O1515" s="17">
        <v>700</v>
      </c>
      <c r="P1515" s="17">
        <v>500</v>
      </c>
      <c r="Q1515" s="17">
        <v>200</v>
      </c>
      <c r="R1515" s="17">
        <v>0</v>
      </c>
      <c r="S1515" s="17"/>
      <c r="T1515" s="17" t="s">
        <v>2972</v>
      </c>
      <c r="U1515" s="17" t="s">
        <v>3057</v>
      </c>
      <c r="V1515" s="17" t="s">
        <v>3056</v>
      </c>
      <c r="W1515" s="17"/>
      <c r="X1515" s="17"/>
    </row>
    <row r="1516" spans="1:24" hidden="1">
      <c r="A1516" s="18">
        <v>1515</v>
      </c>
      <c r="B1516" s="17" t="s">
        <v>1756</v>
      </c>
      <c r="C1516" s="17" t="s">
        <v>1757</v>
      </c>
      <c r="D1516" s="17" t="s">
        <v>20</v>
      </c>
      <c r="E1516" s="17" t="s">
        <v>8</v>
      </c>
      <c r="F1516" s="17">
        <v>514.6</v>
      </c>
      <c r="G1516" s="17">
        <v>0</v>
      </c>
      <c r="H1516" s="17">
        <v>314.60000000000002</v>
      </c>
      <c r="I1516" s="17">
        <v>200</v>
      </c>
      <c r="J1516" s="17">
        <v>0</v>
      </c>
      <c r="K1516" s="17">
        <v>0</v>
      </c>
      <c r="L1516" s="17">
        <v>200</v>
      </c>
      <c r="M1516" s="17">
        <v>0</v>
      </c>
      <c r="N1516" s="17">
        <v>0</v>
      </c>
      <c r="O1516" s="17">
        <v>200</v>
      </c>
      <c r="P1516" s="17">
        <v>200</v>
      </c>
      <c r="Q1516" s="17">
        <v>0</v>
      </c>
      <c r="R1516" s="17">
        <v>0</v>
      </c>
      <c r="S1516" s="17"/>
      <c r="T1516" s="17" t="s">
        <v>2991</v>
      </c>
      <c r="U1516" s="17" t="s">
        <v>3057</v>
      </c>
      <c r="V1516" s="17" t="s">
        <v>3056</v>
      </c>
      <c r="W1516" s="17"/>
      <c r="X1516" s="17"/>
    </row>
    <row r="1517" spans="1:24" hidden="1">
      <c r="A1517" s="18">
        <v>1516</v>
      </c>
      <c r="B1517" s="17" t="s">
        <v>1766</v>
      </c>
      <c r="C1517" s="17" t="s">
        <v>1767</v>
      </c>
      <c r="D1517" s="17" t="s">
        <v>289</v>
      </c>
      <c r="E1517" s="17" t="s">
        <v>8</v>
      </c>
      <c r="F1517" s="17">
        <v>420</v>
      </c>
      <c r="G1517" s="17">
        <v>0</v>
      </c>
      <c r="H1517" s="17">
        <v>210</v>
      </c>
      <c r="I1517" s="17">
        <v>210</v>
      </c>
      <c r="J1517" s="17">
        <v>0</v>
      </c>
      <c r="K1517" s="17">
        <v>0</v>
      </c>
      <c r="L1517" s="17">
        <v>210</v>
      </c>
      <c r="M1517" s="17">
        <v>0</v>
      </c>
      <c r="N1517" s="17">
        <v>0</v>
      </c>
      <c r="O1517" s="17">
        <v>210</v>
      </c>
      <c r="P1517" s="17">
        <v>210</v>
      </c>
      <c r="Q1517" s="17">
        <v>0</v>
      </c>
      <c r="R1517" s="17">
        <v>0</v>
      </c>
      <c r="S1517" s="17"/>
      <c r="T1517" s="17" t="s">
        <v>2963</v>
      </c>
      <c r="U1517" s="17" t="s">
        <v>3057</v>
      </c>
      <c r="V1517" s="17" t="s">
        <v>3056</v>
      </c>
      <c r="W1517" s="17"/>
      <c r="X1517" s="17"/>
    </row>
    <row r="1518" spans="1:24" s="40" customFormat="1" hidden="1">
      <c r="A1518" s="26">
        <v>1517</v>
      </c>
      <c r="B1518" s="25" t="s">
        <v>1820</v>
      </c>
      <c r="C1518" s="25" t="s">
        <v>1821</v>
      </c>
      <c r="D1518" s="25" t="s">
        <v>7</v>
      </c>
      <c r="E1518" s="25" t="s">
        <v>8</v>
      </c>
      <c r="F1518" s="25">
        <v>1200</v>
      </c>
      <c r="G1518" s="25">
        <v>2400</v>
      </c>
      <c r="H1518" s="25">
        <v>3000</v>
      </c>
      <c r="I1518" s="17">
        <v>600</v>
      </c>
      <c r="J1518" s="17">
        <v>0</v>
      </c>
      <c r="K1518" s="17">
        <v>0</v>
      </c>
      <c r="L1518" s="17">
        <v>600</v>
      </c>
      <c r="M1518" s="17">
        <v>0</v>
      </c>
      <c r="N1518" s="17">
        <v>0</v>
      </c>
      <c r="O1518" s="25">
        <v>600</v>
      </c>
      <c r="P1518" s="25">
        <v>4800</v>
      </c>
      <c r="Q1518" s="25">
        <v>-4200</v>
      </c>
      <c r="R1518" s="25">
        <v>4800</v>
      </c>
      <c r="S1518" s="25"/>
      <c r="T1518" s="25" t="s">
        <v>2972</v>
      </c>
      <c r="U1518" s="25" t="s">
        <v>3057</v>
      </c>
      <c r="V1518" s="25" t="s">
        <v>3056</v>
      </c>
      <c r="W1518" s="25"/>
      <c r="X1518" s="25"/>
    </row>
    <row r="1519" spans="1:24" s="40" customFormat="1" hidden="1">
      <c r="A1519" s="26">
        <v>1518</v>
      </c>
      <c r="B1519" s="25" t="s">
        <v>2094</v>
      </c>
      <c r="C1519" s="25" t="s">
        <v>2095</v>
      </c>
      <c r="D1519" s="25" t="s">
        <v>17</v>
      </c>
      <c r="E1519" s="25" t="s">
        <v>8</v>
      </c>
      <c r="F1519" s="25">
        <v>60</v>
      </c>
      <c r="G1519" s="25">
        <v>0</v>
      </c>
      <c r="H1519" s="25">
        <v>0</v>
      </c>
      <c r="I1519" s="17">
        <v>60</v>
      </c>
      <c r="J1519" s="17">
        <v>0</v>
      </c>
      <c r="K1519" s="17">
        <v>0</v>
      </c>
      <c r="L1519" s="17">
        <v>60</v>
      </c>
      <c r="M1519" s="17">
        <v>0</v>
      </c>
      <c r="N1519" s="17">
        <v>0</v>
      </c>
      <c r="O1519" s="25">
        <v>60</v>
      </c>
      <c r="P1519" s="25">
        <v>200</v>
      </c>
      <c r="Q1519" s="25">
        <v>-140</v>
      </c>
      <c r="R1519" s="25">
        <v>100</v>
      </c>
      <c r="S1519" s="25"/>
      <c r="T1519" s="25" t="s">
        <v>3006</v>
      </c>
      <c r="U1519" s="25" t="s">
        <v>3060</v>
      </c>
      <c r="V1519" s="25" t="s">
        <v>3058</v>
      </c>
      <c r="W1519" s="25"/>
      <c r="X1519" s="25"/>
    </row>
    <row r="1520" spans="1:24" s="40" customFormat="1" hidden="1">
      <c r="A1520" s="26">
        <v>1519</v>
      </c>
      <c r="B1520" s="25" t="s">
        <v>2096</v>
      </c>
      <c r="C1520" s="25" t="s">
        <v>2097</v>
      </c>
      <c r="D1520" s="25" t="s">
        <v>17</v>
      </c>
      <c r="E1520" s="25" t="s">
        <v>8</v>
      </c>
      <c r="F1520" s="25">
        <v>20</v>
      </c>
      <c r="G1520" s="25">
        <v>75</v>
      </c>
      <c r="H1520" s="25">
        <v>0</v>
      </c>
      <c r="I1520" s="17">
        <v>95</v>
      </c>
      <c r="J1520" s="17">
        <v>0</v>
      </c>
      <c r="K1520" s="17">
        <v>0</v>
      </c>
      <c r="L1520" s="17">
        <v>95</v>
      </c>
      <c r="M1520" s="17">
        <v>0</v>
      </c>
      <c r="N1520" s="17">
        <v>0</v>
      </c>
      <c r="O1520" s="25">
        <v>95</v>
      </c>
      <c r="P1520" s="25">
        <v>100</v>
      </c>
      <c r="Q1520" s="25">
        <v>-5</v>
      </c>
      <c r="R1520" s="25">
        <v>100</v>
      </c>
      <c r="S1520" s="25"/>
      <c r="T1520" s="25" t="s">
        <v>3006</v>
      </c>
      <c r="U1520" s="25" t="s">
        <v>3060</v>
      </c>
      <c r="V1520" s="25" t="s">
        <v>3058</v>
      </c>
      <c r="W1520" s="25"/>
      <c r="X1520" s="25"/>
    </row>
    <row r="1521" spans="1:24" hidden="1">
      <c r="A1521" s="18">
        <v>1520</v>
      </c>
      <c r="B1521" s="17" t="s">
        <v>2062</v>
      </c>
      <c r="C1521" s="17" t="s">
        <v>2063</v>
      </c>
      <c r="D1521" s="17" t="s">
        <v>17</v>
      </c>
      <c r="E1521" s="17" t="s">
        <v>8</v>
      </c>
      <c r="F1521" s="17">
        <v>75</v>
      </c>
      <c r="G1521" s="17">
        <v>247</v>
      </c>
      <c r="H1521" s="17">
        <v>0</v>
      </c>
      <c r="I1521" s="17">
        <v>322</v>
      </c>
      <c r="J1521" s="17">
        <v>0</v>
      </c>
      <c r="K1521" s="17">
        <v>0</v>
      </c>
      <c r="L1521" s="17">
        <v>322</v>
      </c>
      <c r="M1521" s="17">
        <v>0</v>
      </c>
      <c r="N1521" s="17">
        <v>0</v>
      </c>
      <c r="O1521" s="17">
        <v>322</v>
      </c>
      <c r="P1521" s="17">
        <v>125</v>
      </c>
      <c r="Q1521" s="17">
        <v>197</v>
      </c>
      <c r="R1521" s="17">
        <v>150</v>
      </c>
      <c r="S1521" s="17"/>
      <c r="T1521" s="17" t="s">
        <v>2991</v>
      </c>
      <c r="U1521" s="17" t="s">
        <v>3057</v>
      </c>
      <c r="V1521" s="17" t="s">
        <v>3058</v>
      </c>
      <c r="W1521" s="17"/>
      <c r="X1521" s="17"/>
    </row>
    <row r="1522" spans="1:24" hidden="1">
      <c r="A1522" s="18">
        <v>1521</v>
      </c>
      <c r="B1522" s="17" t="s">
        <v>2066</v>
      </c>
      <c r="C1522" s="17" t="s">
        <v>2067</v>
      </c>
      <c r="D1522" s="17" t="s">
        <v>17</v>
      </c>
      <c r="E1522" s="17" t="s">
        <v>8</v>
      </c>
      <c r="F1522" s="17">
        <v>1820</v>
      </c>
      <c r="G1522" s="17">
        <v>0</v>
      </c>
      <c r="H1522" s="17">
        <v>0</v>
      </c>
      <c r="I1522" s="17">
        <v>1820</v>
      </c>
      <c r="J1522" s="17">
        <v>0</v>
      </c>
      <c r="K1522" s="17">
        <v>0</v>
      </c>
      <c r="L1522" s="17">
        <v>1820</v>
      </c>
      <c r="M1522" s="17">
        <v>0</v>
      </c>
      <c r="N1522" s="17">
        <v>0</v>
      </c>
      <c r="O1522" s="17">
        <v>1820</v>
      </c>
      <c r="P1522" s="17">
        <v>500</v>
      </c>
      <c r="Q1522" s="17">
        <v>1320</v>
      </c>
      <c r="R1522" s="17">
        <v>0</v>
      </c>
      <c r="S1522" s="17"/>
      <c r="T1522" s="17" t="s">
        <v>2972</v>
      </c>
      <c r="U1522" s="17" t="s">
        <v>3057</v>
      </c>
      <c r="V1522" s="17" t="s">
        <v>3058</v>
      </c>
      <c r="W1522" s="17"/>
      <c r="X1522" s="17"/>
    </row>
    <row r="1523" spans="1:24" hidden="1">
      <c r="A1523" s="18">
        <v>1522</v>
      </c>
      <c r="B1523" s="17" t="s">
        <v>2141</v>
      </c>
      <c r="C1523" s="17" t="s">
        <v>2142</v>
      </c>
      <c r="D1523" s="17" t="s">
        <v>7</v>
      </c>
      <c r="E1523" s="17" t="s">
        <v>8</v>
      </c>
      <c r="F1523" s="17">
        <v>1684</v>
      </c>
      <c r="G1523" s="17">
        <v>0</v>
      </c>
      <c r="H1523" s="17">
        <v>450</v>
      </c>
      <c r="I1523" s="17">
        <v>1234</v>
      </c>
      <c r="J1523" s="17">
        <v>0</v>
      </c>
      <c r="K1523" s="17">
        <v>0</v>
      </c>
      <c r="L1523" s="17">
        <v>1234</v>
      </c>
      <c r="M1523" s="17">
        <v>0</v>
      </c>
      <c r="N1523" s="17">
        <v>0</v>
      </c>
      <c r="O1523" s="17">
        <v>1234</v>
      </c>
      <c r="P1523" s="17">
        <v>1500</v>
      </c>
      <c r="Q1523" s="17">
        <v>-266</v>
      </c>
      <c r="R1523" s="17">
        <v>0</v>
      </c>
      <c r="S1523" s="17"/>
      <c r="T1523" s="17" t="s">
        <v>2965</v>
      </c>
      <c r="U1523" s="17" t="s">
        <v>3055</v>
      </c>
      <c r="V1523" s="17" t="s">
        <v>3056</v>
      </c>
      <c r="W1523" s="17"/>
      <c r="X1523" s="17"/>
    </row>
    <row r="1524" spans="1:24" hidden="1">
      <c r="A1524" s="18">
        <v>1523</v>
      </c>
      <c r="B1524" s="17" t="s">
        <v>316</v>
      </c>
      <c r="C1524" s="17" t="s">
        <v>3038</v>
      </c>
      <c r="D1524" s="17" t="s">
        <v>17</v>
      </c>
      <c r="E1524" s="17" t="s">
        <v>8</v>
      </c>
      <c r="F1524" s="17">
        <v>1762</v>
      </c>
      <c r="G1524" s="17">
        <v>744</v>
      </c>
      <c r="H1524" s="17">
        <v>898</v>
      </c>
      <c r="I1524" s="17">
        <v>1608</v>
      </c>
      <c r="J1524" s="17">
        <v>0</v>
      </c>
      <c r="K1524" s="17">
        <v>0</v>
      </c>
      <c r="L1524" s="17">
        <v>1608</v>
      </c>
      <c r="M1524" s="17">
        <v>0</v>
      </c>
      <c r="N1524" s="17">
        <v>0</v>
      </c>
      <c r="O1524" s="17">
        <v>1608</v>
      </c>
      <c r="P1524" s="17">
        <v>1000</v>
      </c>
      <c r="Q1524" s="17">
        <v>608</v>
      </c>
      <c r="R1524" s="17">
        <v>750</v>
      </c>
      <c r="S1524" s="17"/>
      <c r="T1524" s="17" t="s">
        <v>2991</v>
      </c>
      <c r="U1524" s="17" t="s">
        <v>3057</v>
      </c>
      <c r="V1524" s="17" t="s">
        <v>3056</v>
      </c>
      <c r="W1524" s="17"/>
      <c r="X1524" s="17"/>
    </row>
    <row r="1525" spans="1:24" hidden="1">
      <c r="A1525" s="18">
        <v>1524</v>
      </c>
      <c r="B1525" s="17" t="s">
        <v>2231</v>
      </c>
      <c r="C1525" s="17" t="s">
        <v>2232</v>
      </c>
      <c r="D1525" s="17" t="s">
        <v>7</v>
      </c>
      <c r="E1525" s="17" t="s">
        <v>8</v>
      </c>
      <c r="F1525" s="17">
        <v>120</v>
      </c>
      <c r="G1525" s="17">
        <v>0</v>
      </c>
      <c r="H1525" s="17">
        <v>0</v>
      </c>
      <c r="I1525" s="17">
        <v>120</v>
      </c>
      <c r="J1525" s="17">
        <v>0</v>
      </c>
      <c r="K1525" s="17">
        <v>0</v>
      </c>
      <c r="L1525" s="17">
        <v>120</v>
      </c>
      <c r="M1525" s="17">
        <v>0</v>
      </c>
      <c r="N1525" s="17">
        <v>0</v>
      </c>
      <c r="O1525" s="17">
        <v>120</v>
      </c>
      <c r="P1525" s="17">
        <v>100</v>
      </c>
      <c r="Q1525" s="17">
        <v>20</v>
      </c>
      <c r="R1525" s="17">
        <v>100</v>
      </c>
      <c r="S1525" s="17"/>
      <c r="T1525" s="17" t="s">
        <v>2965</v>
      </c>
      <c r="U1525" s="17" t="s">
        <v>3055</v>
      </c>
      <c r="V1525" s="17" t="s">
        <v>3056</v>
      </c>
      <c r="W1525" s="17"/>
      <c r="X1525" s="17"/>
    </row>
    <row r="1526" spans="1:24" hidden="1">
      <c r="A1526" s="18">
        <v>1525</v>
      </c>
      <c r="B1526" s="17" t="s">
        <v>2251</v>
      </c>
      <c r="C1526" s="17" t="s">
        <v>2252</v>
      </c>
      <c r="D1526" s="17" t="s">
        <v>7</v>
      </c>
      <c r="E1526" s="17" t="s">
        <v>8</v>
      </c>
      <c r="F1526" s="17">
        <v>1580</v>
      </c>
      <c r="G1526" s="17">
        <v>577</v>
      </c>
      <c r="H1526" s="17">
        <v>605</v>
      </c>
      <c r="I1526" s="17">
        <v>1552</v>
      </c>
      <c r="J1526" s="17">
        <v>0</v>
      </c>
      <c r="K1526" s="17">
        <v>0</v>
      </c>
      <c r="L1526" s="17">
        <v>1552</v>
      </c>
      <c r="M1526" s="17">
        <v>0</v>
      </c>
      <c r="N1526" s="17">
        <v>0</v>
      </c>
      <c r="O1526" s="17">
        <v>1552</v>
      </c>
      <c r="P1526" s="17">
        <v>1000</v>
      </c>
      <c r="Q1526" s="17">
        <v>552</v>
      </c>
      <c r="R1526" s="17">
        <v>500</v>
      </c>
      <c r="S1526" s="17"/>
      <c r="T1526" s="17" t="s">
        <v>2965</v>
      </c>
      <c r="U1526" s="17" t="s">
        <v>3055</v>
      </c>
      <c r="V1526" s="17" t="s">
        <v>3056</v>
      </c>
      <c r="W1526" s="17"/>
      <c r="X1526" s="17"/>
    </row>
    <row r="1527" spans="1:24" s="40" customFormat="1" hidden="1">
      <c r="A1527" s="26">
        <v>1526</v>
      </c>
      <c r="B1527" s="25" t="s">
        <v>2379</v>
      </c>
      <c r="C1527" s="25" t="s">
        <v>2380</v>
      </c>
      <c r="D1527" s="25" t="s">
        <v>17</v>
      </c>
      <c r="E1527" s="25" t="s">
        <v>8</v>
      </c>
      <c r="F1527" s="25">
        <v>75</v>
      </c>
      <c r="G1527" s="25">
        <v>0</v>
      </c>
      <c r="H1527" s="25">
        <v>0</v>
      </c>
      <c r="I1527" s="17">
        <v>75</v>
      </c>
      <c r="J1527" s="17">
        <v>0</v>
      </c>
      <c r="K1527" s="17">
        <v>0</v>
      </c>
      <c r="L1527" s="17">
        <v>75</v>
      </c>
      <c r="M1527" s="17">
        <v>0</v>
      </c>
      <c r="N1527" s="17">
        <v>0</v>
      </c>
      <c r="O1527" s="25">
        <v>75</v>
      </c>
      <c r="P1527" s="25">
        <v>100</v>
      </c>
      <c r="Q1527" s="25">
        <v>-25</v>
      </c>
      <c r="R1527" s="25">
        <v>50</v>
      </c>
      <c r="S1527" s="25"/>
      <c r="T1527" s="25" t="s">
        <v>2972</v>
      </c>
      <c r="U1527" s="25" t="s">
        <v>3057</v>
      </c>
      <c r="V1527" s="25" t="s">
        <v>3056</v>
      </c>
      <c r="W1527" s="25"/>
      <c r="X1527" s="25"/>
    </row>
    <row r="1528" spans="1:24" hidden="1">
      <c r="A1528" s="18">
        <v>1527</v>
      </c>
      <c r="B1528" s="17" t="s">
        <v>2381</v>
      </c>
      <c r="C1528" s="17" t="s">
        <v>2382</v>
      </c>
      <c r="D1528" s="17" t="s">
        <v>17</v>
      </c>
      <c r="E1528" s="17" t="s">
        <v>8</v>
      </c>
      <c r="F1528" s="17">
        <v>133</v>
      </c>
      <c r="G1528" s="17">
        <v>0</v>
      </c>
      <c r="H1528" s="17">
        <v>0</v>
      </c>
      <c r="I1528" s="17">
        <v>133</v>
      </c>
      <c r="J1528" s="17">
        <v>0</v>
      </c>
      <c r="K1528" s="17">
        <v>0</v>
      </c>
      <c r="L1528" s="17">
        <v>133</v>
      </c>
      <c r="M1528" s="17">
        <v>0</v>
      </c>
      <c r="N1528" s="17">
        <v>0</v>
      </c>
      <c r="O1528" s="17">
        <v>133</v>
      </c>
      <c r="P1528" s="17">
        <v>100</v>
      </c>
      <c r="Q1528" s="17">
        <v>33</v>
      </c>
      <c r="R1528" s="17">
        <v>0</v>
      </c>
      <c r="S1528" s="17"/>
      <c r="T1528" s="17" t="s">
        <v>2972</v>
      </c>
      <c r="U1528" s="17" t="s">
        <v>3057</v>
      </c>
      <c r="V1528" s="17" t="s">
        <v>3056</v>
      </c>
      <c r="W1528" s="17"/>
      <c r="X1528" s="17"/>
    </row>
    <row r="1529" spans="1:24" s="40" customFormat="1" hidden="1">
      <c r="A1529" s="26">
        <v>1528</v>
      </c>
      <c r="B1529" s="25" t="s">
        <v>2478</v>
      </c>
      <c r="C1529" s="25" t="s">
        <v>2479</v>
      </c>
      <c r="D1529" s="25" t="s">
        <v>7</v>
      </c>
      <c r="E1529" s="25" t="s">
        <v>8</v>
      </c>
      <c r="F1529" s="25">
        <v>1029</v>
      </c>
      <c r="G1529" s="25">
        <v>1244</v>
      </c>
      <c r="H1529" s="25">
        <v>1102.8</v>
      </c>
      <c r="I1529" s="17">
        <v>1170.2</v>
      </c>
      <c r="J1529" s="17">
        <v>0</v>
      </c>
      <c r="K1529" s="17">
        <v>0</v>
      </c>
      <c r="L1529" s="17">
        <v>1170.2</v>
      </c>
      <c r="M1529" s="17">
        <v>0</v>
      </c>
      <c r="N1529" s="17">
        <v>0</v>
      </c>
      <c r="O1529" s="25">
        <v>1170.2</v>
      </c>
      <c r="P1529" s="25">
        <v>1500</v>
      </c>
      <c r="Q1529" s="25">
        <v>-329.79999999999995</v>
      </c>
      <c r="R1529" s="25">
        <v>1500</v>
      </c>
      <c r="S1529" s="25"/>
      <c r="T1529" s="25" t="s">
        <v>2965</v>
      </c>
      <c r="U1529" s="25" t="s">
        <v>3055</v>
      </c>
      <c r="V1529" s="25" t="s">
        <v>3056</v>
      </c>
      <c r="W1529" s="25"/>
      <c r="X1529" s="25"/>
    </row>
    <row r="1530" spans="1:24" hidden="1">
      <c r="A1530" s="18">
        <v>1529</v>
      </c>
      <c r="B1530" s="17" t="s">
        <v>2455</v>
      </c>
      <c r="C1530" s="17" t="s">
        <v>2456</v>
      </c>
      <c r="D1530" s="17" t="s">
        <v>17</v>
      </c>
      <c r="E1530" s="17" t="s">
        <v>8</v>
      </c>
      <c r="F1530" s="17">
        <v>740</v>
      </c>
      <c r="G1530" s="17">
        <v>0</v>
      </c>
      <c r="H1530" s="17">
        <v>0</v>
      </c>
      <c r="I1530" s="17">
        <v>740</v>
      </c>
      <c r="J1530" s="17">
        <v>0</v>
      </c>
      <c r="K1530" s="17">
        <v>0</v>
      </c>
      <c r="L1530" s="17">
        <v>740</v>
      </c>
      <c r="M1530" s="17">
        <v>0</v>
      </c>
      <c r="N1530" s="17">
        <v>0</v>
      </c>
      <c r="O1530" s="17">
        <v>740</v>
      </c>
      <c r="P1530" s="17">
        <v>500</v>
      </c>
      <c r="Q1530" s="17">
        <v>240</v>
      </c>
      <c r="R1530" s="17">
        <v>0</v>
      </c>
      <c r="S1530" s="17"/>
      <c r="T1530" s="17" t="s">
        <v>2972</v>
      </c>
      <c r="U1530" s="17" t="s">
        <v>3057</v>
      </c>
      <c r="V1530" s="17" t="s">
        <v>3056</v>
      </c>
      <c r="W1530" s="17"/>
      <c r="X1530" s="17"/>
    </row>
    <row r="1531" spans="1:24" hidden="1">
      <c r="A1531" s="18">
        <v>1530</v>
      </c>
      <c r="B1531" s="17" t="s">
        <v>2573</v>
      </c>
      <c r="C1531" s="17" t="s">
        <v>2574</v>
      </c>
      <c r="D1531" s="17" t="s">
        <v>7</v>
      </c>
      <c r="E1531" s="17" t="s">
        <v>8</v>
      </c>
      <c r="F1531" s="17">
        <v>734</v>
      </c>
      <c r="G1531" s="17">
        <v>12977</v>
      </c>
      <c r="H1531" s="17">
        <v>5851</v>
      </c>
      <c r="I1531" s="17">
        <v>7860</v>
      </c>
      <c r="J1531" s="17">
        <v>1249</v>
      </c>
      <c r="K1531" s="17">
        <v>0</v>
      </c>
      <c r="L1531" s="17">
        <v>6611</v>
      </c>
      <c r="M1531" s="17">
        <v>0</v>
      </c>
      <c r="N1531" s="17">
        <v>0</v>
      </c>
      <c r="O1531" s="17">
        <v>6611</v>
      </c>
      <c r="P1531" s="17">
        <v>3500</v>
      </c>
      <c r="Q1531" s="17">
        <v>3111</v>
      </c>
      <c r="R1531" s="17">
        <v>15000</v>
      </c>
      <c r="S1531" s="17"/>
      <c r="T1531" s="17" t="s">
        <v>2965</v>
      </c>
      <c r="U1531" s="17" t="s">
        <v>3055</v>
      </c>
      <c r="V1531" s="17" t="s">
        <v>3056</v>
      </c>
      <c r="W1531" s="17"/>
      <c r="X1531" s="17"/>
    </row>
    <row r="1532" spans="1:24" hidden="1">
      <c r="A1532" s="18">
        <v>1531</v>
      </c>
      <c r="B1532" s="17" t="s">
        <v>2583</v>
      </c>
      <c r="C1532" s="17" t="s">
        <v>2584</v>
      </c>
      <c r="D1532" s="17" t="s">
        <v>20</v>
      </c>
      <c r="E1532" s="17" t="s">
        <v>8</v>
      </c>
      <c r="F1532" s="17">
        <v>567.4</v>
      </c>
      <c r="G1532" s="17">
        <v>6759.1</v>
      </c>
      <c r="H1532" s="17">
        <v>7326.5</v>
      </c>
      <c r="I1532" s="17">
        <v>0</v>
      </c>
      <c r="J1532" s="17">
        <v>0</v>
      </c>
      <c r="K1532" s="17">
        <v>0</v>
      </c>
      <c r="L1532" s="17">
        <v>0</v>
      </c>
      <c r="M1532" s="17">
        <v>0</v>
      </c>
      <c r="N1532" s="17">
        <v>0</v>
      </c>
      <c r="O1532" s="17">
        <v>0</v>
      </c>
      <c r="P1532" s="17">
        <v>12500</v>
      </c>
      <c r="Q1532" s="17">
        <v>-12500</v>
      </c>
      <c r="R1532" s="17">
        <v>16000</v>
      </c>
      <c r="S1532" s="17"/>
      <c r="T1532" s="17" t="s">
        <v>3000</v>
      </c>
      <c r="U1532" s="17" t="s">
        <v>3059</v>
      </c>
      <c r="V1532" s="17" t="s">
        <v>3056</v>
      </c>
      <c r="W1532" s="17"/>
      <c r="X1532" s="17"/>
    </row>
    <row r="1533" spans="1:24" hidden="1">
      <c r="A1533" s="18">
        <v>1532</v>
      </c>
      <c r="B1533" s="17" t="s">
        <v>2553</v>
      </c>
      <c r="C1533" s="17" t="s">
        <v>2554</v>
      </c>
      <c r="D1533" s="17" t="s">
        <v>17</v>
      </c>
      <c r="E1533" s="17" t="s">
        <v>8</v>
      </c>
      <c r="F1533" s="17">
        <v>6000</v>
      </c>
      <c r="G1533" s="17">
        <v>0</v>
      </c>
      <c r="H1533" s="17">
        <v>1000</v>
      </c>
      <c r="I1533" s="17">
        <v>5000</v>
      </c>
      <c r="J1533" s="17">
        <v>0</v>
      </c>
      <c r="K1533" s="17">
        <v>0</v>
      </c>
      <c r="L1533" s="17">
        <v>5000</v>
      </c>
      <c r="M1533" s="17">
        <v>0</v>
      </c>
      <c r="N1533" s="17">
        <v>0</v>
      </c>
      <c r="O1533" s="17">
        <v>5000</v>
      </c>
      <c r="P1533" s="17">
        <v>2500</v>
      </c>
      <c r="Q1533" s="17">
        <v>2500</v>
      </c>
      <c r="R1533" s="17">
        <v>0</v>
      </c>
      <c r="S1533" s="17"/>
      <c r="T1533" s="17" t="s">
        <v>2991</v>
      </c>
      <c r="U1533" s="17" t="s">
        <v>3057</v>
      </c>
      <c r="V1533" s="17" t="s">
        <v>3056</v>
      </c>
      <c r="W1533" s="17"/>
      <c r="X1533" s="17"/>
    </row>
    <row r="1534" spans="1:24" hidden="1">
      <c r="A1534" s="18">
        <v>1533</v>
      </c>
      <c r="B1534" s="17" t="s">
        <v>2767</v>
      </c>
      <c r="C1534" s="17" t="s">
        <v>2768</v>
      </c>
      <c r="D1534" s="17" t="s">
        <v>7</v>
      </c>
      <c r="E1534" s="17" t="s">
        <v>8</v>
      </c>
      <c r="F1534" s="17">
        <v>950.4</v>
      </c>
      <c r="G1534" s="17">
        <v>526</v>
      </c>
      <c r="H1534" s="17">
        <v>0</v>
      </c>
      <c r="I1534" s="17">
        <v>1476.4</v>
      </c>
      <c r="J1534" s="17">
        <v>0</v>
      </c>
      <c r="K1534" s="17">
        <v>0</v>
      </c>
      <c r="L1534" s="17">
        <v>1476.4</v>
      </c>
      <c r="M1534" s="17">
        <v>0</v>
      </c>
      <c r="N1534" s="17">
        <v>0</v>
      </c>
      <c r="O1534" s="17">
        <v>1476.4</v>
      </c>
      <c r="P1534" s="17">
        <v>500</v>
      </c>
      <c r="Q1534" s="17">
        <v>976.40000000000009</v>
      </c>
      <c r="R1534" s="17">
        <v>0</v>
      </c>
      <c r="S1534" s="17"/>
      <c r="T1534" s="17" t="s">
        <v>2965</v>
      </c>
      <c r="U1534" s="17" t="s">
        <v>3055</v>
      </c>
      <c r="V1534" s="17" t="s">
        <v>3056</v>
      </c>
      <c r="W1534" s="17"/>
      <c r="X1534" s="17"/>
    </row>
    <row r="1535" spans="1:24" s="40" customFormat="1" hidden="1">
      <c r="A1535" s="26">
        <v>1534</v>
      </c>
      <c r="B1535" s="25" t="s">
        <v>2775</v>
      </c>
      <c r="C1535" s="25" t="s">
        <v>2776</v>
      </c>
      <c r="D1535" s="25" t="s">
        <v>7</v>
      </c>
      <c r="E1535" s="25" t="s">
        <v>8</v>
      </c>
      <c r="F1535" s="25">
        <v>1539.9</v>
      </c>
      <c r="G1535" s="25">
        <v>2395.1999999999998</v>
      </c>
      <c r="H1535" s="25">
        <v>2491.1</v>
      </c>
      <c r="I1535" s="17">
        <v>1444</v>
      </c>
      <c r="J1535" s="17">
        <v>0</v>
      </c>
      <c r="K1535" s="17">
        <v>0</v>
      </c>
      <c r="L1535" s="17">
        <v>1444</v>
      </c>
      <c r="M1535" s="17">
        <v>0</v>
      </c>
      <c r="N1535" s="17">
        <v>0</v>
      </c>
      <c r="O1535" s="25">
        <v>1444</v>
      </c>
      <c r="P1535" s="25">
        <v>2500</v>
      </c>
      <c r="Q1535" s="25">
        <v>-1056</v>
      </c>
      <c r="R1535" s="25">
        <v>5000</v>
      </c>
      <c r="S1535" s="25"/>
      <c r="T1535" s="25" t="s">
        <v>2965</v>
      </c>
      <c r="U1535" s="25" t="s">
        <v>3055</v>
      </c>
      <c r="V1535" s="25" t="s">
        <v>3056</v>
      </c>
      <c r="W1535" s="25"/>
      <c r="X1535" s="25"/>
    </row>
    <row r="1536" spans="1:24" hidden="1">
      <c r="A1536" s="18">
        <v>1535</v>
      </c>
      <c r="B1536" s="17" t="s">
        <v>2777</v>
      </c>
      <c r="C1536" s="17" t="s">
        <v>2778</v>
      </c>
      <c r="D1536" s="17" t="s">
        <v>7</v>
      </c>
      <c r="E1536" s="17" t="s">
        <v>8</v>
      </c>
      <c r="F1536" s="17">
        <v>1998.3</v>
      </c>
      <c r="G1536" s="17">
        <v>3653</v>
      </c>
      <c r="H1536" s="17">
        <v>2201.1</v>
      </c>
      <c r="I1536" s="17">
        <v>3450.2</v>
      </c>
      <c r="J1536" s="17">
        <v>0</v>
      </c>
      <c r="K1536" s="17">
        <v>0</v>
      </c>
      <c r="L1536" s="17">
        <v>3450.2</v>
      </c>
      <c r="M1536" s="17">
        <v>0</v>
      </c>
      <c r="N1536" s="17">
        <v>0</v>
      </c>
      <c r="O1536" s="17">
        <v>3450.2</v>
      </c>
      <c r="P1536" s="17">
        <v>2500</v>
      </c>
      <c r="Q1536" s="17">
        <v>950.19999999999982</v>
      </c>
      <c r="R1536" s="17">
        <v>5000</v>
      </c>
      <c r="S1536" s="17"/>
      <c r="T1536" s="17" t="s">
        <v>2965</v>
      </c>
      <c r="U1536" s="17" t="s">
        <v>3055</v>
      </c>
      <c r="V1536" s="17" t="s">
        <v>3056</v>
      </c>
      <c r="W1536" s="17"/>
      <c r="X1536" s="17"/>
    </row>
    <row r="1537" spans="1:24" hidden="1">
      <c r="A1537" s="18">
        <v>1536</v>
      </c>
      <c r="B1537" s="17" t="s">
        <v>2779</v>
      </c>
      <c r="C1537" s="17" t="s">
        <v>2780</v>
      </c>
      <c r="D1537" s="17" t="s">
        <v>7</v>
      </c>
      <c r="E1537" s="17" t="s">
        <v>8</v>
      </c>
      <c r="F1537" s="17">
        <v>4684</v>
      </c>
      <c r="G1537" s="17">
        <v>5629</v>
      </c>
      <c r="H1537" s="17">
        <v>3508.8</v>
      </c>
      <c r="I1537" s="17">
        <v>6804.2</v>
      </c>
      <c r="J1537" s="17">
        <v>2654</v>
      </c>
      <c r="K1537" s="17">
        <v>0</v>
      </c>
      <c r="L1537" s="17">
        <v>4150.2</v>
      </c>
      <c r="M1537" s="17">
        <v>0</v>
      </c>
      <c r="N1537" s="17">
        <v>0</v>
      </c>
      <c r="O1537" s="17">
        <v>4150.2</v>
      </c>
      <c r="P1537" s="17">
        <v>4000</v>
      </c>
      <c r="Q1537" s="17">
        <v>150.19999999999982</v>
      </c>
      <c r="R1537" s="17">
        <v>8000</v>
      </c>
      <c r="S1537" s="17"/>
      <c r="T1537" s="17" t="s">
        <v>2965</v>
      </c>
      <c r="U1537" s="17" t="s">
        <v>3055</v>
      </c>
      <c r="V1537" s="17" t="s">
        <v>3056</v>
      </c>
      <c r="W1537" s="17"/>
      <c r="X1537" s="17"/>
    </row>
    <row r="1538" spans="1:24" hidden="1">
      <c r="A1538" s="18">
        <v>1537</v>
      </c>
      <c r="B1538" s="17" t="s">
        <v>2781</v>
      </c>
      <c r="C1538" s="17" t="s">
        <v>2782</v>
      </c>
      <c r="D1538" s="17" t="s">
        <v>7</v>
      </c>
      <c r="E1538" s="17" t="s">
        <v>8</v>
      </c>
      <c r="F1538" s="17">
        <v>2681</v>
      </c>
      <c r="G1538" s="17">
        <v>12776.5</v>
      </c>
      <c r="H1538" s="17">
        <v>2832</v>
      </c>
      <c r="I1538" s="17">
        <v>12625.5</v>
      </c>
      <c r="J1538" s="17">
        <v>1093.5</v>
      </c>
      <c r="K1538" s="17">
        <v>0</v>
      </c>
      <c r="L1538" s="17">
        <v>11532</v>
      </c>
      <c r="M1538" s="17">
        <v>0</v>
      </c>
      <c r="N1538" s="17">
        <v>0</v>
      </c>
      <c r="O1538" s="17">
        <v>11532</v>
      </c>
      <c r="P1538" s="17">
        <v>4000</v>
      </c>
      <c r="Q1538" s="17">
        <v>7532</v>
      </c>
      <c r="R1538" s="17">
        <v>5500</v>
      </c>
      <c r="S1538" s="17"/>
      <c r="T1538" s="17" t="s">
        <v>2965</v>
      </c>
      <c r="U1538" s="17" t="s">
        <v>3055</v>
      </c>
      <c r="V1538" s="17" t="s">
        <v>3056</v>
      </c>
      <c r="W1538" s="17"/>
      <c r="X1538" s="17"/>
    </row>
    <row r="1539" spans="1:24" hidden="1">
      <c r="A1539" s="18">
        <v>1538</v>
      </c>
      <c r="B1539" s="17" t="s">
        <v>2571</v>
      </c>
      <c r="C1539" s="17" t="s">
        <v>2572</v>
      </c>
      <c r="D1539" s="17" t="s">
        <v>17</v>
      </c>
      <c r="E1539" s="17" t="s">
        <v>8</v>
      </c>
      <c r="F1539" s="17">
        <v>1500</v>
      </c>
      <c r="G1539" s="17">
        <v>0</v>
      </c>
      <c r="H1539" s="17">
        <v>0</v>
      </c>
      <c r="I1539" s="17">
        <v>1500</v>
      </c>
      <c r="J1539" s="17">
        <v>0</v>
      </c>
      <c r="K1539" s="17">
        <v>0</v>
      </c>
      <c r="L1539" s="17">
        <v>1500</v>
      </c>
      <c r="M1539" s="17">
        <v>0</v>
      </c>
      <c r="N1539" s="17">
        <v>0</v>
      </c>
      <c r="O1539" s="17">
        <v>1500</v>
      </c>
      <c r="P1539" s="17">
        <v>500</v>
      </c>
      <c r="Q1539" s="17">
        <v>1000</v>
      </c>
      <c r="R1539" s="17">
        <v>0</v>
      </c>
      <c r="S1539" s="17"/>
      <c r="T1539" s="17" t="s">
        <v>2972</v>
      </c>
      <c r="U1539" s="17" t="s">
        <v>3057</v>
      </c>
      <c r="V1539" s="17" t="s">
        <v>3058</v>
      </c>
      <c r="W1539" s="17"/>
      <c r="X1539" s="17"/>
    </row>
    <row r="1540" spans="1:24" hidden="1">
      <c r="A1540" s="18">
        <v>1543</v>
      </c>
      <c r="B1540" s="17" t="s">
        <v>2905</v>
      </c>
      <c r="C1540" s="17" t="s">
        <v>2906</v>
      </c>
      <c r="D1540" s="17" t="s">
        <v>7</v>
      </c>
      <c r="E1540" s="17" t="s">
        <v>8</v>
      </c>
      <c r="F1540" s="17">
        <v>9033</v>
      </c>
      <c r="G1540" s="17">
        <v>7607.5</v>
      </c>
      <c r="H1540" s="17">
        <v>3523.5</v>
      </c>
      <c r="I1540" s="17">
        <v>13117</v>
      </c>
      <c r="J1540" s="17">
        <v>0</v>
      </c>
      <c r="K1540" s="17">
        <v>0</v>
      </c>
      <c r="L1540" s="17">
        <v>13117</v>
      </c>
      <c r="M1540" s="17">
        <v>0</v>
      </c>
      <c r="N1540" s="17">
        <v>0</v>
      </c>
      <c r="O1540" s="17">
        <v>13117</v>
      </c>
      <c r="P1540" s="17">
        <v>5000</v>
      </c>
      <c r="Q1540" s="17">
        <v>8117</v>
      </c>
      <c r="R1540" s="17">
        <v>5000</v>
      </c>
      <c r="S1540" s="17"/>
      <c r="T1540" s="17" t="s">
        <v>2965</v>
      </c>
      <c r="U1540" s="17" t="s">
        <v>3055</v>
      </c>
      <c r="V1540" s="17" t="s">
        <v>3056</v>
      </c>
      <c r="W1540" s="17"/>
      <c r="X1540" s="17"/>
    </row>
    <row r="1541" spans="1:24" hidden="1">
      <c r="A1541" s="18">
        <v>1544</v>
      </c>
      <c r="B1541" s="17" t="s">
        <v>2853</v>
      </c>
      <c r="C1541" s="17" t="s">
        <v>2854</v>
      </c>
      <c r="D1541" s="17" t="s">
        <v>17</v>
      </c>
      <c r="E1541" s="17" t="s">
        <v>8</v>
      </c>
      <c r="F1541" s="17">
        <v>1000</v>
      </c>
      <c r="G1541" s="17">
        <v>0</v>
      </c>
      <c r="H1541" s="17">
        <v>100</v>
      </c>
      <c r="I1541" s="17">
        <v>900</v>
      </c>
      <c r="J1541" s="17">
        <v>0</v>
      </c>
      <c r="K1541" s="17">
        <v>0</v>
      </c>
      <c r="L1541" s="17">
        <v>900</v>
      </c>
      <c r="M1541" s="17">
        <v>0</v>
      </c>
      <c r="N1541" s="17">
        <v>0</v>
      </c>
      <c r="O1541" s="17">
        <v>900</v>
      </c>
      <c r="P1541" s="17">
        <v>700</v>
      </c>
      <c r="Q1541" s="17">
        <v>200</v>
      </c>
      <c r="R1541" s="17">
        <v>0</v>
      </c>
      <c r="S1541" s="17"/>
      <c r="T1541" s="17" t="s">
        <v>3012</v>
      </c>
      <c r="U1541" s="17" t="s">
        <v>3057</v>
      </c>
      <c r="V1541" s="17" t="s">
        <v>3056</v>
      </c>
      <c r="W1541" s="17"/>
      <c r="X1541" s="17"/>
    </row>
    <row r="1542" spans="1:24" hidden="1">
      <c r="A1542" s="18">
        <v>1545</v>
      </c>
      <c r="B1542" s="17" t="s">
        <v>2902</v>
      </c>
      <c r="C1542" s="17" t="s">
        <v>3275</v>
      </c>
      <c r="D1542" s="17" t="s">
        <v>17</v>
      </c>
      <c r="E1542" s="17" t="s">
        <v>8</v>
      </c>
      <c r="F1542" s="17">
        <v>3900</v>
      </c>
      <c r="G1542" s="17">
        <v>3308</v>
      </c>
      <c r="H1542" s="17">
        <v>0</v>
      </c>
      <c r="I1542" s="17">
        <v>7208</v>
      </c>
      <c r="J1542" s="17">
        <v>0</v>
      </c>
      <c r="K1542" s="17">
        <v>0</v>
      </c>
      <c r="L1542" s="17">
        <v>7208</v>
      </c>
      <c r="M1542" s="17">
        <v>0</v>
      </c>
      <c r="N1542" s="17">
        <v>0</v>
      </c>
      <c r="O1542" s="17">
        <v>7208</v>
      </c>
      <c r="P1542" s="17">
        <v>12000</v>
      </c>
      <c r="Q1542" s="17">
        <v>-4792</v>
      </c>
      <c r="R1542" s="17">
        <v>0</v>
      </c>
      <c r="S1542" s="17"/>
      <c r="T1542" s="17" t="s">
        <v>2972</v>
      </c>
      <c r="U1542" s="17" t="s">
        <v>3055</v>
      </c>
      <c r="V1542" s="17" t="s">
        <v>3056</v>
      </c>
      <c r="W1542" s="17"/>
      <c r="X1542" s="17"/>
    </row>
    <row r="1543" spans="1:24" hidden="1">
      <c r="A1543" s="18">
        <v>1546</v>
      </c>
      <c r="B1543" s="17" t="s">
        <v>3276</v>
      </c>
      <c r="C1543" s="17" t="s">
        <v>3277</v>
      </c>
      <c r="D1543" s="17" t="s">
        <v>7</v>
      </c>
      <c r="E1543" s="17" t="s">
        <v>8</v>
      </c>
      <c r="F1543" s="17">
        <v>66</v>
      </c>
      <c r="G1543" s="17">
        <v>0</v>
      </c>
      <c r="H1543" s="17">
        <v>0</v>
      </c>
      <c r="I1543" s="17">
        <v>66</v>
      </c>
      <c r="J1543" s="17">
        <v>0</v>
      </c>
      <c r="K1543" s="17">
        <v>0</v>
      </c>
      <c r="L1543" s="17">
        <v>66</v>
      </c>
      <c r="M1543" s="17">
        <v>0</v>
      </c>
      <c r="N1543" s="17">
        <v>0</v>
      </c>
      <c r="O1543" s="17">
        <v>66</v>
      </c>
      <c r="P1543" s="17">
        <v>1000</v>
      </c>
      <c r="Q1543" s="17">
        <v>-934</v>
      </c>
      <c r="R1543" s="17">
        <v>0</v>
      </c>
      <c r="S1543" s="17"/>
      <c r="T1543" s="17" t="s">
        <v>2965</v>
      </c>
      <c r="U1543" s="17" t="s">
        <v>3055</v>
      </c>
      <c r="V1543" s="17" t="s">
        <v>3056</v>
      </c>
      <c r="W1543" s="17"/>
      <c r="X1543" s="17"/>
    </row>
    <row r="1544" spans="1:24" hidden="1">
      <c r="A1544" s="18">
        <v>1547</v>
      </c>
      <c r="B1544" s="17" t="s">
        <v>3278</v>
      </c>
      <c r="C1544" s="17" t="s">
        <v>3279</v>
      </c>
      <c r="D1544" s="17" t="s">
        <v>7</v>
      </c>
      <c r="E1544" s="17" t="s">
        <v>8</v>
      </c>
      <c r="F1544" s="17">
        <v>3442.8</v>
      </c>
      <c r="G1544" s="17">
        <v>0</v>
      </c>
      <c r="H1544" s="17">
        <v>472</v>
      </c>
      <c r="I1544" s="17">
        <v>2970.8</v>
      </c>
      <c r="J1544" s="17">
        <v>0</v>
      </c>
      <c r="K1544" s="17">
        <v>0</v>
      </c>
      <c r="L1544" s="17">
        <v>2970.8</v>
      </c>
      <c r="M1544" s="17">
        <v>0</v>
      </c>
      <c r="N1544" s="17">
        <v>0</v>
      </c>
      <c r="O1544" s="17">
        <v>2970.8</v>
      </c>
      <c r="P1544" s="17">
        <v>1000</v>
      </c>
      <c r="Q1544" s="17">
        <v>1970.8000000000002</v>
      </c>
      <c r="R1544" s="17">
        <v>0</v>
      </c>
      <c r="S1544" s="17"/>
      <c r="T1544" s="17" t="s">
        <v>2965</v>
      </c>
      <c r="U1544" s="17" t="s">
        <v>3055</v>
      </c>
      <c r="V1544" s="17" t="s">
        <v>3056</v>
      </c>
      <c r="W1544" s="17"/>
      <c r="X1544" s="17"/>
    </row>
    <row r="1545" spans="1:24" hidden="1">
      <c r="A1545" s="18">
        <v>1548</v>
      </c>
      <c r="B1545" s="17" t="s">
        <v>2923</v>
      </c>
      <c r="C1545" s="17" t="s">
        <v>2924</v>
      </c>
      <c r="D1545" s="17" t="s">
        <v>17</v>
      </c>
      <c r="E1545" s="17" t="s">
        <v>8</v>
      </c>
      <c r="F1545" s="17">
        <v>673</v>
      </c>
      <c r="G1545" s="17">
        <v>0</v>
      </c>
      <c r="H1545" s="17">
        <v>41</v>
      </c>
      <c r="I1545" s="17">
        <v>632</v>
      </c>
      <c r="J1545" s="17">
        <v>0</v>
      </c>
      <c r="K1545" s="17">
        <v>0</v>
      </c>
      <c r="L1545" s="17">
        <v>632</v>
      </c>
      <c r="M1545" s="17">
        <v>0</v>
      </c>
      <c r="N1545" s="17">
        <v>0</v>
      </c>
      <c r="O1545" s="17">
        <v>632</v>
      </c>
      <c r="P1545" s="17">
        <v>150</v>
      </c>
      <c r="Q1545" s="17">
        <v>482</v>
      </c>
      <c r="R1545" s="17">
        <v>0</v>
      </c>
      <c r="S1545" s="17"/>
      <c r="T1545" s="17" t="s">
        <v>2991</v>
      </c>
      <c r="U1545" s="17" t="s">
        <v>3060</v>
      </c>
      <c r="V1545" s="17" t="s">
        <v>3058</v>
      </c>
      <c r="W1545" s="17"/>
      <c r="X1545" s="17"/>
    </row>
    <row r="1546" spans="1:24" hidden="1">
      <c r="A1546" s="18">
        <v>1549</v>
      </c>
      <c r="B1546" s="17" t="s">
        <v>3280</v>
      </c>
      <c r="C1546" s="17" t="s">
        <v>3281</v>
      </c>
      <c r="D1546" s="17" t="s">
        <v>17</v>
      </c>
      <c r="E1546" s="17" t="s">
        <v>8</v>
      </c>
      <c r="F1546" s="17">
        <v>500</v>
      </c>
      <c r="G1546" s="17">
        <v>20000</v>
      </c>
      <c r="H1546" s="17">
        <v>5049</v>
      </c>
      <c r="I1546" s="17">
        <v>15451</v>
      </c>
      <c r="J1546" s="17">
        <v>0</v>
      </c>
      <c r="K1546" s="17">
        <v>0</v>
      </c>
      <c r="L1546" s="17">
        <v>15451</v>
      </c>
      <c r="M1546" s="17">
        <v>0</v>
      </c>
      <c r="N1546" s="17">
        <v>0</v>
      </c>
      <c r="O1546" s="17">
        <v>15451</v>
      </c>
      <c r="P1546" s="17">
        <v>15000</v>
      </c>
      <c r="Q1546" s="17">
        <v>451</v>
      </c>
      <c r="R1546" s="17">
        <v>10000</v>
      </c>
      <c r="S1546" s="17"/>
      <c r="T1546" s="17" t="s">
        <v>2972</v>
      </c>
      <c r="U1546" s="17" t="s">
        <v>3057</v>
      </c>
      <c r="V1546" s="17" t="s">
        <v>3056</v>
      </c>
      <c r="W1546" s="17"/>
      <c r="X1546" s="17"/>
    </row>
    <row r="1547" spans="1:24" s="40" customFormat="1" hidden="1">
      <c r="A1547" s="26">
        <v>1550</v>
      </c>
      <c r="B1547" s="25" t="s">
        <v>3282</v>
      </c>
      <c r="C1547" s="25" t="s">
        <v>3283</v>
      </c>
      <c r="D1547" s="25" t="s">
        <v>7</v>
      </c>
      <c r="E1547" s="25" t="s">
        <v>8</v>
      </c>
      <c r="F1547" s="25">
        <v>4100</v>
      </c>
      <c r="G1547" s="25">
        <v>0</v>
      </c>
      <c r="H1547" s="25">
        <v>0</v>
      </c>
      <c r="I1547" s="17">
        <v>4100</v>
      </c>
      <c r="J1547" s="17">
        <v>0</v>
      </c>
      <c r="K1547" s="17">
        <v>0</v>
      </c>
      <c r="L1547" s="17">
        <v>4100</v>
      </c>
      <c r="M1547" s="17">
        <v>0</v>
      </c>
      <c r="N1547" s="17">
        <v>0</v>
      </c>
      <c r="O1547" s="25">
        <v>4100</v>
      </c>
      <c r="P1547" s="25">
        <v>7200</v>
      </c>
      <c r="Q1547" s="25">
        <v>-3100</v>
      </c>
      <c r="R1547" s="25">
        <v>10000</v>
      </c>
      <c r="S1547" s="25"/>
      <c r="T1547" s="25" t="s">
        <v>2972</v>
      </c>
      <c r="U1547" s="25" t="s">
        <v>3057</v>
      </c>
      <c r="V1547" s="25" t="s">
        <v>3056</v>
      </c>
      <c r="W1547" s="25"/>
      <c r="X1547" s="25"/>
    </row>
    <row r="1548" spans="1:24" s="40" customFormat="1" hidden="1">
      <c r="A1548" s="26">
        <v>1551</v>
      </c>
      <c r="B1548" s="25" t="s">
        <v>3284</v>
      </c>
      <c r="C1548" s="25" t="s">
        <v>3285</v>
      </c>
      <c r="D1548" s="25" t="s">
        <v>7</v>
      </c>
      <c r="E1548" s="25" t="s">
        <v>8</v>
      </c>
      <c r="F1548" s="25">
        <v>1200</v>
      </c>
      <c r="G1548" s="25">
        <v>0</v>
      </c>
      <c r="H1548" s="25">
        <v>0</v>
      </c>
      <c r="I1548" s="17">
        <v>1200</v>
      </c>
      <c r="J1548" s="17">
        <v>0</v>
      </c>
      <c r="K1548" s="17">
        <v>0</v>
      </c>
      <c r="L1548" s="17">
        <v>1200</v>
      </c>
      <c r="M1548" s="17">
        <v>0</v>
      </c>
      <c r="N1548" s="17">
        <v>0</v>
      </c>
      <c r="O1548" s="25">
        <v>1200</v>
      </c>
      <c r="P1548" s="25">
        <v>7200</v>
      </c>
      <c r="Q1548" s="25">
        <v>-6000</v>
      </c>
      <c r="R1548" s="25">
        <v>10000</v>
      </c>
      <c r="S1548" s="25"/>
      <c r="T1548" s="25" t="s">
        <v>2972</v>
      </c>
      <c r="U1548" s="25" t="s">
        <v>3057</v>
      </c>
      <c r="V1548" s="25" t="s">
        <v>3056</v>
      </c>
      <c r="W1548" s="25"/>
      <c r="X1548" s="25"/>
    </row>
    <row r="1549" spans="1:24" s="40" customFormat="1" hidden="1">
      <c r="A1549" s="26">
        <v>1552</v>
      </c>
      <c r="B1549" s="25" t="s">
        <v>3286</v>
      </c>
      <c r="C1549" s="25" t="s">
        <v>3287</v>
      </c>
      <c r="D1549" s="25" t="s">
        <v>7</v>
      </c>
      <c r="E1549" s="25" t="s">
        <v>8</v>
      </c>
      <c r="F1549" s="25">
        <v>400</v>
      </c>
      <c r="G1549" s="25">
        <v>0</v>
      </c>
      <c r="H1549" s="25">
        <v>0</v>
      </c>
      <c r="I1549" s="17">
        <v>400</v>
      </c>
      <c r="J1549" s="17">
        <v>0</v>
      </c>
      <c r="K1549" s="17">
        <v>0</v>
      </c>
      <c r="L1549" s="17">
        <v>400</v>
      </c>
      <c r="M1549" s="17">
        <v>0</v>
      </c>
      <c r="N1549" s="17">
        <v>0</v>
      </c>
      <c r="O1549" s="25">
        <v>400</v>
      </c>
      <c r="P1549" s="25">
        <v>7200</v>
      </c>
      <c r="Q1549" s="25">
        <v>-6800</v>
      </c>
      <c r="R1549" s="25">
        <v>10000</v>
      </c>
      <c r="S1549" s="25"/>
      <c r="T1549" s="25" t="s">
        <v>2972</v>
      </c>
      <c r="U1549" s="25" t="s">
        <v>3057</v>
      </c>
      <c r="V1549" s="25" t="s">
        <v>3056</v>
      </c>
      <c r="W1549" s="25"/>
      <c r="X1549" s="25"/>
    </row>
    <row r="1550" spans="1:24" s="40" customFormat="1" hidden="1">
      <c r="A1550" s="26">
        <v>1553</v>
      </c>
      <c r="B1550" s="25" t="s">
        <v>3288</v>
      </c>
      <c r="C1550" s="25" t="s">
        <v>3289</v>
      </c>
      <c r="D1550" s="25" t="s">
        <v>7</v>
      </c>
      <c r="E1550" s="25" t="s">
        <v>8</v>
      </c>
      <c r="F1550" s="25">
        <v>1100</v>
      </c>
      <c r="G1550" s="25">
        <v>0</v>
      </c>
      <c r="H1550" s="25">
        <v>0</v>
      </c>
      <c r="I1550" s="17">
        <v>1100</v>
      </c>
      <c r="J1550" s="17">
        <v>0</v>
      </c>
      <c r="K1550" s="17">
        <v>0</v>
      </c>
      <c r="L1550" s="17">
        <v>1100</v>
      </c>
      <c r="M1550" s="17">
        <v>0</v>
      </c>
      <c r="N1550" s="17">
        <v>0</v>
      </c>
      <c r="O1550" s="25">
        <v>1100</v>
      </c>
      <c r="P1550" s="25">
        <v>7200</v>
      </c>
      <c r="Q1550" s="25">
        <v>-6100</v>
      </c>
      <c r="R1550" s="25">
        <v>10000</v>
      </c>
      <c r="S1550" s="25"/>
      <c r="T1550" s="25" t="s">
        <v>2972</v>
      </c>
      <c r="U1550" s="25" t="s">
        <v>3057</v>
      </c>
      <c r="V1550" s="25" t="s">
        <v>3056</v>
      </c>
      <c r="W1550" s="25"/>
      <c r="X1550" s="25"/>
    </row>
    <row r="1551" spans="1:24" s="40" customFormat="1" hidden="1">
      <c r="A1551" s="26">
        <v>1554</v>
      </c>
      <c r="B1551" s="25" t="s">
        <v>3290</v>
      </c>
      <c r="C1551" s="25" t="s">
        <v>3291</v>
      </c>
      <c r="D1551" s="25" t="s">
        <v>7</v>
      </c>
      <c r="E1551" s="25" t="s">
        <v>8</v>
      </c>
      <c r="F1551" s="25">
        <v>1000</v>
      </c>
      <c r="G1551" s="25">
        <v>0</v>
      </c>
      <c r="H1551" s="25">
        <v>0</v>
      </c>
      <c r="I1551" s="17">
        <v>1000</v>
      </c>
      <c r="J1551" s="17">
        <v>0</v>
      </c>
      <c r="K1551" s="17">
        <v>0</v>
      </c>
      <c r="L1551" s="17">
        <v>1000</v>
      </c>
      <c r="M1551" s="17">
        <v>0</v>
      </c>
      <c r="N1551" s="17">
        <v>0</v>
      </c>
      <c r="O1551" s="25">
        <v>1000</v>
      </c>
      <c r="P1551" s="25">
        <v>7200</v>
      </c>
      <c r="Q1551" s="25">
        <v>-6200</v>
      </c>
      <c r="R1551" s="25">
        <v>10000</v>
      </c>
      <c r="S1551" s="25"/>
      <c r="T1551" s="25" t="s">
        <v>2972</v>
      </c>
      <c r="U1551" s="25" t="s">
        <v>3057</v>
      </c>
      <c r="V1551" s="25" t="s">
        <v>3056</v>
      </c>
      <c r="W1551" s="25"/>
      <c r="X1551" s="25"/>
    </row>
    <row r="1552" spans="1:24" hidden="1">
      <c r="A1552" s="18">
        <v>1555</v>
      </c>
      <c r="B1552" s="17" t="s">
        <v>3292</v>
      </c>
      <c r="C1552" s="17" t="s">
        <v>3293</v>
      </c>
      <c r="D1552" s="17" t="s">
        <v>20</v>
      </c>
      <c r="E1552" s="17" t="s">
        <v>8</v>
      </c>
      <c r="F1552" s="17">
        <v>586.1</v>
      </c>
      <c r="G1552" s="17">
        <v>837.1</v>
      </c>
      <c r="H1552" s="17">
        <v>405.3</v>
      </c>
      <c r="I1552" s="17">
        <v>1017.9</v>
      </c>
      <c r="J1552" s="17">
        <v>0</v>
      </c>
      <c r="K1552" s="17">
        <v>0</v>
      </c>
      <c r="L1552" s="17">
        <v>1017.9</v>
      </c>
      <c r="M1552" s="17">
        <v>0</v>
      </c>
      <c r="N1552" s="17">
        <v>0</v>
      </c>
      <c r="O1552" s="17">
        <v>1017.9</v>
      </c>
      <c r="P1552" s="17">
        <v>600</v>
      </c>
      <c r="Q1552" s="17">
        <v>417.9</v>
      </c>
      <c r="R1552" s="17">
        <v>750</v>
      </c>
      <c r="S1552" s="17"/>
      <c r="T1552" s="17" t="s">
        <v>2972</v>
      </c>
      <c r="U1552" s="17" t="s">
        <v>3057</v>
      </c>
      <c r="V1552" s="17" t="s">
        <v>3056</v>
      </c>
      <c r="W1552" s="17"/>
      <c r="X1552" s="17"/>
    </row>
    <row r="1553" spans="1:24" hidden="1">
      <c r="A1553" s="18">
        <v>1556</v>
      </c>
      <c r="B1553" s="17" t="s">
        <v>3294</v>
      </c>
      <c r="C1553" s="17" t="s">
        <v>3295</v>
      </c>
      <c r="D1553" s="17" t="s">
        <v>17</v>
      </c>
      <c r="E1553" s="17" t="s">
        <v>8</v>
      </c>
      <c r="F1553" s="17">
        <v>18000</v>
      </c>
      <c r="G1553" s="17">
        <v>0</v>
      </c>
      <c r="H1553" s="17">
        <v>8500</v>
      </c>
      <c r="I1553" s="17">
        <v>9500</v>
      </c>
      <c r="J1553" s="17">
        <v>0</v>
      </c>
      <c r="K1553" s="17">
        <v>0</v>
      </c>
      <c r="L1553" s="17">
        <v>9500</v>
      </c>
      <c r="M1553" s="17">
        <v>0</v>
      </c>
      <c r="N1553" s="17">
        <v>0</v>
      </c>
      <c r="O1553" s="17">
        <v>9500</v>
      </c>
      <c r="P1553" s="17">
        <v>12000</v>
      </c>
      <c r="Q1553" s="17">
        <v>-2500</v>
      </c>
      <c r="R1553" s="17">
        <v>0</v>
      </c>
      <c r="S1553" s="17"/>
      <c r="T1553" s="17" t="s">
        <v>2972</v>
      </c>
      <c r="U1553" s="17" t="s">
        <v>3055</v>
      </c>
      <c r="V1553" s="17" t="s">
        <v>3056</v>
      </c>
      <c r="W1553" s="17"/>
      <c r="X1553" s="17"/>
    </row>
    <row r="1554" spans="1:24" hidden="1">
      <c r="A1554" s="18">
        <v>1557</v>
      </c>
      <c r="B1554" s="17" t="s">
        <v>3296</v>
      </c>
      <c r="C1554" s="17" t="s">
        <v>3297</v>
      </c>
      <c r="D1554" s="17" t="s">
        <v>17</v>
      </c>
      <c r="E1554" s="17" t="s">
        <v>8</v>
      </c>
      <c r="F1554" s="17">
        <v>114</v>
      </c>
      <c r="G1554" s="17">
        <v>0</v>
      </c>
      <c r="H1554" s="17">
        <v>50</v>
      </c>
      <c r="I1554" s="17">
        <v>64</v>
      </c>
      <c r="J1554" s="17">
        <v>0</v>
      </c>
      <c r="K1554" s="17">
        <v>0</v>
      </c>
      <c r="L1554" s="17">
        <v>64</v>
      </c>
      <c r="M1554" s="17">
        <v>0</v>
      </c>
      <c r="N1554" s="17">
        <v>0</v>
      </c>
      <c r="O1554" s="17">
        <v>64</v>
      </c>
      <c r="P1554" s="17">
        <v>500</v>
      </c>
      <c r="Q1554" s="17">
        <v>-436</v>
      </c>
      <c r="R1554" s="17">
        <v>100</v>
      </c>
      <c r="S1554" s="17"/>
      <c r="T1554" s="17" t="s">
        <v>2972</v>
      </c>
      <c r="U1554" s="17" t="s">
        <v>3055</v>
      </c>
      <c r="V1554" s="17" t="s">
        <v>3056</v>
      </c>
      <c r="W1554" s="17"/>
      <c r="X1554" s="17"/>
    </row>
    <row r="1555" spans="1:24" hidden="1">
      <c r="A1555" s="18">
        <v>1558</v>
      </c>
      <c r="B1555" s="17" t="s">
        <v>3298</v>
      </c>
      <c r="C1555" s="17" t="s">
        <v>3299</v>
      </c>
      <c r="D1555" s="17" t="s">
        <v>17</v>
      </c>
      <c r="E1555" s="17" t="s">
        <v>8</v>
      </c>
      <c r="F1555" s="17">
        <v>0</v>
      </c>
      <c r="G1555" s="17">
        <v>0</v>
      </c>
      <c r="H1555" s="17">
        <v>0</v>
      </c>
      <c r="I1555" s="17">
        <v>0</v>
      </c>
      <c r="J1555" s="17">
        <v>0</v>
      </c>
      <c r="K1555" s="17">
        <v>0</v>
      </c>
      <c r="L1555" s="17">
        <v>0</v>
      </c>
      <c r="M1555" s="17">
        <v>0</v>
      </c>
      <c r="N1555" s="17">
        <v>0</v>
      </c>
      <c r="O1555" s="17">
        <v>0</v>
      </c>
      <c r="P1555" s="17">
        <v>0</v>
      </c>
      <c r="Q1555" s="17">
        <v>0</v>
      </c>
      <c r="R1555" s="17">
        <v>0</v>
      </c>
      <c r="S1555" s="17"/>
      <c r="T1555" s="17" t="s">
        <v>2972</v>
      </c>
      <c r="U1555" s="17" t="s">
        <v>3057</v>
      </c>
      <c r="V1555" s="17" t="s">
        <v>3056</v>
      </c>
      <c r="W1555" s="17"/>
      <c r="X1555" s="17"/>
    </row>
    <row r="1556" spans="1:24" hidden="1">
      <c r="A1556" s="18">
        <v>1559</v>
      </c>
      <c r="B1556" s="17" t="s">
        <v>3300</v>
      </c>
      <c r="C1556" s="17" t="s">
        <v>3301</v>
      </c>
      <c r="D1556" s="17" t="s">
        <v>17</v>
      </c>
      <c r="E1556" s="17" t="s">
        <v>8</v>
      </c>
      <c r="F1556" s="17">
        <v>300</v>
      </c>
      <c r="G1556" s="17">
        <v>0</v>
      </c>
      <c r="H1556" s="17">
        <v>0</v>
      </c>
      <c r="I1556" s="17">
        <v>300</v>
      </c>
      <c r="J1556" s="17">
        <v>0</v>
      </c>
      <c r="K1556" s="17">
        <v>0</v>
      </c>
      <c r="L1556" s="17">
        <v>300</v>
      </c>
      <c r="M1556" s="17">
        <v>0</v>
      </c>
      <c r="N1556" s="17">
        <v>0</v>
      </c>
      <c r="O1556" s="17">
        <v>300</v>
      </c>
      <c r="P1556" s="17">
        <v>0</v>
      </c>
      <c r="Q1556" s="17">
        <v>300</v>
      </c>
      <c r="R1556" s="17">
        <v>0</v>
      </c>
      <c r="S1556" s="17"/>
      <c r="T1556" s="17" t="s">
        <v>2972</v>
      </c>
      <c r="U1556" s="17" t="s">
        <v>3057</v>
      </c>
      <c r="V1556" s="17" t="s">
        <v>3056</v>
      </c>
      <c r="W1556" s="17"/>
      <c r="X1556" s="17"/>
    </row>
    <row r="1557" spans="1:24" hidden="1">
      <c r="A1557" s="18">
        <v>1560</v>
      </c>
      <c r="B1557" s="17" t="s">
        <v>3302</v>
      </c>
      <c r="C1557" s="17" t="s">
        <v>3303</v>
      </c>
      <c r="D1557" s="17" t="s">
        <v>7</v>
      </c>
      <c r="E1557" s="17" t="s">
        <v>8</v>
      </c>
      <c r="F1557" s="17">
        <v>600</v>
      </c>
      <c r="G1557" s="17">
        <v>0</v>
      </c>
      <c r="H1557" s="17">
        <v>300</v>
      </c>
      <c r="I1557" s="17">
        <v>300</v>
      </c>
      <c r="J1557" s="17">
        <v>0</v>
      </c>
      <c r="K1557" s="17">
        <v>0</v>
      </c>
      <c r="L1557" s="17">
        <v>300</v>
      </c>
      <c r="M1557" s="17">
        <v>0</v>
      </c>
      <c r="N1557" s="17">
        <v>0</v>
      </c>
      <c r="O1557" s="17">
        <v>300</v>
      </c>
      <c r="P1557" s="17">
        <v>500</v>
      </c>
      <c r="Q1557" s="17">
        <v>-200</v>
      </c>
      <c r="R1557" s="17">
        <v>0</v>
      </c>
      <c r="S1557" s="17"/>
      <c r="T1557" s="17" t="s">
        <v>2991</v>
      </c>
      <c r="U1557" s="17" t="s">
        <v>3057</v>
      </c>
      <c r="V1557" s="17" t="s">
        <v>3056</v>
      </c>
      <c r="W1557" s="17"/>
      <c r="X1557" s="17"/>
    </row>
    <row r="1558" spans="1:24" hidden="1">
      <c r="A1558" s="18">
        <v>1561</v>
      </c>
      <c r="B1558" s="17" t="s">
        <v>3304</v>
      </c>
      <c r="C1558" s="17" t="s">
        <v>3305</v>
      </c>
      <c r="D1558" s="17" t="s">
        <v>17</v>
      </c>
      <c r="E1558" s="17" t="s">
        <v>8</v>
      </c>
      <c r="F1558" s="17">
        <v>25917</v>
      </c>
      <c r="G1558" s="17">
        <v>0</v>
      </c>
      <c r="H1558" s="17">
        <v>0</v>
      </c>
      <c r="I1558" s="17">
        <v>25917</v>
      </c>
      <c r="J1558" s="17">
        <v>0</v>
      </c>
      <c r="K1558" s="17">
        <v>0</v>
      </c>
      <c r="L1558" s="17">
        <v>25917</v>
      </c>
      <c r="M1558" s="17">
        <v>0</v>
      </c>
      <c r="N1558" s="17">
        <v>0</v>
      </c>
      <c r="O1558" s="17">
        <v>25917</v>
      </c>
      <c r="P1558" s="17">
        <v>10000</v>
      </c>
      <c r="Q1558" s="17">
        <v>15917</v>
      </c>
      <c r="R1558" s="17">
        <v>0</v>
      </c>
      <c r="S1558" s="17"/>
      <c r="T1558" s="17" t="s">
        <v>2972</v>
      </c>
      <c r="U1558" s="17" t="s">
        <v>3055</v>
      </c>
      <c r="V1558" s="17" t="s">
        <v>3056</v>
      </c>
      <c r="W1558" s="17"/>
      <c r="X1558" s="17"/>
    </row>
    <row r="1559" spans="1:24" hidden="1">
      <c r="A1559" s="18">
        <v>1562</v>
      </c>
      <c r="B1559" s="17" t="s">
        <v>3306</v>
      </c>
      <c r="C1559" s="17" t="s">
        <v>3307</v>
      </c>
      <c r="D1559" s="17" t="s">
        <v>17</v>
      </c>
      <c r="E1559" s="17" t="s">
        <v>8</v>
      </c>
      <c r="F1559" s="17">
        <v>8041</v>
      </c>
      <c r="G1559" s="17">
        <v>8241</v>
      </c>
      <c r="H1559" s="17">
        <v>3591</v>
      </c>
      <c r="I1559" s="17">
        <v>12691</v>
      </c>
      <c r="J1559" s="17">
        <v>0</v>
      </c>
      <c r="K1559" s="17">
        <v>0</v>
      </c>
      <c r="L1559" s="17">
        <v>12691</v>
      </c>
      <c r="M1559" s="17">
        <v>2350</v>
      </c>
      <c r="N1559" s="17">
        <v>0</v>
      </c>
      <c r="O1559" s="17">
        <v>15041</v>
      </c>
      <c r="P1559" s="17">
        <v>5000</v>
      </c>
      <c r="Q1559" s="17">
        <v>10041</v>
      </c>
      <c r="R1559" s="17">
        <v>10000</v>
      </c>
      <c r="S1559" s="17"/>
      <c r="T1559" s="17" t="s">
        <v>2972</v>
      </c>
      <c r="U1559" s="17" t="s">
        <v>3055</v>
      </c>
      <c r="V1559" s="17" t="s">
        <v>3056</v>
      </c>
      <c r="W1559" s="17"/>
      <c r="X1559" s="17"/>
    </row>
    <row r="1560" spans="1:24" hidden="1">
      <c r="A1560" s="18">
        <v>1563</v>
      </c>
      <c r="B1560" s="17" t="s">
        <v>3308</v>
      </c>
      <c r="C1560" s="17" t="s">
        <v>3309</v>
      </c>
      <c r="D1560" s="17" t="s">
        <v>17</v>
      </c>
      <c r="E1560" s="17" t="s">
        <v>8</v>
      </c>
      <c r="F1560" s="17">
        <v>1400</v>
      </c>
      <c r="G1560" s="17">
        <v>0</v>
      </c>
      <c r="H1560" s="17">
        <v>100</v>
      </c>
      <c r="I1560" s="17">
        <v>1300</v>
      </c>
      <c r="J1560" s="17">
        <v>0</v>
      </c>
      <c r="K1560" s="17">
        <v>0</v>
      </c>
      <c r="L1560" s="17">
        <v>1300</v>
      </c>
      <c r="M1560" s="17">
        <v>0</v>
      </c>
      <c r="N1560" s="17">
        <v>0</v>
      </c>
      <c r="O1560" s="17">
        <v>1300</v>
      </c>
      <c r="P1560" s="17">
        <v>500</v>
      </c>
      <c r="Q1560" s="17">
        <v>800</v>
      </c>
      <c r="R1560" s="17">
        <v>0</v>
      </c>
      <c r="S1560" s="17"/>
      <c r="T1560" s="17" t="s">
        <v>2972</v>
      </c>
      <c r="U1560" s="17" t="s">
        <v>3055</v>
      </c>
      <c r="V1560" s="17" t="s">
        <v>3056</v>
      </c>
      <c r="W1560" s="17"/>
      <c r="X1560" s="17"/>
    </row>
    <row r="1561" spans="1:24" hidden="1">
      <c r="A1561" s="18">
        <v>1564</v>
      </c>
      <c r="B1561" s="17" t="s">
        <v>3310</v>
      </c>
      <c r="C1561" s="17" t="s">
        <v>3311</v>
      </c>
      <c r="D1561" s="17" t="s">
        <v>17</v>
      </c>
      <c r="E1561" s="17" t="s">
        <v>8</v>
      </c>
      <c r="F1561" s="17">
        <v>2459</v>
      </c>
      <c r="G1561" s="17">
        <v>0</v>
      </c>
      <c r="H1561" s="17">
        <v>159</v>
      </c>
      <c r="I1561" s="17">
        <v>2300</v>
      </c>
      <c r="J1561" s="17">
        <v>0</v>
      </c>
      <c r="K1561" s="17">
        <v>0</v>
      </c>
      <c r="L1561" s="17">
        <v>2300</v>
      </c>
      <c r="M1561" s="17">
        <v>0</v>
      </c>
      <c r="N1561" s="17">
        <v>0</v>
      </c>
      <c r="O1561" s="17">
        <v>2300</v>
      </c>
      <c r="P1561" s="17">
        <v>500</v>
      </c>
      <c r="Q1561" s="17">
        <v>1800</v>
      </c>
      <c r="R1561" s="17">
        <v>0</v>
      </c>
      <c r="S1561" s="17"/>
      <c r="T1561" s="17" t="s">
        <v>2972</v>
      </c>
      <c r="U1561" s="17" t="s">
        <v>3055</v>
      </c>
      <c r="V1561" s="17" t="s">
        <v>3056</v>
      </c>
      <c r="W1561" s="17"/>
      <c r="X1561" s="17"/>
    </row>
    <row r="1562" spans="1:24" hidden="1">
      <c r="A1562" s="18">
        <v>1565</v>
      </c>
      <c r="B1562" s="17" t="s">
        <v>3312</v>
      </c>
      <c r="C1562" s="17" t="s">
        <v>3313</v>
      </c>
      <c r="D1562" s="17" t="s">
        <v>17</v>
      </c>
      <c r="E1562" s="17" t="s">
        <v>8</v>
      </c>
      <c r="F1562" s="17">
        <v>705</v>
      </c>
      <c r="G1562" s="17">
        <v>0</v>
      </c>
      <c r="H1562" s="17">
        <v>0</v>
      </c>
      <c r="I1562" s="17">
        <v>705</v>
      </c>
      <c r="J1562" s="17">
        <v>0</v>
      </c>
      <c r="K1562" s="17">
        <v>0</v>
      </c>
      <c r="L1562" s="17">
        <v>705</v>
      </c>
      <c r="M1562" s="17">
        <v>0</v>
      </c>
      <c r="N1562" s="17">
        <v>0</v>
      </c>
      <c r="O1562" s="17">
        <v>705</v>
      </c>
      <c r="P1562" s="17">
        <v>500</v>
      </c>
      <c r="Q1562" s="17">
        <v>205</v>
      </c>
      <c r="R1562" s="17">
        <v>0</v>
      </c>
      <c r="S1562" s="17"/>
      <c r="T1562" s="17" t="s">
        <v>2972</v>
      </c>
      <c r="U1562" s="17" t="s">
        <v>3055</v>
      </c>
      <c r="V1562" s="17" t="s">
        <v>3056</v>
      </c>
      <c r="W1562" s="17"/>
      <c r="X1562" s="17"/>
    </row>
    <row r="1563" spans="1:24" hidden="1">
      <c r="A1563" s="18">
        <v>1566</v>
      </c>
      <c r="B1563" s="17" t="s">
        <v>3314</v>
      </c>
      <c r="C1563" s="17" t="s">
        <v>3315</v>
      </c>
      <c r="D1563" s="17" t="s">
        <v>17</v>
      </c>
      <c r="E1563" s="17" t="s">
        <v>8</v>
      </c>
      <c r="F1563" s="17">
        <v>552</v>
      </c>
      <c r="G1563" s="17">
        <v>0</v>
      </c>
      <c r="H1563" s="17">
        <v>0</v>
      </c>
      <c r="I1563" s="17">
        <v>552</v>
      </c>
      <c r="J1563" s="17">
        <v>0</v>
      </c>
      <c r="K1563" s="17">
        <v>0</v>
      </c>
      <c r="L1563" s="17">
        <v>552</v>
      </c>
      <c r="M1563" s="17">
        <v>0</v>
      </c>
      <c r="N1563" s="17">
        <v>0</v>
      </c>
      <c r="O1563" s="17">
        <v>552</v>
      </c>
      <c r="P1563" s="17">
        <v>200</v>
      </c>
      <c r="Q1563" s="17">
        <v>352</v>
      </c>
      <c r="R1563" s="17">
        <v>0</v>
      </c>
      <c r="S1563" s="17"/>
      <c r="T1563" s="17" t="s">
        <v>2972</v>
      </c>
      <c r="U1563" s="17" t="s">
        <v>3055</v>
      </c>
      <c r="V1563" s="17" t="s">
        <v>3056</v>
      </c>
      <c r="W1563" s="17"/>
      <c r="X1563" s="17"/>
    </row>
    <row r="1564" spans="1:24" hidden="1">
      <c r="A1564" s="18">
        <v>1567</v>
      </c>
      <c r="B1564" s="17" t="s">
        <v>3316</v>
      </c>
      <c r="C1564" s="17" t="s">
        <v>3317</v>
      </c>
      <c r="D1564" s="17" t="s">
        <v>17</v>
      </c>
      <c r="E1564" s="17" t="s">
        <v>8</v>
      </c>
      <c r="F1564" s="17">
        <v>3956</v>
      </c>
      <c r="G1564" s="17">
        <v>106</v>
      </c>
      <c r="H1564" s="17">
        <v>0</v>
      </c>
      <c r="I1564" s="17">
        <v>4062</v>
      </c>
      <c r="J1564" s="17">
        <v>0</v>
      </c>
      <c r="K1564" s="17">
        <v>0</v>
      </c>
      <c r="L1564" s="17">
        <v>4062</v>
      </c>
      <c r="M1564" s="17">
        <v>0</v>
      </c>
      <c r="N1564" s="17">
        <v>0</v>
      </c>
      <c r="O1564" s="17">
        <v>4062</v>
      </c>
      <c r="P1564" s="17">
        <v>500</v>
      </c>
      <c r="Q1564" s="17">
        <v>3562</v>
      </c>
      <c r="R1564" s="17">
        <v>0</v>
      </c>
      <c r="S1564" s="17"/>
      <c r="T1564" s="17" t="s">
        <v>2972</v>
      </c>
      <c r="U1564" s="17" t="s">
        <v>3055</v>
      </c>
      <c r="V1564" s="17" t="s">
        <v>3056</v>
      </c>
      <c r="W1564" s="17"/>
      <c r="X1564" s="17"/>
    </row>
    <row r="1565" spans="1:24" hidden="1">
      <c r="A1565" s="18">
        <v>1568</v>
      </c>
      <c r="B1565" s="17" t="s">
        <v>3318</v>
      </c>
      <c r="C1565" s="17" t="s">
        <v>3319</v>
      </c>
      <c r="D1565" s="17" t="s">
        <v>17</v>
      </c>
      <c r="E1565" s="17" t="s">
        <v>8</v>
      </c>
      <c r="F1565" s="17">
        <v>2655</v>
      </c>
      <c r="G1565" s="17">
        <v>0</v>
      </c>
      <c r="H1565" s="17">
        <v>0</v>
      </c>
      <c r="I1565" s="17">
        <v>2655</v>
      </c>
      <c r="J1565" s="17">
        <v>0</v>
      </c>
      <c r="K1565" s="17">
        <v>0</v>
      </c>
      <c r="L1565" s="17">
        <v>2655</v>
      </c>
      <c r="M1565" s="17">
        <v>0</v>
      </c>
      <c r="N1565" s="17">
        <v>0</v>
      </c>
      <c r="O1565" s="17">
        <v>2655</v>
      </c>
      <c r="P1565" s="17">
        <v>500</v>
      </c>
      <c r="Q1565" s="17">
        <v>2155</v>
      </c>
      <c r="R1565" s="17">
        <v>0</v>
      </c>
      <c r="S1565" s="17"/>
      <c r="T1565" s="17" t="s">
        <v>2972</v>
      </c>
      <c r="U1565" s="17" t="s">
        <v>3055</v>
      </c>
      <c r="V1565" s="17" t="s">
        <v>3056</v>
      </c>
      <c r="W1565" s="17"/>
      <c r="X1565" s="17"/>
    </row>
    <row r="1566" spans="1:24" hidden="1">
      <c r="A1566" s="18">
        <v>1569</v>
      </c>
      <c r="B1566" s="17" t="s">
        <v>3320</v>
      </c>
      <c r="C1566" s="17" t="s">
        <v>3321</v>
      </c>
      <c r="D1566" s="17" t="s">
        <v>17</v>
      </c>
      <c r="E1566" s="17" t="s">
        <v>8</v>
      </c>
      <c r="F1566" s="17">
        <v>3027</v>
      </c>
      <c r="G1566" s="17">
        <v>204</v>
      </c>
      <c r="H1566" s="17">
        <v>100</v>
      </c>
      <c r="I1566" s="17">
        <v>3131</v>
      </c>
      <c r="J1566" s="17">
        <v>0</v>
      </c>
      <c r="K1566" s="17">
        <v>0</v>
      </c>
      <c r="L1566" s="17">
        <v>3131</v>
      </c>
      <c r="M1566" s="17">
        <v>0</v>
      </c>
      <c r="N1566" s="17">
        <v>0</v>
      </c>
      <c r="O1566" s="17">
        <v>3131</v>
      </c>
      <c r="P1566" s="17">
        <v>500</v>
      </c>
      <c r="Q1566" s="17">
        <v>2631</v>
      </c>
      <c r="R1566" s="17">
        <v>0</v>
      </c>
      <c r="S1566" s="17"/>
      <c r="T1566" s="17" t="s">
        <v>2972</v>
      </c>
      <c r="U1566" s="17" t="s">
        <v>3055</v>
      </c>
      <c r="V1566" s="17" t="s">
        <v>3056</v>
      </c>
      <c r="W1566" s="17"/>
      <c r="X1566" s="17"/>
    </row>
    <row r="1567" spans="1:24" hidden="1">
      <c r="A1567" s="18">
        <v>1570</v>
      </c>
      <c r="B1567" s="17" t="s">
        <v>3322</v>
      </c>
      <c r="C1567" s="17" t="s">
        <v>3323</v>
      </c>
      <c r="D1567" s="17" t="s">
        <v>17</v>
      </c>
      <c r="E1567" s="17" t="s">
        <v>8</v>
      </c>
      <c r="F1567" s="17">
        <v>2916</v>
      </c>
      <c r="G1567" s="17">
        <v>0</v>
      </c>
      <c r="H1567" s="17">
        <v>600</v>
      </c>
      <c r="I1567" s="17">
        <v>2316</v>
      </c>
      <c r="J1567" s="17">
        <v>0</v>
      </c>
      <c r="K1567" s="17">
        <v>0</v>
      </c>
      <c r="L1567" s="17">
        <v>2316</v>
      </c>
      <c r="M1567" s="17">
        <v>0</v>
      </c>
      <c r="N1567" s="17">
        <v>0</v>
      </c>
      <c r="O1567" s="17">
        <v>2316</v>
      </c>
      <c r="P1567" s="17">
        <v>1000</v>
      </c>
      <c r="Q1567" s="17">
        <v>1316</v>
      </c>
      <c r="R1567" s="17">
        <v>0</v>
      </c>
      <c r="S1567" s="17"/>
      <c r="T1567" s="17" t="s">
        <v>2972</v>
      </c>
      <c r="U1567" s="17" t="s">
        <v>3055</v>
      </c>
      <c r="V1567" s="17" t="s">
        <v>3056</v>
      </c>
      <c r="W1567" s="17"/>
      <c r="X1567" s="17"/>
    </row>
    <row r="1568" spans="1:24" hidden="1">
      <c r="A1568" s="18">
        <v>1571</v>
      </c>
      <c r="B1568" s="17" t="s">
        <v>3324</v>
      </c>
      <c r="C1568" s="17" t="s">
        <v>3325</v>
      </c>
      <c r="D1568" s="17" t="s">
        <v>17</v>
      </c>
      <c r="E1568" s="17" t="s">
        <v>8</v>
      </c>
      <c r="F1568" s="17">
        <v>1092</v>
      </c>
      <c r="G1568" s="17">
        <v>0</v>
      </c>
      <c r="H1568" s="17">
        <v>0</v>
      </c>
      <c r="I1568" s="17">
        <v>1092</v>
      </c>
      <c r="J1568" s="17">
        <v>0</v>
      </c>
      <c r="K1568" s="17">
        <v>0</v>
      </c>
      <c r="L1568" s="17">
        <v>1092</v>
      </c>
      <c r="M1568" s="17">
        <v>0</v>
      </c>
      <c r="N1568" s="17">
        <v>0</v>
      </c>
      <c r="O1568" s="17">
        <v>1092</v>
      </c>
      <c r="P1568" s="17">
        <v>250</v>
      </c>
      <c r="Q1568" s="17">
        <v>842</v>
      </c>
      <c r="R1568" s="17">
        <v>0</v>
      </c>
      <c r="S1568" s="17"/>
      <c r="T1568" s="17" t="s">
        <v>2972</v>
      </c>
      <c r="U1568" s="17" t="s">
        <v>3055</v>
      </c>
      <c r="V1568" s="17" t="s">
        <v>3056</v>
      </c>
      <c r="W1568" s="17"/>
      <c r="X1568" s="17"/>
    </row>
    <row r="1569" spans="1:24" hidden="1">
      <c r="A1569" s="18">
        <v>1572</v>
      </c>
      <c r="B1569" s="17" t="s">
        <v>3326</v>
      </c>
      <c r="C1569" s="17" t="s">
        <v>3327</v>
      </c>
      <c r="D1569" s="17" t="s">
        <v>17</v>
      </c>
      <c r="E1569" s="17" t="s">
        <v>8</v>
      </c>
      <c r="F1569" s="17">
        <v>8081</v>
      </c>
      <c r="G1569" s="17">
        <v>1130</v>
      </c>
      <c r="H1569" s="17">
        <v>1904</v>
      </c>
      <c r="I1569" s="17">
        <v>7307</v>
      </c>
      <c r="J1569" s="17">
        <v>0</v>
      </c>
      <c r="K1569" s="17">
        <v>0</v>
      </c>
      <c r="L1569" s="17">
        <v>7307</v>
      </c>
      <c r="M1569" s="17">
        <v>1172</v>
      </c>
      <c r="N1569" s="17">
        <v>0</v>
      </c>
      <c r="O1569" s="17">
        <v>8479</v>
      </c>
      <c r="P1569" s="17">
        <v>2000</v>
      </c>
      <c r="Q1569" s="17">
        <v>6479</v>
      </c>
      <c r="R1569" s="17">
        <v>5000</v>
      </c>
      <c r="S1569" s="17"/>
      <c r="T1569" s="17" t="s">
        <v>2972</v>
      </c>
      <c r="U1569" s="17" t="s">
        <v>3055</v>
      </c>
      <c r="V1569" s="17" t="s">
        <v>3056</v>
      </c>
      <c r="W1569" s="17"/>
      <c r="X1569" s="17"/>
    </row>
    <row r="1570" spans="1:24" hidden="1">
      <c r="A1570" s="18">
        <v>1573</v>
      </c>
      <c r="B1570" s="17" t="s">
        <v>3328</v>
      </c>
      <c r="C1570" s="17" t="s">
        <v>3329</v>
      </c>
      <c r="D1570" s="17" t="s">
        <v>17</v>
      </c>
      <c r="E1570" s="17" t="s">
        <v>8</v>
      </c>
      <c r="F1570" s="17">
        <v>1211</v>
      </c>
      <c r="G1570" s="17">
        <v>0</v>
      </c>
      <c r="H1570" s="17">
        <v>0</v>
      </c>
      <c r="I1570" s="17">
        <v>1211</v>
      </c>
      <c r="J1570" s="17">
        <v>0</v>
      </c>
      <c r="K1570" s="17">
        <v>0</v>
      </c>
      <c r="L1570" s="17">
        <v>1211</v>
      </c>
      <c r="M1570" s="17">
        <v>0</v>
      </c>
      <c r="N1570" s="17">
        <v>0</v>
      </c>
      <c r="O1570" s="17">
        <v>1211</v>
      </c>
      <c r="P1570" s="17">
        <v>250</v>
      </c>
      <c r="Q1570" s="17">
        <v>961</v>
      </c>
      <c r="R1570" s="17">
        <v>0</v>
      </c>
      <c r="S1570" s="17"/>
      <c r="T1570" s="17" t="s">
        <v>2972</v>
      </c>
      <c r="U1570" s="17" t="s">
        <v>3055</v>
      </c>
      <c r="V1570" s="17" t="s">
        <v>3056</v>
      </c>
      <c r="W1570" s="17"/>
      <c r="X1570" s="17"/>
    </row>
    <row r="1571" spans="1:24" hidden="1">
      <c r="A1571" s="18">
        <v>1574</v>
      </c>
      <c r="B1571" s="17" t="s">
        <v>3330</v>
      </c>
      <c r="C1571" s="17" t="s">
        <v>3331</v>
      </c>
      <c r="D1571" s="17" t="s">
        <v>17</v>
      </c>
      <c r="E1571" s="17" t="s">
        <v>8</v>
      </c>
      <c r="F1571" s="17">
        <v>1631</v>
      </c>
      <c r="G1571" s="17">
        <v>0</v>
      </c>
      <c r="H1571" s="17">
        <v>100</v>
      </c>
      <c r="I1571" s="17">
        <v>1531</v>
      </c>
      <c r="J1571" s="17">
        <v>0</v>
      </c>
      <c r="K1571" s="17">
        <v>0</v>
      </c>
      <c r="L1571" s="17">
        <v>1531</v>
      </c>
      <c r="M1571" s="17">
        <v>0</v>
      </c>
      <c r="N1571" s="17">
        <v>0</v>
      </c>
      <c r="O1571" s="17">
        <v>1531</v>
      </c>
      <c r="P1571" s="17">
        <v>230</v>
      </c>
      <c r="Q1571" s="17">
        <v>1301</v>
      </c>
      <c r="R1571" s="17">
        <v>0</v>
      </c>
      <c r="S1571" s="17"/>
      <c r="T1571" s="17" t="s">
        <v>2972</v>
      </c>
      <c r="U1571" s="17" t="s">
        <v>3055</v>
      </c>
      <c r="V1571" s="17" t="s">
        <v>3056</v>
      </c>
      <c r="W1571" s="17"/>
      <c r="X1571" s="17"/>
    </row>
    <row r="1572" spans="1:24" hidden="1">
      <c r="A1572" s="18">
        <v>1575</v>
      </c>
      <c r="B1572" s="17" t="s">
        <v>3332</v>
      </c>
      <c r="C1572" s="17" t="s">
        <v>3333</v>
      </c>
      <c r="D1572" s="17" t="s">
        <v>17</v>
      </c>
      <c r="E1572" s="17" t="s">
        <v>8</v>
      </c>
      <c r="F1572" s="17">
        <v>9</v>
      </c>
      <c r="G1572" s="17">
        <v>0</v>
      </c>
      <c r="H1572" s="17">
        <v>0</v>
      </c>
      <c r="I1572" s="17">
        <v>9</v>
      </c>
      <c r="J1572" s="17">
        <v>0</v>
      </c>
      <c r="K1572" s="17">
        <v>0</v>
      </c>
      <c r="L1572" s="17">
        <v>9</v>
      </c>
      <c r="M1572" s="17">
        <v>0</v>
      </c>
      <c r="N1572" s="17">
        <v>0</v>
      </c>
      <c r="O1572" s="17">
        <v>9</v>
      </c>
      <c r="P1572" s="17">
        <v>5</v>
      </c>
      <c r="Q1572" s="17">
        <v>4</v>
      </c>
      <c r="R1572" s="17">
        <v>0</v>
      </c>
      <c r="S1572" s="17"/>
      <c r="T1572" s="17" t="s">
        <v>3052</v>
      </c>
      <c r="U1572" s="17" t="s">
        <v>3062</v>
      </c>
      <c r="V1572" s="17" t="s">
        <v>3056</v>
      </c>
      <c r="W1572" s="17"/>
      <c r="X1572" s="17"/>
    </row>
    <row r="1573" spans="1:24" hidden="1">
      <c r="A1573" s="18">
        <v>1576</v>
      </c>
      <c r="B1573" s="17" t="s">
        <v>3334</v>
      </c>
      <c r="C1573" s="17" t="s">
        <v>3335</v>
      </c>
      <c r="D1573" s="17" t="s">
        <v>17</v>
      </c>
      <c r="E1573" s="17" t="s">
        <v>8</v>
      </c>
      <c r="F1573" s="17">
        <v>0</v>
      </c>
      <c r="G1573" s="17">
        <v>0</v>
      </c>
      <c r="H1573" s="17">
        <v>0</v>
      </c>
      <c r="I1573" s="17">
        <v>0</v>
      </c>
      <c r="J1573" s="17">
        <v>0</v>
      </c>
      <c r="K1573" s="17">
        <v>0</v>
      </c>
      <c r="L1573" s="17">
        <v>0</v>
      </c>
      <c r="M1573" s="17">
        <v>0</v>
      </c>
      <c r="N1573" s="17">
        <v>0</v>
      </c>
      <c r="O1573" s="17">
        <v>0</v>
      </c>
      <c r="P1573" s="17">
        <v>0</v>
      </c>
      <c r="Q1573" s="17">
        <v>0</v>
      </c>
      <c r="R1573" s="17">
        <v>0</v>
      </c>
      <c r="S1573" s="17"/>
      <c r="T1573" s="17" t="s">
        <v>2998</v>
      </c>
      <c r="U1573" s="17" t="s">
        <v>3057</v>
      </c>
      <c r="V1573" s="17" t="s">
        <v>3056</v>
      </c>
      <c r="W1573" s="17"/>
      <c r="X1573" s="17"/>
    </row>
    <row r="1574" spans="1:24" hidden="1">
      <c r="A1574" s="18">
        <v>1577</v>
      </c>
      <c r="B1574" s="17" t="s">
        <v>920</v>
      </c>
      <c r="C1574" s="17" t="s">
        <v>921</v>
      </c>
      <c r="D1574" s="17" t="s">
        <v>20</v>
      </c>
      <c r="E1574" s="17" t="s">
        <v>8</v>
      </c>
      <c r="F1574" s="17">
        <v>54</v>
      </c>
      <c r="G1574" s="17">
        <v>0</v>
      </c>
      <c r="H1574" s="17">
        <v>0</v>
      </c>
      <c r="I1574" s="17">
        <v>54</v>
      </c>
      <c r="J1574" s="17">
        <v>0</v>
      </c>
      <c r="K1574" s="17">
        <v>0</v>
      </c>
      <c r="L1574" s="17">
        <v>54</v>
      </c>
      <c r="M1574" s="17">
        <v>0</v>
      </c>
      <c r="N1574" s="17">
        <v>0</v>
      </c>
      <c r="O1574" s="17">
        <v>54</v>
      </c>
      <c r="P1574" s="17">
        <v>0</v>
      </c>
      <c r="Q1574" s="17">
        <v>54</v>
      </c>
      <c r="R1574" s="17">
        <v>0</v>
      </c>
      <c r="S1574" s="17"/>
      <c r="T1574" s="17" t="s">
        <v>2972</v>
      </c>
      <c r="U1574" s="17" t="s">
        <v>3057</v>
      </c>
      <c r="V1574" s="17" t="s">
        <v>3056</v>
      </c>
      <c r="W1574" s="17"/>
      <c r="X1574" s="17"/>
    </row>
    <row r="1575" spans="1:24" hidden="1">
      <c r="A1575" s="18">
        <v>1578</v>
      </c>
      <c r="B1575" s="17" t="s">
        <v>3336</v>
      </c>
      <c r="C1575" s="17" t="s">
        <v>3337</v>
      </c>
      <c r="D1575" s="17" t="s">
        <v>17</v>
      </c>
      <c r="E1575" s="17" t="s">
        <v>8</v>
      </c>
      <c r="F1575" s="17">
        <v>6028</v>
      </c>
      <c r="G1575" s="17">
        <v>0</v>
      </c>
      <c r="H1575" s="17">
        <v>0</v>
      </c>
      <c r="I1575" s="17">
        <v>6028</v>
      </c>
      <c r="J1575" s="17">
        <v>0</v>
      </c>
      <c r="K1575" s="17">
        <v>0</v>
      </c>
      <c r="L1575" s="17">
        <v>6028</v>
      </c>
      <c r="M1575" s="17">
        <v>0</v>
      </c>
      <c r="N1575" s="17">
        <v>0</v>
      </c>
      <c r="O1575" s="17">
        <v>6028</v>
      </c>
      <c r="P1575" s="17">
        <v>2000</v>
      </c>
      <c r="Q1575" s="17">
        <v>4028</v>
      </c>
      <c r="R1575" s="17">
        <v>0</v>
      </c>
      <c r="S1575" s="17"/>
      <c r="T1575" s="17" t="s">
        <v>2972</v>
      </c>
      <c r="U1575" s="17" t="s">
        <v>3057</v>
      </c>
      <c r="V1575" s="17" t="s">
        <v>3056</v>
      </c>
      <c r="W1575" s="17"/>
      <c r="X1575" s="17"/>
    </row>
    <row r="1576" spans="1:24" hidden="1">
      <c r="A1576" s="18">
        <v>1579</v>
      </c>
      <c r="B1576" s="17" t="s">
        <v>3338</v>
      </c>
      <c r="C1576" s="17" t="s">
        <v>3339</v>
      </c>
      <c r="D1576" s="17" t="s">
        <v>17</v>
      </c>
      <c r="E1576" s="17" t="s">
        <v>8</v>
      </c>
      <c r="F1576" s="17">
        <v>0</v>
      </c>
      <c r="G1576" s="17">
        <v>0</v>
      </c>
      <c r="H1576" s="17">
        <v>0</v>
      </c>
      <c r="I1576" s="17">
        <v>0</v>
      </c>
      <c r="J1576" s="17">
        <v>0</v>
      </c>
      <c r="K1576" s="17">
        <v>0</v>
      </c>
      <c r="L1576" s="17">
        <v>0</v>
      </c>
      <c r="M1576" s="17">
        <v>0</v>
      </c>
      <c r="N1576" s="17">
        <v>0</v>
      </c>
      <c r="O1576" s="17">
        <v>0</v>
      </c>
      <c r="P1576" s="17">
        <v>0</v>
      </c>
      <c r="Q1576" s="17">
        <v>0</v>
      </c>
      <c r="R1576" s="17">
        <v>0</v>
      </c>
      <c r="S1576" s="17"/>
      <c r="T1576" s="17" t="s">
        <v>2972</v>
      </c>
      <c r="U1576" s="17" t="s">
        <v>3057</v>
      </c>
      <c r="V1576" s="17" t="s">
        <v>3056</v>
      </c>
      <c r="W1576" s="17"/>
      <c r="X1576" s="17"/>
    </row>
    <row r="1577" spans="1:24" hidden="1">
      <c r="A1577" s="18">
        <v>1580</v>
      </c>
      <c r="B1577" s="17" t="s">
        <v>3340</v>
      </c>
      <c r="C1577" s="17" t="s">
        <v>3341</v>
      </c>
      <c r="D1577" s="17" t="s">
        <v>17</v>
      </c>
      <c r="E1577" s="17" t="s">
        <v>8</v>
      </c>
      <c r="F1577" s="17">
        <v>0</v>
      </c>
      <c r="G1577" s="17">
        <v>0</v>
      </c>
      <c r="H1577" s="17">
        <v>0</v>
      </c>
      <c r="I1577" s="17">
        <v>0</v>
      </c>
      <c r="J1577" s="17">
        <v>0</v>
      </c>
      <c r="K1577" s="17">
        <v>0</v>
      </c>
      <c r="L1577" s="17">
        <v>0</v>
      </c>
      <c r="M1577" s="17">
        <v>0</v>
      </c>
      <c r="N1577" s="17">
        <v>0</v>
      </c>
      <c r="O1577" s="17">
        <v>0</v>
      </c>
      <c r="P1577" s="17">
        <v>0</v>
      </c>
      <c r="Q1577" s="17">
        <v>0</v>
      </c>
      <c r="R1577" s="17">
        <v>0</v>
      </c>
      <c r="S1577" s="17"/>
      <c r="T1577" s="17" t="s">
        <v>2972</v>
      </c>
      <c r="U1577" s="17" t="s">
        <v>3057</v>
      </c>
      <c r="V1577" s="17" t="s">
        <v>3056</v>
      </c>
      <c r="W1577" s="17"/>
      <c r="X1577" s="17"/>
    </row>
    <row r="1578" spans="1:24" hidden="1">
      <c r="A1578" s="18">
        <v>1581</v>
      </c>
      <c r="B1578" s="17" t="s">
        <v>3342</v>
      </c>
      <c r="C1578" s="17" t="s">
        <v>3343</v>
      </c>
      <c r="D1578" s="17" t="s">
        <v>17</v>
      </c>
      <c r="E1578" s="17" t="s">
        <v>8</v>
      </c>
      <c r="F1578" s="17">
        <v>0</v>
      </c>
      <c r="G1578" s="17">
        <v>0</v>
      </c>
      <c r="H1578" s="17">
        <v>0</v>
      </c>
      <c r="I1578" s="17">
        <v>0</v>
      </c>
      <c r="J1578" s="17">
        <v>0</v>
      </c>
      <c r="K1578" s="17">
        <v>0</v>
      </c>
      <c r="L1578" s="17">
        <v>0</v>
      </c>
      <c r="M1578" s="17">
        <v>0</v>
      </c>
      <c r="N1578" s="17">
        <v>0</v>
      </c>
      <c r="O1578" s="17">
        <v>0</v>
      </c>
      <c r="P1578" s="17">
        <v>0</v>
      </c>
      <c r="Q1578" s="17">
        <v>0</v>
      </c>
      <c r="R1578" s="17">
        <v>0</v>
      </c>
      <c r="S1578" s="17"/>
      <c r="T1578" s="17" t="s">
        <v>2972</v>
      </c>
      <c r="U1578" s="17" t="s">
        <v>3057</v>
      </c>
      <c r="V1578" s="17" t="s">
        <v>3056</v>
      </c>
      <c r="W1578" s="17"/>
      <c r="X1578" s="17"/>
    </row>
    <row r="1579" spans="1:24" hidden="1">
      <c r="A1579" s="18">
        <v>1582</v>
      </c>
      <c r="B1579" s="17" t="s">
        <v>3344</v>
      </c>
      <c r="C1579" s="17" t="s">
        <v>3345</v>
      </c>
      <c r="D1579" s="17" t="s">
        <v>17</v>
      </c>
      <c r="E1579" s="17" t="s">
        <v>8</v>
      </c>
      <c r="F1579" s="17">
        <v>0</v>
      </c>
      <c r="G1579" s="17">
        <v>0</v>
      </c>
      <c r="H1579" s="17">
        <v>0</v>
      </c>
      <c r="I1579" s="17">
        <v>0</v>
      </c>
      <c r="J1579" s="17">
        <v>0</v>
      </c>
      <c r="K1579" s="17">
        <v>0</v>
      </c>
      <c r="L1579" s="17">
        <v>0</v>
      </c>
      <c r="M1579" s="17">
        <v>0</v>
      </c>
      <c r="N1579" s="17">
        <v>0</v>
      </c>
      <c r="O1579" s="17">
        <v>0</v>
      </c>
      <c r="P1579" s="17">
        <v>0</v>
      </c>
      <c r="Q1579" s="17">
        <v>0</v>
      </c>
      <c r="R1579" s="17">
        <v>0</v>
      </c>
      <c r="S1579" s="17"/>
      <c r="T1579" s="17" t="s">
        <v>2972</v>
      </c>
      <c r="U1579" s="17" t="s">
        <v>3057</v>
      </c>
      <c r="V1579" s="17" t="s">
        <v>3056</v>
      </c>
      <c r="W1579" s="17"/>
      <c r="X1579" s="17"/>
    </row>
    <row r="1580" spans="1:24" hidden="1">
      <c r="A1580" s="18">
        <v>1583</v>
      </c>
      <c r="B1580" s="17" t="s">
        <v>3346</v>
      </c>
      <c r="C1580" s="17" t="s">
        <v>3347</v>
      </c>
      <c r="D1580" s="17" t="s">
        <v>17</v>
      </c>
      <c r="E1580" s="17" t="s">
        <v>8</v>
      </c>
      <c r="F1580" s="17">
        <v>0</v>
      </c>
      <c r="G1580" s="17">
        <v>0</v>
      </c>
      <c r="H1580" s="17">
        <v>0</v>
      </c>
      <c r="I1580" s="17">
        <v>0</v>
      </c>
      <c r="J1580" s="17">
        <v>0</v>
      </c>
      <c r="K1580" s="17">
        <v>0</v>
      </c>
      <c r="L1580" s="17">
        <v>0</v>
      </c>
      <c r="M1580" s="17">
        <v>0</v>
      </c>
      <c r="N1580" s="17">
        <v>0</v>
      </c>
      <c r="O1580" s="17">
        <v>0</v>
      </c>
      <c r="P1580" s="17">
        <v>0</v>
      </c>
      <c r="Q1580" s="17">
        <v>0</v>
      </c>
      <c r="R1580" s="17">
        <v>0</v>
      </c>
      <c r="S1580" s="17"/>
      <c r="T1580" s="17" t="s">
        <v>2972</v>
      </c>
      <c r="U1580" s="17" t="s">
        <v>3057</v>
      </c>
      <c r="V1580" s="17" t="s">
        <v>3056</v>
      </c>
      <c r="W1580" s="17"/>
      <c r="X1580" s="17"/>
    </row>
    <row r="1581" spans="1:24" hidden="1">
      <c r="A1581" s="18">
        <v>1584</v>
      </c>
      <c r="B1581" s="17" t="s">
        <v>3348</v>
      </c>
      <c r="C1581" s="17" t="s">
        <v>3349</v>
      </c>
      <c r="D1581" s="17" t="s">
        <v>17</v>
      </c>
      <c r="E1581" s="17" t="s">
        <v>8</v>
      </c>
      <c r="F1581" s="17">
        <v>0</v>
      </c>
      <c r="G1581" s="17">
        <v>0</v>
      </c>
      <c r="H1581" s="17">
        <v>0</v>
      </c>
      <c r="I1581" s="17">
        <v>0</v>
      </c>
      <c r="J1581" s="17">
        <v>0</v>
      </c>
      <c r="K1581" s="17">
        <v>0</v>
      </c>
      <c r="L1581" s="17">
        <v>0</v>
      </c>
      <c r="M1581" s="17">
        <v>0</v>
      </c>
      <c r="N1581" s="17">
        <v>0</v>
      </c>
      <c r="O1581" s="17">
        <v>0</v>
      </c>
      <c r="P1581" s="17">
        <v>0</v>
      </c>
      <c r="Q1581" s="17">
        <v>0</v>
      </c>
      <c r="R1581" s="17">
        <v>0</v>
      </c>
      <c r="S1581" s="17"/>
      <c r="T1581" s="17" t="s">
        <v>2972</v>
      </c>
      <c r="U1581" s="17" t="s">
        <v>3057</v>
      </c>
      <c r="V1581" s="17" t="s">
        <v>3056</v>
      </c>
      <c r="W1581" s="17"/>
      <c r="X1581" s="17"/>
    </row>
    <row r="1582" spans="1:24" hidden="1">
      <c r="A1582" s="18">
        <v>1585</v>
      </c>
      <c r="B1582" s="17" t="s">
        <v>3350</v>
      </c>
      <c r="C1582" s="17" t="s">
        <v>3351</v>
      </c>
      <c r="D1582" s="17" t="s">
        <v>17</v>
      </c>
      <c r="E1582" s="17" t="s">
        <v>8</v>
      </c>
      <c r="F1582" s="17">
        <v>0</v>
      </c>
      <c r="G1582" s="17">
        <v>0</v>
      </c>
      <c r="H1582" s="17">
        <v>0</v>
      </c>
      <c r="I1582" s="17">
        <v>0</v>
      </c>
      <c r="J1582" s="17">
        <v>0</v>
      </c>
      <c r="K1582" s="17">
        <v>0</v>
      </c>
      <c r="L1582" s="17">
        <v>0</v>
      </c>
      <c r="M1582" s="17">
        <v>0</v>
      </c>
      <c r="N1582" s="17">
        <v>0</v>
      </c>
      <c r="O1582" s="17">
        <v>0</v>
      </c>
      <c r="P1582" s="17">
        <v>0</v>
      </c>
      <c r="Q1582" s="17">
        <v>0</v>
      </c>
      <c r="R1582" s="17">
        <v>0</v>
      </c>
      <c r="S1582" s="17"/>
      <c r="T1582" s="17" t="s">
        <v>2982</v>
      </c>
      <c r="U1582" s="17" t="s">
        <v>3060</v>
      </c>
      <c r="V1582" s="17" t="s">
        <v>3061</v>
      </c>
      <c r="W1582" s="17"/>
      <c r="X1582" s="17"/>
    </row>
    <row r="1583" spans="1:24" hidden="1">
      <c r="A1583" s="18">
        <v>1586</v>
      </c>
      <c r="B1583" s="17" t="s">
        <v>3352</v>
      </c>
      <c r="C1583" s="17" t="s">
        <v>3353</v>
      </c>
      <c r="D1583" s="17" t="s">
        <v>17</v>
      </c>
      <c r="E1583" s="17" t="s">
        <v>8</v>
      </c>
      <c r="F1583" s="17">
        <v>0</v>
      </c>
      <c r="G1583" s="17">
        <v>0</v>
      </c>
      <c r="H1583" s="17">
        <v>0</v>
      </c>
      <c r="I1583" s="17">
        <v>0</v>
      </c>
      <c r="J1583" s="17">
        <v>0</v>
      </c>
      <c r="K1583" s="17">
        <v>0</v>
      </c>
      <c r="L1583" s="17">
        <v>0</v>
      </c>
      <c r="M1583" s="17">
        <v>0</v>
      </c>
      <c r="N1583" s="17">
        <v>0</v>
      </c>
      <c r="O1583" s="17">
        <v>0</v>
      </c>
      <c r="P1583" s="17">
        <v>0</v>
      </c>
      <c r="Q1583" s="17">
        <v>0</v>
      </c>
      <c r="R1583" s="17">
        <v>0</v>
      </c>
      <c r="S1583" s="17"/>
      <c r="T1583" s="17" t="s">
        <v>3002</v>
      </c>
      <c r="U1583" s="17" t="s">
        <v>3057</v>
      </c>
      <c r="V1583" s="17" t="s">
        <v>3056</v>
      </c>
      <c r="W1583" s="17"/>
      <c r="X1583" s="17"/>
    </row>
    <row r="1584" spans="1:24" hidden="1">
      <c r="A1584" s="18">
        <v>1587</v>
      </c>
      <c r="B1584" s="17" t="s">
        <v>3354</v>
      </c>
      <c r="C1584" s="17" t="s">
        <v>3355</v>
      </c>
      <c r="D1584" s="17" t="s">
        <v>17</v>
      </c>
      <c r="E1584" s="17" t="s">
        <v>8</v>
      </c>
      <c r="F1584" s="17">
        <v>11</v>
      </c>
      <c r="G1584" s="17">
        <v>0</v>
      </c>
      <c r="H1584" s="17">
        <v>0</v>
      </c>
      <c r="I1584" s="17">
        <v>11</v>
      </c>
      <c r="J1584" s="17">
        <v>0</v>
      </c>
      <c r="K1584" s="17">
        <v>0</v>
      </c>
      <c r="L1584" s="17">
        <v>11</v>
      </c>
      <c r="M1584" s="17">
        <v>0</v>
      </c>
      <c r="N1584" s="17">
        <v>0</v>
      </c>
      <c r="O1584" s="17">
        <v>11</v>
      </c>
      <c r="P1584" s="17">
        <v>10</v>
      </c>
      <c r="Q1584" s="17">
        <v>1</v>
      </c>
      <c r="R1584" s="17">
        <v>0</v>
      </c>
      <c r="S1584" s="17"/>
      <c r="T1584" s="17" t="s">
        <v>2974</v>
      </c>
      <c r="U1584" s="17" t="s">
        <v>3060</v>
      </c>
      <c r="V1584" s="17" t="s">
        <v>3056</v>
      </c>
      <c r="W1584" s="17"/>
      <c r="X1584" s="17"/>
    </row>
    <row r="1585" spans="1:24" hidden="1">
      <c r="A1585" s="18">
        <v>1588</v>
      </c>
      <c r="B1585" s="17" t="s">
        <v>3356</v>
      </c>
      <c r="C1585" s="17" t="s">
        <v>3357</v>
      </c>
      <c r="D1585" s="17" t="s">
        <v>17</v>
      </c>
      <c r="E1585" s="17" t="s">
        <v>8</v>
      </c>
      <c r="F1585" s="17">
        <v>20</v>
      </c>
      <c r="G1585" s="17">
        <v>99</v>
      </c>
      <c r="H1585" s="17">
        <v>20</v>
      </c>
      <c r="I1585" s="17">
        <v>99</v>
      </c>
      <c r="J1585" s="17">
        <v>0</v>
      </c>
      <c r="K1585" s="17">
        <v>0</v>
      </c>
      <c r="L1585" s="17">
        <v>99</v>
      </c>
      <c r="M1585" s="17">
        <v>0</v>
      </c>
      <c r="N1585" s="17">
        <v>0</v>
      </c>
      <c r="O1585" s="17">
        <v>99</v>
      </c>
      <c r="P1585" s="17">
        <v>10</v>
      </c>
      <c r="Q1585" s="17">
        <v>89</v>
      </c>
      <c r="R1585" s="17">
        <v>0</v>
      </c>
      <c r="S1585" s="17"/>
      <c r="T1585" s="17" t="s">
        <v>2974</v>
      </c>
      <c r="U1585" s="17" t="s">
        <v>3060</v>
      </c>
      <c r="V1585" s="17" t="s">
        <v>3056</v>
      </c>
      <c r="W1585" s="17"/>
      <c r="X1585" s="17"/>
    </row>
    <row r="1586" spans="1:24" hidden="1">
      <c r="A1586" s="18">
        <v>1589</v>
      </c>
      <c r="B1586" s="17" t="s">
        <v>3358</v>
      </c>
      <c r="C1586" s="17" t="s">
        <v>3359</v>
      </c>
      <c r="D1586" s="17" t="s">
        <v>20</v>
      </c>
      <c r="E1586" s="17" t="s">
        <v>8</v>
      </c>
      <c r="F1586" s="17">
        <v>275.8</v>
      </c>
      <c r="G1586" s="17">
        <v>1009.8</v>
      </c>
      <c r="H1586" s="17">
        <v>389.7</v>
      </c>
      <c r="I1586" s="17">
        <v>895.9</v>
      </c>
      <c r="J1586" s="17">
        <v>0</v>
      </c>
      <c r="K1586" s="17">
        <v>0</v>
      </c>
      <c r="L1586" s="17">
        <v>895.9</v>
      </c>
      <c r="M1586" s="17">
        <v>0</v>
      </c>
      <c r="N1586" s="17">
        <v>0</v>
      </c>
      <c r="O1586" s="17">
        <v>895.9</v>
      </c>
      <c r="P1586" s="17">
        <v>1500</v>
      </c>
      <c r="Q1586" s="17">
        <v>-604.1</v>
      </c>
      <c r="R1586" s="17">
        <v>1000</v>
      </c>
      <c r="S1586" s="17"/>
      <c r="T1586" s="17" t="s">
        <v>3000</v>
      </c>
      <c r="U1586" s="17" t="s">
        <v>3059</v>
      </c>
      <c r="V1586" s="17" t="s">
        <v>3056</v>
      </c>
      <c r="W1586" s="17"/>
      <c r="X1586" s="17"/>
    </row>
    <row r="1587" spans="1:24" hidden="1">
      <c r="A1587" s="18">
        <v>1590</v>
      </c>
      <c r="B1587" s="17" t="s">
        <v>3360</v>
      </c>
      <c r="C1587" s="17" t="s">
        <v>3361</v>
      </c>
      <c r="D1587" s="17" t="s">
        <v>20</v>
      </c>
      <c r="E1587" s="17" t="s">
        <v>8</v>
      </c>
      <c r="F1587" s="17">
        <v>0</v>
      </c>
      <c r="G1587" s="17">
        <v>2687.5</v>
      </c>
      <c r="H1587" s="17">
        <v>2596.1</v>
      </c>
      <c r="I1587" s="17">
        <v>91.4</v>
      </c>
      <c r="J1587" s="17">
        <v>0</v>
      </c>
      <c r="K1587" s="17">
        <v>0</v>
      </c>
      <c r="L1587" s="17">
        <v>91.4</v>
      </c>
      <c r="M1587" s="17">
        <v>0</v>
      </c>
      <c r="N1587" s="17">
        <v>0</v>
      </c>
      <c r="O1587" s="17">
        <v>91.4</v>
      </c>
      <c r="P1587" s="17">
        <v>2500</v>
      </c>
      <c r="Q1587" s="17">
        <v>-2408.6</v>
      </c>
      <c r="R1587" s="17">
        <v>3000</v>
      </c>
      <c r="S1587" s="17"/>
      <c r="T1587" s="17" t="s">
        <v>3000</v>
      </c>
      <c r="U1587" s="17" t="s">
        <v>3059</v>
      </c>
      <c r="V1587" s="17" t="s">
        <v>3056</v>
      </c>
      <c r="W1587" s="17"/>
      <c r="X1587" s="17"/>
    </row>
    <row r="1588" spans="1:24" hidden="1">
      <c r="A1588" s="18">
        <v>1591</v>
      </c>
      <c r="B1588" s="17" t="s">
        <v>3362</v>
      </c>
      <c r="C1588" s="17" t="s">
        <v>3363</v>
      </c>
      <c r="D1588" s="17" t="s">
        <v>20</v>
      </c>
      <c r="E1588" s="17" t="s">
        <v>8</v>
      </c>
      <c r="F1588" s="17">
        <v>467.3</v>
      </c>
      <c r="G1588" s="17">
        <v>515</v>
      </c>
      <c r="H1588" s="17">
        <v>982.3</v>
      </c>
      <c r="I1588" s="17">
        <v>0</v>
      </c>
      <c r="J1588" s="17">
        <v>0</v>
      </c>
      <c r="K1588" s="17">
        <v>0</v>
      </c>
      <c r="L1588" s="17">
        <v>0</v>
      </c>
      <c r="M1588" s="17">
        <v>0</v>
      </c>
      <c r="N1588" s="17">
        <v>0</v>
      </c>
      <c r="O1588" s="17">
        <v>0</v>
      </c>
      <c r="P1588" s="17">
        <v>1500</v>
      </c>
      <c r="Q1588" s="17">
        <v>-1500</v>
      </c>
      <c r="R1588" s="17">
        <v>2000</v>
      </c>
      <c r="S1588" s="17"/>
      <c r="T1588" s="17" t="s">
        <v>3000</v>
      </c>
      <c r="U1588" s="17" t="s">
        <v>3059</v>
      </c>
      <c r="V1588" s="17" t="s">
        <v>3056</v>
      </c>
      <c r="W1588" s="17"/>
      <c r="X1588" s="17"/>
    </row>
    <row r="1589" spans="1:24" hidden="1">
      <c r="A1589" s="18">
        <v>1592</v>
      </c>
      <c r="B1589" s="17" t="s">
        <v>3364</v>
      </c>
      <c r="C1589" s="17" t="s">
        <v>3365</v>
      </c>
      <c r="D1589" s="17" t="s">
        <v>20</v>
      </c>
      <c r="E1589" s="17" t="s">
        <v>8</v>
      </c>
      <c r="F1589" s="17">
        <v>500.5</v>
      </c>
      <c r="G1589" s="17">
        <v>0</v>
      </c>
      <c r="H1589" s="17">
        <v>0</v>
      </c>
      <c r="I1589" s="17">
        <v>500.5</v>
      </c>
      <c r="J1589" s="17">
        <v>0</v>
      </c>
      <c r="K1589" s="17">
        <v>0</v>
      </c>
      <c r="L1589" s="17">
        <v>500.5</v>
      </c>
      <c r="M1589" s="17">
        <v>0</v>
      </c>
      <c r="N1589" s="17">
        <v>0</v>
      </c>
      <c r="O1589" s="17">
        <v>500.5</v>
      </c>
      <c r="P1589" s="17">
        <v>500</v>
      </c>
      <c r="Q1589" s="17">
        <v>0.5</v>
      </c>
      <c r="R1589" s="17">
        <v>500</v>
      </c>
      <c r="S1589" s="17"/>
      <c r="T1589" s="17" t="s">
        <v>3000</v>
      </c>
      <c r="U1589" s="17" t="s">
        <v>3059</v>
      </c>
      <c r="V1589" s="17" t="s">
        <v>3056</v>
      </c>
      <c r="W1589" s="17"/>
      <c r="X1589" s="17"/>
    </row>
    <row r="1590" spans="1:24" hidden="1">
      <c r="A1590" s="18">
        <v>1593</v>
      </c>
      <c r="B1590" s="17" t="s">
        <v>3366</v>
      </c>
      <c r="C1590" s="17" t="s">
        <v>3367</v>
      </c>
      <c r="D1590" s="17" t="s">
        <v>20</v>
      </c>
      <c r="E1590" s="17" t="s">
        <v>8</v>
      </c>
      <c r="F1590" s="17">
        <v>3648.6</v>
      </c>
      <c r="G1590" s="17">
        <v>0</v>
      </c>
      <c r="H1590" s="17">
        <v>814.5</v>
      </c>
      <c r="I1590" s="17">
        <v>2834.1</v>
      </c>
      <c r="J1590" s="17">
        <v>0</v>
      </c>
      <c r="K1590" s="17">
        <v>0</v>
      </c>
      <c r="L1590" s="17">
        <v>2834.1</v>
      </c>
      <c r="M1590" s="17">
        <v>0</v>
      </c>
      <c r="N1590" s="17">
        <v>0</v>
      </c>
      <c r="O1590" s="17">
        <v>2834.1</v>
      </c>
      <c r="P1590" s="17">
        <v>1500</v>
      </c>
      <c r="Q1590" s="17">
        <v>1334.1</v>
      </c>
      <c r="R1590" s="17">
        <v>0</v>
      </c>
      <c r="S1590" s="17"/>
      <c r="T1590" s="17" t="s">
        <v>3000</v>
      </c>
      <c r="U1590" s="17" t="s">
        <v>3059</v>
      </c>
      <c r="V1590" s="17" t="s">
        <v>3056</v>
      </c>
      <c r="W1590" s="17"/>
      <c r="X1590" s="17"/>
    </row>
    <row r="1591" spans="1:24" hidden="1">
      <c r="A1591" s="18">
        <v>1594</v>
      </c>
      <c r="B1591" s="17" t="s">
        <v>3368</v>
      </c>
      <c r="C1591" s="17" t="s">
        <v>3369</v>
      </c>
      <c r="D1591" s="17" t="s">
        <v>20</v>
      </c>
      <c r="E1591" s="17" t="s">
        <v>8</v>
      </c>
      <c r="F1591" s="17">
        <v>897.2</v>
      </c>
      <c r="G1591" s="17">
        <v>0</v>
      </c>
      <c r="H1591" s="17">
        <v>0</v>
      </c>
      <c r="I1591" s="17">
        <v>897.2</v>
      </c>
      <c r="J1591" s="17">
        <v>0</v>
      </c>
      <c r="K1591" s="17">
        <v>0</v>
      </c>
      <c r="L1591" s="17">
        <v>897.2</v>
      </c>
      <c r="M1591" s="17">
        <v>0</v>
      </c>
      <c r="N1591" s="17">
        <v>0</v>
      </c>
      <c r="O1591" s="17">
        <v>897.2</v>
      </c>
      <c r="P1591" s="17">
        <v>550</v>
      </c>
      <c r="Q1591" s="17">
        <v>347.20000000000005</v>
      </c>
      <c r="R1591" s="17">
        <v>0</v>
      </c>
      <c r="S1591" s="17"/>
      <c r="T1591" s="17" t="s">
        <v>3000</v>
      </c>
      <c r="U1591" s="17" t="s">
        <v>3059</v>
      </c>
      <c r="V1591" s="17" t="s">
        <v>3056</v>
      </c>
      <c r="W1591" s="17"/>
      <c r="X1591" s="17"/>
    </row>
    <row r="1592" spans="1:24" hidden="1">
      <c r="A1592" s="18">
        <v>1595</v>
      </c>
      <c r="B1592" s="17" t="s">
        <v>3370</v>
      </c>
      <c r="C1592" s="17" t="s">
        <v>3371</v>
      </c>
      <c r="D1592" s="17" t="s">
        <v>20</v>
      </c>
      <c r="E1592" s="17" t="s">
        <v>8</v>
      </c>
      <c r="F1592" s="17">
        <v>1549.9</v>
      </c>
      <c r="G1592" s="17">
        <v>0</v>
      </c>
      <c r="H1592" s="17">
        <v>772.5</v>
      </c>
      <c r="I1592" s="17">
        <v>777.4</v>
      </c>
      <c r="J1592" s="17">
        <v>0</v>
      </c>
      <c r="K1592" s="17">
        <v>0</v>
      </c>
      <c r="L1592" s="17">
        <v>777.4</v>
      </c>
      <c r="M1592" s="17">
        <v>0</v>
      </c>
      <c r="N1592" s="17">
        <v>0</v>
      </c>
      <c r="O1592" s="17">
        <v>777.4</v>
      </c>
      <c r="P1592" s="17">
        <v>500</v>
      </c>
      <c r="Q1592" s="17">
        <v>277.39999999999998</v>
      </c>
      <c r="R1592" s="17">
        <v>0</v>
      </c>
      <c r="S1592" s="17"/>
      <c r="T1592" s="17" t="s">
        <v>3000</v>
      </c>
      <c r="U1592" s="17" t="s">
        <v>3059</v>
      </c>
      <c r="V1592" s="17" t="s">
        <v>3056</v>
      </c>
      <c r="W1592" s="17"/>
      <c r="X1592" s="17"/>
    </row>
    <row r="1593" spans="1:24" hidden="1">
      <c r="A1593" s="18">
        <v>1596</v>
      </c>
      <c r="B1593" s="17" t="s">
        <v>3372</v>
      </c>
      <c r="C1593" s="17" t="s">
        <v>3373</v>
      </c>
      <c r="D1593" s="17" t="s">
        <v>20</v>
      </c>
      <c r="E1593" s="17" t="s">
        <v>8</v>
      </c>
      <c r="F1593" s="17">
        <v>2844.2</v>
      </c>
      <c r="G1593" s="17">
        <v>0</v>
      </c>
      <c r="H1593" s="17">
        <v>0.7</v>
      </c>
      <c r="I1593" s="17">
        <v>2843.5</v>
      </c>
      <c r="J1593" s="17">
        <v>0</v>
      </c>
      <c r="K1593" s="17">
        <v>0</v>
      </c>
      <c r="L1593" s="17">
        <v>2843.5</v>
      </c>
      <c r="M1593" s="17">
        <v>0</v>
      </c>
      <c r="N1593" s="17">
        <v>0</v>
      </c>
      <c r="O1593" s="17">
        <v>2843.5</v>
      </c>
      <c r="P1593" s="17">
        <v>1000</v>
      </c>
      <c r="Q1593" s="17">
        <v>1843.5</v>
      </c>
      <c r="R1593" s="17">
        <v>0</v>
      </c>
      <c r="S1593" s="17"/>
      <c r="T1593" s="17" t="s">
        <v>3000</v>
      </c>
      <c r="U1593" s="17" t="s">
        <v>3059</v>
      </c>
      <c r="V1593" s="17" t="s">
        <v>3056</v>
      </c>
      <c r="W1593" s="17"/>
      <c r="X1593" s="17"/>
    </row>
    <row r="1594" spans="1:24" hidden="1">
      <c r="A1594" s="18">
        <v>1597</v>
      </c>
      <c r="B1594" s="17" t="s">
        <v>3374</v>
      </c>
      <c r="C1594" s="17" t="s">
        <v>3375</v>
      </c>
      <c r="D1594" s="17" t="s">
        <v>17</v>
      </c>
      <c r="E1594" s="17" t="s">
        <v>8</v>
      </c>
      <c r="F1594" s="17">
        <v>154</v>
      </c>
      <c r="G1594" s="17">
        <v>2002</v>
      </c>
      <c r="H1594" s="17">
        <v>200</v>
      </c>
      <c r="I1594" s="17">
        <v>1956</v>
      </c>
      <c r="J1594" s="17">
        <v>0</v>
      </c>
      <c r="K1594" s="17">
        <v>0</v>
      </c>
      <c r="L1594" s="17">
        <v>1956</v>
      </c>
      <c r="M1594" s="17">
        <v>0</v>
      </c>
      <c r="N1594" s="17">
        <v>0</v>
      </c>
      <c r="O1594" s="17">
        <v>1956</v>
      </c>
      <c r="P1594" s="17">
        <v>150</v>
      </c>
      <c r="Q1594" s="17">
        <v>1806</v>
      </c>
      <c r="R1594" s="17">
        <v>1000</v>
      </c>
      <c r="S1594" s="17"/>
      <c r="T1594" s="17" t="s">
        <v>2972</v>
      </c>
      <c r="U1594" s="17" t="s">
        <v>3057</v>
      </c>
      <c r="V1594" s="17" t="s">
        <v>3056</v>
      </c>
      <c r="W1594" s="17"/>
      <c r="X1594" s="17"/>
    </row>
    <row r="1595" spans="1:24" hidden="1">
      <c r="A1595" s="18">
        <v>1598</v>
      </c>
      <c r="B1595" s="17" t="s">
        <v>3376</v>
      </c>
      <c r="C1595" s="17" t="s">
        <v>3377</v>
      </c>
      <c r="D1595" s="17" t="s">
        <v>17</v>
      </c>
      <c r="E1595" s="17" t="s">
        <v>8</v>
      </c>
      <c r="F1595" s="17">
        <v>776</v>
      </c>
      <c r="G1595" s="17">
        <v>0</v>
      </c>
      <c r="H1595" s="17">
        <v>0</v>
      </c>
      <c r="I1595" s="17">
        <v>776</v>
      </c>
      <c r="J1595" s="17">
        <v>0</v>
      </c>
      <c r="K1595" s="17">
        <v>0</v>
      </c>
      <c r="L1595" s="17">
        <v>776</v>
      </c>
      <c r="M1595" s="17">
        <v>0</v>
      </c>
      <c r="N1595" s="17">
        <v>0</v>
      </c>
      <c r="O1595" s="17">
        <v>776</v>
      </c>
      <c r="P1595" s="17">
        <v>500</v>
      </c>
      <c r="Q1595" s="17">
        <v>276</v>
      </c>
      <c r="R1595" s="17">
        <v>0</v>
      </c>
      <c r="S1595" s="17"/>
      <c r="T1595" s="17" t="s">
        <v>2972</v>
      </c>
      <c r="U1595" s="17" t="s">
        <v>3057</v>
      </c>
      <c r="V1595" s="17" t="s">
        <v>3056</v>
      </c>
      <c r="W1595" s="17"/>
      <c r="X1595" s="17"/>
    </row>
    <row r="1596" spans="1:24" hidden="1">
      <c r="A1596" s="18">
        <v>1599</v>
      </c>
      <c r="B1596" s="17" t="s">
        <v>3378</v>
      </c>
      <c r="C1596" s="17" t="s">
        <v>3379</v>
      </c>
      <c r="D1596" s="17" t="s">
        <v>17</v>
      </c>
      <c r="E1596" s="17" t="s">
        <v>8</v>
      </c>
      <c r="F1596" s="17">
        <v>1200</v>
      </c>
      <c r="G1596" s="17">
        <v>0</v>
      </c>
      <c r="H1596" s="17">
        <v>0</v>
      </c>
      <c r="I1596" s="17">
        <v>1200</v>
      </c>
      <c r="J1596" s="17">
        <v>0</v>
      </c>
      <c r="K1596" s="17">
        <v>0</v>
      </c>
      <c r="L1596" s="17">
        <v>1200</v>
      </c>
      <c r="M1596" s="17">
        <v>0</v>
      </c>
      <c r="N1596" s="17">
        <v>0</v>
      </c>
      <c r="O1596" s="17">
        <v>1200</v>
      </c>
      <c r="P1596" s="17">
        <v>500</v>
      </c>
      <c r="Q1596" s="17">
        <v>700</v>
      </c>
      <c r="R1596" s="17">
        <v>0</v>
      </c>
      <c r="S1596" s="17"/>
      <c r="T1596" s="17" t="s">
        <v>2972</v>
      </c>
      <c r="U1596" s="17" t="s">
        <v>3057</v>
      </c>
      <c r="V1596" s="17" t="s">
        <v>3056</v>
      </c>
      <c r="W1596" s="17"/>
      <c r="X1596" s="17"/>
    </row>
    <row r="1597" spans="1:24" hidden="1">
      <c r="A1597" s="18">
        <v>1600</v>
      </c>
      <c r="B1597" s="17" t="s">
        <v>3380</v>
      </c>
      <c r="C1597" s="17" t="s">
        <v>3381</v>
      </c>
      <c r="D1597" s="17" t="s">
        <v>17</v>
      </c>
      <c r="E1597" s="17" t="s">
        <v>8</v>
      </c>
      <c r="F1597" s="17">
        <v>1065</v>
      </c>
      <c r="G1597" s="17">
        <v>0</v>
      </c>
      <c r="H1597" s="17">
        <v>1065</v>
      </c>
      <c r="I1597" s="17">
        <v>0</v>
      </c>
      <c r="J1597" s="17">
        <v>0</v>
      </c>
      <c r="K1597" s="17">
        <v>0</v>
      </c>
      <c r="L1597" s="17">
        <v>0</v>
      </c>
      <c r="M1597" s="17">
        <v>0</v>
      </c>
      <c r="N1597" s="17">
        <v>0</v>
      </c>
      <c r="O1597" s="17">
        <v>0</v>
      </c>
      <c r="P1597" s="17">
        <v>500</v>
      </c>
      <c r="Q1597" s="17">
        <v>-500</v>
      </c>
      <c r="R1597" s="17">
        <v>0</v>
      </c>
      <c r="S1597" s="17"/>
      <c r="T1597" s="17" t="s">
        <v>2972</v>
      </c>
      <c r="U1597" s="17" t="s">
        <v>3057</v>
      </c>
      <c r="V1597" s="17" t="s">
        <v>3056</v>
      </c>
      <c r="W1597" s="17"/>
      <c r="X1597" s="17"/>
    </row>
    <row r="1598" spans="1:24" hidden="1">
      <c r="A1598" s="18">
        <v>1601</v>
      </c>
      <c r="B1598" s="17" t="s">
        <v>3382</v>
      </c>
      <c r="C1598" s="17" t="s">
        <v>3383</v>
      </c>
      <c r="D1598" s="17" t="s">
        <v>17</v>
      </c>
      <c r="E1598" s="17" t="s">
        <v>8</v>
      </c>
      <c r="F1598" s="17">
        <v>1080</v>
      </c>
      <c r="G1598" s="17">
        <v>0</v>
      </c>
      <c r="H1598" s="17">
        <v>520</v>
      </c>
      <c r="I1598" s="17">
        <v>560</v>
      </c>
      <c r="J1598" s="17">
        <v>0</v>
      </c>
      <c r="K1598" s="17">
        <v>0</v>
      </c>
      <c r="L1598" s="17">
        <v>560</v>
      </c>
      <c r="M1598" s="17">
        <v>0</v>
      </c>
      <c r="N1598" s="17">
        <v>0</v>
      </c>
      <c r="O1598" s="17">
        <v>560</v>
      </c>
      <c r="P1598" s="17">
        <v>500</v>
      </c>
      <c r="Q1598" s="17">
        <v>60</v>
      </c>
      <c r="R1598" s="17">
        <v>0</v>
      </c>
      <c r="S1598" s="17"/>
      <c r="T1598" s="17" t="s">
        <v>2972</v>
      </c>
      <c r="U1598" s="17" t="s">
        <v>3057</v>
      </c>
      <c r="V1598" s="17" t="s">
        <v>3056</v>
      </c>
      <c r="W1598" s="17"/>
      <c r="X1598" s="17"/>
    </row>
    <row r="1599" spans="1:24" hidden="1">
      <c r="A1599" s="18">
        <v>1602</v>
      </c>
      <c r="B1599" s="17" t="s">
        <v>3384</v>
      </c>
      <c r="C1599" s="17" t="s">
        <v>3385</v>
      </c>
      <c r="D1599" s="17" t="s">
        <v>17</v>
      </c>
      <c r="E1599" s="17" t="s">
        <v>8</v>
      </c>
      <c r="F1599" s="17">
        <v>0</v>
      </c>
      <c r="G1599" s="17">
        <v>78</v>
      </c>
      <c r="H1599" s="17">
        <v>78</v>
      </c>
      <c r="I1599" s="17">
        <v>0</v>
      </c>
      <c r="J1599" s="17">
        <v>0</v>
      </c>
      <c r="K1599" s="17">
        <v>0</v>
      </c>
      <c r="L1599" s="17">
        <v>0</v>
      </c>
      <c r="M1599" s="17">
        <v>0</v>
      </c>
      <c r="N1599" s="17">
        <v>0</v>
      </c>
      <c r="O1599" s="17">
        <v>0</v>
      </c>
      <c r="P1599" s="17">
        <v>0</v>
      </c>
      <c r="Q1599" s="17">
        <v>0</v>
      </c>
      <c r="R1599" s="17">
        <v>0</v>
      </c>
      <c r="S1599" s="17"/>
      <c r="T1599" s="17" t="s">
        <v>2982</v>
      </c>
      <c r="U1599" s="17" t="s">
        <v>3060</v>
      </c>
      <c r="V1599" s="17" t="s">
        <v>3061</v>
      </c>
      <c r="W1599" s="17"/>
      <c r="X1599" s="17"/>
    </row>
    <row r="1600" spans="1:24" hidden="1">
      <c r="A1600" s="18">
        <v>1603</v>
      </c>
      <c r="B1600" s="17" t="s">
        <v>3386</v>
      </c>
      <c r="C1600" s="17" t="s">
        <v>3387</v>
      </c>
      <c r="D1600" s="17" t="s">
        <v>17</v>
      </c>
      <c r="E1600" s="17" t="s">
        <v>8</v>
      </c>
      <c r="F1600" s="17">
        <v>1055</v>
      </c>
      <c r="G1600" s="17">
        <v>0</v>
      </c>
      <c r="H1600" s="17">
        <v>1055</v>
      </c>
      <c r="I1600" s="17">
        <v>0</v>
      </c>
      <c r="J1600" s="17">
        <v>0</v>
      </c>
      <c r="K1600" s="17">
        <v>0</v>
      </c>
      <c r="L1600" s="17">
        <v>0</v>
      </c>
      <c r="M1600" s="17">
        <v>0</v>
      </c>
      <c r="N1600" s="17">
        <v>0</v>
      </c>
      <c r="O1600" s="17">
        <v>0</v>
      </c>
      <c r="P1600" s="17">
        <v>500</v>
      </c>
      <c r="Q1600" s="17">
        <v>-500</v>
      </c>
      <c r="R1600" s="17">
        <v>0</v>
      </c>
      <c r="S1600" s="17"/>
      <c r="T1600" s="17" t="s">
        <v>2972</v>
      </c>
      <c r="U1600" s="17" t="s">
        <v>3057</v>
      </c>
      <c r="V1600" s="17" t="s">
        <v>3056</v>
      </c>
      <c r="W1600" s="17"/>
      <c r="X1600" s="17"/>
    </row>
    <row r="1601" spans="1:24" hidden="1">
      <c r="A1601" s="18">
        <v>1604</v>
      </c>
      <c r="B1601" s="17" t="s">
        <v>3388</v>
      </c>
      <c r="C1601" s="17" t="s">
        <v>3389</v>
      </c>
      <c r="D1601" s="17" t="s">
        <v>17</v>
      </c>
      <c r="E1601" s="17" t="s">
        <v>8</v>
      </c>
      <c r="F1601" s="17">
        <v>250</v>
      </c>
      <c r="G1601" s="17">
        <v>0</v>
      </c>
      <c r="H1601" s="17">
        <v>0</v>
      </c>
      <c r="I1601" s="17">
        <v>250</v>
      </c>
      <c r="J1601" s="17">
        <v>0</v>
      </c>
      <c r="K1601" s="17">
        <v>0</v>
      </c>
      <c r="L1601" s="17">
        <v>250</v>
      </c>
      <c r="M1601" s="17">
        <v>0</v>
      </c>
      <c r="N1601" s="17">
        <v>0</v>
      </c>
      <c r="O1601" s="17">
        <v>250</v>
      </c>
      <c r="P1601" s="17">
        <v>200</v>
      </c>
      <c r="Q1601" s="17">
        <v>50</v>
      </c>
      <c r="R1601" s="17">
        <v>0</v>
      </c>
      <c r="S1601" s="17"/>
      <c r="T1601" s="17" t="s">
        <v>2972</v>
      </c>
      <c r="U1601" s="17" t="s">
        <v>3057</v>
      </c>
      <c r="V1601" s="17" t="s">
        <v>3056</v>
      </c>
      <c r="W1601" s="17"/>
      <c r="X1601" s="17"/>
    </row>
    <row r="1602" spans="1:24" hidden="1">
      <c r="A1602" s="18">
        <v>1605</v>
      </c>
      <c r="B1602" s="17" t="s">
        <v>3390</v>
      </c>
      <c r="C1602" s="17" t="s">
        <v>3391</v>
      </c>
      <c r="D1602" s="17" t="s">
        <v>17</v>
      </c>
      <c r="E1602" s="17" t="s">
        <v>8</v>
      </c>
      <c r="F1602" s="17">
        <v>250</v>
      </c>
      <c r="G1602" s="17">
        <v>0</v>
      </c>
      <c r="H1602" s="17">
        <v>20</v>
      </c>
      <c r="I1602" s="17">
        <v>230</v>
      </c>
      <c r="J1602" s="17">
        <v>0</v>
      </c>
      <c r="K1602" s="17">
        <v>0</v>
      </c>
      <c r="L1602" s="17">
        <v>230</v>
      </c>
      <c r="M1602" s="17">
        <v>0</v>
      </c>
      <c r="N1602" s="17">
        <v>0</v>
      </c>
      <c r="O1602" s="17">
        <v>230</v>
      </c>
      <c r="P1602" s="17">
        <v>200</v>
      </c>
      <c r="Q1602" s="17">
        <v>30</v>
      </c>
      <c r="R1602" s="17">
        <v>0</v>
      </c>
      <c r="S1602" s="17"/>
      <c r="T1602" s="17" t="s">
        <v>2972</v>
      </c>
      <c r="U1602" s="17" t="s">
        <v>3057</v>
      </c>
      <c r="V1602" s="17" t="s">
        <v>3056</v>
      </c>
      <c r="W1602" s="17"/>
      <c r="X1602" s="17"/>
    </row>
    <row r="1603" spans="1:24" hidden="1">
      <c r="A1603" s="18">
        <v>1606</v>
      </c>
      <c r="B1603" s="17" t="s">
        <v>3392</v>
      </c>
      <c r="C1603" s="17" t="s">
        <v>3393</v>
      </c>
      <c r="D1603" s="17" t="s">
        <v>17</v>
      </c>
      <c r="E1603" s="17" t="s">
        <v>8</v>
      </c>
      <c r="F1603" s="17">
        <v>1020</v>
      </c>
      <c r="G1603" s="17">
        <v>0</v>
      </c>
      <c r="H1603" s="17">
        <v>0</v>
      </c>
      <c r="I1603" s="17">
        <v>1020</v>
      </c>
      <c r="J1603" s="17">
        <v>0</v>
      </c>
      <c r="K1603" s="17">
        <v>0</v>
      </c>
      <c r="L1603" s="17">
        <v>1020</v>
      </c>
      <c r="M1603" s="17">
        <v>0</v>
      </c>
      <c r="N1603" s="17">
        <v>0</v>
      </c>
      <c r="O1603" s="17">
        <v>1020</v>
      </c>
      <c r="P1603" s="17">
        <v>500</v>
      </c>
      <c r="Q1603" s="17">
        <v>520</v>
      </c>
      <c r="R1603" s="17">
        <v>0</v>
      </c>
      <c r="S1603" s="17"/>
      <c r="T1603" s="17" t="s">
        <v>2972</v>
      </c>
      <c r="U1603" s="17" t="s">
        <v>3057</v>
      </c>
      <c r="V1603" s="17" t="s">
        <v>3056</v>
      </c>
      <c r="W1603" s="17"/>
      <c r="X1603" s="17"/>
    </row>
    <row r="1604" spans="1:24" hidden="1">
      <c r="A1604" s="18">
        <v>1607</v>
      </c>
      <c r="B1604" s="17" t="s">
        <v>3394</v>
      </c>
      <c r="C1604" s="17" t="s">
        <v>3395</v>
      </c>
      <c r="D1604" s="17" t="s">
        <v>17</v>
      </c>
      <c r="E1604" s="17" t="s">
        <v>8</v>
      </c>
      <c r="F1604" s="17">
        <v>250</v>
      </c>
      <c r="G1604" s="17">
        <v>0</v>
      </c>
      <c r="H1604" s="17">
        <v>50</v>
      </c>
      <c r="I1604" s="17">
        <v>200</v>
      </c>
      <c r="J1604" s="17">
        <v>0</v>
      </c>
      <c r="K1604" s="17">
        <v>0</v>
      </c>
      <c r="L1604" s="17">
        <v>200</v>
      </c>
      <c r="M1604" s="17">
        <v>0</v>
      </c>
      <c r="N1604" s="17">
        <v>0</v>
      </c>
      <c r="O1604" s="17">
        <v>200</v>
      </c>
      <c r="P1604" s="17">
        <v>200</v>
      </c>
      <c r="Q1604" s="17">
        <v>0</v>
      </c>
      <c r="R1604" s="17">
        <v>0</v>
      </c>
      <c r="S1604" s="17"/>
      <c r="T1604" s="17" t="s">
        <v>2972</v>
      </c>
      <c r="U1604" s="17" t="s">
        <v>3057</v>
      </c>
      <c r="V1604" s="17" t="s">
        <v>3056</v>
      </c>
      <c r="W1604" s="17"/>
      <c r="X1604" s="17"/>
    </row>
    <row r="1605" spans="1:24" hidden="1">
      <c r="A1605" s="18">
        <v>1608</v>
      </c>
      <c r="B1605" s="17" t="s">
        <v>3396</v>
      </c>
      <c r="C1605" s="17" t="s">
        <v>3397</v>
      </c>
      <c r="D1605" s="17" t="s">
        <v>17</v>
      </c>
      <c r="E1605" s="17" t="s">
        <v>8</v>
      </c>
      <c r="F1605" s="17">
        <v>250</v>
      </c>
      <c r="G1605" s="17">
        <v>0</v>
      </c>
      <c r="H1605" s="17">
        <v>25</v>
      </c>
      <c r="I1605" s="17">
        <v>225</v>
      </c>
      <c r="J1605" s="17">
        <v>0</v>
      </c>
      <c r="K1605" s="17">
        <v>0</v>
      </c>
      <c r="L1605" s="17">
        <v>225</v>
      </c>
      <c r="M1605" s="17">
        <v>0</v>
      </c>
      <c r="N1605" s="17">
        <v>0</v>
      </c>
      <c r="O1605" s="17">
        <v>225</v>
      </c>
      <c r="P1605" s="17">
        <v>200</v>
      </c>
      <c r="Q1605" s="17">
        <v>25</v>
      </c>
      <c r="R1605" s="17">
        <v>0</v>
      </c>
      <c r="S1605" s="17"/>
      <c r="T1605" s="17" t="s">
        <v>2972</v>
      </c>
      <c r="U1605" s="17" t="s">
        <v>3057</v>
      </c>
      <c r="V1605" s="17" t="s">
        <v>3056</v>
      </c>
      <c r="W1605" s="17"/>
      <c r="X1605" s="17"/>
    </row>
    <row r="1606" spans="1:24" hidden="1">
      <c r="A1606" s="18">
        <v>1609</v>
      </c>
      <c r="B1606" s="17" t="s">
        <v>3398</v>
      </c>
      <c r="C1606" s="17" t="s">
        <v>3399</v>
      </c>
      <c r="D1606" s="17" t="s">
        <v>17</v>
      </c>
      <c r="E1606" s="17" t="s">
        <v>8</v>
      </c>
      <c r="F1606" s="17">
        <v>250</v>
      </c>
      <c r="G1606" s="17">
        <v>0</v>
      </c>
      <c r="H1606" s="17">
        <v>0</v>
      </c>
      <c r="I1606" s="17">
        <v>250</v>
      </c>
      <c r="J1606" s="17">
        <v>0</v>
      </c>
      <c r="K1606" s="17">
        <v>0</v>
      </c>
      <c r="L1606" s="17">
        <v>250</v>
      </c>
      <c r="M1606" s="17">
        <v>0</v>
      </c>
      <c r="N1606" s="17">
        <v>0</v>
      </c>
      <c r="O1606" s="17">
        <v>250</v>
      </c>
      <c r="P1606" s="17">
        <v>200</v>
      </c>
      <c r="Q1606" s="17">
        <v>50</v>
      </c>
      <c r="R1606" s="17">
        <v>0</v>
      </c>
      <c r="S1606" s="17"/>
      <c r="T1606" s="17" t="s">
        <v>2972</v>
      </c>
      <c r="U1606" s="17" t="s">
        <v>3057</v>
      </c>
      <c r="V1606" s="17" t="s">
        <v>3056</v>
      </c>
      <c r="W1606" s="17"/>
      <c r="X1606" s="17"/>
    </row>
    <row r="1607" spans="1:24" s="40" customFormat="1" hidden="1">
      <c r="A1607" s="26">
        <v>1610</v>
      </c>
      <c r="B1607" s="25" t="s">
        <v>3400</v>
      </c>
      <c r="C1607" s="25" t="s">
        <v>3401</v>
      </c>
      <c r="D1607" s="25" t="s">
        <v>17</v>
      </c>
      <c r="E1607" s="25" t="s">
        <v>8</v>
      </c>
      <c r="F1607" s="25">
        <v>3000</v>
      </c>
      <c r="G1607" s="25">
        <v>0</v>
      </c>
      <c r="H1607" s="25">
        <v>500</v>
      </c>
      <c r="I1607" s="17">
        <v>2500</v>
      </c>
      <c r="J1607" s="17">
        <v>0</v>
      </c>
      <c r="K1607" s="17">
        <v>0</v>
      </c>
      <c r="L1607" s="17">
        <v>2500</v>
      </c>
      <c r="M1607" s="17">
        <v>0</v>
      </c>
      <c r="N1607" s="17">
        <v>0</v>
      </c>
      <c r="O1607" s="25">
        <v>2500</v>
      </c>
      <c r="P1607" s="25">
        <v>2600</v>
      </c>
      <c r="Q1607" s="25">
        <v>-100</v>
      </c>
      <c r="R1607" s="25">
        <v>0</v>
      </c>
      <c r="S1607" s="25"/>
      <c r="T1607" s="25" t="s">
        <v>2972</v>
      </c>
      <c r="U1607" s="25" t="s">
        <v>3057</v>
      </c>
      <c r="V1607" s="25" t="s">
        <v>3056</v>
      </c>
      <c r="W1607" s="25"/>
      <c r="X1607" s="25"/>
    </row>
    <row r="1608" spans="1:24" hidden="1">
      <c r="A1608" s="18">
        <v>1611</v>
      </c>
      <c r="B1608" s="17" t="s">
        <v>3402</v>
      </c>
      <c r="C1608" s="17" t="s">
        <v>3403</v>
      </c>
      <c r="D1608" s="17" t="s">
        <v>17</v>
      </c>
      <c r="E1608" s="17" t="s">
        <v>8</v>
      </c>
      <c r="F1608" s="17">
        <v>750</v>
      </c>
      <c r="G1608" s="17">
        <v>0</v>
      </c>
      <c r="H1608" s="17">
        <v>200</v>
      </c>
      <c r="I1608" s="17">
        <v>550</v>
      </c>
      <c r="J1608" s="17">
        <v>0</v>
      </c>
      <c r="K1608" s="17">
        <v>0</v>
      </c>
      <c r="L1608" s="17">
        <v>550</v>
      </c>
      <c r="M1608" s="17">
        <v>0</v>
      </c>
      <c r="N1608" s="17">
        <v>0</v>
      </c>
      <c r="O1608" s="17">
        <v>550</v>
      </c>
      <c r="P1608" s="17">
        <v>700</v>
      </c>
      <c r="Q1608" s="17">
        <v>-150</v>
      </c>
      <c r="R1608" s="17">
        <v>0</v>
      </c>
      <c r="S1608" s="17"/>
      <c r="T1608" s="17" t="s">
        <v>2972</v>
      </c>
      <c r="U1608" s="17" t="s">
        <v>3057</v>
      </c>
      <c r="V1608" s="17" t="s">
        <v>3056</v>
      </c>
      <c r="W1608" s="17"/>
      <c r="X1608" s="17"/>
    </row>
    <row r="1609" spans="1:24" hidden="1">
      <c r="A1609" s="18">
        <v>1612</v>
      </c>
      <c r="B1609" s="17" t="s">
        <v>3404</v>
      </c>
      <c r="C1609" s="17" t="s">
        <v>3405</v>
      </c>
      <c r="D1609" s="17" t="s">
        <v>17</v>
      </c>
      <c r="E1609" s="17" t="s">
        <v>8</v>
      </c>
      <c r="F1609" s="17">
        <v>250</v>
      </c>
      <c r="G1609" s="17">
        <v>0</v>
      </c>
      <c r="H1609" s="17">
        <v>50</v>
      </c>
      <c r="I1609" s="17">
        <v>200</v>
      </c>
      <c r="J1609" s="17">
        <v>0</v>
      </c>
      <c r="K1609" s="17">
        <v>0</v>
      </c>
      <c r="L1609" s="17">
        <v>200</v>
      </c>
      <c r="M1609" s="17">
        <v>0</v>
      </c>
      <c r="N1609" s="17">
        <v>0</v>
      </c>
      <c r="O1609" s="17">
        <v>200</v>
      </c>
      <c r="P1609" s="17">
        <v>200</v>
      </c>
      <c r="Q1609" s="17">
        <v>0</v>
      </c>
      <c r="R1609" s="17">
        <v>0</v>
      </c>
      <c r="S1609" s="17"/>
      <c r="T1609" s="17" t="s">
        <v>2972</v>
      </c>
      <c r="U1609" s="17" t="s">
        <v>3057</v>
      </c>
      <c r="V1609" s="17" t="s">
        <v>3056</v>
      </c>
      <c r="W1609" s="17"/>
      <c r="X1609" s="17"/>
    </row>
    <row r="1610" spans="1:24" hidden="1">
      <c r="A1610" s="18">
        <v>1613</v>
      </c>
      <c r="B1610" s="17" t="s">
        <v>3406</v>
      </c>
      <c r="C1610" s="17" t="s">
        <v>3407</v>
      </c>
      <c r="D1610" s="17" t="s">
        <v>17</v>
      </c>
      <c r="E1610" s="17" t="s">
        <v>8</v>
      </c>
      <c r="F1610" s="17">
        <v>876</v>
      </c>
      <c r="G1610" s="17">
        <v>0</v>
      </c>
      <c r="H1610" s="17">
        <v>0</v>
      </c>
      <c r="I1610" s="17">
        <v>876</v>
      </c>
      <c r="J1610" s="17">
        <v>0</v>
      </c>
      <c r="K1610" s="17">
        <v>0</v>
      </c>
      <c r="L1610" s="17">
        <v>876</v>
      </c>
      <c r="M1610" s="17">
        <v>0</v>
      </c>
      <c r="N1610" s="17">
        <v>0</v>
      </c>
      <c r="O1610" s="17">
        <v>876</v>
      </c>
      <c r="P1610" s="17">
        <v>500</v>
      </c>
      <c r="Q1610" s="17">
        <v>376</v>
      </c>
      <c r="R1610" s="17">
        <v>0</v>
      </c>
      <c r="S1610" s="17"/>
      <c r="T1610" s="17" t="s">
        <v>2972</v>
      </c>
      <c r="U1610" s="17" t="s">
        <v>3057</v>
      </c>
      <c r="V1610" s="17" t="s">
        <v>3056</v>
      </c>
      <c r="W1610" s="17"/>
      <c r="X1610" s="17"/>
    </row>
    <row r="1611" spans="1:24" hidden="1">
      <c r="A1611" s="18">
        <v>1614</v>
      </c>
      <c r="B1611" s="17" t="s">
        <v>3408</v>
      </c>
      <c r="C1611" s="17" t="s">
        <v>3409</v>
      </c>
      <c r="D1611" s="17" t="s">
        <v>17</v>
      </c>
      <c r="E1611" s="17" t="s">
        <v>8</v>
      </c>
      <c r="F1611" s="17">
        <v>1180</v>
      </c>
      <c r="G1611" s="17">
        <v>0</v>
      </c>
      <c r="H1611" s="17">
        <v>0</v>
      </c>
      <c r="I1611" s="17">
        <v>1180</v>
      </c>
      <c r="J1611" s="17">
        <v>0</v>
      </c>
      <c r="K1611" s="17">
        <v>0</v>
      </c>
      <c r="L1611" s="17">
        <v>1180</v>
      </c>
      <c r="M1611" s="17">
        <v>0</v>
      </c>
      <c r="N1611" s="17">
        <v>0</v>
      </c>
      <c r="O1611" s="17">
        <v>1180</v>
      </c>
      <c r="P1611" s="17">
        <v>500</v>
      </c>
      <c r="Q1611" s="17">
        <v>680</v>
      </c>
      <c r="R1611" s="17">
        <v>0</v>
      </c>
      <c r="S1611" s="17"/>
      <c r="T1611" s="17" t="s">
        <v>2972</v>
      </c>
      <c r="U1611" s="17" t="s">
        <v>3057</v>
      </c>
      <c r="V1611" s="17" t="s">
        <v>3056</v>
      </c>
      <c r="W1611" s="17"/>
      <c r="X1611" s="17"/>
    </row>
    <row r="1612" spans="1:24" hidden="1">
      <c r="A1612" s="18">
        <v>1615</v>
      </c>
      <c r="B1612" s="17" t="s">
        <v>3410</v>
      </c>
      <c r="C1612" s="17" t="s">
        <v>3411</v>
      </c>
      <c r="D1612" s="17" t="s">
        <v>17</v>
      </c>
      <c r="E1612" s="17" t="s">
        <v>8</v>
      </c>
      <c r="F1612" s="17">
        <v>1000</v>
      </c>
      <c r="G1612" s="17">
        <v>0</v>
      </c>
      <c r="H1612" s="17">
        <v>0</v>
      </c>
      <c r="I1612" s="17">
        <v>1000</v>
      </c>
      <c r="J1612" s="17">
        <v>0</v>
      </c>
      <c r="K1612" s="17">
        <v>0</v>
      </c>
      <c r="L1612" s="17">
        <v>1000</v>
      </c>
      <c r="M1612" s="17">
        <v>0</v>
      </c>
      <c r="N1612" s="17">
        <v>0</v>
      </c>
      <c r="O1612" s="17">
        <v>1000</v>
      </c>
      <c r="P1612" s="17">
        <v>500</v>
      </c>
      <c r="Q1612" s="17">
        <v>500</v>
      </c>
      <c r="R1612" s="17">
        <v>0</v>
      </c>
      <c r="S1612" s="17"/>
      <c r="T1612" s="17" t="s">
        <v>2972</v>
      </c>
      <c r="U1612" s="17" t="s">
        <v>3057</v>
      </c>
      <c r="V1612" s="17" t="s">
        <v>3056</v>
      </c>
      <c r="W1612" s="17"/>
      <c r="X1612" s="17"/>
    </row>
    <row r="1613" spans="1:24" hidden="1">
      <c r="A1613" s="18">
        <v>1616</v>
      </c>
      <c r="B1613" s="17" t="s">
        <v>3412</v>
      </c>
      <c r="C1613" s="17" t="s">
        <v>3413</v>
      </c>
      <c r="D1613" s="17" t="s">
        <v>17</v>
      </c>
      <c r="E1613" s="17" t="s">
        <v>8</v>
      </c>
      <c r="F1613" s="17">
        <v>1090</v>
      </c>
      <c r="G1613" s="17">
        <v>0</v>
      </c>
      <c r="H1613" s="17">
        <v>1090</v>
      </c>
      <c r="I1613" s="17">
        <v>0</v>
      </c>
      <c r="J1613" s="17">
        <v>0</v>
      </c>
      <c r="K1613" s="17">
        <v>0</v>
      </c>
      <c r="L1613" s="17">
        <v>0</v>
      </c>
      <c r="M1613" s="17">
        <v>0</v>
      </c>
      <c r="N1613" s="17">
        <v>0</v>
      </c>
      <c r="O1613" s="17">
        <v>0</v>
      </c>
      <c r="P1613" s="17">
        <v>500</v>
      </c>
      <c r="Q1613" s="17">
        <v>-500</v>
      </c>
      <c r="R1613" s="17">
        <v>0</v>
      </c>
      <c r="S1613" s="17"/>
      <c r="T1613" s="17" t="s">
        <v>2972</v>
      </c>
      <c r="U1613" s="17" t="s">
        <v>3057</v>
      </c>
      <c r="V1613" s="17" t="s">
        <v>3056</v>
      </c>
      <c r="W1613" s="17"/>
      <c r="X1613" s="17"/>
    </row>
    <row r="1614" spans="1:24" hidden="1">
      <c r="A1614" s="18">
        <v>1617</v>
      </c>
      <c r="B1614" s="17" t="s">
        <v>3414</v>
      </c>
      <c r="C1614" s="17" t="s">
        <v>3415</v>
      </c>
      <c r="D1614" s="17" t="s">
        <v>17</v>
      </c>
      <c r="E1614" s="17" t="s">
        <v>8</v>
      </c>
      <c r="F1614" s="17">
        <v>1135</v>
      </c>
      <c r="G1614" s="17">
        <v>0</v>
      </c>
      <c r="H1614" s="17">
        <v>0</v>
      </c>
      <c r="I1614" s="17">
        <v>1135</v>
      </c>
      <c r="J1614" s="17">
        <v>0</v>
      </c>
      <c r="K1614" s="17">
        <v>0</v>
      </c>
      <c r="L1614" s="17">
        <v>1135</v>
      </c>
      <c r="M1614" s="17">
        <v>0</v>
      </c>
      <c r="N1614" s="17">
        <v>0</v>
      </c>
      <c r="O1614" s="17">
        <v>1135</v>
      </c>
      <c r="P1614" s="17">
        <v>500</v>
      </c>
      <c r="Q1614" s="17">
        <v>635</v>
      </c>
      <c r="R1614" s="17">
        <v>0</v>
      </c>
      <c r="S1614" s="17"/>
      <c r="T1614" s="17" t="s">
        <v>2972</v>
      </c>
      <c r="U1614" s="17" t="s">
        <v>3057</v>
      </c>
      <c r="V1614" s="17" t="s">
        <v>3056</v>
      </c>
      <c r="W1614" s="17"/>
      <c r="X1614" s="17"/>
    </row>
    <row r="1615" spans="1:24" hidden="1">
      <c r="A1615" s="18">
        <v>1618</v>
      </c>
      <c r="B1615" s="17" t="s">
        <v>3416</v>
      </c>
      <c r="C1615" s="17" t="s">
        <v>3417</v>
      </c>
      <c r="D1615" s="17" t="s">
        <v>17</v>
      </c>
      <c r="E1615" s="17" t="s">
        <v>8</v>
      </c>
      <c r="F1615" s="17">
        <v>1075</v>
      </c>
      <c r="G1615" s="17">
        <v>0</v>
      </c>
      <c r="H1615" s="17">
        <v>0</v>
      </c>
      <c r="I1615" s="17">
        <v>1075</v>
      </c>
      <c r="J1615" s="17">
        <v>0</v>
      </c>
      <c r="K1615" s="17">
        <v>0</v>
      </c>
      <c r="L1615" s="17">
        <v>1075</v>
      </c>
      <c r="M1615" s="17">
        <v>0</v>
      </c>
      <c r="N1615" s="17">
        <v>0</v>
      </c>
      <c r="O1615" s="17">
        <v>1075</v>
      </c>
      <c r="P1615" s="17">
        <v>500</v>
      </c>
      <c r="Q1615" s="17">
        <v>575</v>
      </c>
      <c r="R1615" s="17">
        <v>0</v>
      </c>
      <c r="S1615" s="17"/>
      <c r="T1615" s="17" t="s">
        <v>2972</v>
      </c>
      <c r="U1615" s="17" t="s">
        <v>3057</v>
      </c>
      <c r="V1615" s="17" t="s">
        <v>3056</v>
      </c>
      <c r="W1615" s="17"/>
      <c r="X1615" s="17"/>
    </row>
    <row r="1616" spans="1:24" hidden="1">
      <c r="A1616" s="18">
        <v>1619</v>
      </c>
      <c r="B1616" s="17" t="s">
        <v>3418</v>
      </c>
      <c r="C1616" s="17" t="s">
        <v>3419</v>
      </c>
      <c r="D1616" s="17" t="s">
        <v>17</v>
      </c>
      <c r="E1616" s="17" t="s">
        <v>8</v>
      </c>
      <c r="F1616" s="17">
        <v>750</v>
      </c>
      <c r="G1616" s="17">
        <v>0</v>
      </c>
      <c r="H1616" s="17">
        <v>0</v>
      </c>
      <c r="I1616" s="17">
        <v>750</v>
      </c>
      <c r="J1616" s="17">
        <v>0</v>
      </c>
      <c r="K1616" s="17">
        <v>0</v>
      </c>
      <c r="L1616" s="17">
        <v>750</v>
      </c>
      <c r="M1616" s="17">
        <v>0</v>
      </c>
      <c r="N1616" s="17">
        <v>0</v>
      </c>
      <c r="O1616" s="17">
        <v>750</v>
      </c>
      <c r="P1616" s="17">
        <v>700</v>
      </c>
      <c r="Q1616" s="17">
        <v>50</v>
      </c>
      <c r="R1616" s="17">
        <v>0</v>
      </c>
      <c r="S1616" s="17"/>
      <c r="T1616" s="17" t="s">
        <v>2972</v>
      </c>
      <c r="U1616" s="17" t="s">
        <v>3057</v>
      </c>
      <c r="V1616" s="17" t="s">
        <v>3056</v>
      </c>
      <c r="W1616" s="17"/>
      <c r="X1616" s="17"/>
    </row>
    <row r="1617" spans="1:24" hidden="1">
      <c r="A1617" s="18">
        <v>1620</v>
      </c>
      <c r="B1617" s="17" t="s">
        <v>3420</v>
      </c>
      <c r="C1617" s="17" t="s">
        <v>3421</v>
      </c>
      <c r="D1617" s="17" t="s">
        <v>17</v>
      </c>
      <c r="E1617" s="17" t="s">
        <v>8</v>
      </c>
      <c r="F1617" s="17">
        <v>1110</v>
      </c>
      <c r="G1617" s="17">
        <v>0</v>
      </c>
      <c r="H1617" s="17">
        <v>0</v>
      </c>
      <c r="I1617" s="17">
        <v>1110</v>
      </c>
      <c r="J1617" s="17">
        <v>0</v>
      </c>
      <c r="K1617" s="17">
        <v>0</v>
      </c>
      <c r="L1617" s="17">
        <v>1110</v>
      </c>
      <c r="M1617" s="17">
        <v>0</v>
      </c>
      <c r="N1617" s="17">
        <v>0</v>
      </c>
      <c r="O1617" s="17">
        <v>1110</v>
      </c>
      <c r="P1617" s="17">
        <v>500</v>
      </c>
      <c r="Q1617" s="17">
        <v>610</v>
      </c>
      <c r="R1617" s="17">
        <v>0</v>
      </c>
      <c r="S1617" s="17"/>
      <c r="T1617" s="17" t="s">
        <v>2972</v>
      </c>
      <c r="U1617" s="17" t="s">
        <v>3057</v>
      </c>
      <c r="V1617" s="17" t="s">
        <v>3056</v>
      </c>
      <c r="W1617" s="17"/>
      <c r="X1617" s="17"/>
    </row>
    <row r="1618" spans="1:24" hidden="1">
      <c r="A1618" s="18">
        <v>1621</v>
      </c>
      <c r="B1618" s="17" t="s">
        <v>3422</v>
      </c>
      <c r="C1618" s="17" t="s">
        <v>3423</v>
      </c>
      <c r="D1618" s="17" t="s">
        <v>17</v>
      </c>
      <c r="E1618" s="17" t="s">
        <v>8</v>
      </c>
      <c r="F1618" s="17">
        <v>1090</v>
      </c>
      <c r="G1618" s="17">
        <v>0</v>
      </c>
      <c r="H1618" s="17">
        <v>0</v>
      </c>
      <c r="I1618" s="17">
        <v>1090</v>
      </c>
      <c r="J1618" s="17">
        <v>0</v>
      </c>
      <c r="K1618" s="17">
        <v>0</v>
      </c>
      <c r="L1618" s="17">
        <v>1090</v>
      </c>
      <c r="M1618" s="17">
        <v>0</v>
      </c>
      <c r="N1618" s="17">
        <v>0</v>
      </c>
      <c r="O1618" s="17">
        <v>1090</v>
      </c>
      <c r="P1618" s="17">
        <v>500</v>
      </c>
      <c r="Q1618" s="17">
        <v>590</v>
      </c>
      <c r="R1618" s="17">
        <v>0</v>
      </c>
      <c r="S1618" s="17"/>
      <c r="T1618" s="17" t="s">
        <v>2972</v>
      </c>
      <c r="U1618" s="17" t="s">
        <v>3057</v>
      </c>
      <c r="V1618" s="17" t="s">
        <v>3056</v>
      </c>
      <c r="W1618" s="17"/>
      <c r="X1618" s="17"/>
    </row>
    <row r="1619" spans="1:24" hidden="1">
      <c r="A1619" s="18">
        <v>1622</v>
      </c>
      <c r="B1619" s="17" t="s">
        <v>3424</v>
      </c>
      <c r="C1619" s="17" t="s">
        <v>3425</v>
      </c>
      <c r="D1619" s="17" t="s">
        <v>20</v>
      </c>
      <c r="E1619" s="17" t="s">
        <v>8</v>
      </c>
      <c r="F1619" s="17">
        <v>0</v>
      </c>
      <c r="G1619" s="17">
        <v>0</v>
      </c>
      <c r="H1619" s="17">
        <v>0</v>
      </c>
      <c r="I1619" s="17">
        <v>0</v>
      </c>
      <c r="J1619" s="17">
        <v>0</v>
      </c>
      <c r="K1619" s="17">
        <v>0</v>
      </c>
      <c r="L1619" s="17">
        <v>0</v>
      </c>
      <c r="M1619" s="17">
        <v>0</v>
      </c>
      <c r="N1619" s="17">
        <v>0</v>
      </c>
      <c r="O1619" s="17">
        <v>0</v>
      </c>
      <c r="P1619" s="17">
        <v>0</v>
      </c>
      <c r="Q1619" s="17">
        <v>0</v>
      </c>
      <c r="R1619" s="17">
        <v>0</v>
      </c>
      <c r="S1619" s="17"/>
      <c r="T1619" s="17" t="s">
        <v>2991</v>
      </c>
      <c r="U1619" s="17" t="s">
        <v>3057</v>
      </c>
      <c r="V1619" s="17" t="s">
        <v>3056</v>
      </c>
      <c r="W1619" s="17"/>
      <c r="X1619" s="17"/>
    </row>
    <row r="1620" spans="1:24" hidden="1">
      <c r="A1620" s="18">
        <v>1623</v>
      </c>
      <c r="B1620" s="17" t="s">
        <v>3426</v>
      </c>
      <c r="C1620" s="17" t="s">
        <v>3427</v>
      </c>
      <c r="D1620" s="17" t="s">
        <v>20</v>
      </c>
      <c r="E1620" s="17" t="s">
        <v>8</v>
      </c>
      <c r="F1620" s="17">
        <v>14.7</v>
      </c>
      <c r="G1620" s="17">
        <v>0</v>
      </c>
      <c r="H1620" s="17">
        <v>0</v>
      </c>
      <c r="I1620" s="17">
        <v>14.7</v>
      </c>
      <c r="J1620" s="17">
        <v>0</v>
      </c>
      <c r="K1620" s="17">
        <v>0</v>
      </c>
      <c r="L1620" s="17">
        <v>14.7</v>
      </c>
      <c r="M1620" s="17">
        <v>0</v>
      </c>
      <c r="N1620" s="17">
        <v>0</v>
      </c>
      <c r="O1620" s="17">
        <v>14.7</v>
      </c>
      <c r="P1620" s="17">
        <v>0</v>
      </c>
      <c r="Q1620" s="17">
        <v>14.7</v>
      </c>
      <c r="R1620" s="17">
        <v>0</v>
      </c>
      <c r="S1620" s="17"/>
      <c r="T1620" s="17" t="s">
        <v>2991</v>
      </c>
      <c r="U1620" s="17" t="s">
        <v>3057</v>
      </c>
      <c r="V1620" s="17" t="s">
        <v>3056</v>
      </c>
      <c r="W1620" s="17"/>
      <c r="X1620" s="17"/>
    </row>
    <row r="1621" spans="1:24" hidden="1">
      <c r="A1621" s="18">
        <v>1624</v>
      </c>
      <c r="B1621" s="17" t="s">
        <v>3428</v>
      </c>
      <c r="C1621" s="17" t="s">
        <v>3429</v>
      </c>
      <c r="D1621" s="17" t="s">
        <v>20</v>
      </c>
      <c r="E1621" s="17" t="s">
        <v>8</v>
      </c>
      <c r="F1621" s="17">
        <v>0</v>
      </c>
      <c r="G1621" s="17">
        <v>0</v>
      </c>
      <c r="H1621" s="17">
        <v>0</v>
      </c>
      <c r="I1621" s="17">
        <v>0</v>
      </c>
      <c r="J1621" s="17">
        <v>0</v>
      </c>
      <c r="K1621" s="17">
        <v>0</v>
      </c>
      <c r="L1621" s="17">
        <v>0</v>
      </c>
      <c r="M1621" s="17">
        <v>0</v>
      </c>
      <c r="N1621" s="17">
        <v>0</v>
      </c>
      <c r="O1621" s="17">
        <v>0</v>
      </c>
      <c r="P1621" s="17">
        <v>0</v>
      </c>
      <c r="Q1621" s="17">
        <v>0</v>
      </c>
      <c r="R1621" s="17">
        <v>0</v>
      </c>
      <c r="S1621" s="17"/>
      <c r="T1621" s="17" t="s">
        <v>2991</v>
      </c>
      <c r="U1621" s="17" t="s">
        <v>3057</v>
      </c>
      <c r="V1621" s="17" t="s">
        <v>3056</v>
      </c>
      <c r="W1621" s="17"/>
      <c r="X1621" s="17"/>
    </row>
    <row r="1622" spans="1:24" hidden="1">
      <c r="A1622" s="18">
        <v>1625</v>
      </c>
      <c r="B1622" s="17" t="s">
        <v>3430</v>
      </c>
      <c r="C1622" s="17" t="s">
        <v>3431</v>
      </c>
      <c r="D1622" s="17" t="s">
        <v>17</v>
      </c>
      <c r="E1622" s="17" t="s">
        <v>8</v>
      </c>
      <c r="F1622" s="17">
        <v>1140</v>
      </c>
      <c r="G1622" s="17">
        <v>0</v>
      </c>
      <c r="H1622" s="17">
        <v>1140</v>
      </c>
      <c r="I1622" s="17">
        <v>0</v>
      </c>
      <c r="J1622" s="17">
        <v>0</v>
      </c>
      <c r="K1622" s="17">
        <v>0</v>
      </c>
      <c r="L1622" s="17">
        <v>0</v>
      </c>
      <c r="M1622" s="17">
        <v>0</v>
      </c>
      <c r="N1622" s="17">
        <v>0</v>
      </c>
      <c r="O1622" s="17">
        <v>0</v>
      </c>
      <c r="P1622" s="17">
        <v>500</v>
      </c>
      <c r="Q1622" s="17">
        <v>-500</v>
      </c>
      <c r="R1622" s="17">
        <v>0</v>
      </c>
      <c r="S1622" s="17"/>
      <c r="T1622" s="17" t="s">
        <v>2972</v>
      </c>
      <c r="U1622" s="17" t="s">
        <v>3057</v>
      </c>
      <c r="V1622" s="17" t="s">
        <v>3056</v>
      </c>
      <c r="W1622" s="17"/>
      <c r="X1622" s="17"/>
    </row>
    <row r="1623" spans="1:24" hidden="1">
      <c r="A1623" s="18">
        <v>1626</v>
      </c>
      <c r="B1623" s="17" t="s">
        <v>3432</v>
      </c>
      <c r="C1623" s="17" t="s">
        <v>3433</v>
      </c>
      <c r="D1623" s="17" t="s">
        <v>17</v>
      </c>
      <c r="E1623" s="17" t="s">
        <v>8</v>
      </c>
      <c r="F1623" s="17">
        <v>250</v>
      </c>
      <c r="G1623" s="17">
        <v>0</v>
      </c>
      <c r="H1623" s="17">
        <v>0</v>
      </c>
      <c r="I1623" s="17">
        <v>250</v>
      </c>
      <c r="J1623" s="17">
        <v>0</v>
      </c>
      <c r="K1623" s="17">
        <v>0</v>
      </c>
      <c r="L1623" s="17">
        <v>250</v>
      </c>
      <c r="M1623" s="17">
        <v>0</v>
      </c>
      <c r="N1623" s="17">
        <v>0</v>
      </c>
      <c r="O1623" s="17">
        <v>250</v>
      </c>
      <c r="P1623" s="17">
        <v>200</v>
      </c>
      <c r="Q1623" s="17">
        <v>50</v>
      </c>
      <c r="R1623" s="17">
        <v>0</v>
      </c>
      <c r="S1623" s="17"/>
      <c r="T1623" s="17" t="s">
        <v>2972</v>
      </c>
      <c r="U1623" s="17" t="s">
        <v>3057</v>
      </c>
      <c r="V1623" s="17" t="s">
        <v>3056</v>
      </c>
      <c r="W1623" s="17"/>
      <c r="X1623" s="17"/>
    </row>
    <row r="1624" spans="1:24" hidden="1">
      <c r="A1624" s="18">
        <v>1627</v>
      </c>
      <c r="B1624" s="17" t="s">
        <v>3434</v>
      </c>
      <c r="C1624" s="17" t="s">
        <v>3435</v>
      </c>
      <c r="D1624" s="17" t="s">
        <v>17</v>
      </c>
      <c r="E1624" s="17" t="s">
        <v>8</v>
      </c>
      <c r="F1624" s="17">
        <v>250</v>
      </c>
      <c r="G1624" s="17">
        <v>0</v>
      </c>
      <c r="H1624" s="17">
        <v>0</v>
      </c>
      <c r="I1624" s="17">
        <v>250</v>
      </c>
      <c r="J1624" s="17">
        <v>0</v>
      </c>
      <c r="K1624" s="17">
        <v>0</v>
      </c>
      <c r="L1624" s="17">
        <v>250</v>
      </c>
      <c r="M1624" s="17">
        <v>0</v>
      </c>
      <c r="N1624" s="17">
        <v>0</v>
      </c>
      <c r="O1624" s="17">
        <v>250</v>
      </c>
      <c r="P1624" s="17">
        <v>200</v>
      </c>
      <c r="Q1624" s="17">
        <v>50</v>
      </c>
      <c r="R1624" s="17">
        <v>0</v>
      </c>
      <c r="S1624" s="17"/>
      <c r="T1624" s="17" t="s">
        <v>2972</v>
      </c>
      <c r="U1624" s="17" t="s">
        <v>3057</v>
      </c>
      <c r="V1624" s="17" t="s">
        <v>3056</v>
      </c>
      <c r="W1624" s="17"/>
      <c r="X1624" s="17"/>
    </row>
    <row r="1625" spans="1:24" hidden="1">
      <c r="A1625" s="18">
        <v>1628</v>
      </c>
      <c r="B1625" s="17" t="s">
        <v>3436</v>
      </c>
      <c r="C1625" s="17" t="s">
        <v>3437</v>
      </c>
      <c r="D1625" s="17" t="s">
        <v>17</v>
      </c>
      <c r="E1625" s="17" t="s">
        <v>8</v>
      </c>
      <c r="F1625" s="17">
        <v>1030</v>
      </c>
      <c r="G1625" s="17">
        <v>0</v>
      </c>
      <c r="H1625" s="17">
        <v>0</v>
      </c>
      <c r="I1625" s="17">
        <v>1030</v>
      </c>
      <c r="J1625" s="17">
        <v>0</v>
      </c>
      <c r="K1625" s="17">
        <v>0</v>
      </c>
      <c r="L1625" s="17">
        <v>1030</v>
      </c>
      <c r="M1625" s="17">
        <v>0</v>
      </c>
      <c r="N1625" s="17">
        <v>0</v>
      </c>
      <c r="O1625" s="17">
        <v>1030</v>
      </c>
      <c r="P1625" s="17">
        <v>500</v>
      </c>
      <c r="Q1625" s="17">
        <v>530</v>
      </c>
      <c r="R1625" s="17">
        <v>0</v>
      </c>
      <c r="S1625" s="17"/>
      <c r="T1625" s="17" t="s">
        <v>2972</v>
      </c>
      <c r="U1625" s="17" t="s">
        <v>3057</v>
      </c>
      <c r="V1625" s="17" t="s">
        <v>3056</v>
      </c>
      <c r="W1625" s="17"/>
      <c r="X1625" s="17"/>
    </row>
    <row r="1626" spans="1:24" hidden="1">
      <c r="A1626" s="18">
        <v>1629</v>
      </c>
      <c r="B1626" s="17" t="s">
        <v>3438</v>
      </c>
      <c r="C1626" s="17" t="s">
        <v>3439</v>
      </c>
      <c r="D1626" s="17" t="s">
        <v>17</v>
      </c>
      <c r="E1626" s="17" t="s">
        <v>8</v>
      </c>
      <c r="F1626" s="17">
        <v>250</v>
      </c>
      <c r="G1626" s="17">
        <v>0</v>
      </c>
      <c r="H1626" s="17">
        <v>0</v>
      </c>
      <c r="I1626" s="17">
        <v>250</v>
      </c>
      <c r="J1626" s="17">
        <v>0</v>
      </c>
      <c r="K1626" s="17">
        <v>0</v>
      </c>
      <c r="L1626" s="17">
        <v>250</v>
      </c>
      <c r="M1626" s="17">
        <v>0</v>
      </c>
      <c r="N1626" s="17">
        <v>0</v>
      </c>
      <c r="O1626" s="17">
        <v>250</v>
      </c>
      <c r="P1626" s="17">
        <v>200</v>
      </c>
      <c r="Q1626" s="17">
        <v>50</v>
      </c>
      <c r="R1626" s="17">
        <v>0</v>
      </c>
      <c r="S1626" s="17"/>
      <c r="T1626" s="17" t="s">
        <v>2972</v>
      </c>
      <c r="U1626" s="17" t="s">
        <v>3057</v>
      </c>
      <c r="V1626" s="17" t="s">
        <v>3056</v>
      </c>
      <c r="W1626" s="17"/>
      <c r="X1626" s="17"/>
    </row>
    <row r="1627" spans="1:24" hidden="1">
      <c r="A1627" s="18">
        <v>1630</v>
      </c>
      <c r="B1627" s="17" t="s">
        <v>3440</v>
      </c>
      <c r="C1627" s="17" t="s">
        <v>3441</v>
      </c>
      <c r="D1627" s="17" t="s">
        <v>17</v>
      </c>
      <c r="E1627" s="17" t="s">
        <v>8</v>
      </c>
      <c r="F1627" s="17">
        <v>250</v>
      </c>
      <c r="G1627" s="17">
        <v>0</v>
      </c>
      <c r="H1627" s="17">
        <v>50</v>
      </c>
      <c r="I1627" s="17">
        <v>200</v>
      </c>
      <c r="J1627" s="17">
        <v>0</v>
      </c>
      <c r="K1627" s="17">
        <v>0</v>
      </c>
      <c r="L1627" s="17">
        <v>200</v>
      </c>
      <c r="M1627" s="17">
        <v>0</v>
      </c>
      <c r="N1627" s="17">
        <v>0</v>
      </c>
      <c r="O1627" s="17">
        <v>200</v>
      </c>
      <c r="P1627" s="17">
        <v>200</v>
      </c>
      <c r="Q1627" s="17">
        <v>0</v>
      </c>
      <c r="R1627" s="17">
        <v>0</v>
      </c>
      <c r="S1627" s="17"/>
      <c r="T1627" s="17" t="s">
        <v>2972</v>
      </c>
      <c r="U1627" s="17" t="s">
        <v>3057</v>
      </c>
      <c r="V1627" s="17" t="s">
        <v>3056</v>
      </c>
      <c r="W1627" s="17"/>
      <c r="X1627" s="17"/>
    </row>
    <row r="1628" spans="1:24" hidden="1">
      <c r="A1628" s="18">
        <v>1631</v>
      </c>
      <c r="B1628" s="17" t="s">
        <v>3442</v>
      </c>
      <c r="C1628" s="17" t="s">
        <v>3443</v>
      </c>
      <c r="D1628" s="17" t="s">
        <v>17</v>
      </c>
      <c r="E1628" s="17" t="s">
        <v>8</v>
      </c>
      <c r="F1628" s="17">
        <v>414</v>
      </c>
      <c r="G1628" s="17">
        <v>2034</v>
      </c>
      <c r="H1628" s="17">
        <v>240</v>
      </c>
      <c r="I1628" s="17">
        <v>2208</v>
      </c>
      <c r="J1628" s="17">
        <v>0</v>
      </c>
      <c r="K1628" s="17">
        <v>0</v>
      </c>
      <c r="L1628" s="17">
        <v>2208</v>
      </c>
      <c r="M1628" s="17">
        <v>0</v>
      </c>
      <c r="N1628" s="17">
        <v>0</v>
      </c>
      <c r="O1628" s="17">
        <v>2208</v>
      </c>
      <c r="P1628" s="17">
        <v>150</v>
      </c>
      <c r="Q1628" s="17">
        <v>2058</v>
      </c>
      <c r="R1628" s="17">
        <v>1000</v>
      </c>
      <c r="S1628" s="17"/>
      <c r="T1628" s="17" t="s">
        <v>2972</v>
      </c>
      <c r="U1628" s="17" t="s">
        <v>3055</v>
      </c>
      <c r="V1628" s="17" t="s">
        <v>3056</v>
      </c>
      <c r="W1628" s="17"/>
      <c r="X1628" s="17"/>
    </row>
    <row r="1629" spans="1:24" hidden="1">
      <c r="A1629" s="18">
        <v>1632</v>
      </c>
      <c r="B1629" s="17" t="s">
        <v>3444</v>
      </c>
      <c r="C1629" s="17" t="s">
        <v>3445</v>
      </c>
      <c r="D1629" s="17" t="s">
        <v>17</v>
      </c>
      <c r="E1629" s="17" t="s">
        <v>8</v>
      </c>
      <c r="F1629" s="17">
        <v>250</v>
      </c>
      <c r="G1629" s="17">
        <v>0</v>
      </c>
      <c r="H1629" s="17">
        <v>0</v>
      </c>
      <c r="I1629" s="17">
        <v>250</v>
      </c>
      <c r="J1629" s="17">
        <v>0</v>
      </c>
      <c r="K1629" s="17">
        <v>0</v>
      </c>
      <c r="L1629" s="17">
        <v>250</v>
      </c>
      <c r="M1629" s="17">
        <v>0</v>
      </c>
      <c r="N1629" s="17">
        <v>0</v>
      </c>
      <c r="O1629" s="17">
        <v>250</v>
      </c>
      <c r="P1629" s="17">
        <v>200</v>
      </c>
      <c r="Q1629" s="17">
        <v>50</v>
      </c>
      <c r="R1629" s="17">
        <v>0</v>
      </c>
      <c r="S1629" s="17"/>
      <c r="T1629" s="17" t="s">
        <v>2972</v>
      </c>
      <c r="U1629" s="17" t="s">
        <v>3057</v>
      </c>
      <c r="V1629" s="17" t="s">
        <v>3056</v>
      </c>
      <c r="W1629" s="17"/>
      <c r="X1629" s="17"/>
    </row>
    <row r="1630" spans="1:24" hidden="1">
      <c r="A1630" s="18">
        <v>1633</v>
      </c>
      <c r="B1630" s="17" t="s">
        <v>3446</v>
      </c>
      <c r="C1630" s="17" t="s">
        <v>3447</v>
      </c>
      <c r="D1630" s="17" t="s">
        <v>17</v>
      </c>
      <c r="E1630" s="17" t="s">
        <v>8</v>
      </c>
      <c r="F1630" s="17">
        <v>1115</v>
      </c>
      <c r="G1630" s="17">
        <v>0</v>
      </c>
      <c r="H1630" s="17">
        <v>0</v>
      </c>
      <c r="I1630" s="17">
        <v>1115</v>
      </c>
      <c r="J1630" s="17">
        <v>0</v>
      </c>
      <c r="K1630" s="17">
        <v>0</v>
      </c>
      <c r="L1630" s="17">
        <v>1115</v>
      </c>
      <c r="M1630" s="17">
        <v>0</v>
      </c>
      <c r="N1630" s="17">
        <v>0</v>
      </c>
      <c r="O1630" s="17">
        <v>1115</v>
      </c>
      <c r="P1630" s="17">
        <v>500</v>
      </c>
      <c r="Q1630" s="17">
        <v>615</v>
      </c>
      <c r="R1630" s="17">
        <v>0</v>
      </c>
      <c r="S1630" s="17"/>
      <c r="T1630" s="17" t="s">
        <v>2972</v>
      </c>
      <c r="U1630" s="17" t="s">
        <v>3057</v>
      </c>
      <c r="V1630" s="17" t="s">
        <v>3056</v>
      </c>
      <c r="W1630" s="17"/>
      <c r="X1630" s="17"/>
    </row>
    <row r="1631" spans="1:24" hidden="1">
      <c r="A1631" s="18">
        <v>1634</v>
      </c>
      <c r="B1631" s="17" t="s">
        <v>3448</v>
      </c>
      <c r="C1631" s="17" t="s">
        <v>3449</v>
      </c>
      <c r="D1631" s="17" t="s">
        <v>17</v>
      </c>
      <c r="E1631" s="17" t="s">
        <v>8</v>
      </c>
      <c r="F1631" s="17">
        <v>250</v>
      </c>
      <c r="G1631" s="17">
        <v>0</v>
      </c>
      <c r="H1631" s="17">
        <v>0</v>
      </c>
      <c r="I1631" s="17">
        <v>250</v>
      </c>
      <c r="J1631" s="17">
        <v>0</v>
      </c>
      <c r="K1631" s="17">
        <v>0</v>
      </c>
      <c r="L1631" s="17">
        <v>250</v>
      </c>
      <c r="M1631" s="17">
        <v>0</v>
      </c>
      <c r="N1631" s="17">
        <v>0</v>
      </c>
      <c r="O1631" s="17">
        <v>250</v>
      </c>
      <c r="P1631" s="17">
        <v>200</v>
      </c>
      <c r="Q1631" s="17">
        <v>50</v>
      </c>
      <c r="R1631" s="17">
        <v>0</v>
      </c>
      <c r="S1631" s="17"/>
      <c r="T1631" s="17" t="s">
        <v>2972</v>
      </c>
      <c r="U1631" s="17" t="s">
        <v>3057</v>
      </c>
      <c r="V1631" s="17" t="s">
        <v>3056</v>
      </c>
      <c r="W1631" s="17"/>
      <c r="X1631" s="17"/>
    </row>
    <row r="1632" spans="1:24" hidden="1">
      <c r="A1632" s="18">
        <v>1635</v>
      </c>
      <c r="B1632" s="17" t="s">
        <v>3450</v>
      </c>
      <c r="C1632" s="17" t="s">
        <v>3451</v>
      </c>
      <c r="D1632" s="17" t="s">
        <v>17</v>
      </c>
      <c r="E1632" s="17" t="s">
        <v>8</v>
      </c>
      <c r="F1632" s="17">
        <v>1808</v>
      </c>
      <c r="G1632" s="17">
        <v>0</v>
      </c>
      <c r="H1632" s="17">
        <v>0</v>
      </c>
      <c r="I1632" s="17">
        <v>1808</v>
      </c>
      <c r="J1632" s="17">
        <v>0</v>
      </c>
      <c r="K1632" s="17">
        <v>0</v>
      </c>
      <c r="L1632" s="17">
        <v>1808</v>
      </c>
      <c r="M1632" s="17">
        <v>0</v>
      </c>
      <c r="N1632" s="17">
        <v>0</v>
      </c>
      <c r="O1632" s="17">
        <v>1808</v>
      </c>
      <c r="P1632" s="17">
        <v>500</v>
      </c>
      <c r="Q1632" s="17">
        <v>1308</v>
      </c>
      <c r="R1632" s="17">
        <v>0</v>
      </c>
      <c r="S1632" s="17"/>
      <c r="T1632" s="17" t="s">
        <v>2972</v>
      </c>
      <c r="U1632" s="17" t="s">
        <v>3057</v>
      </c>
      <c r="V1632" s="17" t="s">
        <v>3056</v>
      </c>
      <c r="W1632" s="17"/>
      <c r="X1632" s="17"/>
    </row>
    <row r="1633" spans="1:24" hidden="1">
      <c r="A1633" s="18">
        <v>1636</v>
      </c>
      <c r="B1633" s="17" t="s">
        <v>3452</v>
      </c>
      <c r="C1633" s="17" t="s">
        <v>3453</v>
      </c>
      <c r="D1633" s="17" t="s">
        <v>17</v>
      </c>
      <c r="E1633" s="17" t="s">
        <v>8</v>
      </c>
      <c r="F1633" s="17">
        <v>1050</v>
      </c>
      <c r="G1633" s="17">
        <v>0</v>
      </c>
      <c r="H1633" s="17">
        <v>0</v>
      </c>
      <c r="I1633" s="17">
        <v>1050</v>
      </c>
      <c r="J1633" s="17">
        <v>0</v>
      </c>
      <c r="K1633" s="17">
        <v>0</v>
      </c>
      <c r="L1633" s="17">
        <v>1050</v>
      </c>
      <c r="M1633" s="17">
        <v>0</v>
      </c>
      <c r="N1633" s="17">
        <v>0</v>
      </c>
      <c r="O1633" s="17">
        <v>1050</v>
      </c>
      <c r="P1633" s="17">
        <v>500</v>
      </c>
      <c r="Q1633" s="17">
        <v>550</v>
      </c>
      <c r="R1633" s="17">
        <v>0</v>
      </c>
      <c r="S1633" s="17"/>
      <c r="T1633" s="17" t="s">
        <v>2972</v>
      </c>
      <c r="U1633" s="17" t="s">
        <v>3057</v>
      </c>
      <c r="V1633" s="17" t="s">
        <v>3056</v>
      </c>
      <c r="W1633" s="17"/>
      <c r="X1633" s="17"/>
    </row>
    <row r="1634" spans="1:24" hidden="1">
      <c r="A1634" s="18">
        <v>1637</v>
      </c>
      <c r="B1634" s="17" t="s">
        <v>3454</v>
      </c>
      <c r="C1634" s="17" t="s">
        <v>3455</v>
      </c>
      <c r="D1634" s="17" t="s">
        <v>17</v>
      </c>
      <c r="E1634" s="17" t="s">
        <v>8</v>
      </c>
      <c r="F1634" s="17">
        <v>1080</v>
      </c>
      <c r="G1634" s="17">
        <v>0</v>
      </c>
      <c r="H1634" s="17">
        <v>0</v>
      </c>
      <c r="I1634" s="17">
        <v>1080</v>
      </c>
      <c r="J1634" s="17">
        <v>0</v>
      </c>
      <c r="K1634" s="17">
        <v>0</v>
      </c>
      <c r="L1634" s="17">
        <v>1080</v>
      </c>
      <c r="M1634" s="17">
        <v>0</v>
      </c>
      <c r="N1634" s="17">
        <v>0</v>
      </c>
      <c r="O1634" s="17">
        <v>1080</v>
      </c>
      <c r="P1634" s="17">
        <v>500</v>
      </c>
      <c r="Q1634" s="17">
        <v>580</v>
      </c>
      <c r="R1634" s="17">
        <v>0</v>
      </c>
      <c r="S1634" s="17"/>
      <c r="T1634" s="17" t="s">
        <v>2972</v>
      </c>
      <c r="U1634" s="17" t="s">
        <v>3057</v>
      </c>
      <c r="V1634" s="17" t="s">
        <v>3056</v>
      </c>
      <c r="W1634" s="17"/>
      <c r="X1634" s="17"/>
    </row>
    <row r="1635" spans="1:24" hidden="1">
      <c r="A1635" s="18">
        <v>1638</v>
      </c>
      <c r="B1635" s="17" t="s">
        <v>3456</v>
      </c>
      <c r="C1635" s="17" t="s">
        <v>3457</v>
      </c>
      <c r="D1635" s="17" t="s">
        <v>17</v>
      </c>
      <c r="E1635" s="17" t="s">
        <v>8</v>
      </c>
      <c r="F1635" s="17">
        <v>0</v>
      </c>
      <c r="G1635" s="17">
        <v>62</v>
      </c>
      <c r="H1635" s="17">
        <v>62</v>
      </c>
      <c r="I1635" s="17">
        <v>0</v>
      </c>
      <c r="J1635" s="17">
        <v>0</v>
      </c>
      <c r="K1635" s="17">
        <v>0</v>
      </c>
      <c r="L1635" s="17">
        <v>0</v>
      </c>
      <c r="M1635" s="17">
        <v>0</v>
      </c>
      <c r="N1635" s="17">
        <v>0</v>
      </c>
      <c r="O1635" s="17">
        <v>0</v>
      </c>
      <c r="P1635" s="17">
        <v>0</v>
      </c>
      <c r="Q1635" s="17">
        <v>0</v>
      </c>
      <c r="R1635" s="17">
        <v>0</v>
      </c>
      <c r="S1635" s="17"/>
      <c r="T1635" s="17" t="s">
        <v>2982</v>
      </c>
      <c r="U1635" s="17" t="s">
        <v>3060</v>
      </c>
      <c r="V1635" s="17" t="s">
        <v>3061</v>
      </c>
      <c r="W1635" s="17"/>
      <c r="X1635" s="17"/>
    </row>
    <row r="1636" spans="1:24" hidden="1">
      <c r="A1636" s="18">
        <v>1639</v>
      </c>
      <c r="B1636" s="17" t="s">
        <v>3458</v>
      </c>
      <c r="C1636" s="17" t="s">
        <v>3459</v>
      </c>
      <c r="D1636" s="17" t="s">
        <v>17</v>
      </c>
      <c r="E1636" s="17" t="s">
        <v>8</v>
      </c>
      <c r="F1636" s="17">
        <v>700</v>
      </c>
      <c r="G1636" s="17">
        <v>0</v>
      </c>
      <c r="H1636" s="17">
        <v>0</v>
      </c>
      <c r="I1636" s="17">
        <v>700</v>
      </c>
      <c r="J1636" s="17">
        <v>0</v>
      </c>
      <c r="K1636" s="17">
        <v>0</v>
      </c>
      <c r="L1636" s="17">
        <v>700</v>
      </c>
      <c r="M1636" s="17">
        <v>0</v>
      </c>
      <c r="N1636" s="17">
        <v>0</v>
      </c>
      <c r="O1636" s="17">
        <v>700</v>
      </c>
      <c r="P1636" s="17">
        <v>500</v>
      </c>
      <c r="Q1636" s="17">
        <v>200</v>
      </c>
      <c r="R1636" s="17">
        <v>0</v>
      </c>
      <c r="S1636" s="17"/>
      <c r="T1636" s="17" t="s">
        <v>2972</v>
      </c>
      <c r="U1636" s="17" t="s">
        <v>3057</v>
      </c>
      <c r="V1636" s="17" t="s">
        <v>3056</v>
      </c>
      <c r="W1636" s="17"/>
      <c r="X1636" s="17"/>
    </row>
    <row r="1637" spans="1:24" hidden="1">
      <c r="A1637" s="18">
        <v>1640</v>
      </c>
      <c r="B1637" s="17" t="s">
        <v>3460</v>
      </c>
      <c r="C1637" s="17" t="s">
        <v>3461</v>
      </c>
      <c r="D1637" s="17" t="s">
        <v>20</v>
      </c>
      <c r="E1637" s="17" t="s">
        <v>8</v>
      </c>
      <c r="F1637" s="17">
        <v>100.8</v>
      </c>
      <c r="G1637" s="17">
        <v>0</v>
      </c>
      <c r="H1637" s="17">
        <v>0</v>
      </c>
      <c r="I1637" s="17">
        <v>100.8</v>
      </c>
      <c r="J1637" s="17">
        <v>0</v>
      </c>
      <c r="K1637" s="17">
        <v>0</v>
      </c>
      <c r="L1637" s="17">
        <v>100.8</v>
      </c>
      <c r="M1637" s="17">
        <v>0</v>
      </c>
      <c r="N1637" s="17">
        <v>0</v>
      </c>
      <c r="O1637" s="17">
        <v>100.8</v>
      </c>
      <c r="P1637" s="17">
        <v>60</v>
      </c>
      <c r="Q1637" s="17">
        <v>40.799999999999997</v>
      </c>
      <c r="R1637" s="17">
        <v>0</v>
      </c>
      <c r="S1637" s="17"/>
      <c r="T1637" s="17" t="s">
        <v>2991</v>
      </c>
      <c r="U1637" s="17" t="s">
        <v>3057</v>
      </c>
      <c r="V1637" s="17" t="s">
        <v>3056</v>
      </c>
      <c r="W1637" s="17"/>
      <c r="X1637" s="17"/>
    </row>
    <row r="1638" spans="1:24" hidden="1">
      <c r="A1638" s="18">
        <v>1641</v>
      </c>
      <c r="B1638" s="17" t="s">
        <v>3462</v>
      </c>
      <c r="C1638" s="17" t="s">
        <v>3463</v>
      </c>
      <c r="D1638" s="17" t="s">
        <v>20</v>
      </c>
      <c r="E1638" s="17" t="s">
        <v>8</v>
      </c>
      <c r="F1638" s="17">
        <v>78.88</v>
      </c>
      <c r="G1638" s="17">
        <v>0</v>
      </c>
      <c r="H1638" s="17">
        <v>0</v>
      </c>
      <c r="I1638" s="17">
        <v>78.88</v>
      </c>
      <c r="J1638" s="17">
        <v>0</v>
      </c>
      <c r="K1638" s="17">
        <v>0</v>
      </c>
      <c r="L1638" s="17">
        <v>78.88</v>
      </c>
      <c r="M1638" s="17">
        <v>0</v>
      </c>
      <c r="N1638" s="17">
        <v>0</v>
      </c>
      <c r="O1638" s="17">
        <v>78.88</v>
      </c>
      <c r="P1638" s="17">
        <v>60</v>
      </c>
      <c r="Q1638" s="17">
        <v>18.879999999999995</v>
      </c>
      <c r="R1638" s="17">
        <v>0</v>
      </c>
      <c r="S1638" s="17"/>
      <c r="T1638" s="17" t="s">
        <v>2991</v>
      </c>
      <c r="U1638" s="17" t="s">
        <v>3057</v>
      </c>
      <c r="V1638" s="17" t="s">
        <v>3056</v>
      </c>
      <c r="W1638" s="17"/>
      <c r="X1638" s="17"/>
    </row>
    <row r="1639" spans="1:24" hidden="1">
      <c r="A1639" s="18">
        <v>1642</v>
      </c>
      <c r="B1639" s="17" t="s">
        <v>3464</v>
      </c>
      <c r="C1639" s="17" t="s">
        <v>3465</v>
      </c>
      <c r="D1639" s="17" t="s">
        <v>20</v>
      </c>
      <c r="E1639" s="17" t="s">
        <v>8</v>
      </c>
      <c r="F1639" s="17">
        <v>108.32</v>
      </c>
      <c r="G1639" s="17">
        <v>0</v>
      </c>
      <c r="H1639" s="17">
        <v>0</v>
      </c>
      <c r="I1639" s="17">
        <v>108.32</v>
      </c>
      <c r="J1639" s="17">
        <v>0</v>
      </c>
      <c r="K1639" s="17">
        <v>0</v>
      </c>
      <c r="L1639" s="17">
        <v>108.32</v>
      </c>
      <c r="M1639" s="17">
        <v>0</v>
      </c>
      <c r="N1639" s="17">
        <v>0</v>
      </c>
      <c r="O1639" s="17">
        <v>108.32</v>
      </c>
      <c r="P1639" s="17">
        <v>60</v>
      </c>
      <c r="Q1639" s="17">
        <v>48.319999999999993</v>
      </c>
      <c r="R1639" s="17">
        <v>0</v>
      </c>
      <c r="S1639" s="17"/>
      <c r="T1639" s="17" t="s">
        <v>2991</v>
      </c>
      <c r="U1639" s="17" t="s">
        <v>3057</v>
      </c>
      <c r="V1639" s="17" t="s">
        <v>3056</v>
      </c>
      <c r="W1639" s="17"/>
      <c r="X1639" s="17"/>
    </row>
    <row r="1640" spans="1:24" hidden="1">
      <c r="A1640" s="18">
        <v>1643</v>
      </c>
      <c r="B1640" s="17" t="s">
        <v>3466</v>
      </c>
      <c r="C1640" s="17" t="s">
        <v>3467</v>
      </c>
      <c r="D1640" s="17" t="s">
        <v>20</v>
      </c>
      <c r="E1640" s="17" t="s">
        <v>8</v>
      </c>
      <c r="F1640" s="17">
        <v>48.4</v>
      </c>
      <c r="G1640" s="17">
        <v>0</v>
      </c>
      <c r="H1640" s="17">
        <v>0</v>
      </c>
      <c r="I1640" s="17">
        <v>48.4</v>
      </c>
      <c r="J1640" s="17">
        <v>0</v>
      </c>
      <c r="K1640" s="17">
        <v>0</v>
      </c>
      <c r="L1640" s="17">
        <v>48.4</v>
      </c>
      <c r="M1640" s="17">
        <v>0</v>
      </c>
      <c r="N1640" s="17">
        <v>0</v>
      </c>
      <c r="O1640" s="17">
        <v>48.4</v>
      </c>
      <c r="P1640" s="17">
        <v>60</v>
      </c>
      <c r="Q1640" s="17">
        <v>-11.600000000000001</v>
      </c>
      <c r="R1640" s="17">
        <v>0</v>
      </c>
      <c r="S1640" s="17"/>
      <c r="T1640" s="17" t="s">
        <v>2991</v>
      </c>
      <c r="U1640" s="17" t="s">
        <v>3057</v>
      </c>
      <c r="V1640" s="17" t="s">
        <v>3056</v>
      </c>
      <c r="W1640" s="17"/>
      <c r="X1640" s="17"/>
    </row>
    <row r="1641" spans="1:24" hidden="1">
      <c r="A1641" s="18">
        <v>1644</v>
      </c>
      <c r="B1641" s="17" t="s">
        <v>3468</v>
      </c>
      <c r="C1641" s="17" t="s">
        <v>3469</v>
      </c>
      <c r="D1641" s="17" t="s">
        <v>20</v>
      </c>
      <c r="E1641" s="17" t="s">
        <v>8</v>
      </c>
      <c r="F1641" s="17">
        <v>98.32</v>
      </c>
      <c r="G1641" s="17">
        <v>0</v>
      </c>
      <c r="H1641" s="17">
        <v>0</v>
      </c>
      <c r="I1641" s="17">
        <v>98.32</v>
      </c>
      <c r="J1641" s="17">
        <v>0</v>
      </c>
      <c r="K1641" s="17">
        <v>0</v>
      </c>
      <c r="L1641" s="17">
        <v>98.32</v>
      </c>
      <c r="M1641" s="17">
        <v>0</v>
      </c>
      <c r="N1641" s="17">
        <v>0</v>
      </c>
      <c r="O1641" s="17">
        <v>98.32</v>
      </c>
      <c r="P1641" s="17">
        <v>60</v>
      </c>
      <c r="Q1641" s="17">
        <v>38.319999999999993</v>
      </c>
      <c r="R1641" s="17">
        <v>0</v>
      </c>
      <c r="S1641" s="17"/>
      <c r="T1641" s="17" t="s">
        <v>2991</v>
      </c>
      <c r="U1641" s="17" t="s">
        <v>3057</v>
      </c>
      <c r="V1641" s="17" t="s">
        <v>3056</v>
      </c>
      <c r="W1641" s="17"/>
      <c r="X1641" s="17"/>
    </row>
    <row r="1642" spans="1:24" hidden="1">
      <c r="A1642" s="18">
        <v>1645</v>
      </c>
      <c r="B1642" s="17" t="s">
        <v>3470</v>
      </c>
      <c r="C1642" s="17" t="s">
        <v>3471</v>
      </c>
      <c r="D1642" s="17" t="s">
        <v>20</v>
      </c>
      <c r="E1642" s="17" t="s">
        <v>8</v>
      </c>
      <c r="F1642" s="17">
        <v>55.66</v>
      </c>
      <c r="G1642" s="17">
        <v>0</v>
      </c>
      <c r="H1642" s="17">
        <v>0</v>
      </c>
      <c r="I1642" s="17">
        <v>55.66</v>
      </c>
      <c r="J1642" s="17">
        <v>0</v>
      </c>
      <c r="K1642" s="17">
        <v>0</v>
      </c>
      <c r="L1642" s="17">
        <v>55.66</v>
      </c>
      <c r="M1642" s="17">
        <v>0</v>
      </c>
      <c r="N1642" s="17">
        <v>0</v>
      </c>
      <c r="O1642" s="17">
        <v>55.66</v>
      </c>
      <c r="P1642" s="17">
        <v>60</v>
      </c>
      <c r="Q1642" s="17">
        <v>-4.3400000000000034</v>
      </c>
      <c r="R1642" s="17">
        <v>0</v>
      </c>
      <c r="S1642" s="17"/>
      <c r="T1642" s="17" t="s">
        <v>2991</v>
      </c>
      <c r="U1642" s="17" t="s">
        <v>3057</v>
      </c>
      <c r="V1642" s="17" t="s">
        <v>3056</v>
      </c>
      <c r="W1642" s="17"/>
      <c r="X1642" s="17"/>
    </row>
    <row r="1643" spans="1:24" hidden="1">
      <c r="A1643" s="18">
        <v>1646</v>
      </c>
      <c r="B1643" s="17" t="s">
        <v>3472</v>
      </c>
      <c r="C1643" s="17" t="s">
        <v>3473</v>
      </c>
      <c r="D1643" s="17" t="s">
        <v>20</v>
      </c>
      <c r="E1643" s="17" t="s">
        <v>8</v>
      </c>
      <c r="F1643" s="17">
        <v>103.66</v>
      </c>
      <c r="G1643" s="17">
        <v>0</v>
      </c>
      <c r="H1643" s="17">
        <v>0</v>
      </c>
      <c r="I1643" s="17">
        <v>103.66</v>
      </c>
      <c r="J1643" s="17">
        <v>0</v>
      </c>
      <c r="K1643" s="17">
        <v>0</v>
      </c>
      <c r="L1643" s="17">
        <v>103.66</v>
      </c>
      <c r="M1643" s="17">
        <v>0</v>
      </c>
      <c r="N1643" s="17">
        <v>0</v>
      </c>
      <c r="O1643" s="17">
        <v>103.66</v>
      </c>
      <c r="P1643" s="17">
        <v>60</v>
      </c>
      <c r="Q1643" s="17">
        <v>43.66</v>
      </c>
      <c r="R1643" s="17">
        <v>0</v>
      </c>
      <c r="S1643" s="17"/>
      <c r="T1643" s="17" t="s">
        <v>2991</v>
      </c>
      <c r="U1643" s="17" t="s">
        <v>3057</v>
      </c>
      <c r="V1643" s="17" t="s">
        <v>3056</v>
      </c>
      <c r="W1643" s="17"/>
      <c r="X1643" s="17"/>
    </row>
    <row r="1644" spans="1:24" hidden="1">
      <c r="A1644" s="18">
        <v>1647</v>
      </c>
      <c r="B1644" s="17" t="s">
        <v>3474</v>
      </c>
      <c r="C1644" s="17" t="s">
        <v>3475</v>
      </c>
      <c r="D1644" s="17" t="s">
        <v>20</v>
      </c>
      <c r="E1644" s="17" t="s">
        <v>8</v>
      </c>
      <c r="F1644" s="17">
        <v>43.08</v>
      </c>
      <c r="G1644" s="17">
        <v>0</v>
      </c>
      <c r="H1644" s="17">
        <v>0</v>
      </c>
      <c r="I1644" s="17">
        <v>43.08</v>
      </c>
      <c r="J1644" s="17">
        <v>0</v>
      </c>
      <c r="K1644" s="17">
        <v>0</v>
      </c>
      <c r="L1644" s="17">
        <v>43.08</v>
      </c>
      <c r="M1644" s="17">
        <v>0</v>
      </c>
      <c r="N1644" s="17">
        <v>0</v>
      </c>
      <c r="O1644" s="17">
        <v>43.08</v>
      </c>
      <c r="P1644" s="17">
        <v>60</v>
      </c>
      <c r="Q1644" s="17">
        <v>-16.920000000000002</v>
      </c>
      <c r="R1644" s="17">
        <v>0</v>
      </c>
      <c r="S1644" s="17"/>
      <c r="T1644" s="17" t="s">
        <v>2991</v>
      </c>
      <c r="U1644" s="17" t="s">
        <v>3057</v>
      </c>
      <c r="V1644" s="17" t="s">
        <v>3056</v>
      </c>
      <c r="W1644" s="17"/>
      <c r="X1644" s="17"/>
    </row>
    <row r="1645" spans="1:24" hidden="1">
      <c r="A1645" s="18">
        <v>1648</v>
      </c>
      <c r="B1645" s="17" t="s">
        <v>3476</v>
      </c>
      <c r="C1645" s="17" t="s">
        <v>3477</v>
      </c>
      <c r="D1645" s="17" t="s">
        <v>20</v>
      </c>
      <c r="E1645" s="17" t="s">
        <v>8</v>
      </c>
      <c r="F1645" s="17">
        <v>216</v>
      </c>
      <c r="G1645" s="17">
        <v>0</v>
      </c>
      <c r="H1645" s="17">
        <v>0</v>
      </c>
      <c r="I1645" s="17">
        <v>216</v>
      </c>
      <c r="J1645" s="17">
        <v>0</v>
      </c>
      <c r="K1645" s="17">
        <v>0</v>
      </c>
      <c r="L1645" s="17">
        <v>216</v>
      </c>
      <c r="M1645" s="17">
        <v>0</v>
      </c>
      <c r="N1645" s="17">
        <v>0</v>
      </c>
      <c r="O1645" s="17">
        <v>216</v>
      </c>
      <c r="P1645" s="17">
        <v>350</v>
      </c>
      <c r="Q1645" s="17">
        <v>-134</v>
      </c>
      <c r="R1645" s="17">
        <v>0</v>
      </c>
      <c r="S1645" s="17"/>
      <c r="T1645" s="17" t="s">
        <v>3031</v>
      </c>
      <c r="U1645" s="17" t="s">
        <v>3057</v>
      </c>
      <c r="V1645" s="17" t="s">
        <v>3056</v>
      </c>
      <c r="W1645" s="17"/>
      <c r="X1645" s="17"/>
    </row>
    <row r="1646" spans="1:24" hidden="1">
      <c r="A1646" s="18">
        <v>1649</v>
      </c>
      <c r="B1646" s="17" t="s">
        <v>3478</v>
      </c>
      <c r="C1646" s="17" t="s">
        <v>3479</v>
      </c>
      <c r="D1646" s="17" t="s">
        <v>17</v>
      </c>
      <c r="E1646" s="17" t="s">
        <v>8</v>
      </c>
      <c r="F1646" s="17">
        <v>6</v>
      </c>
      <c r="G1646" s="17">
        <v>0</v>
      </c>
      <c r="H1646" s="17">
        <v>0</v>
      </c>
      <c r="I1646" s="17">
        <v>6</v>
      </c>
      <c r="J1646" s="17">
        <v>0</v>
      </c>
      <c r="K1646" s="17">
        <v>0</v>
      </c>
      <c r="L1646" s="17">
        <v>6</v>
      </c>
      <c r="M1646" s="17">
        <v>0</v>
      </c>
      <c r="N1646" s="17">
        <v>0</v>
      </c>
      <c r="O1646" s="17">
        <v>6</v>
      </c>
      <c r="P1646" s="17">
        <v>5</v>
      </c>
      <c r="Q1646" s="17">
        <v>1</v>
      </c>
      <c r="R1646" s="17">
        <v>0</v>
      </c>
      <c r="S1646" s="17"/>
      <c r="T1646" s="17" t="s">
        <v>3052</v>
      </c>
      <c r="U1646" s="17" t="s">
        <v>3062</v>
      </c>
      <c r="V1646" s="17" t="s">
        <v>3056</v>
      </c>
      <c r="W1646" s="17"/>
      <c r="X1646" s="17"/>
    </row>
    <row r="1647" spans="1:24" hidden="1">
      <c r="A1647" s="18">
        <v>1650</v>
      </c>
      <c r="B1647" s="17" t="s">
        <v>3480</v>
      </c>
      <c r="C1647" s="17" t="s">
        <v>3481</v>
      </c>
      <c r="D1647" s="17" t="s">
        <v>20</v>
      </c>
      <c r="E1647" s="17" t="s">
        <v>8</v>
      </c>
      <c r="F1647" s="17">
        <v>667</v>
      </c>
      <c r="G1647" s="17">
        <v>241.7</v>
      </c>
      <c r="H1647" s="17">
        <v>142</v>
      </c>
      <c r="I1647" s="17">
        <v>766.7</v>
      </c>
      <c r="J1647" s="17">
        <v>0</v>
      </c>
      <c r="K1647" s="17">
        <v>0</v>
      </c>
      <c r="L1647" s="17">
        <v>766.7</v>
      </c>
      <c r="M1647" s="17">
        <v>0</v>
      </c>
      <c r="N1647" s="17">
        <v>0</v>
      </c>
      <c r="O1647" s="17">
        <v>766.7</v>
      </c>
      <c r="P1647" s="17">
        <v>1250</v>
      </c>
      <c r="Q1647" s="17">
        <v>-483.29999999999995</v>
      </c>
      <c r="R1647" s="17">
        <v>0</v>
      </c>
      <c r="S1647" s="17"/>
      <c r="T1647" s="17" t="s">
        <v>3000</v>
      </c>
      <c r="U1647" s="17" t="s">
        <v>3059</v>
      </c>
      <c r="V1647" s="17" t="s">
        <v>3056</v>
      </c>
      <c r="W1647" s="17"/>
      <c r="X1647" s="17"/>
    </row>
    <row r="1648" spans="1:24" hidden="1">
      <c r="A1648" s="18">
        <v>1651</v>
      </c>
      <c r="B1648" s="17" t="s">
        <v>3482</v>
      </c>
      <c r="C1648" s="17" t="s">
        <v>3483</v>
      </c>
      <c r="D1648" s="17" t="s">
        <v>20</v>
      </c>
      <c r="E1648" s="17" t="s">
        <v>8</v>
      </c>
      <c r="F1648" s="17">
        <v>133.19999999999999</v>
      </c>
      <c r="G1648" s="17">
        <v>306.7</v>
      </c>
      <c r="H1648" s="17">
        <v>0</v>
      </c>
      <c r="I1648" s="17">
        <v>439.9</v>
      </c>
      <c r="J1648" s="17">
        <v>0</v>
      </c>
      <c r="K1648" s="17">
        <v>0</v>
      </c>
      <c r="L1648" s="17">
        <v>439.9</v>
      </c>
      <c r="M1648" s="17">
        <v>0</v>
      </c>
      <c r="N1648" s="17">
        <v>0</v>
      </c>
      <c r="O1648" s="17">
        <v>439.9</v>
      </c>
      <c r="P1648" s="17">
        <v>600</v>
      </c>
      <c r="Q1648" s="17">
        <v>-160.10000000000002</v>
      </c>
      <c r="R1648" s="17">
        <v>500</v>
      </c>
      <c r="S1648" s="17"/>
      <c r="T1648" s="17" t="s">
        <v>3000</v>
      </c>
      <c r="U1648" s="17" t="s">
        <v>3059</v>
      </c>
      <c r="V1648" s="17" t="s">
        <v>3056</v>
      </c>
      <c r="W1648" s="17"/>
      <c r="X1648" s="17"/>
    </row>
    <row r="1649" spans="1:24" hidden="1">
      <c r="A1649" s="18">
        <v>1652</v>
      </c>
      <c r="B1649" s="17" t="s">
        <v>3484</v>
      </c>
      <c r="C1649" s="17" t="s">
        <v>3485</v>
      </c>
      <c r="D1649" s="17" t="s">
        <v>20</v>
      </c>
      <c r="E1649" s="17" t="s">
        <v>8</v>
      </c>
      <c r="F1649" s="17">
        <v>552.29999999999995</v>
      </c>
      <c r="G1649" s="17">
        <v>1058.9000000000001</v>
      </c>
      <c r="H1649" s="17">
        <v>584.5</v>
      </c>
      <c r="I1649" s="17">
        <v>1026.7</v>
      </c>
      <c r="J1649" s="17">
        <v>0</v>
      </c>
      <c r="K1649" s="17">
        <v>0</v>
      </c>
      <c r="L1649" s="17">
        <v>1026.7</v>
      </c>
      <c r="M1649" s="17">
        <v>0</v>
      </c>
      <c r="N1649" s="17">
        <v>0</v>
      </c>
      <c r="O1649" s="17">
        <v>1026.7</v>
      </c>
      <c r="P1649" s="17">
        <v>1250</v>
      </c>
      <c r="Q1649" s="17">
        <v>-223.29999999999995</v>
      </c>
      <c r="R1649" s="17">
        <v>0</v>
      </c>
      <c r="S1649" s="17"/>
      <c r="T1649" s="17" t="s">
        <v>3000</v>
      </c>
      <c r="U1649" s="17" t="s">
        <v>3059</v>
      </c>
      <c r="V1649" s="17" t="s">
        <v>3056</v>
      </c>
      <c r="W1649" s="17"/>
      <c r="X1649" s="17"/>
    </row>
    <row r="1650" spans="1:24" hidden="1">
      <c r="A1650" s="18">
        <v>1653</v>
      </c>
      <c r="B1650" s="17" t="s">
        <v>3486</v>
      </c>
      <c r="C1650" s="17" t="s">
        <v>3487</v>
      </c>
      <c r="D1650" s="17" t="s">
        <v>7</v>
      </c>
      <c r="E1650" s="17" t="s">
        <v>8</v>
      </c>
      <c r="F1650" s="17">
        <v>277</v>
      </c>
      <c r="G1650" s="17">
        <v>0</v>
      </c>
      <c r="H1650" s="17">
        <v>0</v>
      </c>
      <c r="I1650" s="17">
        <v>277</v>
      </c>
      <c r="J1650" s="17">
        <v>0</v>
      </c>
      <c r="K1650" s="17">
        <v>0</v>
      </c>
      <c r="L1650" s="17">
        <v>277</v>
      </c>
      <c r="M1650" s="17">
        <v>0</v>
      </c>
      <c r="N1650" s="17">
        <v>0</v>
      </c>
      <c r="O1650" s="17">
        <v>277</v>
      </c>
      <c r="P1650" s="17">
        <v>500</v>
      </c>
      <c r="Q1650" s="17">
        <v>-223</v>
      </c>
      <c r="R1650" s="17">
        <v>0</v>
      </c>
      <c r="S1650" s="17"/>
      <c r="T1650" s="17" t="s">
        <v>2965</v>
      </c>
      <c r="U1650" s="17" t="s">
        <v>3055</v>
      </c>
      <c r="V1650" s="17" t="s">
        <v>3056</v>
      </c>
      <c r="W1650" s="17"/>
      <c r="X1650" s="17"/>
    </row>
    <row r="1651" spans="1:24" hidden="1">
      <c r="A1651" s="18">
        <v>1654</v>
      </c>
      <c r="B1651" s="17" t="s">
        <v>3488</v>
      </c>
      <c r="C1651" s="17" t="s">
        <v>3489</v>
      </c>
      <c r="D1651" s="17" t="s">
        <v>17</v>
      </c>
      <c r="E1651" s="17" t="s">
        <v>8</v>
      </c>
      <c r="F1651" s="17">
        <v>1200</v>
      </c>
      <c r="G1651" s="17">
        <v>100</v>
      </c>
      <c r="H1651" s="17">
        <v>0</v>
      </c>
      <c r="I1651" s="17">
        <v>1300</v>
      </c>
      <c r="J1651" s="17">
        <v>0</v>
      </c>
      <c r="K1651" s="17">
        <v>0</v>
      </c>
      <c r="L1651" s="17">
        <v>1300</v>
      </c>
      <c r="M1651" s="17">
        <v>0</v>
      </c>
      <c r="N1651" s="17">
        <v>0</v>
      </c>
      <c r="O1651" s="17">
        <v>1300</v>
      </c>
      <c r="P1651" s="17">
        <v>600</v>
      </c>
      <c r="Q1651" s="17">
        <v>700</v>
      </c>
      <c r="R1651" s="17">
        <v>0</v>
      </c>
      <c r="S1651" s="17"/>
      <c r="T1651" s="17" t="s">
        <v>3012</v>
      </c>
      <c r="U1651" s="17" t="s">
        <v>3057</v>
      </c>
      <c r="V1651" s="17" t="s">
        <v>3056</v>
      </c>
      <c r="W1651" s="17"/>
      <c r="X1651" s="17"/>
    </row>
    <row r="1652" spans="1:24" hidden="1">
      <c r="A1652" s="18">
        <v>1655</v>
      </c>
      <c r="B1652" s="17" t="s">
        <v>3490</v>
      </c>
      <c r="C1652" s="17" t="s">
        <v>3491</v>
      </c>
      <c r="D1652" s="17" t="s">
        <v>17</v>
      </c>
      <c r="E1652" s="17" t="s">
        <v>8</v>
      </c>
      <c r="F1652" s="17">
        <v>1800</v>
      </c>
      <c r="G1652" s="17">
        <v>0</v>
      </c>
      <c r="H1652" s="17">
        <v>200</v>
      </c>
      <c r="I1652" s="17">
        <v>1600</v>
      </c>
      <c r="J1652" s="17">
        <v>0</v>
      </c>
      <c r="K1652" s="17">
        <v>0</v>
      </c>
      <c r="L1652" s="17">
        <v>1600</v>
      </c>
      <c r="M1652" s="17">
        <v>0</v>
      </c>
      <c r="N1652" s="17">
        <v>0</v>
      </c>
      <c r="O1652" s="17">
        <v>1600</v>
      </c>
      <c r="P1652" s="17">
        <v>900</v>
      </c>
      <c r="Q1652" s="17">
        <v>700</v>
      </c>
      <c r="R1652" s="17">
        <v>0</v>
      </c>
      <c r="S1652" s="17"/>
      <c r="T1652" s="17" t="s">
        <v>3012</v>
      </c>
      <c r="U1652" s="17" t="s">
        <v>3057</v>
      </c>
      <c r="V1652" s="17" t="s">
        <v>3056</v>
      </c>
      <c r="W1652" s="17"/>
      <c r="X1652" s="17"/>
    </row>
    <row r="1653" spans="1:24" hidden="1">
      <c r="A1653" s="18">
        <v>1656</v>
      </c>
      <c r="B1653" s="17" t="s">
        <v>3492</v>
      </c>
      <c r="C1653" s="17" t="s">
        <v>3493</v>
      </c>
      <c r="D1653" s="17" t="s">
        <v>17</v>
      </c>
      <c r="E1653" s="17" t="s">
        <v>8</v>
      </c>
      <c r="F1653" s="17">
        <v>0</v>
      </c>
      <c r="G1653" s="17">
        <v>1800</v>
      </c>
      <c r="H1653" s="17">
        <v>150</v>
      </c>
      <c r="I1653" s="17">
        <v>1650</v>
      </c>
      <c r="J1653" s="17">
        <v>0</v>
      </c>
      <c r="K1653" s="17">
        <v>0</v>
      </c>
      <c r="L1653" s="17">
        <v>1650</v>
      </c>
      <c r="M1653" s="17">
        <v>0</v>
      </c>
      <c r="N1653" s="17">
        <v>0</v>
      </c>
      <c r="O1653" s="17">
        <v>1650</v>
      </c>
      <c r="P1653" s="17">
        <v>900</v>
      </c>
      <c r="Q1653" s="17">
        <v>750</v>
      </c>
      <c r="R1653" s="17">
        <v>0</v>
      </c>
      <c r="S1653" s="17"/>
      <c r="T1653" s="17" t="s">
        <v>3012</v>
      </c>
      <c r="U1653" s="17" t="s">
        <v>3057</v>
      </c>
      <c r="V1653" s="17" t="s">
        <v>3056</v>
      </c>
      <c r="W1653" s="17"/>
      <c r="X1653" s="17"/>
    </row>
    <row r="1654" spans="1:24" hidden="1">
      <c r="A1654" s="18">
        <v>1657</v>
      </c>
      <c r="B1654" s="17" t="s">
        <v>3494</v>
      </c>
      <c r="C1654" s="17" t="s">
        <v>3495</v>
      </c>
      <c r="D1654" s="17" t="s">
        <v>17</v>
      </c>
      <c r="E1654" s="17" t="s">
        <v>8</v>
      </c>
      <c r="F1654" s="17">
        <v>1200</v>
      </c>
      <c r="G1654" s="17">
        <v>0</v>
      </c>
      <c r="H1654" s="17">
        <v>0</v>
      </c>
      <c r="I1654" s="17">
        <v>1200</v>
      </c>
      <c r="J1654" s="17">
        <v>0</v>
      </c>
      <c r="K1654" s="17">
        <v>0</v>
      </c>
      <c r="L1654" s="17">
        <v>1200</v>
      </c>
      <c r="M1654" s="17">
        <v>0</v>
      </c>
      <c r="N1654" s="17">
        <v>0</v>
      </c>
      <c r="O1654" s="17">
        <v>1200</v>
      </c>
      <c r="P1654" s="17">
        <v>600</v>
      </c>
      <c r="Q1654" s="17">
        <v>600</v>
      </c>
      <c r="R1654" s="17">
        <v>0</v>
      </c>
      <c r="S1654" s="17"/>
      <c r="T1654" s="17" t="s">
        <v>3012</v>
      </c>
      <c r="U1654" s="17" t="s">
        <v>3057</v>
      </c>
      <c r="V1654" s="17" t="s">
        <v>3056</v>
      </c>
      <c r="W1654" s="17"/>
      <c r="X1654" s="17"/>
    </row>
    <row r="1655" spans="1:24" hidden="1">
      <c r="A1655" s="18">
        <v>1658</v>
      </c>
      <c r="B1655" s="17" t="s">
        <v>3496</v>
      </c>
      <c r="C1655" s="17" t="s">
        <v>3497</v>
      </c>
      <c r="D1655" s="17" t="s">
        <v>17</v>
      </c>
      <c r="E1655" s="17" t="s">
        <v>8</v>
      </c>
      <c r="F1655" s="17">
        <v>1200</v>
      </c>
      <c r="G1655" s="17">
        <v>0</v>
      </c>
      <c r="H1655" s="17">
        <v>0</v>
      </c>
      <c r="I1655" s="17">
        <v>1200</v>
      </c>
      <c r="J1655" s="17">
        <v>0</v>
      </c>
      <c r="K1655" s="17">
        <v>0</v>
      </c>
      <c r="L1655" s="17">
        <v>1200</v>
      </c>
      <c r="M1655" s="17">
        <v>0</v>
      </c>
      <c r="N1655" s="17">
        <v>0</v>
      </c>
      <c r="O1655" s="17">
        <v>1200</v>
      </c>
      <c r="P1655" s="17">
        <v>600</v>
      </c>
      <c r="Q1655" s="17">
        <v>600</v>
      </c>
      <c r="R1655" s="17">
        <v>0</v>
      </c>
      <c r="S1655" s="17"/>
      <c r="T1655" s="17" t="s">
        <v>3012</v>
      </c>
      <c r="U1655" s="17" t="s">
        <v>3057</v>
      </c>
      <c r="V1655" s="17" t="s">
        <v>3056</v>
      </c>
      <c r="W1655" s="17"/>
      <c r="X1655" s="17"/>
    </row>
    <row r="1656" spans="1:24" hidden="1">
      <c r="A1656" s="18">
        <v>1659</v>
      </c>
      <c r="B1656" s="17" t="s">
        <v>3498</v>
      </c>
      <c r="C1656" s="17" t="s">
        <v>3499</v>
      </c>
      <c r="D1656" s="17" t="s">
        <v>17</v>
      </c>
      <c r="E1656" s="17" t="s">
        <v>8</v>
      </c>
      <c r="F1656" s="17">
        <v>3000</v>
      </c>
      <c r="G1656" s="17">
        <v>0</v>
      </c>
      <c r="H1656" s="17">
        <v>0</v>
      </c>
      <c r="I1656" s="17">
        <v>3000</v>
      </c>
      <c r="J1656" s="17">
        <v>0</v>
      </c>
      <c r="K1656" s="17">
        <v>0</v>
      </c>
      <c r="L1656" s="17">
        <v>3000</v>
      </c>
      <c r="M1656" s="17">
        <v>0</v>
      </c>
      <c r="N1656" s="17">
        <v>0</v>
      </c>
      <c r="O1656" s="17">
        <v>3000</v>
      </c>
      <c r="P1656" s="17">
        <v>1500</v>
      </c>
      <c r="Q1656" s="17">
        <v>1500</v>
      </c>
      <c r="R1656" s="17">
        <v>0</v>
      </c>
      <c r="S1656" s="17"/>
      <c r="T1656" s="17" t="s">
        <v>3012</v>
      </c>
      <c r="U1656" s="17" t="s">
        <v>3057</v>
      </c>
      <c r="V1656" s="17" t="s">
        <v>3056</v>
      </c>
      <c r="W1656" s="17"/>
      <c r="X1656" s="17"/>
    </row>
    <row r="1657" spans="1:24" hidden="1">
      <c r="A1657" s="18">
        <v>1660</v>
      </c>
      <c r="B1657" s="17" t="s">
        <v>3500</v>
      </c>
      <c r="C1657" s="17" t="s">
        <v>3501</v>
      </c>
      <c r="D1657" s="17" t="s">
        <v>17</v>
      </c>
      <c r="E1657" s="17" t="s">
        <v>8</v>
      </c>
      <c r="F1657" s="17">
        <v>0</v>
      </c>
      <c r="G1657" s="17">
        <v>3000</v>
      </c>
      <c r="H1657" s="17">
        <v>0</v>
      </c>
      <c r="I1657" s="17">
        <v>3000</v>
      </c>
      <c r="J1657" s="17">
        <v>0</v>
      </c>
      <c r="K1657" s="17">
        <v>0</v>
      </c>
      <c r="L1657" s="17">
        <v>3000</v>
      </c>
      <c r="M1657" s="17">
        <v>0</v>
      </c>
      <c r="N1657" s="17">
        <v>0</v>
      </c>
      <c r="O1657" s="17">
        <v>3000</v>
      </c>
      <c r="P1657" s="17">
        <v>1500</v>
      </c>
      <c r="Q1657" s="17">
        <v>1500</v>
      </c>
      <c r="R1657" s="17">
        <v>0</v>
      </c>
      <c r="S1657" s="17"/>
      <c r="T1657" s="17" t="s">
        <v>3012</v>
      </c>
      <c r="U1657" s="17" t="s">
        <v>3057</v>
      </c>
      <c r="V1657" s="17" t="s">
        <v>3056</v>
      </c>
      <c r="W1657" s="17"/>
      <c r="X1657" s="17"/>
    </row>
    <row r="1658" spans="1:24" hidden="1">
      <c r="A1658" s="18">
        <v>1661</v>
      </c>
      <c r="B1658" s="17" t="s">
        <v>3502</v>
      </c>
      <c r="C1658" s="17" t="s">
        <v>3503</v>
      </c>
      <c r="D1658" s="17" t="s">
        <v>17</v>
      </c>
      <c r="E1658" s="17" t="s">
        <v>8</v>
      </c>
      <c r="F1658" s="17">
        <v>200</v>
      </c>
      <c r="G1658" s="17">
        <v>100</v>
      </c>
      <c r="H1658" s="17">
        <v>0</v>
      </c>
      <c r="I1658" s="17">
        <v>300</v>
      </c>
      <c r="J1658" s="17">
        <v>0</v>
      </c>
      <c r="K1658" s="17">
        <v>0</v>
      </c>
      <c r="L1658" s="17">
        <v>300</v>
      </c>
      <c r="M1658" s="17">
        <v>0</v>
      </c>
      <c r="N1658" s="17">
        <v>0</v>
      </c>
      <c r="O1658" s="17">
        <v>300</v>
      </c>
      <c r="P1658" s="17">
        <v>150</v>
      </c>
      <c r="Q1658" s="17">
        <v>150</v>
      </c>
      <c r="R1658" s="17">
        <v>0</v>
      </c>
      <c r="S1658" s="17"/>
      <c r="T1658" s="17" t="s">
        <v>3012</v>
      </c>
      <c r="U1658" s="17" t="s">
        <v>3057</v>
      </c>
      <c r="V1658" s="17" t="s">
        <v>3056</v>
      </c>
      <c r="W1658" s="17"/>
      <c r="X1658" s="17"/>
    </row>
    <row r="1659" spans="1:24" hidden="1">
      <c r="A1659" s="18">
        <v>1662</v>
      </c>
      <c r="B1659" s="17" t="s">
        <v>3504</v>
      </c>
      <c r="C1659" s="17" t="s">
        <v>3505</v>
      </c>
      <c r="D1659" s="17" t="s">
        <v>17</v>
      </c>
      <c r="E1659" s="17" t="s">
        <v>8</v>
      </c>
      <c r="F1659" s="17">
        <v>0</v>
      </c>
      <c r="G1659" s="17">
        <v>200</v>
      </c>
      <c r="H1659" s="17">
        <v>0</v>
      </c>
      <c r="I1659" s="17">
        <v>200</v>
      </c>
      <c r="J1659" s="17">
        <v>0</v>
      </c>
      <c r="K1659" s="17">
        <v>0</v>
      </c>
      <c r="L1659" s="17">
        <v>200</v>
      </c>
      <c r="M1659" s="17">
        <v>0</v>
      </c>
      <c r="N1659" s="17">
        <v>0</v>
      </c>
      <c r="O1659" s="17">
        <v>200</v>
      </c>
      <c r="P1659" s="17">
        <v>100</v>
      </c>
      <c r="Q1659" s="17">
        <v>100</v>
      </c>
      <c r="R1659" s="17">
        <v>0</v>
      </c>
      <c r="S1659" s="17"/>
      <c r="T1659" s="17" t="s">
        <v>3012</v>
      </c>
      <c r="U1659" s="17" t="s">
        <v>3057</v>
      </c>
      <c r="V1659" s="17" t="s">
        <v>3056</v>
      </c>
      <c r="W1659" s="17"/>
      <c r="X1659" s="17"/>
    </row>
    <row r="1660" spans="1:24" hidden="1">
      <c r="A1660" s="18">
        <v>1663</v>
      </c>
      <c r="B1660" s="17" t="s">
        <v>3506</v>
      </c>
      <c r="C1660" s="17" t="s">
        <v>3507</v>
      </c>
      <c r="D1660" s="17" t="s">
        <v>17</v>
      </c>
      <c r="E1660" s="17" t="s">
        <v>8</v>
      </c>
      <c r="F1660" s="17">
        <v>0</v>
      </c>
      <c r="G1660" s="17">
        <v>200</v>
      </c>
      <c r="H1660" s="17">
        <v>150</v>
      </c>
      <c r="I1660" s="17">
        <v>50</v>
      </c>
      <c r="J1660" s="17">
        <v>0</v>
      </c>
      <c r="K1660" s="17">
        <v>0</v>
      </c>
      <c r="L1660" s="17">
        <v>50</v>
      </c>
      <c r="M1660" s="17">
        <v>0</v>
      </c>
      <c r="N1660" s="17">
        <v>0</v>
      </c>
      <c r="O1660" s="17">
        <v>50</v>
      </c>
      <c r="P1660" s="17">
        <v>100</v>
      </c>
      <c r="Q1660" s="17">
        <v>-50</v>
      </c>
      <c r="R1660" s="17">
        <v>0</v>
      </c>
      <c r="S1660" s="17"/>
      <c r="T1660" s="17" t="s">
        <v>3012</v>
      </c>
      <c r="U1660" s="17" t="s">
        <v>3057</v>
      </c>
      <c r="V1660" s="17" t="s">
        <v>3056</v>
      </c>
      <c r="W1660" s="17"/>
      <c r="X1660" s="17"/>
    </row>
    <row r="1661" spans="1:24" hidden="1">
      <c r="A1661" s="18">
        <v>1664</v>
      </c>
      <c r="B1661" s="17" t="s">
        <v>3508</v>
      </c>
      <c r="C1661" s="17" t="s">
        <v>3509</v>
      </c>
      <c r="D1661" s="17" t="s">
        <v>17</v>
      </c>
      <c r="E1661" s="17" t="s">
        <v>8</v>
      </c>
      <c r="F1661" s="17">
        <v>0</v>
      </c>
      <c r="G1661" s="17">
        <v>20</v>
      </c>
      <c r="H1661" s="17">
        <v>0</v>
      </c>
      <c r="I1661" s="17">
        <v>20</v>
      </c>
      <c r="J1661" s="17">
        <v>0</v>
      </c>
      <c r="K1661" s="17">
        <v>0</v>
      </c>
      <c r="L1661" s="17">
        <v>20</v>
      </c>
      <c r="M1661" s="17">
        <v>0</v>
      </c>
      <c r="N1661" s="17">
        <v>0</v>
      </c>
      <c r="O1661" s="17">
        <v>20</v>
      </c>
      <c r="P1661" s="17">
        <v>10</v>
      </c>
      <c r="Q1661" s="17">
        <v>10</v>
      </c>
      <c r="R1661" s="17">
        <v>0</v>
      </c>
      <c r="S1661" s="17"/>
      <c r="T1661" s="17" t="s">
        <v>3012</v>
      </c>
      <c r="U1661" s="17" t="s">
        <v>3057</v>
      </c>
      <c r="V1661" s="17" t="s">
        <v>3056</v>
      </c>
      <c r="W1661" s="17"/>
      <c r="X1661" s="17"/>
    </row>
    <row r="1662" spans="1:24" hidden="1">
      <c r="A1662" s="18">
        <v>1665</v>
      </c>
      <c r="B1662" s="17" t="s">
        <v>3510</v>
      </c>
      <c r="C1662" s="17" t="s">
        <v>3511</v>
      </c>
      <c r="D1662" s="17" t="s">
        <v>17</v>
      </c>
      <c r="E1662" s="17" t="s">
        <v>8</v>
      </c>
      <c r="F1662" s="17">
        <v>0</v>
      </c>
      <c r="G1662" s="17">
        <v>20</v>
      </c>
      <c r="H1662" s="17">
        <v>0</v>
      </c>
      <c r="I1662" s="17">
        <v>20</v>
      </c>
      <c r="J1662" s="17">
        <v>0</v>
      </c>
      <c r="K1662" s="17">
        <v>0</v>
      </c>
      <c r="L1662" s="17">
        <v>20</v>
      </c>
      <c r="M1662" s="17">
        <v>0</v>
      </c>
      <c r="N1662" s="17">
        <v>0</v>
      </c>
      <c r="O1662" s="17">
        <v>20</v>
      </c>
      <c r="P1662" s="17">
        <v>10</v>
      </c>
      <c r="Q1662" s="17">
        <v>10</v>
      </c>
      <c r="R1662" s="17">
        <v>0</v>
      </c>
      <c r="S1662" s="17"/>
      <c r="T1662" s="17" t="s">
        <v>3012</v>
      </c>
      <c r="U1662" s="17" t="s">
        <v>3057</v>
      </c>
      <c r="V1662" s="17" t="s">
        <v>3056</v>
      </c>
      <c r="W1662" s="17"/>
      <c r="X1662" s="17"/>
    </row>
    <row r="1663" spans="1:24" hidden="1">
      <c r="A1663" s="18">
        <v>1666</v>
      </c>
      <c r="B1663" s="17" t="s">
        <v>3512</v>
      </c>
      <c r="C1663" s="17" t="s">
        <v>3513</v>
      </c>
      <c r="D1663" s="17" t="s">
        <v>17</v>
      </c>
      <c r="E1663" s="17" t="s">
        <v>8</v>
      </c>
      <c r="F1663" s="17">
        <v>0</v>
      </c>
      <c r="G1663" s="17">
        <v>20</v>
      </c>
      <c r="H1663" s="17">
        <v>0</v>
      </c>
      <c r="I1663" s="17">
        <v>20</v>
      </c>
      <c r="J1663" s="17">
        <v>0</v>
      </c>
      <c r="K1663" s="17">
        <v>0</v>
      </c>
      <c r="L1663" s="17">
        <v>20</v>
      </c>
      <c r="M1663" s="17">
        <v>0</v>
      </c>
      <c r="N1663" s="17">
        <v>0</v>
      </c>
      <c r="O1663" s="17">
        <v>20</v>
      </c>
      <c r="P1663" s="17">
        <v>10</v>
      </c>
      <c r="Q1663" s="17">
        <v>10</v>
      </c>
      <c r="R1663" s="17">
        <v>0</v>
      </c>
      <c r="S1663" s="17"/>
      <c r="T1663" s="17" t="s">
        <v>3012</v>
      </c>
      <c r="U1663" s="17" t="s">
        <v>3057</v>
      </c>
      <c r="V1663" s="17" t="s">
        <v>3056</v>
      </c>
      <c r="W1663" s="17"/>
      <c r="X1663" s="17"/>
    </row>
    <row r="1664" spans="1:24" hidden="1">
      <c r="A1664" s="18">
        <v>1667</v>
      </c>
      <c r="B1664" s="17" t="s">
        <v>3514</v>
      </c>
      <c r="C1664" s="17" t="s">
        <v>3515</v>
      </c>
      <c r="D1664" s="17" t="s">
        <v>17</v>
      </c>
      <c r="E1664" s="17" t="s">
        <v>8</v>
      </c>
      <c r="F1664" s="17">
        <v>0</v>
      </c>
      <c r="G1664" s="17">
        <v>20</v>
      </c>
      <c r="H1664" s="17">
        <v>0</v>
      </c>
      <c r="I1664" s="17">
        <v>20</v>
      </c>
      <c r="J1664" s="17">
        <v>0</v>
      </c>
      <c r="K1664" s="17">
        <v>0</v>
      </c>
      <c r="L1664" s="17">
        <v>20</v>
      </c>
      <c r="M1664" s="17">
        <v>0</v>
      </c>
      <c r="N1664" s="17">
        <v>0</v>
      </c>
      <c r="O1664" s="17">
        <v>20</v>
      </c>
      <c r="P1664" s="17">
        <v>10</v>
      </c>
      <c r="Q1664" s="17">
        <v>10</v>
      </c>
      <c r="R1664" s="17">
        <v>0</v>
      </c>
      <c r="S1664" s="17"/>
      <c r="T1664" s="17" t="s">
        <v>3012</v>
      </c>
      <c r="U1664" s="17" t="s">
        <v>3057</v>
      </c>
      <c r="V1664" s="17" t="s">
        <v>3056</v>
      </c>
      <c r="W1664" s="17"/>
      <c r="X1664" s="17"/>
    </row>
    <row r="1665" spans="1:24" hidden="1">
      <c r="A1665" s="18">
        <v>1668</v>
      </c>
      <c r="B1665" s="17" t="s">
        <v>3516</v>
      </c>
      <c r="C1665" s="17" t="s">
        <v>3517</v>
      </c>
      <c r="D1665" s="17" t="s">
        <v>17</v>
      </c>
      <c r="E1665" s="17" t="s">
        <v>8</v>
      </c>
      <c r="F1665" s="17">
        <v>6100</v>
      </c>
      <c r="G1665" s="17">
        <v>10100</v>
      </c>
      <c r="H1665" s="17">
        <v>5600</v>
      </c>
      <c r="I1665" s="17">
        <v>10600</v>
      </c>
      <c r="J1665" s="17">
        <v>0</v>
      </c>
      <c r="K1665" s="17">
        <v>0</v>
      </c>
      <c r="L1665" s="17">
        <v>10600</v>
      </c>
      <c r="M1665" s="17">
        <v>0</v>
      </c>
      <c r="N1665" s="17">
        <v>0</v>
      </c>
      <c r="O1665" s="17">
        <v>10600</v>
      </c>
      <c r="P1665" s="17">
        <v>7000</v>
      </c>
      <c r="Q1665" s="17">
        <v>3600</v>
      </c>
      <c r="R1665" s="17">
        <v>10000</v>
      </c>
      <c r="S1665" s="17"/>
      <c r="T1665" s="17" t="s">
        <v>2991</v>
      </c>
      <c r="U1665" s="17" t="s">
        <v>3057</v>
      </c>
      <c r="V1665" s="17" t="s">
        <v>3056</v>
      </c>
      <c r="W1665" s="17"/>
      <c r="X1665" s="17"/>
    </row>
    <row r="1666" spans="1:24" s="40" customFormat="1" hidden="1">
      <c r="A1666" s="26">
        <v>1669</v>
      </c>
      <c r="B1666" s="25" t="s">
        <v>3518</v>
      </c>
      <c r="C1666" s="25" t="s">
        <v>3519</v>
      </c>
      <c r="D1666" s="25" t="s">
        <v>17</v>
      </c>
      <c r="E1666" s="25" t="s">
        <v>8</v>
      </c>
      <c r="F1666" s="25">
        <v>0</v>
      </c>
      <c r="G1666" s="25">
        <v>0</v>
      </c>
      <c r="H1666" s="25">
        <v>0</v>
      </c>
      <c r="I1666" s="17">
        <v>0</v>
      </c>
      <c r="J1666" s="17">
        <v>0</v>
      </c>
      <c r="K1666" s="17">
        <v>0</v>
      </c>
      <c r="L1666" s="17">
        <v>0</v>
      </c>
      <c r="M1666" s="17">
        <v>0</v>
      </c>
      <c r="N1666" s="17">
        <v>0</v>
      </c>
      <c r="O1666" s="25">
        <v>0</v>
      </c>
      <c r="P1666" s="25">
        <v>1000</v>
      </c>
      <c r="Q1666" s="25">
        <v>-1000</v>
      </c>
      <c r="R1666" s="25">
        <v>2000</v>
      </c>
      <c r="S1666" s="25"/>
      <c r="T1666" s="25" t="s">
        <v>2972</v>
      </c>
      <c r="U1666" s="25" t="s">
        <v>3057</v>
      </c>
      <c r="V1666" s="25" t="s">
        <v>3056</v>
      </c>
      <c r="W1666" s="25"/>
      <c r="X1666" s="25"/>
    </row>
    <row r="1667" spans="1:24" hidden="1">
      <c r="A1667" s="18">
        <v>1670</v>
      </c>
      <c r="B1667" s="17" t="s">
        <v>3520</v>
      </c>
      <c r="C1667" s="17" t="s">
        <v>3521</v>
      </c>
      <c r="D1667" s="17" t="s">
        <v>7</v>
      </c>
      <c r="E1667" s="17" t="s">
        <v>8</v>
      </c>
      <c r="F1667" s="17">
        <v>14956.05</v>
      </c>
      <c r="G1667" s="17">
        <v>0</v>
      </c>
      <c r="H1667" s="17">
        <v>1246.3699999999999</v>
      </c>
      <c r="I1667" s="17">
        <v>13709.68</v>
      </c>
      <c r="J1667" s="17">
        <v>0</v>
      </c>
      <c r="K1667" s="17">
        <v>0</v>
      </c>
      <c r="L1667" s="17">
        <v>13709.68</v>
      </c>
      <c r="M1667" s="17">
        <v>0</v>
      </c>
      <c r="N1667" s="17">
        <v>0</v>
      </c>
      <c r="O1667" s="17">
        <v>13709.68</v>
      </c>
      <c r="P1667" s="17">
        <v>2000</v>
      </c>
      <c r="Q1667" s="17">
        <v>11709.68</v>
      </c>
      <c r="R1667" s="17">
        <v>0</v>
      </c>
      <c r="S1667" s="17"/>
      <c r="T1667" s="17" t="s">
        <v>2965</v>
      </c>
      <c r="U1667" s="17" t="s">
        <v>3060</v>
      </c>
      <c r="V1667" s="17" t="s">
        <v>3058</v>
      </c>
      <c r="W1667" s="17"/>
      <c r="X1667" s="17"/>
    </row>
    <row r="1668" spans="1:24" hidden="1">
      <c r="A1668" s="18">
        <v>1671</v>
      </c>
      <c r="B1668" s="17" t="s">
        <v>3522</v>
      </c>
      <c r="C1668" s="17" t="s">
        <v>3523</v>
      </c>
      <c r="D1668" s="17" t="s">
        <v>17</v>
      </c>
      <c r="E1668" s="17" t="s">
        <v>8</v>
      </c>
      <c r="F1668" s="17">
        <v>10100</v>
      </c>
      <c r="G1668" s="17">
        <v>500</v>
      </c>
      <c r="H1668" s="17">
        <v>8500</v>
      </c>
      <c r="I1668" s="17">
        <v>2100</v>
      </c>
      <c r="J1668" s="17">
        <v>0</v>
      </c>
      <c r="K1668" s="17">
        <v>0</v>
      </c>
      <c r="L1668" s="17">
        <v>2100</v>
      </c>
      <c r="M1668" s="17">
        <v>0</v>
      </c>
      <c r="N1668" s="17">
        <v>0</v>
      </c>
      <c r="O1668" s="17">
        <v>2100</v>
      </c>
      <c r="P1668" s="17">
        <v>0</v>
      </c>
      <c r="Q1668" s="17">
        <v>2100</v>
      </c>
      <c r="R1668" s="17">
        <v>0</v>
      </c>
      <c r="S1668" s="17"/>
      <c r="T1668" s="17" t="s">
        <v>2991</v>
      </c>
      <c r="U1668" s="17" t="s">
        <v>3057</v>
      </c>
      <c r="V1668" s="17" t="s">
        <v>3056</v>
      </c>
      <c r="W1668" s="17"/>
      <c r="X1668" s="17"/>
    </row>
    <row r="1669" spans="1:24" hidden="1">
      <c r="A1669" s="18">
        <v>1672</v>
      </c>
      <c r="B1669" s="17" t="s">
        <v>3524</v>
      </c>
      <c r="C1669" s="17" t="s">
        <v>3525</v>
      </c>
      <c r="D1669" s="17" t="s">
        <v>17</v>
      </c>
      <c r="E1669" s="17" t="s">
        <v>8</v>
      </c>
      <c r="F1669" s="17">
        <v>2000</v>
      </c>
      <c r="G1669" s="17">
        <v>5000</v>
      </c>
      <c r="H1669" s="17">
        <v>0</v>
      </c>
      <c r="I1669" s="17">
        <v>7000</v>
      </c>
      <c r="J1669" s="17">
        <v>0</v>
      </c>
      <c r="K1669" s="17">
        <v>0</v>
      </c>
      <c r="L1669" s="17">
        <v>7000</v>
      </c>
      <c r="M1669" s="17">
        <v>0</v>
      </c>
      <c r="N1669" s="17">
        <v>0</v>
      </c>
      <c r="O1669" s="17">
        <v>7000</v>
      </c>
      <c r="P1669" s="17">
        <v>7000</v>
      </c>
      <c r="Q1669" s="17">
        <v>0</v>
      </c>
      <c r="R1669" s="17">
        <v>0</v>
      </c>
      <c r="S1669" s="17"/>
      <c r="T1669" s="17" t="s">
        <v>2972</v>
      </c>
      <c r="U1669" s="17" t="s">
        <v>3057</v>
      </c>
      <c r="V1669" s="17" t="s">
        <v>3056</v>
      </c>
      <c r="W1669" s="17"/>
      <c r="X1669" s="17"/>
    </row>
    <row r="1670" spans="1:24" hidden="1">
      <c r="A1670" s="18">
        <v>1673</v>
      </c>
      <c r="B1670" s="17" t="s">
        <v>3526</v>
      </c>
      <c r="C1670" s="17" t="s">
        <v>3527</v>
      </c>
      <c r="D1670" s="17" t="s">
        <v>7</v>
      </c>
      <c r="E1670" s="17" t="s">
        <v>8</v>
      </c>
      <c r="F1670" s="17">
        <v>116</v>
      </c>
      <c r="G1670" s="17">
        <v>0</v>
      </c>
      <c r="H1670" s="17">
        <v>0</v>
      </c>
      <c r="I1670" s="17">
        <v>116</v>
      </c>
      <c r="J1670" s="17">
        <v>0</v>
      </c>
      <c r="K1670" s="17">
        <v>0</v>
      </c>
      <c r="L1670" s="17">
        <v>116</v>
      </c>
      <c r="M1670" s="17">
        <v>0</v>
      </c>
      <c r="N1670" s="17">
        <v>0</v>
      </c>
      <c r="O1670" s="17">
        <v>116</v>
      </c>
      <c r="P1670" s="17">
        <v>100</v>
      </c>
      <c r="Q1670" s="17">
        <v>16</v>
      </c>
      <c r="R1670" s="17">
        <v>0</v>
      </c>
      <c r="S1670" s="17"/>
      <c r="T1670" s="17" t="s">
        <v>2965</v>
      </c>
      <c r="U1670" s="17" t="s">
        <v>3060</v>
      </c>
      <c r="V1670" s="17" t="s">
        <v>3058</v>
      </c>
      <c r="W1670" s="17"/>
      <c r="X1670" s="17"/>
    </row>
    <row r="1671" spans="1:24" hidden="1">
      <c r="A1671" s="18">
        <v>1674</v>
      </c>
      <c r="B1671" s="17" t="s">
        <v>3528</v>
      </c>
      <c r="C1671" s="17" t="s">
        <v>3529</v>
      </c>
      <c r="D1671" s="17" t="s">
        <v>17</v>
      </c>
      <c r="E1671" s="17" t="s">
        <v>8</v>
      </c>
      <c r="F1671" s="17">
        <v>3000</v>
      </c>
      <c r="G1671" s="17">
        <v>0</v>
      </c>
      <c r="H1671" s="17">
        <v>900</v>
      </c>
      <c r="I1671" s="17">
        <v>2100</v>
      </c>
      <c r="J1671" s="17">
        <v>0</v>
      </c>
      <c r="K1671" s="17">
        <v>0</v>
      </c>
      <c r="L1671" s="17">
        <v>2100</v>
      </c>
      <c r="M1671" s="17">
        <v>0</v>
      </c>
      <c r="N1671" s="17">
        <v>0</v>
      </c>
      <c r="O1671" s="17">
        <v>2100</v>
      </c>
      <c r="P1671" s="17">
        <v>1500</v>
      </c>
      <c r="Q1671" s="17">
        <v>600</v>
      </c>
      <c r="R1671" s="17">
        <v>0</v>
      </c>
      <c r="S1671" s="17"/>
      <c r="T1671" s="17" t="s">
        <v>3012</v>
      </c>
      <c r="U1671" s="17" t="s">
        <v>3057</v>
      </c>
      <c r="V1671" s="17" t="s">
        <v>3056</v>
      </c>
      <c r="W1671" s="17"/>
      <c r="X1671" s="17"/>
    </row>
    <row r="1672" spans="1:24" hidden="1">
      <c r="A1672" s="18">
        <v>1675</v>
      </c>
      <c r="B1672" s="17" t="s">
        <v>3530</v>
      </c>
      <c r="C1672" s="17" t="s">
        <v>3531</v>
      </c>
      <c r="D1672" s="17" t="s">
        <v>17</v>
      </c>
      <c r="E1672" s="17" t="s">
        <v>8</v>
      </c>
      <c r="F1672" s="17">
        <v>0</v>
      </c>
      <c r="G1672" s="17">
        <v>20</v>
      </c>
      <c r="H1672" s="17">
        <v>0</v>
      </c>
      <c r="I1672" s="17">
        <v>20</v>
      </c>
      <c r="J1672" s="17">
        <v>0</v>
      </c>
      <c r="K1672" s="17">
        <v>0</v>
      </c>
      <c r="L1672" s="17">
        <v>20</v>
      </c>
      <c r="M1672" s="17">
        <v>0</v>
      </c>
      <c r="N1672" s="17">
        <v>0</v>
      </c>
      <c r="O1672" s="17">
        <v>20</v>
      </c>
      <c r="P1672" s="17">
        <v>10</v>
      </c>
      <c r="Q1672" s="17">
        <v>10</v>
      </c>
      <c r="R1672" s="17">
        <v>0</v>
      </c>
      <c r="S1672" s="17"/>
      <c r="T1672" s="17" t="s">
        <v>3012</v>
      </c>
      <c r="U1672" s="17" t="s">
        <v>3057</v>
      </c>
      <c r="V1672" s="17" t="s">
        <v>3056</v>
      </c>
      <c r="W1672" s="17"/>
      <c r="X1672" s="17"/>
    </row>
    <row r="1673" spans="1:24" hidden="1">
      <c r="A1673" s="18">
        <v>1676</v>
      </c>
      <c r="B1673" s="17" t="s">
        <v>3532</v>
      </c>
      <c r="C1673" s="17" t="s">
        <v>2816</v>
      </c>
      <c r="D1673" s="17" t="s">
        <v>17</v>
      </c>
      <c r="E1673" s="17" t="s">
        <v>8</v>
      </c>
      <c r="F1673" s="17">
        <v>0</v>
      </c>
      <c r="G1673" s="17">
        <v>20</v>
      </c>
      <c r="H1673" s="17">
        <v>0</v>
      </c>
      <c r="I1673" s="17">
        <v>20</v>
      </c>
      <c r="J1673" s="17">
        <v>0</v>
      </c>
      <c r="K1673" s="17">
        <v>0</v>
      </c>
      <c r="L1673" s="17">
        <v>20</v>
      </c>
      <c r="M1673" s="17">
        <v>0</v>
      </c>
      <c r="N1673" s="17">
        <v>0</v>
      </c>
      <c r="O1673" s="17">
        <v>20</v>
      </c>
      <c r="P1673" s="17">
        <v>10</v>
      </c>
      <c r="Q1673" s="17">
        <v>10</v>
      </c>
      <c r="R1673" s="17">
        <v>0</v>
      </c>
      <c r="S1673" s="17"/>
      <c r="T1673" s="17" t="s">
        <v>3012</v>
      </c>
      <c r="U1673" s="17" t="s">
        <v>3057</v>
      </c>
      <c r="V1673" s="17" t="s">
        <v>3056</v>
      </c>
      <c r="W1673" s="17"/>
      <c r="X1673" s="17"/>
    </row>
    <row r="1674" spans="1:24" hidden="1">
      <c r="A1674" s="18">
        <v>1677</v>
      </c>
      <c r="B1674" s="17" t="s">
        <v>3533</v>
      </c>
      <c r="C1674" s="17" t="s">
        <v>3534</v>
      </c>
      <c r="D1674" s="17" t="s">
        <v>17</v>
      </c>
      <c r="E1674" s="17" t="s">
        <v>8</v>
      </c>
      <c r="F1674" s="17">
        <v>0</v>
      </c>
      <c r="G1674" s="17">
        <v>3000</v>
      </c>
      <c r="H1674" s="17">
        <v>150</v>
      </c>
      <c r="I1674" s="17">
        <v>2850</v>
      </c>
      <c r="J1674" s="17">
        <v>0</v>
      </c>
      <c r="K1674" s="17">
        <v>0</v>
      </c>
      <c r="L1674" s="17">
        <v>2850</v>
      </c>
      <c r="M1674" s="17">
        <v>0</v>
      </c>
      <c r="N1674" s="17">
        <v>0</v>
      </c>
      <c r="O1674" s="17">
        <v>2850</v>
      </c>
      <c r="P1674" s="17">
        <v>1500</v>
      </c>
      <c r="Q1674" s="17">
        <v>1350</v>
      </c>
      <c r="R1674" s="17">
        <v>0</v>
      </c>
      <c r="S1674" s="17"/>
      <c r="T1674" s="17" t="s">
        <v>3012</v>
      </c>
      <c r="U1674" s="17" t="s">
        <v>3057</v>
      </c>
      <c r="V1674" s="17" t="s">
        <v>3056</v>
      </c>
      <c r="W1674" s="17"/>
      <c r="X1674" s="17"/>
    </row>
    <row r="1675" spans="1:24" hidden="1">
      <c r="A1675" s="18">
        <v>1678</v>
      </c>
      <c r="B1675" s="17" t="s">
        <v>3535</v>
      </c>
      <c r="C1675" s="17" t="s">
        <v>3536</v>
      </c>
      <c r="D1675" s="17" t="s">
        <v>17</v>
      </c>
      <c r="E1675" s="17" t="s">
        <v>8</v>
      </c>
      <c r="F1675" s="17">
        <v>0</v>
      </c>
      <c r="G1675" s="17">
        <v>20</v>
      </c>
      <c r="H1675" s="17">
        <v>0</v>
      </c>
      <c r="I1675" s="17">
        <v>20</v>
      </c>
      <c r="J1675" s="17">
        <v>0</v>
      </c>
      <c r="K1675" s="17">
        <v>0</v>
      </c>
      <c r="L1675" s="17">
        <v>20</v>
      </c>
      <c r="M1675" s="17">
        <v>0</v>
      </c>
      <c r="N1675" s="17">
        <v>0</v>
      </c>
      <c r="O1675" s="17">
        <v>20</v>
      </c>
      <c r="P1675" s="17">
        <v>10</v>
      </c>
      <c r="Q1675" s="17">
        <v>10</v>
      </c>
      <c r="R1675" s="17">
        <v>0</v>
      </c>
      <c r="S1675" s="17"/>
      <c r="T1675" s="17" t="s">
        <v>3012</v>
      </c>
      <c r="U1675" s="17" t="s">
        <v>3057</v>
      </c>
      <c r="V1675" s="17" t="s">
        <v>3056</v>
      </c>
      <c r="W1675" s="17"/>
      <c r="X1675" s="17"/>
    </row>
    <row r="1676" spans="1:24" hidden="1">
      <c r="A1676" s="18">
        <v>1679</v>
      </c>
      <c r="B1676" s="17" t="s">
        <v>3537</v>
      </c>
      <c r="C1676" s="17" t="s">
        <v>2824</v>
      </c>
      <c r="D1676" s="17" t="s">
        <v>17</v>
      </c>
      <c r="E1676" s="17" t="s">
        <v>8</v>
      </c>
      <c r="F1676" s="17">
        <v>0</v>
      </c>
      <c r="G1676" s="17">
        <v>20</v>
      </c>
      <c r="H1676" s="17">
        <v>0</v>
      </c>
      <c r="I1676" s="17">
        <v>20</v>
      </c>
      <c r="J1676" s="17">
        <v>0</v>
      </c>
      <c r="K1676" s="17">
        <v>0</v>
      </c>
      <c r="L1676" s="17">
        <v>20</v>
      </c>
      <c r="M1676" s="17">
        <v>0</v>
      </c>
      <c r="N1676" s="17">
        <v>0</v>
      </c>
      <c r="O1676" s="17">
        <v>20</v>
      </c>
      <c r="P1676" s="17">
        <v>10</v>
      </c>
      <c r="Q1676" s="17">
        <v>10</v>
      </c>
      <c r="R1676" s="17">
        <v>0</v>
      </c>
      <c r="S1676" s="17"/>
      <c r="T1676" s="17" t="s">
        <v>3012</v>
      </c>
      <c r="U1676" s="17" t="s">
        <v>3057</v>
      </c>
      <c r="V1676" s="17" t="s">
        <v>3056</v>
      </c>
      <c r="W1676" s="17"/>
      <c r="X1676" s="17"/>
    </row>
    <row r="1677" spans="1:24" hidden="1">
      <c r="A1677" s="18">
        <v>1680</v>
      </c>
      <c r="B1677" s="17" t="s">
        <v>3538</v>
      </c>
      <c r="C1677" s="17" t="s">
        <v>3539</v>
      </c>
      <c r="D1677" s="17" t="s">
        <v>17</v>
      </c>
      <c r="E1677" s="17" t="s">
        <v>8</v>
      </c>
      <c r="F1677" s="17">
        <v>0</v>
      </c>
      <c r="G1677" s="17">
        <v>20</v>
      </c>
      <c r="H1677" s="17">
        <v>0</v>
      </c>
      <c r="I1677" s="17">
        <v>20</v>
      </c>
      <c r="J1677" s="17">
        <v>0</v>
      </c>
      <c r="K1677" s="17">
        <v>0</v>
      </c>
      <c r="L1677" s="17">
        <v>20</v>
      </c>
      <c r="M1677" s="17">
        <v>0</v>
      </c>
      <c r="N1677" s="17">
        <v>0</v>
      </c>
      <c r="O1677" s="17">
        <v>20</v>
      </c>
      <c r="P1677" s="17">
        <v>10</v>
      </c>
      <c r="Q1677" s="17">
        <v>10</v>
      </c>
      <c r="R1677" s="17">
        <v>0</v>
      </c>
      <c r="S1677" s="17"/>
      <c r="T1677" s="17" t="s">
        <v>3012</v>
      </c>
      <c r="U1677" s="17" t="s">
        <v>3057</v>
      </c>
      <c r="V1677" s="17" t="s">
        <v>3056</v>
      </c>
      <c r="W1677" s="17"/>
      <c r="X1677" s="17"/>
    </row>
    <row r="1678" spans="1:24" hidden="1">
      <c r="A1678" s="18">
        <v>1681</v>
      </c>
      <c r="B1678" s="17" t="s">
        <v>3540</v>
      </c>
      <c r="C1678" s="17" t="s">
        <v>2836</v>
      </c>
      <c r="D1678" s="17" t="s">
        <v>17</v>
      </c>
      <c r="E1678" s="17" t="s">
        <v>8</v>
      </c>
      <c r="F1678" s="17">
        <v>0</v>
      </c>
      <c r="G1678" s="17">
        <v>20</v>
      </c>
      <c r="H1678" s="17">
        <v>0</v>
      </c>
      <c r="I1678" s="17">
        <v>20</v>
      </c>
      <c r="J1678" s="17">
        <v>0</v>
      </c>
      <c r="K1678" s="17">
        <v>0</v>
      </c>
      <c r="L1678" s="17">
        <v>20</v>
      </c>
      <c r="M1678" s="17">
        <v>0</v>
      </c>
      <c r="N1678" s="17">
        <v>0</v>
      </c>
      <c r="O1678" s="17">
        <v>20</v>
      </c>
      <c r="P1678" s="17">
        <v>10</v>
      </c>
      <c r="Q1678" s="17">
        <v>10</v>
      </c>
      <c r="R1678" s="17">
        <v>0</v>
      </c>
      <c r="S1678" s="17"/>
      <c r="T1678" s="17" t="s">
        <v>3012</v>
      </c>
      <c r="U1678" s="17" t="s">
        <v>3057</v>
      </c>
      <c r="V1678" s="17" t="s">
        <v>3056</v>
      </c>
      <c r="W1678" s="17"/>
      <c r="X1678" s="17"/>
    </row>
    <row r="1679" spans="1:24" hidden="1">
      <c r="A1679" s="18">
        <v>1682</v>
      </c>
      <c r="B1679" s="17" t="s">
        <v>3541</v>
      </c>
      <c r="C1679" s="17" t="s">
        <v>3542</v>
      </c>
      <c r="D1679" s="17" t="s">
        <v>17</v>
      </c>
      <c r="E1679" s="17" t="s">
        <v>8</v>
      </c>
      <c r="F1679" s="17">
        <v>0</v>
      </c>
      <c r="G1679" s="17">
        <v>20</v>
      </c>
      <c r="H1679" s="17">
        <v>0</v>
      </c>
      <c r="I1679" s="17">
        <v>20</v>
      </c>
      <c r="J1679" s="17">
        <v>0</v>
      </c>
      <c r="K1679" s="17">
        <v>0</v>
      </c>
      <c r="L1679" s="17">
        <v>20</v>
      </c>
      <c r="M1679" s="17">
        <v>0</v>
      </c>
      <c r="N1679" s="17">
        <v>0</v>
      </c>
      <c r="O1679" s="17">
        <v>20</v>
      </c>
      <c r="P1679" s="17">
        <v>10</v>
      </c>
      <c r="Q1679" s="17">
        <v>10</v>
      </c>
      <c r="R1679" s="17">
        <v>0</v>
      </c>
      <c r="S1679" s="17"/>
      <c r="T1679" s="17" t="s">
        <v>3012</v>
      </c>
      <c r="U1679" s="17" t="s">
        <v>3057</v>
      </c>
      <c r="V1679" s="17" t="s">
        <v>3056</v>
      </c>
      <c r="W1679" s="17"/>
      <c r="X1679" s="17"/>
    </row>
    <row r="1680" spans="1:24" hidden="1">
      <c r="A1680" s="18">
        <v>1683</v>
      </c>
      <c r="B1680" s="17" t="s">
        <v>3543</v>
      </c>
      <c r="C1680" s="17" t="s">
        <v>2838</v>
      </c>
      <c r="D1680" s="17" t="s">
        <v>17</v>
      </c>
      <c r="E1680" s="17" t="s">
        <v>8</v>
      </c>
      <c r="F1680" s="17">
        <v>0</v>
      </c>
      <c r="G1680" s="17">
        <v>20</v>
      </c>
      <c r="H1680" s="17">
        <v>0</v>
      </c>
      <c r="I1680" s="17">
        <v>20</v>
      </c>
      <c r="J1680" s="17">
        <v>0</v>
      </c>
      <c r="K1680" s="17">
        <v>0</v>
      </c>
      <c r="L1680" s="17">
        <v>20</v>
      </c>
      <c r="M1680" s="17">
        <v>0</v>
      </c>
      <c r="N1680" s="17">
        <v>0</v>
      </c>
      <c r="O1680" s="17">
        <v>20</v>
      </c>
      <c r="P1680" s="17">
        <v>10</v>
      </c>
      <c r="Q1680" s="17">
        <v>10</v>
      </c>
      <c r="R1680" s="17">
        <v>0</v>
      </c>
      <c r="S1680" s="17"/>
      <c r="T1680" s="17" t="s">
        <v>3012</v>
      </c>
      <c r="U1680" s="17" t="s">
        <v>3057</v>
      </c>
      <c r="V1680" s="17" t="s">
        <v>3056</v>
      </c>
      <c r="W1680" s="17"/>
      <c r="X1680" s="17"/>
    </row>
    <row r="1681" spans="1:24" hidden="1">
      <c r="A1681" s="18">
        <v>1684</v>
      </c>
      <c r="B1681" s="17" t="s">
        <v>3544</v>
      </c>
      <c r="C1681" s="17" t="s">
        <v>3545</v>
      </c>
      <c r="D1681" s="17" t="s">
        <v>17</v>
      </c>
      <c r="E1681" s="17" t="s">
        <v>8</v>
      </c>
      <c r="F1681" s="17">
        <v>2125</v>
      </c>
      <c r="G1681" s="17">
        <v>1051</v>
      </c>
      <c r="H1681" s="17">
        <v>1051</v>
      </c>
      <c r="I1681" s="17">
        <v>2125</v>
      </c>
      <c r="J1681" s="17">
        <v>0</v>
      </c>
      <c r="K1681" s="17">
        <v>0</v>
      </c>
      <c r="L1681" s="17">
        <v>2125</v>
      </c>
      <c r="M1681" s="17">
        <v>0</v>
      </c>
      <c r="N1681" s="17">
        <v>0</v>
      </c>
      <c r="O1681" s="17">
        <v>2125</v>
      </c>
      <c r="P1681" s="17">
        <v>2000</v>
      </c>
      <c r="Q1681" s="17">
        <v>125</v>
      </c>
      <c r="R1681" s="17">
        <v>0</v>
      </c>
      <c r="S1681" s="17"/>
      <c r="T1681" s="17" t="s">
        <v>2972</v>
      </c>
      <c r="U1681" s="17" t="s">
        <v>3057</v>
      </c>
      <c r="V1681" s="17" t="s">
        <v>3058</v>
      </c>
      <c r="W1681" s="17"/>
      <c r="X1681" s="17"/>
    </row>
    <row r="1682" spans="1:24" hidden="1">
      <c r="A1682" s="18">
        <v>1685</v>
      </c>
      <c r="B1682" s="17" t="s">
        <v>3546</v>
      </c>
      <c r="C1682" s="17" t="s">
        <v>3547</v>
      </c>
      <c r="D1682" s="17" t="s">
        <v>17</v>
      </c>
      <c r="E1682" s="17" t="s">
        <v>8</v>
      </c>
      <c r="F1682" s="17">
        <v>2450</v>
      </c>
      <c r="G1682" s="17">
        <v>0</v>
      </c>
      <c r="H1682" s="17">
        <v>1000</v>
      </c>
      <c r="I1682" s="17">
        <v>1450</v>
      </c>
      <c r="J1682" s="17">
        <v>0</v>
      </c>
      <c r="K1682" s="17">
        <v>0</v>
      </c>
      <c r="L1682" s="17">
        <v>1450</v>
      </c>
      <c r="M1682" s="17">
        <v>0</v>
      </c>
      <c r="N1682" s="17">
        <v>0</v>
      </c>
      <c r="O1682" s="17">
        <v>1450</v>
      </c>
      <c r="P1682" s="17">
        <v>2000</v>
      </c>
      <c r="Q1682" s="17">
        <v>-550</v>
      </c>
      <c r="R1682" s="17">
        <v>0</v>
      </c>
      <c r="S1682" s="17"/>
      <c r="T1682" s="17" t="s">
        <v>2991</v>
      </c>
      <c r="U1682" s="17" t="s">
        <v>3057</v>
      </c>
      <c r="V1682" s="17" t="s">
        <v>3058</v>
      </c>
      <c r="W1682" s="17"/>
      <c r="X1682" s="17"/>
    </row>
    <row r="1683" spans="1:24" hidden="1">
      <c r="A1683" s="18">
        <v>1686</v>
      </c>
      <c r="B1683" s="17" t="s">
        <v>2552</v>
      </c>
      <c r="C1683" s="17" t="s">
        <v>2549</v>
      </c>
      <c r="D1683" s="17" t="s">
        <v>17</v>
      </c>
      <c r="E1683" s="17" t="s">
        <v>8</v>
      </c>
      <c r="F1683" s="17">
        <v>650</v>
      </c>
      <c r="G1683" s="17">
        <v>0</v>
      </c>
      <c r="H1683" s="17">
        <v>0</v>
      </c>
      <c r="I1683" s="17">
        <v>650</v>
      </c>
      <c r="J1683" s="17">
        <v>0</v>
      </c>
      <c r="K1683" s="17">
        <v>0</v>
      </c>
      <c r="L1683" s="17">
        <v>650</v>
      </c>
      <c r="M1683" s="17">
        <v>0</v>
      </c>
      <c r="N1683" s="17">
        <v>0</v>
      </c>
      <c r="O1683" s="17">
        <v>650</v>
      </c>
      <c r="P1683" s="17">
        <v>300</v>
      </c>
      <c r="Q1683" s="17">
        <v>350</v>
      </c>
      <c r="R1683" s="17">
        <v>0</v>
      </c>
      <c r="S1683" s="17"/>
      <c r="T1683" s="17" t="s">
        <v>2991</v>
      </c>
      <c r="U1683" s="17" t="s">
        <v>3060</v>
      </c>
      <c r="V1683" s="17" t="s">
        <v>3058</v>
      </c>
      <c r="W1683" s="17"/>
      <c r="X1683" s="17"/>
    </row>
    <row r="1684" spans="1:24" hidden="1">
      <c r="A1684" s="18">
        <v>1687</v>
      </c>
      <c r="B1684" s="17" t="s">
        <v>3548</v>
      </c>
      <c r="C1684" s="17" t="s">
        <v>3549</v>
      </c>
      <c r="D1684" s="17" t="s">
        <v>17</v>
      </c>
      <c r="E1684" s="17" t="s">
        <v>8</v>
      </c>
      <c r="F1684" s="17">
        <v>0</v>
      </c>
      <c r="G1684" s="17">
        <v>3600</v>
      </c>
      <c r="H1684" s="17">
        <v>0</v>
      </c>
      <c r="I1684" s="17">
        <v>3600</v>
      </c>
      <c r="J1684" s="17">
        <v>0</v>
      </c>
      <c r="K1684" s="17">
        <v>0</v>
      </c>
      <c r="L1684" s="17">
        <v>3600</v>
      </c>
      <c r="M1684" s="17">
        <v>0</v>
      </c>
      <c r="N1684" s="17">
        <v>0</v>
      </c>
      <c r="O1684" s="17">
        <v>3600</v>
      </c>
      <c r="P1684" s="17">
        <v>5000</v>
      </c>
      <c r="Q1684" s="17">
        <v>-1400</v>
      </c>
      <c r="R1684" s="17">
        <v>3000</v>
      </c>
      <c r="S1684" s="17"/>
      <c r="T1684" s="17" t="s">
        <v>2972</v>
      </c>
      <c r="U1684" s="17" t="s">
        <v>3057</v>
      </c>
      <c r="V1684" s="17" t="s">
        <v>3056</v>
      </c>
      <c r="W1684" s="17"/>
      <c r="X1684" s="17"/>
    </row>
    <row r="1685" spans="1:24" hidden="1">
      <c r="A1685" s="18">
        <v>1688</v>
      </c>
      <c r="B1685" s="17" t="s">
        <v>3500</v>
      </c>
      <c r="C1685" s="17" t="s">
        <v>3501</v>
      </c>
      <c r="D1685" s="17" t="s">
        <v>17</v>
      </c>
      <c r="E1685" s="17" t="s">
        <v>8</v>
      </c>
      <c r="F1685" s="17">
        <v>0</v>
      </c>
      <c r="G1685" s="17">
        <v>3000</v>
      </c>
      <c r="H1685" s="17">
        <v>0</v>
      </c>
      <c r="I1685" s="17">
        <v>3000</v>
      </c>
      <c r="J1685" s="17">
        <v>0</v>
      </c>
      <c r="K1685" s="17">
        <v>0</v>
      </c>
      <c r="L1685" s="17">
        <v>3000</v>
      </c>
      <c r="M1685" s="17">
        <v>0</v>
      </c>
      <c r="N1685" s="17">
        <v>0</v>
      </c>
      <c r="O1685" s="17">
        <v>3000</v>
      </c>
      <c r="P1685" s="17">
        <v>1500</v>
      </c>
      <c r="Q1685" s="17">
        <v>1500</v>
      </c>
      <c r="R1685" s="17">
        <v>0</v>
      </c>
      <c r="S1685" s="17"/>
      <c r="T1685" s="17" t="s">
        <v>3012</v>
      </c>
      <c r="U1685" s="17" t="s">
        <v>3057</v>
      </c>
      <c r="V1685" s="17" t="s">
        <v>3056</v>
      </c>
      <c r="W1685" s="17"/>
      <c r="X1685" s="17"/>
    </row>
    <row r="1686" spans="1:24" hidden="1">
      <c r="A1686" s="18">
        <v>1689</v>
      </c>
      <c r="B1686" s="17" t="s">
        <v>3649</v>
      </c>
      <c r="C1686" s="17" t="s">
        <v>3650</v>
      </c>
      <c r="D1686" s="17" t="s">
        <v>7</v>
      </c>
      <c r="E1686" s="17" t="s">
        <v>8</v>
      </c>
      <c r="F1686" s="17">
        <v>0</v>
      </c>
      <c r="G1686" s="17">
        <v>1897.5</v>
      </c>
      <c r="H1686" s="17">
        <v>616.75</v>
      </c>
      <c r="I1686" s="17">
        <v>1280.75</v>
      </c>
      <c r="J1686" s="17">
        <v>0</v>
      </c>
      <c r="K1686" s="17">
        <v>0</v>
      </c>
      <c r="L1686" s="17">
        <v>1280.75</v>
      </c>
      <c r="M1686" s="17">
        <v>0</v>
      </c>
      <c r="N1686" s="17">
        <v>0</v>
      </c>
      <c r="O1686" s="17">
        <v>1280.75</v>
      </c>
      <c r="P1686" s="17">
        <v>700</v>
      </c>
      <c r="Q1686" s="17">
        <v>580.75</v>
      </c>
      <c r="R1686" s="17">
        <v>0</v>
      </c>
      <c r="S1686" s="17"/>
      <c r="T1686" s="17" t="s">
        <v>2965</v>
      </c>
      <c r="U1686" s="17" t="s">
        <v>3055</v>
      </c>
      <c r="V1686" s="17" t="s">
        <v>3056</v>
      </c>
      <c r="W1686" s="17"/>
      <c r="X1686" s="17"/>
    </row>
    <row r="1687" spans="1:24" hidden="1">
      <c r="A1687" s="18">
        <v>1690</v>
      </c>
      <c r="B1687" s="17" t="s">
        <v>3651</v>
      </c>
      <c r="C1687" s="17" t="s">
        <v>3652</v>
      </c>
      <c r="D1687" s="17" t="s">
        <v>17</v>
      </c>
      <c r="E1687" s="17" t="s">
        <v>8</v>
      </c>
      <c r="F1687" s="17">
        <v>0</v>
      </c>
      <c r="G1687" s="17">
        <v>500</v>
      </c>
      <c r="H1687" s="17">
        <v>500</v>
      </c>
      <c r="I1687" s="17">
        <v>0</v>
      </c>
      <c r="J1687" s="17">
        <v>0</v>
      </c>
      <c r="K1687" s="17">
        <v>0</v>
      </c>
      <c r="L1687" s="17">
        <v>0</v>
      </c>
      <c r="M1687" s="17">
        <v>0</v>
      </c>
      <c r="N1687" s="17">
        <v>0</v>
      </c>
      <c r="O1687" s="17">
        <v>0</v>
      </c>
      <c r="P1687" s="17">
        <v>100</v>
      </c>
      <c r="Q1687" s="17">
        <v>-100</v>
      </c>
      <c r="R1687" s="17">
        <v>0</v>
      </c>
      <c r="S1687" s="17"/>
      <c r="T1687" s="17" t="s">
        <v>2982</v>
      </c>
      <c r="U1687" s="17" t="s">
        <v>3060</v>
      </c>
      <c r="V1687" s="17" t="s">
        <v>3061</v>
      </c>
      <c r="W1687" s="17"/>
      <c r="X1687" s="17"/>
    </row>
    <row r="1688" spans="1:24" hidden="1">
      <c r="A1688" s="18">
        <v>1691</v>
      </c>
      <c r="B1688" s="17" t="s">
        <v>3579</v>
      </c>
      <c r="C1688" s="17" t="s">
        <v>3580</v>
      </c>
      <c r="D1688" s="17" t="s">
        <v>17</v>
      </c>
      <c r="E1688" s="17" t="s">
        <v>8</v>
      </c>
      <c r="F1688" s="17">
        <v>0</v>
      </c>
      <c r="G1688" s="17">
        <v>120</v>
      </c>
      <c r="H1688" s="17">
        <v>75</v>
      </c>
      <c r="I1688" s="17">
        <v>45</v>
      </c>
      <c r="J1688" s="17">
        <v>0</v>
      </c>
      <c r="K1688" s="17">
        <v>0</v>
      </c>
      <c r="L1688" s="17">
        <v>45</v>
      </c>
      <c r="M1688" s="17">
        <v>0</v>
      </c>
      <c r="N1688" s="17">
        <v>0</v>
      </c>
      <c r="O1688" s="17">
        <v>45</v>
      </c>
      <c r="P1688" s="17">
        <v>30</v>
      </c>
      <c r="Q1688" s="17">
        <v>15</v>
      </c>
      <c r="R1688" s="17">
        <v>30</v>
      </c>
      <c r="S1688" s="17"/>
      <c r="T1688" s="17" t="s">
        <v>3002</v>
      </c>
      <c r="U1688" s="17" t="s">
        <v>3057</v>
      </c>
      <c r="V1688" s="17" t="s">
        <v>3674</v>
      </c>
      <c r="W1688" s="17"/>
      <c r="X1688" s="17"/>
    </row>
    <row r="1689" spans="1:24" hidden="1">
      <c r="A1689" s="18">
        <v>1692</v>
      </c>
      <c r="B1689" s="17" t="s">
        <v>3581</v>
      </c>
      <c r="C1689" s="17" t="s">
        <v>3582</v>
      </c>
      <c r="D1689" s="17" t="s">
        <v>17</v>
      </c>
      <c r="E1689" s="17" t="s">
        <v>8</v>
      </c>
      <c r="F1689" s="17">
        <v>0</v>
      </c>
      <c r="G1689" s="17">
        <v>80</v>
      </c>
      <c r="H1689" s="17">
        <v>70</v>
      </c>
      <c r="I1689" s="17">
        <v>10</v>
      </c>
      <c r="J1689" s="17">
        <v>0</v>
      </c>
      <c r="K1689" s="17">
        <v>0</v>
      </c>
      <c r="L1689" s="17">
        <v>10</v>
      </c>
      <c r="M1689" s="17">
        <v>0</v>
      </c>
      <c r="N1689" s="17">
        <v>0</v>
      </c>
      <c r="O1689" s="17">
        <v>10</v>
      </c>
      <c r="P1689" s="17">
        <v>30</v>
      </c>
      <c r="Q1689" s="17">
        <v>-20</v>
      </c>
      <c r="R1689" s="17">
        <v>30</v>
      </c>
      <c r="S1689" s="17"/>
      <c r="T1689" s="17" t="s">
        <v>3002</v>
      </c>
      <c r="U1689" s="17" t="s">
        <v>3057</v>
      </c>
      <c r="V1689" s="17" t="s">
        <v>3674</v>
      </c>
      <c r="W1689" s="17"/>
      <c r="X1689" s="17"/>
    </row>
    <row r="1690" spans="1:24" hidden="1">
      <c r="A1690" s="18">
        <v>1693</v>
      </c>
      <c r="B1690" s="17" t="s">
        <v>3675</v>
      </c>
      <c r="C1690" s="17" t="s">
        <v>3676</v>
      </c>
      <c r="D1690" s="17" t="s">
        <v>17</v>
      </c>
      <c r="E1690" s="17" t="s">
        <v>8</v>
      </c>
      <c r="F1690" s="17">
        <v>0</v>
      </c>
      <c r="G1690" s="17">
        <v>0</v>
      </c>
      <c r="H1690" s="17">
        <v>0</v>
      </c>
      <c r="I1690" s="17">
        <v>0</v>
      </c>
      <c r="J1690" s="17">
        <v>0</v>
      </c>
      <c r="K1690" s="17">
        <v>0</v>
      </c>
      <c r="L1690" s="17">
        <v>0</v>
      </c>
      <c r="M1690" s="17">
        <v>0</v>
      </c>
      <c r="N1690" s="17">
        <v>0</v>
      </c>
      <c r="O1690" s="17">
        <v>0</v>
      </c>
      <c r="P1690" s="17">
        <v>0</v>
      </c>
      <c r="Q1690" s="17">
        <v>0</v>
      </c>
      <c r="R1690" s="17">
        <v>30</v>
      </c>
      <c r="S1690" s="17"/>
      <c r="T1690" s="17" t="s">
        <v>3002</v>
      </c>
      <c r="U1690" s="17" t="s">
        <v>3057</v>
      </c>
      <c r="V1690" s="17" t="s">
        <v>3674</v>
      </c>
      <c r="W1690" s="17"/>
      <c r="X1690" s="17"/>
    </row>
  </sheetData>
  <autoFilter ref="A1:X1690">
    <filterColumn colId="2">
      <colorFilter dxfId="0"/>
    </filterColumn>
    <filterColumn colId="21">
      <filters>
        <filter val="Deepu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7"/>
  <sheetViews>
    <sheetView workbookViewId="0">
      <selection activeCell="C9" sqref="A1:G57"/>
    </sheetView>
  </sheetViews>
  <sheetFormatPr defaultRowHeight="20.100000000000001" customHeight="1"/>
  <cols>
    <col min="1" max="1" width="5.7109375" bestFit="1" customWidth="1"/>
    <col min="2" max="2" width="30.140625" bestFit="1" customWidth="1"/>
    <col min="3" max="3" width="59.140625" bestFit="1" customWidth="1"/>
    <col min="4" max="4" width="5.7109375" bestFit="1" customWidth="1"/>
    <col min="5" max="5" width="11.28515625" bestFit="1" customWidth="1"/>
    <col min="6" max="6" width="21.140625" bestFit="1" customWidth="1"/>
    <col min="7" max="7" width="13.42578125" bestFit="1" customWidth="1"/>
  </cols>
  <sheetData>
    <row r="1" spans="1:7" ht="30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8" t="s">
        <v>2942</v>
      </c>
      <c r="G1" s="1" t="s">
        <v>2943</v>
      </c>
    </row>
    <row r="2" spans="1:7" s="4" customFormat="1" ht="20.100000000000001" customHeight="1">
      <c r="A2" s="2">
        <v>1</v>
      </c>
      <c r="B2" s="3" t="s">
        <v>1658</v>
      </c>
      <c r="C2" s="3" t="s">
        <v>1659</v>
      </c>
      <c r="D2" s="3" t="s">
        <v>17</v>
      </c>
      <c r="E2" s="3" t="s">
        <v>8</v>
      </c>
      <c r="F2" s="41">
        <v>900</v>
      </c>
      <c r="G2" s="41">
        <v>1000</v>
      </c>
    </row>
    <row r="3" spans="1:7" s="4" customFormat="1" ht="20.100000000000001" customHeight="1">
      <c r="A3" s="2">
        <v>2</v>
      </c>
      <c r="B3" s="3" t="s">
        <v>53</v>
      </c>
      <c r="C3" s="3" t="s">
        <v>54</v>
      </c>
      <c r="D3" s="3" t="s">
        <v>20</v>
      </c>
      <c r="E3" s="3" t="s">
        <v>8</v>
      </c>
      <c r="F3" s="41">
        <v>3907.123</v>
      </c>
      <c r="G3" s="41">
        <v>4000</v>
      </c>
    </row>
    <row r="4" spans="1:7" s="4" customFormat="1" ht="20.100000000000001" customHeight="1">
      <c r="A4" s="2">
        <v>3</v>
      </c>
      <c r="B4" s="3" t="s">
        <v>163</v>
      </c>
      <c r="C4" s="3" t="s">
        <v>164</v>
      </c>
      <c r="D4" s="3" t="s">
        <v>7</v>
      </c>
      <c r="E4" s="3" t="s">
        <v>8</v>
      </c>
      <c r="F4" s="41">
        <v>12000</v>
      </c>
      <c r="G4" s="41">
        <v>14400</v>
      </c>
    </row>
    <row r="5" spans="1:7" s="4" customFormat="1" ht="20.100000000000001" customHeight="1">
      <c r="A5" s="2">
        <v>4</v>
      </c>
      <c r="B5" s="3" t="s">
        <v>722</v>
      </c>
      <c r="C5" s="3" t="s">
        <v>723</v>
      </c>
      <c r="D5" s="3" t="s">
        <v>7</v>
      </c>
      <c r="E5" s="3" t="s">
        <v>8</v>
      </c>
      <c r="F5" s="41">
        <v>166</v>
      </c>
      <c r="G5" s="41">
        <v>2000</v>
      </c>
    </row>
    <row r="6" spans="1:7" s="4" customFormat="1" ht="20.100000000000001" customHeight="1">
      <c r="A6" s="2">
        <v>5</v>
      </c>
      <c r="B6" s="3" t="s">
        <v>728</v>
      </c>
      <c r="C6" s="3" t="s">
        <v>729</v>
      </c>
      <c r="D6" s="3" t="s">
        <v>7</v>
      </c>
      <c r="E6" s="3" t="s">
        <v>8</v>
      </c>
      <c r="F6" s="41">
        <v>179.8</v>
      </c>
      <c r="G6" s="41">
        <v>2500</v>
      </c>
    </row>
    <row r="7" spans="1:7" s="4" customFormat="1" ht="20.100000000000001" customHeight="1">
      <c r="A7" s="2">
        <v>6</v>
      </c>
      <c r="B7" s="3" t="s">
        <v>752</v>
      </c>
      <c r="C7" s="3" t="s">
        <v>753</v>
      </c>
      <c r="D7" s="3" t="s">
        <v>7</v>
      </c>
      <c r="E7" s="3" t="s">
        <v>8</v>
      </c>
      <c r="F7" s="41">
        <v>575</v>
      </c>
      <c r="G7" s="41">
        <v>500</v>
      </c>
    </row>
    <row r="8" spans="1:7" s="4" customFormat="1" ht="20.100000000000001" customHeight="1">
      <c r="A8" s="2">
        <v>7</v>
      </c>
      <c r="B8" s="3" t="s">
        <v>814</v>
      </c>
      <c r="C8" s="3" t="s">
        <v>815</v>
      </c>
      <c r="D8" s="3" t="s">
        <v>7</v>
      </c>
      <c r="E8" s="3" t="s">
        <v>8</v>
      </c>
      <c r="F8" s="41">
        <v>298.39999999999998</v>
      </c>
      <c r="G8" s="41">
        <v>500</v>
      </c>
    </row>
    <row r="9" spans="1:7" s="4" customFormat="1" ht="20.100000000000001" customHeight="1">
      <c r="A9" s="2">
        <v>8</v>
      </c>
      <c r="B9" s="3" t="s">
        <v>822</v>
      </c>
      <c r="C9" s="3" t="s">
        <v>823</v>
      </c>
      <c r="D9" s="3" t="s">
        <v>7</v>
      </c>
      <c r="E9" s="3" t="s">
        <v>8</v>
      </c>
      <c r="F9" s="41">
        <v>92</v>
      </c>
      <c r="G9" s="41">
        <v>200</v>
      </c>
    </row>
    <row r="10" spans="1:7" s="4" customFormat="1" ht="20.100000000000001" customHeight="1">
      <c r="A10" s="2">
        <v>9</v>
      </c>
      <c r="B10" s="3" t="s">
        <v>1028</v>
      </c>
      <c r="C10" s="3" t="s">
        <v>1029</v>
      </c>
      <c r="D10" s="3" t="s">
        <v>20</v>
      </c>
      <c r="E10" s="3" t="s">
        <v>8</v>
      </c>
      <c r="F10" s="41">
        <v>767</v>
      </c>
      <c r="G10" s="41">
        <v>10000</v>
      </c>
    </row>
    <row r="11" spans="1:7" s="4" customFormat="1" ht="20.100000000000001" customHeight="1">
      <c r="A11" s="2">
        <v>10</v>
      </c>
      <c r="B11" s="3" t="s">
        <v>1108</v>
      </c>
      <c r="C11" s="3" t="s">
        <v>1109</v>
      </c>
      <c r="D11" s="3" t="s">
        <v>17</v>
      </c>
      <c r="E11" s="3" t="s">
        <v>8</v>
      </c>
      <c r="F11" s="41">
        <v>152</v>
      </c>
      <c r="G11" s="41">
        <v>500</v>
      </c>
    </row>
    <row r="12" spans="1:7" s="4" customFormat="1" ht="20.100000000000001" customHeight="1">
      <c r="A12" s="2">
        <v>11</v>
      </c>
      <c r="B12" s="3" t="s">
        <v>1064</v>
      </c>
      <c r="C12" s="3" t="s">
        <v>1065</v>
      </c>
      <c r="D12" s="3" t="s">
        <v>17</v>
      </c>
      <c r="E12" s="3" t="s">
        <v>8</v>
      </c>
      <c r="F12" s="41">
        <v>44</v>
      </c>
      <c r="G12" s="41">
        <v>40</v>
      </c>
    </row>
    <row r="13" spans="1:7" s="4" customFormat="1" ht="20.100000000000001" customHeight="1">
      <c r="A13" s="2">
        <v>12</v>
      </c>
      <c r="B13" s="3" t="s">
        <v>1297</v>
      </c>
      <c r="C13" s="3" t="s">
        <v>2968</v>
      </c>
      <c r="D13" s="3" t="s">
        <v>7</v>
      </c>
      <c r="E13" s="3" t="s">
        <v>8</v>
      </c>
      <c r="F13" s="41">
        <v>125</v>
      </c>
      <c r="G13" s="41">
        <v>200</v>
      </c>
    </row>
    <row r="14" spans="1:7" s="4" customFormat="1" ht="20.100000000000001" customHeight="1">
      <c r="A14" s="2">
        <v>13</v>
      </c>
      <c r="B14" s="3" t="s">
        <v>1312</v>
      </c>
      <c r="C14" s="3" t="s">
        <v>1313</v>
      </c>
      <c r="D14" s="3" t="s">
        <v>7</v>
      </c>
      <c r="E14" s="3" t="s">
        <v>8</v>
      </c>
      <c r="F14" s="41">
        <v>211.5</v>
      </c>
      <c r="G14" s="41">
        <v>205</v>
      </c>
    </row>
    <row r="15" spans="1:7" s="4" customFormat="1" ht="20.100000000000001" customHeight="1">
      <c r="A15" s="2">
        <v>14</v>
      </c>
      <c r="B15" s="3" t="s">
        <v>1322</v>
      </c>
      <c r="C15" s="3" t="s">
        <v>1323</v>
      </c>
      <c r="D15" s="3" t="s">
        <v>7</v>
      </c>
      <c r="E15" s="3" t="s">
        <v>8</v>
      </c>
      <c r="F15" s="41">
        <v>510.5</v>
      </c>
      <c r="G15" s="41">
        <v>1000</v>
      </c>
    </row>
    <row r="16" spans="1:7" s="4" customFormat="1" ht="20.100000000000001" customHeight="1">
      <c r="A16" s="2">
        <v>15</v>
      </c>
      <c r="B16" s="3" t="s">
        <v>1338</v>
      </c>
      <c r="C16" s="3" t="s">
        <v>1339</v>
      </c>
      <c r="D16" s="3" t="s">
        <v>7</v>
      </c>
      <c r="E16" s="3" t="s">
        <v>8</v>
      </c>
      <c r="F16" s="41">
        <v>156.4</v>
      </c>
      <c r="G16" s="41">
        <v>500</v>
      </c>
    </row>
    <row r="17" spans="1:7" s="4" customFormat="1" ht="20.100000000000001" customHeight="1">
      <c r="A17" s="2">
        <v>16</v>
      </c>
      <c r="B17" s="3" t="s">
        <v>1344</v>
      </c>
      <c r="C17" s="3" t="s">
        <v>1345</v>
      </c>
      <c r="D17" s="3" t="s">
        <v>7</v>
      </c>
      <c r="E17" s="3" t="s">
        <v>8</v>
      </c>
      <c r="F17" s="41">
        <v>138.35</v>
      </c>
      <c r="G17" s="41">
        <v>0</v>
      </c>
    </row>
    <row r="18" spans="1:7" s="4" customFormat="1" ht="20.100000000000001" customHeight="1">
      <c r="A18" s="2">
        <v>17</v>
      </c>
      <c r="B18" s="3" t="s">
        <v>1368</v>
      </c>
      <c r="C18" s="3" t="s">
        <v>1369</v>
      </c>
      <c r="D18" s="3" t="s">
        <v>7</v>
      </c>
      <c r="E18" s="3" t="s">
        <v>8</v>
      </c>
      <c r="F18" s="41">
        <v>445.1</v>
      </c>
      <c r="G18" s="41">
        <v>0</v>
      </c>
    </row>
    <row r="19" spans="1:7" s="4" customFormat="1" ht="20.100000000000001" customHeight="1">
      <c r="A19" s="2">
        <v>18</v>
      </c>
      <c r="B19" s="3" t="s">
        <v>1404</v>
      </c>
      <c r="C19" s="3" t="s">
        <v>1405</v>
      </c>
      <c r="D19" s="3" t="s">
        <v>7</v>
      </c>
      <c r="E19" s="3" t="s">
        <v>8</v>
      </c>
      <c r="F19" s="41">
        <v>1292.3</v>
      </c>
      <c r="G19" s="41">
        <v>1000</v>
      </c>
    </row>
    <row r="20" spans="1:7" s="4" customFormat="1" ht="20.100000000000001" customHeight="1">
      <c r="A20" s="2">
        <v>19</v>
      </c>
      <c r="B20" s="3" t="s">
        <v>1098</v>
      </c>
      <c r="C20" s="3" t="s">
        <v>1099</v>
      </c>
      <c r="D20" s="3" t="s">
        <v>20</v>
      </c>
      <c r="E20" s="3" t="s">
        <v>8</v>
      </c>
      <c r="F20" s="41">
        <v>404.95</v>
      </c>
      <c r="G20" s="41">
        <v>750</v>
      </c>
    </row>
    <row r="21" spans="1:7" s="4" customFormat="1" ht="20.100000000000001" customHeight="1">
      <c r="A21" s="2">
        <v>20</v>
      </c>
      <c r="B21" s="3" t="s">
        <v>1100</v>
      </c>
      <c r="C21" s="3" t="s">
        <v>1101</v>
      </c>
      <c r="D21" s="3" t="s">
        <v>20</v>
      </c>
      <c r="E21" s="3" t="s">
        <v>8</v>
      </c>
      <c r="F21" s="41">
        <v>437.78</v>
      </c>
      <c r="G21" s="41">
        <v>1100</v>
      </c>
    </row>
    <row r="22" spans="1:7" s="4" customFormat="1" ht="20.100000000000001" customHeight="1">
      <c r="A22" s="2">
        <v>21</v>
      </c>
      <c r="B22" s="3" t="s">
        <v>1102</v>
      </c>
      <c r="C22" s="3" t="s">
        <v>1103</v>
      </c>
      <c r="D22" s="3" t="s">
        <v>20</v>
      </c>
      <c r="E22" s="3" t="s">
        <v>8</v>
      </c>
      <c r="F22" s="41">
        <v>439.27</v>
      </c>
      <c r="G22" s="41">
        <v>500</v>
      </c>
    </row>
    <row r="23" spans="1:7" s="4" customFormat="1" ht="20.100000000000001" customHeight="1">
      <c r="A23" s="2">
        <v>22</v>
      </c>
      <c r="B23" s="3" t="s">
        <v>1530</v>
      </c>
      <c r="C23" s="3" t="s">
        <v>1531</v>
      </c>
      <c r="D23" s="3" t="s">
        <v>135</v>
      </c>
      <c r="E23" s="3" t="s">
        <v>8</v>
      </c>
      <c r="F23" s="41">
        <v>46800</v>
      </c>
      <c r="G23" s="41">
        <v>0</v>
      </c>
    </row>
    <row r="24" spans="1:7" s="4" customFormat="1" ht="20.100000000000001" customHeight="1">
      <c r="A24" s="2">
        <v>23</v>
      </c>
      <c r="B24" s="3" t="s">
        <v>1149</v>
      </c>
      <c r="C24" s="3" t="s">
        <v>1150</v>
      </c>
      <c r="D24" s="3" t="s">
        <v>20</v>
      </c>
      <c r="E24" s="3" t="s">
        <v>8</v>
      </c>
      <c r="F24" s="41">
        <v>858.6</v>
      </c>
      <c r="G24" s="41">
        <v>1000</v>
      </c>
    </row>
    <row r="25" spans="1:7" s="4" customFormat="1" ht="20.100000000000001" customHeight="1">
      <c r="A25" s="2">
        <v>24</v>
      </c>
      <c r="B25" s="3" t="s">
        <v>1630</v>
      </c>
      <c r="C25" s="3" t="s">
        <v>1631</v>
      </c>
      <c r="D25" s="3" t="s">
        <v>17</v>
      </c>
      <c r="E25" s="3" t="s">
        <v>8</v>
      </c>
      <c r="F25" s="41">
        <v>1240</v>
      </c>
      <c r="G25" s="41">
        <v>1500</v>
      </c>
    </row>
    <row r="26" spans="1:7" s="4" customFormat="1" ht="20.100000000000001" customHeight="1">
      <c r="A26" s="2">
        <v>25</v>
      </c>
      <c r="B26" s="3" t="s">
        <v>1712</v>
      </c>
      <c r="C26" s="3" t="s">
        <v>1713</v>
      </c>
      <c r="D26" s="3" t="s">
        <v>17</v>
      </c>
      <c r="E26" s="3" t="s">
        <v>8</v>
      </c>
      <c r="F26" s="41">
        <v>55</v>
      </c>
      <c r="G26" s="41">
        <v>0</v>
      </c>
    </row>
    <row r="27" spans="1:7" s="4" customFormat="1" ht="20.100000000000001" customHeight="1">
      <c r="A27" s="2">
        <v>26</v>
      </c>
      <c r="B27" s="3" t="s">
        <v>1980</v>
      </c>
      <c r="C27" s="3" t="s">
        <v>1981</v>
      </c>
      <c r="D27" s="3" t="s">
        <v>7</v>
      </c>
      <c r="E27" s="3" t="s">
        <v>8</v>
      </c>
      <c r="F27" s="41">
        <v>40</v>
      </c>
      <c r="G27" s="41">
        <v>200</v>
      </c>
    </row>
    <row r="28" spans="1:7" s="4" customFormat="1" ht="20.100000000000001" customHeight="1">
      <c r="A28" s="2">
        <v>27</v>
      </c>
      <c r="B28" s="3" t="s">
        <v>2241</v>
      </c>
      <c r="C28" s="3" t="s">
        <v>2242</v>
      </c>
      <c r="D28" s="3" t="s">
        <v>7</v>
      </c>
      <c r="E28" s="3" t="s">
        <v>8</v>
      </c>
      <c r="F28" s="41">
        <v>313</v>
      </c>
      <c r="G28" s="41">
        <v>750</v>
      </c>
    </row>
    <row r="29" spans="1:7" s="4" customFormat="1" ht="20.100000000000001" customHeight="1">
      <c r="A29" s="2">
        <v>28</v>
      </c>
      <c r="B29" s="3" t="s">
        <v>2249</v>
      </c>
      <c r="C29" s="3" t="s">
        <v>2250</v>
      </c>
      <c r="D29" s="3" t="s">
        <v>7</v>
      </c>
      <c r="E29" s="3" t="s">
        <v>8</v>
      </c>
      <c r="F29" s="41">
        <v>782</v>
      </c>
      <c r="G29" s="41">
        <v>500</v>
      </c>
    </row>
    <row r="30" spans="1:7" s="4" customFormat="1" ht="20.100000000000001" customHeight="1">
      <c r="A30" s="2">
        <v>29</v>
      </c>
      <c r="B30" s="3" t="s">
        <v>2299</v>
      </c>
      <c r="C30" s="3" t="s">
        <v>2300</v>
      </c>
      <c r="D30" s="3" t="s">
        <v>7</v>
      </c>
      <c r="E30" s="3" t="s">
        <v>8</v>
      </c>
      <c r="F30" s="41">
        <v>800</v>
      </c>
      <c r="G30" s="41">
        <v>0</v>
      </c>
    </row>
    <row r="31" spans="1:7" s="4" customFormat="1" ht="20.100000000000001" customHeight="1">
      <c r="A31" s="2">
        <v>30</v>
      </c>
      <c r="B31" s="3" t="s">
        <v>2337</v>
      </c>
      <c r="C31" s="3" t="s">
        <v>2338</v>
      </c>
      <c r="D31" s="3" t="s">
        <v>7</v>
      </c>
      <c r="E31" s="3" t="s">
        <v>8</v>
      </c>
      <c r="F31" s="41">
        <v>111</v>
      </c>
      <c r="G31" s="41">
        <v>750</v>
      </c>
    </row>
    <row r="32" spans="1:7" s="4" customFormat="1" ht="20.100000000000001" customHeight="1">
      <c r="A32" s="2">
        <v>31</v>
      </c>
      <c r="B32" s="3" t="s">
        <v>2745</v>
      </c>
      <c r="C32" s="3" t="s">
        <v>2746</v>
      </c>
      <c r="D32" s="3" t="s">
        <v>7</v>
      </c>
      <c r="E32" s="3" t="s">
        <v>8</v>
      </c>
      <c r="F32" s="41">
        <v>1131</v>
      </c>
      <c r="G32" s="41">
        <v>2000</v>
      </c>
    </row>
    <row r="33" spans="1:7" s="4" customFormat="1" ht="20.100000000000001" customHeight="1">
      <c r="A33" s="2">
        <v>32</v>
      </c>
      <c r="B33" s="3" t="s">
        <v>2749</v>
      </c>
      <c r="C33" s="3" t="s">
        <v>2750</v>
      </c>
      <c r="D33" s="3" t="s">
        <v>7</v>
      </c>
      <c r="E33" s="3" t="s">
        <v>8</v>
      </c>
      <c r="F33" s="41">
        <v>2198</v>
      </c>
      <c r="G33" s="41">
        <v>8000</v>
      </c>
    </row>
    <row r="34" spans="1:7" s="4" customFormat="1" ht="20.100000000000001" customHeight="1">
      <c r="A34" s="2">
        <v>33</v>
      </c>
      <c r="B34" s="3" t="s">
        <v>3271</v>
      </c>
      <c r="C34" s="3" t="s">
        <v>3272</v>
      </c>
      <c r="D34" s="3" t="s">
        <v>17</v>
      </c>
      <c r="E34" s="3" t="s">
        <v>8</v>
      </c>
      <c r="F34" s="41">
        <v>1500</v>
      </c>
      <c r="G34" s="41">
        <v>2000</v>
      </c>
    </row>
    <row r="35" spans="1:7" s="4" customFormat="1" ht="20.100000000000001" customHeight="1">
      <c r="A35" s="2">
        <v>34</v>
      </c>
      <c r="B35" s="3" t="s">
        <v>177</v>
      </c>
      <c r="C35" s="3" t="s">
        <v>178</v>
      </c>
      <c r="D35" s="3" t="s">
        <v>7</v>
      </c>
      <c r="E35" s="3" t="s">
        <v>8</v>
      </c>
      <c r="F35" s="41">
        <v>19200</v>
      </c>
      <c r="G35" s="41">
        <v>28800</v>
      </c>
    </row>
    <row r="36" spans="1:7" s="4" customFormat="1" ht="20.100000000000001" customHeight="1">
      <c r="A36" s="2">
        <v>35</v>
      </c>
      <c r="B36" s="3" t="s">
        <v>2859</v>
      </c>
      <c r="C36" s="3" t="s">
        <v>2860</v>
      </c>
      <c r="D36" s="3" t="s">
        <v>7</v>
      </c>
      <c r="E36" s="3" t="s">
        <v>8</v>
      </c>
      <c r="F36" s="41">
        <v>6500</v>
      </c>
      <c r="G36" s="41">
        <v>25000</v>
      </c>
    </row>
    <row r="37" spans="1:7" s="4" customFormat="1" ht="20.100000000000001" customHeight="1">
      <c r="A37" s="2">
        <v>36</v>
      </c>
      <c r="B37" s="3" t="s">
        <v>33</v>
      </c>
      <c r="C37" s="3" t="s">
        <v>34</v>
      </c>
      <c r="D37" s="3" t="s">
        <v>17</v>
      </c>
      <c r="E37" s="3" t="s">
        <v>8</v>
      </c>
      <c r="F37" s="41">
        <v>16</v>
      </c>
      <c r="G37" s="41">
        <v>0</v>
      </c>
    </row>
    <row r="38" spans="1:7" s="4" customFormat="1" ht="20.100000000000001" customHeight="1">
      <c r="A38" s="2">
        <v>37</v>
      </c>
      <c r="B38" s="3" t="s">
        <v>35</v>
      </c>
      <c r="C38" s="3" t="s">
        <v>36</v>
      </c>
      <c r="D38" s="3" t="s">
        <v>17</v>
      </c>
      <c r="E38" s="3" t="s">
        <v>8</v>
      </c>
      <c r="F38" s="41">
        <v>6</v>
      </c>
      <c r="G38" s="41">
        <v>0</v>
      </c>
    </row>
    <row r="39" spans="1:7" s="4" customFormat="1" ht="20.100000000000001" customHeight="1">
      <c r="A39" s="2">
        <v>38</v>
      </c>
      <c r="B39" s="3" t="s">
        <v>37</v>
      </c>
      <c r="C39" s="3" t="s">
        <v>38</v>
      </c>
      <c r="D39" s="3" t="s">
        <v>17</v>
      </c>
      <c r="E39" s="3" t="s">
        <v>8</v>
      </c>
      <c r="F39" s="41">
        <v>200</v>
      </c>
      <c r="G39" s="41">
        <v>0</v>
      </c>
    </row>
    <row r="40" spans="1:7" s="4" customFormat="1" ht="20.100000000000001" customHeight="1">
      <c r="A40" s="2">
        <v>39</v>
      </c>
      <c r="B40" s="3" t="s">
        <v>432</v>
      </c>
      <c r="C40" s="3" t="s">
        <v>433</v>
      </c>
      <c r="D40" s="3" t="s">
        <v>20</v>
      </c>
      <c r="E40" s="3" t="s">
        <v>8</v>
      </c>
      <c r="F40" s="41">
        <v>0</v>
      </c>
      <c r="G40" s="41">
        <v>50</v>
      </c>
    </row>
    <row r="41" spans="1:7" s="4" customFormat="1" ht="20.100000000000001" customHeight="1">
      <c r="A41" s="2">
        <v>40</v>
      </c>
      <c r="B41" s="3" t="s">
        <v>1289</v>
      </c>
      <c r="C41" s="3" t="s">
        <v>3274</v>
      </c>
      <c r="D41" s="3" t="s">
        <v>7</v>
      </c>
      <c r="E41" s="3" t="s">
        <v>8</v>
      </c>
      <c r="F41" s="41">
        <v>1765.3</v>
      </c>
      <c r="G41" s="41">
        <v>500</v>
      </c>
    </row>
    <row r="42" spans="1:7" s="4" customFormat="1" ht="20.100000000000001" customHeight="1">
      <c r="A42" s="2">
        <v>41</v>
      </c>
      <c r="B42" s="3" t="s">
        <v>1300</v>
      </c>
      <c r="C42" s="3" t="s">
        <v>1301</v>
      </c>
      <c r="D42" s="3" t="s">
        <v>7</v>
      </c>
      <c r="E42" s="3" t="s">
        <v>8</v>
      </c>
      <c r="F42" s="41">
        <v>0</v>
      </c>
      <c r="G42" s="41">
        <v>250</v>
      </c>
    </row>
    <row r="43" spans="1:7" s="4" customFormat="1" ht="20.100000000000001" customHeight="1">
      <c r="A43" s="2">
        <v>42</v>
      </c>
      <c r="B43" s="3" t="s">
        <v>1326</v>
      </c>
      <c r="C43" s="3" t="s">
        <v>1327</v>
      </c>
      <c r="D43" s="3" t="s">
        <v>7</v>
      </c>
      <c r="E43" s="3" t="s">
        <v>8</v>
      </c>
      <c r="F43" s="41">
        <v>3359</v>
      </c>
      <c r="G43" s="41">
        <v>10000</v>
      </c>
    </row>
    <row r="44" spans="1:7" s="4" customFormat="1" ht="20.100000000000001" customHeight="1">
      <c r="A44" s="2">
        <v>43</v>
      </c>
      <c r="B44" s="3" t="s">
        <v>1336</v>
      </c>
      <c r="C44" s="3" t="s">
        <v>1337</v>
      </c>
      <c r="D44" s="3" t="s">
        <v>7</v>
      </c>
      <c r="E44" s="3" t="s">
        <v>8</v>
      </c>
      <c r="F44" s="41">
        <v>297</v>
      </c>
      <c r="G44" s="41">
        <v>300</v>
      </c>
    </row>
    <row r="45" spans="1:7" s="4" customFormat="1" ht="20.100000000000001" customHeight="1">
      <c r="A45" s="2">
        <v>44</v>
      </c>
      <c r="B45" s="3" t="s">
        <v>1378</v>
      </c>
      <c r="C45" s="3" t="s">
        <v>1379</v>
      </c>
      <c r="D45" s="3" t="s">
        <v>7</v>
      </c>
      <c r="E45" s="3" t="s">
        <v>8</v>
      </c>
      <c r="F45" s="41">
        <v>66.599999999999994</v>
      </c>
      <c r="G45" s="41">
        <v>400</v>
      </c>
    </row>
    <row r="46" spans="1:7" s="4" customFormat="1" ht="20.100000000000001" customHeight="1">
      <c r="A46" s="2">
        <v>45</v>
      </c>
      <c r="B46" s="3" t="s">
        <v>1644</v>
      </c>
      <c r="C46" s="3" t="s">
        <v>1645</v>
      </c>
      <c r="D46" s="3" t="s">
        <v>17</v>
      </c>
      <c r="E46" s="3" t="s">
        <v>8</v>
      </c>
      <c r="F46" s="41">
        <v>0</v>
      </c>
      <c r="G46" s="41">
        <v>0</v>
      </c>
    </row>
    <row r="47" spans="1:7" s="4" customFormat="1" ht="20.100000000000001" customHeight="1">
      <c r="A47" s="2">
        <v>46</v>
      </c>
      <c r="B47" s="3" t="s">
        <v>1820</v>
      </c>
      <c r="C47" s="3" t="s">
        <v>1821</v>
      </c>
      <c r="D47" s="3" t="s">
        <v>7</v>
      </c>
      <c r="E47" s="3" t="s">
        <v>8</v>
      </c>
      <c r="F47" s="41">
        <v>600</v>
      </c>
      <c r="G47" s="41">
        <v>4800</v>
      </c>
    </row>
    <row r="48" spans="1:7" s="4" customFormat="1" ht="20.100000000000001" customHeight="1">
      <c r="A48" s="2">
        <v>47</v>
      </c>
      <c r="B48" s="3" t="s">
        <v>2379</v>
      </c>
      <c r="C48" s="3" t="s">
        <v>2380</v>
      </c>
      <c r="D48" s="3" t="s">
        <v>17</v>
      </c>
      <c r="E48" s="3" t="s">
        <v>8</v>
      </c>
      <c r="F48" s="41">
        <v>75</v>
      </c>
      <c r="G48" s="41">
        <v>50</v>
      </c>
    </row>
    <row r="49" spans="1:7" s="4" customFormat="1" ht="20.100000000000001" customHeight="1">
      <c r="A49" s="2">
        <v>48</v>
      </c>
      <c r="B49" s="3" t="s">
        <v>2478</v>
      </c>
      <c r="C49" s="3" t="s">
        <v>2479</v>
      </c>
      <c r="D49" s="3" t="s">
        <v>7</v>
      </c>
      <c r="E49" s="3" t="s">
        <v>8</v>
      </c>
      <c r="F49" s="41">
        <v>1170.2</v>
      </c>
      <c r="G49" s="41">
        <v>1500</v>
      </c>
    </row>
    <row r="50" spans="1:7" s="4" customFormat="1" ht="20.100000000000001" customHeight="1">
      <c r="A50" s="2">
        <v>49</v>
      </c>
      <c r="B50" s="3" t="s">
        <v>2775</v>
      </c>
      <c r="C50" s="3" t="s">
        <v>2776</v>
      </c>
      <c r="D50" s="3" t="s">
        <v>7</v>
      </c>
      <c r="E50" s="3" t="s">
        <v>8</v>
      </c>
      <c r="F50" s="41">
        <v>1444</v>
      </c>
      <c r="G50" s="41">
        <v>5000</v>
      </c>
    </row>
    <row r="51" spans="1:7" s="4" customFormat="1" ht="20.100000000000001" customHeight="1">
      <c r="A51" s="2">
        <v>50</v>
      </c>
      <c r="B51" s="3" t="s">
        <v>3282</v>
      </c>
      <c r="C51" s="3" t="s">
        <v>3283</v>
      </c>
      <c r="D51" s="3" t="s">
        <v>7</v>
      </c>
      <c r="E51" s="3" t="s">
        <v>8</v>
      </c>
      <c r="F51" s="41">
        <v>4100</v>
      </c>
      <c r="G51" s="41">
        <v>10000</v>
      </c>
    </row>
    <row r="52" spans="1:7" s="4" customFormat="1" ht="20.100000000000001" customHeight="1">
      <c r="A52" s="2">
        <v>51</v>
      </c>
      <c r="B52" s="3" t="s">
        <v>3284</v>
      </c>
      <c r="C52" s="3" t="s">
        <v>3285</v>
      </c>
      <c r="D52" s="3" t="s">
        <v>7</v>
      </c>
      <c r="E52" s="3" t="s">
        <v>8</v>
      </c>
      <c r="F52" s="41">
        <v>1200</v>
      </c>
      <c r="G52" s="41">
        <v>10000</v>
      </c>
    </row>
    <row r="53" spans="1:7" s="4" customFormat="1" ht="20.100000000000001" customHeight="1">
      <c r="A53" s="2">
        <v>52</v>
      </c>
      <c r="B53" s="3" t="s">
        <v>3286</v>
      </c>
      <c r="C53" s="3" t="s">
        <v>3287</v>
      </c>
      <c r="D53" s="3" t="s">
        <v>7</v>
      </c>
      <c r="E53" s="3" t="s">
        <v>8</v>
      </c>
      <c r="F53" s="41">
        <v>400</v>
      </c>
      <c r="G53" s="41">
        <v>10000</v>
      </c>
    </row>
    <row r="54" spans="1:7" s="4" customFormat="1" ht="20.100000000000001" customHeight="1">
      <c r="A54" s="2">
        <v>53</v>
      </c>
      <c r="B54" s="3" t="s">
        <v>3288</v>
      </c>
      <c r="C54" s="3" t="s">
        <v>3289</v>
      </c>
      <c r="D54" s="3" t="s">
        <v>7</v>
      </c>
      <c r="E54" s="3" t="s">
        <v>8</v>
      </c>
      <c r="F54" s="41">
        <v>1100</v>
      </c>
      <c r="G54" s="41">
        <v>10000</v>
      </c>
    </row>
    <row r="55" spans="1:7" s="4" customFormat="1" ht="20.100000000000001" customHeight="1">
      <c r="A55" s="2">
        <v>54</v>
      </c>
      <c r="B55" s="3" t="s">
        <v>3290</v>
      </c>
      <c r="C55" s="3" t="s">
        <v>3291</v>
      </c>
      <c r="D55" s="3" t="s">
        <v>7</v>
      </c>
      <c r="E55" s="3" t="s">
        <v>8</v>
      </c>
      <c r="F55" s="41">
        <v>1000</v>
      </c>
      <c r="G55" s="41">
        <v>10000</v>
      </c>
    </row>
    <row r="56" spans="1:7" s="4" customFormat="1" ht="20.100000000000001" customHeight="1">
      <c r="A56" s="2">
        <v>55</v>
      </c>
      <c r="B56" s="3" t="s">
        <v>3400</v>
      </c>
      <c r="C56" s="3" t="s">
        <v>3401</v>
      </c>
      <c r="D56" s="3" t="s">
        <v>17</v>
      </c>
      <c r="E56" s="3" t="s">
        <v>8</v>
      </c>
      <c r="F56" s="41">
        <v>2500</v>
      </c>
      <c r="G56" s="41">
        <v>0</v>
      </c>
    </row>
    <row r="57" spans="1:7" s="4" customFormat="1" ht="20.100000000000001" customHeight="1">
      <c r="A57" s="2">
        <v>56</v>
      </c>
      <c r="B57" s="3" t="s">
        <v>3518</v>
      </c>
      <c r="C57" s="3" t="s">
        <v>3519</v>
      </c>
      <c r="D57" s="3" t="s">
        <v>17</v>
      </c>
      <c r="E57" s="3" t="s">
        <v>8</v>
      </c>
      <c r="F57" s="41">
        <v>0</v>
      </c>
      <c r="G57" s="41">
        <v>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B6" sqref="A1:G11"/>
    </sheetView>
  </sheetViews>
  <sheetFormatPr defaultRowHeight="15"/>
  <cols>
    <col min="1" max="1" width="5.7109375" bestFit="1" customWidth="1"/>
    <col min="2" max="2" width="35.7109375" bestFit="1" customWidth="1"/>
    <col min="3" max="3" width="52.7109375" bestFit="1" customWidth="1"/>
    <col min="4" max="4" width="5.7109375" bestFit="1" customWidth="1"/>
    <col min="5" max="5" width="8.140625" bestFit="1" customWidth="1"/>
    <col min="6" max="6" width="13.28515625" customWidth="1"/>
    <col min="7" max="7" width="10" bestFit="1" customWidth="1"/>
  </cols>
  <sheetData>
    <row r="1" spans="1:7" ht="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8" t="s">
        <v>2942</v>
      </c>
      <c r="G1" s="1" t="s">
        <v>2943</v>
      </c>
    </row>
    <row r="2" spans="1:7" s="4" customFormat="1">
      <c r="A2" s="2">
        <v>1</v>
      </c>
      <c r="B2" s="3" t="s">
        <v>1586</v>
      </c>
      <c r="C2" s="3" t="s">
        <v>1587</v>
      </c>
      <c r="D2" s="3" t="s">
        <v>17</v>
      </c>
      <c r="E2" s="3" t="s">
        <v>8</v>
      </c>
      <c r="F2" s="41">
        <v>300</v>
      </c>
      <c r="G2" s="41">
        <v>400</v>
      </c>
    </row>
    <row r="3" spans="1:7" s="4" customFormat="1">
      <c r="A3" s="2">
        <v>2</v>
      </c>
      <c r="B3" s="3" t="s">
        <v>217</v>
      </c>
      <c r="C3" s="3" t="s">
        <v>218</v>
      </c>
      <c r="D3" s="3" t="s">
        <v>7</v>
      </c>
      <c r="E3" s="3" t="s">
        <v>8</v>
      </c>
      <c r="F3" s="41">
        <v>6476.3</v>
      </c>
      <c r="G3" s="41">
        <v>15000</v>
      </c>
    </row>
    <row r="4" spans="1:7" s="4" customFormat="1">
      <c r="A4" s="2">
        <v>3</v>
      </c>
      <c r="B4" s="3" t="s">
        <v>231</v>
      </c>
      <c r="C4" s="3" t="s">
        <v>232</v>
      </c>
      <c r="D4" s="3" t="s">
        <v>7</v>
      </c>
      <c r="E4" s="3" t="s">
        <v>8</v>
      </c>
      <c r="F4" s="41">
        <v>0</v>
      </c>
      <c r="G4" s="41">
        <v>0</v>
      </c>
    </row>
    <row r="5" spans="1:7" s="4" customFormat="1">
      <c r="A5" s="2">
        <v>4</v>
      </c>
      <c r="B5" s="3" t="s">
        <v>942</v>
      </c>
      <c r="C5" s="3" t="s">
        <v>943</v>
      </c>
      <c r="D5" s="3" t="s">
        <v>17</v>
      </c>
      <c r="E5" s="3" t="s">
        <v>8</v>
      </c>
      <c r="F5" s="41">
        <v>44</v>
      </c>
      <c r="G5" s="41">
        <v>150</v>
      </c>
    </row>
    <row r="6" spans="1:7" s="4" customFormat="1">
      <c r="A6" s="2">
        <v>5</v>
      </c>
      <c r="B6" s="3" t="s">
        <v>1494</v>
      </c>
      <c r="C6" s="3" t="s">
        <v>1495</v>
      </c>
      <c r="D6" s="3" t="s">
        <v>7</v>
      </c>
      <c r="E6" s="3" t="s">
        <v>8</v>
      </c>
      <c r="F6" s="41">
        <v>180.3</v>
      </c>
      <c r="G6" s="41">
        <v>250</v>
      </c>
    </row>
    <row r="7" spans="1:7" s="4" customFormat="1">
      <c r="A7" s="2">
        <v>6</v>
      </c>
      <c r="B7" s="3" t="s">
        <v>1532</v>
      </c>
      <c r="C7" s="3" t="s">
        <v>1533</v>
      </c>
      <c r="D7" s="3" t="s">
        <v>135</v>
      </c>
      <c r="E7" s="3" t="s">
        <v>8</v>
      </c>
      <c r="F7" s="41">
        <v>4700</v>
      </c>
      <c r="G7" s="41">
        <v>10000</v>
      </c>
    </row>
    <row r="8" spans="1:7" s="4" customFormat="1">
      <c r="A8" s="2">
        <v>7</v>
      </c>
      <c r="B8" s="3" t="s">
        <v>104</v>
      </c>
      <c r="C8" s="3" t="s">
        <v>105</v>
      </c>
      <c r="D8" s="3" t="s">
        <v>17</v>
      </c>
      <c r="E8" s="3" t="s">
        <v>8</v>
      </c>
      <c r="F8" s="41">
        <v>1500</v>
      </c>
      <c r="G8" s="41">
        <v>3000</v>
      </c>
    </row>
    <row r="9" spans="1:7" s="4" customFormat="1">
      <c r="A9" s="2">
        <v>8</v>
      </c>
      <c r="B9" s="3" t="s">
        <v>528</v>
      </c>
      <c r="C9" s="3" t="s">
        <v>529</v>
      </c>
      <c r="D9" s="3" t="s">
        <v>17</v>
      </c>
      <c r="E9" s="3" t="s">
        <v>8</v>
      </c>
      <c r="F9" s="41">
        <v>1160</v>
      </c>
      <c r="G9" s="41">
        <v>5000</v>
      </c>
    </row>
    <row r="10" spans="1:7" s="4" customFormat="1">
      <c r="A10" s="2">
        <v>9</v>
      </c>
      <c r="B10" s="3" t="s">
        <v>2094</v>
      </c>
      <c r="C10" s="3" t="s">
        <v>2095</v>
      </c>
      <c r="D10" s="3" t="s">
        <v>17</v>
      </c>
      <c r="E10" s="3" t="s">
        <v>8</v>
      </c>
      <c r="F10" s="41">
        <v>60</v>
      </c>
      <c r="G10" s="41">
        <v>100</v>
      </c>
    </row>
    <row r="11" spans="1:7" s="4" customFormat="1">
      <c r="A11" s="2">
        <v>10</v>
      </c>
      <c r="B11" s="3" t="s">
        <v>2096</v>
      </c>
      <c r="C11" s="3" t="s">
        <v>2097</v>
      </c>
      <c r="D11" s="3" t="s">
        <v>17</v>
      </c>
      <c r="E11" s="3" t="s">
        <v>8</v>
      </c>
      <c r="F11" s="41">
        <v>95</v>
      </c>
      <c r="G11" s="4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12" sqref="C12"/>
    </sheetView>
  </sheetViews>
  <sheetFormatPr defaultRowHeight="15"/>
  <cols>
    <col min="1" max="1" width="5.7109375" bestFit="1" customWidth="1"/>
    <col min="2" max="2" width="26.85546875" bestFit="1" customWidth="1"/>
    <col min="3" max="3" width="52.140625" bestFit="1" customWidth="1"/>
    <col min="4" max="4" width="5.7109375" bestFit="1" customWidth="1"/>
    <col min="5" max="5" width="12.85546875" customWidth="1"/>
    <col min="6" max="6" width="14.85546875" customWidth="1"/>
    <col min="7" max="7" width="10" bestFit="1" customWidth="1"/>
  </cols>
  <sheetData>
    <row r="1" spans="1:7" ht="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8" t="s">
        <v>2942</v>
      </c>
      <c r="G1" s="1" t="s">
        <v>2943</v>
      </c>
    </row>
    <row r="2" spans="1:7" s="4" customFormat="1">
      <c r="A2" s="2">
        <v>1</v>
      </c>
      <c r="B2" s="3" t="s">
        <v>514</v>
      </c>
      <c r="C2" s="3" t="s">
        <v>515</v>
      </c>
      <c r="D2" s="3" t="s">
        <v>17</v>
      </c>
      <c r="E2" s="3" t="s">
        <v>8</v>
      </c>
      <c r="F2" s="41">
        <v>120</v>
      </c>
      <c r="G2" s="41">
        <v>1000</v>
      </c>
    </row>
    <row r="3" spans="1:7" s="4" customFormat="1">
      <c r="A3" s="2">
        <v>2</v>
      </c>
      <c r="B3" s="3" t="s">
        <v>1046</v>
      </c>
      <c r="C3" s="3" t="s">
        <v>1047</v>
      </c>
      <c r="D3" s="3" t="s">
        <v>17</v>
      </c>
      <c r="E3" s="3" t="s">
        <v>8</v>
      </c>
      <c r="F3" s="41">
        <v>120</v>
      </c>
      <c r="G3" s="41">
        <v>100</v>
      </c>
    </row>
    <row r="4" spans="1:7" s="4" customFormat="1">
      <c r="A4" s="2">
        <v>3</v>
      </c>
      <c r="B4" s="3" t="s">
        <v>1468</v>
      </c>
      <c r="C4" s="3" t="s">
        <v>1469</v>
      </c>
      <c r="D4" s="3" t="s">
        <v>17</v>
      </c>
      <c r="E4" s="3" t="s">
        <v>8</v>
      </c>
      <c r="F4" s="41">
        <v>23</v>
      </c>
      <c r="G4" s="41">
        <v>0</v>
      </c>
    </row>
    <row r="5" spans="1:7" s="4" customFormat="1">
      <c r="A5" s="2">
        <v>4</v>
      </c>
      <c r="B5" s="3" t="s">
        <v>1482</v>
      </c>
      <c r="C5" s="3" t="s">
        <v>1483</v>
      </c>
      <c r="D5" s="3" t="s">
        <v>17</v>
      </c>
      <c r="E5" s="3" t="s">
        <v>8</v>
      </c>
      <c r="F5" s="41">
        <v>2</v>
      </c>
      <c r="G5" s="41">
        <v>0</v>
      </c>
    </row>
    <row r="6" spans="1:7" s="4" customFormat="1">
      <c r="A6" s="2">
        <v>5</v>
      </c>
      <c r="B6" s="3" t="s">
        <v>619</v>
      </c>
      <c r="C6" s="3" t="s">
        <v>620</v>
      </c>
      <c r="D6" s="3" t="s">
        <v>17</v>
      </c>
      <c r="E6" s="3" t="s">
        <v>8</v>
      </c>
      <c r="F6" s="41">
        <v>429</v>
      </c>
      <c r="G6" s="41">
        <v>2500</v>
      </c>
    </row>
    <row r="7" spans="1:7" s="4" customFormat="1">
      <c r="A7" s="2">
        <v>6</v>
      </c>
      <c r="B7" s="3" t="s">
        <v>1730</v>
      </c>
      <c r="C7" s="3" t="s">
        <v>1731</v>
      </c>
      <c r="D7" s="3" t="s">
        <v>17</v>
      </c>
      <c r="E7" s="3" t="s">
        <v>8</v>
      </c>
      <c r="F7" s="41">
        <v>1901</v>
      </c>
      <c r="G7" s="41">
        <v>3000</v>
      </c>
    </row>
    <row r="8" spans="1:7" s="4" customFormat="1">
      <c r="A8" s="2">
        <v>7</v>
      </c>
      <c r="B8" s="3" t="s">
        <v>1732</v>
      </c>
      <c r="C8" s="3" t="s">
        <v>1733</v>
      </c>
      <c r="D8" s="3" t="s">
        <v>17</v>
      </c>
      <c r="E8" s="3" t="s">
        <v>8</v>
      </c>
      <c r="F8" s="41">
        <v>760</v>
      </c>
      <c r="G8" s="41">
        <v>12000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Sheet</vt:lpstr>
      <vt:lpstr>CBERM ERP Download</vt:lpstr>
      <vt:lpstr>QUARANTINED &amp;REJECTED ERP Downl</vt:lpstr>
      <vt:lpstr>Final Out Put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DEEPU</cp:lastModifiedBy>
  <cp:lastPrinted>2025-09-20T12:20:39Z</cp:lastPrinted>
  <dcterms:created xsi:type="dcterms:W3CDTF">2015-06-05T18:17:20Z</dcterms:created>
  <dcterms:modified xsi:type="dcterms:W3CDTF">2025-09-26T12:53:29Z</dcterms:modified>
</cp:coreProperties>
</file>